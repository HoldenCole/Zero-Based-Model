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xes" sheetId="1" state="visible" r:id="rId1"/>
    <sheet name="Assumptions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sz val="9"/>
    </font>
    <font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vertical="center" wrapText="1"/>
    </xf>
    <xf numFmtId="0" fontId="3" fillId="0" borderId="0" pivotButton="0" quotePrefix="0" xfId="0"/>
    <xf numFmtId="0" fontId="3" fillId="0" borderId="1" pivotButton="0" quotePrefix="0" xfId="0"/>
    <xf numFmtId="1" fontId="3" fillId="4" borderId="1" pivotButton="0" quotePrefix="0" xfId="0"/>
    <xf numFmtId="164" fontId="3" fillId="5" borderId="1" pivotButton="0" quotePrefix="0" xfId="0"/>
    <xf numFmtId="164" fontId="3" fillId="3" borderId="1" pivotButton="0" quotePrefix="0" xfId="0"/>
    <xf numFmtId="10" fontId="3" fillId="3" borderId="1" pivotButton="0" quotePrefix="0" xfId="0"/>
    <xf numFmtId="165" fontId="3" fillId="3" borderId="1" pivotButton="0" quotePrefix="0" xfId="0"/>
    <xf numFmtId="0" fontId="2" fillId="0" borderId="0" pivotButton="0" quotePrefix="0" xfId="0"/>
    <xf numFmtId="0" fontId="2" fillId="6" borderId="1" pivotButton="0" quotePrefix="0" xfId="0"/>
    <xf numFmtId="165" fontId="2" fillId="6" borderId="1" pivotButton="0" quotePrefix="0" xfId="0"/>
    <xf numFmtId="1" fontId="3" fillId="3" borderId="1" pivotButton="0" quotePrefix="0" xfId="0"/>
    <xf numFmtId="164" fontId="3" fillId="4" borderId="1" pivotButton="0" quotePrefix="0" xfId="0"/>
    <xf numFmtId="9" fontId="3" fillId="4" borderId="1" pivotButton="0" quotePrefix="0" xfId="0"/>
    <xf numFmtId="1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2" customWidth="1" min="4" max="4"/>
    <col width="12" customWidth="1" min="5" max="5"/>
    <col width="8" customWidth="1" min="6" max="6"/>
    <col width="8" customWidth="1" min="7" max="7"/>
    <col width="7" customWidth="1" min="8" max="8"/>
    <col width="8" customWidth="1" min="9" max="9"/>
    <col width="9" customWidth="1" min="10" max="10"/>
    <col width="8" customWidth="1" min="11" max="11"/>
    <col width="9" customWidth="1" min="12" max="12"/>
    <col width="9" customWidth="1" min="13" max="13"/>
    <col width="14" customWidth="1" min="14" max="14"/>
  </cols>
  <sheetData>
    <row r="1">
      <c r="A1" s="1" t="inlineStr">
        <is>
          <t>Refinery boxes — net naphtha = capacity x utilization x signed yields. Blue = input, orange = manual override (clear to fall back to the Assumptions sheet), grey = formula. Yield-mode rows read the Data sheet.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row</t>
        </is>
      </c>
      <c r="B2" s="3" t="inlineStr">
        <is>
          <t>refinery_id</t>
        </is>
      </c>
      <c r="C2" s="3" t="inlineStr">
        <is>
          <t>padd</t>
        </is>
      </c>
      <c r="D2" s="3" t="inlineStr">
        <is>
          <t>unit</t>
        </is>
      </c>
      <c r="E2" s="3" t="inlineStr">
        <is>
          <t>type</t>
        </is>
      </c>
      <c r="F2" s="3" t="inlineStr">
        <is>
          <t>cap kbd</t>
        </is>
      </c>
      <c r="G2" s="3" t="inlineStr">
        <is>
          <t>util ovr</t>
        </is>
      </c>
      <c r="H2" s="3" t="inlineStr">
        <is>
          <t>util</t>
        </is>
      </c>
      <c r="I2" s="3" t="inlineStr">
        <is>
          <t>LVN ovr</t>
        </is>
      </c>
      <c r="J2" s="3" t="inlineStr">
        <is>
          <t>LVN yield</t>
        </is>
      </c>
      <c r="K2" s="3" t="inlineStr">
        <is>
          <t>HVN ovr</t>
        </is>
      </c>
      <c r="L2" s="3" t="inlineStr">
        <is>
          <t>HVN yield</t>
        </is>
      </c>
      <c r="M2" s="3" t="inlineStr">
        <is>
          <t>Σ yield</t>
        </is>
      </c>
      <c r="N2" s="3" t="inlineStr">
        <is>
          <t>net naphtha kbd</t>
        </is>
      </c>
    </row>
    <row r="3">
      <c r="A3" s="1" t="inlineStr">
        <is>
          <t xml:space="preserve">  Phillips 66 Co. Linden  [PHILLIPS_LINDEN]   —   Phillips 66 Co.   —   PADD 1   —   crude 258 kbd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4" t="inlineStr">
        <is>
          <t>UNIT</t>
        </is>
      </c>
      <c r="B4" s="5" t="inlineStr">
        <is>
          <t>PHILLIPS_LINDEN</t>
        </is>
      </c>
      <c r="C4" s="5" t="n">
        <v>1</v>
      </c>
      <c r="D4" s="5" t="inlineStr">
        <is>
          <t>CDU</t>
        </is>
      </c>
      <c r="E4" s="5" t="inlineStr">
        <is>
          <t>CDU</t>
        </is>
      </c>
      <c r="F4" s="6" t="n">
        <v>272.1</v>
      </c>
      <c r="G4" s="7" t="n">
        <v>0.804</v>
      </c>
      <c r="H4" s="8">
        <f>IF($G4&lt;&gt;"",$G4,SUMIFS(Assumptions!$K$4:$K$8,Assumptions!$J$4:$J$8,$C4))</f>
        <v/>
      </c>
      <c r="I4" s="7" t="n"/>
      <c r="J4" s="9">
        <f>IF($I4&lt;&gt;"",$I4,SUMIFS(Assumptions!$P$4:$P$93,Assumptions!$M$4:$M$93,$C4,Assumptions!$N$4:$N$93,$E4,Assumptions!$O$4:$O$93,"LVN"))</f>
        <v/>
      </c>
      <c r="K4" s="7" t="n"/>
      <c r="L4" s="9">
        <f>IF($K4&lt;&gt;"",$K4,SUMIFS(Assumptions!$P$4:$P$93,Assumptions!$M$4:$M$93,$C4,Assumptions!$N$4:$N$93,$E4,Assumptions!$O$4:$O$93,"HVN"))</f>
        <v/>
      </c>
      <c r="M4" s="9">
        <f>J4+L4</f>
        <v/>
      </c>
      <c r="N4" s="10">
        <f>$F4*$H4*$M4</f>
        <v/>
      </c>
    </row>
    <row r="5">
      <c r="A5" s="4" t="inlineStr">
        <is>
          <t>UNIT</t>
        </is>
      </c>
      <c r="B5" s="5" t="inlineStr">
        <is>
          <t>PHILLIPS_LINDEN</t>
        </is>
      </c>
      <c r="C5" s="5" t="n">
        <v>1</v>
      </c>
      <c r="D5" s="5" t="inlineStr">
        <is>
          <t>VDU</t>
        </is>
      </c>
      <c r="E5" s="5" t="inlineStr">
        <is>
          <t>VDU</t>
        </is>
      </c>
      <c r="F5" s="6" t="n">
        <v>75</v>
      </c>
      <c r="G5" s="7" t="n">
        <v>0.991</v>
      </c>
      <c r="H5" s="8">
        <f>IF($G5&lt;&gt;"",$G5,SUMIFS(Assumptions!$K$4:$K$8,Assumptions!$J$4:$J$8,$C5))</f>
        <v/>
      </c>
      <c r="I5" s="7" t="n"/>
      <c r="J5" s="9">
        <f>IF($I5&lt;&gt;"",$I5,SUMIFS(Assumptions!$P$4:$P$93,Assumptions!$M$4:$M$93,$C5,Assumptions!$N$4:$N$93,$E5,Assumptions!$O$4:$O$93,"LVN"))</f>
        <v/>
      </c>
      <c r="K5" s="7" t="n"/>
      <c r="L5" s="9">
        <f>IF($K5&lt;&gt;"",$K5,SUMIFS(Assumptions!$P$4:$P$93,Assumptions!$M$4:$M$93,$C5,Assumptions!$N$4:$N$93,$E5,Assumptions!$O$4:$O$93,"HVN"))</f>
        <v/>
      </c>
      <c r="M5" s="9">
        <f>J5+L5</f>
        <v/>
      </c>
      <c r="N5" s="10">
        <f>$F5*$H5*$M5</f>
        <v/>
      </c>
    </row>
    <row r="6">
      <c r="A6" s="4" t="inlineStr">
        <is>
          <t>UNIT</t>
        </is>
      </c>
      <c r="B6" s="5" t="inlineStr">
        <is>
          <t>PHILLIPS_LINDEN</t>
        </is>
      </c>
      <c r="C6" s="5" t="n">
        <v>1</v>
      </c>
      <c r="D6" s="5" t="inlineStr">
        <is>
          <t>FCC</t>
        </is>
      </c>
      <c r="E6" s="5" t="inlineStr">
        <is>
          <t>FCC</t>
        </is>
      </c>
      <c r="F6" s="6" t="n">
        <v>145</v>
      </c>
      <c r="G6" s="7" t="n">
        <v>0.569</v>
      </c>
      <c r="H6" s="8">
        <f>IF($G6&lt;&gt;"",$G6,SUMIFS(Assumptions!$K$4:$K$8,Assumptions!$J$4:$J$8,$C6))</f>
        <v/>
      </c>
      <c r="I6" s="7" t="n"/>
      <c r="J6" s="9">
        <f>IF($I6&lt;&gt;"",$I6,SUMIFS(Assumptions!$P$4:$P$93,Assumptions!$M$4:$M$93,$C6,Assumptions!$N$4:$N$93,$E6,Assumptions!$O$4:$O$93,"LVN"))</f>
        <v/>
      </c>
      <c r="K6" s="7" t="n"/>
      <c r="L6" s="9">
        <f>IF($K6&lt;&gt;"",$K6,SUMIFS(Assumptions!$P$4:$P$93,Assumptions!$M$4:$M$93,$C6,Assumptions!$N$4:$N$93,$E6,Assumptions!$O$4:$O$93,"HVN"))</f>
        <v/>
      </c>
      <c r="M6" s="9">
        <f>J6+L6</f>
        <v/>
      </c>
      <c r="N6" s="10">
        <f>$F6*$H6*$M6</f>
        <v/>
      </c>
    </row>
    <row r="7">
      <c r="A7" s="4" t="inlineStr">
        <is>
          <t>UNIT</t>
        </is>
      </c>
      <c r="B7" s="5" t="inlineStr">
        <is>
          <t>PHILLIPS_LINDEN</t>
        </is>
      </c>
      <c r="C7" s="5" t="n">
        <v>1</v>
      </c>
      <c r="D7" s="5" t="inlineStr">
        <is>
          <t>CCR</t>
        </is>
      </c>
      <c r="E7" s="5" t="inlineStr">
        <is>
          <t>REFORMER</t>
        </is>
      </c>
      <c r="F7" s="6" t="n">
        <v>37</v>
      </c>
      <c r="G7" s="7" t="n">
        <v>0.606</v>
      </c>
      <c r="H7" s="8">
        <f>IF($G7&lt;&gt;"",$G7,SUMIFS(Assumptions!$K$4:$K$8,Assumptions!$J$4:$J$8,$C7))</f>
        <v/>
      </c>
      <c r="I7" s="7" t="n"/>
      <c r="J7" s="9">
        <f>IF($I7&lt;&gt;"",$I7,SUMIFS(Assumptions!$P$4:$P$93,Assumptions!$M$4:$M$93,$C7,Assumptions!$N$4:$N$93,$E7,Assumptions!$O$4:$O$93,"LVN"))</f>
        <v/>
      </c>
      <c r="K7" s="7" t="n"/>
      <c r="L7" s="9">
        <f>IF($K7&lt;&gt;"",$K7,SUMIFS(Assumptions!$P$4:$P$93,Assumptions!$M$4:$M$93,$C7,Assumptions!$N$4:$N$93,$E7,Assumptions!$O$4:$O$93,"HVN"))</f>
        <v/>
      </c>
      <c r="M7" s="9">
        <f>J7+L7</f>
        <v/>
      </c>
      <c r="N7" s="10">
        <f>$F7*$H7*$M7</f>
        <v/>
      </c>
    </row>
    <row r="8">
      <c r="A8" s="4" t="inlineStr">
        <is>
          <t>UNIT</t>
        </is>
      </c>
      <c r="B8" s="5" t="inlineStr">
        <is>
          <t>PHILLIPS_LINDEN</t>
        </is>
      </c>
      <c r="C8" s="5" t="n">
        <v>1</v>
      </c>
      <c r="D8" s="5" t="inlineStr">
        <is>
          <t>ALKY</t>
        </is>
      </c>
      <c r="E8" s="5" t="inlineStr">
        <is>
          <t>ALKY</t>
        </is>
      </c>
      <c r="F8" s="6" t="n">
        <v>18.8</v>
      </c>
      <c r="G8" s="7" t="n">
        <v>0.988</v>
      </c>
      <c r="H8" s="8">
        <f>IF($G8&lt;&gt;"",$G8,SUMIFS(Assumptions!$K$4:$K$8,Assumptions!$J$4:$J$8,$C8))</f>
        <v/>
      </c>
      <c r="I8" s="7" t="n"/>
      <c r="J8" s="9">
        <f>IF($I8&lt;&gt;"",$I8,SUMIFS(Assumptions!$P$4:$P$93,Assumptions!$M$4:$M$93,$C8,Assumptions!$N$4:$N$93,$E8,Assumptions!$O$4:$O$93,"LVN"))</f>
        <v/>
      </c>
      <c r="K8" s="7" t="n"/>
      <c r="L8" s="9">
        <f>IF($K8&lt;&gt;"",$K8,SUMIFS(Assumptions!$P$4:$P$93,Assumptions!$M$4:$M$93,$C8,Assumptions!$N$4:$N$93,$E8,Assumptions!$O$4:$O$93,"HVN"))</f>
        <v/>
      </c>
      <c r="M8" s="9">
        <f>J8+L8</f>
        <v/>
      </c>
      <c r="N8" s="10">
        <f>$F8*$H8*$M8</f>
        <v/>
      </c>
    </row>
    <row r="9">
      <c r="A9" s="11" t="inlineStr">
        <is>
          <t>TOTAL</t>
        </is>
      </c>
      <c r="B9" s="12" t="inlineStr">
        <is>
          <t>PHILLIPS_LINDEN</t>
        </is>
      </c>
      <c r="C9" s="12" t="n">
        <v>1</v>
      </c>
      <c r="D9" s="12" t="inlineStr">
        <is>
          <t>NET NAPHTHA</t>
        </is>
      </c>
      <c r="N9" s="13">
        <f>SUM(N4:N8)</f>
        <v/>
      </c>
    </row>
    <row r="11">
      <c r="A11" s="1" t="inlineStr">
        <is>
          <t xml:space="preserve">  Monroe Energy Trainer  [MONROE_TRAINER]   —   Delta Airlines   —   PADD 1   —   crude 185 kbd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>
      <c r="A12" s="4" t="inlineStr">
        <is>
          <t>UNIT</t>
        </is>
      </c>
      <c r="B12" s="5" t="inlineStr">
        <is>
          <t>MONROE_TRAINER</t>
        </is>
      </c>
      <c r="C12" s="5" t="n">
        <v>1</v>
      </c>
      <c r="D12" s="5" t="inlineStr">
        <is>
          <t>CDU</t>
        </is>
      </c>
      <c r="E12" s="5" t="inlineStr">
        <is>
          <t>CDU</t>
        </is>
      </c>
      <c r="F12" s="6" t="n">
        <v>208</v>
      </c>
      <c r="G12" s="7" t="n">
        <v>0.8090000000000001</v>
      </c>
      <c r="H12" s="8">
        <f>IF($G12&lt;&gt;"",$G12,SUMIFS(Assumptions!$K$4:$K$8,Assumptions!$J$4:$J$8,$C12))</f>
        <v/>
      </c>
      <c r="I12" s="7" t="n"/>
      <c r="J12" s="9">
        <f>IF($I12&lt;&gt;"",$I12,SUMIFS(Assumptions!$P$4:$P$93,Assumptions!$M$4:$M$93,$C12,Assumptions!$N$4:$N$93,$E12,Assumptions!$O$4:$O$93,"LVN"))</f>
        <v/>
      </c>
      <c r="K12" s="7" t="n"/>
      <c r="L12" s="9">
        <f>IF($K12&lt;&gt;"",$K12,SUMIFS(Assumptions!$P$4:$P$93,Assumptions!$M$4:$M$93,$C12,Assumptions!$N$4:$N$93,$E12,Assumptions!$O$4:$O$93,"HVN"))</f>
        <v/>
      </c>
      <c r="M12" s="9">
        <f>J12+L12</f>
        <v/>
      </c>
      <c r="N12" s="10">
        <f>$F12*$H12*$M12</f>
        <v/>
      </c>
    </row>
    <row r="13">
      <c r="A13" s="4" t="inlineStr">
        <is>
          <t>UNIT</t>
        </is>
      </c>
      <c r="B13" s="5" t="inlineStr">
        <is>
          <t>MONROE_TRAINER</t>
        </is>
      </c>
      <c r="C13" s="5" t="n">
        <v>1</v>
      </c>
      <c r="D13" s="5" t="inlineStr">
        <is>
          <t>VDU</t>
        </is>
      </c>
      <c r="E13" s="5" t="inlineStr">
        <is>
          <t>VDU</t>
        </is>
      </c>
      <c r="F13" s="6" t="n">
        <v>73</v>
      </c>
      <c r="G13" s="7" t="n">
        <v>0.584</v>
      </c>
      <c r="H13" s="8">
        <f>IF($G13&lt;&gt;"",$G13,SUMIFS(Assumptions!$K$4:$K$8,Assumptions!$J$4:$J$8,$C13))</f>
        <v/>
      </c>
      <c r="I13" s="7" t="n"/>
      <c r="J13" s="9">
        <f>IF($I13&lt;&gt;"",$I13,SUMIFS(Assumptions!$P$4:$P$93,Assumptions!$M$4:$M$93,$C13,Assumptions!$N$4:$N$93,$E13,Assumptions!$O$4:$O$93,"LVN"))</f>
        <v/>
      </c>
      <c r="K13" s="7" t="n"/>
      <c r="L13" s="9">
        <f>IF($K13&lt;&gt;"",$K13,SUMIFS(Assumptions!$P$4:$P$93,Assumptions!$M$4:$M$93,$C13,Assumptions!$N$4:$N$93,$E13,Assumptions!$O$4:$O$93,"HVN"))</f>
        <v/>
      </c>
      <c r="M13" s="9">
        <f>J13+L13</f>
        <v/>
      </c>
      <c r="N13" s="10">
        <f>$F13*$H13*$M13</f>
        <v/>
      </c>
    </row>
    <row r="14">
      <c r="A14" s="4" t="inlineStr">
        <is>
          <t>UNIT</t>
        </is>
      </c>
      <c r="B14" s="5" t="inlineStr">
        <is>
          <t>MONROE_TRAINER</t>
        </is>
      </c>
      <c r="C14" s="5" t="n">
        <v>1</v>
      </c>
      <c r="D14" s="5" t="inlineStr">
        <is>
          <t>FCC</t>
        </is>
      </c>
      <c r="E14" s="5" t="inlineStr">
        <is>
          <t>FCC</t>
        </is>
      </c>
      <c r="F14" s="6" t="n">
        <v>53</v>
      </c>
      <c r="G14" s="7" t="n">
        <v>0.448</v>
      </c>
      <c r="H14" s="8">
        <f>IF($G14&lt;&gt;"",$G14,SUMIFS(Assumptions!$K$4:$K$8,Assumptions!$J$4:$J$8,$C14))</f>
        <v/>
      </c>
      <c r="I14" s="7" t="n"/>
      <c r="J14" s="9">
        <f>IF($I14&lt;&gt;"",$I14,SUMIFS(Assumptions!$P$4:$P$93,Assumptions!$M$4:$M$93,$C14,Assumptions!$N$4:$N$93,$E14,Assumptions!$O$4:$O$93,"LVN"))</f>
        <v/>
      </c>
      <c r="K14" s="7" t="n"/>
      <c r="L14" s="9">
        <f>IF($K14&lt;&gt;"",$K14,SUMIFS(Assumptions!$P$4:$P$93,Assumptions!$M$4:$M$93,$C14,Assumptions!$N$4:$N$93,$E14,Assumptions!$O$4:$O$93,"HVN"))</f>
        <v/>
      </c>
      <c r="M14" s="9">
        <f>J14+L14</f>
        <v/>
      </c>
      <c r="N14" s="10">
        <f>$F14*$H14*$M14</f>
        <v/>
      </c>
    </row>
    <row r="15">
      <c r="A15" s="4" t="inlineStr">
        <is>
          <t>UNIT</t>
        </is>
      </c>
      <c r="B15" s="5" t="inlineStr">
        <is>
          <t>MONROE_TRAINER</t>
        </is>
      </c>
      <c r="C15" s="5" t="n">
        <v>1</v>
      </c>
      <c r="D15" s="5" t="inlineStr">
        <is>
          <t>DHCU</t>
        </is>
      </c>
      <c r="E15" s="5" t="inlineStr">
        <is>
          <t>HYDROCRACKER</t>
        </is>
      </c>
      <c r="F15" s="6" t="n">
        <v>23</v>
      </c>
      <c r="G15" s="7" t="n">
        <v>1</v>
      </c>
      <c r="H15" s="8">
        <f>IF($G15&lt;&gt;"",$G15,SUMIFS(Assumptions!$K$4:$K$8,Assumptions!$J$4:$J$8,$C15))</f>
        <v/>
      </c>
      <c r="I15" s="7" t="n"/>
      <c r="J15" s="9">
        <f>IF($I15&lt;&gt;"",$I15,SUMIFS(Assumptions!$P$4:$P$93,Assumptions!$M$4:$M$93,$C15,Assumptions!$N$4:$N$93,$E15,Assumptions!$O$4:$O$93,"LVN"))</f>
        <v/>
      </c>
      <c r="K15" s="7" t="n"/>
      <c r="L15" s="9">
        <f>IF($K15&lt;&gt;"",$K15,SUMIFS(Assumptions!$P$4:$P$93,Assumptions!$M$4:$M$93,$C15,Assumptions!$N$4:$N$93,$E15,Assumptions!$O$4:$O$93,"HVN"))</f>
        <v/>
      </c>
      <c r="M15" s="9">
        <f>J15+L15</f>
        <v/>
      </c>
      <c r="N15" s="10">
        <f>$F15*$H15*$M15</f>
        <v/>
      </c>
    </row>
    <row r="16">
      <c r="A16" s="4" t="inlineStr">
        <is>
          <t>UNIT</t>
        </is>
      </c>
      <c r="B16" s="5" t="inlineStr">
        <is>
          <t>MONROE_TRAINER</t>
        </is>
      </c>
      <c r="C16" s="5" t="n">
        <v>1</v>
      </c>
      <c r="D16" s="5" t="inlineStr">
        <is>
          <t>CCR</t>
        </is>
      </c>
      <c r="E16" s="5" t="inlineStr">
        <is>
          <t>REFORMER</t>
        </is>
      </c>
      <c r="F16" s="6" t="n">
        <v>50</v>
      </c>
      <c r="G16" s="7" t="n">
        <v>0.956</v>
      </c>
      <c r="H16" s="8">
        <f>IF($G16&lt;&gt;"",$G16,SUMIFS(Assumptions!$K$4:$K$8,Assumptions!$J$4:$J$8,$C16))</f>
        <v/>
      </c>
      <c r="I16" s="7" t="n"/>
      <c r="J16" s="9">
        <f>IF($I16&lt;&gt;"",$I16,SUMIFS(Assumptions!$P$4:$P$93,Assumptions!$M$4:$M$93,$C16,Assumptions!$N$4:$N$93,$E16,Assumptions!$O$4:$O$93,"LVN"))</f>
        <v/>
      </c>
      <c r="K16" s="7" t="n"/>
      <c r="L16" s="9">
        <f>IF($K16&lt;&gt;"",$K16,SUMIFS(Assumptions!$P$4:$P$93,Assumptions!$M$4:$M$93,$C16,Assumptions!$N$4:$N$93,$E16,Assumptions!$O$4:$O$93,"HVN"))</f>
        <v/>
      </c>
      <c r="M16" s="9">
        <f>J16+L16</f>
        <v/>
      </c>
      <c r="N16" s="10">
        <f>$F16*$H16*$M16</f>
        <v/>
      </c>
    </row>
    <row r="17">
      <c r="A17" s="4" t="inlineStr">
        <is>
          <t>UNIT</t>
        </is>
      </c>
      <c r="B17" s="5" t="inlineStr">
        <is>
          <t>MONROE_TRAINER</t>
        </is>
      </c>
      <c r="C17" s="5" t="n">
        <v>1</v>
      </c>
      <c r="D17" s="5" t="inlineStr">
        <is>
          <t>ALKY</t>
        </is>
      </c>
      <c r="E17" s="5" t="inlineStr">
        <is>
          <t>ALKY</t>
        </is>
      </c>
      <c r="F17" s="6" t="n">
        <v>12</v>
      </c>
      <c r="G17" s="7" t="n">
        <v>0.411</v>
      </c>
      <c r="H17" s="8">
        <f>IF($G17&lt;&gt;"",$G17,SUMIFS(Assumptions!$K$4:$K$8,Assumptions!$J$4:$J$8,$C17))</f>
        <v/>
      </c>
      <c r="I17" s="7" t="n"/>
      <c r="J17" s="9">
        <f>IF($I17&lt;&gt;"",$I17,SUMIFS(Assumptions!$P$4:$P$93,Assumptions!$M$4:$M$93,$C17,Assumptions!$N$4:$N$93,$E17,Assumptions!$O$4:$O$93,"LVN"))</f>
        <v/>
      </c>
      <c r="K17" s="7" t="n"/>
      <c r="L17" s="9">
        <f>IF($K17&lt;&gt;"",$K17,SUMIFS(Assumptions!$P$4:$P$93,Assumptions!$M$4:$M$93,$C17,Assumptions!$N$4:$N$93,$E17,Assumptions!$O$4:$O$93,"HVN"))</f>
        <v/>
      </c>
      <c r="M17" s="9">
        <f>J17+L17</f>
        <v/>
      </c>
      <c r="N17" s="10">
        <f>$F17*$H17*$M17</f>
        <v/>
      </c>
    </row>
    <row r="18">
      <c r="A18" s="11" t="inlineStr">
        <is>
          <t>TOTAL</t>
        </is>
      </c>
      <c r="B18" s="12" t="inlineStr">
        <is>
          <t>MONROE_TRAINER</t>
        </is>
      </c>
      <c r="C18" s="12" t="n">
        <v>1</v>
      </c>
      <c r="D18" s="12" t="inlineStr">
        <is>
          <t>NET NAPHTHA</t>
        </is>
      </c>
      <c r="N18" s="13">
        <f>SUM(N12:N17)</f>
        <v/>
      </c>
    </row>
    <row r="20">
      <c r="A20" s="1" t="inlineStr">
        <is>
          <t xml:space="preserve">  PBF Energy Company LLC Delaware City  [PBF_DELAWARE_CITY]   —   PBF Energy Company LLC   —   PADD 1   —   crude 180 kbd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4" t="inlineStr">
        <is>
          <t>UNIT</t>
        </is>
      </c>
      <c r="B21" s="5" t="inlineStr">
        <is>
          <t>PBF_DELAWARE_CITY</t>
        </is>
      </c>
      <c r="C21" s="5" t="n">
        <v>1</v>
      </c>
      <c r="D21" s="5" t="inlineStr">
        <is>
          <t>CRUDE-EST</t>
        </is>
      </c>
      <c r="E21" s="5" t="inlineStr">
        <is>
          <t>est. yield</t>
        </is>
      </c>
      <c r="F21" s="14">
        <f>SUMIFS(Data!$G$3:$G$125,Data!$A$3:$A$125,$B21)</f>
        <v/>
      </c>
      <c r="G21" s="7" t="n"/>
      <c r="H21" s="8">
        <f>IF($G21&lt;&gt;"",$G21,SUMIFS(Assumptions!$K$4:$K$8,Assumptions!$J$4:$J$8,$C21))</f>
        <v/>
      </c>
      <c r="I21" s="7" t="n"/>
      <c r="J21" s="9">
        <f>IF($I21&lt;&gt;"",$I21,SUMIFS(Data!$N$3:$N$125,Data!$A$3:$A$125,$B21)*Assumptions!$S$4)</f>
        <v/>
      </c>
      <c r="K21" s="7" t="n"/>
      <c r="L21" s="9">
        <f>IF($K21&lt;&gt;"",$K21,SUMIFS(Data!$N$3:$N$125,Data!$A$3:$A$125,$B21)*Assumptions!$S$5)</f>
        <v/>
      </c>
      <c r="M21" s="9">
        <f>J21+L21</f>
        <v/>
      </c>
      <c r="N21" s="10">
        <f>$F21*$H21*$M21</f>
        <v/>
      </c>
    </row>
    <row r="22">
      <c r="A22" s="11" t="inlineStr">
        <is>
          <t>TOTAL</t>
        </is>
      </c>
      <c r="B22" s="12" t="inlineStr">
        <is>
          <t>PBF_DELAWARE_CITY</t>
        </is>
      </c>
      <c r="C22" s="12" t="n">
        <v>1</v>
      </c>
      <c r="D22" s="12" t="inlineStr">
        <is>
          <t>NET NAPHTHA</t>
        </is>
      </c>
      <c r="N22" s="13">
        <f>SUM(N21:N21)</f>
        <v/>
      </c>
    </row>
    <row r="24">
      <c r="A24" s="1" t="inlineStr">
        <is>
          <t xml:space="preserve">  PBF Energy Company LLC Paulsboro  [PBF_PAULSBORO]   —   PBF Energy Company LLC   —   PADD 1   —   crude 100 kbd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4" t="inlineStr">
        <is>
          <t>UNIT</t>
        </is>
      </c>
      <c r="B25" s="5" t="inlineStr">
        <is>
          <t>PBF_PAULSBORO</t>
        </is>
      </c>
      <c r="C25" s="5" t="n">
        <v>1</v>
      </c>
      <c r="D25" s="5" t="inlineStr">
        <is>
          <t>CRUDE-EST</t>
        </is>
      </c>
      <c r="E25" s="5" t="inlineStr">
        <is>
          <t>est. yield</t>
        </is>
      </c>
      <c r="F25" s="14">
        <f>SUMIFS(Data!$G$3:$G$125,Data!$A$3:$A$125,$B25)</f>
        <v/>
      </c>
      <c r="G25" s="7" t="n"/>
      <c r="H25" s="8">
        <f>IF($G25&lt;&gt;"",$G25,SUMIFS(Assumptions!$K$4:$K$8,Assumptions!$J$4:$J$8,$C25))</f>
        <v/>
      </c>
      <c r="I25" s="7" t="n"/>
      <c r="J25" s="9">
        <f>IF($I25&lt;&gt;"",$I25,SUMIFS(Data!$N$3:$N$125,Data!$A$3:$A$125,$B25)*Assumptions!$S$4)</f>
        <v/>
      </c>
      <c r="K25" s="7" t="n"/>
      <c r="L25" s="9">
        <f>IF($K25&lt;&gt;"",$K25,SUMIFS(Data!$N$3:$N$125,Data!$A$3:$A$125,$B25)*Assumptions!$S$5)</f>
        <v/>
      </c>
      <c r="M25" s="9">
        <f>J25+L25</f>
        <v/>
      </c>
      <c r="N25" s="10">
        <f>$F25*$H25*$M25</f>
        <v/>
      </c>
    </row>
    <row r="26">
      <c r="A26" s="11" t="inlineStr">
        <is>
          <t>TOTAL</t>
        </is>
      </c>
      <c r="B26" s="12" t="inlineStr">
        <is>
          <t>PBF_PAULSBORO</t>
        </is>
      </c>
      <c r="C26" s="12" t="n">
        <v>1</v>
      </c>
      <c r="D26" s="12" t="inlineStr">
        <is>
          <t>NET NAPHTHA</t>
        </is>
      </c>
      <c r="N26" s="13">
        <f>SUM(N25:N25)</f>
        <v/>
      </c>
    </row>
    <row r="28">
      <c r="A28" s="1" t="inlineStr">
        <is>
          <t xml:space="preserve">  United Refining Warren  [UNITED_WARREN]   —   United Refining   —   PADD 1   —   crude 70 kbd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4" t="inlineStr">
        <is>
          <t>UNIT</t>
        </is>
      </c>
      <c r="B29" s="5" t="inlineStr">
        <is>
          <t>UNITED_WARREN</t>
        </is>
      </c>
      <c r="C29" s="5" t="n">
        <v>1</v>
      </c>
      <c r="D29" s="5" t="inlineStr">
        <is>
          <t>CDU</t>
        </is>
      </c>
      <c r="E29" s="5" t="inlineStr">
        <is>
          <t>CDU</t>
        </is>
      </c>
      <c r="F29" s="6" t="n">
        <v>70</v>
      </c>
      <c r="G29" s="7" t="n">
        <v>0.869</v>
      </c>
      <c r="H29" s="8">
        <f>IF($G29&lt;&gt;"",$G29,SUMIFS(Assumptions!$K$4:$K$8,Assumptions!$J$4:$J$8,$C29))</f>
        <v/>
      </c>
      <c r="I29" s="7" t="n"/>
      <c r="J29" s="9">
        <f>IF($I29&lt;&gt;"",$I29,SUMIFS(Assumptions!$P$4:$P$93,Assumptions!$M$4:$M$93,$C29,Assumptions!$N$4:$N$93,$E29,Assumptions!$O$4:$O$93,"LVN"))</f>
        <v/>
      </c>
      <c r="K29" s="7" t="n"/>
      <c r="L29" s="9">
        <f>IF($K29&lt;&gt;"",$K29,SUMIFS(Assumptions!$P$4:$P$93,Assumptions!$M$4:$M$93,$C29,Assumptions!$N$4:$N$93,$E29,Assumptions!$O$4:$O$93,"HVN"))</f>
        <v/>
      </c>
      <c r="M29" s="9">
        <f>J29+L29</f>
        <v/>
      </c>
      <c r="N29" s="10">
        <f>$F29*$H29*$M29</f>
        <v/>
      </c>
    </row>
    <row r="30">
      <c r="A30" s="4" t="inlineStr">
        <is>
          <t>UNIT</t>
        </is>
      </c>
      <c r="B30" s="5" t="inlineStr">
        <is>
          <t>UNITED_WARREN</t>
        </is>
      </c>
      <c r="C30" s="5" t="n">
        <v>1</v>
      </c>
      <c r="D30" s="5" t="inlineStr">
        <is>
          <t>VDU</t>
        </is>
      </c>
      <c r="E30" s="5" t="inlineStr">
        <is>
          <t>VDU</t>
        </is>
      </c>
      <c r="F30" s="6" t="n">
        <v>40</v>
      </c>
      <c r="G30" s="7" t="n">
        <v>0.752</v>
      </c>
      <c r="H30" s="8">
        <f>IF($G30&lt;&gt;"",$G30,SUMIFS(Assumptions!$K$4:$K$8,Assumptions!$J$4:$J$8,$C30))</f>
        <v/>
      </c>
      <c r="I30" s="7" t="n"/>
      <c r="J30" s="9">
        <f>IF($I30&lt;&gt;"",$I30,SUMIFS(Assumptions!$P$4:$P$93,Assumptions!$M$4:$M$93,$C30,Assumptions!$N$4:$N$93,$E30,Assumptions!$O$4:$O$93,"LVN"))</f>
        <v/>
      </c>
      <c r="K30" s="7" t="n"/>
      <c r="L30" s="9">
        <f>IF($K30&lt;&gt;"",$K30,SUMIFS(Assumptions!$P$4:$P$93,Assumptions!$M$4:$M$93,$C30,Assumptions!$N$4:$N$93,$E30,Assumptions!$O$4:$O$93,"HVN"))</f>
        <v/>
      </c>
      <c r="M30" s="9">
        <f>J30+L30</f>
        <v/>
      </c>
      <c r="N30" s="10">
        <f>$F30*$H30*$M30</f>
        <v/>
      </c>
    </row>
    <row r="31">
      <c r="A31" s="4" t="inlineStr">
        <is>
          <t>UNIT</t>
        </is>
      </c>
      <c r="B31" s="5" t="inlineStr">
        <is>
          <t>UNITED_WARREN</t>
        </is>
      </c>
      <c r="C31" s="5" t="n">
        <v>1</v>
      </c>
      <c r="D31" s="5" t="inlineStr">
        <is>
          <t>FCC</t>
        </is>
      </c>
      <c r="E31" s="5" t="inlineStr">
        <is>
          <t>FCC</t>
        </is>
      </c>
      <c r="F31" s="6" t="n">
        <v>25</v>
      </c>
      <c r="G31" s="7" t="n">
        <v>0.961</v>
      </c>
      <c r="H31" s="8">
        <f>IF($G31&lt;&gt;"",$G31,SUMIFS(Assumptions!$K$4:$K$8,Assumptions!$J$4:$J$8,$C31))</f>
        <v/>
      </c>
      <c r="I31" s="7" t="n"/>
      <c r="J31" s="9">
        <f>IF($I31&lt;&gt;"",$I31,SUMIFS(Assumptions!$P$4:$P$93,Assumptions!$M$4:$M$93,$C31,Assumptions!$N$4:$N$93,$E31,Assumptions!$O$4:$O$93,"LVN"))</f>
        <v/>
      </c>
      <c r="K31" s="7" t="n"/>
      <c r="L31" s="9">
        <f>IF($K31&lt;&gt;"",$K31,SUMIFS(Assumptions!$P$4:$P$93,Assumptions!$M$4:$M$93,$C31,Assumptions!$N$4:$N$93,$E31,Assumptions!$O$4:$O$93,"HVN"))</f>
        <v/>
      </c>
      <c r="M31" s="9">
        <f>J31+L31</f>
        <v/>
      </c>
      <c r="N31" s="10">
        <f>$F31*$H31*$M31</f>
        <v/>
      </c>
    </row>
    <row r="32">
      <c r="A32" s="4" t="inlineStr">
        <is>
          <t>UNIT</t>
        </is>
      </c>
      <c r="B32" s="5" t="inlineStr">
        <is>
          <t>UNITED_WARREN</t>
        </is>
      </c>
      <c r="C32" s="5" t="n">
        <v>1</v>
      </c>
      <c r="D32" s="5" t="inlineStr">
        <is>
          <t>REF</t>
        </is>
      </c>
      <c r="E32" s="5" t="inlineStr">
        <is>
          <t>REFORMER</t>
        </is>
      </c>
      <c r="F32" s="6" t="n">
        <v>14</v>
      </c>
      <c r="G32" s="7" t="n">
        <v>0.964</v>
      </c>
      <c r="H32" s="8">
        <f>IF($G32&lt;&gt;"",$G32,SUMIFS(Assumptions!$K$4:$K$8,Assumptions!$J$4:$J$8,$C32))</f>
        <v/>
      </c>
      <c r="I32" s="7" t="n"/>
      <c r="J32" s="9">
        <f>IF($I32&lt;&gt;"",$I32,SUMIFS(Assumptions!$P$4:$P$93,Assumptions!$M$4:$M$93,$C32,Assumptions!$N$4:$N$93,$E32,Assumptions!$O$4:$O$93,"LVN"))</f>
        <v/>
      </c>
      <c r="K32" s="7" t="n"/>
      <c r="L32" s="9">
        <f>IF($K32&lt;&gt;"",$K32,SUMIFS(Assumptions!$P$4:$P$93,Assumptions!$M$4:$M$93,$C32,Assumptions!$N$4:$N$93,$E32,Assumptions!$O$4:$O$93,"HVN"))</f>
        <v/>
      </c>
      <c r="M32" s="9">
        <f>J32+L32</f>
        <v/>
      </c>
      <c r="N32" s="10">
        <f>$F32*$H32*$M32</f>
        <v/>
      </c>
    </row>
    <row r="33">
      <c r="A33" s="4" t="inlineStr">
        <is>
          <t>UNIT</t>
        </is>
      </c>
      <c r="B33" s="5" t="inlineStr">
        <is>
          <t>UNITED_WARREN</t>
        </is>
      </c>
      <c r="C33" s="5" t="n">
        <v>1</v>
      </c>
      <c r="D33" s="5" t="inlineStr">
        <is>
          <t>ISOM</t>
        </is>
      </c>
      <c r="E33" s="5" t="inlineStr">
        <is>
          <t>ISOM</t>
        </is>
      </c>
      <c r="F33" s="6" t="n">
        <v>8.5</v>
      </c>
      <c r="G33" s="7" t="n">
        <v>0.514</v>
      </c>
      <c r="H33" s="8">
        <f>IF($G33&lt;&gt;"",$G33,SUMIFS(Assumptions!$K$4:$K$8,Assumptions!$J$4:$J$8,$C33))</f>
        <v/>
      </c>
      <c r="I33" s="7" t="n"/>
      <c r="J33" s="9">
        <f>IF($I33&lt;&gt;"",$I33,SUMIFS(Assumptions!$P$4:$P$93,Assumptions!$M$4:$M$93,$C33,Assumptions!$N$4:$N$93,$E33,Assumptions!$O$4:$O$93,"LVN"))</f>
        <v/>
      </c>
      <c r="K33" s="7" t="n"/>
      <c r="L33" s="9">
        <f>IF($K33&lt;&gt;"",$K33,SUMIFS(Assumptions!$P$4:$P$93,Assumptions!$M$4:$M$93,$C33,Assumptions!$N$4:$N$93,$E33,Assumptions!$O$4:$O$93,"HVN"))</f>
        <v/>
      </c>
      <c r="M33" s="9">
        <f>J33+L33</f>
        <v/>
      </c>
      <c r="N33" s="10">
        <f>$F33*$H33*$M33</f>
        <v/>
      </c>
    </row>
    <row r="34">
      <c r="A34" s="4" t="inlineStr">
        <is>
          <t>UNIT</t>
        </is>
      </c>
      <c r="B34" s="5" t="inlineStr">
        <is>
          <t>UNITED_WARREN</t>
        </is>
      </c>
      <c r="C34" s="5" t="n">
        <v>1</v>
      </c>
      <c r="D34" s="5" t="inlineStr">
        <is>
          <t>ALKY</t>
        </is>
      </c>
      <c r="E34" s="5" t="inlineStr">
        <is>
          <t>ALKY</t>
        </is>
      </c>
      <c r="F34" s="6" t="n">
        <v>4.5</v>
      </c>
      <c r="G34" s="7" t="n">
        <v>1.1</v>
      </c>
      <c r="H34" s="8">
        <f>IF($G34&lt;&gt;"",$G34,SUMIFS(Assumptions!$K$4:$K$8,Assumptions!$J$4:$J$8,$C34))</f>
        <v/>
      </c>
      <c r="I34" s="7" t="n"/>
      <c r="J34" s="9">
        <f>IF($I34&lt;&gt;"",$I34,SUMIFS(Assumptions!$P$4:$P$93,Assumptions!$M$4:$M$93,$C34,Assumptions!$N$4:$N$93,$E34,Assumptions!$O$4:$O$93,"LVN"))</f>
        <v/>
      </c>
      <c r="K34" s="7" t="n"/>
      <c r="L34" s="9">
        <f>IF($K34&lt;&gt;"",$K34,SUMIFS(Assumptions!$P$4:$P$93,Assumptions!$M$4:$M$93,$C34,Assumptions!$N$4:$N$93,$E34,Assumptions!$O$4:$O$93,"HVN"))</f>
        <v/>
      </c>
      <c r="M34" s="9">
        <f>J34+L34</f>
        <v/>
      </c>
      <c r="N34" s="10">
        <f>$F34*$H34*$M34</f>
        <v/>
      </c>
    </row>
    <row r="35">
      <c r="A35" s="11" t="inlineStr">
        <is>
          <t>TOTAL</t>
        </is>
      </c>
      <c r="B35" s="12" t="inlineStr">
        <is>
          <t>UNITED_WARREN</t>
        </is>
      </c>
      <c r="C35" s="12" t="n">
        <v>1</v>
      </c>
      <c r="D35" s="12" t="inlineStr">
        <is>
          <t>NET NAPHTHA</t>
        </is>
      </c>
      <c r="N35" s="13">
        <f>SUM(N29:N34)</f>
        <v/>
      </c>
    </row>
    <row r="37">
      <c r="A37" s="1" t="inlineStr">
        <is>
          <t xml:space="preserve">  Ergon Newell  [ERGON_NEWELL]   —   Ergon   —   PADD 1   —   crude 22 kbd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4" t="inlineStr">
        <is>
          <t>UNIT</t>
        </is>
      </c>
      <c r="B38" s="5" t="inlineStr">
        <is>
          <t>ERGON_NEWELL</t>
        </is>
      </c>
      <c r="C38" s="5" t="n">
        <v>1</v>
      </c>
      <c r="D38" s="5" t="inlineStr">
        <is>
          <t>CDU</t>
        </is>
      </c>
      <c r="E38" s="5" t="inlineStr">
        <is>
          <t>CDU</t>
        </is>
      </c>
      <c r="F38" s="6" t="n">
        <v>23</v>
      </c>
      <c r="G38" s="7" t="n"/>
      <c r="H38" s="8">
        <f>IF($G38&lt;&gt;"",$G38,SUMIFS(Assumptions!$K$4:$K$8,Assumptions!$J$4:$J$8,$C38))</f>
        <v/>
      </c>
      <c r="I38" s="7" t="n"/>
      <c r="J38" s="9">
        <f>IF($I38&lt;&gt;"",$I38,SUMIFS(Assumptions!$P$4:$P$93,Assumptions!$M$4:$M$93,$C38,Assumptions!$N$4:$N$93,$E38,Assumptions!$O$4:$O$93,"LVN"))</f>
        <v/>
      </c>
      <c r="K38" s="7" t="n"/>
      <c r="L38" s="9">
        <f>IF($K38&lt;&gt;"",$K38,SUMIFS(Assumptions!$P$4:$P$93,Assumptions!$M$4:$M$93,$C38,Assumptions!$N$4:$N$93,$E38,Assumptions!$O$4:$O$93,"HVN"))</f>
        <v/>
      </c>
      <c r="M38" s="9">
        <f>J38+L38</f>
        <v/>
      </c>
      <c r="N38" s="10">
        <f>$F38*$H38*$M38</f>
        <v/>
      </c>
    </row>
    <row r="39">
      <c r="A39" s="4" t="inlineStr">
        <is>
          <t>UNIT</t>
        </is>
      </c>
      <c r="B39" s="5" t="inlineStr">
        <is>
          <t>ERGON_NEWELL</t>
        </is>
      </c>
      <c r="C39" s="5" t="n">
        <v>1</v>
      </c>
      <c r="D39" s="5" t="inlineStr">
        <is>
          <t>VDU</t>
        </is>
      </c>
      <c r="E39" s="5" t="inlineStr">
        <is>
          <t>VDU</t>
        </is>
      </c>
      <c r="F39" s="6" t="n">
        <v>8.6</v>
      </c>
      <c r="G39" s="7" t="n"/>
      <c r="H39" s="8">
        <f>IF($G39&lt;&gt;"",$G39,SUMIFS(Assumptions!$K$4:$K$8,Assumptions!$J$4:$J$8,$C39))</f>
        <v/>
      </c>
      <c r="I39" s="7" t="n"/>
      <c r="J39" s="9">
        <f>IF($I39&lt;&gt;"",$I39,SUMIFS(Assumptions!$P$4:$P$93,Assumptions!$M$4:$M$93,$C39,Assumptions!$N$4:$N$93,$E39,Assumptions!$O$4:$O$93,"LVN"))</f>
        <v/>
      </c>
      <c r="K39" s="7" t="n"/>
      <c r="L39" s="9">
        <f>IF($K39&lt;&gt;"",$K39,SUMIFS(Assumptions!$P$4:$P$93,Assumptions!$M$4:$M$93,$C39,Assumptions!$N$4:$N$93,$E39,Assumptions!$O$4:$O$93,"HVN"))</f>
        <v/>
      </c>
      <c r="M39" s="9">
        <f>J39+L39</f>
        <v/>
      </c>
      <c r="N39" s="10">
        <f>$F39*$H39*$M39</f>
        <v/>
      </c>
    </row>
    <row r="40">
      <c r="A40" s="4" t="inlineStr">
        <is>
          <t>UNIT</t>
        </is>
      </c>
      <c r="B40" s="5" t="inlineStr">
        <is>
          <t>ERGON_NEWELL</t>
        </is>
      </c>
      <c r="C40" s="5" t="n">
        <v>1</v>
      </c>
      <c r="D40" s="5" t="inlineStr">
        <is>
          <t>CCR</t>
        </is>
      </c>
      <c r="E40" s="5" t="inlineStr">
        <is>
          <t>REFORMER</t>
        </is>
      </c>
      <c r="F40" s="6" t="n">
        <v>4.7</v>
      </c>
      <c r="G40" s="7" t="n"/>
      <c r="H40" s="8">
        <f>IF($G40&lt;&gt;"",$G40,SUMIFS(Assumptions!$K$4:$K$8,Assumptions!$J$4:$J$8,$C40))</f>
        <v/>
      </c>
      <c r="I40" s="7" t="n"/>
      <c r="J40" s="9">
        <f>IF($I40&lt;&gt;"",$I40,SUMIFS(Assumptions!$P$4:$P$93,Assumptions!$M$4:$M$93,$C40,Assumptions!$N$4:$N$93,$E40,Assumptions!$O$4:$O$93,"LVN"))</f>
        <v/>
      </c>
      <c r="K40" s="7" t="n"/>
      <c r="L40" s="9">
        <f>IF($K40&lt;&gt;"",$K40,SUMIFS(Assumptions!$P$4:$P$93,Assumptions!$M$4:$M$93,$C40,Assumptions!$N$4:$N$93,$E40,Assumptions!$O$4:$O$93,"HVN"))</f>
        <v/>
      </c>
      <c r="M40" s="9">
        <f>J40+L40</f>
        <v/>
      </c>
      <c r="N40" s="10">
        <f>$F40*$H40*$M40</f>
        <v/>
      </c>
    </row>
    <row r="41">
      <c r="A41" s="11" t="inlineStr">
        <is>
          <t>TOTAL</t>
        </is>
      </c>
      <c r="B41" s="12" t="inlineStr">
        <is>
          <t>ERGON_NEWELL</t>
        </is>
      </c>
      <c r="C41" s="12" t="n">
        <v>1</v>
      </c>
      <c r="D41" s="12" t="inlineStr">
        <is>
          <t>NET NAPHTHA</t>
        </is>
      </c>
      <c r="N41" s="13">
        <f>SUM(N38:N40)</f>
        <v/>
      </c>
    </row>
    <row r="43">
      <c r="A43" s="1" t="inlineStr">
        <is>
          <t xml:space="preserve">  American Refining Group Bradford  [AMERICAN_BRADFORD]   —   American Refining Group   —   PADD 1   —   crude 12 kbd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4" t="inlineStr">
        <is>
          <t>UNIT</t>
        </is>
      </c>
      <c r="B44" s="5" t="inlineStr">
        <is>
          <t>AMERICAN_BRADFORD</t>
        </is>
      </c>
      <c r="C44" s="5" t="n">
        <v>1</v>
      </c>
      <c r="D44" s="5" t="inlineStr">
        <is>
          <t>CDU</t>
        </is>
      </c>
      <c r="E44" s="5" t="inlineStr">
        <is>
          <t>CDU</t>
        </is>
      </c>
      <c r="F44" s="6" t="n">
        <v>11.8</v>
      </c>
      <c r="G44" s="7" t="n"/>
      <c r="H44" s="8">
        <f>IF($G44&lt;&gt;"",$G44,SUMIFS(Assumptions!$K$4:$K$8,Assumptions!$J$4:$J$8,$C44))</f>
        <v/>
      </c>
      <c r="I44" s="7" t="n"/>
      <c r="J44" s="9">
        <f>IF($I44&lt;&gt;"",$I44,SUMIFS(Assumptions!$P$4:$P$93,Assumptions!$M$4:$M$93,$C44,Assumptions!$N$4:$N$93,$E44,Assumptions!$O$4:$O$93,"LVN"))</f>
        <v/>
      </c>
      <c r="K44" s="7" t="n"/>
      <c r="L44" s="9">
        <f>IF($K44&lt;&gt;"",$K44,SUMIFS(Assumptions!$P$4:$P$93,Assumptions!$M$4:$M$93,$C44,Assumptions!$N$4:$N$93,$E44,Assumptions!$O$4:$O$93,"HVN"))</f>
        <v/>
      </c>
      <c r="M44" s="9">
        <f>J44+L44</f>
        <v/>
      </c>
      <c r="N44" s="10">
        <f>$F44*$H44*$M44</f>
        <v/>
      </c>
    </row>
    <row r="45">
      <c r="A45" s="4" t="inlineStr">
        <is>
          <t>UNIT</t>
        </is>
      </c>
      <c r="B45" s="5" t="inlineStr">
        <is>
          <t>AMERICAN_BRADFORD</t>
        </is>
      </c>
      <c r="C45" s="5" t="n">
        <v>1</v>
      </c>
      <c r="D45" s="5" t="inlineStr">
        <is>
          <t>REF</t>
        </is>
      </c>
      <c r="E45" s="5" t="inlineStr">
        <is>
          <t>REFORMER</t>
        </is>
      </c>
      <c r="F45" s="6" t="n">
        <v>2.2</v>
      </c>
      <c r="G45" s="7" t="n"/>
      <c r="H45" s="8">
        <f>IF($G45&lt;&gt;"",$G45,SUMIFS(Assumptions!$K$4:$K$8,Assumptions!$J$4:$J$8,$C45))</f>
        <v/>
      </c>
      <c r="I45" s="7" t="n"/>
      <c r="J45" s="9">
        <f>IF($I45&lt;&gt;"",$I45,SUMIFS(Assumptions!$P$4:$P$93,Assumptions!$M$4:$M$93,$C45,Assumptions!$N$4:$N$93,$E45,Assumptions!$O$4:$O$93,"LVN"))</f>
        <v/>
      </c>
      <c r="K45" s="7" t="n"/>
      <c r="L45" s="9">
        <f>IF($K45&lt;&gt;"",$K45,SUMIFS(Assumptions!$P$4:$P$93,Assumptions!$M$4:$M$93,$C45,Assumptions!$N$4:$N$93,$E45,Assumptions!$O$4:$O$93,"HVN"))</f>
        <v/>
      </c>
      <c r="M45" s="9">
        <f>J45+L45</f>
        <v/>
      </c>
      <c r="N45" s="10">
        <f>$F45*$H45*$M45</f>
        <v/>
      </c>
    </row>
    <row r="46">
      <c r="A46" s="4" t="inlineStr">
        <is>
          <t>UNIT</t>
        </is>
      </c>
      <c r="B46" s="5" t="inlineStr">
        <is>
          <t>AMERICAN_BRADFORD</t>
        </is>
      </c>
      <c r="C46" s="5" t="n">
        <v>1</v>
      </c>
      <c r="D46" s="5" t="inlineStr">
        <is>
          <t>ISOM</t>
        </is>
      </c>
      <c r="E46" s="5" t="inlineStr">
        <is>
          <t>ISOM</t>
        </is>
      </c>
      <c r="F46" s="6" t="n">
        <v>0.78</v>
      </c>
      <c r="G46" s="7" t="n"/>
      <c r="H46" s="8">
        <f>IF($G46&lt;&gt;"",$G46,SUMIFS(Assumptions!$K$4:$K$8,Assumptions!$J$4:$J$8,$C46))</f>
        <v/>
      </c>
      <c r="I46" s="7" t="n"/>
      <c r="J46" s="9">
        <f>IF($I46&lt;&gt;"",$I46,SUMIFS(Assumptions!$P$4:$P$93,Assumptions!$M$4:$M$93,$C46,Assumptions!$N$4:$N$93,$E46,Assumptions!$O$4:$O$93,"LVN"))</f>
        <v/>
      </c>
      <c r="K46" s="7" t="n"/>
      <c r="L46" s="9">
        <f>IF($K46&lt;&gt;"",$K46,SUMIFS(Assumptions!$P$4:$P$93,Assumptions!$M$4:$M$93,$C46,Assumptions!$N$4:$N$93,$E46,Assumptions!$O$4:$O$93,"HVN"))</f>
        <v/>
      </c>
      <c r="M46" s="9">
        <f>J46+L46</f>
        <v/>
      </c>
      <c r="N46" s="10">
        <f>$F46*$H46*$M46</f>
        <v/>
      </c>
    </row>
    <row r="47">
      <c r="A47" s="11" t="inlineStr">
        <is>
          <t>TOTAL</t>
        </is>
      </c>
      <c r="B47" s="12" t="inlineStr">
        <is>
          <t>AMERICAN_BRADFORD</t>
        </is>
      </c>
      <c r="C47" s="12" t="n">
        <v>1</v>
      </c>
      <c r="D47" s="12" t="inlineStr">
        <is>
          <t>NET NAPHTHA</t>
        </is>
      </c>
      <c r="N47" s="13">
        <f>SUM(N44:N46)</f>
        <v/>
      </c>
    </row>
    <row r="49">
      <c r="A49" s="1" t="inlineStr">
        <is>
          <t xml:space="preserve">  BP Whiting  [BP_WHITING]   —   BP   —   PADD 2   —   crude 435 kbd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</row>
    <row r="50">
      <c r="A50" s="4" t="inlineStr">
        <is>
          <t>UNIT</t>
        </is>
      </c>
      <c r="B50" s="5" t="inlineStr">
        <is>
          <t>BP_WHITING</t>
        </is>
      </c>
      <c r="C50" s="5" t="n">
        <v>2</v>
      </c>
      <c r="D50" s="5" t="inlineStr">
        <is>
          <t>CDU</t>
        </is>
      </c>
      <c r="E50" s="5" t="inlineStr">
        <is>
          <t>CDU</t>
        </is>
      </c>
      <c r="F50" s="6" t="n">
        <v>440</v>
      </c>
      <c r="G50" s="7" t="n">
        <v>0.821</v>
      </c>
      <c r="H50" s="8">
        <f>IF($G50&lt;&gt;"",$G50,SUMIFS(Assumptions!$K$4:$K$8,Assumptions!$J$4:$J$8,$C50))</f>
        <v/>
      </c>
      <c r="I50" s="7" t="n"/>
      <c r="J50" s="9">
        <f>IF($I50&lt;&gt;"",$I50,SUMIFS(Assumptions!$P$4:$P$93,Assumptions!$M$4:$M$93,$C50,Assumptions!$N$4:$N$93,$E50,Assumptions!$O$4:$O$93,"LVN"))</f>
        <v/>
      </c>
      <c r="K50" s="7" t="n"/>
      <c r="L50" s="9">
        <f>IF($K50&lt;&gt;"",$K50,SUMIFS(Assumptions!$P$4:$P$93,Assumptions!$M$4:$M$93,$C50,Assumptions!$N$4:$N$93,$E50,Assumptions!$O$4:$O$93,"HVN"))</f>
        <v/>
      </c>
      <c r="M50" s="9">
        <f>J50+L50</f>
        <v/>
      </c>
      <c r="N50" s="10">
        <f>$F50*$H50*$M50</f>
        <v/>
      </c>
    </row>
    <row r="51">
      <c r="A51" s="4" t="inlineStr">
        <is>
          <t>UNIT</t>
        </is>
      </c>
      <c r="B51" s="5" t="inlineStr">
        <is>
          <t>BP_WHITING</t>
        </is>
      </c>
      <c r="C51" s="5" t="n">
        <v>2</v>
      </c>
      <c r="D51" s="5" t="inlineStr">
        <is>
          <t>VDU</t>
        </is>
      </c>
      <c r="E51" s="5" t="inlineStr">
        <is>
          <t>VDU</t>
        </is>
      </c>
      <c r="F51" s="6" t="n">
        <v>276.2</v>
      </c>
      <c r="G51" s="7" t="n">
        <v>0.61</v>
      </c>
      <c r="H51" s="8">
        <f>IF($G51&lt;&gt;"",$G51,SUMIFS(Assumptions!$K$4:$K$8,Assumptions!$J$4:$J$8,$C51))</f>
        <v/>
      </c>
      <c r="I51" s="7" t="n"/>
      <c r="J51" s="9">
        <f>IF($I51&lt;&gt;"",$I51,SUMIFS(Assumptions!$P$4:$P$93,Assumptions!$M$4:$M$93,$C51,Assumptions!$N$4:$N$93,$E51,Assumptions!$O$4:$O$93,"LVN"))</f>
        <v/>
      </c>
      <c r="K51" s="7" t="n"/>
      <c r="L51" s="9">
        <f>IF($K51&lt;&gt;"",$K51,SUMIFS(Assumptions!$P$4:$P$93,Assumptions!$M$4:$M$93,$C51,Assumptions!$N$4:$N$93,$E51,Assumptions!$O$4:$O$93,"HVN"))</f>
        <v/>
      </c>
      <c r="M51" s="9">
        <f>J51+L51</f>
        <v/>
      </c>
      <c r="N51" s="10">
        <f>$F51*$H51*$M51</f>
        <v/>
      </c>
    </row>
    <row r="52">
      <c r="A52" s="4" t="inlineStr">
        <is>
          <t>UNIT</t>
        </is>
      </c>
      <c r="B52" s="5" t="inlineStr">
        <is>
          <t>BP_WHITING</t>
        </is>
      </c>
      <c r="C52" s="5" t="n">
        <v>2</v>
      </c>
      <c r="D52" s="5" t="inlineStr">
        <is>
          <t>FCC</t>
        </is>
      </c>
      <c r="E52" s="5" t="inlineStr">
        <is>
          <t>FCC</t>
        </is>
      </c>
      <c r="F52" s="6" t="n">
        <v>177</v>
      </c>
      <c r="G52" s="7" t="n">
        <v>0.739</v>
      </c>
      <c r="H52" s="8">
        <f>IF($G52&lt;&gt;"",$G52,SUMIFS(Assumptions!$K$4:$K$8,Assumptions!$J$4:$J$8,$C52))</f>
        <v/>
      </c>
      <c r="I52" s="7" t="n"/>
      <c r="J52" s="9">
        <f>IF($I52&lt;&gt;"",$I52,SUMIFS(Assumptions!$P$4:$P$93,Assumptions!$M$4:$M$93,$C52,Assumptions!$N$4:$N$93,$E52,Assumptions!$O$4:$O$93,"LVN"))</f>
        <v/>
      </c>
      <c r="K52" s="7" t="n"/>
      <c r="L52" s="9">
        <f>IF($K52&lt;&gt;"",$K52,SUMIFS(Assumptions!$P$4:$P$93,Assumptions!$M$4:$M$93,$C52,Assumptions!$N$4:$N$93,$E52,Assumptions!$O$4:$O$93,"HVN"))</f>
        <v/>
      </c>
      <c r="M52" s="9">
        <f>J52+L52</f>
        <v/>
      </c>
      <c r="N52" s="10">
        <f>$F52*$H52*$M52</f>
        <v/>
      </c>
    </row>
    <row r="53">
      <c r="A53" s="4" t="inlineStr">
        <is>
          <t>UNIT</t>
        </is>
      </c>
      <c r="B53" s="5" t="inlineStr">
        <is>
          <t>BP_WHITING</t>
        </is>
      </c>
      <c r="C53" s="5" t="n">
        <v>2</v>
      </c>
      <c r="D53" s="5" t="inlineStr">
        <is>
          <t>COKER</t>
        </is>
      </c>
      <c r="E53" s="5" t="inlineStr">
        <is>
          <t>COKER</t>
        </is>
      </c>
      <c r="F53" s="6" t="n">
        <v>102</v>
      </c>
      <c r="G53" s="7" t="n">
        <v>0.548</v>
      </c>
      <c r="H53" s="8">
        <f>IF($G53&lt;&gt;"",$G53,SUMIFS(Assumptions!$K$4:$K$8,Assumptions!$J$4:$J$8,$C53))</f>
        <v/>
      </c>
      <c r="I53" s="7" t="n"/>
      <c r="J53" s="9">
        <f>IF($I53&lt;&gt;"",$I53,SUMIFS(Assumptions!$P$4:$P$93,Assumptions!$M$4:$M$93,$C53,Assumptions!$N$4:$N$93,$E53,Assumptions!$O$4:$O$93,"LVN"))</f>
        <v/>
      </c>
      <c r="K53" s="7" t="n"/>
      <c r="L53" s="9">
        <f>IF($K53&lt;&gt;"",$K53,SUMIFS(Assumptions!$P$4:$P$93,Assumptions!$M$4:$M$93,$C53,Assumptions!$N$4:$N$93,$E53,Assumptions!$O$4:$O$93,"HVN"))</f>
        <v/>
      </c>
      <c r="M53" s="9">
        <f>J53+L53</f>
        <v/>
      </c>
      <c r="N53" s="10">
        <f>$F53*$H53*$M53</f>
        <v/>
      </c>
    </row>
    <row r="54">
      <c r="A54" s="4" t="inlineStr">
        <is>
          <t>UNIT</t>
        </is>
      </c>
      <c r="B54" s="5" t="inlineStr">
        <is>
          <t>BP_WHITING</t>
        </is>
      </c>
      <c r="C54" s="5" t="n">
        <v>2</v>
      </c>
      <c r="D54" s="5" t="inlineStr">
        <is>
          <t>REF</t>
        </is>
      </c>
      <c r="E54" s="5" t="inlineStr">
        <is>
          <t>REFORMER</t>
        </is>
      </c>
      <c r="F54" s="6" t="n">
        <v>67</v>
      </c>
      <c r="G54" s="7" t="n"/>
      <c r="H54" s="8">
        <f>IF($G54&lt;&gt;"",$G54,SUMIFS(Assumptions!$K$4:$K$8,Assumptions!$J$4:$J$8,$C54))</f>
        <v/>
      </c>
      <c r="I54" s="7" t="n"/>
      <c r="J54" s="9">
        <f>IF($I54&lt;&gt;"",$I54,SUMIFS(Assumptions!$P$4:$P$93,Assumptions!$M$4:$M$93,$C54,Assumptions!$N$4:$N$93,$E54,Assumptions!$O$4:$O$93,"LVN"))</f>
        <v/>
      </c>
      <c r="K54" s="7" t="n"/>
      <c r="L54" s="9">
        <f>IF($K54&lt;&gt;"",$K54,SUMIFS(Assumptions!$P$4:$P$93,Assumptions!$M$4:$M$93,$C54,Assumptions!$N$4:$N$93,$E54,Assumptions!$O$4:$O$93,"HVN"))</f>
        <v/>
      </c>
      <c r="M54" s="9">
        <f>J54+L54</f>
        <v/>
      </c>
      <c r="N54" s="10">
        <f>$F54*$H54*$M54</f>
        <v/>
      </c>
    </row>
    <row r="55">
      <c r="A55" s="4" t="inlineStr">
        <is>
          <t>UNIT</t>
        </is>
      </c>
      <c r="B55" s="5" t="inlineStr">
        <is>
          <t>BP_WHITING</t>
        </is>
      </c>
      <c r="C55" s="5" t="n">
        <v>2</v>
      </c>
      <c r="D55" s="5" t="inlineStr">
        <is>
          <t>ISOM</t>
        </is>
      </c>
      <c r="E55" s="5" t="inlineStr">
        <is>
          <t>ISOM</t>
        </is>
      </c>
      <c r="F55" s="6" t="n">
        <v>30</v>
      </c>
      <c r="G55" s="7" t="n">
        <v>1</v>
      </c>
      <c r="H55" s="8">
        <f>IF($G55&lt;&gt;"",$G55,SUMIFS(Assumptions!$K$4:$K$8,Assumptions!$J$4:$J$8,$C55))</f>
        <v/>
      </c>
      <c r="I55" s="7" t="n"/>
      <c r="J55" s="9">
        <f>IF($I55&lt;&gt;"",$I55,SUMIFS(Assumptions!$P$4:$P$93,Assumptions!$M$4:$M$93,$C55,Assumptions!$N$4:$N$93,$E55,Assumptions!$O$4:$O$93,"LVN"))</f>
        <v/>
      </c>
      <c r="K55" s="7" t="n"/>
      <c r="L55" s="9">
        <f>IF($K55&lt;&gt;"",$K55,SUMIFS(Assumptions!$P$4:$P$93,Assumptions!$M$4:$M$93,$C55,Assumptions!$N$4:$N$93,$E55,Assumptions!$O$4:$O$93,"HVN"))</f>
        <v/>
      </c>
      <c r="M55" s="9">
        <f>J55+L55</f>
        <v/>
      </c>
      <c r="N55" s="10">
        <f>$F55*$H55*$M55</f>
        <v/>
      </c>
    </row>
    <row r="56">
      <c r="A56" s="4" t="inlineStr">
        <is>
          <t>UNIT</t>
        </is>
      </c>
      <c r="B56" s="5" t="inlineStr">
        <is>
          <t>BP_WHITING</t>
        </is>
      </c>
      <c r="C56" s="5" t="n">
        <v>2</v>
      </c>
      <c r="D56" s="5" t="inlineStr">
        <is>
          <t>ALKY</t>
        </is>
      </c>
      <c r="E56" s="5" t="inlineStr">
        <is>
          <t>ALKY</t>
        </is>
      </c>
      <c r="F56" s="6" t="n">
        <v>32</v>
      </c>
      <c r="G56" s="7" t="n">
        <v>0.996</v>
      </c>
      <c r="H56" s="8">
        <f>IF($G56&lt;&gt;"",$G56,SUMIFS(Assumptions!$K$4:$K$8,Assumptions!$J$4:$J$8,$C56))</f>
        <v/>
      </c>
      <c r="I56" s="7" t="n"/>
      <c r="J56" s="9">
        <f>IF($I56&lt;&gt;"",$I56,SUMIFS(Assumptions!$P$4:$P$93,Assumptions!$M$4:$M$93,$C56,Assumptions!$N$4:$N$93,$E56,Assumptions!$O$4:$O$93,"LVN"))</f>
        <v/>
      </c>
      <c r="K56" s="7" t="n"/>
      <c r="L56" s="9">
        <f>IF($K56&lt;&gt;"",$K56,SUMIFS(Assumptions!$P$4:$P$93,Assumptions!$M$4:$M$93,$C56,Assumptions!$N$4:$N$93,$E56,Assumptions!$O$4:$O$93,"HVN"))</f>
        <v/>
      </c>
      <c r="M56" s="9">
        <f>J56+L56</f>
        <v/>
      </c>
      <c r="N56" s="10">
        <f>$F56*$H56*$M56</f>
        <v/>
      </c>
    </row>
    <row r="57">
      <c r="A57" s="11" t="inlineStr">
        <is>
          <t>TOTAL</t>
        </is>
      </c>
      <c r="B57" s="12" t="inlineStr">
        <is>
          <t>BP_WHITING</t>
        </is>
      </c>
      <c r="C57" s="12" t="n">
        <v>2</v>
      </c>
      <c r="D57" s="12" t="inlineStr">
        <is>
          <t>NET NAPHTHA</t>
        </is>
      </c>
      <c r="N57" s="13">
        <f>SUM(N50:N56)</f>
        <v/>
      </c>
    </row>
    <row r="59">
      <c r="A59" s="1" t="inlineStr">
        <is>
          <t xml:space="preserve">  Flint Hills Resources Rosemount  [FLINT_ROSEMOUNT]   —   Koch Industries   —   PADD 2   —   crude 375 kbd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</row>
    <row r="60">
      <c r="A60" s="4" t="inlineStr">
        <is>
          <t>UNIT</t>
        </is>
      </c>
      <c r="B60" s="5" t="inlineStr">
        <is>
          <t>FLINT_ROSEMOUNT</t>
        </is>
      </c>
      <c r="C60" s="5" t="n">
        <v>2</v>
      </c>
      <c r="D60" s="5" t="inlineStr">
        <is>
          <t>CDU</t>
        </is>
      </c>
      <c r="E60" s="5" t="inlineStr">
        <is>
          <t>CDU</t>
        </is>
      </c>
      <c r="F60" s="6" t="n">
        <v>375</v>
      </c>
      <c r="G60" s="7" t="n">
        <v>0.8149999999999999</v>
      </c>
      <c r="H60" s="8">
        <f>IF($G60&lt;&gt;"",$G60,SUMIFS(Assumptions!$K$4:$K$8,Assumptions!$J$4:$J$8,$C60))</f>
        <v/>
      </c>
      <c r="I60" s="7" t="n"/>
      <c r="J60" s="9">
        <f>IF($I60&lt;&gt;"",$I60,SUMIFS(Assumptions!$P$4:$P$93,Assumptions!$M$4:$M$93,$C60,Assumptions!$N$4:$N$93,$E60,Assumptions!$O$4:$O$93,"LVN"))</f>
        <v/>
      </c>
      <c r="K60" s="7" t="n"/>
      <c r="L60" s="9">
        <f>IF($K60&lt;&gt;"",$K60,SUMIFS(Assumptions!$P$4:$P$93,Assumptions!$M$4:$M$93,$C60,Assumptions!$N$4:$N$93,$E60,Assumptions!$O$4:$O$93,"HVN"))</f>
        <v/>
      </c>
      <c r="M60" s="9">
        <f>J60+L60</f>
        <v/>
      </c>
      <c r="N60" s="10">
        <f>$F60*$H60*$M60</f>
        <v/>
      </c>
    </row>
    <row r="61">
      <c r="A61" s="4" t="inlineStr">
        <is>
          <t>UNIT</t>
        </is>
      </c>
      <c r="B61" s="5" t="inlineStr">
        <is>
          <t>FLINT_ROSEMOUNT</t>
        </is>
      </c>
      <c r="C61" s="5" t="n">
        <v>2</v>
      </c>
      <c r="D61" s="5" t="inlineStr">
        <is>
          <t>VDU</t>
        </is>
      </c>
      <c r="E61" s="5" t="inlineStr">
        <is>
          <t>VDU</t>
        </is>
      </c>
      <c r="F61" s="6" t="n">
        <v>234</v>
      </c>
      <c r="G61" s="7" t="n">
        <v>0.697</v>
      </c>
      <c r="H61" s="8">
        <f>IF($G61&lt;&gt;"",$G61,SUMIFS(Assumptions!$K$4:$K$8,Assumptions!$J$4:$J$8,$C61))</f>
        <v/>
      </c>
      <c r="I61" s="7" t="n"/>
      <c r="J61" s="9">
        <f>IF($I61&lt;&gt;"",$I61,SUMIFS(Assumptions!$P$4:$P$93,Assumptions!$M$4:$M$93,$C61,Assumptions!$N$4:$N$93,$E61,Assumptions!$O$4:$O$93,"LVN"))</f>
        <v/>
      </c>
      <c r="K61" s="7" t="n"/>
      <c r="L61" s="9">
        <f>IF($K61&lt;&gt;"",$K61,SUMIFS(Assumptions!$P$4:$P$93,Assumptions!$M$4:$M$93,$C61,Assumptions!$N$4:$N$93,$E61,Assumptions!$O$4:$O$93,"HVN"))</f>
        <v/>
      </c>
      <c r="M61" s="9">
        <f>J61+L61</f>
        <v/>
      </c>
      <c r="N61" s="10">
        <f>$F61*$H61*$M61</f>
        <v/>
      </c>
    </row>
    <row r="62">
      <c r="A62" s="4" t="inlineStr">
        <is>
          <t>UNIT</t>
        </is>
      </c>
      <c r="B62" s="5" t="inlineStr">
        <is>
          <t>FLINT_ROSEMOUNT</t>
        </is>
      </c>
      <c r="C62" s="5" t="n">
        <v>2</v>
      </c>
      <c r="D62" s="5" t="inlineStr">
        <is>
          <t>FCC</t>
        </is>
      </c>
      <c r="E62" s="5" t="inlineStr">
        <is>
          <t>FCC</t>
        </is>
      </c>
      <c r="F62" s="6" t="n">
        <v>96</v>
      </c>
      <c r="G62" s="7" t="n">
        <v>0.782</v>
      </c>
      <c r="H62" s="8">
        <f>IF($G62&lt;&gt;"",$G62,SUMIFS(Assumptions!$K$4:$K$8,Assumptions!$J$4:$J$8,$C62))</f>
        <v/>
      </c>
      <c r="I62" s="7" t="n"/>
      <c r="J62" s="9">
        <f>IF($I62&lt;&gt;"",$I62,SUMIFS(Assumptions!$P$4:$P$93,Assumptions!$M$4:$M$93,$C62,Assumptions!$N$4:$N$93,$E62,Assumptions!$O$4:$O$93,"LVN"))</f>
        <v/>
      </c>
      <c r="K62" s="7" t="n"/>
      <c r="L62" s="9">
        <f>IF($K62&lt;&gt;"",$K62,SUMIFS(Assumptions!$P$4:$P$93,Assumptions!$M$4:$M$93,$C62,Assumptions!$N$4:$N$93,$E62,Assumptions!$O$4:$O$93,"HVN"))</f>
        <v/>
      </c>
      <c r="M62" s="9">
        <f>J62+L62</f>
        <v/>
      </c>
      <c r="N62" s="10">
        <f>$F62*$H62*$M62</f>
        <v/>
      </c>
    </row>
    <row r="63">
      <c r="A63" s="4" t="inlineStr">
        <is>
          <t>UNIT</t>
        </is>
      </c>
      <c r="B63" s="5" t="inlineStr">
        <is>
          <t>FLINT_ROSEMOUNT</t>
        </is>
      </c>
      <c r="C63" s="5" t="n">
        <v>2</v>
      </c>
      <c r="D63" s="5" t="inlineStr">
        <is>
          <t>DHCU</t>
        </is>
      </c>
      <c r="E63" s="5" t="inlineStr">
        <is>
          <t>HYDROCRACKER</t>
        </is>
      </c>
      <c r="F63" s="6" t="n">
        <v>67</v>
      </c>
      <c r="G63" s="7" t="n">
        <v>0.873</v>
      </c>
      <c r="H63" s="8">
        <f>IF($G63&lt;&gt;"",$G63,SUMIFS(Assumptions!$K$4:$K$8,Assumptions!$J$4:$J$8,$C63))</f>
        <v/>
      </c>
      <c r="I63" s="7" t="n"/>
      <c r="J63" s="9">
        <f>IF($I63&lt;&gt;"",$I63,SUMIFS(Assumptions!$P$4:$P$93,Assumptions!$M$4:$M$93,$C63,Assumptions!$N$4:$N$93,$E63,Assumptions!$O$4:$O$93,"LVN"))</f>
        <v/>
      </c>
      <c r="K63" s="7" t="n"/>
      <c r="L63" s="9">
        <f>IF($K63&lt;&gt;"",$K63,SUMIFS(Assumptions!$P$4:$P$93,Assumptions!$M$4:$M$93,$C63,Assumptions!$N$4:$N$93,$E63,Assumptions!$O$4:$O$93,"HVN"))</f>
        <v/>
      </c>
      <c r="M63" s="9">
        <f>J63+L63</f>
        <v/>
      </c>
      <c r="N63" s="10">
        <f>$F63*$H63*$M63</f>
        <v/>
      </c>
    </row>
    <row r="64">
      <c r="A64" s="4" t="inlineStr">
        <is>
          <t>UNIT</t>
        </is>
      </c>
      <c r="B64" s="5" t="inlineStr">
        <is>
          <t>FLINT_ROSEMOUNT</t>
        </is>
      </c>
      <c r="C64" s="5" t="n">
        <v>2</v>
      </c>
      <c r="D64" s="5" t="inlineStr">
        <is>
          <t>COKER</t>
        </is>
      </c>
      <c r="E64" s="5" t="inlineStr">
        <is>
          <t>COKER</t>
        </is>
      </c>
      <c r="F64" s="6" t="n">
        <v>82</v>
      </c>
      <c r="G64" s="7" t="n">
        <v>0.863</v>
      </c>
      <c r="H64" s="8">
        <f>IF($G64&lt;&gt;"",$G64,SUMIFS(Assumptions!$K$4:$K$8,Assumptions!$J$4:$J$8,$C64))</f>
        <v/>
      </c>
      <c r="I64" s="7" t="n"/>
      <c r="J64" s="9">
        <f>IF($I64&lt;&gt;"",$I64,SUMIFS(Assumptions!$P$4:$P$93,Assumptions!$M$4:$M$93,$C64,Assumptions!$N$4:$N$93,$E64,Assumptions!$O$4:$O$93,"LVN"))</f>
        <v/>
      </c>
      <c r="K64" s="7" t="n"/>
      <c r="L64" s="9">
        <f>IF($K64&lt;&gt;"",$K64,SUMIFS(Assumptions!$P$4:$P$93,Assumptions!$M$4:$M$93,$C64,Assumptions!$N$4:$N$93,$E64,Assumptions!$O$4:$O$93,"HVN"))</f>
        <v/>
      </c>
      <c r="M64" s="9">
        <f>J64+L64</f>
        <v/>
      </c>
      <c r="N64" s="10">
        <f>$F64*$H64*$M64</f>
        <v/>
      </c>
    </row>
    <row r="65">
      <c r="A65" s="4" t="inlineStr">
        <is>
          <t>UNIT</t>
        </is>
      </c>
      <c r="B65" s="5" t="inlineStr">
        <is>
          <t>FLINT_ROSEMOUNT</t>
        </is>
      </c>
      <c r="C65" s="5" t="n">
        <v>2</v>
      </c>
      <c r="D65" s="5" t="inlineStr">
        <is>
          <t>CCR</t>
        </is>
      </c>
      <c r="E65" s="5" t="inlineStr">
        <is>
          <t>REFORMER</t>
        </is>
      </c>
      <c r="F65" s="6" t="n">
        <v>37</v>
      </c>
      <c r="G65" s="7" t="n">
        <v>0.919</v>
      </c>
      <c r="H65" s="8">
        <f>IF($G65&lt;&gt;"",$G65,SUMIFS(Assumptions!$K$4:$K$8,Assumptions!$J$4:$J$8,$C65))</f>
        <v/>
      </c>
      <c r="I65" s="7" t="n"/>
      <c r="J65" s="9">
        <f>IF($I65&lt;&gt;"",$I65,SUMIFS(Assumptions!$P$4:$P$93,Assumptions!$M$4:$M$93,$C65,Assumptions!$N$4:$N$93,$E65,Assumptions!$O$4:$O$93,"LVN"))</f>
        <v/>
      </c>
      <c r="K65" s="7" t="n"/>
      <c r="L65" s="9">
        <f>IF($K65&lt;&gt;"",$K65,SUMIFS(Assumptions!$P$4:$P$93,Assumptions!$M$4:$M$93,$C65,Assumptions!$N$4:$N$93,$E65,Assumptions!$O$4:$O$93,"HVN"))</f>
        <v/>
      </c>
      <c r="M65" s="9">
        <f>J65+L65</f>
        <v/>
      </c>
      <c r="N65" s="10">
        <f>$F65*$H65*$M65</f>
        <v/>
      </c>
    </row>
    <row r="66">
      <c r="A66" s="4" t="inlineStr">
        <is>
          <t>UNIT</t>
        </is>
      </c>
      <c r="B66" s="5" t="inlineStr">
        <is>
          <t>FLINT_ROSEMOUNT</t>
        </is>
      </c>
      <c r="C66" s="5" t="n">
        <v>2</v>
      </c>
      <c r="D66" s="5" t="inlineStr">
        <is>
          <t>REF</t>
        </is>
      </c>
      <c r="E66" s="5" t="inlineStr">
        <is>
          <t>REFORMER</t>
        </is>
      </c>
      <c r="F66" s="6" t="n">
        <v>13.8</v>
      </c>
      <c r="G66" s="7" t="n">
        <v>0.9419999999999999</v>
      </c>
      <c r="H66" s="8">
        <f>IF($G66&lt;&gt;"",$G66,SUMIFS(Assumptions!$K$4:$K$8,Assumptions!$J$4:$J$8,$C66))</f>
        <v/>
      </c>
      <c r="I66" s="7" t="n"/>
      <c r="J66" s="9">
        <f>IF($I66&lt;&gt;"",$I66,SUMIFS(Assumptions!$P$4:$P$93,Assumptions!$M$4:$M$93,$C66,Assumptions!$N$4:$N$93,$E66,Assumptions!$O$4:$O$93,"LVN"))</f>
        <v/>
      </c>
      <c r="K66" s="7" t="n"/>
      <c r="L66" s="9">
        <f>IF($K66&lt;&gt;"",$K66,SUMIFS(Assumptions!$P$4:$P$93,Assumptions!$M$4:$M$93,$C66,Assumptions!$N$4:$N$93,$E66,Assumptions!$O$4:$O$93,"HVN"))</f>
        <v/>
      </c>
      <c r="M66" s="9">
        <f>J66+L66</f>
        <v/>
      </c>
      <c r="N66" s="10">
        <f>$F66*$H66*$M66</f>
        <v/>
      </c>
    </row>
    <row r="67">
      <c r="A67" s="4" t="inlineStr">
        <is>
          <t>UNIT</t>
        </is>
      </c>
      <c r="B67" s="5" t="inlineStr">
        <is>
          <t>FLINT_ROSEMOUNT</t>
        </is>
      </c>
      <c r="C67" s="5" t="n">
        <v>2</v>
      </c>
      <c r="D67" s="5" t="inlineStr">
        <is>
          <t>ISOM</t>
        </is>
      </c>
      <c r="E67" s="5" t="inlineStr">
        <is>
          <t>ISOM</t>
        </is>
      </c>
      <c r="F67" s="6" t="n">
        <v>18</v>
      </c>
      <c r="G67" s="7" t="n">
        <v>0.971</v>
      </c>
      <c r="H67" s="8">
        <f>IF($G67&lt;&gt;"",$G67,SUMIFS(Assumptions!$K$4:$K$8,Assumptions!$J$4:$J$8,$C67))</f>
        <v/>
      </c>
      <c r="I67" s="7" t="n"/>
      <c r="J67" s="9">
        <f>IF($I67&lt;&gt;"",$I67,SUMIFS(Assumptions!$P$4:$P$93,Assumptions!$M$4:$M$93,$C67,Assumptions!$N$4:$N$93,$E67,Assumptions!$O$4:$O$93,"LVN"))</f>
        <v/>
      </c>
      <c r="K67" s="7" t="n"/>
      <c r="L67" s="9">
        <f>IF($K67&lt;&gt;"",$K67,SUMIFS(Assumptions!$P$4:$P$93,Assumptions!$M$4:$M$93,$C67,Assumptions!$N$4:$N$93,$E67,Assumptions!$O$4:$O$93,"HVN"))</f>
        <v/>
      </c>
      <c r="M67" s="9">
        <f>J67+L67</f>
        <v/>
      </c>
      <c r="N67" s="10">
        <f>$F67*$H67*$M67</f>
        <v/>
      </c>
    </row>
    <row r="68">
      <c r="A68" s="4" t="inlineStr">
        <is>
          <t>UNIT</t>
        </is>
      </c>
      <c r="B68" s="5" t="inlineStr">
        <is>
          <t>FLINT_ROSEMOUNT</t>
        </is>
      </c>
      <c r="C68" s="5" t="n">
        <v>2</v>
      </c>
      <c r="D68" s="5" t="inlineStr">
        <is>
          <t>ALKY</t>
        </is>
      </c>
      <c r="E68" s="5" t="inlineStr">
        <is>
          <t>ALKY</t>
        </is>
      </c>
      <c r="F68" s="6" t="n">
        <v>14</v>
      </c>
      <c r="G68" s="7" t="n">
        <v>0.998</v>
      </c>
      <c r="H68" s="8">
        <f>IF($G68&lt;&gt;"",$G68,SUMIFS(Assumptions!$K$4:$K$8,Assumptions!$J$4:$J$8,$C68))</f>
        <v/>
      </c>
      <c r="I68" s="7" t="n"/>
      <c r="J68" s="9">
        <f>IF($I68&lt;&gt;"",$I68,SUMIFS(Assumptions!$P$4:$P$93,Assumptions!$M$4:$M$93,$C68,Assumptions!$N$4:$N$93,$E68,Assumptions!$O$4:$O$93,"LVN"))</f>
        <v/>
      </c>
      <c r="K68" s="7" t="n"/>
      <c r="L68" s="9">
        <f>IF($K68&lt;&gt;"",$K68,SUMIFS(Assumptions!$P$4:$P$93,Assumptions!$M$4:$M$93,$C68,Assumptions!$N$4:$N$93,$E68,Assumptions!$O$4:$O$93,"HVN"))</f>
        <v/>
      </c>
      <c r="M68" s="9">
        <f>J68+L68</f>
        <v/>
      </c>
      <c r="N68" s="10">
        <f>$F68*$H68*$M68</f>
        <v/>
      </c>
    </row>
    <row r="69">
      <c r="A69" s="11" t="inlineStr">
        <is>
          <t>TOTAL</t>
        </is>
      </c>
      <c r="B69" s="12" t="inlineStr">
        <is>
          <t>FLINT_ROSEMOUNT</t>
        </is>
      </c>
      <c r="C69" s="12" t="n">
        <v>2</v>
      </c>
      <c r="D69" s="12" t="inlineStr">
        <is>
          <t>NET NAPHTHA</t>
        </is>
      </c>
      <c r="N69" s="13">
        <f>SUM(N60:N68)</f>
        <v/>
      </c>
    </row>
    <row r="71">
      <c r="A71" s="1" t="inlineStr">
        <is>
          <t xml:space="preserve">  Cenovus Wood River  [CENOVUS_WOOD_RIVER]   —   Cenovus (50%) / Phillips 66 Co. (50%)   —   PADD 2   —   crude 356 kbd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</row>
    <row r="72">
      <c r="A72" s="4" t="inlineStr">
        <is>
          <t>UNIT</t>
        </is>
      </c>
      <c r="B72" s="5" t="inlineStr">
        <is>
          <t>CENOVUS_WOOD_RIVER</t>
        </is>
      </c>
      <c r="C72" s="5" t="n">
        <v>2</v>
      </c>
      <c r="D72" s="5" t="inlineStr">
        <is>
          <t>CDU</t>
        </is>
      </c>
      <c r="E72" s="5" t="inlineStr">
        <is>
          <t>CDU</t>
        </is>
      </c>
      <c r="F72" s="6" t="n">
        <v>367.5</v>
      </c>
      <c r="G72" s="7" t="n">
        <v>1</v>
      </c>
      <c r="H72" s="8">
        <f>IF($G72&lt;&gt;"",$G72,SUMIFS(Assumptions!$K$4:$K$8,Assumptions!$J$4:$J$8,$C72))</f>
        <v/>
      </c>
      <c r="I72" s="7" t="n"/>
      <c r="J72" s="9">
        <f>IF($I72&lt;&gt;"",$I72,SUMIFS(Assumptions!$P$4:$P$93,Assumptions!$M$4:$M$93,$C72,Assumptions!$N$4:$N$93,$E72,Assumptions!$O$4:$O$93,"LVN"))</f>
        <v/>
      </c>
      <c r="K72" s="7" t="n"/>
      <c r="L72" s="9">
        <f>IF($K72&lt;&gt;"",$K72,SUMIFS(Assumptions!$P$4:$P$93,Assumptions!$M$4:$M$93,$C72,Assumptions!$N$4:$N$93,$E72,Assumptions!$O$4:$O$93,"HVN"))</f>
        <v/>
      </c>
      <c r="M72" s="9">
        <f>J72+L72</f>
        <v/>
      </c>
      <c r="N72" s="10">
        <f>$F72*$H72*$M72</f>
        <v/>
      </c>
    </row>
    <row r="73">
      <c r="A73" s="4" t="inlineStr">
        <is>
          <t>UNIT</t>
        </is>
      </c>
      <c r="B73" s="5" t="inlineStr">
        <is>
          <t>CENOVUS_WOOD_RIVER</t>
        </is>
      </c>
      <c r="C73" s="5" t="n">
        <v>2</v>
      </c>
      <c r="D73" s="5" t="inlineStr">
        <is>
          <t>VDU</t>
        </is>
      </c>
      <c r="E73" s="5" t="inlineStr">
        <is>
          <t>VDU</t>
        </is>
      </c>
      <c r="F73" s="6" t="n">
        <v>196.5</v>
      </c>
      <c r="G73" s="7" t="n">
        <v>0.806</v>
      </c>
      <c r="H73" s="8">
        <f>IF($G73&lt;&gt;"",$G73,SUMIFS(Assumptions!$K$4:$K$8,Assumptions!$J$4:$J$8,$C73))</f>
        <v/>
      </c>
      <c r="I73" s="7" t="n"/>
      <c r="J73" s="9">
        <f>IF($I73&lt;&gt;"",$I73,SUMIFS(Assumptions!$P$4:$P$93,Assumptions!$M$4:$M$93,$C73,Assumptions!$N$4:$N$93,$E73,Assumptions!$O$4:$O$93,"LVN"))</f>
        <v/>
      </c>
      <c r="K73" s="7" t="n"/>
      <c r="L73" s="9">
        <f>IF($K73&lt;&gt;"",$K73,SUMIFS(Assumptions!$P$4:$P$93,Assumptions!$M$4:$M$93,$C73,Assumptions!$N$4:$N$93,$E73,Assumptions!$O$4:$O$93,"HVN"))</f>
        <v/>
      </c>
      <c r="M73" s="9">
        <f>J73+L73</f>
        <v/>
      </c>
      <c r="N73" s="10">
        <f>$F73*$H73*$M73</f>
        <v/>
      </c>
    </row>
    <row r="74">
      <c r="A74" s="4" t="inlineStr">
        <is>
          <t>UNIT</t>
        </is>
      </c>
      <c r="B74" s="5" t="inlineStr">
        <is>
          <t>CENOVUS_WOOD_RIVER</t>
        </is>
      </c>
      <c r="C74" s="5" t="n">
        <v>2</v>
      </c>
      <c r="D74" s="5" t="inlineStr">
        <is>
          <t>FCC</t>
        </is>
      </c>
      <c r="E74" s="5" t="inlineStr">
        <is>
          <t>FCC</t>
        </is>
      </c>
      <c r="F74" s="6" t="n">
        <v>101</v>
      </c>
      <c r="G74" s="7" t="n">
        <v>0.88</v>
      </c>
      <c r="H74" s="8">
        <f>IF($G74&lt;&gt;"",$G74,SUMIFS(Assumptions!$K$4:$K$8,Assumptions!$J$4:$J$8,$C74))</f>
        <v/>
      </c>
      <c r="I74" s="7" t="n"/>
      <c r="J74" s="9">
        <f>IF($I74&lt;&gt;"",$I74,SUMIFS(Assumptions!$P$4:$P$93,Assumptions!$M$4:$M$93,$C74,Assumptions!$N$4:$N$93,$E74,Assumptions!$O$4:$O$93,"LVN"))</f>
        <v/>
      </c>
      <c r="K74" s="7" t="n"/>
      <c r="L74" s="9">
        <f>IF($K74&lt;&gt;"",$K74,SUMIFS(Assumptions!$P$4:$P$93,Assumptions!$M$4:$M$93,$C74,Assumptions!$N$4:$N$93,$E74,Assumptions!$O$4:$O$93,"HVN"))</f>
        <v/>
      </c>
      <c r="M74" s="9">
        <f>J74+L74</f>
        <v/>
      </c>
      <c r="N74" s="10">
        <f>$F74*$H74*$M74</f>
        <v/>
      </c>
    </row>
    <row r="75">
      <c r="A75" s="4" t="inlineStr">
        <is>
          <t>UNIT</t>
        </is>
      </c>
      <c r="B75" s="5" t="inlineStr">
        <is>
          <t>CENOVUS_WOOD_RIVER</t>
        </is>
      </c>
      <c r="C75" s="5" t="n">
        <v>2</v>
      </c>
      <c r="D75" s="5" t="inlineStr">
        <is>
          <t>DHCU</t>
        </is>
      </c>
      <c r="E75" s="5" t="inlineStr">
        <is>
          <t>HYDROCRACKER</t>
        </is>
      </c>
      <c r="F75" s="6" t="n">
        <v>57.2</v>
      </c>
      <c r="G75" s="7" t="n">
        <v>0.98</v>
      </c>
      <c r="H75" s="8">
        <f>IF($G75&lt;&gt;"",$G75,SUMIFS(Assumptions!$K$4:$K$8,Assumptions!$J$4:$J$8,$C75))</f>
        <v/>
      </c>
      <c r="I75" s="7" t="n"/>
      <c r="J75" s="9">
        <f>IF($I75&lt;&gt;"",$I75,SUMIFS(Assumptions!$P$4:$P$93,Assumptions!$M$4:$M$93,$C75,Assumptions!$N$4:$N$93,$E75,Assumptions!$O$4:$O$93,"LVN"))</f>
        <v/>
      </c>
      <c r="K75" s="7" t="n"/>
      <c r="L75" s="9">
        <f>IF($K75&lt;&gt;"",$K75,SUMIFS(Assumptions!$P$4:$P$93,Assumptions!$M$4:$M$93,$C75,Assumptions!$N$4:$N$93,$E75,Assumptions!$O$4:$O$93,"HVN"))</f>
        <v/>
      </c>
      <c r="M75" s="9">
        <f>J75+L75</f>
        <v/>
      </c>
      <c r="N75" s="10">
        <f>$F75*$H75*$M75</f>
        <v/>
      </c>
    </row>
    <row r="76">
      <c r="A76" s="4" t="inlineStr">
        <is>
          <t>UNIT</t>
        </is>
      </c>
      <c r="B76" s="5" t="inlineStr">
        <is>
          <t>CENOVUS_WOOD_RIVER</t>
        </is>
      </c>
      <c r="C76" s="5" t="n">
        <v>2</v>
      </c>
      <c r="D76" s="5" t="inlineStr">
        <is>
          <t>COKER</t>
        </is>
      </c>
      <c r="E76" s="5" t="inlineStr">
        <is>
          <t>COKER</t>
        </is>
      </c>
      <c r="F76" s="6" t="n">
        <v>83.7</v>
      </c>
      <c r="G76" s="7" t="n">
        <v>0.665</v>
      </c>
      <c r="H76" s="8">
        <f>IF($G76&lt;&gt;"",$G76,SUMIFS(Assumptions!$K$4:$K$8,Assumptions!$J$4:$J$8,$C76))</f>
        <v/>
      </c>
      <c r="I76" s="7" t="n"/>
      <c r="J76" s="9">
        <f>IF($I76&lt;&gt;"",$I76,SUMIFS(Assumptions!$P$4:$P$93,Assumptions!$M$4:$M$93,$C76,Assumptions!$N$4:$N$93,$E76,Assumptions!$O$4:$O$93,"LVN"))</f>
        <v/>
      </c>
      <c r="K76" s="7" t="n"/>
      <c r="L76" s="9">
        <f>IF($K76&lt;&gt;"",$K76,SUMIFS(Assumptions!$P$4:$P$93,Assumptions!$M$4:$M$93,$C76,Assumptions!$N$4:$N$93,$E76,Assumptions!$O$4:$O$93,"HVN"))</f>
        <v/>
      </c>
      <c r="M76" s="9">
        <f>J76+L76</f>
        <v/>
      </c>
      <c r="N76" s="10">
        <f>$F76*$H76*$M76</f>
        <v/>
      </c>
    </row>
    <row r="77">
      <c r="A77" s="4" t="inlineStr">
        <is>
          <t>UNIT</t>
        </is>
      </c>
      <c r="B77" s="5" t="inlineStr">
        <is>
          <t>CENOVUS_WOOD_RIVER</t>
        </is>
      </c>
      <c r="C77" s="5" t="n">
        <v>2</v>
      </c>
      <c r="D77" s="5" t="inlineStr">
        <is>
          <t>CCR</t>
        </is>
      </c>
      <c r="E77" s="5" t="inlineStr">
        <is>
          <t>REFORMER</t>
        </is>
      </c>
      <c r="F77" s="6" t="n">
        <v>79.7</v>
      </c>
      <c r="G77" s="7" t="n">
        <v>0.6870000000000001</v>
      </c>
      <c r="H77" s="8">
        <f>IF($G77&lt;&gt;"",$G77,SUMIFS(Assumptions!$K$4:$K$8,Assumptions!$J$4:$J$8,$C77))</f>
        <v/>
      </c>
      <c r="I77" s="7" t="n"/>
      <c r="J77" s="9">
        <f>IF($I77&lt;&gt;"",$I77,SUMIFS(Assumptions!$P$4:$P$93,Assumptions!$M$4:$M$93,$C77,Assumptions!$N$4:$N$93,$E77,Assumptions!$O$4:$O$93,"LVN"))</f>
        <v/>
      </c>
      <c r="K77" s="7" t="n"/>
      <c r="L77" s="9">
        <f>IF($K77&lt;&gt;"",$K77,SUMIFS(Assumptions!$P$4:$P$93,Assumptions!$M$4:$M$93,$C77,Assumptions!$N$4:$N$93,$E77,Assumptions!$O$4:$O$93,"HVN"))</f>
        <v/>
      </c>
      <c r="M77" s="9">
        <f>J77+L77</f>
        <v/>
      </c>
      <c r="N77" s="10">
        <f>$F77*$H77*$M77</f>
        <v/>
      </c>
    </row>
    <row r="78">
      <c r="A78" s="4" t="inlineStr">
        <is>
          <t>UNIT</t>
        </is>
      </c>
      <c r="B78" s="5" t="inlineStr">
        <is>
          <t>CENOVUS_WOOD_RIVER</t>
        </is>
      </c>
      <c r="C78" s="5" t="n">
        <v>2</v>
      </c>
      <c r="D78" s="5" t="inlineStr">
        <is>
          <t>ALKY</t>
        </is>
      </c>
      <c r="E78" s="5" t="inlineStr">
        <is>
          <t>ALKY</t>
        </is>
      </c>
      <c r="F78" s="6" t="n">
        <v>21.8</v>
      </c>
      <c r="G78" s="7" t="n">
        <v>0.961</v>
      </c>
      <c r="H78" s="8">
        <f>IF($G78&lt;&gt;"",$G78,SUMIFS(Assumptions!$K$4:$K$8,Assumptions!$J$4:$J$8,$C78))</f>
        <v/>
      </c>
      <c r="I78" s="7" t="n"/>
      <c r="J78" s="9">
        <f>IF($I78&lt;&gt;"",$I78,SUMIFS(Assumptions!$P$4:$P$93,Assumptions!$M$4:$M$93,$C78,Assumptions!$N$4:$N$93,$E78,Assumptions!$O$4:$O$93,"LVN"))</f>
        <v/>
      </c>
      <c r="K78" s="7" t="n"/>
      <c r="L78" s="9">
        <f>IF($K78&lt;&gt;"",$K78,SUMIFS(Assumptions!$P$4:$P$93,Assumptions!$M$4:$M$93,$C78,Assumptions!$N$4:$N$93,$E78,Assumptions!$O$4:$O$93,"HVN"))</f>
        <v/>
      </c>
      <c r="M78" s="9">
        <f>J78+L78</f>
        <v/>
      </c>
      <c r="N78" s="10">
        <f>$F78*$H78*$M78</f>
        <v/>
      </c>
    </row>
    <row r="79">
      <c r="A79" s="11" t="inlineStr">
        <is>
          <t>TOTAL</t>
        </is>
      </c>
      <c r="B79" s="12" t="inlineStr">
        <is>
          <t>CENOVUS_WOOD_RIVER</t>
        </is>
      </c>
      <c r="C79" s="12" t="n">
        <v>2</v>
      </c>
      <c r="D79" s="12" t="inlineStr">
        <is>
          <t>NET NAPHTHA</t>
        </is>
      </c>
      <c r="N79" s="13">
        <f>SUM(N72:N78)</f>
        <v/>
      </c>
    </row>
    <row r="81">
      <c r="A81" s="1" t="inlineStr">
        <is>
          <t xml:space="preserve">  Marathon Petroleum Catlettsburg  [MARATHON_CATLETTSBURG]   —   Marathon Petroleum   —   PADD 2   —   crude 316 kbd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</row>
    <row r="82">
      <c r="A82" s="4" t="inlineStr">
        <is>
          <t>UNIT</t>
        </is>
      </c>
      <c r="B82" s="5" t="inlineStr">
        <is>
          <t>MARATHON_CATLETTSBURG</t>
        </is>
      </c>
      <c r="C82" s="5" t="n">
        <v>2</v>
      </c>
      <c r="D82" s="5" t="inlineStr">
        <is>
          <t>CDU</t>
        </is>
      </c>
      <c r="E82" s="5" t="inlineStr">
        <is>
          <t>CDU</t>
        </is>
      </c>
      <c r="F82" s="6" t="n">
        <v>306</v>
      </c>
      <c r="G82" s="7" t="n">
        <v>0.97</v>
      </c>
      <c r="H82" s="8">
        <f>IF($G82&lt;&gt;"",$G82,SUMIFS(Assumptions!$K$4:$K$8,Assumptions!$J$4:$J$8,$C82))</f>
        <v/>
      </c>
      <c r="I82" s="7" t="n"/>
      <c r="J82" s="9">
        <f>IF($I82&lt;&gt;"",$I82,SUMIFS(Assumptions!$P$4:$P$93,Assumptions!$M$4:$M$93,$C82,Assumptions!$N$4:$N$93,$E82,Assumptions!$O$4:$O$93,"LVN"))</f>
        <v/>
      </c>
      <c r="K82" s="7" t="n"/>
      <c r="L82" s="9">
        <f>IF($K82&lt;&gt;"",$K82,SUMIFS(Assumptions!$P$4:$P$93,Assumptions!$M$4:$M$93,$C82,Assumptions!$N$4:$N$93,$E82,Assumptions!$O$4:$O$93,"HVN"))</f>
        <v/>
      </c>
      <c r="M82" s="9">
        <f>J82+L82</f>
        <v/>
      </c>
      <c r="N82" s="10">
        <f>$F82*$H82*$M82</f>
        <v/>
      </c>
    </row>
    <row r="83">
      <c r="A83" s="4" t="inlineStr">
        <is>
          <t>UNIT</t>
        </is>
      </c>
      <c r="B83" s="5" t="inlineStr">
        <is>
          <t>MARATHON_CATLETTSBURG</t>
        </is>
      </c>
      <c r="C83" s="5" t="n">
        <v>2</v>
      </c>
      <c r="D83" s="5" t="inlineStr">
        <is>
          <t>VDU</t>
        </is>
      </c>
      <c r="E83" s="5" t="inlineStr">
        <is>
          <t>VDU</t>
        </is>
      </c>
      <c r="F83" s="6" t="n">
        <v>134</v>
      </c>
      <c r="G83" s="7" t="n">
        <v>0.694</v>
      </c>
      <c r="H83" s="8">
        <f>IF($G83&lt;&gt;"",$G83,SUMIFS(Assumptions!$K$4:$K$8,Assumptions!$J$4:$J$8,$C83))</f>
        <v/>
      </c>
      <c r="I83" s="7" t="n"/>
      <c r="J83" s="9">
        <f>IF($I83&lt;&gt;"",$I83,SUMIFS(Assumptions!$P$4:$P$93,Assumptions!$M$4:$M$93,$C83,Assumptions!$N$4:$N$93,$E83,Assumptions!$O$4:$O$93,"LVN"))</f>
        <v/>
      </c>
      <c r="K83" s="7" t="n"/>
      <c r="L83" s="9">
        <f>IF($K83&lt;&gt;"",$K83,SUMIFS(Assumptions!$P$4:$P$93,Assumptions!$M$4:$M$93,$C83,Assumptions!$N$4:$N$93,$E83,Assumptions!$O$4:$O$93,"HVN"))</f>
        <v/>
      </c>
      <c r="M83" s="9">
        <f>J83+L83</f>
        <v/>
      </c>
      <c r="N83" s="10">
        <f>$F83*$H83*$M83</f>
        <v/>
      </c>
    </row>
    <row r="84">
      <c r="A84" s="4" t="inlineStr">
        <is>
          <t>UNIT</t>
        </is>
      </c>
      <c r="B84" s="5" t="inlineStr">
        <is>
          <t>MARATHON_CATLETTSBURG</t>
        </is>
      </c>
      <c r="C84" s="5" t="n">
        <v>2</v>
      </c>
      <c r="D84" s="5" t="inlineStr">
        <is>
          <t>FCC</t>
        </is>
      </c>
      <c r="E84" s="5" t="inlineStr">
        <is>
          <t>FCC</t>
        </is>
      </c>
      <c r="F84" s="6" t="n">
        <v>104</v>
      </c>
      <c r="G84" s="7" t="n">
        <v>0.796</v>
      </c>
      <c r="H84" s="8">
        <f>IF($G84&lt;&gt;"",$G84,SUMIFS(Assumptions!$K$4:$K$8,Assumptions!$J$4:$J$8,$C84))</f>
        <v/>
      </c>
      <c r="I84" s="7" t="n"/>
      <c r="J84" s="9">
        <f>IF($I84&lt;&gt;"",$I84,SUMIFS(Assumptions!$P$4:$P$93,Assumptions!$M$4:$M$93,$C84,Assumptions!$N$4:$N$93,$E84,Assumptions!$O$4:$O$93,"LVN"))</f>
        <v/>
      </c>
      <c r="K84" s="7" t="n"/>
      <c r="L84" s="9">
        <f>IF($K84&lt;&gt;"",$K84,SUMIFS(Assumptions!$P$4:$P$93,Assumptions!$M$4:$M$93,$C84,Assumptions!$N$4:$N$93,$E84,Assumptions!$O$4:$O$93,"HVN"))</f>
        <v/>
      </c>
      <c r="M84" s="9">
        <f>J84+L84</f>
        <v/>
      </c>
      <c r="N84" s="10">
        <f>$F84*$H84*$M84</f>
        <v/>
      </c>
    </row>
    <row r="85">
      <c r="A85" s="4" t="inlineStr">
        <is>
          <t>UNIT</t>
        </is>
      </c>
      <c r="B85" s="5" t="inlineStr">
        <is>
          <t>MARATHON_CATLETTSBURG</t>
        </is>
      </c>
      <c r="C85" s="5" t="n">
        <v>2</v>
      </c>
      <c r="D85" s="5" t="inlineStr">
        <is>
          <t>CCR</t>
        </is>
      </c>
      <c r="E85" s="5" t="inlineStr">
        <is>
          <t>REFORMER</t>
        </is>
      </c>
      <c r="F85" s="6" t="n">
        <v>24.5</v>
      </c>
      <c r="G85" s="7" t="n">
        <v>1</v>
      </c>
      <c r="H85" s="8">
        <f>IF($G85&lt;&gt;"",$G85,SUMIFS(Assumptions!$K$4:$K$8,Assumptions!$J$4:$J$8,$C85))</f>
        <v/>
      </c>
      <c r="I85" s="7" t="n"/>
      <c r="J85" s="9">
        <f>IF($I85&lt;&gt;"",$I85,SUMIFS(Assumptions!$P$4:$P$93,Assumptions!$M$4:$M$93,$C85,Assumptions!$N$4:$N$93,$E85,Assumptions!$O$4:$O$93,"LVN"))</f>
        <v/>
      </c>
      <c r="K85" s="7" t="n"/>
      <c r="L85" s="9">
        <f>IF($K85&lt;&gt;"",$K85,SUMIFS(Assumptions!$P$4:$P$93,Assumptions!$M$4:$M$93,$C85,Assumptions!$N$4:$N$93,$E85,Assumptions!$O$4:$O$93,"HVN"))</f>
        <v/>
      </c>
      <c r="M85" s="9">
        <f>J85+L85</f>
        <v/>
      </c>
      <c r="N85" s="10">
        <f>$F85*$H85*$M85</f>
        <v/>
      </c>
    </row>
    <row r="86">
      <c r="A86" s="4" t="inlineStr">
        <is>
          <t>UNIT</t>
        </is>
      </c>
      <c r="B86" s="5" t="inlineStr">
        <is>
          <t>MARATHON_CATLETTSBURG</t>
        </is>
      </c>
      <c r="C86" s="5" t="n">
        <v>2</v>
      </c>
      <c r="D86" s="5" t="inlineStr">
        <is>
          <t>REF</t>
        </is>
      </c>
      <c r="E86" s="5" t="inlineStr">
        <is>
          <t>REFORMER</t>
        </is>
      </c>
      <c r="F86" s="6" t="n">
        <v>33.5</v>
      </c>
      <c r="G86" s="7" t="n">
        <v>1.1</v>
      </c>
      <c r="H86" s="8">
        <f>IF($G86&lt;&gt;"",$G86,SUMIFS(Assumptions!$K$4:$K$8,Assumptions!$J$4:$J$8,$C86))</f>
        <v/>
      </c>
      <c r="I86" s="7" t="n"/>
      <c r="J86" s="9">
        <f>IF($I86&lt;&gt;"",$I86,SUMIFS(Assumptions!$P$4:$P$93,Assumptions!$M$4:$M$93,$C86,Assumptions!$N$4:$N$93,$E86,Assumptions!$O$4:$O$93,"LVN"))</f>
        <v/>
      </c>
      <c r="K86" s="7" t="n"/>
      <c r="L86" s="9">
        <f>IF($K86&lt;&gt;"",$K86,SUMIFS(Assumptions!$P$4:$P$93,Assumptions!$M$4:$M$93,$C86,Assumptions!$N$4:$N$93,$E86,Assumptions!$O$4:$O$93,"HVN"))</f>
        <v/>
      </c>
      <c r="M86" s="9">
        <f>J86+L86</f>
        <v/>
      </c>
      <c r="N86" s="10">
        <f>$F86*$H86*$M86</f>
        <v/>
      </c>
    </row>
    <row r="87">
      <c r="A87" s="4" t="inlineStr">
        <is>
          <t>UNIT</t>
        </is>
      </c>
      <c r="B87" s="5" t="inlineStr">
        <is>
          <t>MARATHON_CATLETTSBURG</t>
        </is>
      </c>
      <c r="C87" s="5" t="n">
        <v>2</v>
      </c>
      <c r="D87" s="5" t="inlineStr">
        <is>
          <t>ISOM</t>
        </is>
      </c>
      <c r="E87" s="5" t="inlineStr">
        <is>
          <t>ISOM</t>
        </is>
      </c>
      <c r="F87" s="6" t="n">
        <v>17</v>
      </c>
      <c r="G87" s="7" t="n">
        <v>0.833</v>
      </c>
      <c r="H87" s="8">
        <f>IF($G87&lt;&gt;"",$G87,SUMIFS(Assumptions!$K$4:$K$8,Assumptions!$J$4:$J$8,$C87))</f>
        <v/>
      </c>
      <c r="I87" s="7" t="n"/>
      <c r="J87" s="9">
        <f>IF($I87&lt;&gt;"",$I87,SUMIFS(Assumptions!$P$4:$P$93,Assumptions!$M$4:$M$93,$C87,Assumptions!$N$4:$N$93,$E87,Assumptions!$O$4:$O$93,"LVN"))</f>
        <v/>
      </c>
      <c r="K87" s="7" t="n"/>
      <c r="L87" s="9">
        <f>IF($K87&lt;&gt;"",$K87,SUMIFS(Assumptions!$P$4:$P$93,Assumptions!$M$4:$M$93,$C87,Assumptions!$N$4:$N$93,$E87,Assumptions!$O$4:$O$93,"HVN"))</f>
        <v/>
      </c>
      <c r="M87" s="9">
        <f>J87+L87</f>
        <v/>
      </c>
      <c r="N87" s="10">
        <f>$F87*$H87*$M87</f>
        <v/>
      </c>
    </row>
    <row r="88">
      <c r="A88" s="4" t="inlineStr">
        <is>
          <t>UNIT</t>
        </is>
      </c>
      <c r="B88" s="5" t="inlineStr">
        <is>
          <t>MARATHON_CATLETTSBURG</t>
        </is>
      </c>
      <c r="C88" s="5" t="n">
        <v>2</v>
      </c>
      <c r="D88" s="5" t="inlineStr">
        <is>
          <t>ALKY</t>
        </is>
      </c>
      <c r="E88" s="5" t="inlineStr">
        <is>
          <t>ALKY</t>
        </is>
      </c>
      <c r="F88" s="6" t="n">
        <v>21.5</v>
      </c>
      <c r="G88" s="7" t="n">
        <v>1.1</v>
      </c>
      <c r="H88" s="8">
        <f>IF($G88&lt;&gt;"",$G88,SUMIFS(Assumptions!$K$4:$K$8,Assumptions!$J$4:$J$8,$C88))</f>
        <v/>
      </c>
      <c r="I88" s="7" t="n"/>
      <c r="J88" s="9">
        <f>IF($I88&lt;&gt;"",$I88,SUMIFS(Assumptions!$P$4:$P$93,Assumptions!$M$4:$M$93,$C88,Assumptions!$N$4:$N$93,$E88,Assumptions!$O$4:$O$93,"LVN"))</f>
        <v/>
      </c>
      <c r="K88" s="7" t="n"/>
      <c r="L88" s="9">
        <f>IF($K88&lt;&gt;"",$K88,SUMIFS(Assumptions!$P$4:$P$93,Assumptions!$M$4:$M$93,$C88,Assumptions!$N$4:$N$93,$E88,Assumptions!$O$4:$O$93,"HVN"))</f>
        <v/>
      </c>
      <c r="M88" s="9">
        <f>J88+L88</f>
        <v/>
      </c>
      <c r="N88" s="10">
        <f>$F88*$H88*$M88</f>
        <v/>
      </c>
    </row>
    <row r="89">
      <c r="A89" s="11" t="inlineStr">
        <is>
          <t>TOTAL</t>
        </is>
      </c>
      <c r="B89" s="12" t="inlineStr">
        <is>
          <t>MARATHON_CATLETTSBURG</t>
        </is>
      </c>
      <c r="C89" s="12" t="n">
        <v>2</v>
      </c>
      <c r="D89" s="12" t="inlineStr">
        <is>
          <t>NET NAPHTHA</t>
        </is>
      </c>
      <c r="N89" s="13">
        <f>SUM(N82:N88)</f>
        <v/>
      </c>
    </row>
    <row r="91">
      <c r="A91" s="1" t="inlineStr">
        <is>
          <t xml:space="preserve">  Marathon Petroleum Robinson  [MARATHON_ROBINSON]   —   Marathon Petroleum   —   PADD 2   —   crude 278 kbd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</row>
    <row r="92">
      <c r="A92" s="4" t="inlineStr">
        <is>
          <t>UNIT</t>
        </is>
      </c>
      <c r="B92" s="5" t="inlineStr">
        <is>
          <t>MARATHON_ROBINSON</t>
        </is>
      </c>
      <c r="C92" s="5" t="n">
        <v>2</v>
      </c>
      <c r="D92" s="5" t="inlineStr">
        <is>
          <t>CDU</t>
        </is>
      </c>
      <c r="E92" s="5" t="inlineStr">
        <is>
          <t>CDU</t>
        </is>
      </c>
      <c r="F92" s="6" t="n">
        <v>266</v>
      </c>
      <c r="G92" s="7" t="n">
        <v>0.924</v>
      </c>
      <c r="H92" s="8">
        <f>IF($G92&lt;&gt;"",$G92,SUMIFS(Assumptions!$K$4:$K$8,Assumptions!$J$4:$J$8,$C92))</f>
        <v/>
      </c>
      <c r="I92" s="7" t="n"/>
      <c r="J92" s="9">
        <f>IF($I92&lt;&gt;"",$I92,SUMIFS(Assumptions!$P$4:$P$93,Assumptions!$M$4:$M$93,$C92,Assumptions!$N$4:$N$93,$E92,Assumptions!$O$4:$O$93,"LVN"))</f>
        <v/>
      </c>
      <c r="K92" s="7" t="n"/>
      <c r="L92" s="9">
        <f>IF($K92&lt;&gt;"",$K92,SUMIFS(Assumptions!$P$4:$P$93,Assumptions!$M$4:$M$93,$C92,Assumptions!$N$4:$N$93,$E92,Assumptions!$O$4:$O$93,"HVN"))</f>
        <v/>
      </c>
      <c r="M92" s="9">
        <f>J92+L92</f>
        <v/>
      </c>
      <c r="N92" s="10">
        <f>$F92*$H92*$M92</f>
        <v/>
      </c>
    </row>
    <row r="93">
      <c r="A93" s="4" t="inlineStr">
        <is>
          <t>UNIT</t>
        </is>
      </c>
      <c r="B93" s="5" t="inlineStr">
        <is>
          <t>MARATHON_ROBINSON</t>
        </is>
      </c>
      <c r="C93" s="5" t="n">
        <v>2</v>
      </c>
      <c r="D93" s="5" t="inlineStr">
        <is>
          <t>VDU</t>
        </is>
      </c>
      <c r="E93" s="5" t="inlineStr">
        <is>
          <t>VDU</t>
        </is>
      </c>
      <c r="F93" s="6" t="n">
        <v>76</v>
      </c>
      <c r="G93" s="7" t="n">
        <v>1</v>
      </c>
      <c r="H93" s="8">
        <f>IF($G93&lt;&gt;"",$G93,SUMIFS(Assumptions!$K$4:$K$8,Assumptions!$J$4:$J$8,$C93))</f>
        <v/>
      </c>
      <c r="I93" s="7" t="n"/>
      <c r="J93" s="9">
        <f>IF($I93&lt;&gt;"",$I93,SUMIFS(Assumptions!$P$4:$P$93,Assumptions!$M$4:$M$93,$C93,Assumptions!$N$4:$N$93,$E93,Assumptions!$O$4:$O$93,"LVN"))</f>
        <v/>
      </c>
      <c r="K93" s="7" t="n"/>
      <c r="L93" s="9">
        <f>IF($K93&lt;&gt;"",$K93,SUMIFS(Assumptions!$P$4:$P$93,Assumptions!$M$4:$M$93,$C93,Assumptions!$N$4:$N$93,$E93,Assumptions!$O$4:$O$93,"HVN"))</f>
        <v/>
      </c>
      <c r="M93" s="9">
        <f>J93+L93</f>
        <v/>
      </c>
      <c r="N93" s="10">
        <f>$F93*$H93*$M93</f>
        <v/>
      </c>
    </row>
    <row r="94">
      <c r="A94" s="4" t="inlineStr">
        <is>
          <t>UNIT</t>
        </is>
      </c>
      <c r="B94" s="5" t="inlineStr">
        <is>
          <t>MARATHON_ROBINSON</t>
        </is>
      </c>
      <c r="C94" s="5" t="n">
        <v>2</v>
      </c>
      <c r="D94" s="5" t="inlineStr">
        <is>
          <t>FCC</t>
        </is>
      </c>
      <c r="E94" s="5" t="inlineStr">
        <is>
          <t>FCC</t>
        </is>
      </c>
      <c r="F94" s="6" t="n">
        <v>54.5</v>
      </c>
      <c r="G94" s="7" t="n">
        <v>0.973</v>
      </c>
      <c r="H94" s="8">
        <f>IF($G94&lt;&gt;"",$G94,SUMIFS(Assumptions!$K$4:$K$8,Assumptions!$J$4:$J$8,$C94))</f>
        <v/>
      </c>
      <c r="I94" s="7" t="n"/>
      <c r="J94" s="9">
        <f>IF($I94&lt;&gt;"",$I94,SUMIFS(Assumptions!$P$4:$P$93,Assumptions!$M$4:$M$93,$C94,Assumptions!$N$4:$N$93,$E94,Assumptions!$O$4:$O$93,"LVN"))</f>
        <v/>
      </c>
      <c r="K94" s="7" t="n"/>
      <c r="L94" s="9">
        <f>IF($K94&lt;&gt;"",$K94,SUMIFS(Assumptions!$P$4:$P$93,Assumptions!$M$4:$M$93,$C94,Assumptions!$N$4:$N$93,$E94,Assumptions!$O$4:$O$93,"HVN"))</f>
        <v/>
      </c>
      <c r="M94" s="9">
        <f>J94+L94</f>
        <v/>
      </c>
      <c r="N94" s="10">
        <f>$F94*$H94*$M94</f>
        <v/>
      </c>
    </row>
    <row r="95">
      <c r="A95" s="4" t="inlineStr">
        <is>
          <t>UNIT</t>
        </is>
      </c>
      <c r="B95" s="5" t="inlineStr">
        <is>
          <t>MARATHON_ROBINSON</t>
        </is>
      </c>
      <c r="C95" s="5" t="n">
        <v>2</v>
      </c>
      <c r="D95" s="5" t="inlineStr">
        <is>
          <t>DHCU</t>
        </is>
      </c>
      <c r="E95" s="5" t="inlineStr">
        <is>
          <t>HYDROCRACKER</t>
        </is>
      </c>
      <c r="F95" s="6" t="n">
        <v>44</v>
      </c>
      <c r="G95" s="7" t="n">
        <v>0.995</v>
      </c>
      <c r="H95" s="8">
        <f>IF($G95&lt;&gt;"",$G95,SUMIFS(Assumptions!$K$4:$K$8,Assumptions!$J$4:$J$8,$C95))</f>
        <v/>
      </c>
      <c r="I95" s="7" t="n"/>
      <c r="J95" s="9">
        <f>IF($I95&lt;&gt;"",$I95,SUMIFS(Assumptions!$P$4:$P$93,Assumptions!$M$4:$M$93,$C95,Assumptions!$N$4:$N$93,$E95,Assumptions!$O$4:$O$93,"LVN"))</f>
        <v/>
      </c>
      <c r="K95" s="7" t="n"/>
      <c r="L95" s="9">
        <f>IF($K95&lt;&gt;"",$K95,SUMIFS(Assumptions!$P$4:$P$93,Assumptions!$M$4:$M$93,$C95,Assumptions!$N$4:$N$93,$E95,Assumptions!$O$4:$O$93,"HVN"))</f>
        <v/>
      </c>
      <c r="M95" s="9">
        <f>J95+L95</f>
        <v/>
      </c>
      <c r="N95" s="10">
        <f>$F95*$H95*$M95</f>
        <v/>
      </c>
    </row>
    <row r="96">
      <c r="A96" s="4" t="inlineStr">
        <is>
          <t>UNIT</t>
        </is>
      </c>
      <c r="B96" s="5" t="inlineStr">
        <is>
          <t>MARATHON_ROBINSON</t>
        </is>
      </c>
      <c r="C96" s="5" t="n">
        <v>2</v>
      </c>
      <c r="D96" s="5" t="inlineStr">
        <is>
          <t>COKER</t>
        </is>
      </c>
      <c r="E96" s="5" t="inlineStr">
        <is>
          <t>COKER</t>
        </is>
      </c>
      <c r="F96" s="6" t="n">
        <v>30.5</v>
      </c>
      <c r="G96" s="7" t="n">
        <v>1.1</v>
      </c>
      <c r="H96" s="8">
        <f>IF($G96&lt;&gt;"",$G96,SUMIFS(Assumptions!$K$4:$K$8,Assumptions!$J$4:$J$8,$C96))</f>
        <v/>
      </c>
      <c r="I96" s="7" t="n"/>
      <c r="J96" s="9">
        <f>IF($I96&lt;&gt;"",$I96,SUMIFS(Assumptions!$P$4:$P$93,Assumptions!$M$4:$M$93,$C96,Assumptions!$N$4:$N$93,$E96,Assumptions!$O$4:$O$93,"LVN"))</f>
        <v/>
      </c>
      <c r="K96" s="7" t="n"/>
      <c r="L96" s="9">
        <f>IF($K96&lt;&gt;"",$K96,SUMIFS(Assumptions!$P$4:$P$93,Assumptions!$M$4:$M$93,$C96,Assumptions!$N$4:$N$93,$E96,Assumptions!$O$4:$O$93,"HVN"))</f>
        <v/>
      </c>
      <c r="M96" s="9">
        <f>J96+L96</f>
        <v/>
      </c>
      <c r="N96" s="10">
        <f>$F96*$H96*$M96</f>
        <v/>
      </c>
    </row>
    <row r="97">
      <c r="A97" s="4" t="inlineStr">
        <is>
          <t>UNIT</t>
        </is>
      </c>
      <c r="B97" s="5" t="inlineStr">
        <is>
          <t>MARATHON_ROBINSON</t>
        </is>
      </c>
      <c r="C97" s="5" t="n">
        <v>2</v>
      </c>
      <c r="D97" s="5" t="inlineStr">
        <is>
          <t>CCR</t>
        </is>
      </c>
      <c r="E97" s="5" t="inlineStr">
        <is>
          <t>REFORMER</t>
        </is>
      </c>
      <c r="F97" s="6" t="n">
        <v>82</v>
      </c>
      <c r="G97" s="7" t="n">
        <v>0.399</v>
      </c>
      <c r="H97" s="8">
        <f>IF($G97&lt;&gt;"",$G97,SUMIFS(Assumptions!$K$4:$K$8,Assumptions!$J$4:$J$8,$C97))</f>
        <v/>
      </c>
      <c r="I97" s="7" t="n"/>
      <c r="J97" s="9">
        <f>IF($I97&lt;&gt;"",$I97,SUMIFS(Assumptions!$P$4:$P$93,Assumptions!$M$4:$M$93,$C97,Assumptions!$N$4:$N$93,$E97,Assumptions!$O$4:$O$93,"LVN"))</f>
        <v/>
      </c>
      <c r="K97" s="7" t="n"/>
      <c r="L97" s="9">
        <f>IF($K97&lt;&gt;"",$K97,SUMIFS(Assumptions!$P$4:$P$93,Assumptions!$M$4:$M$93,$C97,Assumptions!$N$4:$N$93,$E97,Assumptions!$O$4:$O$93,"HVN"))</f>
        <v/>
      </c>
      <c r="M97" s="9">
        <f>J97+L97</f>
        <v/>
      </c>
      <c r="N97" s="10">
        <f>$F97*$H97*$M97</f>
        <v/>
      </c>
    </row>
    <row r="98">
      <c r="A98" s="4" t="inlineStr">
        <is>
          <t>UNIT</t>
        </is>
      </c>
      <c r="B98" s="5" t="inlineStr">
        <is>
          <t>MARATHON_ROBINSON</t>
        </is>
      </c>
      <c r="C98" s="5" t="n">
        <v>2</v>
      </c>
      <c r="D98" s="5" t="inlineStr">
        <is>
          <t>ISOM</t>
        </is>
      </c>
      <c r="E98" s="5" t="inlineStr">
        <is>
          <t>ISOM</t>
        </is>
      </c>
      <c r="F98" s="6" t="n">
        <v>16</v>
      </c>
      <c r="G98" s="7" t="n">
        <v>0.851</v>
      </c>
      <c r="H98" s="8">
        <f>IF($G98&lt;&gt;"",$G98,SUMIFS(Assumptions!$K$4:$K$8,Assumptions!$J$4:$J$8,$C98))</f>
        <v/>
      </c>
      <c r="I98" s="7" t="n"/>
      <c r="J98" s="9">
        <f>IF($I98&lt;&gt;"",$I98,SUMIFS(Assumptions!$P$4:$P$93,Assumptions!$M$4:$M$93,$C98,Assumptions!$N$4:$N$93,$E98,Assumptions!$O$4:$O$93,"LVN"))</f>
        <v/>
      </c>
      <c r="K98" s="7" t="n"/>
      <c r="L98" s="9">
        <f>IF($K98&lt;&gt;"",$K98,SUMIFS(Assumptions!$P$4:$P$93,Assumptions!$M$4:$M$93,$C98,Assumptions!$N$4:$N$93,$E98,Assumptions!$O$4:$O$93,"HVN"))</f>
        <v/>
      </c>
      <c r="M98" s="9">
        <f>J98+L98</f>
        <v/>
      </c>
      <c r="N98" s="10">
        <f>$F98*$H98*$M98</f>
        <v/>
      </c>
    </row>
    <row r="99">
      <c r="A99" s="4" t="inlineStr">
        <is>
          <t>UNIT</t>
        </is>
      </c>
      <c r="B99" s="5" t="inlineStr">
        <is>
          <t>MARATHON_ROBINSON</t>
        </is>
      </c>
      <c r="C99" s="5" t="n">
        <v>2</v>
      </c>
      <c r="D99" s="5" t="inlineStr">
        <is>
          <t>ALKY</t>
        </is>
      </c>
      <c r="E99" s="5" t="inlineStr">
        <is>
          <t>ALKY</t>
        </is>
      </c>
      <c r="F99" s="6" t="n">
        <v>12.5</v>
      </c>
      <c r="G99" s="7" t="n">
        <v>1.1</v>
      </c>
      <c r="H99" s="8">
        <f>IF($G99&lt;&gt;"",$G99,SUMIFS(Assumptions!$K$4:$K$8,Assumptions!$J$4:$J$8,$C99))</f>
        <v/>
      </c>
      <c r="I99" s="7" t="n"/>
      <c r="J99" s="9">
        <f>IF($I99&lt;&gt;"",$I99,SUMIFS(Assumptions!$P$4:$P$93,Assumptions!$M$4:$M$93,$C99,Assumptions!$N$4:$N$93,$E99,Assumptions!$O$4:$O$93,"LVN"))</f>
        <v/>
      </c>
      <c r="K99" s="7" t="n"/>
      <c r="L99" s="9">
        <f>IF($K99&lt;&gt;"",$K99,SUMIFS(Assumptions!$P$4:$P$93,Assumptions!$M$4:$M$93,$C99,Assumptions!$N$4:$N$93,$E99,Assumptions!$O$4:$O$93,"HVN"))</f>
        <v/>
      </c>
      <c r="M99" s="9">
        <f>J99+L99</f>
        <v/>
      </c>
      <c r="N99" s="10">
        <f>$F99*$H99*$M99</f>
        <v/>
      </c>
    </row>
    <row r="100">
      <c r="A100" s="11" t="inlineStr">
        <is>
          <t>TOTAL</t>
        </is>
      </c>
      <c r="B100" s="12" t="inlineStr">
        <is>
          <t>MARATHON_ROBINSON</t>
        </is>
      </c>
      <c r="C100" s="12" t="n">
        <v>2</v>
      </c>
      <c r="D100" s="12" t="inlineStr">
        <is>
          <t>NET NAPHTHA</t>
        </is>
      </c>
      <c r="N100" s="13">
        <f>SUM(N92:N99)</f>
        <v/>
      </c>
    </row>
    <row r="102">
      <c r="A102" s="1" t="inlineStr">
        <is>
          <t xml:space="preserve">  ExxonMobil Joliet  [EXXONMOBIL_JOLIET]   —   ExxonMobil   —   PADD 2   —   crude 252 kbd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</row>
    <row r="103">
      <c r="A103" s="4" t="inlineStr">
        <is>
          <t>UNIT</t>
        </is>
      </c>
      <c r="B103" s="5" t="inlineStr">
        <is>
          <t>EXXONMOBIL_JOLIET</t>
        </is>
      </c>
      <c r="C103" s="5" t="n">
        <v>2</v>
      </c>
      <c r="D103" s="5" t="inlineStr">
        <is>
          <t>CDU</t>
        </is>
      </c>
      <c r="E103" s="5" t="inlineStr">
        <is>
          <t>CDU</t>
        </is>
      </c>
      <c r="F103" s="6" t="n">
        <v>275</v>
      </c>
      <c r="G103" s="7" t="n">
        <v>0.989</v>
      </c>
      <c r="H103" s="8">
        <f>IF($G103&lt;&gt;"",$G103,SUMIFS(Assumptions!$K$4:$K$8,Assumptions!$J$4:$J$8,$C103))</f>
        <v/>
      </c>
      <c r="I103" s="7" t="n"/>
      <c r="J103" s="9">
        <f>IF($I103&lt;&gt;"",$I103,SUMIFS(Assumptions!$P$4:$P$93,Assumptions!$M$4:$M$93,$C103,Assumptions!$N$4:$N$93,$E103,Assumptions!$O$4:$O$93,"LVN"))</f>
        <v/>
      </c>
      <c r="K103" s="7" t="n"/>
      <c r="L103" s="9">
        <f>IF($K103&lt;&gt;"",$K103,SUMIFS(Assumptions!$P$4:$P$93,Assumptions!$M$4:$M$93,$C103,Assumptions!$N$4:$N$93,$E103,Assumptions!$O$4:$O$93,"HVN"))</f>
        <v/>
      </c>
      <c r="M103" s="9">
        <f>J103+L103</f>
        <v/>
      </c>
      <c r="N103" s="10">
        <f>$F103*$H103*$M103</f>
        <v/>
      </c>
    </row>
    <row r="104">
      <c r="A104" s="4" t="inlineStr">
        <is>
          <t>UNIT</t>
        </is>
      </c>
      <c r="B104" s="5" t="inlineStr">
        <is>
          <t>EXXONMOBIL_JOLIET</t>
        </is>
      </c>
      <c r="C104" s="5" t="n">
        <v>2</v>
      </c>
      <c r="D104" s="5" t="inlineStr">
        <is>
          <t>VDU</t>
        </is>
      </c>
      <c r="E104" s="5" t="inlineStr">
        <is>
          <t>VDU</t>
        </is>
      </c>
      <c r="F104" s="6" t="n">
        <v>126.7</v>
      </c>
      <c r="G104" s="7" t="n">
        <v>0.999</v>
      </c>
      <c r="H104" s="8">
        <f>IF($G104&lt;&gt;"",$G104,SUMIFS(Assumptions!$K$4:$K$8,Assumptions!$J$4:$J$8,$C104))</f>
        <v/>
      </c>
      <c r="I104" s="7" t="n"/>
      <c r="J104" s="9">
        <f>IF($I104&lt;&gt;"",$I104,SUMIFS(Assumptions!$P$4:$P$93,Assumptions!$M$4:$M$93,$C104,Assumptions!$N$4:$N$93,$E104,Assumptions!$O$4:$O$93,"LVN"))</f>
        <v/>
      </c>
      <c r="K104" s="7" t="n"/>
      <c r="L104" s="9">
        <f>IF($K104&lt;&gt;"",$K104,SUMIFS(Assumptions!$P$4:$P$93,Assumptions!$M$4:$M$93,$C104,Assumptions!$N$4:$N$93,$E104,Assumptions!$O$4:$O$93,"HVN"))</f>
        <v/>
      </c>
      <c r="M104" s="9">
        <f>J104+L104</f>
        <v/>
      </c>
      <c r="N104" s="10">
        <f>$F104*$H104*$M104</f>
        <v/>
      </c>
    </row>
    <row r="105">
      <c r="A105" s="4" t="inlineStr">
        <is>
          <t>UNIT</t>
        </is>
      </c>
      <c r="B105" s="5" t="inlineStr">
        <is>
          <t>EXXONMOBIL_JOLIET</t>
        </is>
      </c>
      <c r="C105" s="5" t="n">
        <v>2</v>
      </c>
      <c r="D105" s="5" t="inlineStr">
        <is>
          <t>FCC</t>
        </is>
      </c>
      <c r="E105" s="5" t="inlineStr">
        <is>
          <t>FCC</t>
        </is>
      </c>
      <c r="F105" s="6" t="n">
        <v>99.3</v>
      </c>
      <c r="G105" s="7" t="n">
        <v>1</v>
      </c>
      <c r="H105" s="8">
        <f>IF($G105&lt;&gt;"",$G105,SUMIFS(Assumptions!$K$4:$K$8,Assumptions!$J$4:$J$8,$C105))</f>
        <v/>
      </c>
      <c r="I105" s="7" t="n"/>
      <c r="J105" s="9">
        <f>IF($I105&lt;&gt;"",$I105,SUMIFS(Assumptions!$P$4:$P$93,Assumptions!$M$4:$M$93,$C105,Assumptions!$N$4:$N$93,$E105,Assumptions!$O$4:$O$93,"LVN"))</f>
        <v/>
      </c>
      <c r="K105" s="7" t="n"/>
      <c r="L105" s="9">
        <f>IF($K105&lt;&gt;"",$K105,SUMIFS(Assumptions!$P$4:$P$93,Assumptions!$M$4:$M$93,$C105,Assumptions!$N$4:$N$93,$E105,Assumptions!$O$4:$O$93,"HVN"))</f>
        <v/>
      </c>
      <c r="M105" s="9">
        <f>J105+L105</f>
        <v/>
      </c>
      <c r="N105" s="10">
        <f>$F105*$H105*$M105</f>
        <v/>
      </c>
    </row>
    <row r="106">
      <c r="A106" s="4" t="inlineStr">
        <is>
          <t>UNIT</t>
        </is>
      </c>
      <c r="B106" s="5" t="inlineStr">
        <is>
          <t>EXXONMOBIL_JOLIET</t>
        </is>
      </c>
      <c r="C106" s="5" t="n">
        <v>2</v>
      </c>
      <c r="D106" s="5" t="inlineStr">
        <is>
          <t>COKER</t>
        </is>
      </c>
      <c r="E106" s="5" t="inlineStr">
        <is>
          <t>COKER</t>
        </is>
      </c>
      <c r="F106" s="6" t="n">
        <v>57.5</v>
      </c>
      <c r="G106" s="7" t="n">
        <v>0.899</v>
      </c>
      <c r="H106" s="8">
        <f>IF($G106&lt;&gt;"",$G106,SUMIFS(Assumptions!$K$4:$K$8,Assumptions!$J$4:$J$8,$C106))</f>
        <v/>
      </c>
      <c r="I106" s="7" t="n"/>
      <c r="J106" s="9">
        <f>IF($I106&lt;&gt;"",$I106,SUMIFS(Assumptions!$P$4:$P$93,Assumptions!$M$4:$M$93,$C106,Assumptions!$N$4:$N$93,$E106,Assumptions!$O$4:$O$93,"LVN"))</f>
        <v/>
      </c>
      <c r="K106" s="7" t="n"/>
      <c r="L106" s="9">
        <f>IF($K106&lt;&gt;"",$K106,SUMIFS(Assumptions!$P$4:$P$93,Assumptions!$M$4:$M$93,$C106,Assumptions!$N$4:$N$93,$E106,Assumptions!$O$4:$O$93,"HVN"))</f>
        <v/>
      </c>
      <c r="M106" s="9">
        <f>J106+L106</f>
        <v/>
      </c>
      <c r="N106" s="10">
        <f>$F106*$H106*$M106</f>
        <v/>
      </c>
    </row>
    <row r="107">
      <c r="A107" s="4" t="inlineStr">
        <is>
          <t>UNIT</t>
        </is>
      </c>
      <c r="B107" s="5" t="inlineStr">
        <is>
          <t>EXXONMOBIL_JOLIET</t>
        </is>
      </c>
      <c r="C107" s="5" t="n">
        <v>2</v>
      </c>
      <c r="D107" s="5" t="inlineStr">
        <is>
          <t>CCR</t>
        </is>
      </c>
      <c r="E107" s="5" t="inlineStr">
        <is>
          <t>REFORMER</t>
        </is>
      </c>
      <c r="F107" s="6" t="n">
        <v>52.6</v>
      </c>
      <c r="G107" s="7" t="n">
        <v>0.957</v>
      </c>
      <c r="H107" s="8">
        <f>IF($G107&lt;&gt;"",$G107,SUMIFS(Assumptions!$K$4:$K$8,Assumptions!$J$4:$J$8,$C107))</f>
        <v/>
      </c>
      <c r="I107" s="7" t="n"/>
      <c r="J107" s="9">
        <f>IF($I107&lt;&gt;"",$I107,SUMIFS(Assumptions!$P$4:$P$93,Assumptions!$M$4:$M$93,$C107,Assumptions!$N$4:$N$93,$E107,Assumptions!$O$4:$O$93,"LVN"))</f>
        <v/>
      </c>
      <c r="K107" s="7" t="n"/>
      <c r="L107" s="9">
        <f>IF($K107&lt;&gt;"",$K107,SUMIFS(Assumptions!$P$4:$P$93,Assumptions!$M$4:$M$93,$C107,Assumptions!$N$4:$N$93,$E107,Assumptions!$O$4:$O$93,"HVN"))</f>
        <v/>
      </c>
      <c r="M107" s="9">
        <f>J107+L107</f>
        <v/>
      </c>
      <c r="N107" s="10">
        <f>$F107*$H107*$M107</f>
        <v/>
      </c>
    </row>
    <row r="108">
      <c r="A108" s="4" t="inlineStr">
        <is>
          <t>UNIT</t>
        </is>
      </c>
      <c r="B108" s="5" t="inlineStr">
        <is>
          <t>EXXONMOBIL_JOLIET</t>
        </is>
      </c>
      <c r="C108" s="5" t="n">
        <v>2</v>
      </c>
      <c r="D108" s="5" t="inlineStr">
        <is>
          <t>ALKY</t>
        </is>
      </c>
      <c r="E108" s="5" t="inlineStr">
        <is>
          <t>ALKY</t>
        </is>
      </c>
      <c r="F108" s="6" t="n">
        <v>29.1</v>
      </c>
      <c r="G108" s="7" t="n">
        <v>1.034</v>
      </c>
      <c r="H108" s="8">
        <f>IF($G108&lt;&gt;"",$G108,SUMIFS(Assumptions!$K$4:$K$8,Assumptions!$J$4:$J$8,$C108))</f>
        <v/>
      </c>
      <c r="I108" s="7" t="n"/>
      <c r="J108" s="9">
        <f>IF($I108&lt;&gt;"",$I108,SUMIFS(Assumptions!$P$4:$P$93,Assumptions!$M$4:$M$93,$C108,Assumptions!$N$4:$N$93,$E108,Assumptions!$O$4:$O$93,"LVN"))</f>
        <v/>
      </c>
      <c r="K108" s="7" t="n"/>
      <c r="L108" s="9">
        <f>IF($K108&lt;&gt;"",$K108,SUMIFS(Assumptions!$P$4:$P$93,Assumptions!$M$4:$M$93,$C108,Assumptions!$N$4:$N$93,$E108,Assumptions!$O$4:$O$93,"HVN"))</f>
        <v/>
      </c>
      <c r="M108" s="9">
        <f>J108+L108</f>
        <v/>
      </c>
      <c r="N108" s="10">
        <f>$F108*$H108*$M108</f>
        <v/>
      </c>
    </row>
    <row r="109">
      <c r="A109" s="11" t="inlineStr">
        <is>
          <t>TOTAL</t>
        </is>
      </c>
      <c r="B109" s="12" t="inlineStr">
        <is>
          <t>EXXONMOBIL_JOLIET</t>
        </is>
      </c>
      <c r="C109" s="12" t="n">
        <v>2</v>
      </c>
      <c r="D109" s="12" t="inlineStr">
        <is>
          <t>NET NAPHTHA</t>
        </is>
      </c>
      <c r="N109" s="13">
        <f>SUM(N103:N108)</f>
        <v/>
      </c>
    </row>
    <row r="111">
      <c r="A111" s="1" t="inlineStr">
        <is>
          <t xml:space="preserve">  Phillips 66 Co. Ponca City  [PHILLIPS_PONCA_CITY]   —   Phillips 66 Co.   —   PADD 2   —   crude 225 kbd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</row>
    <row r="112">
      <c r="A112" s="4" t="inlineStr">
        <is>
          <t>UNIT</t>
        </is>
      </c>
      <c r="B112" s="5" t="inlineStr">
        <is>
          <t>PHILLIPS_PONCA_CITY</t>
        </is>
      </c>
      <c r="C112" s="5" t="n">
        <v>2</v>
      </c>
      <c r="D112" s="5" t="inlineStr">
        <is>
          <t>CDU</t>
        </is>
      </c>
      <c r="E112" s="5" t="inlineStr">
        <is>
          <t>CDU</t>
        </is>
      </c>
      <c r="F112" s="6" t="n">
        <v>226.67</v>
      </c>
      <c r="G112" s="7" t="n">
        <v>0.87</v>
      </c>
      <c r="H112" s="8">
        <f>IF($G112&lt;&gt;"",$G112,SUMIFS(Assumptions!$K$4:$K$8,Assumptions!$J$4:$J$8,$C112))</f>
        <v/>
      </c>
      <c r="I112" s="7" t="n"/>
      <c r="J112" s="9">
        <f>IF($I112&lt;&gt;"",$I112,SUMIFS(Assumptions!$P$4:$P$93,Assumptions!$M$4:$M$93,$C112,Assumptions!$N$4:$N$93,$E112,Assumptions!$O$4:$O$93,"LVN"))</f>
        <v/>
      </c>
      <c r="K112" s="7" t="n"/>
      <c r="L112" s="9">
        <f>IF($K112&lt;&gt;"",$K112,SUMIFS(Assumptions!$P$4:$P$93,Assumptions!$M$4:$M$93,$C112,Assumptions!$N$4:$N$93,$E112,Assumptions!$O$4:$O$93,"HVN"))</f>
        <v/>
      </c>
      <c r="M112" s="9">
        <f>J112+L112</f>
        <v/>
      </c>
      <c r="N112" s="10">
        <f>$F112*$H112*$M112</f>
        <v/>
      </c>
    </row>
    <row r="113">
      <c r="A113" s="4" t="inlineStr">
        <is>
          <t>UNIT</t>
        </is>
      </c>
      <c r="B113" s="5" t="inlineStr">
        <is>
          <t>PHILLIPS_PONCA_CITY</t>
        </is>
      </c>
      <c r="C113" s="5" t="n">
        <v>2</v>
      </c>
      <c r="D113" s="5" t="inlineStr">
        <is>
          <t>VDU</t>
        </is>
      </c>
      <c r="E113" s="5" t="inlineStr">
        <is>
          <t>VDU</t>
        </is>
      </c>
      <c r="F113" s="6" t="n">
        <v>89.04000000000001</v>
      </c>
      <c r="G113" s="7" t="n">
        <v>0.65</v>
      </c>
      <c r="H113" s="8">
        <f>IF($G113&lt;&gt;"",$G113,SUMIFS(Assumptions!$K$4:$K$8,Assumptions!$J$4:$J$8,$C113))</f>
        <v/>
      </c>
      <c r="I113" s="7" t="n"/>
      <c r="J113" s="9">
        <f>IF($I113&lt;&gt;"",$I113,SUMIFS(Assumptions!$P$4:$P$93,Assumptions!$M$4:$M$93,$C113,Assumptions!$N$4:$N$93,$E113,Assumptions!$O$4:$O$93,"LVN"))</f>
        <v/>
      </c>
      <c r="K113" s="7" t="n"/>
      <c r="L113" s="9">
        <f>IF($K113&lt;&gt;"",$K113,SUMIFS(Assumptions!$P$4:$P$93,Assumptions!$M$4:$M$93,$C113,Assumptions!$N$4:$N$93,$E113,Assumptions!$O$4:$O$93,"HVN"))</f>
        <v/>
      </c>
      <c r="M113" s="9">
        <f>J113+L113</f>
        <v/>
      </c>
      <c r="N113" s="10">
        <f>$F113*$H113*$M113</f>
        <v/>
      </c>
    </row>
    <row r="114">
      <c r="A114" s="4" t="inlineStr">
        <is>
          <t>UNIT</t>
        </is>
      </c>
      <c r="B114" s="5" t="inlineStr">
        <is>
          <t>PHILLIPS_PONCA_CITY</t>
        </is>
      </c>
      <c r="C114" s="5" t="n">
        <v>2</v>
      </c>
      <c r="D114" s="5" t="inlineStr">
        <is>
          <t>FCC</t>
        </is>
      </c>
      <c r="E114" s="5" t="inlineStr">
        <is>
          <t>FCC</t>
        </is>
      </c>
      <c r="F114" s="6" t="n">
        <v>76.91</v>
      </c>
      <c r="G114" s="7" t="n">
        <v>0.731</v>
      </c>
      <c r="H114" s="8">
        <f>IF($G114&lt;&gt;"",$G114,SUMIFS(Assumptions!$K$4:$K$8,Assumptions!$J$4:$J$8,$C114))</f>
        <v/>
      </c>
      <c r="I114" s="7" t="n"/>
      <c r="J114" s="9">
        <f>IF($I114&lt;&gt;"",$I114,SUMIFS(Assumptions!$P$4:$P$93,Assumptions!$M$4:$M$93,$C114,Assumptions!$N$4:$N$93,$E114,Assumptions!$O$4:$O$93,"LVN"))</f>
        <v/>
      </c>
      <c r="K114" s="7" t="n"/>
      <c r="L114" s="9">
        <f>IF($K114&lt;&gt;"",$K114,SUMIFS(Assumptions!$P$4:$P$93,Assumptions!$M$4:$M$93,$C114,Assumptions!$N$4:$N$93,$E114,Assumptions!$O$4:$O$93,"HVN"))</f>
        <v/>
      </c>
      <c r="M114" s="9">
        <f>J114+L114</f>
        <v/>
      </c>
      <c r="N114" s="10">
        <f>$F114*$H114*$M114</f>
        <v/>
      </c>
    </row>
    <row r="115">
      <c r="A115" s="4" t="inlineStr">
        <is>
          <t>UNIT</t>
        </is>
      </c>
      <c r="B115" s="5" t="inlineStr">
        <is>
          <t>PHILLIPS_PONCA_CITY</t>
        </is>
      </c>
      <c r="C115" s="5" t="n">
        <v>2</v>
      </c>
      <c r="D115" s="5" t="inlineStr">
        <is>
          <t>COKER</t>
        </is>
      </c>
      <c r="E115" s="5" t="inlineStr">
        <is>
          <t>COKER</t>
        </is>
      </c>
      <c r="F115" s="6" t="n">
        <v>27.39</v>
      </c>
      <c r="G115" s="7" t="n">
        <v>0.672</v>
      </c>
      <c r="H115" s="8">
        <f>IF($G115&lt;&gt;"",$G115,SUMIFS(Assumptions!$K$4:$K$8,Assumptions!$J$4:$J$8,$C115))</f>
        <v/>
      </c>
      <c r="I115" s="7" t="n"/>
      <c r="J115" s="9">
        <f>IF($I115&lt;&gt;"",$I115,SUMIFS(Assumptions!$P$4:$P$93,Assumptions!$M$4:$M$93,$C115,Assumptions!$N$4:$N$93,$E115,Assumptions!$O$4:$O$93,"LVN"))</f>
        <v/>
      </c>
      <c r="K115" s="7" t="n"/>
      <c r="L115" s="9">
        <f>IF($K115&lt;&gt;"",$K115,SUMIFS(Assumptions!$P$4:$P$93,Assumptions!$M$4:$M$93,$C115,Assumptions!$N$4:$N$93,$E115,Assumptions!$O$4:$O$93,"HVN"))</f>
        <v/>
      </c>
      <c r="M115" s="9">
        <f>J115+L115</f>
        <v/>
      </c>
      <c r="N115" s="10">
        <f>$F115*$H115*$M115</f>
        <v/>
      </c>
    </row>
    <row r="116">
      <c r="A116" s="4" t="inlineStr">
        <is>
          <t>UNIT</t>
        </is>
      </c>
      <c r="B116" s="5" t="inlineStr">
        <is>
          <t>PHILLIPS_PONCA_CITY</t>
        </is>
      </c>
      <c r="C116" s="5" t="n">
        <v>2</v>
      </c>
      <c r="D116" s="5" t="inlineStr">
        <is>
          <t>REF</t>
        </is>
      </c>
      <c r="E116" s="5" t="inlineStr">
        <is>
          <t>REFORMER</t>
        </is>
      </c>
      <c r="F116" s="6" t="n">
        <v>49.26</v>
      </c>
      <c r="G116" s="7" t="n">
        <v>0.696</v>
      </c>
      <c r="H116" s="8">
        <f>IF($G116&lt;&gt;"",$G116,SUMIFS(Assumptions!$K$4:$K$8,Assumptions!$J$4:$J$8,$C116))</f>
        <v/>
      </c>
      <c r="I116" s="7" t="n"/>
      <c r="J116" s="9">
        <f>IF($I116&lt;&gt;"",$I116,SUMIFS(Assumptions!$P$4:$P$93,Assumptions!$M$4:$M$93,$C116,Assumptions!$N$4:$N$93,$E116,Assumptions!$O$4:$O$93,"LVN"))</f>
        <v/>
      </c>
      <c r="K116" s="7" t="n"/>
      <c r="L116" s="9">
        <f>IF($K116&lt;&gt;"",$K116,SUMIFS(Assumptions!$P$4:$P$93,Assumptions!$M$4:$M$93,$C116,Assumptions!$N$4:$N$93,$E116,Assumptions!$O$4:$O$93,"HVN"))</f>
        <v/>
      </c>
      <c r="M116" s="9">
        <f>J116+L116</f>
        <v/>
      </c>
      <c r="N116" s="10">
        <f>$F116*$H116*$M116</f>
        <v/>
      </c>
    </row>
    <row r="117">
      <c r="A117" s="4" t="inlineStr">
        <is>
          <t>UNIT</t>
        </is>
      </c>
      <c r="B117" s="5" t="inlineStr">
        <is>
          <t>PHILLIPS_PONCA_CITY</t>
        </is>
      </c>
      <c r="C117" s="5" t="n">
        <v>2</v>
      </c>
      <c r="D117" s="5" t="inlineStr">
        <is>
          <t>ALKY</t>
        </is>
      </c>
      <c r="E117" s="5" t="inlineStr">
        <is>
          <t>ALKY</t>
        </is>
      </c>
      <c r="F117" s="6" t="n">
        <v>17.57</v>
      </c>
      <c r="G117" s="7" t="n">
        <v>0.722</v>
      </c>
      <c r="H117" s="8">
        <f>IF($G117&lt;&gt;"",$G117,SUMIFS(Assumptions!$K$4:$K$8,Assumptions!$J$4:$J$8,$C117))</f>
        <v/>
      </c>
      <c r="I117" s="7" t="n"/>
      <c r="J117" s="9">
        <f>IF($I117&lt;&gt;"",$I117,SUMIFS(Assumptions!$P$4:$P$93,Assumptions!$M$4:$M$93,$C117,Assumptions!$N$4:$N$93,$E117,Assumptions!$O$4:$O$93,"LVN"))</f>
        <v/>
      </c>
      <c r="K117" s="7" t="n"/>
      <c r="L117" s="9">
        <f>IF($K117&lt;&gt;"",$K117,SUMIFS(Assumptions!$P$4:$P$93,Assumptions!$M$4:$M$93,$C117,Assumptions!$N$4:$N$93,$E117,Assumptions!$O$4:$O$93,"HVN"))</f>
        <v/>
      </c>
      <c r="M117" s="9">
        <f>J117+L117</f>
        <v/>
      </c>
      <c r="N117" s="10">
        <f>$F117*$H117*$M117</f>
        <v/>
      </c>
    </row>
    <row r="118">
      <c r="A118" s="11" t="inlineStr">
        <is>
          <t>TOTAL</t>
        </is>
      </c>
      <c r="B118" s="12" t="inlineStr">
        <is>
          <t>PHILLIPS_PONCA_CITY</t>
        </is>
      </c>
      <c r="C118" s="12" t="n">
        <v>2</v>
      </c>
      <c r="D118" s="12" t="inlineStr">
        <is>
          <t>NET NAPHTHA</t>
        </is>
      </c>
      <c r="N118" s="13">
        <f>SUM(N112:N117)</f>
        <v/>
      </c>
    </row>
    <row r="120">
      <c r="A120" s="1" t="inlineStr">
        <is>
          <t xml:space="preserve">  Citgo Lemont  [CITGO_LEMONT]   —   PDVSA   —   PADD 2   —   crude 194 kbd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</row>
    <row r="121">
      <c r="A121" s="4" t="inlineStr">
        <is>
          <t>UNIT</t>
        </is>
      </c>
      <c r="B121" s="5" t="inlineStr">
        <is>
          <t>CITGO_LEMONT</t>
        </is>
      </c>
      <c r="C121" s="5" t="n">
        <v>2</v>
      </c>
      <c r="D121" s="5" t="inlineStr">
        <is>
          <t>CDU</t>
        </is>
      </c>
      <c r="E121" s="5" t="inlineStr">
        <is>
          <t>CDU</t>
        </is>
      </c>
      <c r="F121" s="6" t="n">
        <v>188.7</v>
      </c>
      <c r="G121" s="7" t="n">
        <v>0.918</v>
      </c>
      <c r="H121" s="8">
        <f>IF($G121&lt;&gt;"",$G121,SUMIFS(Assumptions!$K$4:$K$8,Assumptions!$J$4:$J$8,$C121))</f>
        <v/>
      </c>
      <c r="I121" s="7" t="n"/>
      <c r="J121" s="9">
        <f>IF($I121&lt;&gt;"",$I121,SUMIFS(Assumptions!$P$4:$P$93,Assumptions!$M$4:$M$93,$C121,Assumptions!$N$4:$N$93,$E121,Assumptions!$O$4:$O$93,"LVN"))</f>
        <v/>
      </c>
      <c r="K121" s="7" t="n"/>
      <c r="L121" s="9">
        <f>IF($K121&lt;&gt;"",$K121,SUMIFS(Assumptions!$P$4:$P$93,Assumptions!$M$4:$M$93,$C121,Assumptions!$N$4:$N$93,$E121,Assumptions!$O$4:$O$93,"HVN"))</f>
        <v/>
      </c>
      <c r="M121" s="9">
        <f>J121+L121</f>
        <v/>
      </c>
      <c r="N121" s="10">
        <f>$F121*$H121*$M121</f>
        <v/>
      </c>
    </row>
    <row r="122">
      <c r="A122" s="4" t="inlineStr">
        <is>
          <t>UNIT</t>
        </is>
      </c>
      <c r="B122" s="5" t="inlineStr">
        <is>
          <t>CITGO_LEMONT</t>
        </is>
      </c>
      <c r="C122" s="5" t="n">
        <v>2</v>
      </c>
      <c r="D122" s="5" t="inlineStr">
        <is>
          <t>VDU</t>
        </is>
      </c>
      <c r="E122" s="5" t="inlineStr">
        <is>
          <t>VDU</t>
        </is>
      </c>
      <c r="F122" s="6" t="n">
        <v>77.2</v>
      </c>
      <c r="G122" s="7" t="n">
        <v>0.995</v>
      </c>
      <c r="H122" s="8">
        <f>IF($G122&lt;&gt;"",$G122,SUMIFS(Assumptions!$K$4:$K$8,Assumptions!$J$4:$J$8,$C122))</f>
        <v/>
      </c>
      <c r="I122" s="7" t="n"/>
      <c r="J122" s="9">
        <f>IF($I122&lt;&gt;"",$I122,SUMIFS(Assumptions!$P$4:$P$93,Assumptions!$M$4:$M$93,$C122,Assumptions!$N$4:$N$93,$E122,Assumptions!$O$4:$O$93,"LVN"))</f>
        <v/>
      </c>
      <c r="K122" s="7" t="n"/>
      <c r="L122" s="9">
        <f>IF($K122&lt;&gt;"",$K122,SUMIFS(Assumptions!$P$4:$P$93,Assumptions!$M$4:$M$93,$C122,Assumptions!$N$4:$N$93,$E122,Assumptions!$O$4:$O$93,"HVN"))</f>
        <v/>
      </c>
      <c r="M122" s="9">
        <f>J122+L122</f>
        <v/>
      </c>
      <c r="N122" s="10">
        <f>$F122*$H122*$M122</f>
        <v/>
      </c>
    </row>
    <row r="123">
      <c r="A123" s="4" t="inlineStr">
        <is>
          <t>UNIT</t>
        </is>
      </c>
      <c r="B123" s="5" t="inlineStr">
        <is>
          <t>CITGO_LEMONT</t>
        </is>
      </c>
      <c r="C123" s="5" t="n">
        <v>2</v>
      </c>
      <c r="D123" s="5" t="inlineStr">
        <is>
          <t>FCC</t>
        </is>
      </c>
      <c r="E123" s="5" t="inlineStr">
        <is>
          <t>FCC</t>
        </is>
      </c>
      <c r="F123" s="6" t="n">
        <v>69.5</v>
      </c>
      <c r="G123" s="7" t="n">
        <v>1</v>
      </c>
      <c r="H123" s="8">
        <f>IF($G123&lt;&gt;"",$G123,SUMIFS(Assumptions!$K$4:$K$8,Assumptions!$J$4:$J$8,$C123))</f>
        <v/>
      </c>
      <c r="I123" s="7" t="n"/>
      <c r="J123" s="9">
        <f>IF($I123&lt;&gt;"",$I123,SUMIFS(Assumptions!$P$4:$P$93,Assumptions!$M$4:$M$93,$C123,Assumptions!$N$4:$N$93,$E123,Assumptions!$O$4:$O$93,"LVN"))</f>
        <v/>
      </c>
      <c r="K123" s="7" t="n"/>
      <c r="L123" s="9">
        <f>IF($K123&lt;&gt;"",$K123,SUMIFS(Assumptions!$P$4:$P$93,Assumptions!$M$4:$M$93,$C123,Assumptions!$N$4:$N$93,$E123,Assumptions!$O$4:$O$93,"HVN"))</f>
        <v/>
      </c>
      <c r="M123" s="9">
        <f>J123+L123</f>
        <v/>
      </c>
      <c r="N123" s="10">
        <f>$F123*$H123*$M123</f>
        <v/>
      </c>
    </row>
    <row r="124">
      <c r="A124" s="4" t="inlineStr">
        <is>
          <t>UNIT</t>
        </is>
      </c>
      <c r="B124" s="5" t="inlineStr">
        <is>
          <t>CITGO_LEMONT</t>
        </is>
      </c>
      <c r="C124" s="5" t="n">
        <v>2</v>
      </c>
      <c r="D124" s="5" t="inlineStr">
        <is>
          <t>COKER</t>
        </is>
      </c>
      <c r="E124" s="5" t="inlineStr">
        <is>
          <t>COKER</t>
        </is>
      </c>
      <c r="F124" s="6" t="n">
        <v>41.15</v>
      </c>
      <c r="G124" s="7" t="n">
        <v>0.99</v>
      </c>
      <c r="H124" s="8">
        <f>IF($G124&lt;&gt;"",$G124,SUMIFS(Assumptions!$K$4:$K$8,Assumptions!$J$4:$J$8,$C124))</f>
        <v/>
      </c>
      <c r="I124" s="7" t="n"/>
      <c r="J124" s="9">
        <f>IF($I124&lt;&gt;"",$I124,SUMIFS(Assumptions!$P$4:$P$93,Assumptions!$M$4:$M$93,$C124,Assumptions!$N$4:$N$93,$E124,Assumptions!$O$4:$O$93,"LVN"))</f>
        <v/>
      </c>
      <c r="K124" s="7" t="n"/>
      <c r="L124" s="9">
        <f>IF($K124&lt;&gt;"",$K124,SUMIFS(Assumptions!$P$4:$P$93,Assumptions!$M$4:$M$93,$C124,Assumptions!$N$4:$N$93,$E124,Assumptions!$O$4:$O$93,"HVN"))</f>
        <v/>
      </c>
      <c r="M124" s="9">
        <f>J124+L124</f>
        <v/>
      </c>
      <c r="N124" s="10">
        <f>$F124*$H124*$M124</f>
        <v/>
      </c>
    </row>
    <row r="125">
      <c r="A125" s="4" t="inlineStr">
        <is>
          <t>UNIT</t>
        </is>
      </c>
      <c r="B125" s="5" t="inlineStr">
        <is>
          <t>CITGO_LEMONT</t>
        </is>
      </c>
      <c r="C125" s="5" t="n">
        <v>2</v>
      </c>
      <c r="D125" s="5" t="inlineStr">
        <is>
          <t>REF</t>
        </is>
      </c>
      <c r="E125" s="5" t="inlineStr">
        <is>
          <t>REFORMER</t>
        </is>
      </c>
      <c r="F125" s="6" t="n">
        <v>35.8</v>
      </c>
      <c r="G125" s="7" t="n"/>
      <c r="H125" s="8">
        <f>IF($G125&lt;&gt;"",$G125,SUMIFS(Assumptions!$K$4:$K$8,Assumptions!$J$4:$J$8,$C125))</f>
        <v/>
      </c>
      <c r="I125" s="7" t="n"/>
      <c r="J125" s="9">
        <f>IF($I125&lt;&gt;"",$I125,SUMIFS(Assumptions!$P$4:$P$93,Assumptions!$M$4:$M$93,$C125,Assumptions!$N$4:$N$93,$E125,Assumptions!$O$4:$O$93,"LVN"))</f>
        <v/>
      </c>
      <c r="K125" s="7" t="n"/>
      <c r="L125" s="9">
        <f>IF($K125&lt;&gt;"",$K125,SUMIFS(Assumptions!$P$4:$P$93,Assumptions!$M$4:$M$93,$C125,Assumptions!$N$4:$N$93,$E125,Assumptions!$O$4:$O$93,"HVN"))</f>
        <v/>
      </c>
      <c r="M125" s="9">
        <f>J125+L125</f>
        <v/>
      </c>
      <c r="N125" s="10">
        <f>$F125*$H125*$M125</f>
        <v/>
      </c>
    </row>
    <row r="126">
      <c r="A126" s="4" t="inlineStr">
        <is>
          <t>UNIT</t>
        </is>
      </c>
      <c r="B126" s="5" t="inlineStr">
        <is>
          <t>CITGO_LEMONT</t>
        </is>
      </c>
      <c r="C126" s="5" t="n">
        <v>2</v>
      </c>
      <c r="D126" s="5" t="inlineStr">
        <is>
          <t>ALKY</t>
        </is>
      </c>
      <c r="E126" s="5" t="inlineStr">
        <is>
          <t>ALKY</t>
        </is>
      </c>
      <c r="F126" s="6" t="n">
        <v>23</v>
      </c>
      <c r="G126" s="7" t="n">
        <v>1.099</v>
      </c>
      <c r="H126" s="8">
        <f>IF($G126&lt;&gt;"",$G126,SUMIFS(Assumptions!$K$4:$K$8,Assumptions!$J$4:$J$8,$C126))</f>
        <v/>
      </c>
      <c r="I126" s="7" t="n"/>
      <c r="J126" s="9">
        <f>IF($I126&lt;&gt;"",$I126,SUMIFS(Assumptions!$P$4:$P$93,Assumptions!$M$4:$M$93,$C126,Assumptions!$N$4:$N$93,$E126,Assumptions!$O$4:$O$93,"LVN"))</f>
        <v/>
      </c>
      <c r="K126" s="7" t="n"/>
      <c r="L126" s="9">
        <f>IF($K126&lt;&gt;"",$K126,SUMIFS(Assumptions!$P$4:$P$93,Assumptions!$M$4:$M$93,$C126,Assumptions!$N$4:$N$93,$E126,Assumptions!$O$4:$O$93,"HVN"))</f>
        <v/>
      </c>
      <c r="M126" s="9">
        <f>J126+L126</f>
        <v/>
      </c>
      <c r="N126" s="10">
        <f>$F126*$H126*$M126</f>
        <v/>
      </c>
    </row>
    <row r="127">
      <c r="A127" s="11" t="inlineStr">
        <is>
          <t>TOTAL</t>
        </is>
      </c>
      <c r="B127" s="12" t="inlineStr">
        <is>
          <t>CITGO_LEMONT</t>
        </is>
      </c>
      <c r="C127" s="12" t="n">
        <v>2</v>
      </c>
      <c r="D127" s="12" t="inlineStr">
        <is>
          <t>NET NAPHTHA</t>
        </is>
      </c>
      <c r="N127" s="13">
        <f>SUM(N121:N126)</f>
        <v/>
      </c>
    </row>
    <row r="129">
      <c r="A129" s="1" t="inlineStr">
        <is>
          <t xml:space="preserve">  Cenovus Lima  [CENOVUS_LIMA]   —   Cenovus   —   PADD 2   —   crude 185 kbd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</row>
    <row r="130">
      <c r="A130" s="4" t="inlineStr">
        <is>
          <t>UNIT</t>
        </is>
      </c>
      <c r="B130" s="5" t="inlineStr">
        <is>
          <t>CENOVUS_LIMA</t>
        </is>
      </c>
      <c r="C130" s="5" t="n">
        <v>2</v>
      </c>
      <c r="D130" s="5" t="inlineStr">
        <is>
          <t>CDU</t>
        </is>
      </c>
      <c r="E130" s="5" t="inlineStr">
        <is>
          <t>CDU</t>
        </is>
      </c>
      <c r="F130" s="6" t="n">
        <v>185</v>
      </c>
      <c r="G130" s="7" t="n">
        <v>0.824</v>
      </c>
      <c r="H130" s="8">
        <f>IF($G130&lt;&gt;"",$G130,SUMIFS(Assumptions!$K$4:$K$8,Assumptions!$J$4:$J$8,$C130))</f>
        <v/>
      </c>
      <c r="I130" s="7" t="n"/>
      <c r="J130" s="9">
        <f>IF($I130&lt;&gt;"",$I130,SUMIFS(Assumptions!$P$4:$P$93,Assumptions!$M$4:$M$93,$C130,Assumptions!$N$4:$N$93,$E130,Assumptions!$O$4:$O$93,"LVN"))</f>
        <v/>
      </c>
      <c r="K130" s="7" t="n"/>
      <c r="L130" s="9">
        <f>IF($K130&lt;&gt;"",$K130,SUMIFS(Assumptions!$P$4:$P$93,Assumptions!$M$4:$M$93,$C130,Assumptions!$N$4:$N$93,$E130,Assumptions!$O$4:$O$93,"HVN"))</f>
        <v/>
      </c>
      <c r="M130" s="9">
        <f>J130+L130</f>
        <v/>
      </c>
      <c r="N130" s="10">
        <f>$F130*$H130*$M130</f>
        <v/>
      </c>
    </row>
    <row r="131">
      <c r="A131" s="4" t="inlineStr">
        <is>
          <t>UNIT</t>
        </is>
      </c>
      <c r="B131" s="5" t="inlineStr">
        <is>
          <t>CENOVUS_LIMA</t>
        </is>
      </c>
      <c r="C131" s="5" t="n">
        <v>2</v>
      </c>
      <c r="D131" s="5" t="inlineStr">
        <is>
          <t>VDU</t>
        </is>
      </c>
      <c r="E131" s="5" t="inlineStr">
        <is>
          <t>VDU</t>
        </is>
      </c>
      <c r="F131" s="6" t="n">
        <v>57</v>
      </c>
      <c r="G131" s="7" t="n">
        <v>0.984</v>
      </c>
      <c r="H131" s="8">
        <f>IF($G131&lt;&gt;"",$G131,SUMIFS(Assumptions!$K$4:$K$8,Assumptions!$J$4:$J$8,$C131))</f>
        <v/>
      </c>
      <c r="I131" s="7" t="n"/>
      <c r="J131" s="9">
        <f>IF($I131&lt;&gt;"",$I131,SUMIFS(Assumptions!$P$4:$P$93,Assumptions!$M$4:$M$93,$C131,Assumptions!$N$4:$N$93,$E131,Assumptions!$O$4:$O$93,"LVN"))</f>
        <v/>
      </c>
      <c r="K131" s="7" t="n"/>
      <c r="L131" s="9">
        <f>IF($K131&lt;&gt;"",$K131,SUMIFS(Assumptions!$P$4:$P$93,Assumptions!$M$4:$M$93,$C131,Assumptions!$N$4:$N$93,$E131,Assumptions!$O$4:$O$93,"HVN"))</f>
        <v/>
      </c>
      <c r="M131" s="9">
        <f>J131+L131</f>
        <v/>
      </c>
      <c r="N131" s="10">
        <f>$F131*$H131*$M131</f>
        <v/>
      </c>
    </row>
    <row r="132">
      <c r="A132" s="4" t="inlineStr">
        <is>
          <t>UNIT</t>
        </is>
      </c>
      <c r="B132" s="5" t="inlineStr">
        <is>
          <t>CENOVUS_LIMA</t>
        </is>
      </c>
      <c r="C132" s="5" t="n">
        <v>2</v>
      </c>
      <c r="D132" s="5" t="inlineStr">
        <is>
          <t>FCC</t>
        </is>
      </c>
      <c r="E132" s="5" t="inlineStr">
        <is>
          <t>FCC</t>
        </is>
      </c>
      <c r="F132" s="6" t="n">
        <v>45.3</v>
      </c>
      <c r="G132" s="7" t="n">
        <v>0.726</v>
      </c>
      <c r="H132" s="8">
        <f>IF($G132&lt;&gt;"",$G132,SUMIFS(Assumptions!$K$4:$K$8,Assumptions!$J$4:$J$8,$C132))</f>
        <v/>
      </c>
      <c r="I132" s="7" t="n"/>
      <c r="J132" s="9">
        <f>IF($I132&lt;&gt;"",$I132,SUMIFS(Assumptions!$P$4:$P$93,Assumptions!$M$4:$M$93,$C132,Assumptions!$N$4:$N$93,$E132,Assumptions!$O$4:$O$93,"LVN"))</f>
        <v/>
      </c>
      <c r="K132" s="7" t="n"/>
      <c r="L132" s="9">
        <f>IF($K132&lt;&gt;"",$K132,SUMIFS(Assumptions!$P$4:$P$93,Assumptions!$M$4:$M$93,$C132,Assumptions!$N$4:$N$93,$E132,Assumptions!$O$4:$O$93,"HVN"))</f>
        <v/>
      </c>
      <c r="M132" s="9">
        <f>J132+L132</f>
        <v/>
      </c>
      <c r="N132" s="10">
        <f>$F132*$H132*$M132</f>
        <v/>
      </c>
    </row>
    <row r="133">
      <c r="A133" s="4" t="inlineStr">
        <is>
          <t>UNIT</t>
        </is>
      </c>
      <c r="B133" s="5" t="inlineStr">
        <is>
          <t>CENOVUS_LIMA</t>
        </is>
      </c>
      <c r="C133" s="5" t="n">
        <v>2</v>
      </c>
      <c r="D133" s="5" t="inlineStr">
        <is>
          <t>DHCU</t>
        </is>
      </c>
      <c r="E133" s="5" t="inlineStr">
        <is>
          <t>HYDROCRACKER</t>
        </is>
      </c>
      <c r="F133" s="6" t="n">
        <v>26</v>
      </c>
      <c r="G133" s="7" t="n">
        <v>1</v>
      </c>
      <c r="H133" s="8">
        <f>IF($G133&lt;&gt;"",$G133,SUMIFS(Assumptions!$K$4:$K$8,Assumptions!$J$4:$J$8,$C133))</f>
        <v/>
      </c>
      <c r="I133" s="7" t="n"/>
      <c r="J133" s="9">
        <f>IF($I133&lt;&gt;"",$I133,SUMIFS(Assumptions!$P$4:$P$93,Assumptions!$M$4:$M$93,$C133,Assumptions!$N$4:$N$93,$E133,Assumptions!$O$4:$O$93,"LVN"))</f>
        <v/>
      </c>
      <c r="K133" s="7" t="n"/>
      <c r="L133" s="9">
        <f>IF($K133&lt;&gt;"",$K133,SUMIFS(Assumptions!$P$4:$P$93,Assumptions!$M$4:$M$93,$C133,Assumptions!$N$4:$N$93,$E133,Assumptions!$O$4:$O$93,"HVN"))</f>
        <v/>
      </c>
      <c r="M133" s="9">
        <f>J133+L133</f>
        <v/>
      </c>
      <c r="N133" s="10">
        <f>$F133*$H133*$M133</f>
        <v/>
      </c>
    </row>
    <row r="134">
      <c r="A134" s="4" t="inlineStr">
        <is>
          <t>UNIT</t>
        </is>
      </c>
      <c r="B134" s="5" t="inlineStr">
        <is>
          <t>CENOVUS_LIMA</t>
        </is>
      </c>
      <c r="C134" s="5" t="n">
        <v>2</v>
      </c>
      <c r="D134" s="5" t="inlineStr">
        <is>
          <t>COKER</t>
        </is>
      </c>
      <c r="E134" s="5" t="inlineStr">
        <is>
          <t>COKER</t>
        </is>
      </c>
      <c r="F134" s="6" t="n">
        <v>23</v>
      </c>
      <c r="G134" s="7" t="n">
        <v>0.6850000000000001</v>
      </c>
      <c r="H134" s="8">
        <f>IF($G134&lt;&gt;"",$G134,SUMIFS(Assumptions!$K$4:$K$8,Assumptions!$J$4:$J$8,$C134))</f>
        <v/>
      </c>
      <c r="I134" s="7" t="n"/>
      <c r="J134" s="9">
        <f>IF($I134&lt;&gt;"",$I134,SUMIFS(Assumptions!$P$4:$P$93,Assumptions!$M$4:$M$93,$C134,Assumptions!$N$4:$N$93,$E134,Assumptions!$O$4:$O$93,"LVN"))</f>
        <v/>
      </c>
      <c r="K134" s="7" t="n"/>
      <c r="L134" s="9">
        <f>IF($K134&lt;&gt;"",$K134,SUMIFS(Assumptions!$P$4:$P$93,Assumptions!$M$4:$M$93,$C134,Assumptions!$N$4:$N$93,$E134,Assumptions!$O$4:$O$93,"HVN"))</f>
        <v/>
      </c>
      <c r="M134" s="9">
        <f>J134+L134</f>
        <v/>
      </c>
      <c r="N134" s="10">
        <f>$F134*$H134*$M134</f>
        <v/>
      </c>
    </row>
    <row r="135">
      <c r="A135" s="4" t="inlineStr">
        <is>
          <t>UNIT</t>
        </is>
      </c>
      <c r="B135" s="5" t="inlineStr">
        <is>
          <t>CENOVUS_LIMA</t>
        </is>
      </c>
      <c r="C135" s="5" t="n">
        <v>2</v>
      </c>
      <c r="D135" s="5" t="inlineStr">
        <is>
          <t>REF</t>
        </is>
      </c>
      <c r="E135" s="5" t="inlineStr">
        <is>
          <t>REFORMER</t>
        </is>
      </c>
      <c r="F135" s="6" t="n">
        <v>55</v>
      </c>
      <c r="G135" s="7" t="n"/>
      <c r="H135" s="8">
        <f>IF($G135&lt;&gt;"",$G135,SUMIFS(Assumptions!$K$4:$K$8,Assumptions!$J$4:$J$8,$C135))</f>
        <v/>
      </c>
      <c r="I135" s="7" t="n"/>
      <c r="J135" s="9">
        <f>IF($I135&lt;&gt;"",$I135,SUMIFS(Assumptions!$P$4:$P$93,Assumptions!$M$4:$M$93,$C135,Assumptions!$N$4:$N$93,$E135,Assumptions!$O$4:$O$93,"LVN"))</f>
        <v/>
      </c>
      <c r="K135" s="7" t="n"/>
      <c r="L135" s="9">
        <f>IF($K135&lt;&gt;"",$K135,SUMIFS(Assumptions!$P$4:$P$93,Assumptions!$M$4:$M$93,$C135,Assumptions!$N$4:$N$93,$E135,Assumptions!$O$4:$O$93,"HVN"))</f>
        <v/>
      </c>
      <c r="M135" s="9">
        <f>J135+L135</f>
        <v/>
      </c>
      <c r="N135" s="10">
        <f>$F135*$H135*$M135</f>
        <v/>
      </c>
    </row>
    <row r="136">
      <c r="A136" s="4" t="inlineStr">
        <is>
          <t>UNIT</t>
        </is>
      </c>
      <c r="B136" s="5" t="inlineStr">
        <is>
          <t>CENOVUS_LIMA</t>
        </is>
      </c>
      <c r="C136" s="5" t="n">
        <v>2</v>
      </c>
      <c r="D136" s="5" t="inlineStr">
        <is>
          <t>ISOM</t>
        </is>
      </c>
      <c r="E136" s="5" t="inlineStr">
        <is>
          <t>ISOM</t>
        </is>
      </c>
      <c r="F136" s="6" t="n">
        <v>18.7</v>
      </c>
      <c r="G136" s="7" t="n">
        <v>0.888</v>
      </c>
      <c r="H136" s="8">
        <f>IF($G136&lt;&gt;"",$G136,SUMIFS(Assumptions!$K$4:$K$8,Assumptions!$J$4:$J$8,$C136))</f>
        <v/>
      </c>
      <c r="I136" s="7" t="n"/>
      <c r="J136" s="9">
        <f>IF($I136&lt;&gt;"",$I136,SUMIFS(Assumptions!$P$4:$P$93,Assumptions!$M$4:$M$93,$C136,Assumptions!$N$4:$N$93,$E136,Assumptions!$O$4:$O$93,"LVN"))</f>
        <v/>
      </c>
      <c r="K136" s="7" t="n"/>
      <c r="L136" s="9">
        <f>IF($K136&lt;&gt;"",$K136,SUMIFS(Assumptions!$P$4:$P$93,Assumptions!$M$4:$M$93,$C136,Assumptions!$N$4:$N$93,$E136,Assumptions!$O$4:$O$93,"HVN"))</f>
        <v/>
      </c>
      <c r="M136" s="9">
        <f>J136+L136</f>
        <v/>
      </c>
      <c r="N136" s="10">
        <f>$F136*$H136*$M136</f>
        <v/>
      </c>
    </row>
    <row r="137">
      <c r="A137" s="11" t="inlineStr">
        <is>
          <t>TOTAL</t>
        </is>
      </c>
      <c r="B137" s="12" t="inlineStr">
        <is>
          <t>CENOVUS_LIMA</t>
        </is>
      </c>
      <c r="C137" s="12" t="n">
        <v>2</v>
      </c>
      <c r="D137" s="12" t="inlineStr">
        <is>
          <t>NET NAPHTHA</t>
        </is>
      </c>
      <c r="N137" s="13">
        <f>SUM(N130:N136)</f>
        <v/>
      </c>
    </row>
    <row r="139">
      <c r="A139" s="1" t="inlineStr">
        <is>
          <t xml:space="preserve">  PBF Energy Company LLC Toledo  [PBF_TOLEDO]   —   PBF Energy Company LLC   —   PADD 2   —   crude 180 kbd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</row>
    <row r="140">
      <c r="A140" s="4" t="inlineStr">
        <is>
          <t>UNIT</t>
        </is>
      </c>
      <c r="B140" s="5" t="inlineStr">
        <is>
          <t>PBF_TOLEDO</t>
        </is>
      </c>
      <c r="C140" s="5" t="n">
        <v>2</v>
      </c>
      <c r="D140" s="5" t="inlineStr">
        <is>
          <t>CDU</t>
        </is>
      </c>
      <c r="E140" s="5" t="inlineStr">
        <is>
          <t>CDU</t>
        </is>
      </c>
      <c r="F140" s="6" t="n">
        <v>180</v>
      </c>
      <c r="G140" s="7" t="n">
        <v>0.782</v>
      </c>
      <c r="H140" s="8">
        <f>IF($G140&lt;&gt;"",$G140,SUMIFS(Assumptions!$K$4:$K$8,Assumptions!$J$4:$J$8,$C140))</f>
        <v/>
      </c>
      <c r="I140" s="7" t="n"/>
      <c r="J140" s="9">
        <f>IF($I140&lt;&gt;"",$I140,SUMIFS(Assumptions!$P$4:$P$93,Assumptions!$M$4:$M$93,$C140,Assumptions!$N$4:$N$93,$E140,Assumptions!$O$4:$O$93,"LVN"))</f>
        <v/>
      </c>
      <c r="K140" s="7" t="n"/>
      <c r="L140" s="9">
        <f>IF($K140&lt;&gt;"",$K140,SUMIFS(Assumptions!$P$4:$P$93,Assumptions!$M$4:$M$93,$C140,Assumptions!$N$4:$N$93,$E140,Assumptions!$O$4:$O$93,"HVN"))</f>
        <v/>
      </c>
      <c r="M140" s="9">
        <f>J140+L140</f>
        <v/>
      </c>
      <c r="N140" s="10">
        <f>$F140*$H140*$M140</f>
        <v/>
      </c>
    </row>
    <row r="141">
      <c r="A141" s="4" t="inlineStr">
        <is>
          <t>UNIT</t>
        </is>
      </c>
      <c r="B141" s="5" t="inlineStr">
        <is>
          <t>PBF_TOLEDO</t>
        </is>
      </c>
      <c r="C141" s="5" t="n">
        <v>2</v>
      </c>
      <c r="D141" s="5" t="inlineStr">
        <is>
          <t>RCC</t>
        </is>
      </c>
      <c r="E141" s="5" t="inlineStr">
        <is>
          <t>FCC</t>
        </is>
      </c>
      <c r="F141" s="6" t="n">
        <v>82</v>
      </c>
      <c r="G141" s="7" t="n">
        <v>0.717</v>
      </c>
      <c r="H141" s="8">
        <f>IF($G141&lt;&gt;"",$G141,SUMIFS(Assumptions!$K$4:$K$8,Assumptions!$J$4:$J$8,$C141))</f>
        <v/>
      </c>
      <c r="I141" s="7" t="n"/>
      <c r="J141" s="9">
        <f>IF($I141&lt;&gt;"",$I141,SUMIFS(Assumptions!$P$4:$P$93,Assumptions!$M$4:$M$93,$C141,Assumptions!$N$4:$N$93,$E141,Assumptions!$O$4:$O$93,"LVN"))</f>
        <v/>
      </c>
      <c r="K141" s="7" t="n"/>
      <c r="L141" s="9">
        <f>IF($K141&lt;&gt;"",$K141,SUMIFS(Assumptions!$P$4:$P$93,Assumptions!$M$4:$M$93,$C141,Assumptions!$N$4:$N$93,$E141,Assumptions!$O$4:$O$93,"HVN"))</f>
        <v/>
      </c>
      <c r="M141" s="9">
        <f>J141+L141</f>
        <v/>
      </c>
      <c r="N141" s="10">
        <f>$F141*$H141*$M141</f>
        <v/>
      </c>
    </row>
    <row r="142">
      <c r="A142" s="4" t="inlineStr">
        <is>
          <t>UNIT</t>
        </is>
      </c>
      <c r="B142" s="5" t="inlineStr">
        <is>
          <t>PBF_TOLEDO</t>
        </is>
      </c>
      <c r="C142" s="5" t="n">
        <v>2</v>
      </c>
      <c r="D142" s="5" t="inlineStr">
        <is>
          <t>DHCU</t>
        </is>
      </c>
      <c r="E142" s="5" t="inlineStr">
        <is>
          <t>HYDROCRACKER</t>
        </is>
      </c>
      <c r="F142" s="6" t="n">
        <v>52</v>
      </c>
      <c r="G142" s="7" t="n">
        <v>0.864</v>
      </c>
      <c r="H142" s="8">
        <f>IF($G142&lt;&gt;"",$G142,SUMIFS(Assumptions!$K$4:$K$8,Assumptions!$J$4:$J$8,$C142))</f>
        <v/>
      </c>
      <c r="I142" s="7" t="n"/>
      <c r="J142" s="9">
        <f>IF($I142&lt;&gt;"",$I142,SUMIFS(Assumptions!$P$4:$P$93,Assumptions!$M$4:$M$93,$C142,Assumptions!$N$4:$N$93,$E142,Assumptions!$O$4:$O$93,"LVN"))</f>
        <v/>
      </c>
      <c r="K142" s="7" t="n"/>
      <c r="L142" s="9">
        <f>IF($K142&lt;&gt;"",$K142,SUMIFS(Assumptions!$P$4:$P$93,Assumptions!$M$4:$M$93,$C142,Assumptions!$N$4:$N$93,$E142,Assumptions!$O$4:$O$93,"HVN"))</f>
        <v/>
      </c>
      <c r="M142" s="9">
        <f>J142+L142</f>
        <v/>
      </c>
      <c r="N142" s="10">
        <f>$F142*$H142*$M142</f>
        <v/>
      </c>
    </row>
    <row r="143">
      <c r="A143" s="4" t="inlineStr">
        <is>
          <t>UNIT</t>
        </is>
      </c>
      <c r="B143" s="5" t="inlineStr">
        <is>
          <t>PBF_TOLEDO</t>
        </is>
      </c>
      <c r="C143" s="5" t="n">
        <v>2</v>
      </c>
      <c r="D143" s="5" t="inlineStr">
        <is>
          <t>REF</t>
        </is>
      </c>
      <c r="E143" s="5" t="inlineStr">
        <is>
          <t>REFORMER</t>
        </is>
      </c>
      <c r="F143" s="6" t="n">
        <v>51.8</v>
      </c>
      <c r="G143" s="7" t="n"/>
      <c r="H143" s="8">
        <f>IF($G143&lt;&gt;"",$G143,SUMIFS(Assumptions!$K$4:$K$8,Assumptions!$J$4:$J$8,$C143))</f>
        <v/>
      </c>
      <c r="I143" s="7" t="n"/>
      <c r="J143" s="9">
        <f>IF($I143&lt;&gt;"",$I143,SUMIFS(Assumptions!$P$4:$P$93,Assumptions!$M$4:$M$93,$C143,Assumptions!$N$4:$N$93,$E143,Assumptions!$O$4:$O$93,"LVN"))</f>
        <v/>
      </c>
      <c r="K143" s="7" t="n"/>
      <c r="L143" s="9">
        <f>IF($K143&lt;&gt;"",$K143,SUMIFS(Assumptions!$P$4:$P$93,Assumptions!$M$4:$M$93,$C143,Assumptions!$N$4:$N$93,$E143,Assumptions!$O$4:$O$93,"HVN"))</f>
        <v/>
      </c>
      <c r="M143" s="9">
        <f>J143+L143</f>
        <v/>
      </c>
      <c r="N143" s="10">
        <f>$F143*$H143*$M143</f>
        <v/>
      </c>
    </row>
    <row r="144">
      <c r="A144" s="4" t="inlineStr">
        <is>
          <t>UNIT</t>
        </is>
      </c>
      <c r="B144" s="5" t="inlineStr">
        <is>
          <t>PBF_TOLEDO</t>
        </is>
      </c>
      <c r="C144" s="5" t="n">
        <v>2</v>
      </c>
      <c r="D144" s="5" t="inlineStr">
        <is>
          <t>ALKY</t>
        </is>
      </c>
      <c r="E144" s="5" t="inlineStr">
        <is>
          <t>ALKY</t>
        </is>
      </c>
      <c r="F144" s="6" t="n">
        <v>9.949999999999999</v>
      </c>
      <c r="G144" s="7" t="n">
        <v>1.067</v>
      </c>
      <c r="H144" s="8">
        <f>IF($G144&lt;&gt;"",$G144,SUMIFS(Assumptions!$K$4:$K$8,Assumptions!$J$4:$J$8,$C144))</f>
        <v/>
      </c>
      <c r="I144" s="7" t="n"/>
      <c r="J144" s="9">
        <f>IF($I144&lt;&gt;"",$I144,SUMIFS(Assumptions!$P$4:$P$93,Assumptions!$M$4:$M$93,$C144,Assumptions!$N$4:$N$93,$E144,Assumptions!$O$4:$O$93,"LVN"))</f>
        <v/>
      </c>
      <c r="K144" s="7" t="n"/>
      <c r="L144" s="9">
        <f>IF($K144&lt;&gt;"",$K144,SUMIFS(Assumptions!$P$4:$P$93,Assumptions!$M$4:$M$93,$C144,Assumptions!$N$4:$N$93,$E144,Assumptions!$O$4:$O$93,"HVN"))</f>
        <v/>
      </c>
      <c r="M144" s="9">
        <f>J144+L144</f>
        <v/>
      </c>
      <c r="N144" s="10">
        <f>$F144*$H144*$M144</f>
        <v/>
      </c>
    </row>
    <row r="145">
      <c r="A145" s="11" t="inlineStr">
        <is>
          <t>TOTAL</t>
        </is>
      </c>
      <c r="B145" s="12" t="inlineStr">
        <is>
          <t>PBF_TOLEDO</t>
        </is>
      </c>
      <c r="C145" s="12" t="n">
        <v>2</v>
      </c>
      <c r="D145" s="12" t="inlineStr">
        <is>
          <t>NET NAPHTHA</t>
        </is>
      </c>
      <c r="N145" s="13">
        <f>SUM(N140:N144)</f>
        <v/>
      </c>
    </row>
    <row r="147">
      <c r="A147" s="1" t="inlineStr">
        <is>
          <t xml:space="preserve">  Valero Memphis  [VALERO_MEMPHIS]   —   Valero   —   PADD 2   —   crude 180 kbd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</row>
    <row r="148">
      <c r="A148" s="4" t="inlineStr">
        <is>
          <t>UNIT</t>
        </is>
      </c>
      <c r="B148" s="5" t="inlineStr">
        <is>
          <t>VALERO_MEMPHIS</t>
        </is>
      </c>
      <c r="C148" s="5" t="n">
        <v>2</v>
      </c>
      <c r="D148" s="5" t="inlineStr">
        <is>
          <t>CDU</t>
        </is>
      </c>
      <c r="E148" s="5" t="inlineStr">
        <is>
          <t>CDU</t>
        </is>
      </c>
      <c r="F148" s="6" t="n">
        <v>185</v>
      </c>
      <c r="G148" s="7" t="n">
        <v>0.9</v>
      </c>
      <c r="H148" s="8">
        <f>IF($G148&lt;&gt;"",$G148,SUMIFS(Assumptions!$K$4:$K$8,Assumptions!$J$4:$J$8,$C148))</f>
        <v/>
      </c>
      <c r="I148" s="7" t="n"/>
      <c r="J148" s="9">
        <f>IF($I148&lt;&gt;"",$I148,SUMIFS(Assumptions!$P$4:$P$93,Assumptions!$M$4:$M$93,$C148,Assumptions!$N$4:$N$93,$E148,Assumptions!$O$4:$O$93,"LVN"))</f>
        <v/>
      </c>
      <c r="K148" s="7" t="n"/>
      <c r="L148" s="9">
        <f>IF($K148&lt;&gt;"",$K148,SUMIFS(Assumptions!$P$4:$P$93,Assumptions!$M$4:$M$93,$C148,Assumptions!$N$4:$N$93,$E148,Assumptions!$O$4:$O$93,"HVN"))</f>
        <v/>
      </c>
      <c r="M148" s="9">
        <f>J148+L148</f>
        <v/>
      </c>
      <c r="N148" s="10">
        <f>$F148*$H148*$M148</f>
        <v/>
      </c>
    </row>
    <row r="149">
      <c r="A149" s="4" t="inlineStr">
        <is>
          <t>UNIT</t>
        </is>
      </c>
      <c r="B149" s="5" t="inlineStr">
        <is>
          <t>VALERO_MEMPHIS</t>
        </is>
      </c>
      <c r="C149" s="5" t="n">
        <v>2</v>
      </c>
      <c r="D149" s="5" t="inlineStr">
        <is>
          <t>RCC</t>
        </is>
      </c>
      <c r="E149" s="5" t="inlineStr">
        <is>
          <t>FCC</t>
        </is>
      </c>
      <c r="F149" s="6" t="n">
        <v>70</v>
      </c>
      <c r="G149" s="7" t="n">
        <v>0.677</v>
      </c>
      <c r="H149" s="8">
        <f>IF($G149&lt;&gt;"",$G149,SUMIFS(Assumptions!$K$4:$K$8,Assumptions!$J$4:$J$8,$C149))</f>
        <v/>
      </c>
      <c r="I149" s="7" t="n"/>
      <c r="J149" s="9">
        <f>IF($I149&lt;&gt;"",$I149,SUMIFS(Assumptions!$P$4:$P$93,Assumptions!$M$4:$M$93,$C149,Assumptions!$N$4:$N$93,$E149,Assumptions!$O$4:$O$93,"LVN"))</f>
        <v/>
      </c>
      <c r="K149" s="7" t="n"/>
      <c r="L149" s="9">
        <f>IF($K149&lt;&gt;"",$K149,SUMIFS(Assumptions!$P$4:$P$93,Assumptions!$M$4:$M$93,$C149,Assumptions!$N$4:$N$93,$E149,Assumptions!$O$4:$O$93,"HVN"))</f>
        <v/>
      </c>
      <c r="M149" s="9">
        <f>J149+L149</f>
        <v/>
      </c>
      <c r="N149" s="10">
        <f>$F149*$H149*$M149</f>
        <v/>
      </c>
    </row>
    <row r="150">
      <c r="A150" s="4" t="inlineStr">
        <is>
          <t>UNIT</t>
        </is>
      </c>
      <c r="B150" s="5" t="inlineStr">
        <is>
          <t>VALERO_MEMPHIS</t>
        </is>
      </c>
      <c r="C150" s="5" t="n">
        <v>2</v>
      </c>
      <c r="D150" s="5" t="inlineStr">
        <is>
          <t>DHCU</t>
        </is>
      </c>
      <c r="E150" s="5" t="inlineStr">
        <is>
          <t>HYDROCRACKER</t>
        </is>
      </c>
      <c r="F150" s="6" t="n">
        <v>26.5</v>
      </c>
      <c r="G150" s="7" t="n">
        <v>0.757</v>
      </c>
      <c r="H150" s="8">
        <f>IF($G150&lt;&gt;"",$G150,SUMIFS(Assumptions!$K$4:$K$8,Assumptions!$J$4:$J$8,$C150))</f>
        <v/>
      </c>
      <c r="I150" s="7" t="n"/>
      <c r="J150" s="9">
        <f>IF($I150&lt;&gt;"",$I150,SUMIFS(Assumptions!$P$4:$P$93,Assumptions!$M$4:$M$93,$C150,Assumptions!$N$4:$N$93,$E150,Assumptions!$O$4:$O$93,"LVN"))</f>
        <v/>
      </c>
      <c r="K150" s="7" t="n"/>
      <c r="L150" s="9">
        <f>IF($K150&lt;&gt;"",$K150,SUMIFS(Assumptions!$P$4:$P$93,Assumptions!$M$4:$M$93,$C150,Assumptions!$N$4:$N$93,$E150,Assumptions!$O$4:$O$93,"HVN"))</f>
        <v/>
      </c>
      <c r="M150" s="9">
        <f>J150+L150</f>
        <v/>
      </c>
      <c r="N150" s="10">
        <f>$F150*$H150*$M150</f>
        <v/>
      </c>
    </row>
    <row r="151">
      <c r="A151" s="4" t="inlineStr">
        <is>
          <t>UNIT</t>
        </is>
      </c>
      <c r="B151" s="5" t="inlineStr">
        <is>
          <t>VALERO_MEMPHIS</t>
        </is>
      </c>
      <c r="C151" s="5" t="n">
        <v>2</v>
      </c>
      <c r="D151" s="5" t="inlineStr">
        <is>
          <t>CCR</t>
        </is>
      </c>
      <c r="E151" s="5" t="inlineStr">
        <is>
          <t>REFORMER</t>
        </is>
      </c>
      <c r="F151" s="6" t="n">
        <v>36</v>
      </c>
      <c r="G151" s="7" t="n">
        <v>0.972</v>
      </c>
      <c r="H151" s="8">
        <f>IF($G151&lt;&gt;"",$G151,SUMIFS(Assumptions!$K$4:$K$8,Assumptions!$J$4:$J$8,$C151))</f>
        <v/>
      </c>
      <c r="I151" s="7" t="n"/>
      <c r="J151" s="9">
        <f>IF($I151&lt;&gt;"",$I151,SUMIFS(Assumptions!$P$4:$P$93,Assumptions!$M$4:$M$93,$C151,Assumptions!$N$4:$N$93,$E151,Assumptions!$O$4:$O$93,"LVN"))</f>
        <v/>
      </c>
      <c r="K151" s="7" t="n"/>
      <c r="L151" s="9">
        <f>IF($K151&lt;&gt;"",$K151,SUMIFS(Assumptions!$P$4:$P$93,Assumptions!$M$4:$M$93,$C151,Assumptions!$N$4:$N$93,$E151,Assumptions!$O$4:$O$93,"HVN"))</f>
        <v/>
      </c>
      <c r="M151" s="9">
        <f>J151+L151</f>
        <v/>
      </c>
      <c r="N151" s="10">
        <f>$F151*$H151*$M151</f>
        <v/>
      </c>
    </row>
    <row r="152">
      <c r="A152" s="4" t="inlineStr">
        <is>
          <t>UNIT</t>
        </is>
      </c>
      <c r="B152" s="5" t="inlineStr">
        <is>
          <t>VALERO_MEMPHIS</t>
        </is>
      </c>
      <c r="C152" s="5" t="n">
        <v>2</v>
      </c>
      <c r="D152" s="5" t="inlineStr">
        <is>
          <t>ALKY</t>
        </is>
      </c>
      <c r="E152" s="5" t="inlineStr">
        <is>
          <t>ALKY</t>
        </is>
      </c>
      <c r="F152" s="6" t="n">
        <v>12.7</v>
      </c>
      <c r="G152" s="7" t="n">
        <v>0.661</v>
      </c>
      <c r="H152" s="8">
        <f>IF($G152&lt;&gt;"",$G152,SUMIFS(Assumptions!$K$4:$K$8,Assumptions!$J$4:$J$8,$C152))</f>
        <v/>
      </c>
      <c r="I152" s="7" t="n"/>
      <c r="J152" s="9">
        <f>IF($I152&lt;&gt;"",$I152,SUMIFS(Assumptions!$P$4:$P$93,Assumptions!$M$4:$M$93,$C152,Assumptions!$N$4:$N$93,$E152,Assumptions!$O$4:$O$93,"LVN"))</f>
        <v/>
      </c>
      <c r="K152" s="7" t="n"/>
      <c r="L152" s="9">
        <f>IF($K152&lt;&gt;"",$K152,SUMIFS(Assumptions!$P$4:$P$93,Assumptions!$M$4:$M$93,$C152,Assumptions!$N$4:$N$93,$E152,Assumptions!$O$4:$O$93,"HVN"))</f>
        <v/>
      </c>
      <c r="M152" s="9">
        <f>J152+L152</f>
        <v/>
      </c>
      <c r="N152" s="10">
        <f>$F152*$H152*$M152</f>
        <v/>
      </c>
    </row>
    <row r="153">
      <c r="A153" s="11" t="inlineStr">
        <is>
          <t>TOTAL</t>
        </is>
      </c>
      <c r="B153" s="12" t="inlineStr">
        <is>
          <t>VALERO_MEMPHIS</t>
        </is>
      </c>
      <c r="C153" s="12" t="n">
        <v>2</v>
      </c>
      <c r="D153" s="12" t="inlineStr">
        <is>
          <t>NET NAPHTHA</t>
        </is>
      </c>
      <c r="N153" s="13">
        <f>SUM(N148:N152)</f>
        <v/>
      </c>
    </row>
    <row r="155">
      <c r="A155" s="1" t="inlineStr">
        <is>
          <t xml:space="preserve">  Cenovus Toledo  [CENOVUS_TOLEDO]   —   Cenovus   —   PADD 2   —   crude 160 kbd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</row>
    <row r="156">
      <c r="A156" s="4" t="inlineStr">
        <is>
          <t>UNIT</t>
        </is>
      </c>
      <c r="B156" s="5" t="inlineStr">
        <is>
          <t>CENOVUS_TOLEDO</t>
        </is>
      </c>
      <c r="C156" s="5" t="n">
        <v>2</v>
      </c>
      <c r="D156" s="5" t="inlineStr">
        <is>
          <t>CDU</t>
        </is>
      </c>
      <c r="E156" s="5" t="inlineStr">
        <is>
          <t>CDU</t>
        </is>
      </c>
      <c r="F156" s="6" t="n">
        <v>160</v>
      </c>
      <c r="G156" s="7" t="n">
        <v>0.831</v>
      </c>
      <c r="H156" s="8">
        <f>IF($G156&lt;&gt;"",$G156,SUMIFS(Assumptions!$K$4:$K$8,Assumptions!$J$4:$J$8,$C156))</f>
        <v/>
      </c>
      <c r="I156" s="7" t="n"/>
      <c r="J156" s="9">
        <f>IF($I156&lt;&gt;"",$I156,SUMIFS(Assumptions!$P$4:$P$93,Assumptions!$M$4:$M$93,$C156,Assumptions!$N$4:$N$93,$E156,Assumptions!$O$4:$O$93,"LVN"))</f>
        <v/>
      </c>
      <c r="K156" s="7" t="n"/>
      <c r="L156" s="9">
        <f>IF($K156&lt;&gt;"",$K156,SUMIFS(Assumptions!$P$4:$P$93,Assumptions!$M$4:$M$93,$C156,Assumptions!$N$4:$N$93,$E156,Assumptions!$O$4:$O$93,"HVN"))</f>
        <v/>
      </c>
      <c r="M156" s="9">
        <f>J156+L156</f>
        <v/>
      </c>
      <c r="N156" s="10">
        <f>$F156*$H156*$M156</f>
        <v/>
      </c>
    </row>
    <row r="157">
      <c r="A157" s="4" t="inlineStr">
        <is>
          <t>UNIT</t>
        </is>
      </c>
      <c r="B157" s="5" t="inlineStr">
        <is>
          <t>CENOVUS_TOLEDO</t>
        </is>
      </c>
      <c r="C157" s="5" t="n">
        <v>2</v>
      </c>
      <c r="D157" s="5" t="inlineStr">
        <is>
          <t>VDU</t>
        </is>
      </c>
      <c r="E157" s="5" t="inlineStr">
        <is>
          <t>VDU</t>
        </is>
      </c>
      <c r="F157" s="6" t="n">
        <v>72.5</v>
      </c>
      <c r="G157" s="7" t="n">
        <v>0.701</v>
      </c>
      <c r="H157" s="8">
        <f>IF($G157&lt;&gt;"",$G157,SUMIFS(Assumptions!$K$4:$K$8,Assumptions!$J$4:$J$8,$C157))</f>
        <v/>
      </c>
      <c r="I157" s="7" t="n"/>
      <c r="J157" s="9">
        <f>IF($I157&lt;&gt;"",$I157,SUMIFS(Assumptions!$P$4:$P$93,Assumptions!$M$4:$M$93,$C157,Assumptions!$N$4:$N$93,$E157,Assumptions!$O$4:$O$93,"LVN"))</f>
        <v/>
      </c>
      <c r="K157" s="7" t="n"/>
      <c r="L157" s="9">
        <f>IF($K157&lt;&gt;"",$K157,SUMIFS(Assumptions!$P$4:$P$93,Assumptions!$M$4:$M$93,$C157,Assumptions!$N$4:$N$93,$E157,Assumptions!$O$4:$O$93,"HVN"))</f>
        <v/>
      </c>
      <c r="M157" s="9">
        <f>J157+L157</f>
        <v/>
      </c>
      <c r="N157" s="10">
        <f>$F157*$H157*$M157</f>
        <v/>
      </c>
    </row>
    <row r="158">
      <c r="A158" s="4" t="inlineStr">
        <is>
          <t>UNIT</t>
        </is>
      </c>
      <c r="B158" s="5" t="inlineStr">
        <is>
          <t>CENOVUS_TOLEDO</t>
        </is>
      </c>
      <c r="C158" s="5" t="n">
        <v>2</v>
      </c>
      <c r="D158" s="5" t="inlineStr">
        <is>
          <t>FCC</t>
        </is>
      </c>
      <c r="E158" s="5" t="inlineStr">
        <is>
          <t>FCC</t>
        </is>
      </c>
      <c r="F158" s="6" t="n">
        <v>55</v>
      </c>
      <c r="G158" s="7" t="n">
        <v>0.507</v>
      </c>
      <c r="H158" s="8">
        <f>IF($G158&lt;&gt;"",$G158,SUMIFS(Assumptions!$K$4:$K$8,Assumptions!$J$4:$J$8,$C158))</f>
        <v/>
      </c>
      <c r="I158" s="7" t="n"/>
      <c r="J158" s="9">
        <f>IF($I158&lt;&gt;"",$I158,SUMIFS(Assumptions!$P$4:$P$93,Assumptions!$M$4:$M$93,$C158,Assumptions!$N$4:$N$93,$E158,Assumptions!$O$4:$O$93,"LVN"))</f>
        <v/>
      </c>
      <c r="K158" s="7" t="n"/>
      <c r="L158" s="9">
        <f>IF($K158&lt;&gt;"",$K158,SUMIFS(Assumptions!$P$4:$P$93,Assumptions!$M$4:$M$93,$C158,Assumptions!$N$4:$N$93,$E158,Assumptions!$O$4:$O$93,"HVN"))</f>
        <v/>
      </c>
      <c r="M158" s="9">
        <f>J158+L158</f>
        <v/>
      </c>
      <c r="N158" s="10">
        <f>$F158*$H158*$M158</f>
        <v/>
      </c>
    </row>
    <row r="159">
      <c r="A159" s="4" t="inlineStr">
        <is>
          <t>UNIT</t>
        </is>
      </c>
      <c r="B159" s="5" t="inlineStr">
        <is>
          <t>CENOVUS_TOLEDO</t>
        </is>
      </c>
      <c r="C159" s="5" t="n">
        <v>2</v>
      </c>
      <c r="D159" s="5" t="inlineStr">
        <is>
          <t>DHCU</t>
        </is>
      </c>
      <c r="E159" s="5" t="inlineStr">
        <is>
          <t>HYDROCRACKER</t>
        </is>
      </c>
      <c r="F159" s="6" t="n">
        <v>31.8</v>
      </c>
      <c r="G159" s="7" t="n">
        <v>0.615</v>
      </c>
      <c r="H159" s="8">
        <f>IF($G159&lt;&gt;"",$G159,SUMIFS(Assumptions!$K$4:$K$8,Assumptions!$J$4:$J$8,$C159))</f>
        <v/>
      </c>
      <c r="I159" s="7" t="n"/>
      <c r="J159" s="9">
        <f>IF($I159&lt;&gt;"",$I159,SUMIFS(Assumptions!$P$4:$P$93,Assumptions!$M$4:$M$93,$C159,Assumptions!$N$4:$N$93,$E159,Assumptions!$O$4:$O$93,"LVN"))</f>
        <v/>
      </c>
      <c r="K159" s="7" t="n"/>
      <c r="L159" s="9">
        <f>IF($K159&lt;&gt;"",$K159,SUMIFS(Assumptions!$P$4:$P$93,Assumptions!$M$4:$M$93,$C159,Assumptions!$N$4:$N$93,$E159,Assumptions!$O$4:$O$93,"HVN"))</f>
        <v/>
      </c>
      <c r="M159" s="9">
        <f>J159+L159</f>
        <v/>
      </c>
      <c r="N159" s="10">
        <f>$F159*$H159*$M159</f>
        <v/>
      </c>
    </row>
    <row r="160">
      <c r="A160" s="4" t="inlineStr">
        <is>
          <t>UNIT</t>
        </is>
      </c>
      <c r="B160" s="5" t="inlineStr">
        <is>
          <t>CENOVUS_TOLEDO</t>
        </is>
      </c>
      <c r="C160" s="5" t="n">
        <v>2</v>
      </c>
      <c r="D160" s="5" t="inlineStr">
        <is>
          <t>COKER</t>
        </is>
      </c>
      <c r="E160" s="5" t="inlineStr">
        <is>
          <t>COKER</t>
        </is>
      </c>
      <c r="F160" s="6" t="n">
        <v>36</v>
      </c>
      <c r="G160" s="7" t="n">
        <v>0.533</v>
      </c>
      <c r="H160" s="8">
        <f>IF($G160&lt;&gt;"",$G160,SUMIFS(Assumptions!$K$4:$K$8,Assumptions!$J$4:$J$8,$C160))</f>
        <v/>
      </c>
      <c r="I160" s="7" t="n"/>
      <c r="J160" s="9">
        <f>IF($I160&lt;&gt;"",$I160,SUMIFS(Assumptions!$P$4:$P$93,Assumptions!$M$4:$M$93,$C160,Assumptions!$N$4:$N$93,$E160,Assumptions!$O$4:$O$93,"LVN"))</f>
        <v/>
      </c>
      <c r="K160" s="7" t="n"/>
      <c r="L160" s="9">
        <f>IF($K160&lt;&gt;"",$K160,SUMIFS(Assumptions!$P$4:$P$93,Assumptions!$M$4:$M$93,$C160,Assumptions!$N$4:$N$93,$E160,Assumptions!$O$4:$O$93,"HVN"))</f>
        <v/>
      </c>
      <c r="M160" s="9">
        <f>J160+L160</f>
        <v/>
      </c>
      <c r="N160" s="10">
        <f>$F160*$H160*$M160</f>
        <v/>
      </c>
    </row>
    <row r="161">
      <c r="A161" s="4" t="inlineStr">
        <is>
          <t>UNIT</t>
        </is>
      </c>
      <c r="B161" s="5" t="inlineStr">
        <is>
          <t>CENOVUS_TOLEDO</t>
        </is>
      </c>
      <c r="C161" s="5" t="n">
        <v>2</v>
      </c>
      <c r="D161" s="5" t="inlineStr">
        <is>
          <t>CCR</t>
        </is>
      </c>
      <c r="E161" s="5" t="inlineStr">
        <is>
          <t>REFORMER</t>
        </is>
      </c>
      <c r="F161" s="6" t="n">
        <v>42</v>
      </c>
      <c r="G161" s="7" t="n">
        <v>0.756</v>
      </c>
      <c r="H161" s="8">
        <f>IF($G161&lt;&gt;"",$G161,SUMIFS(Assumptions!$K$4:$K$8,Assumptions!$J$4:$J$8,$C161))</f>
        <v/>
      </c>
      <c r="I161" s="7" t="n"/>
      <c r="J161" s="9">
        <f>IF($I161&lt;&gt;"",$I161,SUMIFS(Assumptions!$P$4:$P$93,Assumptions!$M$4:$M$93,$C161,Assumptions!$N$4:$N$93,$E161,Assumptions!$O$4:$O$93,"LVN"))</f>
        <v/>
      </c>
      <c r="K161" s="7" t="n"/>
      <c r="L161" s="9">
        <f>IF($K161&lt;&gt;"",$K161,SUMIFS(Assumptions!$P$4:$P$93,Assumptions!$M$4:$M$93,$C161,Assumptions!$N$4:$N$93,$E161,Assumptions!$O$4:$O$93,"HVN"))</f>
        <v/>
      </c>
      <c r="M161" s="9">
        <f>J161+L161</f>
        <v/>
      </c>
      <c r="N161" s="10">
        <f>$F161*$H161*$M161</f>
        <v/>
      </c>
    </row>
    <row r="162">
      <c r="A162" s="4" t="inlineStr">
        <is>
          <t>UNIT</t>
        </is>
      </c>
      <c r="B162" s="5" t="inlineStr">
        <is>
          <t>CENOVUS_TOLEDO</t>
        </is>
      </c>
      <c r="C162" s="5" t="n">
        <v>2</v>
      </c>
      <c r="D162" s="5" t="inlineStr">
        <is>
          <t>ALKY</t>
        </is>
      </c>
      <c r="E162" s="5" t="inlineStr">
        <is>
          <t>ALKY</t>
        </is>
      </c>
      <c r="F162" s="6" t="n">
        <v>11.5</v>
      </c>
      <c r="G162" s="7" t="n">
        <v>1.014</v>
      </c>
      <c r="H162" s="8">
        <f>IF($G162&lt;&gt;"",$G162,SUMIFS(Assumptions!$K$4:$K$8,Assumptions!$J$4:$J$8,$C162))</f>
        <v/>
      </c>
      <c r="I162" s="7" t="n"/>
      <c r="J162" s="9">
        <f>IF($I162&lt;&gt;"",$I162,SUMIFS(Assumptions!$P$4:$P$93,Assumptions!$M$4:$M$93,$C162,Assumptions!$N$4:$N$93,$E162,Assumptions!$O$4:$O$93,"LVN"))</f>
        <v/>
      </c>
      <c r="K162" s="7" t="n"/>
      <c r="L162" s="9">
        <f>IF($K162&lt;&gt;"",$K162,SUMIFS(Assumptions!$P$4:$P$93,Assumptions!$M$4:$M$93,$C162,Assumptions!$N$4:$N$93,$E162,Assumptions!$O$4:$O$93,"HVN"))</f>
        <v/>
      </c>
      <c r="M162" s="9">
        <f>J162+L162</f>
        <v/>
      </c>
      <c r="N162" s="10">
        <f>$F162*$H162*$M162</f>
        <v/>
      </c>
    </row>
    <row r="163">
      <c r="A163" s="11" t="inlineStr">
        <is>
          <t>TOTAL</t>
        </is>
      </c>
      <c r="B163" s="12" t="inlineStr">
        <is>
          <t>CENOVUS_TOLEDO</t>
        </is>
      </c>
      <c r="C163" s="12" t="n">
        <v>2</v>
      </c>
      <c r="D163" s="12" t="inlineStr">
        <is>
          <t>NET NAPHTHA</t>
        </is>
      </c>
      <c r="N163" s="13">
        <f>SUM(N156:N162)</f>
        <v/>
      </c>
    </row>
    <row r="165">
      <c r="A165" s="1" t="inlineStr">
        <is>
          <t xml:space="preserve">  Marathon Petroleum Detroit  [MARATHON_DETROIT]   —   Marathon Petroleum   —   PADD 2   —   crude 140 kbd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</row>
    <row r="166">
      <c r="A166" s="4" t="inlineStr">
        <is>
          <t>UNIT</t>
        </is>
      </c>
      <c r="B166" s="5" t="inlineStr">
        <is>
          <t>MARATHON_DETROIT</t>
        </is>
      </c>
      <c r="C166" s="5" t="n">
        <v>2</v>
      </c>
      <c r="D166" s="5" t="inlineStr">
        <is>
          <t>CDU</t>
        </is>
      </c>
      <c r="E166" s="5" t="inlineStr">
        <is>
          <t>CDU</t>
        </is>
      </c>
      <c r="F166" s="6" t="n">
        <v>147</v>
      </c>
      <c r="G166" s="7" t="n">
        <v>0.846</v>
      </c>
      <c r="H166" s="8">
        <f>IF($G166&lt;&gt;"",$G166,SUMIFS(Assumptions!$K$4:$K$8,Assumptions!$J$4:$J$8,$C166))</f>
        <v/>
      </c>
      <c r="I166" s="7" t="n"/>
      <c r="J166" s="9">
        <f>IF($I166&lt;&gt;"",$I166,SUMIFS(Assumptions!$P$4:$P$93,Assumptions!$M$4:$M$93,$C166,Assumptions!$N$4:$N$93,$E166,Assumptions!$O$4:$O$93,"LVN"))</f>
        <v/>
      </c>
      <c r="K166" s="7" t="n"/>
      <c r="L166" s="9">
        <f>IF($K166&lt;&gt;"",$K166,SUMIFS(Assumptions!$P$4:$P$93,Assumptions!$M$4:$M$93,$C166,Assumptions!$N$4:$N$93,$E166,Assumptions!$O$4:$O$93,"HVN"))</f>
        <v/>
      </c>
      <c r="M166" s="9">
        <f>J166+L166</f>
        <v/>
      </c>
      <c r="N166" s="10">
        <f>$F166*$H166*$M166</f>
        <v/>
      </c>
    </row>
    <row r="167">
      <c r="A167" s="4" t="inlineStr">
        <is>
          <t>UNIT</t>
        </is>
      </c>
      <c r="B167" s="5" t="inlineStr">
        <is>
          <t>MARATHON_DETROIT</t>
        </is>
      </c>
      <c r="C167" s="5" t="n">
        <v>2</v>
      </c>
      <c r="D167" s="5" t="inlineStr">
        <is>
          <t>VDU</t>
        </is>
      </c>
      <c r="E167" s="5" t="inlineStr">
        <is>
          <t>VDU</t>
        </is>
      </c>
      <c r="F167" s="6" t="n">
        <v>89</v>
      </c>
      <c r="G167" s="7" t="n">
        <v>0.595</v>
      </c>
      <c r="H167" s="8">
        <f>IF($G167&lt;&gt;"",$G167,SUMIFS(Assumptions!$K$4:$K$8,Assumptions!$J$4:$J$8,$C167))</f>
        <v/>
      </c>
      <c r="I167" s="7" t="n"/>
      <c r="J167" s="9">
        <f>IF($I167&lt;&gt;"",$I167,SUMIFS(Assumptions!$P$4:$P$93,Assumptions!$M$4:$M$93,$C167,Assumptions!$N$4:$N$93,$E167,Assumptions!$O$4:$O$93,"LVN"))</f>
        <v/>
      </c>
      <c r="K167" s="7" t="n"/>
      <c r="L167" s="9">
        <f>IF($K167&lt;&gt;"",$K167,SUMIFS(Assumptions!$P$4:$P$93,Assumptions!$M$4:$M$93,$C167,Assumptions!$N$4:$N$93,$E167,Assumptions!$O$4:$O$93,"HVN"))</f>
        <v/>
      </c>
      <c r="M167" s="9">
        <f>J167+L167</f>
        <v/>
      </c>
      <c r="N167" s="10">
        <f>$F167*$H167*$M167</f>
        <v/>
      </c>
    </row>
    <row r="168">
      <c r="A168" s="4" t="inlineStr">
        <is>
          <t>UNIT</t>
        </is>
      </c>
      <c r="B168" s="5" t="inlineStr">
        <is>
          <t>MARATHON_DETROIT</t>
        </is>
      </c>
      <c r="C168" s="5" t="n">
        <v>2</v>
      </c>
      <c r="D168" s="5" t="inlineStr">
        <is>
          <t>FCC</t>
        </is>
      </c>
      <c r="E168" s="5" t="inlineStr">
        <is>
          <t>FCC</t>
        </is>
      </c>
      <c r="F168" s="6" t="n">
        <v>44</v>
      </c>
      <c r="G168" s="7" t="n">
        <v>0.619</v>
      </c>
      <c r="H168" s="8">
        <f>IF($G168&lt;&gt;"",$G168,SUMIFS(Assumptions!$K$4:$K$8,Assumptions!$J$4:$J$8,$C168))</f>
        <v/>
      </c>
      <c r="I168" s="7" t="n"/>
      <c r="J168" s="9">
        <f>IF($I168&lt;&gt;"",$I168,SUMIFS(Assumptions!$P$4:$P$93,Assumptions!$M$4:$M$93,$C168,Assumptions!$N$4:$N$93,$E168,Assumptions!$O$4:$O$93,"LVN"))</f>
        <v/>
      </c>
      <c r="K168" s="7" t="n"/>
      <c r="L168" s="9">
        <f>IF($K168&lt;&gt;"",$K168,SUMIFS(Assumptions!$P$4:$P$93,Assumptions!$M$4:$M$93,$C168,Assumptions!$N$4:$N$93,$E168,Assumptions!$O$4:$O$93,"HVN"))</f>
        <v/>
      </c>
      <c r="M168" s="9">
        <f>J168+L168</f>
        <v/>
      </c>
      <c r="N168" s="10">
        <f>$F168*$H168*$M168</f>
        <v/>
      </c>
    </row>
    <row r="169">
      <c r="A169" s="4" t="inlineStr">
        <is>
          <t>UNIT</t>
        </is>
      </c>
      <c r="B169" s="5" t="inlineStr">
        <is>
          <t>MARATHON_DETROIT</t>
        </is>
      </c>
      <c r="C169" s="5" t="n">
        <v>2</v>
      </c>
      <c r="D169" s="5" t="inlineStr">
        <is>
          <t>COKER</t>
        </is>
      </c>
      <c r="E169" s="5" t="inlineStr">
        <is>
          <t>COKER</t>
        </is>
      </c>
      <c r="F169" s="6" t="n">
        <v>36.5</v>
      </c>
      <c r="G169" s="7" t="n">
        <v>0.292</v>
      </c>
      <c r="H169" s="8">
        <f>IF($G169&lt;&gt;"",$G169,SUMIFS(Assumptions!$K$4:$K$8,Assumptions!$J$4:$J$8,$C169))</f>
        <v/>
      </c>
      <c r="I169" s="7" t="n"/>
      <c r="J169" s="9">
        <f>IF($I169&lt;&gt;"",$I169,SUMIFS(Assumptions!$P$4:$P$93,Assumptions!$M$4:$M$93,$C169,Assumptions!$N$4:$N$93,$E169,Assumptions!$O$4:$O$93,"LVN"))</f>
        <v/>
      </c>
      <c r="K169" s="7" t="n"/>
      <c r="L169" s="9">
        <f>IF($K169&lt;&gt;"",$K169,SUMIFS(Assumptions!$P$4:$P$93,Assumptions!$M$4:$M$93,$C169,Assumptions!$N$4:$N$93,$E169,Assumptions!$O$4:$O$93,"HVN"))</f>
        <v/>
      </c>
      <c r="M169" s="9">
        <f>J169+L169</f>
        <v/>
      </c>
      <c r="N169" s="10">
        <f>$F169*$H169*$M169</f>
        <v/>
      </c>
    </row>
    <row r="170">
      <c r="A170" s="4" t="inlineStr">
        <is>
          <t>UNIT</t>
        </is>
      </c>
      <c r="B170" s="5" t="inlineStr">
        <is>
          <t>MARATHON_DETROIT</t>
        </is>
      </c>
      <c r="C170" s="5" t="n">
        <v>2</v>
      </c>
      <c r="D170" s="5" t="inlineStr">
        <is>
          <t>CCR</t>
        </is>
      </c>
      <c r="E170" s="5" t="inlineStr">
        <is>
          <t>REFORMER</t>
        </is>
      </c>
      <c r="F170" s="6" t="n">
        <v>21.5</v>
      </c>
      <c r="G170" s="7" t="n">
        <v>1.1</v>
      </c>
      <c r="H170" s="8">
        <f>IF($G170&lt;&gt;"",$G170,SUMIFS(Assumptions!$K$4:$K$8,Assumptions!$J$4:$J$8,$C170))</f>
        <v/>
      </c>
      <c r="I170" s="7" t="n"/>
      <c r="J170" s="9">
        <f>IF($I170&lt;&gt;"",$I170,SUMIFS(Assumptions!$P$4:$P$93,Assumptions!$M$4:$M$93,$C170,Assumptions!$N$4:$N$93,$E170,Assumptions!$O$4:$O$93,"LVN"))</f>
        <v/>
      </c>
      <c r="K170" s="7" t="n"/>
      <c r="L170" s="9">
        <f>IF($K170&lt;&gt;"",$K170,SUMIFS(Assumptions!$P$4:$P$93,Assumptions!$M$4:$M$93,$C170,Assumptions!$N$4:$N$93,$E170,Assumptions!$O$4:$O$93,"HVN"))</f>
        <v/>
      </c>
      <c r="M170" s="9">
        <f>J170+L170</f>
        <v/>
      </c>
      <c r="N170" s="10">
        <f>$F170*$H170*$M170</f>
        <v/>
      </c>
    </row>
    <row r="171">
      <c r="A171" s="4" t="inlineStr">
        <is>
          <t>UNIT</t>
        </is>
      </c>
      <c r="B171" s="5" t="inlineStr">
        <is>
          <t>MARATHON_DETROIT</t>
        </is>
      </c>
      <c r="C171" s="5" t="n">
        <v>2</v>
      </c>
      <c r="D171" s="5" t="inlineStr">
        <is>
          <t>ALKY</t>
        </is>
      </c>
      <c r="E171" s="5" t="inlineStr">
        <is>
          <t>ALKY</t>
        </is>
      </c>
      <c r="F171" s="6" t="n">
        <v>7.5</v>
      </c>
      <c r="G171" s="7" t="n">
        <v>0.663</v>
      </c>
      <c r="H171" s="8">
        <f>IF($G171&lt;&gt;"",$G171,SUMIFS(Assumptions!$K$4:$K$8,Assumptions!$J$4:$J$8,$C171))</f>
        <v/>
      </c>
      <c r="I171" s="7" t="n"/>
      <c r="J171" s="9">
        <f>IF($I171&lt;&gt;"",$I171,SUMIFS(Assumptions!$P$4:$P$93,Assumptions!$M$4:$M$93,$C171,Assumptions!$N$4:$N$93,$E171,Assumptions!$O$4:$O$93,"LVN"))</f>
        <v/>
      </c>
      <c r="K171" s="7" t="n"/>
      <c r="L171" s="9">
        <f>IF($K171&lt;&gt;"",$K171,SUMIFS(Assumptions!$P$4:$P$93,Assumptions!$M$4:$M$93,$C171,Assumptions!$N$4:$N$93,$E171,Assumptions!$O$4:$O$93,"HVN"))</f>
        <v/>
      </c>
      <c r="M171" s="9">
        <f>J171+L171</f>
        <v/>
      </c>
      <c r="N171" s="10">
        <f>$F171*$H171*$M171</f>
        <v/>
      </c>
    </row>
    <row r="172">
      <c r="A172" s="11" t="inlineStr">
        <is>
          <t>TOTAL</t>
        </is>
      </c>
      <c r="B172" s="12" t="inlineStr">
        <is>
          <t>MARATHON_DETROIT</t>
        </is>
      </c>
      <c r="C172" s="12" t="n">
        <v>2</v>
      </c>
      <c r="D172" s="12" t="inlineStr">
        <is>
          <t>NET NAPHTHA</t>
        </is>
      </c>
      <c r="N172" s="13">
        <f>SUM(N166:N171)</f>
        <v/>
      </c>
    </row>
    <row r="174">
      <c r="A174" s="1" t="inlineStr">
        <is>
          <t xml:space="preserve">  HF Sinclair El Dorado (KS)  [HF_EL_DORADO_KS]   —   HF Sinclair   —   PADD 2   —   crude 135 kbd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</row>
    <row r="175">
      <c r="A175" s="4" t="inlineStr">
        <is>
          <t>UNIT</t>
        </is>
      </c>
      <c r="B175" s="5" t="inlineStr">
        <is>
          <t>HF_EL_DORADO_KS</t>
        </is>
      </c>
      <c r="C175" s="5" t="n">
        <v>2</v>
      </c>
      <c r="D175" s="5" t="inlineStr">
        <is>
          <t>CDU</t>
        </is>
      </c>
      <c r="E175" s="5" t="inlineStr">
        <is>
          <t>CDU</t>
        </is>
      </c>
      <c r="F175" s="6" t="n">
        <v>165</v>
      </c>
      <c r="G175" s="7" t="n">
        <v>0.87</v>
      </c>
      <c r="H175" s="8">
        <f>IF($G175&lt;&gt;"",$G175,SUMIFS(Assumptions!$K$4:$K$8,Assumptions!$J$4:$J$8,$C175))</f>
        <v/>
      </c>
      <c r="I175" s="7" t="n"/>
      <c r="J175" s="9">
        <f>IF($I175&lt;&gt;"",$I175,SUMIFS(Assumptions!$P$4:$P$93,Assumptions!$M$4:$M$93,$C175,Assumptions!$N$4:$N$93,$E175,Assumptions!$O$4:$O$93,"LVN"))</f>
        <v/>
      </c>
      <c r="K175" s="7" t="n"/>
      <c r="L175" s="9">
        <f>IF($K175&lt;&gt;"",$K175,SUMIFS(Assumptions!$P$4:$P$93,Assumptions!$M$4:$M$93,$C175,Assumptions!$N$4:$N$93,$E175,Assumptions!$O$4:$O$93,"HVN"))</f>
        <v/>
      </c>
      <c r="M175" s="9">
        <f>J175+L175</f>
        <v/>
      </c>
      <c r="N175" s="10">
        <f>$F175*$H175*$M175</f>
        <v/>
      </c>
    </row>
    <row r="176">
      <c r="A176" s="4" t="inlineStr">
        <is>
          <t>UNIT</t>
        </is>
      </c>
      <c r="B176" s="5" t="inlineStr">
        <is>
          <t>HF_EL_DORADO_KS</t>
        </is>
      </c>
      <c r="C176" s="5" t="n">
        <v>2</v>
      </c>
      <c r="D176" s="5" t="inlineStr">
        <is>
          <t>VDU</t>
        </is>
      </c>
      <c r="E176" s="5" t="inlineStr">
        <is>
          <t>VDU</t>
        </is>
      </c>
      <c r="F176" s="6" t="n">
        <v>65</v>
      </c>
      <c r="G176" s="7" t="n">
        <v>0.99</v>
      </c>
      <c r="H176" s="8">
        <f>IF($G176&lt;&gt;"",$G176,SUMIFS(Assumptions!$K$4:$K$8,Assumptions!$J$4:$J$8,$C176))</f>
        <v/>
      </c>
      <c r="I176" s="7" t="n"/>
      <c r="J176" s="9">
        <f>IF($I176&lt;&gt;"",$I176,SUMIFS(Assumptions!$P$4:$P$93,Assumptions!$M$4:$M$93,$C176,Assumptions!$N$4:$N$93,$E176,Assumptions!$O$4:$O$93,"LVN"))</f>
        <v/>
      </c>
      <c r="K176" s="7" t="n"/>
      <c r="L176" s="9">
        <f>IF($K176&lt;&gt;"",$K176,SUMIFS(Assumptions!$P$4:$P$93,Assumptions!$M$4:$M$93,$C176,Assumptions!$N$4:$N$93,$E176,Assumptions!$O$4:$O$93,"HVN"))</f>
        <v/>
      </c>
      <c r="M176" s="9">
        <f>J176+L176</f>
        <v/>
      </c>
      <c r="N176" s="10">
        <f>$F176*$H176*$M176</f>
        <v/>
      </c>
    </row>
    <row r="177">
      <c r="A177" s="4" t="inlineStr">
        <is>
          <t>UNIT</t>
        </is>
      </c>
      <c r="B177" s="5" t="inlineStr">
        <is>
          <t>HF_EL_DORADO_KS</t>
        </is>
      </c>
      <c r="C177" s="5" t="n">
        <v>2</v>
      </c>
      <c r="D177" s="5" t="inlineStr">
        <is>
          <t>FCC</t>
        </is>
      </c>
      <c r="E177" s="5" t="inlineStr">
        <is>
          <t>FCC</t>
        </is>
      </c>
      <c r="F177" s="6" t="n">
        <v>44</v>
      </c>
      <c r="G177" s="7" t="n">
        <v>0.984</v>
      </c>
      <c r="H177" s="8">
        <f>IF($G177&lt;&gt;"",$G177,SUMIFS(Assumptions!$K$4:$K$8,Assumptions!$J$4:$J$8,$C177))</f>
        <v/>
      </c>
      <c r="I177" s="7" t="n"/>
      <c r="J177" s="9">
        <f>IF($I177&lt;&gt;"",$I177,SUMIFS(Assumptions!$P$4:$P$93,Assumptions!$M$4:$M$93,$C177,Assumptions!$N$4:$N$93,$E177,Assumptions!$O$4:$O$93,"LVN"))</f>
        <v/>
      </c>
      <c r="K177" s="7" t="n"/>
      <c r="L177" s="9">
        <f>IF($K177&lt;&gt;"",$K177,SUMIFS(Assumptions!$P$4:$P$93,Assumptions!$M$4:$M$93,$C177,Assumptions!$N$4:$N$93,$E177,Assumptions!$O$4:$O$93,"HVN"))</f>
        <v/>
      </c>
      <c r="M177" s="9">
        <f>J177+L177</f>
        <v/>
      </c>
      <c r="N177" s="10">
        <f>$F177*$H177*$M177</f>
        <v/>
      </c>
    </row>
    <row r="178">
      <c r="A178" s="4" t="inlineStr">
        <is>
          <t>UNIT</t>
        </is>
      </c>
      <c r="B178" s="5" t="inlineStr">
        <is>
          <t>HF_EL_DORADO_KS</t>
        </is>
      </c>
      <c r="C178" s="5" t="n">
        <v>2</v>
      </c>
      <c r="D178" s="5" t="inlineStr">
        <is>
          <t>COKER</t>
        </is>
      </c>
      <c r="E178" s="5" t="inlineStr">
        <is>
          <t>COKER</t>
        </is>
      </c>
      <c r="F178" s="6" t="n">
        <v>22.5</v>
      </c>
      <c r="G178" s="7" t="n">
        <v>1</v>
      </c>
      <c r="H178" s="8">
        <f>IF($G178&lt;&gt;"",$G178,SUMIFS(Assumptions!$K$4:$K$8,Assumptions!$J$4:$J$8,$C178))</f>
        <v/>
      </c>
      <c r="I178" s="7" t="n"/>
      <c r="J178" s="9">
        <f>IF($I178&lt;&gt;"",$I178,SUMIFS(Assumptions!$P$4:$P$93,Assumptions!$M$4:$M$93,$C178,Assumptions!$N$4:$N$93,$E178,Assumptions!$O$4:$O$93,"LVN"))</f>
        <v/>
      </c>
      <c r="K178" s="7" t="n"/>
      <c r="L178" s="9">
        <f>IF($K178&lt;&gt;"",$K178,SUMIFS(Assumptions!$P$4:$P$93,Assumptions!$M$4:$M$93,$C178,Assumptions!$N$4:$N$93,$E178,Assumptions!$O$4:$O$93,"HVN"))</f>
        <v/>
      </c>
      <c r="M178" s="9">
        <f>J178+L178</f>
        <v/>
      </c>
      <c r="N178" s="10">
        <f>$F178*$H178*$M178</f>
        <v/>
      </c>
    </row>
    <row r="179">
      <c r="A179" s="4" t="inlineStr">
        <is>
          <t>UNIT</t>
        </is>
      </c>
      <c r="B179" s="5" t="inlineStr">
        <is>
          <t>HF_EL_DORADO_KS</t>
        </is>
      </c>
      <c r="C179" s="5" t="n">
        <v>2</v>
      </c>
      <c r="D179" s="5" t="inlineStr">
        <is>
          <t>CCR</t>
        </is>
      </c>
      <c r="E179" s="5" t="inlineStr">
        <is>
          <t>REFORMER</t>
        </is>
      </c>
      <c r="F179" s="6" t="n">
        <v>7.5</v>
      </c>
      <c r="G179" s="7" t="n">
        <v>1.1</v>
      </c>
      <c r="H179" s="8">
        <f>IF($G179&lt;&gt;"",$G179,SUMIFS(Assumptions!$K$4:$K$8,Assumptions!$J$4:$J$8,$C179))</f>
        <v/>
      </c>
      <c r="I179" s="7" t="n"/>
      <c r="J179" s="9">
        <f>IF($I179&lt;&gt;"",$I179,SUMIFS(Assumptions!$P$4:$P$93,Assumptions!$M$4:$M$93,$C179,Assumptions!$N$4:$N$93,$E179,Assumptions!$O$4:$O$93,"LVN"))</f>
        <v/>
      </c>
      <c r="K179" s="7" t="n"/>
      <c r="L179" s="9">
        <f>IF($K179&lt;&gt;"",$K179,SUMIFS(Assumptions!$P$4:$P$93,Assumptions!$M$4:$M$93,$C179,Assumptions!$N$4:$N$93,$E179,Assumptions!$O$4:$O$93,"HVN"))</f>
        <v/>
      </c>
      <c r="M179" s="9">
        <f>J179+L179</f>
        <v/>
      </c>
      <c r="N179" s="10">
        <f>$F179*$H179*$M179</f>
        <v/>
      </c>
    </row>
    <row r="180">
      <c r="A180" s="4" t="inlineStr">
        <is>
          <t>UNIT</t>
        </is>
      </c>
      <c r="B180" s="5" t="inlineStr">
        <is>
          <t>HF_EL_DORADO_KS</t>
        </is>
      </c>
      <c r="C180" s="5" t="n">
        <v>2</v>
      </c>
      <c r="D180" s="5" t="inlineStr">
        <is>
          <t>REF</t>
        </is>
      </c>
      <c r="E180" s="5" t="inlineStr">
        <is>
          <t>REFORMER</t>
        </is>
      </c>
      <c r="F180" s="6" t="n">
        <v>23.5</v>
      </c>
      <c r="G180" s="7" t="n"/>
      <c r="H180" s="8">
        <f>IF($G180&lt;&gt;"",$G180,SUMIFS(Assumptions!$K$4:$K$8,Assumptions!$J$4:$J$8,$C180))</f>
        <v/>
      </c>
      <c r="I180" s="7" t="n"/>
      <c r="J180" s="9">
        <f>IF($I180&lt;&gt;"",$I180,SUMIFS(Assumptions!$P$4:$P$93,Assumptions!$M$4:$M$93,$C180,Assumptions!$N$4:$N$93,$E180,Assumptions!$O$4:$O$93,"LVN"))</f>
        <v/>
      </c>
      <c r="K180" s="7" t="n"/>
      <c r="L180" s="9">
        <f>IF($K180&lt;&gt;"",$K180,SUMIFS(Assumptions!$P$4:$P$93,Assumptions!$M$4:$M$93,$C180,Assumptions!$N$4:$N$93,$E180,Assumptions!$O$4:$O$93,"HVN"))</f>
        <v/>
      </c>
      <c r="M180" s="9">
        <f>J180+L180</f>
        <v/>
      </c>
      <c r="N180" s="10">
        <f>$F180*$H180*$M180</f>
        <v/>
      </c>
    </row>
    <row r="181">
      <c r="A181" s="4" t="inlineStr">
        <is>
          <t>UNIT</t>
        </is>
      </c>
      <c r="B181" s="5" t="inlineStr">
        <is>
          <t>HF_EL_DORADO_KS</t>
        </is>
      </c>
      <c r="C181" s="5" t="n">
        <v>2</v>
      </c>
      <c r="D181" s="5" t="inlineStr">
        <is>
          <t>ISOM</t>
        </is>
      </c>
      <c r="E181" s="5" t="inlineStr">
        <is>
          <t>ISOM</t>
        </is>
      </c>
      <c r="F181" s="6" t="n">
        <v>15</v>
      </c>
      <c r="G181" s="7" t="n">
        <v>0.119</v>
      </c>
      <c r="H181" s="8">
        <f>IF($G181&lt;&gt;"",$G181,SUMIFS(Assumptions!$K$4:$K$8,Assumptions!$J$4:$J$8,$C181))</f>
        <v/>
      </c>
      <c r="I181" s="7" t="n"/>
      <c r="J181" s="9">
        <f>IF($I181&lt;&gt;"",$I181,SUMIFS(Assumptions!$P$4:$P$93,Assumptions!$M$4:$M$93,$C181,Assumptions!$N$4:$N$93,$E181,Assumptions!$O$4:$O$93,"LVN"))</f>
        <v/>
      </c>
      <c r="K181" s="7" t="n"/>
      <c r="L181" s="9">
        <f>IF($K181&lt;&gt;"",$K181,SUMIFS(Assumptions!$P$4:$P$93,Assumptions!$M$4:$M$93,$C181,Assumptions!$N$4:$N$93,$E181,Assumptions!$O$4:$O$93,"HVN"))</f>
        <v/>
      </c>
      <c r="M181" s="9">
        <f>J181+L181</f>
        <v/>
      </c>
      <c r="N181" s="10">
        <f>$F181*$H181*$M181</f>
        <v/>
      </c>
    </row>
    <row r="182">
      <c r="A182" s="4" t="inlineStr">
        <is>
          <t>UNIT</t>
        </is>
      </c>
      <c r="B182" s="5" t="inlineStr">
        <is>
          <t>HF_EL_DORADO_KS</t>
        </is>
      </c>
      <c r="C182" s="5" t="n">
        <v>2</v>
      </c>
      <c r="D182" s="5" t="inlineStr">
        <is>
          <t>ALKY</t>
        </is>
      </c>
      <c r="E182" s="5" t="inlineStr">
        <is>
          <t>ALKY</t>
        </is>
      </c>
      <c r="F182" s="6" t="n">
        <v>14</v>
      </c>
      <c r="G182" s="7" t="n">
        <v>1.1</v>
      </c>
      <c r="H182" s="8">
        <f>IF($G182&lt;&gt;"",$G182,SUMIFS(Assumptions!$K$4:$K$8,Assumptions!$J$4:$J$8,$C182))</f>
        <v/>
      </c>
      <c r="I182" s="7" t="n"/>
      <c r="J182" s="9">
        <f>IF($I182&lt;&gt;"",$I182,SUMIFS(Assumptions!$P$4:$P$93,Assumptions!$M$4:$M$93,$C182,Assumptions!$N$4:$N$93,$E182,Assumptions!$O$4:$O$93,"LVN"))</f>
        <v/>
      </c>
      <c r="K182" s="7" t="n"/>
      <c r="L182" s="9">
        <f>IF($K182&lt;&gt;"",$K182,SUMIFS(Assumptions!$P$4:$P$93,Assumptions!$M$4:$M$93,$C182,Assumptions!$N$4:$N$93,$E182,Assumptions!$O$4:$O$93,"HVN"))</f>
        <v/>
      </c>
      <c r="M182" s="9">
        <f>J182+L182</f>
        <v/>
      </c>
      <c r="N182" s="10">
        <f>$F182*$H182*$M182</f>
        <v/>
      </c>
    </row>
    <row r="183">
      <c r="A183" s="4" t="inlineStr">
        <is>
          <t>UNIT</t>
        </is>
      </c>
      <c r="B183" s="5" t="inlineStr">
        <is>
          <t>HF_EL_DORADO_KS</t>
        </is>
      </c>
      <c r="C183" s="5" t="n">
        <v>2</v>
      </c>
      <c r="D183" s="5" t="inlineStr">
        <is>
          <t>NSPL</t>
        </is>
      </c>
      <c r="E183" s="5" t="inlineStr">
        <is>
          <t>SPLITTER</t>
        </is>
      </c>
      <c r="F183" s="6" t="n">
        <v>50</v>
      </c>
      <c r="G183" s="7" t="n"/>
      <c r="H183" s="8">
        <f>IF($G183&lt;&gt;"",$G183,SUMIFS(Assumptions!$K$4:$K$8,Assumptions!$J$4:$J$8,$C183))</f>
        <v/>
      </c>
      <c r="I183" s="7" t="n"/>
      <c r="J183" s="9">
        <f>IF($I183&lt;&gt;"",$I183,SUMIFS(Assumptions!$P$4:$P$93,Assumptions!$M$4:$M$93,$C183,Assumptions!$N$4:$N$93,$E183,Assumptions!$O$4:$O$93,"LVN"))</f>
        <v/>
      </c>
      <c r="K183" s="7" t="n"/>
      <c r="L183" s="9">
        <f>IF($K183&lt;&gt;"",$K183,SUMIFS(Assumptions!$P$4:$P$93,Assumptions!$M$4:$M$93,$C183,Assumptions!$N$4:$N$93,$E183,Assumptions!$O$4:$O$93,"HVN"))</f>
        <v/>
      </c>
      <c r="M183" s="9">
        <f>J183+L183</f>
        <v/>
      </c>
      <c r="N183" s="10">
        <f>$F183*$H183*$M183</f>
        <v/>
      </c>
    </row>
    <row r="184">
      <c r="A184" s="11" t="inlineStr">
        <is>
          <t>TOTAL</t>
        </is>
      </c>
      <c r="B184" s="12" t="inlineStr">
        <is>
          <t>HF_EL_DORADO_KS</t>
        </is>
      </c>
      <c r="C184" s="12" t="n">
        <v>2</v>
      </c>
      <c r="D184" s="12" t="inlineStr">
        <is>
          <t>NET NAPHTHA</t>
        </is>
      </c>
      <c r="N184" s="13">
        <f>SUM(N175:N183)</f>
        <v/>
      </c>
    </row>
    <row r="186">
      <c r="A186" s="1" t="inlineStr">
        <is>
          <t xml:space="preserve">  CVR Energy Coffeyville  [CVR_COFFEYVILLE]   —   Icahn Enterprises (80%) / Other Investors (20%)   —   PADD 2   —   crude 132 kbd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</row>
    <row r="187">
      <c r="A187" s="4" t="inlineStr">
        <is>
          <t>UNIT</t>
        </is>
      </c>
      <c r="B187" s="5" t="inlineStr">
        <is>
          <t>CVR_COFFEYVILLE</t>
        </is>
      </c>
      <c r="C187" s="5" t="n">
        <v>2</v>
      </c>
      <c r="D187" s="5" t="inlineStr">
        <is>
          <t>CDU</t>
        </is>
      </c>
      <c r="E187" s="5" t="inlineStr">
        <is>
          <t>CDU</t>
        </is>
      </c>
      <c r="F187" s="6" t="n">
        <v>136</v>
      </c>
      <c r="G187" s="7" t="n">
        <v>0.91</v>
      </c>
      <c r="H187" s="8">
        <f>IF($G187&lt;&gt;"",$G187,SUMIFS(Assumptions!$K$4:$K$8,Assumptions!$J$4:$J$8,$C187))</f>
        <v/>
      </c>
      <c r="I187" s="7" t="n"/>
      <c r="J187" s="9">
        <f>IF($I187&lt;&gt;"",$I187,SUMIFS(Assumptions!$P$4:$P$93,Assumptions!$M$4:$M$93,$C187,Assumptions!$N$4:$N$93,$E187,Assumptions!$O$4:$O$93,"LVN"))</f>
        <v/>
      </c>
      <c r="K187" s="7" t="n"/>
      <c r="L187" s="9">
        <f>IF($K187&lt;&gt;"",$K187,SUMIFS(Assumptions!$P$4:$P$93,Assumptions!$M$4:$M$93,$C187,Assumptions!$N$4:$N$93,$E187,Assumptions!$O$4:$O$93,"HVN"))</f>
        <v/>
      </c>
      <c r="M187" s="9">
        <f>J187+L187</f>
        <v/>
      </c>
      <c r="N187" s="10">
        <f>$F187*$H187*$M187</f>
        <v/>
      </c>
    </row>
    <row r="188">
      <c r="A188" s="4" t="inlineStr">
        <is>
          <t>UNIT</t>
        </is>
      </c>
      <c r="B188" s="5" t="inlineStr">
        <is>
          <t>CVR_COFFEYVILLE</t>
        </is>
      </c>
      <c r="C188" s="5" t="n">
        <v>2</v>
      </c>
      <c r="D188" s="5" t="inlineStr">
        <is>
          <t>VDU</t>
        </is>
      </c>
      <c r="E188" s="5" t="inlineStr">
        <is>
          <t>VDU</t>
        </is>
      </c>
      <c r="F188" s="6" t="n">
        <v>46</v>
      </c>
      <c r="G188" s="7" t="n">
        <v>0.993</v>
      </c>
      <c r="H188" s="8">
        <f>IF($G188&lt;&gt;"",$G188,SUMIFS(Assumptions!$K$4:$K$8,Assumptions!$J$4:$J$8,$C188))</f>
        <v/>
      </c>
      <c r="I188" s="7" t="n"/>
      <c r="J188" s="9">
        <f>IF($I188&lt;&gt;"",$I188,SUMIFS(Assumptions!$P$4:$P$93,Assumptions!$M$4:$M$93,$C188,Assumptions!$N$4:$N$93,$E188,Assumptions!$O$4:$O$93,"LVN"))</f>
        <v/>
      </c>
      <c r="K188" s="7" t="n"/>
      <c r="L188" s="9">
        <f>IF($K188&lt;&gt;"",$K188,SUMIFS(Assumptions!$P$4:$P$93,Assumptions!$M$4:$M$93,$C188,Assumptions!$N$4:$N$93,$E188,Assumptions!$O$4:$O$93,"HVN"))</f>
        <v/>
      </c>
      <c r="M188" s="9">
        <f>J188+L188</f>
        <v/>
      </c>
      <c r="N188" s="10">
        <f>$F188*$H188*$M188</f>
        <v/>
      </c>
    </row>
    <row r="189">
      <c r="A189" s="4" t="inlineStr">
        <is>
          <t>UNIT</t>
        </is>
      </c>
      <c r="B189" s="5" t="inlineStr">
        <is>
          <t>CVR_COFFEYVILLE</t>
        </is>
      </c>
      <c r="C189" s="5" t="n">
        <v>2</v>
      </c>
      <c r="D189" s="5" t="inlineStr">
        <is>
          <t>FCC</t>
        </is>
      </c>
      <c r="E189" s="5" t="inlineStr">
        <is>
          <t>FCC</t>
        </is>
      </c>
      <c r="F189" s="6" t="n">
        <v>36</v>
      </c>
      <c r="G189" s="7" t="n">
        <v>1</v>
      </c>
      <c r="H189" s="8">
        <f>IF($G189&lt;&gt;"",$G189,SUMIFS(Assumptions!$K$4:$K$8,Assumptions!$J$4:$J$8,$C189))</f>
        <v/>
      </c>
      <c r="I189" s="7" t="n"/>
      <c r="J189" s="9">
        <f>IF($I189&lt;&gt;"",$I189,SUMIFS(Assumptions!$P$4:$P$93,Assumptions!$M$4:$M$93,$C189,Assumptions!$N$4:$N$93,$E189,Assumptions!$O$4:$O$93,"LVN"))</f>
        <v/>
      </c>
      <c r="K189" s="7" t="n"/>
      <c r="L189" s="9">
        <f>IF($K189&lt;&gt;"",$K189,SUMIFS(Assumptions!$P$4:$P$93,Assumptions!$M$4:$M$93,$C189,Assumptions!$N$4:$N$93,$E189,Assumptions!$O$4:$O$93,"HVN"))</f>
        <v/>
      </c>
      <c r="M189" s="9">
        <f>J189+L189</f>
        <v/>
      </c>
      <c r="N189" s="10">
        <f>$F189*$H189*$M189</f>
        <v/>
      </c>
    </row>
    <row r="190">
      <c r="A190" s="4" t="inlineStr">
        <is>
          <t>UNIT</t>
        </is>
      </c>
      <c r="B190" s="5" t="inlineStr">
        <is>
          <t>CVR_COFFEYVILLE</t>
        </is>
      </c>
      <c r="C190" s="5" t="n">
        <v>2</v>
      </c>
      <c r="D190" s="5" t="inlineStr">
        <is>
          <t>COKER</t>
        </is>
      </c>
      <c r="E190" s="5" t="inlineStr">
        <is>
          <t>COKER</t>
        </is>
      </c>
      <c r="F190" s="6" t="n">
        <v>25</v>
      </c>
      <c r="G190" s="7" t="n">
        <v>0.919</v>
      </c>
      <c r="H190" s="8">
        <f>IF($G190&lt;&gt;"",$G190,SUMIFS(Assumptions!$K$4:$K$8,Assumptions!$J$4:$J$8,$C190))</f>
        <v/>
      </c>
      <c r="I190" s="7" t="n"/>
      <c r="J190" s="9">
        <f>IF($I190&lt;&gt;"",$I190,SUMIFS(Assumptions!$P$4:$P$93,Assumptions!$M$4:$M$93,$C190,Assumptions!$N$4:$N$93,$E190,Assumptions!$O$4:$O$93,"LVN"))</f>
        <v/>
      </c>
      <c r="K190" s="7" t="n"/>
      <c r="L190" s="9">
        <f>IF($K190&lt;&gt;"",$K190,SUMIFS(Assumptions!$P$4:$P$93,Assumptions!$M$4:$M$93,$C190,Assumptions!$N$4:$N$93,$E190,Assumptions!$O$4:$O$93,"HVN"))</f>
        <v/>
      </c>
      <c r="M190" s="9">
        <f>J190+L190</f>
        <v/>
      </c>
      <c r="N190" s="10">
        <f>$F190*$H190*$M190</f>
        <v/>
      </c>
    </row>
    <row r="191">
      <c r="A191" s="4" t="inlineStr">
        <is>
          <t>UNIT</t>
        </is>
      </c>
      <c r="B191" s="5" t="inlineStr">
        <is>
          <t>CVR_COFFEYVILLE</t>
        </is>
      </c>
      <c r="C191" s="5" t="n">
        <v>2</v>
      </c>
      <c r="D191" s="5" t="inlineStr">
        <is>
          <t>CCR</t>
        </is>
      </c>
      <c r="E191" s="5" t="inlineStr">
        <is>
          <t>REFORMER</t>
        </is>
      </c>
      <c r="F191" s="6" t="n">
        <v>26</v>
      </c>
      <c r="G191" s="7" t="n">
        <v>0.913</v>
      </c>
      <c r="H191" s="8">
        <f>IF($G191&lt;&gt;"",$G191,SUMIFS(Assumptions!$K$4:$K$8,Assumptions!$J$4:$J$8,$C191))</f>
        <v/>
      </c>
      <c r="I191" s="7" t="n"/>
      <c r="J191" s="9">
        <f>IF($I191&lt;&gt;"",$I191,SUMIFS(Assumptions!$P$4:$P$93,Assumptions!$M$4:$M$93,$C191,Assumptions!$N$4:$N$93,$E191,Assumptions!$O$4:$O$93,"LVN"))</f>
        <v/>
      </c>
      <c r="K191" s="7" t="n"/>
      <c r="L191" s="9">
        <f>IF($K191&lt;&gt;"",$K191,SUMIFS(Assumptions!$P$4:$P$93,Assumptions!$M$4:$M$93,$C191,Assumptions!$N$4:$N$93,$E191,Assumptions!$O$4:$O$93,"HVN"))</f>
        <v/>
      </c>
      <c r="M191" s="9">
        <f>J191+L191</f>
        <v/>
      </c>
      <c r="N191" s="10">
        <f>$F191*$H191*$M191</f>
        <v/>
      </c>
    </row>
    <row r="192">
      <c r="A192" s="4" t="inlineStr">
        <is>
          <t>UNIT</t>
        </is>
      </c>
      <c r="B192" s="5" t="inlineStr">
        <is>
          <t>CVR_COFFEYVILLE</t>
        </is>
      </c>
      <c r="C192" s="5" t="n">
        <v>2</v>
      </c>
      <c r="D192" s="5" t="inlineStr">
        <is>
          <t>ALKY</t>
        </is>
      </c>
      <c r="E192" s="5" t="inlineStr">
        <is>
          <t>ALKY</t>
        </is>
      </c>
      <c r="F192" s="6" t="n">
        <v>10</v>
      </c>
      <c r="G192" s="7" t="n">
        <v>1.1</v>
      </c>
      <c r="H192" s="8">
        <f>IF($G192&lt;&gt;"",$G192,SUMIFS(Assumptions!$K$4:$K$8,Assumptions!$J$4:$J$8,$C192))</f>
        <v/>
      </c>
      <c r="I192" s="7" t="n"/>
      <c r="J192" s="9">
        <f>IF($I192&lt;&gt;"",$I192,SUMIFS(Assumptions!$P$4:$P$93,Assumptions!$M$4:$M$93,$C192,Assumptions!$N$4:$N$93,$E192,Assumptions!$O$4:$O$93,"LVN"))</f>
        <v/>
      </c>
      <c r="K192" s="7" t="n"/>
      <c r="L192" s="9">
        <f>IF($K192&lt;&gt;"",$K192,SUMIFS(Assumptions!$P$4:$P$93,Assumptions!$M$4:$M$93,$C192,Assumptions!$N$4:$N$93,$E192,Assumptions!$O$4:$O$93,"HVN"))</f>
        <v/>
      </c>
      <c r="M192" s="9">
        <f>J192+L192</f>
        <v/>
      </c>
      <c r="N192" s="10">
        <f>$F192*$H192*$M192</f>
        <v/>
      </c>
    </row>
    <row r="193">
      <c r="A193" s="11" t="inlineStr">
        <is>
          <t>TOTAL</t>
        </is>
      </c>
      <c r="B193" s="12" t="inlineStr">
        <is>
          <t>CVR_COFFEYVILLE</t>
        </is>
      </c>
      <c r="C193" s="12" t="n">
        <v>2</v>
      </c>
      <c r="D193" s="12" t="inlineStr">
        <is>
          <t>NET NAPHTHA</t>
        </is>
      </c>
      <c r="N193" s="13">
        <f>SUM(N187:N192)</f>
        <v/>
      </c>
    </row>
    <row r="195">
      <c r="A195" s="1" t="inlineStr">
        <is>
          <t xml:space="preserve">  HF Sinclair Tulsa  [HF_TULSA]   —   HF Sinclair   —   PADD 2   —   crude 125 kbd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</row>
    <row r="196">
      <c r="A196" s="4" t="inlineStr">
        <is>
          <t>UNIT</t>
        </is>
      </c>
      <c r="B196" s="5" t="inlineStr">
        <is>
          <t>HF_TULSA</t>
        </is>
      </c>
      <c r="C196" s="5" t="n">
        <v>2</v>
      </c>
      <c r="D196" s="5" t="inlineStr">
        <is>
          <t>CDU</t>
        </is>
      </c>
      <c r="E196" s="5" t="inlineStr">
        <is>
          <t>CDU</t>
        </is>
      </c>
      <c r="F196" s="6" t="n">
        <v>166.52</v>
      </c>
      <c r="G196" s="7" t="n">
        <v>0.649</v>
      </c>
      <c r="H196" s="8">
        <f>IF($G196&lt;&gt;"",$G196,SUMIFS(Assumptions!$K$4:$K$8,Assumptions!$J$4:$J$8,$C196))</f>
        <v/>
      </c>
      <c r="I196" s="7" t="n"/>
      <c r="J196" s="9">
        <f>IF($I196&lt;&gt;"",$I196,SUMIFS(Assumptions!$P$4:$P$93,Assumptions!$M$4:$M$93,$C196,Assumptions!$N$4:$N$93,$E196,Assumptions!$O$4:$O$93,"LVN"))</f>
        <v/>
      </c>
      <c r="K196" s="7" t="n"/>
      <c r="L196" s="9">
        <f>IF($K196&lt;&gt;"",$K196,SUMIFS(Assumptions!$P$4:$P$93,Assumptions!$M$4:$M$93,$C196,Assumptions!$N$4:$N$93,$E196,Assumptions!$O$4:$O$93,"HVN"))</f>
        <v/>
      </c>
      <c r="M196" s="9">
        <f>J196+L196</f>
        <v/>
      </c>
      <c r="N196" s="10">
        <f>$F196*$H196*$M196</f>
        <v/>
      </c>
    </row>
    <row r="197">
      <c r="A197" s="4" t="inlineStr">
        <is>
          <t>UNIT</t>
        </is>
      </c>
      <c r="B197" s="5" t="inlineStr">
        <is>
          <t>HF_TULSA</t>
        </is>
      </c>
      <c r="C197" s="5" t="n">
        <v>2</v>
      </c>
      <c r="D197" s="5" t="inlineStr">
        <is>
          <t>VDU</t>
        </is>
      </c>
      <c r="E197" s="5" t="inlineStr">
        <is>
          <t>VDU</t>
        </is>
      </c>
      <c r="F197" s="6" t="n">
        <v>59</v>
      </c>
      <c r="G197" s="7" t="n">
        <v>0.59</v>
      </c>
      <c r="H197" s="8">
        <f>IF($G197&lt;&gt;"",$G197,SUMIFS(Assumptions!$K$4:$K$8,Assumptions!$J$4:$J$8,$C197))</f>
        <v/>
      </c>
      <c r="I197" s="7" t="n"/>
      <c r="J197" s="9">
        <f>IF($I197&lt;&gt;"",$I197,SUMIFS(Assumptions!$P$4:$P$93,Assumptions!$M$4:$M$93,$C197,Assumptions!$N$4:$N$93,$E197,Assumptions!$O$4:$O$93,"LVN"))</f>
        <v/>
      </c>
      <c r="K197" s="7" t="n"/>
      <c r="L197" s="9">
        <f>IF($K197&lt;&gt;"",$K197,SUMIFS(Assumptions!$P$4:$P$93,Assumptions!$M$4:$M$93,$C197,Assumptions!$N$4:$N$93,$E197,Assumptions!$O$4:$O$93,"HVN"))</f>
        <v/>
      </c>
      <c r="M197" s="9">
        <f>J197+L197</f>
        <v/>
      </c>
      <c r="N197" s="10">
        <f>$F197*$H197*$M197</f>
        <v/>
      </c>
    </row>
    <row r="198">
      <c r="A198" s="4" t="inlineStr">
        <is>
          <t>UNIT</t>
        </is>
      </c>
      <c r="B198" s="5" t="inlineStr">
        <is>
          <t>HF_TULSA</t>
        </is>
      </c>
      <c r="C198" s="5" t="n">
        <v>2</v>
      </c>
      <c r="D198" s="5" t="inlineStr">
        <is>
          <t>FCC</t>
        </is>
      </c>
      <c r="E198" s="5" t="inlineStr">
        <is>
          <t>FCC</t>
        </is>
      </c>
      <c r="F198" s="6" t="n">
        <v>25</v>
      </c>
      <c r="G198" s="7" t="n">
        <v>0.971</v>
      </c>
      <c r="H198" s="8">
        <f>IF($G198&lt;&gt;"",$G198,SUMIFS(Assumptions!$K$4:$K$8,Assumptions!$J$4:$J$8,$C198))</f>
        <v/>
      </c>
      <c r="I198" s="7" t="n"/>
      <c r="J198" s="9">
        <f>IF($I198&lt;&gt;"",$I198,SUMIFS(Assumptions!$P$4:$P$93,Assumptions!$M$4:$M$93,$C198,Assumptions!$N$4:$N$93,$E198,Assumptions!$O$4:$O$93,"LVN"))</f>
        <v/>
      </c>
      <c r="K198" s="7" t="n"/>
      <c r="L198" s="9">
        <f>IF($K198&lt;&gt;"",$K198,SUMIFS(Assumptions!$P$4:$P$93,Assumptions!$M$4:$M$93,$C198,Assumptions!$N$4:$N$93,$E198,Assumptions!$O$4:$O$93,"HVN"))</f>
        <v/>
      </c>
      <c r="M198" s="9">
        <f>J198+L198</f>
        <v/>
      </c>
      <c r="N198" s="10">
        <f>$F198*$H198*$M198</f>
        <v/>
      </c>
    </row>
    <row r="199">
      <c r="A199" s="4" t="inlineStr">
        <is>
          <t>UNIT</t>
        </is>
      </c>
      <c r="B199" s="5" t="inlineStr">
        <is>
          <t>HF_TULSA</t>
        </is>
      </c>
      <c r="C199" s="5" t="n">
        <v>2</v>
      </c>
      <c r="D199" s="5" t="inlineStr">
        <is>
          <t>COKER</t>
        </is>
      </c>
      <c r="E199" s="5" t="inlineStr">
        <is>
          <t>COKER</t>
        </is>
      </c>
      <c r="F199" s="6" t="n">
        <v>11</v>
      </c>
      <c r="G199" s="7" t="n">
        <v>0.367</v>
      </c>
      <c r="H199" s="8">
        <f>IF($G199&lt;&gt;"",$G199,SUMIFS(Assumptions!$K$4:$K$8,Assumptions!$J$4:$J$8,$C199))</f>
        <v/>
      </c>
      <c r="I199" s="7" t="n"/>
      <c r="J199" s="9">
        <f>IF($I199&lt;&gt;"",$I199,SUMIFS(Assumptions!$P$4:$P$93,Assumptions!$M$4:$M$93,$C199,Assumptions!$N$4:$N$93,$E199,Assumptions!$O$4:$O$93,"LVN"))</f>
        <v/>
      </c>
      <c r="K199" s="7" t="n"/>
      <c r="L199" s="9">
        <f>IF($K199&lt;&gt;"",$K199,SUMIFS(Assumptions!$P$4:$P$93,Assumptions!$M$4:$M$93,$C199,Assumptions!$N$4:$N$93,$E199,Assumptions!$O$4:$O$93,"HVN"))</f>
        <v/>
      </c>
      <c r="M199" s="9">
        <f>J199+L199</f>
        <v/>
      </c>
      <c r="N199" s="10">
        <f>$F199*$H199*$M199</f>
        <v/>
      </c>
    </row>
    <row r="200">
      <c r="A200" s="4" t="inlineStr">
        <is>
          <t>UNIT</t>
        </is>
      </c>
      <c r="B200" s="5" t="inlineStr">
        <is>
          <t>HF_TULSA</t>
        </is>
      </c>
      <c r="C200" s="5" t="n">
        <v>2</v>
      </c>
      <c r="D200" s="5" t="inlineStr">
        <is>
          <t>CCR</t>
        </is>
      </c>
      <c r="E200" s="5" t="inlineStr">
        <is>
          <t>REFORMER</t>
        </is>
      </c>
      <c r="F200" s="6" t="n">
        <v>25</v>
      </c>
      <c r="G200" s="7" t="n">
        <v>0.88</v>
      </c>
      <c r="H200" s="8">
        <f>IF($G200&lt;&gt;"",$G200,SUMIFS(Assumptions!$K$4:$K$8,Assumptions!$J$4:$J$8,$C200))</f>
        <v/>
      </c>
      <c r="I200" s="7" t="n"/>
      <c r="J200" s="9">
        <f>IF($I200&lt;&gt;"",$I200,SUMIFS(Assumptions!$P$4:$P$93,Assumptions!$M$4:$M$93,$C200,Assumptions!$N$4:$N$93,$E200,Assumptions!$O$4:$O$93,"LVN"))</f>
        <v/>
      </c>
      <c r="K200" s="7" t="n"/>
      <c r="L200" s="9">
        <f>IF($K200&lt;&gt;"",$K200,SUMIFS(Assumptions!$P$4:$P$93,Assumptions!$M$4:$M$93,$C200,Assumptions!$N$4:$N$93,$E200,Assumptions!$O$4:$O$93,"HVN"))</f>
        <v/>
      </c>
      <c r="M200" s="9">
        <f>J200+L200</f>
        <v/>
      </c>
      <c r="N200" s="10">
        <f>$F200*$H200*$M200</f>
        <v/>
      </c>
    </row>
    <row r="201">
      <c r="A201" s="4" t="inlineStr">
        <is>
          <t>UNIT</t>
        </is>
      </c>
      <c r="B201" s="5" t="inlineStr">
        <is>
          <t>HF_TULSA</t>
        </is>
      </c>
      <c r="C201" s="5" t="n">
        <v>2</v>
      </c>
      <c r="D201" s="5" t="inlineStr">
        <is>
          <t>ISOM</t>
        </is>
      </c>
      <c r="E201" s="5" t="inlineStr">
        <is>
          <t>ISOM</t>
        </is>
      </c>
      <c r="F201" s="6" t="n">
        <v>13</v>
      </c>
      <c r="G201" s="7" t="n">
        <v>0.51</v>
      </c>
      <c r="H201" s="8">
        <f>IF($G201&lt;&gt;"",$G201,SUMIFS(Assumptions!$K$4:$K$8,Assumptions!$J$4:$J$8,$C201))</f>
        <v/>
      </c>
      <c r="I201" s="7" t="n"/>
      <c r="J201" s="9">
        <f>IF($I201&lt;&gt;"",$I201,SUMIFS(Assumptions!$P$4:$P$93,Assumptions!$M$4:$M$93,$C201,Assumptions!$N$4:$N$93,$E201,Assumptions!$O$4:$O$93,"LVN"))</f>
        <v/>
      </c>
      <c r="K201" s="7" t="n"/>
      <c r="L201" s="9">
        <f>IF($K201&lt;&gt;"",$K201,SUMIFS(Assumptions!$P$4:$P$93,Assumptions!$M$4:$M$93,$C201,Assumptions!$N$4:$N$93,$E201,Assumptions!$O$4:$O$93,"HVN"))</f>
        <v/>
      </c>
      <c r="M201" s="9">
        <f>J201+L201</f>
        <v/>
      </c>
      <c r="N201" s="10">
        <f>$F201*$H201*$M201</f>
        <v/>
      </c>
    </row>
    <row r="202">
      <c r="A202" s="4" t="inlineStr">
        <is>
          <t>UNIT</t>
        </is>
      </c>
      <c r="B202" s="5" t="inlineStr">
        <is>
          <t>HF_TULSA</t>
        </is>
      </c>
      <c r="C202" s="5" t="n">
        <v>2</v>
      </c>
      <c r="D202" s="5" t="inlineStr">
        <is>
          <t>ALKY</t>
        </is>
      </c>
      <c r="E202" s="5" t="inlineStr">
        <is>
          <t>ALKY</t>
        </is>
      </c>
      <c r="F202" s="6" t="n">
        <v>5.5</v>
      </c>
      <c r="G202" s="7" t="n">
        <v>1.011</v>
      </c>
      <c r="H202" s="8">
        <f>IF($G202&lt;&gt;"",$G202,SUMIFS(Assumptions!$K$4:$K$8,Assumptions!$J$4:$J$8,$C202))</f>
        <v/>
      </c>
      <c r="I202" s="7" t="n"/>
      <c r="J202" s="9">
        <f>IF($I202&lt;&gt;"",$I202,SUMIFS(Assumptions!$P$4:$P$93,Assumptions!$M$4:$M$93,$C202,Assumptions!$N$4:$N$93,$E202,Assumptions!$O$4:$O$93,"LVN"))</f>
        <v/>
      </c>
      <c r="K202" s="7" t="n"/>
      <c r="L202" s="9">
        <f>IF($K202&lt;&gt;"",$K202,SUMIFS(Assumptions!$P$4:$P$93,Assumptions!$M$4:$M$93,$C202,Assumptions!$N$4:$N$93,$E202,Assumptions!$O$4:$O$93,"HVN"))</f>
        <v/>
      </c>
      <c r="M202" s="9">
        <f>J202+L202</f>
        <v/>
      </c>
      <c r="N202" s="10">
        <f>$F202*$H202*$M202</f>
        <v/>
      </c>
    </row>
    <row r="203">
      <c r="A203" s="11" t="inlineStr">
        <is>
          <t>TOTAL</t>
        </is>
      </c>
      <c r="B203" s="12" t="inlineStr">
        <is>
          <t>HF_TULSA</t>
        </is>
      </c>
      <c r="C203" s="12" t="n">
        <v>2</v>
      </c>
      <c r="D203" s="12" t="inlineStr">
        <is>
          <t>NET NAPHTHA</t>
        </is>
      </c>
      <c r="N203" s="13">
        <f>SUM(N196:N202)</f>
        <v/>
      </c>
    </row>
    <row r="205">
      <c r="A205" s="1" t="inlineStr">
        <is>
          <t xml:space="preserve">  NCRA McPherson  [NCRA_MCPHERSON]   —   CHS   —   PADD 2   —   crude 117 kbd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</row>
    <row r="206">
      <c r="A206" s="4" t="inlineStr">
        <is>
          <t>UNIT</t>
        </is>
      </c>
      <c r="B206" s="5" t="inlineStr">
        <is>
          <t>NCRA_MCPHERSON</t>
        </is>
      </c>
      <c r="C206" s="5" t="n">
        <v>2</v>
      </c>
      <c r="D206" s="5" t="inlineStr">
        <is>
          <t>CDU</t>
        </is>
      </c>
      <c r="E206" s="5" t="inlineStr">
        <is>
          <t>CDU</t>
        </is>
      </c>
      <c r="F206" s="6" t="n">
        <v>114.93</v>
      </c>
      <c r="G206" s="7" t="n">
        <v>0.997</v>
      </c>
      <c r="H206" s="8">
        <f>IF($G206&lt;&gt;"",$G206,SUMIFS(Assumptions!$K$4:$K$8,Assumptions!$J$4:$J$8,$C206))</f>
        <v/>
      </c>
      <c r="I206" s="7" t="n"/>
      <c r="J206" s="9">
        <f>IF($I206&lt;&gt;"",$I206,SUMIFS(Assumptions!$P$4:$P$93,Assumptions!$M$4:$M$93,$C206,Assumptions!$N$4:$N$93,$E206,Assumptions!$O$4:$O$93,"LVN"))</f>
        <v/>
      </c>
      <c r="K206" s="7" t="n"/>
      <c r="L206" s="9">
        <f>IF($K206&lt;&gt;"",$K206,SUMIFS(Assumptions!$P$4:$P$93,Assumptions!$M$4:$M$93,$C206,Assumptions!$N$4:$N$93,$E206,Assumptions!$O$4:$O$93,"HVN"))</f>
        <v/>
      </c>
      <c r="M206" s="9">
        <f>J206+L206</f>
        <v/>
      </c>
      <c r="N206" s="10">
        <f>$F206*$H206*$M206</f>
        <v/>
      </c>
    </row>
    <row r="207">
      <c r="A207" s="4" t="inlineStr">
        <is>
          <t>UNIT</t>
        </is>
      </c>
      <c r="B207" s="5" t="inlineStr">
        <is>
          <t>NCRA_MCPHERSON</t>
        </is>
      </c>
      <c r="C207" s="5" t="n">
        <v>2</v>
      </c>
      <c r="D207" s="5" t="inlineStr">
        <is>
          <t>VDU</t>
        </is>
      </c>
      <c r="E207" s="5" t="inlineStr">
        <is>
          <t>VDU</t>
        </is>
      </c>
      <c r="F207" s="6" t="n">
        <v>50</v>
      </c>
      <c r="G207" s="7" t="n">
        <v>0.9330000000000001</v>
      </c>
      <c r="H207" s="8">
        <f>IF($G207&lt;&gt;"",$G207,SUMIFS(Assumptions!$K$4:$K$8,Assumptions!$J$4:$J$8,$C207))</f>
        <v/>
      </c>
      <c r="I207" s="7" t="n"/>
      <c r="J207" s="9">
        <f>IF($I207&lt;&gt;"",$I207,SUMIFS(Assumptions!$P$4:$P$93,Assumptions!$M$4:$M$93,$C207,Assumptions!$N$4:$N$93,$E207,Assumptions!$O$4:$O$93,"LVN"))</f>
        <v/>
      </c>
      <c r="K207" s="7" t="n"/>
      <c r="L207" s="9">
        <f>IF($K207&lt;&gt;"",$K207,SUMIFS(Assumptions!$P$4:$P$93,Assumptions!$M$4:$M$93,$C207,Assumptions!$N$4:$N$93,$E207,Assumptions!$O$4:$O$93,"HVN"))</f>
        <v/>
      </c>
      <c r="M207" s="9">
        <f>J207+L207</f>
        <v/>
      </c>
      <c r="N207" s="10">
        <f>$F207*$H207*$M207</f>
        <v/>
      </c>
    </row>
    <row r="208">
      <c r="A208" s="4" t="inlineStr">
        <is>
          <t>UNIT</t>
        </is>
      </c>
      <c r="B208" s="5" t="inlineStr">
        <is>
          <t>NCRA_MCPHERSON</t>
        </is>
      </c>
      <c r="C208" s="5" t="n">
        <v>2</v>
      </c>
      <c r="D208" s="5" t="inlineStr">
        <is>
          <t>FCC</t>
        </is>
      </c>
      <c r="E208" s="5" t="inlineStr">
        <is>
          <t>FCC</t>
        </is>
      </c>
      <c r="F208" s="6" t="n">
        <v>24</v>
      </c>
      <c r="G208" s="7" t="n">
        <v>0.729</v>
      </c>
      <c r="H208" s="8">
        <f>IF($G208&lt;&gt;"",$G208,SUMIFS(Assumptions!$K$4:$K$8,Assumptions!$J$4:$J$8,$C208))</f>
        <v/>
      </c>
      <c r="I208" s="7" t="n"/>
      <c r="J208" s="9">
        <f>IF($I208&lt;&gt;"",$I208,SUMIFS(Assumptions!$P$4:$P$93,Assumptions!$M$4:$M$93,$C208,Assumptions!$N$4:$N$93,$E208,Assumptions!$O$4:$O$93,"LVN"))</f>
        <v/>
      </c>
      <c r="K208" s="7" t="n"/>
      <c r="L208" s="9">
        <f>IF($K208&lt;&gt;"",$K208,SUMIFS(Assumptions!$P$4:$P$93,Assumptions!$M$4:$M$93,$C208,Assumptions!$N$4:$N$93,$E208,Assumptions!$O$4:$O$93,"HVN"))</f>
        <v/>
      </c>
      <c r="M208" s="9">
        <f>J208+L208</f>
        <v/>
      </c>
      <c r="N208" s="10">
        <f>$F208*$H208*$M208</f>
        <v/>
      </c>
    </row>
    <row r="209">
      <c r="A209" s="4" t="inlineStr">
        <is>
          <t>UNIT</t>
        </is>
      </c>
      <c r="B209" s="5" t="inlineStr">
        <is>
          <t>NCRA_MCPHERSON</t>
        </is>
      </c>
      <c r="C209" s="5" t="n">
        <v>2</v>
      </c>
      <c r="D209" s="5" t="inlineStr">
        <is>
          <t>DHCU</t>
        </is>
      </c>
      <c r="E209" s="5" t="inlineStr">
        <is>
          <t>HYDROCRACKER</t>
        </is>
      </c>
      <c r="F209" s="6" t="n">
        <v>43</v>
      </c>
      <c r="G209" s="7" t="n">
        <v>0.792</v>
      </c>
      <c r="H209" s="8">
        <f>IF($G209&lt;&gt;"",$G209,SUMIFS(Assumptions!$K$4:$K$8,Assumptions!$J$4:$J$8,$C209))</f>
        <v/>
      </c>
      <c r="I209" s="7" t="n"/>
      <c r="J209" s="9">
        <f>IF($I209&lt;&gt;"",$I209,SUMIFS(Assumptions!$P$4:$P$93,Assumptions!$M$4:$M$93,$C209,Assumptions!$N$4:$N$93,$E209,Assumptions!$O$4:$O$93,"LVN"))</f>
        <v/>
      </c>
      <c r="K209" s="7" t="n"/>
      <c r="L209" s="9">
        <f>IF($K209&lt;&gt;"",$K209,SUMIFS(Assumptions!$P$4:$P$93,Assumptions!$M$4:$M$93,$C209,Assumptions!$N$4:$N$93,$E209,Assumptions!$O$4:$O$93,"HVN"))</f>
        <v/>
      </c>
      <c r="M209" s="9">
        <f>J209+L209</f>
        <v/>
      </c>
      <c r="N209" s="10">
        <f>$F209*$H209*$M209</f>
        <v/>
      </c>
    </row>
    <row r="210">
      <c r="A210" s="4" t="inlineStr">
        <is>
          <t>UNIT</t>
        </is>
      </c>
      <c r="B210" s="5" t="inlineStr">
        <is>
          <t>NCRA_MCPHERSON</t>
        </is>
      </c>
      <c r="C210" s="5" t="n">
        <v>2</v>
      </c>
      <c r="D210" s="5" t="inlineStr">
        <is>
          <t>COKER</t>
        </is>
      </c>
      <c r="E210" s="5" t="inlineStr">
        <is>
          <t>COKER</t>
        </is>
      </c>
      <c r="F210" s="6" t="n">
        <v>30.55</v>
      </c>
      <c r="G210" s="7" t="n">
        <v>0.5649999999999999</v>
      </c>
      <c r="H210" s="8">
        <f>IF($G210&lt;&gt;"",$G210,SUMIFS(Assumptions!$K$4:$K$8,Assumptions!$J$4:$J$8,$C210))</f>
        <v/>
      </c>
      <c r="I210" s="7" t="n"/>
      <c r="J210" s="9">
        <f>IF($I210&lt;&gt;"",$I210,SUMIFS(Assumptions!$P$4:$P$93,Assumptions!$M$4:$M$93,$C210,Assumptions!$N$4:$N$93,$E210,Assumptions!$O$4:$O$93,"LVN"))</f>
        <v/>
      </c>
      <c r="K210" s="7" t="n"/>
      <c r="L210" s="9">
        <f>IF($K210&lt;&gt;"",$K210,SUMIFS(Assumptions!$P$4:$P$93,Assumptions!$M$4:$M$93,$C210,Assumptions!$N$4:$N$93,$E210,Assumptions!$O$4:$O$93,"HVN"))</f>
        <v/>
      </c>
      <c r="M210" s="9">
        <f>J210+L210</f>
        <v/>
      </c>
      <c r="N210" s="10">
        <f>$F210*$H210*$M210</f>
        <v/>
      </c>
    </row>
    <row r="211">
      <c r="A211" s="4" t="inlineStr">
        <is>
          <t>UNIT</t>
        </is>
      </c>
      <c r="B211" s="5" t="inlineStr">
        <is>
          <t>NCRA_MCPHERSON</t>
        </is>
      </c>
      <c r="C211" s="5" t="n">
        <v>2</v>
      </c>
      <c r="D211" s="5" t="inlineStr">
        <is>
          <t>CCR</t>
        </is>
      </c>
      <c r="E211" s="5" t="inlineStr">
        <is>
          <t>REFORMER</t>
        </is>
      </c>
      <c r="F211" s="6" t="n">
        <v>27</v>
      </c>
      <c r="G211" s="7" t="n">
        <v>1</v>
      </c>
      <c r="H211" s="8">
        <f>IF($G211&lt;&gt;"",$G211,SUMIFS(Assumptions!$K$4:$K$8,Assumptions!$J$4:$J$8,$C211))</f>
        <v/>
      </c>
      <c r="I211" s="7" t="n"/>
      <c r="J211" s="9">
        <f>IF($I211&lt;&gt;"",$I211,SUMIFS(Assumptions!$P$4:$P$93,Assumptions!$M$4:$M$93,$C211,Assumptions!$N$4:$N$93,$E211,Assumptions!$O$4:$O$93,"LVN"))</f>
        <v/>
      </c>
      <c r="K211" s="7" t="n"/>
      <c r="L211" s="9">
        <f>IF($K211&lt;&gt;"",$K211,SUMIFS(Assumptions!$P$4:$P$93,Assumptions!$M$4:$M$93,$C211,Assumptions!$N$4:$N$93,$E211,Assumptions!$O$4:$O$93,"HVN"))</f>
        <v/>
      </c>
      <c r="M211" s="9">
        <f>J211+L211</f>
        <v/>
      </c>
      <c r="N211" s="10">
        <f>$F211*$H211*$M211</f>
        <v/>
      </c>
    </row>
    <row r="212">
      <c r="A212" s="4" t="inlineStr">
        <is>
          <t>UNIT</t>
        </is>
      </c>
      <c r="B212" s="5" t="inlineStr">
        <is>
          <t>NCRA_MCPHERSON</t>
        </is>
      </c>
      <c r="C212" s="5" t="n">
        <v>2</v>
      </c>
      <c r="D212" s="5" t="inlineStr">
        <is>
          <t>ISOM</t>
        </is>
      </c>
      <c r="E212" s="5" t="inlineStr">
        <is>
          <t>ISOM</t>
        </is>
      </c>
      <c r="F212" s="6" t="n">
        <v>12</v>
      </c>
      <c r="G212" s="7" t="n">
        <v>0.854</v>
      </c>
      <c r="H212" s="8">
        <f>IF($G212&lt;&gt;"",$G212,SUMIFS(Assumptions!$K$4:$K$8,Assumptions!$J$4:$J$8,$C212))</f>
        <v/>
      </c>
      <c r="I212" s="7" t="n"/>
      <c r="J212" s="9">
        <f>IF($I212&lt;&gt;"",$I212,SUMIFS(Assumptions!$P$4:$P$93,Assumptions!$M$4:$M$93,$C212,Assumptions!$N$4:$N$93,$E212,Assumptions!$O$4:$O$93,"LVN"))</f>
        <v/>
      </c>
      <c r="K212" s="7" t="n"/>
      <c r="L212" s="9">
        <f>IF($K212&lt;&gt;"",$K212,SUMIFS(Assumptions!$P$4:$P$93,Assumptions!$M$4:$M$93,$C212,Assumptions!$N$4:$N$93,$E212,Assumptions!$O$4:$O$93,"HVN"))</f>
        <v/>
      </c>
      <c r="M212" s="9">
        <f>J212+L212</f>
        <v/>
      </c>
      <c r="N212" s="10">
        <f>$F212*$H212*$M212</f>
        <v/>
      </c>
    </row>
    <row r="213">
      <c r="A213" s="4" t="inlineStr">
        <is>
          <t>UNIT</t>
        </is>
      </c>
      <c r="B213" s="5" t="inlineStr">
        <is>
          <t>NCRA_MCPHERSON</t>
        </is>
      </c>
      <c r="C213" s="5" t="n">
        <v>2</v>
      </c>
      <c r="D213" s="5" t="inlineStr">
        <is>
          <t>ALKY</t>
        </is>
      </c>
      <c r="E213" s="5" t="inlineStr">
        <is>
          <t>ALKY</t>
        </is>
      </c>
      <c r="F213" s="6" t="n">
        <v>9.5</v>
      </c>
      <c r="G213" s="7" t="n">
        <v>0.804</v>
      </c>
      <c r="H213" s="8">
        <f>IF($G213&lt;&gt;"",$G213,SUMIFS(Assumptions!$K$4:$K$8,Assumptions!$J$4:$J$8,$C213))</f>
        <v/>
      </c>
      <c r="I213" s="7" t="n"/>
      <c r="J213" s="9">
        <f>IF($I213&lt;&gt;"",$I213,SUMIFS(Assumptions!$P$4:$P$93,Assumptions!$M$4:$M$93,$C213,Assumptions!$N$4:$N$93,$E213,Assumptions!$O$4:$O$93,"LVN"))</f>
        <v/>
      </c>
      <c r="K213" s="7" t="n"/>
      <c r="L213" s="9">
        <f>IF($K213&lt;&gt;"",$K213,SUMIFS(Assumptions!$P$4:$P$93,Assumptions!$M$4:$M$93,$C213,Assumptions!$N$4:$N$93,$E213,Assumptions!$O$4:$O$93,"HVN"))</f>
        <v/>
      </c>
      <c r="M213" s="9">
        <f>J213+L213</f>
        <v/>
      </c>
      <c r="N213" s="10">
        <f>$F213*$H213*$M213</f>
        <v/>
      </c>
    </row>
    <row r="214">
      <c r="A214" s="11" t="inlineStr">
        <is>
          <t>TOTAL</t>
        </is>
      </c>
      <c r="B214" s="12" t="inlineStr">
        <is>
          <t>NCRA_MCPHERSON</t>
        </is>
      </c>
      <c r="C214" s="12" t="n">
        <v>2</v>
      </c>
      <c r="D214" s="12" t="inlineStr">
        <is>
          <t>NET NAPHTHA</t>
        </is>
      </c>
      <c r="N214" s="13">
        <f>SUM(N206:N213)</f>
        <v/>
      </c>
    </row>
    <row r="216">
      <c r="A216" s="1" t="inlineStr">
        <is>
          <t xml:space="preserve">  Marathon Petroleum Saint Paul Park  [MARATHON_SAINT_PAUL_PARK]   —   Marathon Petroleum   —   PADD 2   —   crude 111 kbd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</row>
    <row r="217">
      <c r="A217" s="4" t="inlineStr">
        <is>
          <t>UNIT</t>
        </is>
      </c>
      <c r="B217" s="5" t="inlineStr">
        <is>
          <t>MARATHON_SAINT_PAUL_PARK</t>
        </is>
      </c>
      <c r="C217" s="5" t="n">
        <v>2</v>
      </c>
      <c r="D217" s="5" t="inlineStr">
        <is>
          <t>CDU</t>
        </is>
      </c>
      <c r="E217" s="5" t="inlineStr">
        <is>
          <t>CDU</t>
        </is>
      </c>
      <c r="F217" s="6" t="n">
        <v>108</v>
      </c>
      <c r="G217" s="7" t="n">
        <v>0.986</v>
      </c>
      <c r="H217" s="8">
        <f>IF($G217&lt;&gt;"",$G217,SUMIFS(Assumptions!$K$4:$K$8,Assumptions!$J$4:$J$8,$C217))</f>
        <v/>
      </c>
      <c r="I217" s="7" t="n"/>
      <c r="J217" s="9">
        <f>IF($I217&lt;&gt;"",$I217,SUMIFS(Assumptions!$P$4:$P$93,Assumptions!$M$4:$M$93,$C217,Assumptions!$N$4:$N$93,$E217,Assumptions!$O$4:$O$93,"LVN"))</f>
        <v/>
      </c>
      <c r="K217" s="7" t="n"/>
      <c r="L217" s="9">
        <f>IF($K217&lt;&gt;"",$K217,SUMIFS(Assumptions!$P$4:$P$93,Assumptions!$M$4:$M$93,$C217,Assumptions!$N$4:$N$93,$E217,Assumptions!$O$4:$O$93,"HVN"))</f>
        <v/>
      </c>
      <c r="M217" s="9">
        <f>J217+L217</f>
        <v/>
      </c>
      <c r="N217" s="10">
        <f>$F217*$H217*$M217</f>
        <v/>
      </c>
    </row>
    <row r="218">
      <c r="A218" s="4" t="inlineStr">
        <is>
          <t>UNIT</t>
        </is>
      </c>
      <c r="B218" s="5" t="inlineStr">
        <is>
          <t>MARATHON_SAINT_PAUL_PARK</t>
        </is>
      </c>
      <c r="C218" s="5" t="n">
        <v>2</v>
      </c>
      <c r="D218" s="5" t="inlineStr">
        <is>
          <t>VDU</t>
        </is>
      </c>
      <c r="E218" s="5" t="inlineStr">
        <is>
          <t>VDU</t>
        </is>
      </c>
      <c r="F218" s="6" t="n">
        <v>50</v>
      </c>
      <c r="G218" s="7" t="n">
        <v>0.699</v>
      </c>
      <c r="H218" s="8">
        <f>IF($G218&lt;&gt;"",$G218,SUMIFS(Assumptions!$K$4:$K$8,Assumptions!$J$4:$J$8,$C218))</f>
        <v/>
      </c>
      <c r="I218" s="7" t="n"/>
      <c r="J218" s="9">
        <f>IF($I218&lt;&gt;"",$I218,SUMIFS(Assumptions!$P$4:$P$93,Assumptions!$M$4:$M$93,$C218,Assumptions!$N$4:$N$93,$E218,Assumptions!$O$4:$O$93,"LVN"))</f>
        <v/>
      </c>
      <c r="K218" s="7" t="n"/>
      <c r="L218" s="9">
        <f>IF($K218&lt;&gt;"",$K218,SUMIFS(Assumptions!$P$4:$P$93,Assumptions!$M$4:$M$93,$C218,Assumptions!$N$4:$N$93,$E218,Assumptions!$O$4:$O$93,"HVN"))</f>
        <v/>
      </c>
      <c r="M218" s="9">
        <f>J218+L218</f>
        <v/>
      </c>
      <c r="N218" s="10">
        <f>$F218*$H218*$M218</f>
        <v/>
      </c>
    </row>
    <row r="219">
      <c r="A219" s="4" t="inlineStr">
        <is>
          <t>UNIT</t>
        </is>
      </c>
      <c r="B219" s="5" t="inlineStr">
        <is>
          <t>MARATHON_SAINT_PAUL_PARK</t>
        </is>
      </c>
      <c r="C219" s="5" t="n">
        <v>2</v>
      </c>
      <c r="D219" s="5" t="inlineStr">
        <is>
          <t>FCC</t>
        </is>
      </c>
      <c r="E219" s="5" t="inlineStr">
        <is>
          <t>FCC</t>
        </is>
      </c>
      <c r="F219" s="6" t="n">
        <v>30.5</v>
      </c>
      <c r="G219" s="7" t="n">
        <v>0.608</v>
      </c>
      <c r="H219" s="8">
        <f>IF($G219&lt;&gt;"",$G219,SUMIFS(Assumptions!$K$4:$K$8,Assumptions!$J$4:$J$8,$C219))</f>
        <v/>
      </c>
      <c r="I219" s="7" t="n"/>
      <c r="J219" s="9">
        <f>IF($I219&lt;&gt;"",$I219,SUMIFS(Assumptions!$P$4:$P$93,Assumptions!$M$4:$M$93,$C219,Assumptions!$N$4:$N$93,$E219,Assumptions!$O$4:$O$93,"LVN"))</f>
        <v/>
      </c>
      <c r="K219" s="7" t="n"/>
      <c r="L219" s="9">
        <f>IF($K219&lt;&gt;"",$K219,SUMIFS(Assumptions!$P$4:$P$93,Assumptions!$M$4:$M$93,$C219,Assumptions!$N$4:$N$93,$E219,Assumptions!$O$4:$O$93,"HVN"))</f>
        <v/>
      </c>
      <c r="M219" s="9">
        <f>J219+L219</f>
        <v/>
      </c>
      <c r="N219" s="10">
        <f>$F219*$H219*$M219</f>
        <v/>
      </c>
    </row>
    <row r="220">
      <c r="A220" s="4" t="inlineStr">
        <is>
          <t>UNIT</t>
        </is>
      </c>
      <c r="B220" s="5" t="inlineStr">
        <is>
          <t>MARATHON_SAINT_PAUL_PARK</t>
        </is>
      </c>
      <c r="C220" s="5" t="n">
        <v>2</v>
      </c>
      <c r="D220" s="5" t="inlineStr">
        <is>
          <t>REF</t>
        </is>
      </c>
      <c r="E220" s="5" t="inlineStr">
        <is>
          <t>REFORMER</t>
        </is>
      </c>
      <c r="F220" s="6" t="n">
        <v>23</v>
      </c>
      <c r="G220" s="7" t="n">
        <v>0.929</v>
      </c>
      <c r="H220" s="8">
        <f>IF($G220&lt;&gt;"",$G220,SUMIFS(Assumptions!$K$4:$K$8,Assumptions!$J$4:$J$8,$C220))</f>
        <v/>
      </c>
      <c r="I220" s="7" t="n"/>
      <c r="J220" s="9">
        <f>IF($I220&lt;&gt;"",$I220,SUMIFS(Assumptions!$P$4:$P$93,Assumptions!$M$4:$M$93,$C220,Assumptions!$N$4:$N$93,$E220,Assumptions!$O$4:$O$93,"LVN"))</f>
        <v/>
      </c>
      <c r="K220" s="7" t="n"/>
      <c r="L220" s="9">
        <f>IF($K220&lt;&gt;"",$K220,SUMIFS(Assumptions!$P$4:$P$93,Assumptions!$M$4:$M$93,$C220,Assumptions!$N$4:$N$93,$E220,Assumptions!$O$4:$O$93,"HVN"))</f>
        <v/>
      </c>
      <c r="M220" s="9">
        <f>J220+L220</f>
        <v/>
      </c>
      <c r="N220" s="10">
        <f>$F220*$H220*$M220</f>
        <v/>
      </c>
    </row>
    <row r="221">
      <c r="A221" s="4" t="inlineStr">
        <is>
          <t>UNIT</t>
        </is>
      </c>
      <c r="B221" s="5" t="inlineStr">
        <is>
          <t>MARATHON_SAINT_PAUL_PARK</t>
        </is>
      </c>
      <c r="C221" s="5" t="n">
        <v>2</v>
      </c>
      <c r="D221" s="5" t="inlineStr">
        <is>
          <t>ISOM</t>
        </is>
      </c>
      <c r="E221" s="5" t="inlineStr">
        <is>
          <t>ISOM</t>
        </is>
      </c>
      <c r="F221" s="6" t="n">
        <v>15.5</v>
      </c>
      <c r="G221" s="7" t="n">
        <v>0.914</v>
      </c>
      <c r="H221" s="8">
        <f>IF($G221&lt;&gt;"",$G221,SUMIFS(Assumptions!$K$4:$K$8,Assumptions!$J$4:$J$8,$C221))</f>
        <v/>
      </c>
      <c r="I221" s="7" t="n"/>
      <c r="J221" s="9">
        <f>IF($I221&lt;&gt;"",$I221,SUMIFS(Assumptions!$P$4:$P$93,Assumptions!$M$4:$M$93,$C221,Assumptions!$N$4:$N$93,$E221,Assumptions!$O$4:$O$93,"LVN"))</f>
        <v/>
      </c>
      <c r="K221" s="7" t="n"/>
      <c r="L221" s="9">
        <f>IF($K221&lt;&gt;"",$K221,SUMIFS(Assumptions!$P$4:$P$93,Assumptions!$M$4:$M$93,$C221,Assumptions!$N$4:$N$93,$E221,Assumptions!$O$4:$O$93,"HVN"))</f>
        <v/>
      </c>
      <c r="M221" s="9">
        <f>J221+L221</f>
        <v/>
      </c>
      <c r="N221" s="10">
        <f>$F221*$H221*$M221</f>
        <v/>
      </c>
    </row>
    <row r="222">
      <c r="A222" s="4" t="inlineStr">
        <is>
          <t>UNIT</t>
        </is>
      </c>
      <c r="B222" s="5" t="inlineStr">
        <is>
          <t>MARATHON_SAINT_PAUL_PARK</t>
        </is>
      </c>
      <c r="C222" s="5" t="n">
        <v>2</v>
      </c>
      <c r="D222" s="5" t="inlineStr">
        <is>
          <t>ALKY</t>
        </is>
      </c>
      <c r="E222" s="5" t="inlineStr">
        <is>
          <t>ALKY</t>
        </is>
      </c>
      <c r="F222" s="6" t="n">
        <v>6.5</v>
      </c>
      <c r="G222" s="7" t="n">
        <v>1.1</v>
      </c>
      <c r="H222" s="8">
        <f>IF($G222&lt;&gt;"",$G222,SUMIFS(Assumptions!$K$4:$K$8,Assumptions!$J$4:$J$8,$C222))</f>
        <v/>
      </c>
      <c r="I222" s="7" t="n"/>
      <c r="J222" s="9">
        <f>IF($I222&lt;&gt;"",$I222,SUMIFS(Assumptions!$P$4:$P$93,Assumptions!$M$4:$M$93,$C222,Assumptions!$N$4:$N$93,$E222,Assumptions!$O$4:$O$93,"LVN"))</f>
        <v/>
      </c>
      <c r="K222" s="7" t="n"/>
      <c r="L222" s="9">
        <f>IF($K222&lt;&gt;"",$K222,SUMIFS(Assumptions!$P$4:$P$93,Assumptions!$M$4:$M$93,$C222,Assumptions!$N$4:$N$93,$E222,Assumptions!$O$4:$O$93,"HVN"))</f>
        <v/>
      </c>
      <c r="M222" s="9">
        <f>J222+L222</f>
        <v/>
      </c>
      <c r="N222" s="10">
        <f>$F222*$H222*$M222</f>
        <v/>
      </c>
    </row>
    <row r="223">
      <c r="A223" s="11" t="inlineStr">
        <is>
          <t>TOTAL</t>
        </is>
      </c>
      <c r="B223" s="12" t="inlineStr">
        <is>
          <t>MARATHON_SAINT_PAUL_PARK</t>
        </is>
      </c>
      <c r="C223" s="12" t="n">
        <v>2</v>
      </c>
      <c r="D223" s="12" t="inlineStr">
        <is>
          <t>NET NAPHTHA</t>
        </is>
      </c>
      <c r="N223" s="13">
        <f>SUM(N217:N222)</f>
        <v/>
      </c>
    </row>
    <row r="225">
      <c r="A225" s="1" t="inlineStr">
        <is>
          <t xml:space="preserve">  Marathon Petroleum Canton  [MARATHON_CANTON]   —   Marathon Petroleum   —   PADD 2   —   crude 100 kbd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</row>
    <row r="226">
      <c r="A226" s="4" t="inlineStr">
        <is>
          <t>UNIT</t>
        </is>
      </c>
      <c r="B226" s="5" t="inlineStr">
        <is>
          <t>MARATHON_CANTON</t>
        </is>
      </c>
      <c r="C226" s="5" t="n">
        <v>2</v>
      </c>
      <c r="D226" s="5" t="inlineStr">
        <is>
          <t>CDU</t>
        </is>
      </c>
      <c r="E226" s="5" t="inlineStr">
        <is>
          <t>CDU</t>
        </is>
      </c>
      <c r="F226" s="6" t="n">
        <v>102</v>
      </c>
      <c r="G226" s="7" t="n">
        <v>0.988</v>
      </c>
      <c r="H226" s="8">
        <f>IF($G226&lt;&gt;"",$G226,SUMIFS(Assumptions!$K$4:$K$8,Assumptions!$J$4:$J$8,$C226))</f>
        <v/>
      </c>
      <c r="I226" s="7" t="n"/>
      <c r="J226" s="9">
        <f>IF($I226&lt;&gt;"",$I226,SUMIFS(Assumptions!$P$4:$P$93,Assumptions!$M$4:$M$93,$C226,Assumptions!$N$4:$N$93,$E226,Assumptions!$O$4:$O$93,"LVN"))</f>
        <v/>
      </c>
      <c r="K226" s="7" t="n"/>
      <c r="L226" s="9">
        <f>IF($K226&lt;&gt;"",$K226,SUMIFS(Assumptions!$P$4:$P$93,Assumptions!$M$4:$M$93,$C226,Assumptions!$N$4:$N$93,$E226,Assumptions!$O$4:$O$93,"HVN"))</f>
        <v/>
      </c>
      <c r="M226" s="9">
        <f>J226+L226</f>
        <v/>
      </c>
      <c r="N226" s="10">
        <f>$F226*$H226*$M226</f>
        <v/>
      </c>
    </row>
    <row r="227">
      <c r="A227" s="4" t="inlineStr">
        <is>
          <t>UNIT</t>
        </is>
      </c>
      <c r="B227" s="5" t="inlineStr">
        <is>
          <t>MARATHON_CANTON</t>
        </is>
      </c>
      <c r="C227" s="5" t="n">
        <v>2</v>
      </c>
      <c r="D227" s="5" t="inlineStr">
        <is>
          <t>VDU</t>
        </is>
      </c>
      <c r="E227" s="5" t="inlineStr">
        <is>
          <t>VDU</t>
        </is>
      </c>
      <c r="F227" s="6" t="n">
        <v>35</v>
      </c>
      <c r="G227" s="7" t="n">
        <v>0.827</v>
      </c>
      <c r="H227" s="8">
        <f>IF($G227&lt;&gt;"",$G227,SUMIFS(Assumptions!$K$4:$K$8,Assumptions!$J$4:$J$8,$C227))</f>
        <v/>
      </c>
      <c r="I227" s="7" t="n"/>
      <c r="J227" s="9">
        <f>IF($I227&lt;&gt;"",$I227,SUMIFS(Assumptions!$P$4:$P$93,Assumptions!$M$4:$M$93,$C227,Assumptions!$N$4:$N$93,$E227,Assumptions!$O$4:$O$93,"LVN"))</f>
        <v/>
      </c>
      <c r="K227" s="7" t="n"/>
      <c r="L227" s="9">
        <f>IF($K227&lt;&gt;"",$K227,SUMIFS(Assumptions!$P$4:$P$93,Assumptions!$M$4:$M$93,$C227,Assumptions!$N$4:$N$93,$E227,Assumptions!$O$4:$O$93,"HVN"))</f>
        <v/>
      </c>
      <c r="M227" s="9">
        <f>J227+L227</f>
        <v/>
      </c>
      <c r="N227" s="10">
        <f>$F227*$H227*$M227</f>
        <v/>
      </c>
    </row>
    <row r="228">
      <c r="A228" s="4" t="inlineStr">
        <is>
          <t>UNIT</t>
        </is>
      </c>
      <c r="B228" s="5" t="inlineStr">
        <is>
          <t>MARATHON_CANTON</t>
        </is>
      </c>
      <c r="C228" s="5" t="n">
        <v>2</v>
      </c>
      <c r="D228" s="5" t="inlineStr">
        <is>
          <t>FCC</t>
        </is>
      </c>
      <c r="E228" s="5" t="inlineStr">
        <is>
          <t>FCC</t>
        </is>
      </c>
      <c r="F228" s="6" t="n">
        <v>26</v>
      </c>
      <c r="G228" s="7" t="n">
        <v>0.779</v>
      </c>
      <c r="H228" s="8">
        <f>IF($G228&lt;&gt;"",$G228,SUMIFS(Assumptions!$K$4:$K$8,Assumptions!$J$4:$J$8,$C228))</f>
        <v/>
      </c>
      <c r="I228" s="7" t="n"/>
      <c r="J228" s="9">
        <f>IF($I228&lt;&gt;"",$I228,SUMIFS(Assumptions!$P$4:$P$93,Assumptions!$M$4:$M$93,$C228,Assumptions!$N$4:$N$93,$E228,Assumptions!$O$4:$O$93,"LVN"))</f>
        <v/>
      </c>
      <c r="K228" s="7" t="n"/>
      <c r="L228" s="9">
        <f>IF($K228&lt;&gt;"",$K228,SUMIFS(Assumptions!$P$4:$P$93,Assumptions!$M$4:$M$93,$C228,Assumptions!$N$4:$N$93,$E228,Assumptions!$O$4:$O$93,"HVN"))</f>
        <v/>
      </c>
      <c r="M228" s="9">
        <f>J228+L228</f>
        <v/>
      </c>
      <c r="N228" s="10">
        <f>$F228*$H228*$M228</f>
        <v/>
      </c>
    </row>
    <row r="229">
      <c r="A229" s="4" t="inlineStr">
        <is>
          <t>UNIT</t>
        </is>
      </c>
      <c r="B229" s="5" t="inlineStr">
        <is>
          <t>MARATHON_CANTON</t>
        </is>
      </c>
      <c r="C229" s="5" t="n">
        <v>2</v>
      </c>
      <c r="D229" s="5" t="inlineStr">
        <is>
          <t>CCR</t>
        </is>
      </c>
      <c r="E229" s="5" t="inlineStr">
        <is>
          <t>REFORMER</t>
        </is>
      </c>
      <c r="F229" s="6" t="n">
        <v>22</v>
      </c>
      <c r="G229" s="7" t="n">
        <v>1.1</v>
      </c>
      <c r="H229" s="8">
        <f>IF($G229&lt;&gt;"",$G229,SUMIFS(Assumptions!$K$4:$K$8,Assumptions!$J$4:$J$8,$C229))</f>
        <v/>
      </c>
      <c r="I229" s="7" t="n"/>
      <c r="J229" s="9">
        <f>IF($I229&lt;&gt;"",$I229,SUMIFS(Assumptions!$P$4:$P$93,Assumptions!$M$4:$M$93,$C229,Assumptions!$N$4:$N$93,$E229,Assumptions!$O$4:$O$93,"LVN"))</f>
        <v/>
      </c>
      <c r="K229" s="7" t="n"/>
      <c r="L229" s="9">
        <f>IF($K229&lt;&gt;"",$K229,SUMIFS(Assumptions!$P$4:$P$93,Assumptions!$M$4:$M$93,$C229,Assumptions!$N$4:$N$93,$E229,Assumptions!$O$4:$O$93,"HVN"))</f>
        <v/>
      </c>
      <c r="M229" s="9">
        <f>J229+L229</f>
        <v/>
      </c>
      <c r="N229" s="10">
        <f>$F229*$H229*$M229</f>
        <v/>
      </c>
    </row>
    <row r="230">
      <c r="A230" s="4" t="inlineStr">
        <is>
          <t>UNIT</t>
        </is>
      </c>
      <c r="B230" s="5" t="inlineStr">
        <is>
          <t>MARATHON_CANTON</t>
        </is>
      </c>
      <c r="C230" s="5" t="n">
        <v>2</v>
      </c>
      <c r="D230" s="5" t="inlineStr">
        <is>
          <t>ALKY</t>
        </is>
      </c>
      <c r="E230" s="5" t="inlineStr">
        <is>
          <t>ALKY</t>
        </is>
      </c>
      <c r="F230" s="6" t="n">
        <v>8.5</v>
      </c>
      <c r="G230" s="7" t="n">
        <v>0.67</v>
      </c>
      <c r="H230" s="8">
        <f>IF($G230&lt;&gt;"",$G230,SUMIFS(Assumptions!$K$4:$K$8,Assumptions!$J$4:$J$8,$C230))</f>
        <v/>
      </c>
      <c r="I230" s="7" t="n"/>
      <c r="J230" s="9">
        <f>IF($I230&lt;&gt;"",$I230,SUMIFS(Assumptions!$P$4:$P$93,Assumptions!$M$4:$M$93,$C230,Assumptions!$N$4:$N$93,$E230,Assumptions!$O$4:$O$93,"LVN"))</f>
        <v/>
      </c>
      <c r="K230" s="7" t="n"/>
      <c r="L230" s="9">
        <f>IF($K230&lt;&gt;"",$K230,SUMIFS(Assumptions!$P$4:$P$93,Assumptions!$M$4:$M$93,$C230,Assumptions!$N$4:$N$93,$E230,Assumptions!$O$4:$O$93,"HVN"))</f>
        <v/>
      </c>
      <c r="M230" s="9">
        <f>J230+L230</f>
        <v/>
      </c>
      <c r="N230" s="10">
        <f>$F230*$H230*$M230</f>
        <v/>
      </c>
    </row>
    <row r="231">
      <c r="A231" s="11" t="inlineStr">
        <is>
          <t>TOTAL</t>
        </is>
      </c>
      <c r="B231" s="12" t="inlineStr">
        <is>
          <t>MARATHON_CANTON</t>
        </is>
      </c>
      <c r="C231" s="12" t="n">
        <v>2</v>
      </c>
      <c r="D231" s="12" t="inlineStr">
        <is>
          <t>NET NAPHTHA</t>
        </is>
      </c>
      <c r="N231" s="13">
        <f>SUM(N226:N230)</f>
        <v/>
      </c>
    </row>
    <row r="233">
      <c r="A233" s="1" t="inlineStr">
        <is>
          <t xml:space="preserve">  Valero Ardmore  [VALERO_ARDMORE]   —   Valero   —   PADD 2   —   crude 86 kbd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</row>
    <row r="234">
      <c r="A234" s="4" t="inlineStr">
        <is>
          <t>UNIT</t>
        </is>
      </c>
      <c r="B234" s="5" t="inlineStr">
        <is>
          <t>VALERO_ARDMORE</t>
        </is>
      </c>
      <c r="C234" s="5" t="n">
        <v>2</v>
      </c>
      <c r="D234" s="5" t="inlineStr">
        <is>
          <t>CDU</t>
        </is>
      </c>
      <c r="E234" s="5" t="inlineStr">
        <is>
          <t>CDU</t>
        </is>
      </c>
      <c r="F234" s="6" t="n">
        <v>88</v>
      </c>
      <c r="G234" s="7" t="n">
        <v>0.86</v>
      </c>
      <c r="H234" s="8">
        <f>IF($G234&lt;&gt;"",$G234,SUMIFS(Assumptions!$K$4:$K$8,Assumptions!$J$4:$J$8,$C234))</f>
        <v/>
      </c>
      <c r="I234" s="7" t="n"/>
      <c r="J234" s="9">
        <f>IF($I234&lt;&gt;"",$I234,SUMIFS(Assumptions!$P$4:$P$93,Assumptions!$M$4:$M$93,$C234,Assumptions!$N$4:$N$93,$E234,Assumptions!$O$4:$O$93,"LVN"))</f>
        <v/>
      </c>
      <c r="K234" s="7" t="n"/>
      <c r="L234" s="9">
        <f>IF($K234&lt;&gt;"",$K234,SUMIFS(Assumptions!$P$4:$P$93,Assumptions!$M$4:$M$93,$C234,Assumptions!$N$4:$N$93,$E234,Assumptions!$O$4:$O$93,"HVN"))</f>
        <v/>
      </c>
      <c r="M234" s="9">
        <f>J234+L234</f>
        <v/>
      </c>
      <c r="N234" s="10">
        <f>$F234*$H234*$M234</f>
        <v/>
      </c>
    </row>
    <row r="235">
      <c r="A235" s="4" t="inlineStr">
        <is>
          <t>UNIT</t>
        </is>
      </c>
      <c r="B235" s="5" t="inlineStr">
        <is>
          <t>VALERO_ARDMORE</t>
        </is>
      </c>
      <c r="C235" s="5" t="n">
        <v>2</v>
      </c>
      <c r="D235" s="5" t="inlineStr">
        <is>
          <t>VDU</t>
        </is>
      </c>
      <c r="E235" s="5" t="inlineStr">
        <is>
          <t>VDU</t>
        </is>
      </c>
      <c r="F235" s="6" t="n">
        <v>32</v>
      </c>
      <c r="G235" s="7" t="n">
        <v>0.763</v>
      </c>
      <c r="H235" s="8">
        <f>IF($G235&lt;&gt;"",$G235,SUMIFS(Assumptions!$K$4:$K$8,Assumptions!$J$4:$J$8,$C235))</f>
        <v/>
      </c>
      <c r="I235" s="7" t="n"/>
      <c r="J235" s="9">
        <f>IF($I235&lt;&gt;"",$I235,SUMIFS(Assumptions!$P$4:$P$93,Assumptions!$M$4:$M$93,$C235,Assumptions!$N$4:$N$93,$E235,Assumptions!$O$4:$O$93,"LVN"))</f>
        <v/>
      </c>
      <c r="K235" s="7" t="n"/>
      <c r="L235" s="9">
        <f>IF($K235&lt;&gt;"",$K235,SUMIFS(Assumptions!$P$4:$P$93,Assumptions!$M$4:$M$93,$C235,Assumptions!$N$4:$N$93,$E235,Assumptions!$O$4:$O$93,"HVN"))</f>
        <v/>
      </c>
      <c r="M235" s="9">
        <f>J235+L235</f>
        <v/>
      </c>
      <c r="N235" s="10">
        <f>$F235*$H235*$M235</f>
        <v/>
      </c>
    </row>
    <row r="236">
      <c r="A236" s="4" t="inlineStr">
        <is>
          <t>UNIT</t>
        </is>
      </c>
      <c r="B236" s="5" t="inlineStr">
        <is>
          <t>VALERO_ARDMORE</t>
        </is>
      </c>
      <c r="C236" s="5" t="n">
        <v>2</v>
      </c>
      <c r="D236" s="5" t="inlineStr">
        <is>
          <t>FCC</t>
        </is>
      </c>
      <c r="E236" s="5" t="inlineStr">
        <is>
          <t>FCC</t>
        </is>
      </c>
      <c r="F236" s="6" t="n">
        <v>30</v>
      </c>
      <c r="G236" s="7" t="n">
        <v>0.439</v>
      </c>
      <c r="H236" s="8">
        <f>IF($G236&lt;&gt;"",$G236,SUMIFS(Assumptions!$K$4:$K$8,Assumptions!$J$4:$J$8,$C236))</f>
        <v/>
      </c>
      <c r="I236" s="7" t="n"/>
      <c r="J236" s="9">
        <f>IF($I236&lt;&gt;"",$I236,SUMIFS(Assumptions!$P$4:$P$93,Assumptions!$M$4:$M$93,$C236,Assumptions!$N$4:$N$93,$E236,Assumptions!$O$4:$O$93,"LVN"))</f>
        <v/>
      </c>
      <c r="K236" s="7" t="n"/>
      <c r="L236" s="9">
        <f>IF($K236&lt;&gt;"",$K236,SUMIFS(Assumptions!$P$4:$P$93,Assumptions!$M$4:$M$93,$C236,Assumptions!$N$4:$N$93,$E236,Assumptions!$O$4:$O$93,"HVN"))</f>
        <v/>
      </c>
      <c r="M236" s="9">
        <f>J236+L236</f>
        <v/>
      </c>
      <c r="N236" s="10">
        <f>$F236*$H236*$M236</f>
        <v/>
      </c>
    </row>
    <row r="237">
      <c r="A237" s="4" t="inlineStr">
        <is>
          <t>UNIT</t>
        </is>
      </c>
      <c r="B237" s="5" t="inlineStr">
        <is>
          <t>VALERO_ARDMORE</t>
        </is>
      </c>
      <c r="C237" s="5" t="n">
        <v>2</v>
      </c>
      <c r="D237" s="5" t="inlineStr">
        <is>
          <t>DHCU</t>
        </is>
      </c>
      <c r="E237" s="5" t="inlineStr">
        <is>
          <t>HYDROCRACKER</t>
        </is>
      </c>
      <c r="F237" s="6" t="n">
        <v>14</v>
      </c>
      <c r="G237" s="7" t="n">
        <v>0.461</v>
      </c>
      <c r="H237" s="8">
        <f>IF($G237&lt;&gt;"",$G237,SUMIFS(Assumptions!$K$4:$K$8,Assumptions!$J$4:$J$8,$C237))</f>
        <v/>
      </c>
      <c r="I237" s="7" t="n"/>
      <c r="J237" s="9">
        <f>IF($I237&lt;&gt;"",$I237,SUMIFS(Assumptions!$P$4:$P$93,Assumptions!$M$4:$M$93,$C237,Assumptions!$N$4:$N$93,$E237,Assumptions!$O$4:$O$93,"LVN"))</f>
        <v/>
      </c>
      <c r="K237" s="7" t="n"/>
      <c r="L237" s="9">
        <f>IF($K237&lt;&gt;"",$K237,SUMIFS(Assumptions!$P$4:$P$93,Assumptions!$M$4:$M$93,$C237,Assumptions!$N$4:$N$93,$E237,Assumptions!$O$4:$O$93,"HVN"))</f>
        <v/>
      </c>
      <c r="M237" s="9">
        <f>J237+L237</f>
        <v/>
      </c>
      <c r="N237" s="10">
        <f>$F237*$H237*$M237</f>
        <v/>
      </c>
    </row>
    <row r="238">
      <c r="A238" s="4" t="inlineStr">
        <is>
          <t>UNIT</t>
        </is>
      </c>
      <c r="B238" s="5" t="inlineStr">
        <is>
          <t>VALERO_ARDMORE</t>
        </is>
      </c>
      <c r="C238" s="5" t="n">
        <v>2</v>
      </c>
      <c r="D238" s="5" t="inlineStr">
        <is>
          <t>CCR</t>
        </is>
      </c>
      <c r="E238" s="5" t="inlineStr">
        <is>
          <t>REFORMER</t>
        </is>
      </c>
      <c r="F238" s="6" t="n">
        <v>20.5</v>
      </c>
      <c r="G238" s="7" t="n">
        <v>0.907</v>
      </c>
      <c r="H238" s="8">
        <f>IF($G238&lt;&gt;"",$G238,SUMIFS(Assumptions!$K$4:$K$8,Assumptions!$J$4:$J$8,$C238))</f>
        <v/>
      </c>
      <c r="I238" s="7" t="n"/>
      <c r="J238" s="9">
        <f>IF($I238&lt;&gt;"",$I238,SUMIFS(Assumptions!$P$4:$P$93,Assumptions!$M$4:$M$93,$C238,Assumptions!$N$4:$N$93,$E238,Assumptions!$O$4:$O$93,"LVN"))</f>
        <v/>
      </c>
      <c r="K238" s="7" t="n"/>
      <c r="L238" s="9">
        <f>IF($K238&lt;&gt;"",$K238,SUMIFS(Assumptions!$P$4:$P$93,Assumptions!$M$4:$M$93,$C238,Assumptions!$N$4:$N$93,$E238,Assumptions!$O$4:$O$93,"HVN"))</f>
        <v/>
      </c>
      <c r="M238" s="9">
        <f>J238+L238</f>
        <v/>
      </c>
      <c r="N238" s="10">
        <f>$F238*$H238*$M238</f>
        <v/>
      </c>
    </row>
    <row r="239">
      <c r="A239" s="4" t="inlineStr">
        <is>
          <t>UNIT</t>
        </is>
      </c>
      <c r="B239" s="5" t="inlineStr">
        <is>
          <t>VALERO_ARDMORE</t>
        </is>
      </c>
      <c r="C239" s="5" t="n">
        <v>2</v>
      </c>
      <c r="D239" s="5" t="inlineStr">
        <is>
          <t>ALKY</t>
        </is>
      </c>
      <c r="E239" s="5" t="inlineStr">
        <is>
          <t>ALKY</t>
        </is>
      </c>
      <c r="F239" s="6" t="n">
        <v>7.01</v>
      </c>
      <c r="G239" s="7" t="n">
        <v>0.382</v>
      </c>
      <c r="H239" s="8">
        <f>IF($G239&lt;&gt;"",$G239,SUMIFS(Assumptions!$K$4:$K$8,Assumptions!$J$4:$J$8,$C239))</f>
        <v/>
      </c>
      <c r="I239" s="7" t="n"/>
      <c r="J239" s="9">
        <f>IF($I239&lt;&gt;"",$I239,SUMIFS(Assumptions!$P$4:$P$93,Assumptions!$M$4:$M$93,$C239,Assumptions!$N$4:$N$93,$E239,Assumptions!$O$4:$O$93,"LVN"))</f>
        <v/>
      </c>
      <c r="K239" s="7" t="n"/>
      <c r="L239" s="9">
        <f>IF($K239&lt;&gt;"",$K239,SUMIFS(Assumptions!$P$4:$P$93,Assumptions!$M$4:$M$93,$C239,Assumptions!$N$4:$N$93,$E239,Assumptions!$O$4:$O$93,"HVN"))</f>
        <v/>
      </c>
      <c r="M239" s="9">
        <f>J239+L239</f>
        <v/>
      </c>
      <c r="N239" s="10">
        <f>$F239*$H239*$M239</f>
        <v/>
      </c>
    </row>
    <row r="240">
      <c r="A240" s="11" t="inlineStr">
        <is>
          <t>TOTAL</t>
        </is>
      </c>
      <c r="B240" s="12" t="inlineStr">
        <is>
          <t>VALERO_ARDMORE</t>
        </is>
      </c>
      <c r="C240" s="12" t="n">
        <v>2</v>
      </c>
      <c r="D240" s="12" t="inlineStr">
        <is>
          <t>NET NAPHTHA</t>
        </is>
      </c>
      <c r="N240" s="13">
        <f>SUM(N234:N239)</f>
        <v/>
      </c>
    </row>
    <row r="242">
      <c r="A242" s="1" t="inlineStr">
        <is>
          <t xml:space="preserve">  Marathon Petroleum Mandan  [MARATHON_MANDAN]   —   Marathon Petroleum   —   PADD 2   —   crude 76 kbd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</row>
    <row r="243">
      <c r="A243" s="4" t="inlineStr">
        <is>
          <t>UNIT</t>
        </is>
      </c>
      <c r="B243" s="5" t="inlineStr">
        <is>
          <t>MARATHON_MANDAN</t>
        </is>
      </c>
      <c r="C243" s="5" t="n">
        <v>2</v>
      </c>
      <c r="D243" s="5" t="inlineStr">
        <is>
          <t>CDU</t>
        </is>
      </c>
      <c r="E243" s="5" t="inlineStr">
        <is>
          <t>CDU</t>
        </is>
      </c>
      <c r="F243" s="6" t="n">
        <v>74</v>
      </c>
      <c r="G243" s="7" t="n">
        <v>0.92</v>
      </c>
      <c r="H243" s="8">
        <f>IF($G243&lt;&gt;"",$G243,SUMIFS(Assumptions!$K$4:$K$8,Assumptions!$J$4:$J$8,$C243))</f>
        <v/>
      </c>
      <c r="I243" s="7" t="n"/>
      <c r="J243" s="9">
        <f>IF($I243&lt;&gt;"",$I243,SUMIFS(Assumptions!$P$4:$P$93,Assumptions!$M$4:$M$93,$C243,Assumptions!$N$4:$N$93,$E243,Assumptions!$O$4:$O$93,"LVN"))</f>
        <v/>
      </c>
      <c r="K243" s="7" t="n"/>
      <c r="L243" s="9">
        <f>IF($K243&lt;&gt;"",$K243,SUMIFS(Assumptions!$P$4:$P$93,Assumptions!$M$4:$M$93,$C243,Assumptions!$N$4:$N$93,$E243,Assumptions!$O$4:$O$93,"HVN"))</f>
        <v/>
      </c>
      <c r="M243" s="9">
        <f>J243+L243</f>
        <v/>
      </c>
      <c r="N243" s="10">
        <f>$F243*$H243*$M243</f>
        <v/>
      </c>
    </row>
    <row r="244">
      <c r="A244" s="4" t="inlineStr">
        <is>
          <t>UNIT</t>
        </is>
      </c>
      <c r="B244" s="5" t="inlineStr">
        <is>
          <t>MARATHON_MANDAN</t>
        </is>
      </c>
      <c r="C244" s="5" t="n">
        <v>2</v>
      </c>
      <c r="D244" s="5" t="inlineStr">
        <is>
          <t>RCC</t>
        </is>
      </c>
      <c r="E244" s="5" t="inlineStr">
        <is>
          <t>FCC</t>
        </is>
      </c>
      <c r="F244" s="6" t="n">
        <v>27</v>
      </c>
      <c r="G244" s="7" t="n">
        <v>0.717</v>
      </c>
      <c r="H244" s="8">
        <f>IF($G244&lt;&gt;"",$G244,SUMIFS(Assumptions!$K$4:$K$8,Assumptions!$J$4:$J$8,$C244))</f>
        <v/>
      </c>
      <c r="I244" s="7" t="n"/>
      <c r="J244" s="9">
        <f>IF($I244&lt;&gt;"",$I244,SUMIFS(Assumptions!$P$4:$P$93,Assumptions!$M$4:$M$93,$C244,Assumptions!$N$4:$N$93,$E244,Assumptions!$O$4:$O$93,"LVN"))</f>
        <v/>
      </c>
      <c r="K244" s="7" t="n"/>
      <c r="L244" s="9">
        <f>IF($K244&lt;&gt;"",$K244,SUMIFS(Assumptions!$P$4:$P$93,Assumptions!$M$4:$M$93,$C244,Assumptions!$N$4:$N$93,$E244,Assumptions!$O$4:$O$93,"HVN"))</f>
        <v/>
      </c>
      <c r="M244" s="9">
        <f>J244+L244</f>
        <v/>
      </c>
      <c r="N244" s="10">
        <f>$F244*$H244*$M244</f>
        <v/>
      </c>
    </row>
    <row r="245">
      <c r="A245" s="4" t="inlineStr">
        <is>
          <t>UNIT</t>
        </is>
      </c>
      <c r="B245" s="5" t="inlineStr">
        <is>
          <t>MARATHON_MANDAN</t>
        </is>
      </c>
      <c r="C245" s="5" t="n">
        <v>2</v>
      </c>
      <c r="D245" s="5" t="inlineStr">
        <is>
          <t>REF</t>
        </is>
      </c>
      <c r="E245" s="5" t="inlineStr">
        <is>
          <t>REFORMER</t>
        </is>
      </c>
      <c r="F245" s="6" t="n">
        <v>12.5</v>
      </c>
      <c r="G245" s="7" t="n">
        <v>1</v>
      </c>
      <c r="H245" s="8">
        <f>IF($G245&lt;&gt;"",$G245,SUMIFS(Assumptions!$K$4:$K$8,Assumptions!$J$4:$J$8,$C245))</f>
        <v/>
      </c>
      <c r="I245" s="7" t="n"/>
      <c r="J245" s="9">
        <f>IF($I245&lt;&gt;"",$I245,SUMIFS(Assumptions!$P$4:$P$93,Assumptions!$M$4:$M$93,$C245,Assumptions!$N$4:$N$93,$E245,Assumptions!$O$4:$O$93,"LVN"))</f>
        <v/>
      </c>
      <c r="K245" s="7" t="n"/>
      <c r="L245" s="9">
        <f>IF($K245&lt;&gt;"",$K245,SUMIFS(Assumptions!$P$4:$P$93,Assumptions!$M$4:$M$93,$C245,Assumptions!$N$4:$N$93,$E245,Assumptions!$O$4:$O$93,"HVN"))</f>
        <v/>
      </c>
      <c r="M245" s="9">
        <f>J245+L245</f>
        <v/>
      </c>
      <c r="N245" s="10">
        <f>$F245*$H245*$M245</f>
        <v/>
      </c>
    </row>
    <row r="246">
      <c r="A246" s="4" t="inlineStr">
        <is>
          <t>UNIT</t>
        </is>
      </c>
      <c r="B246" s="5" t="inlineStr">
        <is>
          <t>MARATHON_MANDAN</t>
        </is>
      </c>
      <c r="C246" s="5" t="n">
        <v>2</v>
      </c>
      <c r="D246" s="5" t="inlineStr">
        <is>
          <t>ALKY</t>
        </is>
      </c>
      <c r="E246" s="5" t="inlineStr">
        <is>
          <t>ALKY</t>
        </is>
      </c>
      <c r="F246" s="6" t="n">
        <v>4.8</v>
      </c>
      <c r="G246" s="7" t="n">
        <v>1.021</v>
      </c>
      <c r="H246" s="8">
        <f>IF($G246&lt;&gt;"",$G246,SUMIFS(Assumptions!$K$4:$K$8,Assumptions!$J$4:$J$8,$C246))</f>
        <v/>
      </c>
      <c r="I246" s="7" t="n"/>
      <c r="J246" s="9">
        <f>IF($I246&lt;&gt;"",$I246,SUMIFS(Assumptions!$P$4:$P$93,Assumptions!$M$4:$M$93,$C246,Assumptions!$N$4:$N$93,$E246,Assumptions!$O$4:$O$93,"LVN"))</f>
        <v/>
      </c>
      <c r="K246" s="7" t="n"/>
      <c r="L246" s="9">
        <f>IF($K246&lt;&gt;"",$K246,SUMIFS(Assumptions!$P$4:$P$93,Assumptions!$M$4:$M$93,$C246,Assumptions!$N$4:$N$93,$E246,Assumptions!$O$4:$O$93,"HVN"))</f>
        <v/>
      </c>
      <c r="M246" s="9">
        <f>J246+L246</f>
        <v/>
      </c>
      <c r="N246" s="10">
        <f>$F246*$H246*$M246</f>
        <v/>
      </c>
    </row>
    <row r="247">
      <c r="A247" s="11" t="inlineStr">
        <is>
          <t>TOTAL</t>
        </is>
      </c>
      <c r="B247" s="12" t="inlineStr">
        <is>
          <t>MARATHON_MANDAN</t>
        </is>
      </c>
      <c r="C247" s="12" t="n">
        <v>2</v>
      </c>
      <c r="D247" s="12" t="inlineStr">
        <is>
          <t>NET NAPHTHA</t>
        </is>
      </c>
      <c r="N247" s="13">
        <f>SUM(N243:N246)</f>
        <v/>
      </c>
    </row>
    <row r="249">
      <c r="A249" s="1" t="inlineStr">
        <is>
          <t xml:space="preserve">  CVR Energy Wynnewood  [CVR_WYNNEWOOD]   —   Icahn Enterprises (80%) / Other Investors (20%)   —   PADD 2   —   crude 75 kbd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</row>
    <row r="250">
      <c r="A250" s="4" t="inlineStr">
        <is>
          <t>UNIT</t>
        </is>
      </c>
      <c r="B250" s="5" t="inlineStr">
        <is>
          <t>CVR_WYNNEWOOD</t>
        </is>
      </c>
      <c r="C250" s="5" t="n">
        <v>2</v>
      </c>
      <c r="D250" s="5" t="inlineStr">
        <is>
          <t>CDU</t>
        </is>
      </c>
      <c r="E250" s="5" t="inlineStr">
        <is>
          <t>CDU</t>
        </is>
      </c>
      <c r="F250" s="6" t="n">
        <v>78</v>
      </c>
      <c r="G250" s="7" t="n">
        <v>0.722</v>
      </c>
      <c r="H250" s="8">
        <f>IF($G250&lt;&gt;"",$G250,SUMIFS(Assumptions!$K$4:$K$8,Assumptions!$J$4:$J$8,$C250))</f>
        <v/>
      </c>
      <c r="I250" s="7" t="n"/>
      <c r="J250" s="9">
        <f>IF($I250&lt;&gt;"",$I250,SUMIFS(Assumptions!$P$4:$P$93,Assumptions!$M$4:$M$93,$C250,Assumptions!$N$4:$N$93,$E250,Assumptions!$O$4:$O$93,"LVN"))</f>
        <v/>
      </c>
      <c r="K250" s="7" t="n"/>
      <c r="L250" s="9">
        <f>IF($K250&lt;&gt;"",$K250,SUMIFS(Assumptions!$P$4:$P$93,Assumptions!$M$4:$M$93,$C250,Assumptions!$N$4:$N$93,$E250,Assumptions!$O$4:$O$93,"HVN"))</f>
        <v/>
      </c>
      <c r="M250" s="9">
        <f>J250+L250</f>
        <v/>
      </c>
      <c r="N250" s="10">
        <f>$F250*$H250*$M250</f>
        <v/>
      </c>
    </row>
    <row r="251">
      <c r="A251" s="4" t="inlineStr">
        <is>
          <t>UNIT</t>
        </is>
      </c>
      <c r="B251" s="5" t="inlineStr">
        <is>
          <t>CVR_WYNNEWOOD</t>
        </is>
      </c>
      <c r="C251" s="5" t="n">
        <v>2</v>
      </c>
      <c r="D251" s="5" t="inlineStr">
        <is>
          <t>VDU</t>
        </is>
      </c>
      <c r="E251" s="5" t="inlineStr">
        <is>
          <t>VDU</t>
        </is>
      </c>
      <c r="F251" s="6" t="n">
        <v>40.3</v>
      </c>
      <c r="G251" s="7" t="n">
        <v>0.346</v>
      </c>
      <c r="H251" s="8">
        <f>IF($G251&lt;&gt;"",$G251,SUMIFS(Assumptions!$K$4:$K$8,Assumptions!$J$4:$J$8,$C251))</f>
        <v/>
      </c>
      <c r="I251" s="7" t="n"/>
      <c r="J251" s="9">
        <f>IF($I251&lt;&gt;"",$I251,SUMIFS(Assumptions!$P$4:$P$93,Assumptions!$M$4:$M$93,$C251,Assumptions!$N$4:$N$93,$E251,Assumptions!$O$4:$O$93,"LVN"))</f>
        <v/>
      </c>
      <c r="K251" s="7" t="n"/>
      <c r="L251" s="9">
        <f>IF($K251&lt;&gt;"",$K251,SUMIFS(Assumptions!$P$4:$P$93,Assumptions!$M$4:$M$93,$C251,Assumptions!$N$4:$N$93,$E251,Assumptions!$O$4:$O$93,"HVN"))</f>
        <v/>
      </c>
      <c r="M251" s="9">
        <f>J251+L251</f>
        <v/>
      </c>
      <c r="N251" s="10">
        <f>$F251*$H251*$M251</f>
        <v/>
      </c>
    </row>
    <row r="252">
      <c r="A252" s="4" t="inlineStr">
        <is>
          <t>UNIT</t>
        </is>
      </c>
      <c r="B252" s="5" t="inlineStr">
        <is>
          <t>CVR_WYNNEWOOD</t>
        </is>
      </c>
      <c r="C252" s="5" t="n">
        <v>2</v>
      </c>
      <c r="D252" s="5" t="inlineStr">
        <is>
          <t>FCC</t>
        </is>
      </c>
      <c r="E252" s="5" t="inlineStr">
        <is>
          <t>FCC</t>
        </is>
      </c>
      <c r="F252" s="6" t="n">
        <v>22</v>
      </c>
      <c r="G252" s="7" t="n">
        <v>0.625</v>
      </c>
      <c r="H252" s="8">
        <f>IF($G252&lt;&gt;"",$G252,SUMIFS(Assumptions!$K$4:$K$8,Assumptions!$J$4:$J$8,$C252))</f>
        <v/>
      </c>
      <c r="I252" s="7" t="n"/>
      <c r="J252" s="9">
        <f>IF($I252&lt;&gt;"",$I252,SUMIFS(Assumptions!$P$4:$P$93,Assumptions!$M$4:$M$93,$C252,Assumptions!$N$4:$N$93,$E252,Assumptions!$O$4:$O$93,"LVN"))</f>
        <v/>
      </c>
      <c r="K252" s="7" t="n"/>
      <c r="L252" s="9">
        <f>IF($K252&lt;&gt;"",$K252,SUMIFS(Assumptions!$P$4:$P$93,Assumptions!$M$4:$M$93,$C252,Assumptions!$N$4:$N$93,$E252,Assumptions!$O$4:$O$93,"HVN"))</f>
        <v/>
      </c>
      <c r="M252" s="9">
        <f>J252+L252</f>
        <v/>
      </c>
      <c r="N252" s="10">
        <f>$F252*$H252*$M252</f>
        <v/>
      </c>
    </row>
    <row r="253">
      <c r="A253" s="4" t="inlineStr">
        <is>
          <t>UNIT</t>
        </is>
      </c>
      <c r="B253" s="5" t="inlineStr">
        <is>
          <t>CVR_WYNNEWOOD</t>
        </is>
      </c>
      <c r="C253" s="5" t="n">
        <v>2</v>
      </c>
      <c r="D253" s="5" t="inlineStr">
        <is>
          <t>CCR</t>
        </is>
      </c>
      <c r="E253" s="5" t="inlineStr">
        <is>
          <t>REFORMER</t>
        </is>
      </c>
      <c r="F253" s="6" t="n">
        <v>18.7</v>
      </c>
      <c r="G253" s="7" t="n">
        <v>0.802</v>
      </c>
      <c r="H253" s="8">
        <f>IF($G253&lt;&gt;"",$G253,SUMIFS(Assumptions!$K$4:$K$8,Assumptions!$J$4:$J$8,$C253))</f>
        <v/>
      </c>
      <c r="I253" s="7" t="n"/>
      <c r="J253" s="9">
        <f>IF($I253&lt;&gt;"",$I253,SUMIFS(Assumptions!$P$4:$P$93,Assumptions!$M$4:$M$93,$C253,Assumptions!$N$4:$N$93,$E253,Assumptions!$O$4:$O$93,"LVN"))</f>
        <v/>
      </c>
      <c r="K253" s="7" t="n"/>
      <c r="L253" s="9">
        <f>IF($K253&lt;&gt;"",$K253,SUMIFS(Assumptions!$P$4:$P$93,Assumptions!$M$4:$M$93,$C253,Assumptions!$N$4:$N$93,$E253,Assumptions!$O$4:$O$93,"HVN"))</f>
        <v/>
      </c>
      <c r="M253" s="9">
        <f>J253+L253</f>
        <v/>
      </c>
      <c r="N253" s="10">
        <f>$F253*$H253*$M253</f>
        <v/>
      </c>
    </row>
    <row r="254">
      <c r="A254" s="4" t="inlineStr">
        <is>
          <t>UNIT</t>
        </is>
      </c>
      <c r="B254" s="5" t="inlineStr">
        <is>
          <t>CVR_WYNNEWOOD</t>
        </is>
      </c>
      <c r="C254" s="5" t="n">
        <v>2</v>
      </c>
      <c r="D254" s="5" t="inlineStr">
        <is>
          <t>ISOM</t>
        </is>
      </c>
      <c r="E254" s="5" t="inlineStr">
        <is>
          <t>ISOM</t>
        </is>
      </c>
      <c r="F254" s="6" t="n">
        <v>5</v>
      </c>
      <c r="G254" s="7" t="n">
        <v>0.827</v>
      </c>
      <c r="H254" s="8">
        <f>IF($G254&lt;&gt;"",$G254,SUMIFS(Assumptions!$K$4:$K$8,Assumptions!$J$4:$J$8,$C254))</f>
        <v/>
      </c>
      <c r="I254" s="7" t="n"/>
      <c r="J254" s="9">
        <f>IF($I254&lt;&gt;"",$I254,SUMIFS(Assumptions!$P$4:$P$93,Assumptions!$M$4:$M$93,$C254,Assumptions!$N$4:$N$93,$E254,Assumptions!$O$4:$O$93,"LVN"))</f>
        <v/>
      </c>
      <c r="K254" s="7" t="n"/>
      <c r="L254" s="9">
        <f>IF($K254&lt;&gt;"",$K254,SUMIFS(Assumptions!$P$4:$P$93,Assumptions!$M$4:$M$93,$C254,Assumptions!$N$4:$N$93,$E254,Assumptions!$O$4:$O$93,"HVN"))</f>
        <v/>
      </c>
      <c r="M254" s="9">
        <f>J254+L254</f>
        <v/>
      </c>
      <c r="N254" s="10">
        <f>$F254*$H254*$M254</f>
        <v/>
      </c>
    </row>
    <row r="255">
      <c r="A255" s="4" t="inlineStr">
        <is>
          <t>UNIT</t>
        </is>
      </c>
      <c r="B255" s="5" t="inlineStr">
        <is>
          <t>CVR_WYNNEWOOD</t>
        </is>
      </c>
      <c r="C255" s="5" t="n">
        <v>2</v>
      </c>
      <c r="D255" s="5" t="inlineStr">
        <is>
          <t>ALKY</t>
        </is>
      </c>
      <c r="E255" s="5" t="inlineStr">
        <is>
          <t>ALKY</t>
        </is>
      </c>
      <c r="F255" s="6" t="n">
        <v>5.5</v>
      </c>
      <c r="G255" s="7" t="n">
        <v>0.68</v>
      </c>
      <c r="H255" s="8">
        <f>IF($G255&lt;&gt;"",$G255,SUMIFS(Assumptions!$K$4:$K$8,Assumptions!$J$4:$J$8,$C255))</f>
        <v/>
      </c>
      <c r="I255" s="7" t="n"/>
      <c r="J255" s="9">
        <f>IF($I255&lt;&gt;"",$I255,SUMIFS(Assumptions!$P$4:$P$93,Assumptions!$M$4:$M$93,$C255,Assumptions!$N$4:$N$93,$E255,Assumptions!$O$4:$O$93,"LVN"))</f>
        <v/>
      </c>
      <c r="K255" s="7" t="n"/>
      <c r="L255" s="9">
        <f>IF($K255&lt;&gt;"",$K255,SUMIFS(Assumptions!$P$4:$P$93,Assumptions!$M$4:$M$93,$C255,Assumptions!$N$4:$N$93,$E255,Assumptions!$O$4:$O$93,"HVN"))</f>
        <v/>
      </c>
      <c r="M255" s="9">
        <f>J255+L255</f>
        <v/>
      </c>
      <c r="N255" s="10">
        <f>$F255*$H255*$M255</f>
        <v/>
      </c>
    </row>
    <row r="256">
      <c r="A256" s="11" t="inlineStr">
        <is>
          <t>TOTAL</t>
        </is>
      </c>
      <c r="B256" s="12" t="inlineStr">
        <is>
          <t>CVR_WYNNEWOOD</t>
        </is>
      </c>
      <c r="C256" s="12" t="n">
        <v>2</v>
      </c>
      <c r="D256" s="12" t="inlineStr">
        <is>
          <t>NET NAPHTHA</t>
        </is>
      </c>
      <c r="N256" s="13">
        <f>SUM(N250:N255)</f>
        <v/>
      </c>
    </row>
    <row r="258">
      <c r="A258" s="1" t="inlineStr">
        <is>
          <t xml:space="preserve">  Cenovus Superior  [CENOVUS_SUPERIOR]   —   Cenovus   —   PADD 2   —   crude 50 kbd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</row>
    <row r="259">
      <c r="A259" s="4" t="inlineStr">
        <is>
          <t>UNIT</t>
        </is>
      </c>
      <c r="B259" s="5" t="inlineStr">
        <is>
          <t>CENOVUS_SUPERIOR</t>
        </is>
      </c>
      <c r="C259" s="5" t="n">
        <v>2</v>
      </c>
      <c r="D259" s="5" t="inlineStr">
        <is>
          <t>CDU</t>
        </is>
      </c>
      <c r="E259" s="5" t="inlineStr">
        <is>
          <t>CDU</t>
        </is>
      </c>
      <c r="F259" s="6" t="n">
        <v>50</v>
      </c>
      <c r="G259" s="7" t="n"/>
      <c r="H259" s="8">
        <f>IF($G259&lt;&gt;"",$G259,SUMIFS(Assumptions!$K$4:$K$8,Assumptions!$J$4:$J$8,$C259))</f>
        <v/>
      </c>
      <c r="I259" s="7" t="n"/>
      <c r="J259" s="9">
        <f>IF($I259&lt;&gt;"",$I259,SUMIFS(Assumptions!$P$4:$P$93,Assumptions!$M$4:$M$93,$C259,Assumptions!$N$4:$N$93,$E259,Assumptions!$O$4:$O$93,"LVN"))</f>
        <v/>
      </c>
      <c r="K259" s="7" t="n"/>
      <c r="L259" s="9">
        <f>IF($K259&lt;&gt;"",$K259,SUMIFS(Assumptions!$P$4:$P$93,Assumptions!$M$4:$M$93,$C259,Assumptions!$N$4:$N$93,$E259,Assumptions!$O$4:$O$93,"HVN"))</f>
        <v/>
      </c>
      <c r="M259" s="9">
        <f>J259+L259</f>
        <v/>
      </c>
      <c r="N259" s="10">
        <f>$F259*$H259*$M259</f>
        <v/>
      </c>
    </row>
    <row r="260">
      <c r="A260" s="4" t="inlineStr">
        <is>
          <t>UNIT</t>
        </is>
      </c>
      <c r="B260" s="5" t="inlineStr">
        <is>
          <t>CENOVUS_SUPERIOR</t>
        </is>
      </c>
      <c r="C260" s="5" t="n">
        <v>2</v>
      </c>
      <c r="D260" s="5" t="inlineStr">
        <is>
          <t>VDU</t>
        </is>
      </c>
      <c r="E260" s="5" t="inlineStr">
        <is>
          <t>VDU</t>
        </is>
      </c>
      <c r="F260" s="6" t="n">
        <v>23.5</v>
      </c>
      <c r="G260" s="7" t="n"/>
      <c r="H260" s="8">
        <f>IF($G260&lt;&gt;"",$G260,SUMIFS(Assumptions!$K$4:$K$8,Assumptions!$J$4:$J$8,$C260))</f>
        <v/>
      </c>
      <c r="I260" s="7" t="n"/>
      <c r="J260" s="9">
        <f>IF($I260&lt;&gt;"",$I260,SUMIFS(Assumptions!$P$4:$P$93,Assumptions!$M$4:$M$93,$C260,Assumptions!$N$4:$N$93,$E260,Assumptions!$O$4:$O$93,"LVN"))</f>
        <v/>
      </c>
      <c r="K260" s="7" t="n"/>
      <c r="L260" s="9">
        <f>IF($K260&lt;&gt;"",$K260,SUMIFS(Assumptions!$P$4:$P$93,Assumptions!$M$4:$M$93,$C260,Assumptions!$N$4:$N$93,$E260,Assumptions!$O$4:$O$93,"HVN"))</f>
        <v/>
      </c>
      <c r="M260" s="9">
        <f>J260+L260</f>
        <v/>
      </c>
      <c r="N260" s="10">
        <f>$F260*$H260*$M260</f>
        <v/>
      </c>
    </row>
    <row r="261">
      <c r="A261" s="4" t="inlineStr">
        <is>
          <t>UNIT</t>
        </is>
      </c>
      <c r="B261" s="5" t="inlineStr">
        <is>
          <t>CENOVUS_SUPERIOR</t>
        </is>
      </c>
      <c r="C261" s="5" t="n">
        <v>2</v>
      </c>
      <c r="D261" s="5" t="inlineStr">
        <is>
          <t>FCC</t>
        </is>
      </c>
      <c r="E261" s="5" t="inlineStr">
        <is>
          <t>FCC</t>
        </is>
      </c>
      <c r="F261" s="6" t="n">
        <v>11.32</v>
      </c>
      <c r="G261" s="7" t="n"/>
      <c r="H261" s="8">
        <f>IF($G261&lt;&gt;"",$G261,SUMIFS(Assumptions!$K$4:$K$8,Assumptions!$J$4:$J$8,$C261))</f>
        <v/>
      </c>
      <c r="I261" s="7" t="n"/>
      <c r="J261" s="9">
        <f>IF($I261&lt;&gt;"",$I261,SUMIFS(Assumptions!$P$4:$P$93,Assumptions!$M$4:$M$93,$C261,Assumptions!$N$4:$N$93,$E261,Assumptions!$O$4:$O$93,"LVN"))</f>
        <v/>
      </c>
      <c r="K261" s="7" t="n"/>
      <c r="L261" s="9">
        <f>IF($K261&lt;&gt;"",$K261,SUMIFS(Assumptions!$P$4:$P$93,Assumptions!$M$4:$M$93,$C261,Assumptions!$N$4:$N$93,$E261,Assumptions!$O$4:$O$93,"HVN"))</f>
        <v/>
      </c>
      <c r="M261" s="9">
        <f>J261+L261</f>
        <v/>
      </c>
      <c r="N261" s="10">
        <f>$F261*$H261*$M261</f>
        <v/>
      </c>
    </row>
    <row r="262">
      <c r="A262" s="4" t="inlineStr">
        <is>
          <t>UNIT</t>
        </is>
      </c>
      <c r="B262" s="5" t="inlineStr">
        <is>
          <t>CENOVUS_SUPERIOR</t>
        </is>
      </c>
      <c r="C262" s="5" t="n">
        <v>2</v>
      </c>
      <c r="D262" s="5" t="inlineStr">
        <is>
          <t>REF</t>
        </is>
      </c>
      <c r="E262" s="5" t="inlineStr">
        <is>
          <t>REFORMER</t>
        </is>
      </c>
      <c r="F262" s="6" t="n">
        <v>9.300000000000001</v>
      </c>
      <c r="G262" s="7" t="n"/>
      <c r="H262" s="8">
        <f>IF($G262&lt;&gt;"",$G262,SUMIFS(Assumptions!$K$4:$K$8,Assumptions!$J$4:$J$8,$C262))</f>
        <v/>
      </c>
      <c r="I262" s="7" t="n"/>
      <c r="J262" s="9">
        <f>IF($I262&lt;&gt;"",$I262,SUMIFS(Assumptions!$P$4:$P$93,Assumptions!$M$4:$M$93,$C262,Assumptions!$N$4:$N$93,$E262,Assumptions!$O$4:$O$93,"LVN"))</f>
        <v/>
      </c>
      <c r="K262" s="7" t="n"/>
      <c r="L262" s="9">
        <f>IF($K262&lt;&gt;"",$K262,SUMIFS(Assumptions!$P$4:$P$93,Assumptions!$M$4:$M$93,$C262,Assumptions!$N$4:$N$93,$E262,Assumptions!$O$4:$O$93,"HVN"))</f>
        <v/>
      </c>
      <c r="M262" s="9">
        <f>J262+L262</f>
        <v/>
      </c>
      <c r="N262" s="10">
        <f>$F262*$H262*$M262</f>
        <v/>
      </c>
    </row>
    <row r="263">
      <c r="A263" s="4" t="inlineStr">
        <is>
          <t>UNIT</t>
        </is>
      </c>
      <c r="B263" s="5" t="inlineStr">
        <is>
          <t>CENOVUS_SUPERIOR</t>
        </is>
      </c>
      <c r="C263" s="5" t="n">
        <v>2</v>
      </c>
      <c r="D263" s="5" t="inlineStr">
        <is>
          <t>ALKY</t>
        </is>
      </c>
      <c r="E263" s="5" t="inlineStr">
        <is>
          <t>ALKY</t>
        </is>
      </c>
      <c r="F263" s="6" t="n">
        <v>1.7</v>
      </c>
      <c r="G263" s="7" t="n"/>
      <c r="H263" s="8">
        <f>IF($G263&lt;&gt;"",$G263,SUMIFS(Assumptions!$K$4:$K$8,Assumptions!$J$4:$J$8,$C263))</f>
        <v/>
      </c>
      <c r="I263" s="7" t="n"/>
      <c r="J263" s="9">
        <f>IF($I263&lt;&gt;"",$I263,SUMIFS(Assumptions!$P$4:$P$93,Assumptions!$M$4:$M$93,$C263,Assumptions!$N$4:$N$93,$E263,Assumptions!$O$4:$O$93,"LVN"))</f>
        <v/>
      </c>
      <c r="K263" s="7" t="n"/>
      <c r="L263" s="9">
        <f>IF($K263&lt;&gt;"",$K263,SUMIFS(Assumptions!$P$4:$P$93,Assumptions!$M$4:$M$93,$C263,Assumptions!$N$4:$N$93,$E263,Assumptions!$O$4:$O$93,"HVN"))</f>
        <v/>
      </c>
      <c r="M263" s="9">
        <f>J263+L263</f>
        <v/>
      </c>
      <c r="N263" s="10">
        <f>$F263*$H263*$M263</f>
        <v/>
      </c>
    </row>
    <row r="264">
      <c r="A264" s="11" t="inlineStr">
        <is>
          <t>TOTAL</t>
        </is>
      </c>
      <c r="B264" s="12" t="inlineStr">
        <is>
          <t>CENOVUS_SUPERIOR</t>
        </is>
      </c>
      <c r="C264" s="12" t="n">
        <v>2</v>
      </c>
      <c r="D264" s="12" t="inlineStr">
        <is>
          <t>NET NAPHTHA</t>
        </is>
      </c>
      <c r="N264" s="13">
        <f>SUM(N259:N263)</f>
        <v/>
      </c>
    </row>
    <row r="266">
      <c r="A266" s="1" t="inlineStr">
        <is>
          <t xml:space="preserve">  Countrymark Cooperative Inc. Mount Vernon  [COUNTRYMARK_MOUNT_VERNON]   —   Countrymark Cooperative Inc.   —   PADD 2   —   crude 31 kbd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</row>
    <row r="267">
      <c r="A267" s="4" t="inlineStr">
        <is>
          <t>UNIT</t>
        </is>
      </c>
      <c r="B267" s="5" t="inlineStr">
        <is>
          <t>COUNTRYMARK_MOUNT_VERNON</t>
        </is>
      </c>
      <c r="C267" s="5" t="n">
        <v>2</v>
      </c>
      <c r="D267" s="5" t="inlineStr">
        <is>
          <t>CDU</t>
        </is>
      </c>
      <c r="E267" s="5" t="inlineStr">
        <is>
          <t>CDU</t>
        </is>
      </c>
      <c r="F267" s="6" t="n">
        <v>30.8</v>
      </c>
      <c r="G267" s="7" t="n"/>
      <c r="H267" s="8">
        <f>IF($G267&lt;&gt;"",$G267,SUMIFS(Assumptions!$K$4:$K$8,Assumptions!$J$4:$J$8,$C267))</f>
        <v/>
      </c>
      <c r="I267" s="7" t="n"/>
      <c r="J267" s="9">
        <f>IF($I267&lt;&gt;"",$I267,SUMIFS(Assumptions!$P$4:$P$93,Assumptions!$M$4:$M$93,$C267,Assumptions!$N$4:$N$93,$E267,Assumptions!$O$4:$O$93,"LVN"))</f>
        <v/>
      </c>
      <c r="K267" s="7" t="n"/>
      <c r="L267" s="9">
        <f>IF($K267&lt;&gt;"",$K267,SUMIFS(Assumptions!$P$4:$P$93,Assumptions!$M$4:$M$93,$C267,Assumptions!$N$4:$N$93,$E267,Assumptions!$O$4:$O$93,"HVN"))</f>
        <v/>
      </c>
      <c r="M267" s="9">
        <f>J267+L267</f>
        <v/>
      </c>
      <c r="N267" s="10">
        <f>$F267*$H267*$M267</f>
        <v/>
      </c>
    </row>
    <row r="268">
      <c r="A268" s="4" t="inlineStr">
        <is>
          <t>UNIT</t>
        </is>
      </c>
      <c r="B268" s="5" t="inlineStr">
        <is>
          <t>COUNTRYMARK_MOUNT_VERNON</t>
        </is>
      </c>
      <c r="C268" s="5" t="n">
        <v>2</v>
      </c>
      <c r="D268" s="5" t="inlineStr">
        <is>
          <t>VDU</t>
        </is>
      </c>
      <c r="E268" s="5" t="inlineStr">
        <is>
          <t>VDU</t>
        </is>
      </c>
      <c r="F268" s="6" t="n">
        <v>14.5</v>
      </c>
      <c r="G268" s="7" t="n"/>
      <c r="H268" s="8">
        <f>IF($G268&lt;&gt;"",$G268,SUMIFS(Assumptions!$K$4:$K$8,Assumptions!$J$4:$J$8,$C268))</f>
        <v/>
      </c>
      <c r="I268" s="7" t="n"/>
      <c r="J268" s="9">
        <f>IF($I268&lt;&gt;"",$I268,SUMIFS(Assumptions!$P$4:$P$93,Assumptions!$M$4:$M$93,$C268,Assumptions!$N$4:$N$93,$E268,Assumptions!$O$4:$O$93,"LVN"))</f>
        <v/>
      </c>
      <c r="K268" s="7" t="n"/>
      <c r="L268" s="9">
        <f>IF($K268&lt;&gt;"",$K268,SUMIFS(Assumptions!$P$4:$P$93,Assumptions!$M$4:$M$93,$C268,Assumptions!$N$4:$N$93,$E268,Assumptions!$O$4:$O$93,"HVN"))</f>
        <v/>
      </c>
      <c r="M268" s="9">
        <f>J268+L268</f>
        <v/>
      </c>
      <c r="N268" s="10">
        <f>$F268*$H268*$M268</f>
        <v/>
      </c>
    </row>
    <row r="269">
      <c r="A269" s="4" t="inlineStr">
        <is>
          <t>UNIT</t>
        </is>
      </c>
      <c r="B269" s="5" t="inlineStr">
        <is>
          <t>COUNTRYMARK_MOUNT_VERNON</t>
        </is>
      </c>
      <c r="C269" s="5" t="n">
        <v>2</v>
      </c>
      <c r="D269" s="5" t="inlineStr">
        <is>
          <t>FCC</t>
        </is>
      </c>
      <c r="E269" s="5" t="inlineStr">
        <is>
          <t>FCC</t>
        </is>
      </c>
      <c r="F269" s="6" t="n">
        <v>8.6</v>
      </c>
      <c r="G269" s="7" t="n"/>
      <c r="H269" s="8">
        <f>IF($G269&lt;&gt;"",$G269,SUMIFS(Assumptions!$K$4:$K$8,Assumptions!$J$4:$J$8,$C269))</f>
        <v/>
      </c>
      <c r="I269" s="7" t="n"/>
      <c r="J269" s="9">
        <f>IF($I269&lt;&gt;"",$I269,SUMIFS(Assumptions!$P$4:$P$93,Assumptions!$M$4:$M$93,$C269,Assumptions!$N$4:$N$93,$E269,Assumptions!$O$4:$O$93,"LVN"))</f>
        <v/>
      </c>
      <c r="K269" s="7" t="n"/>
      <c r="L269" s="9">
        <f>IF($K269&lt;&gt;"",$K269,SUMIFS(Assumptions!$P$4:$P$93,Assumptions!$M$4:$M$93,$C269,Assumptions!$N$4:$N$93,$E269,Assumptions!$O$4:$O$93,"HVN"))</f>
        <v/>
      </c>
      <c r="M269" s="9">
        <f>J269+L269</f>
        <v/>
      </c>
      <c r="N269" s="10">
        <f>$F269*$H269*$M269</f>
        <v/>
      </c>
    </row>
    <row r="270">
      <c r="A270" s="4" t="inlineStr">
        <is>
          <t>UNIT</t>
        </is>
      </c>
      <c r="B270" s="5" t="inlineStr">
        <is>
          <t>COUNTRYMARK_MOUNT_VERNON</t>
        </is>
      </c>
      <c r="C270" s="5" t="n">
        <v>2</v>
      </c>
      <c r="D270" s="5" t="inlineStr">
        <is>
          <t>CCR</t>
        </is>
      </c>
      <c r="E270" s="5" t="inlineStr">
        <is>
          <t>REFORMER</t>
        </is>
      </c>
      <c r="F270" s="6" t="n">
        <v>6.5</v>
      </c>
      <c r="G270" s="7" t="n"/>
      <c r="H270" s="8">
        <f>IF($G270&lt;&gt;"",$G270,SUMIFS(Assumptions!$K$4:$K$8,Assumptions!$J$4:$J$8,$C270))</f>
        <v/>
      </c>
      <c r="I270" s="7" t="n"/>
      <c r="J270" s="9">
        <f>IF($I270&lt;&gt;"",$I270,SUMIFS(Assumptions!$P$4:$P$93,Assumptions!$M$4:$M$93,$C270,Assumptions!$N$4:$N$93,$E270,Assumptions!$O$4:$O$93,"LVN"))</f>
        <v/>
      </c>
      <c r="K270" s="7" t="n"/>
      <c r="L270" s="9">
        <f>IF($K270&lt;&gt;"",$K270,SUMIFS(Assumptions!$P$4:$P$93,Assumptions!$M$4:$M$93,$C270,Assumptions!$N$4:$N$93,$E270,Assumptions!$O$4:$O$93,"HVN"))</f>
        <v/>
      </c>
      <c r="M270" s="9">
        <f>J270+L270</f>
        <v/>
      </c>
      <c r="N270" s="10">
        <f>$F270*$H270*$M270</f>
        <v/>
      </c>
    </row>
    <row r="271">
      <c r="A271" s="4" t="inlineStr">
        <is>
          <t>UNIT</t>
        </is>
      </c>
      <c r="B271" s="5" t="inlineStr">
        <is>
          <t>COUNTRYMARK_MOUNT_VERNON</t>
        </is>
      </c>
      <c r="C271" s="5" t="n">
        <v>2</v>
      </c>
      <c r="D271" s="5" t="inlineStr">
        <is>
          <t>ISOM</t>
        </is>
      </c>
      <c r="E271" s="5" t="inlineStr">
        <is>
          <t>ISOM</t>
        </is>
      </c>
      <c r="F271" s="6" t="n">
        <v>3.2</v>
      </c>
      <c r="G271" s="7" t="n"/>
      <c r="H271" s="8">
        <f>IF($G271&lt;&gt;"",$G271,SUMIFS(Assumptions!$K$4:$K$8,Assumptions!$J$4:$J$8,$C271))</f>
        <v/>
      </c>
      <c r="I271" s="7" t="n"/>
      <c r="J271" s="9">
        <f>IF($I271&lt;&gt;"",$I271,SUMIFS(Assumptions!$P$4:$P$93,Assumptions!$M$4:$M$93,$C271,Assumptions!$N$4:$N$93,$E271,Assumptions!$O$4:$O$93,"LVN"))</f>
        <v/>
      </c>
      <c r="K271" s="7" t="n"/>
      <c r="L271" s="9">
        <f>IF($K271&lt;&gt;"",$K271,SUMIFS(Assumptions!$P$4:$P$93,Assumptions!$M$4:$M$93,$C271,Assumptions!$N$4:$N$93,$E271,Assumptions!$O$4:$O$93,"HVN"))</f>
        <v/>
      </c>
      <c r="M271" s="9">
        <f>J271+L271</f>
        <v/>
      </c>
      <c r="N271" s="10">
        <f>$F271*$H271*$M271</f>
        <v/>
      </c>
    </row>
    <row r="272">
      <c r="A272" s="4" t="inlineStr">
        <is>
          <t>UNIT</t>
        </is>
      </c>
      <c r="B272" s="5" t="inlineStr">
        <is>
          <t>COUNTRYMARK_MOUNT_VERNON</t>
        </is>
      </c>
      <c r="C272" s="5" t="n">
        <v>2</v>
      </c>
      <c r="D272" s="5" t="inlineStr">
        <is>
          <t>ALKY</t>
        </is>
      </c>
      <c r="E272" s="5" t="inlineStr">
        <is>
          <t>ALKY</t>
        </is>
      </c>
      <c r="F272" s="6" t="n">
        <v>2.2</v>
      </c>
      <c r="G272" s="7" t="n"/>
      <c r="H272" s="8">
        <f>IF($G272&lt;&gt;"",$G272,SUMIFS(Assumptions!$K$4:$K$8,Assumptions!$J$4:$J$8,$C272))</f>
        <v/>
      </c>
      <c r="I272" s="7" t="n"/>
      <c r="J272" s="9">
        <f>IF($I272&lt;&gt;"",$I272,SUMIFS(Assumptions!$P$4:$P$93,Assumptions!$M$4:$M$93,$C272,Assumptions!$N$4:$N$93,$E272,Assumptions!$O$4:$O$93,"LVN"))</f>
        <v/>
      </c>
      <c r="K272" s="7" t="n"/>
      <c r="L272" s="9">
        <f>IF($K272&lt;&gt;"",$K272,SUMIFS(Assumptions!$P$4:$P$93,Assumptions!$M$4:$M$93,$C272,Assumptions!$N$4:$N$93,$E272,Assumptions!$O$4:$O$93,"HVN"))</f>
        <v/>
      </c>
      <c r="M272" s="9">
        <f>J272+L272</f>
        <v/>
      </c>
      <c r="N272" s="10">
        <f>$F272*$H272*$M272</f>
        <v/>
      </c>
    </row>
    <row r="273">
      <c r="A273" s="11" t="inlineStr">
        <is>
          <t>TOTAL</t>
        </is>
      </c>
      <c r="B273" s="12" t="inlineStr">
        <is>
          <t>COUNTRYMARK_MOUNT_VERNON</t>
        </is>
      </c>
      <c r="C273" s="12" t="n">
        <v>2</v>
      </c>
      <c r="D273" s="12" t="inlineStr">
        <is>
          <t>NET NAPHTHA</t>
        </is>
      </c>
      <c r="N273" s="13">
        <f>SUM(N267:N272)</f>
        <v/>
      </c>
    </row>
    <row r="275">
      <c r="A275" s="1" t="inlineStr">
        <is>
          <t xml:space="preserve">  Somerset Refinery Somerset  [SOMERSET_SOMERSET]   —   Continental Refining Company   —   PADD 2   —   crude: pending capacity sheet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</row>
    <row r="276">
      <c r="A276" s="4" t="inlineStr">
        <is>
          <t>UNIT</t>
        </is>
      </c>
      <c r="B276" s="5" t="inlineStr">
        <is>
          <t>SOMERSET_SOMERSET</t>
        </is>
      </c>
      <c r="C276" s="5" t="n">
        <v>2</v>
      </c>
      <c r="D276" s="5" t="inlineStr">
        <is>
          <t>CRUDE-EST</t>
        </is>
      </c>
      <c r="E276" s="5" t="inlineStr">
        <is>
          <t>est. yield</t>
        </is>
      </c>
      <c r="F276" s="14">
        <f>SUMIFS(Data!$G$3:$G$125,Data!$A$3:$A$125,$B276)</f>
        <v/>
      </c>
      <c r="G276" s="7" t="n"/>
      <c r="H276" s="8">
        <f>IF($G276&lt;&gt;"",$G276,SUMIFS(Assumptions!$K$4:$K$8,Assumptions!$J$4:$J$8,$C276))</f>
        <v/>
      </c>
      <c r="I276" s="7" t="n"/>
      <c r="J276" s="9">
        <f>IF($I276&lt;&gt;"",$I276,SUMIFS(Data!$N$3:$N$125,Data!$A$3:$A$125,$B276)*Assumptions!$S$4)</f>
        <v/>
      </c>
      <c r="K276" s="7" t="n"/>
      <c r="L276" s="9">
        <f>IF($K276&lt;&gt;"",$K276,SUMIFS(Data!$N$3:$N$125,Data!$A$3:$A$125,$B276)*Assumptions!$S$5)</f>
        <v/>
      </c>
      <c r="M276" s="9">
        <f>J276+L276</f>
        <v/>
      </c>
      <c r="N276" s="10">
        <f>$F276*$H276*$M276</f>
        <v/>
      </c>
    </row>
    <row r="277">
      <c r="A277" s="11" t="inlineStr">
        <is>
          <t>TOTAL</t>
        </is>
      </c>
      <c r="B277" s="12" t="inlineStr">
        <is>
          <t>SOMERSET_SOMERSET</t>
        </is>
      </c>
      <c r="C277" s="12" t="n">
        <v>2</v>
      </c>
      <c r="D277" s="12" t="inlineStr">
        <is>
          <t>NET NAPHTHA</t>
        </is>
      </c>
      <c r="N277" s="13">
        <f>SUM(N276:N276)</f>
        <v/>
      </c>
    </row>
    <row r="279">
      <c r="A279" s="1" t="inlineStr">
        <is>
          <t xml:space="preserve">  Galveston Bay Refinery  [MPC_GALV_BAY]   —   Marathon Petroleum   —   PADD 3   —   crude 665 kbd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</row>
    <row r="280">
      <c r="A280" s="4" t="inlineStr">
        <is>
          <t>UNIT</t>
        </is>
      </c>
      <c r="B280" s="5" t="inlineStr">
        <is>
          <t>MPC_GALV_BAY</t>
        </is>
      </c>
      <c r="C280" s="5" t="n">
        <v>3</v>
      </c>
      <c r="D280" s="5" t="inlineStr">
        <is>
          <t>CDU</t>
        </is>
      </c>
      <c r="E280" s="5" t="inlineStr">
        <is>
          <t>CDU</t>
        </is>
      </c>
      <c r="F280" s="6" t="n">
        <v>665</v>
      </c>
      <c r="G280" s="7" t="n">
        <v>0.885</v>
      </c>
      <c r="H280" s="8">
        <f>IF($G280&lt;&gt;"",$G280,SUMIFS(Assumptions!$K$4:$K$8,Assumptions!$J$4:$J$8,$C280))</f>
        <v/>
      </c>
      <c r="I280" s="7" t="n"/>
      <c r="J280" s="9">
        <f>IF($I280&lt;&gt;"",$I280,SUMIFS(Assumptions!$P$4:$P$93,Assumptions!$M$4:$M$93,$C280,Assumptions!$N$4:$N$93,$E280,Assumptions!$O$4:$O$93,"LVN"))</f>
        <v/>
      </c>
      <c r="K280" s="7" t="n"/>
      <c r="L280" s="9">
        <f>IF($K280&lt;&gt;"",$K280,SUMIFS(Assumptions!$P$4:$P$93,Assumptions!$M$4:$M$93,$C280,Assumptions!$N$4:$N$93,$E280,Assumptions!$O$4:$O$93,"HVN"))</f>
        <v/>
      </c>
      <c r="M280" s="9">
        <f>J280+L280</f>
        <v/>
      </c>
      <c r="N280" s="10">
        <f>$F280*$H280*$M280</f>
        <v/>
      </c>
    </row>
    <row r="281">
      <c r="A281" s="4" t="inlineStr">
        <is>
          <t>UNIT</t>
        </is>
      </c>
      <c r="B281" s="5" t="inlineStr">
        <is>
          <t>MPC_GALV_BAY</t>
        </is>
      </c>
      <c r="C281" s="5" t="n">
        <v>3</v>
      </c>
      <c r="D281" s="5" t="inlineStr">
        <is>
          <t>VDU</t>
        </is>
      </c>
      <c r="E281" s="5" t="inlineStr">
        <is>
          <t>VDU</t>
        </is>
      </c>
      <c r="F281" s="6" t="n">
        <v>259.5</v>
      </c>
      <c r="G281" s="7" t="n">
        <v>0.758</v>
      </c>
      <c r="H281" s="8">
        <f>IF($G281&lt;&gt;"",$G281,SUMIFS(Assumptions!$K$4:$K$8,Assumptions!$J$4:$J$8,$C281))</f>
        <v/>
      </c>
      <c r="I281" s="7" t="n"/>
      <c r="J281" s="9">
        <f>IF($I281&lt;&gt;"",$I281,SUMIFS(Assumptions!$P$4:$P$93,Assumptions!$M$4:$M$93,$C281,Assumptions!$N$4:$N$93,$E281,Assumptions!$O$4:$O$93,"LVN"))</f>
        <v/>
      </c>
      <c r="K281" s="7" t="n"/>
      <c r="L281" s="9">
        <f>IF($K281&lt;&gt;"",$K281,SUMIFS(Assumptions!$P$4:$P$93,Assumptions!$M$4:$M$93,$C281,Assumptions!$N$4:$N$93,$E281,Assumptions!$O$4:$O$93,"HVN"))</f>
        <v/>
      </c>
      <c r="M281" s="9">
        <f>J281+L281</f>
        <v/>
      </c>
      <c r="N281" s="10">
        <f>$F281*$H281*$M281</f>
        <v/>
      </c>
    </row>
    <row r="282">
      <c r="A282" s="4" t="inlineStr">
        <is>
          <t>UNIT</t>
        </is>
      </c>
      <c r="B282" s="5" t="inlineStr">
        <is>
          <t>MPC_GALV_BAY</t>
        </is>
      </c>
      <c r="C282" s="5" t="n">
        <v>3</v>
      </c>
      <c r="D282" s="5" t="inlineStr">
        <is>
          <t>FCC</t>
        </is>
      </c>
      <c r="E282" s="5" t="inlineStr">
        <is>
          <t>FCC</t>
        </is>
      </c>
      <c r="F282" s="6" t="n">
        <v>205.5</v>
      </c>
      <c r="G282" s="7" t="n">
        <v>0.783</v>
      </c>
      <c r="H282" s="8">
        <f>IF($G282&lt;&gt;"",$G282,SUMIFS(Assumptions!$K$4:$K$8,Assumptions!$J$4:$J$8,$C282))</f>
        <v/>
      </c>
      <c r="I282" s="7" t="n"/>
      <c r="J282" s="9">
        <f>IF($I282&lt;&gt;"",$I282,SUMIFS(Assumptions!$P$4:$P$93,Assumptions!$M$4:$M$93,$C282,Assumptions!$N$4:$N$93,$E282,Assumptions!$O$4:$O$93,"LVN"))</f>
        <v/>
      </c>
      <c r="K282" s="7" t="n"/>
      <c r="L282" s="9">
        <f>IF($K282&lt;&gt;"",$K282,SUMIFS(Assumptions!$P$4:$P$93,Assumptions!$M$4:$M$93,$C282,Assumptions!$N$4:$N$93,$E282,Assumptions!$O$4:$O$93,"HVN"))</f>
        <v/>
      </c>
      <c r="M282" s="9">
        <f>J282+L282</f>
        <v/>
      </c>
      <c r="N282" s="10">
        <f>$F282*$H282*$M282</f>
        <v/>
      </c>
    </row>
    <row r="283">
      <c r="A283" s="4" t="inlineStr">
        <is>
          <t>UNIT</t>
        </is>
      </c>
      <c r="B283" s="5" t="inlineStr">
        <is>
          <t>MPC_GALV_BAY</t>
        </is>
      </c>
      <c r="C283" s="5" t="n">
        <v>3</v>
      </c>
      <c r="D283" s="5" t="inlineStr">
        <is>
          <t>RHCU</t>
        </is>
      </c>
      <c r="E283" s="5" t="inlineStr">
        <is>
          <t>HYDROCRACKER</t>
        </is>
      </c>
      <c r="F283" s="6" t="n">
        <v>84.5</v>
      </c>
      <c r="G283" s="7" t="n">
        <v>0.592</v>
      </c>
      <c r="H283" s="8">
        <f>IF($G283&lt;&gt;"",$G283,SUMIFS(Assumptions!$K$4:$K$8,Assumptions!$J$4:$J$8,$C283))</f>
        <v/>
      </c>
      <c r="I283" s="7" t="n"/>
      <c r="J283" s="9">
        <f>IF($I283&lt;&gt;"",$I283,SUMIFS(Assumptions!$P$4:$P$93,Assumptions!$M$4:$M$93,$C283,Assumptions!$N$4:$N$93,$E283,Assumptions!$O$4:$O$93,"LVN"))</f>
        <v/>
      </c>
      <c r="K283" s="7" t="n"/>
      <c r="L283" s="9">
        <f>IF($K283&lt;&gt;"",$K283,SUMIFS(Assumptions!$P$4:$P$93,Assumptions!$M$4:$M$93,$C283,Assumptions!$N$4:$N$93,$E283,Assumptions!$O$4:$O$93,"HVN"))</f>
        <v/>
      </c>
      <c r="M283" s="9">
        <f>J283+L283</f>
        <v/>
      </c>
      <c r="N283" s="10">
        <f>$F283*$H283*$M283</f>
        <v/>
      </c>
    </row>
    <row r="284">
      <c r="A284" s="4" t="inlineStr">
        <is>
          <t>UNIT</t>
        </is>
      </c>
      <c r="B284" s="5" t="inlineStr">
        <is>
          <t>MPC_GALV_BAY</t>
        </is>
      </c>
      <c r="C284" s="5" t="n">
        <v>3</v>
      </c>
      <c r="D284" s="5" t="inlineStr">
        <is>
          <t>DHCU</t>
        </is>
      </c>
      <c r="E284" s="5" t="inlineStr">
        <is>
          <t>HYDROCRACKER</t>
        </is>
      </c>
      <c r="F284" s="6" t="n">
        <v>78.5</v>
      </c>
      <c r="G284" s="7" t="n">
        <v>0.9379999999999999</v>
      </c>
      <c r="H284" s="8">
        <f>IF($G284&lt;&gt;"",$G284,SUMIFS(Assumptions!$K$4:$K$8,Assumptions!$J$4:$J$8,$C284))</f>
        <v/>
      </c>
      <c r="I284" s="7" t="n"/>
      <c r="J284" s="9">
        <f>IF($I284&lt;&gt;"",$I284,SUMIFS(Assumptions!$P$4:$P$93,Assumptions!$M$4:$M$93,$C284,Assumptions!$N$4:$N$93,$E284,Assumptions!$O$4:$O$93,"LVN"))</f>
        <v/>
      </c>
      <c r="K284" s="7" t="n"/>
      <c r="L284" s="9">
        <f>IF($K284&lt;&gt;"",$K284,SUMIFS(Assumptions!$P$4:$P$93,Assumptions!$M$4:$M$93,$C284,Assumptions!$N$4:$N$93,$E284,Assumptions!$O$4:$O$93,"HVN"))</f>
        <v/>
      </c>
      <c r="M284" s="9">
        <f>J284+L284</f>
        <v/>
      </c>
      <c r="N284" s="10">
        <f>$F284*$H284*$M284</f>
        <v/>
      </c>
    </row>
    <row r="285">
      <c r="A285" s="4" t="inlineStr">
        <is>
          <t>UNIT</t>
        </is>
      </c>
      <c r="B285" s="5" t="inlineStr">
        <is>
          <t>MPC_GALV_BAY</t>
        </is>
      </c>
      <c r="C285" s="5" t="n">
        <v>3</v>
      </c>
      <c r="D285" s="5" t="inlineStr">
        <is>
          <t>COKER</t>
        </is>
      </c>
      <c r="E285" s="5" t="inlineStr">
        <is>
          <t>COKER</t>
        </is>
      </c>
      <c r="F285" s="6" t="n">
        <v>33</v>
      </c>
      <c r="G285" s="7" t="n">
        <v>0.505</v>
      </c>
      <c r="H285" s="8">
        <f>IF($G285&lt;&gt;"",$G285,SUMIFS(Assumptions!$K$4:$K$8,Assumptions!$J$4:$J$8,$C285))</f>
        <v/>
      </c>
      <c r="I285" s="7" t="n"/>
      <c r="J285" s="9">
        <f>IF($I285&lt;&gt;"",$I285,SUMIFS(Assumptions!$P$4:$P$93,Assumptions!$M$4:$M$93,$C285,Assumptions!$N$4:$N$93,$E285,Assumptions!$O$4:$O$93,"LVN"))</f>
        <v/>
      </c>
      <c r="K285" s="7" t="n"/>
      <c r="L285" s="9">
        <f>IF($K285&lt;&gt;"",$K285,SUMIFS(Assumptions!$P$4:$P$93,Assumptions!$M$4:$M$93,$C285,Assumptions!$N$4:$N$93,$E285,Assumptions!$O$4:$O$93,"HVN"))</f>
        <v/>
      </c>
      <c r="M285" s="9">
        <f>J285+L285</f>
        <v/>
      </c>
      <c r="N285" s="10">
        <f>$F285*$H285*$M285</f>
        <v/>
      </c>
    </row>
    <row r="286">
      <c r="A286" s="4" t="inlineStr">
        <is>
          <t>UNIT</t>
        </is>
      </c>
      <c r="B286" s="5" t="inlineStr">
        <is>
          <t>MPC_GALV_BAY</t>
        </is>
      </c>
      <c r="C286" s="5" t="n">
        <v>3</v>
      </c>
      <c r="D286" s="5" t="inlineStr">
        <is>
          <t>CCR</t>
        </is>
      </c>
      <c r="E286" s="5" t="inlineStr">
        <is>
          <t>REFORMER</t>
        </is>
      </c>
      <c r="F286" s="6" t="n">
        <v>144.5</v>
      </c>
      <c r="G286" s="7" t="n">
        <v>0.891</v>
      </c>
      <c r="H286" s="8">
        <f>IF($G286&lt;&gt;"",$G286,SUMIFS(Assumptions!$K$4:$K$8,Assumptions!$J$4:$J$8,$C286))</f>
        <v/>
      </c>
      <c r="I286" s="7" t="n"/>
      <c r="J286" s="9">
        <f>IF($I286&lt;&gt;"",$I286,SUMIFS(Assumptions!$P$4:$P$93,Assumptions!$M$4:$M$93,$C286,Assumptions!$N$4:$N$93,$E286,Assumptions!$O$4:$O$93,"LVN"))</f>
        <v/>
      </c>
      <c r="K286" s="7" t="n"/>
      <c r="L286" s="9">
        <f>IF($K286&lt;&gt;"",$K286,SUMIFS(Assumptions!$P$4:$P$93,Assumptions!$M$4:$M$93,$C286,Assumptions!$N$4:$N$93,$E286,Assumptions!$O$4:$O$93,"HVN"))</f>
        <v/>
      </c>
      <c r="M286" s="9">
        <f>J286+L286</f>
        <v/>
      </c>
      <c r="N286" s="10">
        <f>$F286*$H286*$M286</f>
        <v/>
      </c>
    </row>
    <row r="287">
      <c r="A287" s="4" t="inlineStr">
        <is>
          <t>UNIT</t>
        </is>
      </c>
      <c r="B287" s="5" t="inlineStr">
        <is>
          <t>MPC_GALV_BAY</t>
        </is>
      </c>
      <c r="C287" s="5" t="n">
        <v>3</v>
      </c>
      <c r="D287" s="5" t="inlineStr">
        <is>
          <t>ALKY</t>
        </is>
      </c>
      <c r="E287" s="5" t="inlineStr">
        <is>
          <t>ALKY</t>
        </is>
      </c>
      <c r="F287" s="6" t="n">
        <v>61</v>
      </c>
      <c r="G287" s="7" t="n">
        <v>1.1</v>
      </c>
      <c r="H287" s="8">
        <f>IF($G287&lt;&gt;"",$G287,SUMIFS(Assumptions!$K$4:$K$8,Assumptions!$J$4:$J$8,$C287))</f>
        <v/>
      </c>
      <c r="I287" s="7" t="n"/>
      <c r="J287" s="9">
        <f>IF($I287&lt;&gt;"",$I287,SUMIFS(Assumptions!$P$4:$P$93,Assumptions!$M$4:$M$93,$C287,Assumptions!$N$4:$N$93,$E287,Assumptions!$O$4:$O$93,"LVN"))</f>
        <v/>
      </c>
      <c r="K287" s="7" t="n"/>
      <c r="L287" s="9">
        <f>IF($K287&lt;&gt;"",$K287,SUMIFS(Assumptions!$P$4:$P$93,Assumptions!$M$4:$M$93,$C287,Assumptions!$N$4:$N$93,$E287,Assumptions!$O$4:$O$93,"HVN"))</f>
        <v/>
      </c>
      <c r="M287" s="9">
        <f>J287+L287</f>
        <v/>
      </c>
      <c r="N287" s="10">
        <f>$F287*$H287*$M287</f>
        <v/>
      </c>
    </row>
    <row r="288">
      <c r="A288" s="11" t="inlineStr">
        <is>
          <t>TOTAL</t>
        </is>
      </c>
      <c r="B288" s="12" t="inlineStr">
        <is>
          <t>MPC_GALV_BAY</t>
        </is>
      </c>
      <c r="C288" s="12" t="n">
        <v>3</v>
      </c>
      <c r="D288" s="12" t="inlineStr">
        <is>
          <t>NET NAPHTHA</t>
        </is>
      </c>
      <c r="N288" s="13">
        <f>SUM(N280:N287)</f>
        <v/>
      </c>
    </row>
    <row r="290">
      <c r="A290" s="1" t="inlineStr">
        <is>
          <t xml:space="preserve">  Motiva Port Arthur  [MOTIVA_PAR]   —   Saudi Aramco   —   PADD 3   —   crude 640 kbd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</row>
    <row r="291">
      <c r="A291" s="4" t="inlineStr">
        <is>
          <t>UNIT</t>
        </is>
      </c>
      <c r="B291" s="5" t="inlineStr">
        <is>
          <t>MOTIVA_PAR</t>
        </is>
      </c>
      <c r="C291" s="5" t="n">
        <v>3</v>
      </c>
      <c r="D291" s="5" t="inlineStr">
        <is>
          <t>CDU</t>
        </is>
      </c>
      <c r="E291" s="5" t="inlineStr">
        <is>
          <t>CDU</t>
        </is>
      </c>
      <c r="F291" s="6" t="n">
        <v>654</v>
      </c>
      <c r="G291" s="7" t="n">
        <v>0.944</v>
      </c>
      <c r="H291" s="8">
        <f>IF($G291&lt;&gt;"",$G291,SUMIFS(Assumptions!$K$4:$K$8,Assumptions!$J$4:$J$8,$C291))</f>
        <v/>
      </c>
      <c r="I291" s="7" t="n"/>
      <c r="J291" s="9">
        <f>IF($I291&lt;&gt;"",$I291,SUMIFS(Assumptions!$P$4:$P$93,Assumptions!$M$4:$M$93,$C291,Assumptions!$N$4:$N$93,$E291,Assumptions!$O$4:$O$93,"LVN"))</f>
        <v/>
      </c>
      <c r="K291" s="7" t="n"/>
      <c r="L291" s="9">
        <f>IF($K291&lt;&gt;"",$K291,SUMIFS(Assumptions!$P$4:$P$93,Assumptions!$M$4:$M$93,$C291,Assumptions!$N$4:$N$93,$E291,Assumptions!$O$4:$O$93,"HVN"))</f>
        <v/>
      </c>
      <c r="M291" s="9">
        <f>J291+L291</f>
        <v/>
      </c>
      <c r="N291" s="10">
        <f>$F291*$H291*$M291</f>
        <v/>
      </c>
    </row>
    <row r="292">
      <c r="A292" s="4" t="inlineStr">
        <is>
          <t>UNIT</t>
        </is>
      </c>
      <c r="B292" s="5" t="inlineStr">
        <is>
          <t>MOTIVA_PAR</t>
        </is>
      </c>
      <c r="C292" s="5" t="n">
        <v>3</v>
      </c>
      <c r="D292" s="5" t="inlineStr">
        <is>
          <t>VDU</t>
        </is>
      </c>
      <c r="E292" s="5" t="inlineStr">
        <is>
          <t>VDU</t>
        </is>
      </c>
      <c r="F292" s="6" t="n">
        <v>331.8</v>
      </c>
      <c r="G292" s="7" t="n">
        <v>0.739</v>
      </c>
      <c r="H292" s="8">
        <f>IF($G292&lt;&gt;"",$G292,SUMIFS(Assumptions!$K$4:$K$8,Assumptions!$J$4:$J$8,$C292))</f>
        <v/>
      </c>
      <c r="I292" s="7" t="n"/>
      <c r="J292" s="9">
        <f>IF($I292&lt;&gt;"",$I292,SUMIFS(Assumptions!$P$4:$P$93,Assumptions!$M$4:$M$93,$C292,Assumptions!$N$4:$N$93,$E292,Assumptions!$O$4:$O$93,"LVN"))</f>
        <v/>
      </c>
      <c r="K292" s="7" t="n"/>
      <c r="L292" s="9">
        <f>IF($K292&lt;&gt;"",$K292,SUMIFS(Assumptions!$P$4:$P$93,Assumptions!$M$4:$M$93,$C292,Assumptions!$N$4:$N$93,$E292,Assumptions!$O$4:$O$93,"HVN"))</f>
        <v/>
      </c>
      <c r="M292" s="9">
        <f>J292+L292</f>
        <v/>
      </c>
      <c r="N292" s="10">
        <f>$F292*$H292*$M292</f>
        <v/>
      </c>
    </row>
    <row r="293">
      <c r="A293" s="4" t="inlineStr">
        <is>
          <t>UNIT</t>
        </is>
      </c>
      <c r="B293" s="5" t="inlineStr">
        <is>
          <t>MOTIVA_PAR</t>
        </is>
      </c>
      <c r="C293" s="5" t="n">
        <v>3</v>
      </c>
      <c r="D293" s="5" t="inlineStr">
        <is>
          <t>FCC</t>
        </is>
      </c>
      <c r="E293" s="5" t="inlineStr">
        <is>
          <t>FCC</t>
        </is>
      </c>
      <c r="F293" s="6" t="n">
        <v>92.59999999999999</v>
      </c>
      <c r="G293" s="7" t="n">
        <v>0.746</v>
      </c>
      <c r="H293" s="8">
        <f>IF($G293&lt;&gt;"",$G293,SUMIFS(Assumptions!$K$4:$K$8,Assumptions!$J$4:$J$8,$C293))</f>
        <v/>
      </c>
      <c r="I293" s="7" t="n"/>
      <c r="J293" s="9">
        <f>IF($I293&lt;&gt;"",$I293,SUMIFS(Assumptions!$P$4:$P$93,Assumptions!$M$4:$M$93,$C293,Assumptions!$N$4:$N$93,$E293,Assumptions!$O$4:$O$93,"LVN"))</f>
        <v/>
      </c>
      <c r="K293" s="7" t="n"/>
      <c r="L293" s="9">
        <f>IF($K293&lt;&gt;"",$K293,SUMIFS(Assumptions!$P$4:$P$93,Assumptions!$M$4:$M$93,$C293,Assumptions!$N$4:$N$93,$E293,Assumptions!$O$4:$O$93,"HVN"))</f>
        <v/>
      </c>
      <c r="M293" s="9">
        <f>J293+L293</f>
        <v/>
      </c>
      <c r="N293" s="10">
        <f>$F293*$H293*$M293</f>
        <v/>
      </c>
    </row>
    <row r="294">
      <c r="A294" s="4" t="inlineStr">
        <is>
          <t>UNIT</t>
        </is>
      </c>
      <c r="B294" s="5" t="inlineStr">
        <is>
          <t>MOTIVA_PAR</t>
        </is>
      </c>
      <c r="C294" s="5" t="n">
        <v>3</v>
      </c>
      <c r="D294" s="5" t="inlineStr">
        <is>
          <t>DHCU</t>
        </is>
      </c>
      <c r="E294" s="5" t="inlineStr">
        <is>
          <t>HYDROCRACKER</t>
        </is>
      </c>
      <c r="F294" s="6" t="n">
        <v>112</v>
      </c>
      <c r="G294" s="7" t="n">
        <v>0.766</v>
      </c>
      <c r="H294" s="8">
        <f>IF($G294&lt;&gt;"",$G294,SUMIFS(Assumptions!$K$4:$K$8,Assumptions!$J$4:$J$8,$C294))</f>
        <v/>
      </c>
      <c r="I294" s="7" t="n"/>
      <c r="J294" s="9">
        <f>IF($I294&lt;&gt;"",$I294,SUMIFS(Assumptions!$P$4:$P$93,Assumptions!$M$4:$M$93,$C294,Assumptions!$N$4:$N$93,$E294,Assumptions!$O$4:$O$93,"LVN"))</f>
        <v/>
      </c>
      <c r="K294" s="7" t="n"/>
      <c r="L294" s="9">
        <f>IF($K294&lt;&gt;"",$K294,SUMIFS(Assumptions!$P$4:$P$93,Assumptions!$M$4:$M$93,$C294,Assumptions!$N$4:$N$93,$E294,Assumptions!$O$4:$O$93,"HVN"))</f>
        <v/>
      </c>
      <c r="M294" s="9">
        <f>J294+L294</f>
        <v/>
      </c>
      <c r="N294" s="10">
        <f>$F294*$H294*$M294</f>
        <v/>
      </c>
    </row>
    <row r="295">
      <c r="A295" s="4" t="inlineStr">
        <is>
          <t>UNIT</t>
        </is>
      </c>
      <c r="B295" s="5" t="inlineStr">
        <is>
          <t>MOTIVA_PAR</t>
        </is>
      </c>
      <c r="C295" s="5" t="n">
        <v>3</v>
      </c>
      <c r="D295" s="5" t="inlineStr">
        <is>
          <t>COKER</t>
        </is>
      </c>
      <c r="E295" s="5" t="inlineStr">
        <is>
          <t>COKER</t>
        </is>
      </c>
      <c r="F295" s="6" t="n">
        <v>178</v>
      </c>
      <c r="G295" s="7" t="n">
        <v>0.613</v>
      </c>
      <c r="H295" s="8">
        <f>IF($G295&lt;&gt;"",$G295,SUMIFS(Assumptions!$K$4:$K$8,Assumptions!$J$4:$J$8,$C295))</f>
        <v/>
      </c>
      <c r="I295" s="7" t="n"/>
      <c r="J295" s="9">
        <f>IF($I295&lt;&gt;"",$I295,SUMIFS(Assumptions!$P$4:$P$93,Assumptions!$M$4:$M$93,$C295,Assumptions!$N$4:$N$93,$E295,Assumptions!$O$4:$O$93,"LVN"))</f>
        <v/>
      </c>
      <c r="K295" s="7" t="n"/>
      <c r="L295" s="9">
        <f>IF($K295&lt;&gt;"",$K295,SUMIFS(Assumptions!$P$4:$P$93,Assumptions!$M$4:$M$93,$C295,Assumptions!$N$4:$N$93,$E295,Assumptions!$O$4:$O$93,"HVN"))</f>
        <v/>
      </c>
      <c r="M295" s="9">
        <f>J295+L295</f>
        <v/>
      </c>
      <c r="N295" s="10">
        <f>$F295*$H295*$M295</f>
        <v/>
      </c>
    </row>
    <row r="296">
      <c r="A296" s="4" t="inlineStr">
        <is>
          <t>UNIT</t>
        </is>
      </c>
      <c r="B296" s="5" t="inlineStr">
        <is>
          <t>MOTIVA_PAR</t>
        </is>
      </c>
      <c r="C296" s="5" t="n">
        <v>3</v>
      </c>
      <c r="D296" s="5" t="inlineStr">
        <is>
          <t>CCR</t>
        </is>
      </c>
      <c r="E296" s="5" t="inlineStr">
        <is>
          <t>REFORMER</t>
        </is>
      </c>
      <c r="F296" s="6" t="n">
        <v>129.5</v>
      </c>
      <c r="G296" s="7" t="n">
        <v>0.971</v>
      </c>
      <c r="H296" s="8">
        <f>IF($G296&lt;&gt;"",$G296,SUMIFS(Assumptions!$K$4:$K$8,Assumptions!$J$4:$J$8,$C296))</f>
        <v/>
      </c>
      <c r="I296" s="7" t="n"/>
      <c r="J296" s="9">
        <f>IF($I296&lt;&gt;"",$I296,SUMIFS(Assumptions!$P$4:$P$93,Assumptions!$M$4:$M$93,$C296,Assumptions!$N$4:$N$93,$E296,Assumptions!$O$4:$O$93,"LVN"))</f>
        <v/>
      </c>
      <c r="K296" s="7" t="n"/>
      <c r="L296" s="9">
        <f>IF($K296&lt;&gt;"",$K296,SUMIFS(Assumptions!$P$4:$P$93,Assumptions!$M$4:$M$93,$C296,Assumptions!$N$4:$N$93,$E296,Assumptions!$O$4:$O$93,"HVN"))</f>
        <v/>
      </c>
      <c r="M296" s="9">
        <f>J296+L296</f>
        <v/>
      </c>
      <c r="N296" s="10">
        <f>$F296*$H296*$M296</f>
        <v/>
      </c>
    </row>
    <row r="297">
      <c r="A297" s="4" t="inlineStr">
        <is>
          <t>UNIT</t>
        </is>
      </c>
      <c r="B297" s="5" t="inlineStr">
        <is>
          <t>MOTIVA_PAR</t>
        </is>
      </c>
      <c r="C297" s="5" t="n">
        <v>3</v>
      </c>
      <c r="D297" s="5" t="inlineStr">
        <is>
          <t>ISOM</t>
        </is>
      </c>
      <c r="E297" s="5" t="inlineStr">
        <is>
          <t>ISOM</t>
        </is>
      </c>
      <c r="F297" s="6" t="n">
        <v>49.14</v>
      </c>
      <c r="G297" s="7" t="n">
        <v>0.859</v>
      </c>
      <c r="H297" s="8">
        <f>IF($G297&lt;&gt;"",$G297,SUMIFS(Assumptions!$K$4:$K$8,Assumptions!$J$4:$J$8,$C297))</f>
        <v/>
      </c>
      <c r="I297" s="7" t="n"/>
      <c r="J297" s="9">
        <f>IF($I297&lt;&gt;"",$I297,SUMIFS(Assumptions!$P$4:$P$93,Assumptions!$M$4:$M$93,$C297,Assumptions!$N$4:$N$93,$E297,Assumptions!$O$4:$O$93,"LVN"))</f>
        <v/>
      </c>
      <c r="K297" s="7" t="n"/>
      <c r="L297" s="9">
        <f>IF($K297&lt;&gt;"",$K297,SUMIFS(Assumptions!$P$4:$P$93,Assumptions!$M$4:$M$93,$C297,Assumptions!$N$4:$N$93,$E297,Assumptions!$O$4:$O$93,"HVN"))</f>
        <v/>
      </c>
      <c r="M297" s="9">
        <f>J297+L297</f>
        <v/>
      </c>
      <c r="N297" s="10">
        <f>$F297*$H297*$M297</f>
        <v/>
      </c>
    </row>
    <row r="298">
      <c r="A298" s="4" t="inlineStr">
        <is>
          <t>UNIT</t>
        </is>
      </c>
      <c r="B298" s="5" t="inlineStr">
        <is>
          <t>MOTIVA_PAR</t>
        </is>
      </c>
      <c r="C298" s="5" t="n">
        <v>3</v>
      </c>
      <c r="D298" s="5" t="inlineStr">
        <is>
          <t>ALKY</t>
        </is>
      </c>
      <c r="E298" s="5" t="inlineStr">
        <is>
          <t>ALKY</t>
        </is>
      </c>
      <c r="F298" s="6" t="n">
        <v>20.5</v>
      </c>
      <c r="G298" s="7" t="n">
        <v>1.001</v>
      </c>
      <c r="H298" s="8">
        <f>IF($G298&lt;&gt;"",$G298,SUMIFS(Assumptions!$K$4:$K$8,Assumptions!$J$4:$J$8,$C298))</f>
        <v/>
      </c>
      <c r="I298" s="7" t="n"/>
      <c r="J298" s="9">
        <f>IF($I298&lt;&gt;"",$I298,SUMIFS(Assumptions!$P$4:$P$93,Assumptions!$M$4:$M$93,$C298,Assumptions!$N$4:$N$93,$E298,Assumptions!$O$4:$O$93,"LVN"))</f>
        <v/>
      </c>
      <c r="K298" s="7" t="n"/>
      <c r="L298" s="9">
        <f>IF($K298&lt;&gt;"",$K298,SUMIFS(Assumptions!$P$4:$P$93,Assumptions!$M$4:$M$93,$C298,Assumptions!$N$4:$N$93,$E298,Assumptions!$O$4:$O$93,"HVN"))</f>
        <v/>
      </c>
      <c r="M298" s="9">
        <f>J298+L298</f>
        <v/>
      </c>
      <c r="N298" s="10">
        <f>$F298*$H298*$M298</f>
        <v/>
      </c>
    </row>
    <row r="299">
      <c r="A299" s="11" t="inlineStr">
        <is>
          <t>TOTAL</t>
        </is>
      </c>
      <c r="B299" s="12" t="inlineStr">
        <is>
          <t>MOTIVA_PAR</t>
        </is>
      </c>
      <c r="C299" s="12" t="n">
        <v>3</v>
      </c>
      <c r="D299" s="12" t="inlineStr">
        <is>
          <t>NET NAPHTHA</t>
        </is>
      </c>
      <c r="N299" s="13">
        <f>SUM(N291:N298)</f>
        <v/>
      </c>
    </row>
    <row r="301">
      <c r="A301" s="1" t="inlineStr">
        <is>
          <t xml:space="preserve">  ExxonMobil Beaumont  [EXXONMOBIL_BEAUMONT]   —   ExxonMobil   —   PADD 3   —   crude 634 kbd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</row>
    <row r="302">
      <c r="A302" s="4" t="inlineStr">
        <is>
          <t>UNIT</t>
        </is>
      </c>
      <c r="B302" s="5" t="inlineStr">
        <is>
          <t>EXXONMOBIL_BEAUMONT</t>
        </is>
      </c>
      <c r="C302" s="5" t="n">
        <v>3</v>
      </c>
      <c r="D302" s="5" t="inlineStr">
        <is>
          <t>CDU</t>
        </is>
      </c>
      <c r="E302" s="5" t="inlineStr">
        <is>
          <t>CDU</t>
        </is>
      </c>
      <c r="F302" s="6" t="n">
        <v>634.4</v>
      </c>
      <c r="G302" s="7" t="n">
        <v>1.1</v>
      </c>
      <c r="H302" s="8">
        <f>IF($G302&lt;&gt;"",$G302,SUMIFS(Assumptions!$K$4:$K$8,Assumptions!$J$4:$J$8,$C302))</f>
        <v/>
      </c>
      <c r="I302" s="7" t="n"/>
      <c r="J302" s="9">
        <f>IF($I302&lt;&gt;"",$I302,SUMIFS(Assumptions!$P$4:$P$93,Assumptions!$M$4:$M$93,$C302,Assumptions!$N$4:$N$93,$E302,Assumptions!$O$4:$O$93,"LVN"))</f>
        <v/>
      </c>
      <c r="K302" s="7" t="n"/>
      <c r="L302" s="9">
        <f>IF($K302&lt;&gt;"",$K302,SUMIFS(Assumptions!$P$4:$P$93,Assumptions!$M$4:$M$93,$C302,Assumptions!$N$4:$N$93,$E302,Assumptions!$O$4:$O$93,"HVN"))</f>
        <v/>
      </c>
      <c r="M302" s="9">
        <f>J302+L302</f>
        <v/>
      </c>
      <c r="N302" s="10">
        <f>$F302*$H302*$M302</f>
        <v/>
      </c>
    </row>
    <row r="303">
      <c r="A303" s="4" t="inlineStr">
        <is>
          <t>UNIT</t>
        </is>
      </c>
      <c r="B303" s="5" t="inlineStr">
        <is>
          <t>EXXONMOBIL_BEAUMONT</t>
        </is>
      </c>
      <c r="C303" s="5" t="n">
        <v>3</v>
      </c>
      <c r="D303" s="5" t="inlineStr">
        <is>
          <t>VDU</t>
        </is>
      </c>
      <c r="E303" s="5" t="inlineStr">
        <is>
          <t>VDU</t>
        </is>
      </c>
      <c r="F303" s="6" t="n">
        <v>148.8</v>
      </c>
      <c r="G303" s="7" t="n">
        <v>0.922</v>
      </c>
      <c r="H303" s="8">
        <f>IF($G303&lt;&gt;"",$G303,SUMIFS(Assumptions!$K$4:$K$8,Assumptions!$J$4:$J$8,$C303))</f>
        <v/>
      </c>
      <c r="I303" s="7" t="n"/>
      <c r="J303" s="9">
        <f>IF($I303&lt;&gt;"",$I303,SUMIFS(Assumptions!$P$4:$P$93,Assumptions!$M$4:$M$93,$C303,Assumptions!$N$4:$N$93,$E303,Assumptions!$O$4:$O$93,"LVN"))</f>
        <v/>
      </c>
      <c r="K303" s="7" t="n"/>
      <c r="L303" s="9">
        <f>IF($K303&lt;&gt;"",$K303,SUMIFS(Assumptions!$P$4:$P$93,Assumptions!$M$4:$M$93,$C303,Assumptions!$N$4:$N$93,$E303,Assumptions!$O$4:$O$93,"HVN"))</f>
        <v/>
      </c>
      <c r="M303" s="9">
        <f>J303+L303</f>
        <v/>
      </c>
      <c r="N303" s="10">
        <f>$F303*$H303*$M303</f>
        <v/>
      </c>
    </row>
    <row r="304">
      <c r="A304" s="4" t="inlineStr">
        <is>
          <t>UNIT</t>
        </is>
      </c>
      <c r="B304" s="5" t="inlineStr">
        <is>
          <t>EXXONMOBIL_BEAUMONT</t>
        </is>
      </c>
      <c r="C304" s="5" t="n">
        <v>3</v>
      </c>
      <c r="D304" s="5" t="inlineStr">
        <is>
          <t>FCC</t>
        </is>
      </c>
      <c r="E304" s="5" t="inlineStr">
        <is>
          <t>FCC</t>
        </is>
      </c>
      <c r="F304" s="6" t="n">
        <v>115</v>
      </c>
      <c r="G304" s="7" t="n"/>
      <c r="H304" s="8">
        <f>IF($G304&lt;&gt;"",$G304,SUMIFS(Assumptions!$K$4:$K$8,Assumptions!$J$4:$J$8,$C304))</f>
        <v/>
      </c>
      <c r="I304" s="7" t="n"/>
      <c r="J304" s="9">
        <f>IF($I304&lt;&gt;"",$I304,SUMIFS(Assumptions!$P$4:$P$93,Assumptions!$M$4:$M$93,$C304,Assumptions!$N$4:$N$93,$E304,Assumptions!$O$4:$O$93,"LVN"))</f>
        <v/>
      </c>
      <c r="K304" s="7" t="n"/>
      <c r="L304" s="9">
        <f>IF($K304&lt;&gt;"",$K304,SUMIFS(Assumptions!$P$4:$P$93,Assumptions!$M$4:$M$93,$C304,Assumptions!$N$4:$N$93,$E304,Assumptions!$O$4:$O$93,"HVN"))</f>
        <v/>
      </c>
      <c r="M304" s="9">
        <f>J304+L304</f>
        <v/>
      </c>
      <c r="N304" s="10">
        <f>$F304*$H304*$M304</f>
        <v/>
      </c>
    </row>
    <row r="305">
      <c r="A305" s="4" t="inlineStr">
        <is>
          <t>UNIT</t>
        </is>
      </c>
      <c r="B305" s="5" t="inlineStr">
        <is>
          <t>EXXONMOBIL_BEAUMONT</t>
        </is>
      </c>
      <c r="C305" s="5" t="n">
        <v>3</v>
      </c>
      <c r="D305" s="5" t="inlineStr">
        <is>
          <t>DHCU</t>
        </is>
      </c>
      <c r="E305" s="5" t="inlineStr">
        <is>
          <t>HYDROCRACKER</t>
        </is>
      </c>
      <c r="F305" s="6" t="n">
        <v>70</v>
      </c>
      <c r="G305" s="7" t="n">
        <v>0.957</v>
      </c>
      <c r="H305" s="8">
        <f>IF($G305&lt;&gt;"",$G305,SUMIFS(Assumptions!$K$4:$K$8,Assumptions!$J$4:$J$8,$C305))</f>
        <v/>
      </c>
      <c r="I305" s="7" t="n"/>
      <c r="J305" s="9">
        <f>IF($I305&lt;&gt;"",$I305,SUMIFS(Assumptions!$P$4:$P$93,Assumptions!$M$4:$M$93,$C305,Assumptions!$N$4:$N$93,$E305,Assumptions!$O$4:$O$93,"LVN"))</f>
        <v/>
      </c>
      <c r="K305" s="7" t="n"/>
      <c r="L305" s="9">
        <f>IF($K305&lt;&gt;"",$K305,SUMIFS(Assumptions!$P$4:$P$93,Assumptions!$M$4:$M$93,$C305,Assumptions!$N$4:$N$93,$E305,Assumptions!$O$4:$O$93,"HVN"))</f>
        <v/>
      </c>
      <c r="M305" s="9">
        <f>J305+L305</f>
        <v/>
      </c>
      <c r="N305" s="10">
        <f>$F305*$H305*$M305</f>
        <v/>
      </c>
    </row>
    <row r="306">
      <c r="A306" s="4" t="inlineStr">
        <is>
          <t>UNIT</t>
        </is>
      </c>
      <c r="B306" s="5" t="inlineStr">
        <is>
          <t>EXXONMOBIL_BEAUMONT</t>
        </is>
      </c>
      <c r="C306" s="5" t="n">
        <v>3</v>
      </c>
      <c r="D306" s="5" t="inlineStr">
        <is>
          <t>COKER</t>
        </is>
      </c>
      <c r="E306" s="5" t="inlineStr">
        <is>
          <t>COKER</t>
        </is>
      </c>
      <c r="F306" s="6" t="n">
        <v>46.5</v>
      </c>
      <c r="G306" s="7" t="n">
        <v>0.981</v>
      </c>
      <c r="H306" s="8">
        <f>IF($G306&lt;&gt;"",$G306,SUMIFS(Assumptions!$K$4:$K$8,Assumptions!$J$4:$J$8,$C306))</f>
        <v/>
      </c>
      <c r="I306" s="7" t="n"/>
      <c r="J306" s="9">
        <f>IF($I306&lt;&gt;"",$I306,SUMIFS(Assumptions!$P$4:$P$93,Assumptions!$M$4:$M$93,$C306,Assumptions!$N$4:$N$93,$E306,Assumptions!$O$4:$O$93,"LVN"))</f>
        <v/>
      </c>
      <c r="K306" s="7" t="n"/>
      <c r="L306" s="9">
        <f>IF($K306&lt;&gt;"",$K306,SUMIFS(Assumptions!$P$4:$P$93,Assumptions!$M$4:$M$93,$C306,Assumptions!$N$4:$N$93,$E306,Assumptions!$O$4:$O$93,"HVN"))</f>
        <v/>
      </c>
      <c r="M306" s="9">
        <f>J306+L306</f>
        <v/>
      </c>
      <c r="N306" s="10">
        <f>$F306*$H306*$M306</f>
        <v/>
      </c>
    </row>
    <row r="307">
      <c r="A307" s="4" t="inlineStr">
        <is>
          <t>UNIT</t>
        </is>
      </c>
      <c r="B307" s="5" t="inlineStr">
        <is>
          <t>EXXONMOBIL_BEAUMONT</t>
        </is>
      </c>
      <c r="C307" s="5" t="n">
        <v>3</v>
      </c>
      <c r="D307" s="5" t="inlineStr">
        <is>
          <t>CCR</t>
        </is>
      </c>
      <c r="E307" s="5" t="inlineStr">
        <is>
          <t>REFORMER</t>
        </is>
      </c>
      <c r="F307" s="6" t="n">
        <v>143.5</v>
      </c>
      <c r="G307" s="7" t="n">
        <v>0.974</v>
      </c>
      <c r="H307" s="8">
        <f>IF($G307&lt;&gt;"",$G307,SUMIFS(Assumptions!$K$4:$K$8,Assumptions!$J$4:$J$8,$C307))</f>
        <v/>
      </c>
      <c r="I307" s="7" t="n"/>
      <c r="J307" s="9">
        <f>IF($I307&lt;&gt;"",$I307,SUMIFS(Assumptions!$P$4:$P$93,Assumptions!$M$4:$M$93,$C307,Assumptions!$N$4:$N$93,$E307,Assumptions!$O$4:$O$93,"LVN"))</f>
        <v/>
      </c>
      <c r="K307" s="7" t="n"/>
      <c r="L307" s="9">
        <f>IF($K307&lt;&gt;"",$K307,SUMIFS(Assumptions!$P$4:$P$93,Assumptions!$M$4:$M$93,$C307,Assumptions!$N$4:$N$93,$E307,Assumptions!$O$4:$O$93,"HVN"))</f>
        <v/>
      </c>
      <c r="M307" s="9">
        <f>J307+L307</f>
        <v/>
      </c>
      <c r="N307" s="10">
        <f>$F307*$H307*$M307</f>
        <v/>
      </c>
    </row>
    <row r="308">
      <c r="A308" s="4" t="inlineStr">
        <is>
          <t>UNIT</t>
        </is>
      </c>
      <c r="B308" s="5" t="inlineStr">
        <is>
          <t>EXXONMOBIL_BEAUMONT</t>
        </is>
      </c>
      <c r="C308" s="5" t="n">
        <v>3</v>
      </c>
      <c r="D308" s="5" t="inlineStr">
        <is>
          <t>ISOM</t>
        </is>
      </c>
      <c r="E308" s="5" t="inlineStr">
        <is>
          <t>ISOM</t>
        </is>
      </c>
      <c r="F308" s="6" t="n">
        <v>33.8</v>
      </c>
      <c r="G308" s="7" t="n">
        <v>1</v>
      </c>
      <c r="H308" s="8">
        <f>IF($G308&lt;&gt;"",$G308,SUMIFS(Assumptions!$K$4:$K$8,Assumptions!$J$4:$J$8,$C308))</f>
        <v/>
      </c>
      <c r="I308" s="7" t="n"/>
      <c r="J308" s="9">
        <f>IF($I308&lt;&gt;"",$I308,SUMIFS(Assumptions!$P$4:$P$93,Assumptions!$M$4:$M$93,$C308,Assumptions!$N$4:$N$93,$E308,Assumptions!$O$4:$O$93,"LVN"))</f>
        <v/>
      </c>
      <c r="K308" s="7" t="n"/>
      <c r="L308" s="9">
        <f>IF($K308&lt;&gt;"",$K308,SUMIFS(Assumptions!$P$4:$P$93,Assumptions!$M$4:$M$93,$C308,Assumptions!$N$4:$N$93,$E308,Assumptions!$O$4:$O$93,"HVN"))</f>
        <v/>
      </c>
      <c r="M308" s="9">
        <f>J308+L308</f>
        <v/>
      </c>
      <c r="N308" s="10">
        <f>$F308*$H308*$M308</f>
        <v/>
      </c>
    </row>
    <row r="309">
      <c r="A309" s="4" t="inlineStr">
        <is>
          <t>UNIT</t>
        </is>
      </c>
      <c r="B309" s="5" t="inlineStr">
        <is>
          <t>EXXONMOBIL_BEAUMONT</t>
        </is>
      </c>
      <c r="C309" s="5" t="n">
        <v>3</v>
      </c>
      <c r="D309" s="5" t="inlineStr">
        <is>
          <t>ALKY</t>
        </is>
      </c>
      <c r="E309" s="5" t="inlineStr">
        <is>
          <t>ALKY</t>
        </is>
      </c>
      <c r="F309" s="6" t="n">
        <v>14.9</v>
      </c>
      <c r="G309" s="7" t="n">
        <v>1.1</v>
      </c>
      <c r="H309" s="8">
        <f>IF($G309&lt;&gt;"",$G309,SUMIFS(Assumptions!$K$4:$K$8,Assumptions!$J$4:$J$8,$C309))</f>
        <v/>
      </c>
      <c r="I309" s="7" t="n"/>
      <c r="J309" s="9">
        <f>IF($I309&lt;&gt;"",$I309,SUMIFS(Assumptions!$P$4:$P$93,Assumptions!$M$4:$M$93,$C309,Assumptions!$N$4:$N$93,$E309,Assumptions!$O$4:$O$93,"LVN"))</f>
        <v/>
      </c>
      <c r="K309" s="7" t="n"/>
      <c r="L309" s="9">
        <f>IF($K309&lt;&gt;"",$K309,SUMIFS(Assumptions!$P$4:$P$93,Assumptions!$M$4:$M$93,$C309,Assumptions!$N$4:$N$93,$E309,Assumptions!$O$4:$O$93,"HVN"))</f>
        <v/>
      </c>
      <c r="M309" s="9">
        <f>J309+L309</f>
        <v/>
      </c>
      <c r="N309" s="10">
        <f>$F309*$H309*$M309</f>
        <v/>
      </c>
    </row>
    <row r="310">
      <c r="A310" s="11" t="inlineStr">
        <is>
          <t>TOTAL</t>
        </is>
      </c>
      <c r="B310" s="12" t="inlineStr">
        <is>
          <t>EXXONMOBIL_BEAUMONT</t>
        </is>
      </c>
      <c r="C310" s="12" t="n">
        <v>3</v>
      </c>
      <c r="D310" s="12" t="inlineStr">
        <is>
          <t>NET NAPHTHA</t>
        </is>
      </c>
      <c r="N310" s="13">
        <f>SUM(N302:N309)</f>
        <v/>
      </c>
    </row>
    <row r="312">
      <c r="A312" s="1" t="inlineStr">
        <is>
          <t xml:space="preserve">  Marathon Petroleum Garyville  [MARATHON_GARYVILLE]   —   Marathon Petroleum   —   PADD 3   —   crude 628 kbd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</row>
    <row r="313">
      <c r="A313" s="4" t="inlineStr">
        <is>
          <t>UNIT</t>
        </is>
      </c>
      <c r="B313" s="5" t="inlineStr">
        <is>
          <t>MARATHON_GARYVILLE</t>
        </is>
      </c>
      <c r="C313" s="5" t="n">
        <v>3</v>
      </c>
      <c r="D313" s="5" t="inlineStr">
        <is>
          <t>CDU</t>
        </is>
      </c>
      <c r="E313" s="5" t="inlineStr">
        <is>
          <t>CDU</t>
        </is>
      </c>
      <c r="F313" s="6" t="n">
        <v>608</v>
      </c>
      <c r="G313" s="7" t="n">
        <v>0.9340000000000001</v>
      </c>
      <c r="H313" s="8">
        <f>IF($G313&lt;&gt;"",$G313,SUMIFS(Assumptions!$K$4:$K$8,Assumptions!$J$4:$J$8,$C313))</f>
        <v/>
      </c>
      <c r="I313" s="7" t="n"/>
      <c r="J313" s="9">
        <f>IF($I313&lt;&gt;"",$I313,SUMIFS(Assumptions!$P$4:$P$93,Assumptions!$M$4:$M$93,$C313,Assumptions!$N$4:$N$93,$E313,Assumptions!$O$4:$O$93,"LVN"))</f>
        <v/>
      </c>
      <c r="K313" s="7" t="n"/>
      <c r="L313" s="9">
        <f>IF($K313&lt;&gt;"",$K313,SUMIFS(Assumptions!$P$4:$P$93,Assumptions!$M$4:$M$93,$C313,Assumptions!$N$4:$N$93,$E313,Assumptions!$O$4:$O$93,"HVN"))</f>
        <v/>
      </c>
      <c r="M313" s="9">
        <f>J313+L313</f>
        <v/>
      </c>
      <c r="N313" s="10">
        <f>$F313*$H313*$M313</f>
        <v/>
      </c>
    </row>
    <row r="314">
      <c r="A314" s="4" t="inlineStr">
        <is>
          <t>UNIT</t>
        </is>
      </c>
      <c r="B314" s="5" t="inlineStr">
        <is>
          <t>MARATHON_GARYVILLE</t>
        </is>
      </c>
      <c r="C314" s="5" t="n">
        <v>3</v>
      </c>
      <c r="D314" s="5" t="inlineStr">
        <is>
          <t>VDU</t>
        </is>
      </c>
      <c r="E314" s="5" t="inlineStr">
        <is>
          <t>VDU</t>
        </is>
      </c>
      <c r="F314" s="6" t="n">
        <v>297.5</v>
      </c>
      <c r="G314" s="7" t="n">
        <v>0.703</v>
      </c>
      <c r="H314" s="8">
        <f>IF($G314&lt;&gt;"",$G314,SUMIFS(Assumptions!$K$4:$K$8,Assumptions!$J$4:$J$8,$C314))</f>
        <v/>
      </c>
      <c r="I314" s="7" t="n"/>
      <c r="J314" s="9">
        <f>IF($I314&lt;&gt;"",$I314,SUMIFS(Assumptions!$P$4:$P$93,Assumptions!$M$4:$M$93,$C314,Assumptions!$N$4:$N$93,$E314,Assumptions!$O$4:$O$93,"LVN"))</f>
        <v/>
      </c>
      <c r="K314" s="7" t="n"/>
      <c r="L314" s="9">
        <f>IF($K314&lt;&gt;"",$K314,SUMIFS(Assumptions!$P$4:$P$93,Assumptions!$M$4:$M$93,$C314,Assumptions!$N$4:$N$93,$E314,Assumptions!$O$4:$O$93,"HVN"))</f>
        <v/>
      </c>
      <c r="M314" s="9">
        <f>J314+L314</f>
        <v/>
      </c>
      <c r="N314" s="10">
        <f>$F314*$H314*$M314</f>
        <v/>
      </c>
    </row>
    <row r="315">
      <c r="A315" s="4" t="inlineStr">
        <is>
          <t>UNIT</t>
        </is>
      </c>
      <c r="B315" s="5" t="inlineStr">
        <is>
          <t>MARATHON_GARYVILLE</t>
        </is>
      </c>
      <c r="C315" s="5" t="n">
        <v>3</v>
      </c>
      <c r="D315" s="5" t="inlineStr">
        <is>
          <t>FCC</t>
        </is>
      </c>
      <c r="E315" s="5" t="inlineStr">
        <is>
          <t>FCC</t>
        </is>
      </c>
      <c r="F315" s="6" t="n">
        <v>146</v>
      </c>
      <c r="G315" s="7" t="n">
        <v>0.951</v>
      </c>
      <c r="H315" s="8">
        <f>IF($G315&lt;&gt;"",$G315,SUMIFS(Assumptions!$K$4:$K$8,Assumptions!$J$4:$J$8,$C315))</f>
        <v/>
      </c>
      <c r="I315" s="7" t="n"/>
      <c r="J315" s="9">
        <f>IF($I315&lt;&gt;"",$I315,SUMIFS(Assumptions!$P$4:$P$93,Assumptions!$M$4:$M$93,$C315,Assumptions!$N$4:$N$93,$E315,Assumptions!$O$4:$O$93,"LVN"))</f>
        <v/>
      </c>
      <c r="K315" s="7" t="n"/>
      <c r="L315" s="9">
        <f>IF($K315&lt;&gt;"",$K315,SUMIFS(Assumptions!$P$4:$P$93,Assumptions!$M$4:$M$93,$C315,Assumptions!$N$4:$N$93,$E315,Assumptions!$O$4:$O$93,"HVN"))</f>
        <v/>
      </c>
      <c r="M315" s="9">
        <f>J315+L315</f>
        <v/>
      </c>
      <c r="N315" s="10">
        <f>$F315*$H315*$M315</f>
        <v/>
      </c>
    </row>
    <row r="316">
      <c r="A316" s="4" t="inlineStr">
        <is>
          <t>UNIT</t>
        </is>
      </c>
      <c r="B316" s="5" t="inlineStr">
        <is>
          <t>MARATHON_GARYVILLE</t>
        </is>
      </c>
      <c r="C316" s="5" t="n">
        <v>3</v>
      </c>
      <c r="D316" s="5" t="inlineStr">
        <is>
          <t>DHCU</t>
        </is>
      </c>
      <c r="E316" s="5" t="inlineStr">
        <is>
          <t>HYDROCRACKER</t>
        </is>
      </c>
      <c r="F316" s="6" t="n">
        <v>130</v>
      </c>
      <c r="G316" s="7" t="n">
        <v>0.765</v>
      </c>
      <c r="H316" s="8">
        <f>IF($G316&lt;&gt;"",$G316,SUMIFS(Assumptions!$K$4:$K$8,Assumptions!$J$4:$J$8,$C316))</f>
        <v/>
      </c>
      <c r="I316" s="7" t="n"/>
      <c r="J316" s="9">
        <f>IF($I316&lt;&gt;"",$I316,SUMIFS(Assumptions!$P$4:$P$93,Assumptions!$M$4:$M$93,$C316,Assumptions!$N$4:$N$93,$E316,Assumptions!$O$4:$O$93,"LVN"))</f>
        <v/>
      </c>
      <c r="K316" s="7" t="n"/>
      <c r="L316" s="9">
        <f>IF($K316&lt;&gt;"",$K316,SUMIFS(Assumptions!$P$4:$P$93,Assumptions!$M$4:$M$93,$C316,Assumptions!$N$4:$N$93,$E316,Assumptions!$O$4:$O$93,"HVN"))</f>
        <v/>
      </c>
      <c r="M316" s="9">
        <f>J316+L316</f>
        <v/>
      </c>
      <c r="N316" s="10">
        <f>$F316*$H316*$M316</f>
        <v/>
      </c>
    </row>
    <row r="317">
      <c r="A317" s="4" t="inlineStr">
        <is>
          <t>UNIT</t>
        </is>
      </c>
      <c r="B317" s="5" t="inlineStr">
        <is>
          <t>MARATHON_GARYVILLE</t>
        </is>
      </c>
      <c r="C317" s="5" t="n">
        <v>3</v>
      </c>
      <c r="D317" s="5" t="inlineStr">
        <is>
          <t>COKER</t>
        </is>
      </c>
      <c r="E317" s="5" t="inlineStr">
        <is>
          <t>COKER</t>
        </is>
      </c>
      <c r="F317" s="6" t="n">
        <v>103</v>
      </c>
      <c r="G317" s="7" t="n">
        <v>0.636</v>
      </c>
      <c r="H317" s="8">
        <f>IF($G317&lt;&gt;"",$G317,SUMIFS(Assumptions!$K$4:$K$8,Assumptions!$J$4:$J$8,$C317))</f>
        <v/>
      </c>
      <c r="I317" s="7" t="n"/>
      <c r="J317" s="9">
        <f>IF($I317&lt;&gt;"",$I317,SUMIFS(Assumptions!$P$4:$P$93,Assumptions!$M$4:$M$93,$C317,Assumptions!$N$4:$N$93,$E317,Assumptions!$O$4:$O$93,"LVN"))</f>
        <v/>
      </c>
      <c r="K317" s="7" t="n"/>
      <c r="L317" s="9">
        <f>IF($K317&lt;&gt;"",$K317,SUMIFS(Assumptions!$P$4:$P$93,Assumptions!$M$4:$M$93,$C317,Assumptions!$N$4:$N$93,$E317,Assumptions!$O$4:$O$93,"HVN"))</f>
        <v/>
      </c>
      <c r="M317" s="9">
        <f>J317+L317</f>
        <v/>
      </c>
      <c r="N317" s="10">
        <f>$F317*$H317*$M317</f>
        <v/>
      </c>
    </row>
    <row r="318">
      <c r="A318" s="4" t="inlineStr">
        <is>
          <t>UNIT</t>
        </is>
      </c>
      <c r="B318" s="5" t="inlineStr">
        <is>
          <t>MARATHON_GARYVILLE</t>
        </is>
      </c>
      <c r="C318" s="5" t="n">
        <v>3</v>
      </c>
      <c r="D318" s="5" t="inlineStr">
        <is>
          <t>CCR</t>
        </is>
      </c>
      <c r="E318" s="5" t="inlineStr">
        <is>
          <t>REFORMER</t>
        </is>
      </c>
      <c r="F318" s="6" t="n">
        <v>137</v>
      </c>
      <c r="G318" s="7" t="n">
        <v>0.984</v>
      </c>
      <c r="H318" s="8">
        <f>IF($G318&lt;&gt;"",$G318,SUMIFS(Assumptions!$K$4:$K$8,Assumptions!$J$4:$J$8,$C318))</f>
        <v/>
      </c>
      <c r="I318" s="7" t="n"/>
      <c r="J318" s="9">
        <f>IF($I318&lt;&gt;"",$I318,SUMIFS(Assumptions!$P$4:$P$93,Assumptions!$M$4:$M$93,$C318,Assumptions!$N$4:$N$93,$E318,Assumptions!$O$4:$O$93,"LVN"))</f>
        <v/>
      </c>
      <c r="K318" s="7" t="n"/>
      <c r="L318" s="9">
        <f>IF($K318&lt;&gt;"",$K318,SUMIFS(Assumptions!$P$4:$P$93,Assumptions!$M$4:$M$93,$C318,Assumptions!$N$4:$N$93,$E318,Assumptions!$O$4:$O$93,"HVN"))</f>
        <v/>
      </c>
      <c r="M318" s="9">
        <f>J318+L318</f>
        <v/>
      </c>
      <c r="N318" s="10">
        <f>$F318*$H318*$M318</f>
        <v/>
      </c>
    </row>
    <row r="319">
      <c r="A319" s="4" t="inlineStr">
        <is>
          <t>UNIT</t>
        </is>
      </c>
      <c r="B319" s="5" t="inlineStr">
        <is>
          <t>MARATHON_GARYVILLE</t>
        </is>
      </c>
      <c r="C319" s="5" t="n">
        <v>3</v>
      </c>
      <c r="D319" s="5" t="inlineStr">
        <is>
          <t>ISOM</t>
        </is>
      </c>
      <c r="E319" s="5" t="inlineStr">
        <is>
          <t>ISOM</t>
        </is>
      </c>
      <c r="F319" s="6" t="n">
        <v>26.5</v>
      </c>
      <c r="G319" s="7" t="n">
        <v>0.767</v>
      </c>
      <c r="H319" s="8">
        <f>IF($G319&lt;&gt;"",$G319,SUMIFS(Assumptions!$K$4:$K$8,Assumptions!$J$4:$J$8,$C319))</f>
        <v/>
      </c>
      <c r="I319" s="7" t="n"/>
      <c r="J319" s="9">
        <f>IF($I319&lt;&gt;"",$I319,SUMIFS(Assumptions!$P$4:$P$93,Assumptions!$M$4:$M$93,$C319,Assumptions!$N$4:$N$93,$E319,Assumptions!$O$4:$O$93,"LVN"))</f>
        <v/>
      </c>
      <c r="K319" s="7" t="n"/>
      <c r="L319" s="9">
        <f>IF($K319&lt;&gt;"",$K319,SUMIFS(Assumptions!$P$4:$P$93,Assumptions!$M$4:$M$93,$C319,Assumptions!$N$4:$N$93,$E319,Assumptions!$O$4:$O$93,"HVN"))</f>
        <v/>
      </c>
      <c r="M319" s="9">
        <f>J319+L319</f>
        <v/>
      </c>
      <c r="N319" s="10">
        <f>$F319*$H319*$M319</f>
        <v/>
      </c>
    </row>
    <row r="320">
      <c r="A320" s="4" t="inlineStr">
        <is>
          <t>UNIT</t>
        </is>
      </c>
      <c r="B320" s="5" t="inlineStr">
        <is>
          <t>MARATHON_GARYVILLE</t>
        </is>
      </c>
      <c r="C320" s="5" t="n">
        <v>3</v>
      </c>
      <c r="D320" s="5" t="inlineStr">
        <is>
          <t>ALKY</t>
        </is>
      </c>
      <c r="E320" s="5" t="inlineStr">
        <is>
          <t>ALKY</t>
        </is>
      </c>
      <c r="F320" s="6" t="n">
        <v>38</v>
      </c>
      <c r="G320" s="7" t="n">
        <v>1.1</v>
      </c>
      <c r="H320" s="8">
        <f>IF($G320&lt;&gt;"",$G320,SUMIFS(Assumptions!$K$4:$K$8,Assumptions!$J$4:$J$8,$C320))</f>
        <v/>
      </c>
      <c r="I320" s="7" t="n"/>
      <c r="J320" s="9">
        <f>IF($I320&lt;&gt;"",$I320,SUMIFS(Assumptions!$P$4:$P$93,Assumptions!$M$4:$M$93,$C320,Assumptions!$N$4:$N$93,$E320,Assumptions!$O$4:$O$93,"LVN"))</f>
        <v/>
      </c>
      <c r="K320" s="7" t="n"/>
      <c r="L320" s="9">
        <f>IF($K320&lt;&gt;"",$K320,SUMIFS(Assumptions!$P$4:$P$93,Assumptions!$M$4:$M$93,$C320,Assumptions!$N$4:$N$93,$E320,Assumptions!$O$4:$O$93,"HVN"))</f>
        <v/>
      </c>
      <c r="M320" s="9">
        <f>J320+L320</f>
        <v/>
      </c>
      <c r="N320" s="10">
        <f>$F320*$H320*$M320</f>
        <v/>
      </c>
    </row>
    <row r="321">
      <c r="A321" s="11" t="inlineStr">
        <is>
          <t>TOTAL</t>
        </is>
      </c>
      <c r="B321" s="12" t="inlineStr">
        <is>
          <t>MARATHON_GARYVILLE</t>
        </is>
      </c>
      <c r="C321" s="12" t="n">
        <v>3</v>
      </c>
      <c r="D321" s="12" t="inlineStr">
        <is>
          <t>NET NAPHTHA</t>
        </is>
      </c>
      <c r="N321" s="13">
        <f>SUM(N313:N320)</f>
        <v/>
      </c>
    </row>
    <row r="323">
      <c r="A323" s="1" t="inlineStr">
        <is>
          <t xml:space="preserve">  ExxonMobil Baytown  [XOM_BAYTOWN]   —   ExxonMobil   —   PADD 3   —   crude 580 kbd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</row>
    <row r="324">
      <c r="A324" s="4" t="inlineStr">
        <is>
          <t>UNIT</t>
        </is>
      </c>
      <c r="B324" s="5" t="inlineStr">
        <is>
          <t>XOM_BAYTOWN</t>
        </is>
      </c>
      <c r="C324" s="5" t="n">
        <v>3</v>
      </c>
      <c r="D324" s="5" t="inlineStr">
        <is>
          <t>CDU</t>
        </is>
      </c>
      <c r="E324" s="5" t="inlineStr">
        <is>
          <t>CDU</t>
        </is>
      </c>
      <c r="F324" s="6" t="n">
        <v>584</v>
      </c>
      <c r="G324" s="7" t="n">
        <v>0.93</v>
      </c>
      <c r="H324" s="8">
        <f>IF($G324&lt;&gt;"",$G324,SUMIFS(Assumptions!$K$4:$K$8,Assumptions!$J$4:$J$8,$C324))</f>
        <v/>
      </c>
      <c r="I324" s="7" t="n"/>
      <c r="J324" s="9">
        <f>IF($I324&lt;&gt;"",$I324,SUMIFS(Assumptions!$P$4:$P$93,Assumptions!$M$4:$M$93,$C324,Assumptions!$N$4:$N$93,$E324,Assumptions!$O$4:$O$93,"LVN"))</f>
        <v/>
      </c>
      <c r="K324" s="7" t="n"/>
      <c r="L324" s="9">
        <f>IF($K324&lt;&gt;"",$K324,SUMIFS(Assumptions!$P$4:$P$93,Assumptions!$M$4:$M$93,$C324,Assumptions!$N$4:$N$93,$E324,Assumptions!$O$4:$O$93,"HVN"))</f>
        <v/>
      </c>
      <c r="M324" s="9">
        <f>J324+L324</f>
        <v/>
      </c>
      <c r="N324" s="10">
        <f>$F324*$H324*$M324</f>
        <v/>
      </c>
    </row>
    <row r="325">
      <c r="A325" s="4" t="inlineStr">
        <is>
          <t>UNIT</t>
        </is>
      </c>
      <c r="B325" s="5" t="inlineStr">
        <is>
          <t>XOM_BAYTOWN</t>
        </is>
      </c>
      <c r="C325" s="5" t="n">
        <v>3</v>
      </c>
      <c r="D325" s="5" t="inlineStr">
        <is>
          <t>VDU</t>
        </is>
      </c>
      <c r="E325" s="5" t="inlineStr">
        <is>
          <t>VDU</t>
        </is>
      </c>
      <c r="F325" s="6" t="n">
        <v>297</v>
      </c>
      <c r="G325" s="7" t="n">
        <v>0.638</v>
      </c>
      <c r="H325" s="8">
        <f>IF($G325&lt;&gt;"",$G325,SUMIFS(Assumptions!$K$4:$K$8,Assumptions!$J$4:$J$8,$C325))</f>
        <v/>
      </c>
      <c r="I325" s="7" t="n"/>
      <c r="J325" s="9">
        <f>IF($I325&lt;&gt;"",$I325,SUMIFS(Assumptions!$P$4:$P$93,Assumptions!$M$4:$M$93,$C325,Assumptions!$N$4:$N$93,$E325,Assumptions!$O$4:$O$93,"LVN"))</f>
        <v/>
      </c>
      <c r="K325" s="7" t="n"/>
      <c r="L325" s="9">
        <f>IF($K325&lt;&gt;"",$K325,SUMIFS(Assumptions!$P$4:$P$93,Assumptions!$M$4:$M$93,$C325,Assumptions!$N$4:$N$93,$E325,Assumptions!$O$4:$O$93,"HVN"))</f>
        <v/>
      </c>
      <c r="M325" s="9">
        <f>J325+L325</f>
        <v/>
      </c>
      <c r="N325" s="10">
        <f>$F325*$H325*$M325</f>
        <v/>
      </c>
    </row>
    <row r="326">
      <c r="A326" s="4" t="inlineStr">
        <is>
          <t>UNIT</t>
        </is>
      </c>
      <c r="B326" s="5" t="inlineStr">
        <is>
          <t>XOM_BAYTOWN</t>
        </is>
      </c>
      <c r="C326" s="5" t="n">
        <v>3</v>
      </c>
      <c r="D326" s="5" t="inlineStr">
        <is>
          <t>FCC</t>
        </is>
      </c>
      <c r="E326" s="5" t="inlineStr">
        <is>
          <t>FCC</t>
        </is>
      </c>
      <c r="F326" s="6" t="n">
        <v>220</v>
      </c>
      <c r="G326" s="7" t="n">
        <v>0.966</v>
      </c>
      <c r="H326" s="8">
        <f>IF($G326&lt;&gt;"",$G326,SUMIFS(Assumptions!$K$4:$K$8,Assumptions!$J$4:$J$8,$C326))</f>
        <v/>
      </c>
      <c r="I326" s="7" t="n"/>
      <c r="J326" s="9">
        <f>IF($I326&lt;&gt;"",$I326,SUMIFS(Assumptions!$P$4:$P$93,Assumptions!$M$4:$M$93,$C326,Assumptions!$N$4:$N$93,$E326,Assumptions!$O$4:$O$93,"LVN"))</f>
        <v/>
      </c>
      <c r="K326" s="7" t="n"/>
      <c r="L326" s="9">
        <f>IF($K326&lt;&gt;"",$K326,SUMIFS(Assumptions!$P$4:$P$93,Assumptions!$M$4:$M$93,$C326,Assumptions!$N$4:$N$93,$E326,Assumptions!$O$4:$O$93,"HVN"))</f>
        <v/>
      </c>
      <c r="M326" s="9">
        <f>J326+L326</f>
        <v/>
      </c>
      <c r="N326" s="10">
        <f>$F326*$H326*$M326</f>
        <v/>
      </c>
    </row>
    <row r="327">
      <c r="A327" s="4" t="inlineStr">
        <is>
          <t>UNIT</t>
        </is>
      </c>
      <c r="B327" s="5" t="inlineStr">
        <is>
          <t>XOM_BAYTOWN</t>
        </is>
      </c>
      <c r="C327" s="5" t="n">
        <v>3</v>
      </c>
      <c r="D327" s="5" t="inlineStr">
        <is>
          <t>DHCU</t>
        </is>
      </c>
      <c r="E327" s="5" t="inlineStr">
        <is>
          <t>HYDROCRACKER</t>
        </is>
      </c>
      <c r="F327" s="6" t="n">
        <v>29.9</v>
      </c>
      <c r="G327" s="7" t="n">
        <v>0.931</v>
      </c>
      <c r="H327" s="8">
        <f>IF($G327&lt;&gt;"",$G327,SUMIFS(Assumptions!$K$4:$K$8,Assumptions!$J$4:$J$8,$C327))</f>
        <v/>
      </c>
      <c r="I327" s="7" t="n"/>
      <c r="J327" s="9">
        <f>IF($I327&lt;&gt;"",$I327,SUMIFS(Assumptions!$P$4:$P$93,Assumptions!$M$4:$M$93,$C327,Assumptions!$N$4:$N$93,$E327,Assumptions!$O$4:$O$93,"LVN"))</f>
        <v/>
      </c>
      <c r="K327" s="7" t="n"/>
      <c r="L327" s="9">
        <f>IF($K327&lt;&gt;"",$K327,SUMIFS(Assumptions!$P$4:$P$93,Assumptions!$M$4:$M$93,$C327,Assumptions!$N$4:$N$93,$E327,Assumptions!$O$4:$O$93,"HVN"))</f>
        <v/>
      </c>
      <c r="M327" s="9">
        <f>J327+L327</f>
        <v/>
      </c>
      <c r="N327" s="10">
        <f>$F327*$H327*$M327</f>
        <v/>
      </c>
    </row>
    <row r="328">
      <c r="A328" s="4" t="inlineStr">
        <is>
          <t>UNIT</t>
        </is>
      </c>
      <c r="B328" s="5" t="inlineStr">
        <is>
          <t>XOM_BAYTOWN</t>
        </is>
      </c>
      <c r="C328" s="5" t="n">
        <v>3</v>
      </c>
      <c r="D328" s="5" t="inlineStr">
        <is>
          <t>COKER</t>
        </is>
      </c>
      <c r="E328" s="5" t="inlineStr">
        <is>
          <t>COKER</t>
        </is>
      </c>
      <c r="F328" s="6" t="n">
        <v>54</v>
      </c>
      <c r="G328" s="7" t="n">
        <v>0.641</v>
      </c>
      <c r="H328" s="8">
        <f>IF($G328&lt;&gt;"",$G328,SUMIFS(Assumptions!$K$4:$K$8,Assumptions!$J$4:$J$8,$C328))</f>
        <v/>
      </c>
      <c r="I328" s="7" t="n"/>
      <c r="J328" s="9">
        <f>IF($I328&lt;&gt;"",$I328,SUMIFS(Assumptions!$P$4:$P$93,Assumptions!$M$4:$M$93,$C328,Assumptions!$N$4:$N$93,$E328,Assumptions!$O$4:$O$93,"LVN"))</f>
        <v/>
      </c>
      <c r="K328" s="7" t="n"/>
      <c r="L328" s="9">
        <f>IF($K328&lt;&gt;"",$K328,SUMIFS(Assumptions!$P$4:$P$93,Assumptions!$M$4:$M$93,$C328,Assumptions!$N$4:$N$93,$E328,Assumptions!$O$4:$O$93,"HVN"))</f>
        <v/>
      </c>
      <c r="M328" s="9">
        <f>J328+L328</f>
        <v/>
      </c>
      <c r="N328" s="10">
        <f>$F328*$H328*$M328</f>
        <v/>
      </c>
    </row>
    <row r="329">
      <c r="A329" s="4" t="inlineStr">
        <is>
          <t>UNIT</t>
        </is>
      </c>
      <c r="B329" s="5" t="inlineStr">
        <is>
          <t>XOM_BAYTOWN</t>
        </is>
      </c>
      <c r="C329" s="5" t="n">
        <v>3</v>
      </c>
      <c r="D329" s="5" t="inlineStr">
        <is>
          <t>FCOKER</t>
        </is>
      </c>
      <c r="E329" s="5" t="inlineStr">
        <is>
          <t>COKER</t>
        </is>
      </c>
      <c r="F329" s="6" t="n">
        <v>42</v>
      </c>
      <c r="G329" s="7" t="n">
        <v>0.599</v>
      </c>
      <c r="H329" s="8">
        <f>IF($G329&lt;&gt;"",$G329,SUMIFS(Assumptions!$K$4:$K$8,Assumptions!$J$4:$J$8,$C329))</f>
        <v/>
      </c>
      <c r="I329" s="7" t="n"/>
      <c r="J329" s="9">
        <f>IF($I329&lt;&gt;"",$I329,SUMIFS(Assumptions!$P$4:$P$93,Assumptions!$M$4:$M$93,$C329,Assumptions!$N$4:$N$93,$E329,Assumptions!$O$4:$O$93,"LVN"))</f>
        <v/>
      </c>
      <c r="K329" s="7" t="n"/>
      <c r="L329" s="9">
        <f>IF($K329&lt;&gt;"",$K329,SUMIFS(Assumptions!$P$4:$P$93,Assumptions!$M$4:$M$93,$C329,Assumptions!$N$4:$N$93,$E329,Assumptions!$O$4:$O$93,"HVN"))</f>
        <v/>
      </c>
      <c r="M329" s="9">
        <f>J329+L329</f>
        <v/>
      </c>
      <c r="N329" s="10">
        <f>$F329*$H329*$M329</f>
        <v/>
      </c>
    </row>
    <row r="330">
      <c r="A330" s="4" t="inlineStr">
        <is>
          <t>UNIT</t>
        </is>
      </c>
      <c r="B330" s="5" t="inlineStr">
        <is>
          <t>XOM_BAYTOWN</t>
        </is>
      </c>
      <c r="C330" s="5" t="n">
        <v>3</v>
      </c>
      <c r="D330" s="5" t="inlineStr">
        <is>
          <t>CCR</t>
        </is>
      </c>
      <c r="E330" s="5" t="inlineStr">
        <is>
          <t>REFORMER</t>
        </is>
      </c>
      <c r="F330" s="6" t="n">
        <v>127.5</v>
      </c>
      <c r="G330" s="7" t="n">
        <v>0.9409999999999999</v>
      </c>
      <c r="H330" s="8">
        <f>IF($G330&lt;&gt;"",$G330,SUMIFS(Assumptions!$K$4:$K$8,Assumptions!$J$4:$J$8,$C330))</f>
        <v/>
      </c>
      <c r="I330" s="7" t="n"/>
      <c r="J330" s="9">
        <f>IF($I330&lt;&gt;"",$I330,SUMIFS(Assumptions!$P$4:$P$93,Assumptions!$M$4:$M$93,$C330,Assumptions!$N$4:$N$93,$E330,Assumptions!$O$4:$O$93,"LVN"))</f>
        <v/>
      </c>
      <c r="K330" s="7" t="n"/>
      <c r="L330" s="9">
        <f>IF($K330&lt;&gt;"",$K330,SUMIFS(Assumptions!$P$4:$P$93,Assumptions!$M$4:$M$93,$C330,Assumptions!$N$4:$N$93,$E330,Assumptions!$O$4:$O$93,"HVN"))</f>
        <v/>
      </c>
      <c r="M330" s="9">
        <f>J330+L330</f>
        <v/>
      </c>
      <c r="N330" s="10">
        <f>$F330*$H330*$M330</f>
        <v/>
      </c>
    </row>
    <row r="331">
      <c r="A331" s="4" t="inlineStr">
        <is>
          <t>UNIT</t>
        </is>
      </c>
      <c r="B331" s="5" t="inlineStr">
        <is>
          <t>XOM_BAYTOWN</t>
        </is>
      </c>
      <c r="C331" s="5" t="n">
        <v>3</v>
      </c>
      <c r="D331" s="5" t="inlineStr">
        <is>
          <t>ALKY</t>
        </is>
      </c>
      <c r="E331" s="5" t="inlineStr">
        <is>
          <t>ALKY</t>
        </is>
      </c>
      <c r="F331" s="6" t="n">
        <v>41</v>
      </c>
      <c r="G331" s="7" t="n">
        <v>1.1</v>
      </c>
      <c r="H331" s="8">
        <f>IF($G331&lt;&gt;"",$G331,SUMIFS(Assumptions!$K$4:$K$8,Assumptions!$J$4:$J$8,$C331))</f>
        <v/>
      </c>
      <c r="I331" s="7" t="n"/>
      <c r="J331" s="9">
        <f>IF($I331&lt;&gt;"",$I331,SUMIFS(Assumptions!$P$4:$P$93,Assumptions!$M$4:$M$93,$C331,Assumptions!$N$4:$N$93,$E331,Assumptions!$O$4:$O$93,"LVN"))</f>
        <v/>
      </c>
      <c r="K331" s="7" t="n"/>
      <c r="L331" s="9">
        <f>IF($K331&lt;&gt;"",$K331,SUMIFS(Assumptions!$P$4:$P$93,Assumptions!$M$4:$M$93,$C331,Assumptions!$N$4:$N$93,$E331,Assumptions!$O$4:$O$93,"HVN"))</f>
        <v/>
      </c>
      <c r="M331" s="9">
        <f>J331+L331</f>
        <v/>
      </c>
      <c r="N331" s="10">
        <f>$F331*$H331*$M331</f>
        <v/>
      </c>
    </row>
    <row r="332">
      <c r="A332" s="11" t="inlineStr">
        <is>
          <t>TOTAL</t>
        </is>
      </c>
      <c r="B332" s="12" t="inlineStr">
        <is>
          <t>XOM_BAYTOWN</t>
        </is>
      </c>
      <c r="C332" s="12" t="n">
        <v>3</v>
      </c>
      <c r="D332" s="12" t="inlineStr">
        <is>
          <t>NET NAPHTHA</t>
        </is>
      </c>
      <c r="N332" s="13">
        <f>SUM(N324:N331)</f>
        <v/>
      </c>
    </row>
    <row r="334">
      <c r="A334" s="1" t="inlineStr">
        <is>
          <t xml:space="preserve">  ExxonMobil Baton Rouge  [EXXONMOBIL_BATON_ROUGE]   —   ExxonMobil   —   PADD 3   —   crude 540 kbd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</row>
    <row r="335">
      <c r="A335" s="4" t="inlineStr">
        <is>
          <t>UNIT</t>
        </is>
      </c>
      <c r="B335" s="5" t="inlineStr">
        <is>
          <t>EXXONMOBIL_BATON_ROUGE</t>
        </is>
      </c>
      <c r="C335" s="5" t="n">
        <v>3</v>
      </c>
      <c r="D335" s="5" t="inlineStr">
        <is>
          <t>CDU</t>
        </is>
      </c>
      <c r="E335" s="5" t="inlineStr">
        <is>
          <t>CDU</t>
        </is>
      </c>
      <c r="F335" s="6" t="n">
        <v>542</v>
      </c>
      <c r="G335" s="7" t="n">
        <v>0.963</v>
      </c>
      <c r="H335" s="8">
        <f>IF($G335&lt;&gt;"",$G335,SUMIFS(Assumptions!$K$4:$K$8,Assumptions!$J$4:$J$8,$C335))</f>
        <v/>
      </c>
      <c r="I335" s="7" t="n"/>
      <c r="J335" s="9">
        <f>IF($I335&lt;&gt;"",$I335,SUMIFS(Assumptions!$P$4:$P$93,Assumptions!$M$4:$M$93,$C335,Assumptions!$N$4:$N$93,$E335,Assumptions!$O$4:$O$93,"LVN"))</f>
        <v/>
      </c>
      <c r="K335" s="7" t="n"/>
      <c r="L335" s="9">
        <f>IF($K335&lt;&gt;"",$K335,SUMIFS(Assumptions!$P$4:$P$93,Assumptions!$M$4:$M$93,$C335,Assumptions!$N$4:$N$93,$E335,Assumptions!$O$4:$O$93,"HVN"))</f>
        <v/>
      </c>
      <c r="M335" s="9">
        <f>J335+L335</f>
        <v/>
      </c>
      <c r="N335" s="10">
        <f>$F335*$H335*$M335</f>
        <v/>
      </c>
    </row>
    <row r="336">
      <c r="A336" s="4" t="inlineStr">
        <is>
          <t>UNIT</t>
        </is>
      </c>
      <c r="B336" s="5" t="inlineStr">
        <is>
          <t>EXXONMOBIL_BATON_ROUGE</t>
        </is>
      </c>
      <c r="C336" s="5" t="n">
        <v>3</v>
      </c>
      <c r="D336" s="5" t="inlineStr">
        <is>
          <t>VDU</t>
        </is>
      </c>
      <c r="E336" s="5" t="inlineStr">
        <is>
          <t>VDU</t>
        </is>
      </c>
      <c r="F336" s="6" t="n">
        <v>254</v>
      </c>
      <c r="G336" s="7" t="n">
        <v>0.857</v>
      </c>
      <c r="H336" s="8">
        <f>IF($G336&lt;&gt;"",$G336,SUMIFS(Assumptions!$K$4:$K$8,Assumptions!$J$4:$J$8,$C336))</f>
        <v/>
      </c>
      <c r="I336" s="7" t="n"/>
      <c r="J336" s="9">
        <f>IF($I336&lt;&gt;"",$I336,SUMIFS(Assumptions!$P$4:$P$93,Assumptions!$M$4:$M$93,$C336,Assumptions!$N$4:$N$93,$E336,Assumptions!$O$4:$O$93,"LVN"))</f>
        <v/>
      </c>
      <c r="K336" s="7" t="n"/>
      <c r="L336" s="9">
        <f>IF($K336&lt;&gt;"",$K336,SUMIFS(Assumptions!$P$4:$P$93,Assumptions!$M$4:$M$93,$C336,Assumptions!$N$4:$N$93,$E336,Assumptions!$O$4:$O$93,"HVN"))</f>
        <v/>
      </c>
      <c r="M336" s="9">
        <f>J336+L336</f>
        <v/>
      </c>
      <c r="N336" s="10">
        <f>$F336*$H336*$M336</f>
        <v/>
      </c>
    </row>
    <row r="337">
      <c r="A337" s="4" t="inlineStr">
        <is>
          <t>UNIT</t>
        </is>
      </c>
      <c r="B337" s="5" t="inlineStr">
        <is>
          <t>EXXONMOBIL_BATON_ROUGE</t>
        </is>
      </c>
      <c r="C337" s="5" t="n">
        <v>3</v>
      </c>
      <c r="D337" s="5" t="inlineStr">
        <is>
          <t>FCC</t>
        </is>
      </c>
      <c r="E337" s="5" t="inlineStr">
        <is>
          <t>FCC</t>
        </is>
      </c>
      <c r="F337" s="6" t="n">
        <v>244.5</v>
      </c>
      <c r="G337" s="7" t="n">
        <v>0.862</v>
      </c>
      <c r="H337" s="8">
        <f>IF($G337&lt;&gt;"",$G337,SUMIFS(Assumptions!$K$4:$K$8,Assumptions!$J$4:$J$8,$C337))</f>
        <v/>
      </c>
      <c r="I337" s="7" t="n"/>
      <c r="J337" s="9">
        <f>IF($I337&lt;&gt;"",$I337,SUMIFS(Assumptions!$P$4:$P$93,Assumptions!$M$4:$M$93,$C337,Assumptions!$N$4:$N$93,$E337,Assumptions!$O$4:$O$93,"LVN"))</f>
        <v/>
      </c>
      <c r="K337" s="7" t="n"/>
      <c r="L337" s="9">
        <f>IF($K337&lt;&gt;"",$K337,SUMIFS(Assumptions!$P$4:$P$93,Assumptions!$M$4:$M$93,$C337,Assumptions!$N$4:$N$93,$E337,Assumptions!$O$4:$O$93,"HVN"))</f>
        <v/>
      </c>
      <c r="M337" s="9">
        <f>J337+L337</f>
        <v/>
      </c>
      <c r="N337" s="10">
        <f>$F337*$H337*$M337</f>
        <v/>
      </c>
    </row>
    <row r="338">
      <c r="A338" s="4" t="inlineStr">
        <is>
          <t>UNIT</t>
        </is>
      </c>
      <c r="B338" s="5" t="inlineStr">
        <is>
          <t>EXXONMOBIL_BATON_ROUGE</t>
        </is>
      </c>
      <c r="C338" s="5" t="n">
        <v>3</v>
      </c>
      <c r="D338" s="5" t="inlineStr">
        <is>
          <t>DHCU</t>
        </is>
      </c>
      <c r="E338" s="5" t="inlineStr">
        <is>
          <t>HYDROCRACKER</t>
        </is>
      </c>
      <c r="F338" s="6" t="n">
        <v>27</v>
      </c>
      <c r="G338" s="7" t="n">
        <v>0.963</v>
      </c>
      <c r="H338" s="8">
        <f>IF($G338&lt;&gt;"",$G338,SUMIFS(Assumptions!$K$4:$K$8,Assumptions!$J$4:$J$8,$C338))</f>
        <v/>
      </c>
      <c r="I338" s="7" t="n"/>
      <c r="J338" s="9">
        <f>IF($I338&lt;&gt;"",$I338,SUMIFS(Assumptions!$P$4:$P$93,Assumptions!$M$4:$M$93,$C338,Assumptions!$N$4:$N$93,$E338,Assumptions!$O$4:$O$93,"LVN"))</f>
        <v/>
      </c>
      <c r="K338" s="7" t="n"/>
      <c r="L338" s="9">
        <f>IF($K338&lt;&gt;"",$K338,SUMIFS(Assumptions!$P$4:$P$93,Assumptions!$M$4:$M$93,$C338,Assumptions!$N$4:$N$93,$E338,Assumptions!$O$4:$O$93,"HVN"))</f>
        <v/>
      </c>
      <c r="M338" s="9">
        <f>J338+L338</f>
        <v/>
      </c>
      <c r="N338" s="10">
        <f>$F338*$H338*$M338</f>
        <v/>
      </c>
    </row>
    <row r="339">
      <c r="A339" s="4" t="inlineStr">
        <is>
          <t>UNIT</t>
        </is>
      </c>
      <c r="B339" s="5" t="inlineStr">
        <is>
          <t>EXXONMOBIL_BATON_ROUGE</t>
        </is>
      </c>
      <c r="C339" s="5" t="n">
        <v>3</v>
      </c>
      <c r="D339" s="5" t="inlineStr">
        <is>
          <t>COKER</t>
        </is>
      </c>
      <c r="E339" s="5" t="inlineStr">
        <is>
          <t>COKER</t>
        </is>
      </c>
      <c r="F339" s="6" t="n">
        <v>123.5</v>
      </c>
      <c r="G339" s="7" t="n">
        <v>0.872</v>
      </c>
      <c r="H339" s="8">
        <f>IF($G339&lt;&gt;"",$G339,SUMIFS(Assumptions!$K$4:$K$8,Assumptions!$J$4:$J$8,$C339))</f>
        <v/>
      </c>
      <c r="I339" s="7" t="n"/>
      <c r="J339" s="9">
        <f>IF($I339&lt;&gt;"",$I339,SUMIFS(Assumptions!$P$4:$P$93,Assumptions!$M$4:$M$93,$C339,Assumptions!$N$4:$N$93,$E339,Assumptions!$O$4:$O$93,"LVN"))</f>
        <v/>
      </c>
      <c r="K339" s="7" t="n"/>
      <c r="L339" s="9">
        <f>IF($K339&lt;&gt;"",$K339,SUMIFS(Assumptions!$P$4:$P$93,Assumptions!$M$4:$M$93,$C339,Assumptions!$N$4:$N$93,$E339,Assumptions!$O$4:$O$93,"HVN"))</f>
        <v/>
      </c>
      <c r="M339" s="9">
        <f>J339+L339</f>
        <v/>
      </c>
      <c r="N339" s="10">
        <f>$F339*$H339*$M339</f>
        <v/>
      </c>
    </row>
    <row r="340">
      <c r="A340" s="4" t="inlineStr">
        <is>
          <t>UNIT</t>
        </is>
      </c>
      <c r="B340" s="5" t="inlineStr">
        <is>
          <t>EXXONMOBIL_BATON_ROUGE</t>
        </is>
      </c>
      <c r="C340" s="5" t="n">
        <v>3</v>
      </c>
      <c r="D340" s="5" t="inlineStr">
        <is>
          <t>CCR</t>
        </is>
      </c>
      <c r="E340" s="5" t="inlineStr">
        <is>
          <t>REFORMER</t>
        </is>
      </c>
      <c r="F340" s="6" t="n">
        <v>80</v>
      </c>
      <c r="G340" s="7" t="n">
        <v>0.977</v>
      </c>
      <c r="H340" s="8">
        <f>IF($G340&lt;&gt;"",$G340,SUMIFS(Assumptions!$K$4:$K$8,Assumptions!$J$4:$J$8,$C340))</f>
        <v/>
      </c>
      <c r="I340" s="7" t="n"/>
      <c r="J340" s="9">
        <f>IF($I340&lt;&gt;"",$I340,SUMIFS(Assumptions!$P$4:$P$93,Assumptions!$M$4:$M$93,$C340,Assumptions!$N$4:$N$93,$E340,Assumptions!$O$4:$O$93,"LVN"))</f>
        <v/>
      </c>
      <c r="K340" s="7" t="n"/>
      <c r="L340" s="9">
        <f>IF($K340&lt;&gt;"",$K340,SUMIFS(Assumptions!$P$4:$P$93,Assumptions!$M$4:$M$93,$C340,Assumptions!$N$4:$N$93,$E340,Assumptions!$O$4:$O$93,"HVN"))</f>
        <v/>
      </c>
      <c r="M340" s="9">
        <f>J340+L340</f>
        <v/>
      </c>
      <c r="N340" s="10">
        <f>$F340*$H340*$M340</f>
        <v/>
      </c>
    </row>
    <row r="341">
      <c r="A341" s="4" t="inlineStr">
        <is>
          <t>UNIT</t>
        </is>
      </c>
      <c r="B341" s="5" t="inlineStr">
        <is>
          <t>EXXONMOBIL_BATON_ROUGE</t>
        </is>
      </c>
      <c r="C341" s="5" t="n">
        <v>3</v>
      </c>
      <c r="D341" s="5" t="inlineStr">
        <is>
          <t>ALKY</t>
        </is>
      </c>
      <c r="E341" s="5" t="inlineStr">
        <is>
          <t>ALKY</t>
        </is>
      </c>
      <c r="F341" s="6" t="n">
        <v>41</v>
      </c>
      <c r="G341" s="7" t="n">
        <v>1.1</v>
      </c>
      <c r="H341" s="8">
        <f>IF($G341&lt;&gt;"",$G341,SUMIFS(Assumptions!$K$4:$K$8,Assumptions!$J$4:$J$8,$C341))</f>
        <v/>
      </c>
      <c r="I341" s="7" t="n"/>
      <c r="J341" s="9">
        <f>IF($I341&lt;&gt;"",$I341,SUMIFS(Assumptions!$P$4:$P$93,Assumptions!$M$4:$M$93,$C341,Assumptions!$N$4:$N$93,$E341,Assumptions!$O$4:$O$93,"LVN"))</f>
        <v/>
      </c>
      <c r="K341" s="7" t="n"/>
      <c r="L341" s="9">
        <f>IF($K341&lt;&gt;"",$K341,SUMIFS(Assumptions!$P$4:$P$93,Assumptions!$M$4:$M$93,$C341,Assumptions!$N$4:$N$93,$E341,Assumptions!$O$4:$O$93,"HVN"))</f>
        <v/>
      </c>
      <c r="M341" s="9">
        <f>J341+L341</f>
        <v/>
      </c>
      <c r="N341" s="10">
        <f>$F341*$H341*$M341</f>
        <v/>
      </c>
    </row>
    <row r="342">
      <c r="A342" s="11" t="inlineStr">
        <is>
          <t>TOTAL</t>
        </is>
      </c>
      <c r="B342" s="12" t="inlineStr">
        <is>
          <t>EXXONMOBIL_BATON_ROUGE</t>
        </is>
      </c>
      <c r="C342" s="12" t="n">
        <v>3</v>
      </c>
      <c r="D342" s="12" t="inlineStr">
        <is>
          <t>NET NAPHTHA</t>
        </is>
      </c>
      <c r="N342" s="13">
        <f>SUM(N335:N341)</f>
        <v/>
      </c>
    </row>
    <row r="344">
      <c r="A344" s="1" t="inlineStr">
        <is>
          <t xml:space="preserve">  Citgo Lake Charles  [CITGO_LAKE_CHARLES]   —   PDVSA   —   PADD 3   —   crude 483 kbd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</row>
    <row r="345">
      <c r="A345" s="4" t="inlineStr">
        <is>
          <t>UNIT</t>
        </is>
      </c>
      <c r="B345" s="5" t="inlineStr">
        <is>
          <t>CITGO_LAKE_CHARLES</t>
        </is>
      </c>
      <c r="C345" s="5" t="n">
        <v>3</v>
      </c>
      <c r="D345" s="5" t="inlineStr">
        <is>
          <t>CDU</t>
        </is>
      </c>
      <c r="E345" s="5" t="inlineStr">
        <is>
          <t>CDU</t>
        </is>
      </c>
      <c r="F345" s="6" t="n">
        <v>440</v>
      </c>
      <c r="G345" s="7" t="n">
        <v>0.982</v>
      </c>
      <c r="H345" s="8">
        <f>IF($G345&lt;&gt;"",$G345,SUMIFS(Assumptions!$K$4:$K$8,Assumptions!$J$4:$J$8,$C345))</f>
        <v/>
      </c>
      <c r="I345" s="7" t="n"/>
      <c r="J345" s="9">
        <f>IF($I345&lt;&gt;"",$I345,SUMIFS(Assumptions!$P$4:$P$93,Assumptions!$M$4:$M$93,$C345,Assumptions!$N$4:$N$93,$E345,Assumptions!$O$4:$O$93,"LVN"))</f>
        <v/>
      </c>
      <c r="K345" s="7" t="n"/>
      <c r="L345" s="9">
        <f>IF($K345&lt;&gt;"",$K345,SUMIFS(Assumptions!$P$4:$P$93,Assumptions!$M$4:$M$93,$C345,Assumptions!$N$4:$N$93,$E345,Assumptions!$O$4:$O$93,"HVN"))</f>
        <v/>
      </c>
      <c r="M345" s="9">
        <f>J345+L345</f>
        <v/>
      </c>
      <c r="N345" s="10">
        <f>$F345*$H345*$M345</f>
        <v/>
      </c>
    </row>
    <row r="346">
      <c r="A346" s="4" t="inlineStr">
        <is>
          <t>UNIT</t>
        </is>
      </c>
      <c r="B346" s="5" t="inlineStr">
        <is>
          <t>CITGO_LAKE_CHARLES</t>
        </is>
      </c>
      <c r="C346" s="5" t="n">
        <v>3</v>
      </c>
      <c r="D346" s="5" t="inlineStr">
        <is>
          <t>VDU</t>
        </is>
      </c>
      <c r="E346" s="5" t="inlineStr">
        <is>
          <t>VDU</t>
        </is>
      </c>
      <c r="F346" s="6" t="n">
        <v>230</v>
      </c>
      <c r="G346" s="7" t="n">
        <v>0.617</v>
      </c>
      <c r="H346" s="8">
        <f>IF($G346&lt;&gt;"",$G346,SUMIFS(Assumptions!$K$4:$K$8,Assumptions!$J$4:$J$8,$C346))</f>
        <v/>
      </c>
      <c r="I346" s="7" t="n"/>
      <c r="J346" s="9">
        <f>IF($I346&lt;&gt;"",$I346,SUMIFS(Assumptions!$P$4:$P$93,Assumptions!$M$4:$M$93,$C346,Assumptions!$N$4:$N$93,$E346,Assumptions!$O$4:$O$93,"LVN"))</f>
        <v/>
      </c>
      <c r="K346" s="7" t="n"/>
      <c r="L346" s="9">
        <f>IF($K346&lt;&gt;"",$K346,SUMIFS(Assumptions!$P$4:$P$93,Assumptions!$M$4:$M$93,$C346,Assumptions!$N$4:$N$93,$E346,Assumptions!$O$4:$O$93,"HVN"))</f>
        <v/>
      </c>
      <c r="M346" s="9">
        <f>J346+L346</f>
        <v/>
      </c>
      <c r="N346" s="10">
        <f>$F346*$H346*$M346</f>
        <v/>
      </c>
    </row>
    <row r="347">
      <c r="A347" s="4" t="inlineStr">
        <is>
          <t>UNIT</t>
        </is>
      </c>
      <c r="B347" s="5" t="inlineStr">
        <is>
          <t>CITGO_LAKE_CHARLES</t>
        </is>
      </c>
      <c r="C347" s="5" t="n">
        <v>3</v>
      </c>
      <c r="D347" s="5" t="inlineStr">
        <is>
          <t>FCC</t>
        </is>
      </c>
      <c r="E347" s="5" t="inlineStr">
        <is>
          <t>FCC</t>
        </is>
      </c>
      <c r="F347" s="6" t="n">
        <v>148</v>
      </c>
      <c r="G347" s="7" t="n">
        <v>0.701</v>
      </c>
      <c r="H347" s="8">
        <f>IF($G347&lt;&gt;"",$G347,SUMIFS(Assumptions!$K$4:$K$8,Assumptions!$J$4:$J$8,$C347))</f>
        <v/>
      </c>
      <c r="I347" s="7" t="n"/>
      <c r="J347" s="9">
        <f>IF($I347&lt;&gt;"",$I347,SUMIFS(Assumptions!$P$4:$P$93,Assumptions!$M$4:$M$93,$C347,Assumptions!$N$4:$N$93,$E347,Assumptions!$O$4:$O$93,"LVN"))</f>
        <v/>
      </c>
      <c r="K347" s="7" t="n"/>
      <c r="L347" s="9">
        <f>IF($K347&lt;&gt;"",$K347,SUMIFS(Assumptions!$P$4:$P$93,Assumptions!$M$4:$M$93,$C347,Assumptions!$N$4:$N$93,$E347,Assumptions!$O$4:$O$93,"HVN"))</f>
        <v/>
      </c>
      <c r="M347" s="9">
        <f>J347+L347</f>
        <v/>
      </c>
      <c r="N347" s="10">
        <f>$F347*$H347*$M347</f>
        <v/>
      </c>
    </row>
    <row r="348">
      <c r="A348" s="4" t="inlineStr">
        <is>
          <t>UNIT</t>
        </is>
      </c>
      <c r="B348" s="5" t="inlineStr">
        <is>
          <t>CITGO_LAKE_CHARLES</t>
        </is>
      </c>
      <c r="C348" s="5" t="n">
        <v>3</v>
      </c>
      <c r="D348" s="5" t="inlineStr">
        <is>
          <t>DHCU</t>
        </is>
      </c>
      <c r="E348" s="5" t="inlineStr">
        <is>
          <t>HYDROCRACKER</t>
        </is>
      </c>
      <c r="F348" s="6" t="n">
        <v>51.2</v>
      </c>
      <c r="G348" s="7" t="n">
        <v>0.733</v>
      </c>
      <c r="H348" s="8">
        <f>IF($G348&lt;&gt;"",$G348,SUMIFS(Assumptions!$K$4:$K$8,Assumptions!$J$4:$J$8,$C348))</f>
        <v/>
      </c>
      <c r="I348" s="7" t="n"/>
      <c r="J348" s="9">
        <f>IF($I348&lt;&gt;"",$I348,SUMIFS(Assumptions!$P$4:$P$93,Assumptions!$M$4:$M$93,$C348,Assumptions!$N$4:$N$93,$E348,Assumptions!$O$4:$O$93,"LVN"))</f>
        <v/>
      </c>
      <c r="K348" s="7" t="n"/>
      <c r="L348" s="9">
        <f>IF($K348&lt;&gt;"",$K348,SUMIFS(Assumptions!$P$4:$P$93,Assumptions!$M$4:$M$93,$C348,Assumptions!$N$4:$N$93,$E348,Assumptions!$O$4:$O$93,"HVN"))</f>
        <v/>
      </c>
      <c r="M348" s="9">
        <f>J348+L348</f>
        <v/>
      </c>
      <c r="N348" s="10">
        <f>$F348*$H348*$M348</f>
        <v/>
      </c>
    </row>
    <row r="349">
      <c r="A349" s="4" t="inlineStr">
        <is>
          <t>UNIT</t>
        </is>
      </c>
      <c r="B349" s="5" t="inlineStr">
        <is>
          <t>CITGO_LAKE_CHARLES</t>
        </is>
      </c>
      <c r="C349" s="5" t="n">
        <v>3</v>
      </c>
      <c r="D349" s="5" t="inlineStr">
        <is>
          <t>COKER</t>
        </is>
      </c>
      <c r="E349" s="5" t="inlineStr">
        <is>
          <t>COKER</t>
        </is>
      </c>
      <c r="F349" s="6" t="n">
        <v>110</v>
      </c>
      <c r="G349" s="7" t="n">
        <v>0.596</v>
      </c>
      <c r="H349" s="8">
        <f>IF($G349&lt;&gt;"",$G349,SUMIFS(Assumptions!$K$4:$K$8,Assumptions!$J$4:$J$8,$C349))</f>
        <v/>
      </c>
      <c r="I349" s="7" t="n"/>
      <c r="J349" s="9">
        <f>IF($I349&lt;&gt;"",$I349,SUMIFS(Assumptions!$P$4:$P$93,Assumptions!$M$4:$M$93,$C349,Assumptions!$N$4:$N$93,$E349,Assumptions!$O$4:$O$93,"LVN"))</f>
        <v/>
      </c>
      <c r="K349" s="7" t="n"/>
      <c r="L349" s="9">
        <f>IF($K349&lt;&gt;"",$K349,SUMIFS(Assumptions!$P$4:$P$93,Assumptions!$M$4:$M$93,$C349,Assumptions!$N$4:$N$93,$E349,Assumptions!$O$4:$O$93,"HVN"))</f>
        <v/>
      </c>
      <c r="M349" s="9">
        <f>J349+L349</f>
        <v/>
      </c>
      <c r="N349" s="10">
        <f>$F349*$H349*$M349</f>
        <v/>
      </c>
    </row>
    <row r="350">
      <c r="A350" s="4" t="inlineStr">
        <is>
          <t>UNIT</t>
        </is>
      </c>
      <c r="B350" s="5" t="inlineStr">
        <is>
          <t>CITGO_LAKE_CHARLES</t>
        </is>
      </c>
      <c r="C350" s="5" t="n">
        <v>3</v>
      </c>
      <c r="D350" s="5" t="inlineStr">
        <is>
          <t>CCR</t>
        </is>
      </c>
      <c r="E350" s="5" t="inlineStr">
        <is>
          <t>REFORMER</t>
        </is>
      </c>
      <c r="F350" s="6" t="n">
        <v>65</v>
      </c>
      <c r="G350" s="7" t="n">
        <v>0.985</v>
      </c>
      <c r="H350" s="8">
        <f>IF($G350&lt;&gt;"",$G350,SUMIFS(Assumptions!$K$4:$K$8,Assumptions!$J$4:$J$8,$C350))</f>
        <v/>
      </c>
      <c r="I350" s="7" t="n"/>
      <c r="J350" s="9">
        <f>IF($I350&lt;&gt;"",$I350,SUMIFS(Assumptions!$P$4:$P$93,Assumptions!$M$4:$M$93,$C350,Assumptions!$N$4:$N$93,$E350,Assumptions!$O$4:$O$93,"LVN"))</f>
        <v/>
      </c>
      <c r="K350" s="7" t="n"/>
      <c r="L350" s="9">
        <f>IF($K350&lt;&gt;"",$K350,SUMIFS(Assumptions!$P$4:$P$93,Assumptions!$M$4:$M$93,$C350,Assumptions!$N$4:$N$93,$E350,Assumptions!$O$4:$O$93,"HVN"))</f>
        <v/>
      </c>
      <c r="M350" s="9">
        <f>J350+L350</f>
        <v/>
      </c>
      <c r="N350" s="10">
        <f>$F350*$H350*$M350</f>
        <v/>
      </c>
    </row>
    <row r="351">
      <c r="A351" s="4" t="inlineStr">
        <is>
          <t>UNIT</t>
        </is>
      </c>
      <c r="B351" s="5" t="inlineStr">
        <is>
          <t>CITGO_LAKE_CHARLES</t>
        </is>
      </c>
      <c r="C351" s="5" t="n">
        <v>3</v>
      </c>
      <c r="D351" s="5" t="inlineStr">
        <is>
          <t>REF</t>
        </is>
      </c>
      <c r="E351" s="5" t="inlineStr">
        <is>
          <t>REFORMER</t>
        </is>
      </c>
      <c r="F351" s="6" t="n">
        <v>53.2</v>
      </c>
      <c r="G351" s="7" t="n">
        <v>0.872</v>
      </c>
      <c r="H351" s="8">
        <f>IF($G351&lt;&gt;"",$G351,SUMIFS(Assumptions!$K$4:$K$8,Assumptions!$J$4:$J$8,$C351))</f>
        <v/>
      </c>
      <c r="I351" s="7" t="n"/>
      <c r="J351" s="9">
        <f>IF($I351&lt;&gt;"",$I351,SUMIFS(Assumptions!$P$4:$P$93,Assumptions!$M$4:$M$93,$C351,Assumptions!$N$4:$N$93,$E351,Assumptions!$O$4:$O$93,"LVN"))</f>
        <v/>
      </c>
      <c r="K351" s="7" t="n"/>
      <c r="L351" s="9">
        <f>IF($K351&lt;&gt;"",$K351,SUMIFS(Assumptions!$P$4:$P$93,Assumptions!$M$4:$M$93,$C351,Assumptions!$N$4:$N$93,$E351,Assumptions!$O$4:$O$93,"HVN"))</f>
        <v/>
      </c>
      <c r="M351" s="9">
        <f>J351+L351</f>
        <v/>
      </c>
      <c r="N351" s="10">
        <f>$F351*$H351*$M351</f>
        <v/>
      </c>
    </row>
    <row r="352">
      <c r="A352" s="4" t="inlineStr">
        <is>
          <t>UNIT</t>
        </is>
      </c>
      <c r="B352" s="5" t="inlineStr">
        <is>
          <t>CITGO_LAKE_CHARLES</t>
        </is>
      </c>
      <c r="C352" s="5" t="n">
        <v>3</v>
      </c>
      <c r="D352" s="5" t="inlineStr">
        <is>
          <t>ISOM</t>
        </is>
      </c>
      <c r="E352" s="5" t="inlineStr">
        <is>
          <t>ISOM</t>
        </is>
      </c>
      <c r="F352" s="6" t="n">
        <v>28</v>
      </c>
      <c r="G352" s="7" t="n">
        <v>0.464</v>
      </c>
      <c r="H352" s="8">
        <f>IF($G352&lt;&gt;"",$G352,SUMIFS(Assumptions!$K$4:$K$8,Assumptions!$J$4:$J$8,$C352))</f>
        <v/>
      </c>
      <c r="I352" s="7" t="n"/>
      <c r="J352" s="9">
        <f>IF($I352&lt;&gt;"",$I352,SUMIFS(Assumptions!$P$4:$P$93,Assumptions!$M$4:$M$93,$C352,Assumptions!$N$4:$N$93,$E352,Assumptions!$O$4:$O$93,"LVN"))</f>
        <v/>
      </c>
      <c r="K352" s="7" t="n"/>
      <c r="L352" s="9">
        <f>IF($K352&lt;&gt;"",$K352,SUMIFS(Assumptions!$P$4:$P$93,Assumptions!$M$4:$M$93,$C352,Assumptions!$N$4:$N$93,$E352,Assumptions!$O$4:$O$93,"HVN"))</f>
        <v/>
      </c>
      <c r="M352" s="9">
        <f>J352+L352</f>
        <v/>
      </c>
      <c r="N352" s="10">
        <f>$F352*$H352*$M352</f>
        <v/>
      </c>
    </row>
    <row r="353">
      <c r="A353" s="4" t="inlineStr">
        <is>
          <t>UNIT</t>
        </is>
      </c>
      <c r="B353" s="5" t="inlineStr">
        <is>
          <t>CITGO_LAKE_CHARLES</t>
        </is>
      </c>
      <c r="C353" s="5" t="n">
        <v>3</v>
      </c>
      <c r="D353" s="5" t="inlineStr">
        <is>
          <t>ALKY</t>
        </is>
      </c>
      <c r="E353" s="5" t="inlineStr">
        <is>
          <t>ALKY</t>
        </is>
      </c>
      <c r="F353" s="6" t="n">
        <v>28.1</v>
      </c>
      <c r="G353" s="7" t="n">
        <v>1.1</v>
      </c>
      <c r="H353" s="8">
        <f>IF($G353&lt;&gt;"",$G353,SUMIFS(Assumptions!$K$4:$K$8,Assumptions!$J$4:$J$8,$C353))</f>
        <v/>
      </c>
      <c r="I353" s="7" t="n"/>
      <c r="J353" s="9">
        <f>IF($I353&lt;&gt;"",$I353,SUMIFS(Assumptions!$P$4:$P$93,Assumptions!$M$4:$M$93,$C353,Assumptions!$N$4:$N$93,$E353,Assumptions!$O$4:$O$93,"LVN"))</f>
        <v/>
      </c>
      <c r="K353" s="7" t="n"/>
      <c r="L353" s="9">
        <f>IF($K353&lt;&gt;"",$K353,SUMIFS(Assumptions!$P$4:$P$93,Assumptions!$M$4:$M$93,$C353,Assumptions!$N$4:$N$93,$E353,Assumptions!$O$4:$O$93,"HVN"))</f>
        <v/>
      </c>
      <c r="M353" s="9">
        <f>J353+L353</f>
        <v/>
      </c>
      <c r="N353" s="10">
        <f>$F353*$H353*$M353</f>
        <v/>
      </c>
    </row>
    <row r="354">
      <c r="A354" s="11" t="inlineStr">
        <is>
          <t>TOTAL</t>
        </is>
      </c>
      <c r="B354" s="12" t="inlineStr">
        <is>
          <t>CITGO_LAKE_CHARLES</t>
        </is>
      </c>
      <c r="C354" s="12" t="n">
        <v>3</v>
      </c>
      <c r="D354" s="12" t="inlineStr">
        <is>
          <t>NET NAPHTHA</t>
        </is>
      </c>
      <c r="N354" s="13">
        <f>SUM(N345:N353)</f>
        <v/>
      </c>
    </row>
    <row r="356">
      <c r="A356" s="1" t="inlineStr">
        <is>
          <t xml:space="preserve">  Valero Port Arthur  [VALERO_PORT_ARTHUR]   —   Valero   —   PADD 3   —   crude 435 kbd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</row>
    <row r="357">
      <c r="A357" s="4" t="inlineStr">
        <is>
          <t>UNIT</t>
        </is>
      </c>
      <c r="B357" s="5" t="inlineStr">
        <is>
          <t>VALERO_PORT_ARTHUR</t>
        </is>
      </c>
      <c r="C357" s="5" t="n">
        <v>3</v>
      </c>
      <c r="D357" s="5" t="inlineStr">
        <is>
          <t>CDU</t>
        </is>
      </c>
      <c r="E357" s="5" t="inlineStr">
        <is>
          <t>CDU</t>
        </is>
      </c>
      <c r="F357" s="6" t="n">
        <v>415</v>
      </c>
      <c r="G357" s="7" t="n">
        <v>0.669</v>
      </c>
      <c r="H357" s="8">
        <f>IF($G357&lt;&gt;"",$G357,SUMIFS(Assumptions!$K$4:$K$8,Assumptions!$J$4:$J$8,$C357))</f>
        <v/>
      </c>
      <c r="I357" s="7" t="n"/>
      <c r="J357" s="9">
        <f>IF($I357&lt;&gt;"",$I357,SUMIFS(Assumptions!$P$4:$P$93,Assumptions!$M$4:$M$93,$C357,Assumptions!$N$4:$N$93,$E357,Assumptions!$O$4:$O$93,"LVN"))</f>
        <v/>
      </c>
      <c r="K357" s="7" t="n"/>
      <c r="L357" s="9">
        <f>IF($K357&lt;&gt;"",$K357,SUMIFS(Assumptions!$P$4:$P$93,Assumptions!$M$4:$M$93,$C357,Assumptions!$N$4:$N$93,$E357,Assumptions!$O$4:$O$93,"HVN"))</f>
        <v/>
      </c>
      <c r="M357" s="9">
        <f>J357+L357</f>
        <v/>
      </c>
      <c r="N357" s="10">
        <f>$F357*$H357*$M357</f>
        <v/>
      </c>
    </row>
    <row r="358">
      <c r="A358" s="4" t="inlineStr">
        <is>
          <t>UNIT</t>
        </is>
      </c>
      <c r="B358" s="5" t="inlineStr">
        <is>
          <t>VALERO_PORT_ARTHUR</t>
        </is>
      </c>
      <c r="C358" s="5" t="n">
        <v>3</v>
      </c>
      <c r="D358" s="5" t="inlineStr">
        <is>
          <t>VDU</t>
        </is>
      </c>
      <c r="E358" s="5" t="inlineStr">
        <is>
          <t>VDU</t>
        </is>
      </c>
      <c r="F358" s="6" t="n">
        <v>220</v>
      </c>
      <c r="G358" s="7" t="n">
        <v>0.735</v>
      </c>
      <c r="H358" s="8">
        <f>IF($G358&lt;&gt;"",$G358,SUMIFS(Assumptions!$K$4:$K$8,Assumptions!$J$4:$J$8,$C358))</f>
        <v/>
      </c>
      <c r="I358" s="7" t="n"/>
      <c r="J358" s="9">
        <f>IF($I358&lt;&gt;"",$I358,SUMIFS(Assumptions!$P$4:$P$93,Assumptions!$M$4:$M$93,$C358,Assumptions!$N$4:$N$93,$E358,Assumptions!$O$4:$O$93,"LVN"))</f>
        <v/>
      </c>
      <c r="K358" s="7" t="n"/>
      <c r="L358" s="9">
        <f>IF($K358&lt;&gt;"",$K358,SUMIFS(Assumptions!$P$4:$P$93,Assumptions!$M$4:$M$93,$C358,Assumptions!$N$4:$N$93,$E358,Assumptions!$O$4:$O$93,"HVN"))</f>
        <v/>
      </c>
      <c r="M358" s="9">
        <f>J358+L358</f>
        <v/>
      </c>
      <c r="N358" s="10">
        <f>$F358*$H358*$M358</f>
        <v/>
      </c>
    </row>
    <row r="359">
      <c r="A359" s="4" t="inlineStr">
        <is>
          <t>UNIT</t>
        </is>
      </c>
      <c r="B359" s="5" t="inlineStr">
        <is>
          <t>VALERO_PORT_ARTHUR</t>
        </is>
      </c>
      <c r="C359" s="5" t="n">
        <v>3</v>
      </c>
      <c r="D359" s="5" t="inlineStr">
        <is>
          <t>FCC</t>
        </is>
      </c>
      <c r="E359" s="5" t="inlineStr">
        <is>
          <t>FCC</t>
        </is>
      </c>
      <c r="F359" s="6" t="n">
        <v>75</v>
      </c>
      <c r="G359" s="7" t="n">
        <v>0.638</v>
      </c>
      <c r="H359" s="8">
        <f>IF($G359&lt;&gt;"",$G359,SUMIFS(Assumptions!$K$4:$K$8,Assumptions!$J$4:$J$8,$C359))</f>
        <v/>
      </c>
      <c r="I359" s="7" t="n"/>
      <c r="J359" s="9">
        <f>IF($I359&lt;&gt;"",$I359,SUMIFS(Assumptions!$P$4:$P$93,Assumptions!$M$4:$M$93,$C359,Assumptions!$N$4:$N$93,$E359,Assumptions!$O$4:$O$93,"LVN"))</f>
        <v/>
      </c>
      <c r="K359" s="7" t="n"/>
      <c r="L359" s="9">
        <f>IF($K359&lt;&gt;"",$K359,SUMIFS(Assumptions!$P$4:$P$93,Assumptions!$M$4:$M$93,$C359,Assumptions!$N$4:$N$93,$E359,Assumptions!$O$4:$O$93,"HVN"))</f>
        <v/>
      </c>
      <c r="M359" s="9">
        <f>J359+L359</f>
        <v/>
      </c>
      <c r="N359" s="10">
        <f>$F359*$H359*$M359</f>
        <v/>
      </c>
    </row>
    <row r="360">
      <c r="A360" s="4" t="inlineStr">
        <is>
          <t>UNIT</t>
        </is>
      </c>
      <c r="B360" s="5" t="inlineStr">
        <is>
          <t>VALERO_PORT_ARTHUR</t>
        </is>
      </c>
      <c r="C360" s="5" t="n">
        <v>3</v>
      </c>
      <c r="D360" s="5" t="inlineStr">
        <is>
          <t>DHCU</t>
        </is>
      </c>
      <c r="E360" s="5" t="inlineStr">
        <is>
          <t>HYDROCRACKER</t>
        </is>
      </c>
      <c r="F360" s="6" t="n">
        <v>134.8</v>
      </c>
      <c r="G360" s="7" t="n">
        <v>0.386</v>
      </c>
      <c r="H360" s="8">
        <f>IF($G360&lt;&gt;"",$G360,SUMIFS(Assumptions!$K$4:$K$8,Assumptions!$J$4:$J$8,$C360))</f>
        <v/>
      </c>
      <c r="I360" s="7" t="n"/>
      <c r="J360" s="9">
        <f>IF($I360&lt;&gt;"",$I360,SUMIFS(Assumptions!$P$4:$P$93,Assumptions!$M$4:$M$93,$C360,Assumptions!$N$4:$N$93,$E360,Assumptions!$O$4:$O$93,"LVN"))</f>
        <v/>
      </c>
      <c r="K360" s="7" t="n"/>
      <c r="L360" s="9">
        <f>IF($K360&lt;&gt;"",$K360,SUMIFS(Assumptions!$P$4:$P$93,Assumptions!$M$4:$M$93,$C360,Assumptions!$N$4:$N$93,$E360,Assumptions!$O$4:$O$93,"HVN"))</f>
        <v/>
      </c>
      <c r="M360" s="9">
        <f>J360+L360</f>
        <v/>
      </c>
      <c r="N360" s="10">
        <f>$F360*$H360*$M360</f>
        <v/>
      </c>
    </row>
    <row r="361">
      <c r="A361" s="4" t="inlineStr">
        <is>
          <t>UNIT</t>
        </is>
      </c>
      <c r="B361" s="5" t="inlineStr">
        <is>
          <t>VALERO_PORT_ARTHUR</t>
        </is>
      </c>
      <c r="C361" s="5" t="n">
        <v>3</v>
      </c>
      <c r="D361" s="5" t="inlineStr">
        <is>
          <t>COKER</t>
        </is>
      </c>
      <c r="E361" s="5" t="inlineStr">
        <is>
          <t>COKER</t>
        </is>
      </c>
      <c r="F361" s="6" t="n">
        <v>158</v>
      </c>
      <c r="G361" s="7" t="n">
        <v>0.621</v>
      </c>
      <c r="H361" s="8">
        <f>IF($G361&lt;&gt;"",$G361,SUMIFS(Assumptions!$K$4:$K$8,Assumptions!$J$4:$J$8,$C361))</f>
        <v/>
      </c>
      <c r="I361" s="7" t="n"/>
      <c r="J361" s="9">
        <f>IF($I361&lt;&gt;"",$I361,SUMIFS(Assumptions!$P$4:$P$93,Assumptions!$M$4:$M$93,$C361,Assumptions!$N$4:$N$93,$E361,Assumptions!$O$4:$O$93,"LVN"))</f>
        <v/>
      </c>
      <c r="K361" s="7" t="n"/>
      <c r="L361" s="9">
        <f>IF($K361&lt;&gt;"",$K361,SUMIFS(Assumptions!$P$4:$P$93,Assumptions!$M$4:$M$93,$C361,Assumptions!$N$4:$N$93,$E361,Assumptions!$O$4:$O$93,"HVN"))</f>
        <v/>
      </c>
      <c r="M361" s="9">
        <f>J361+L361</f>
        <v/>
      </c>
      <c r="N361" s="10">
        <f>$F361*$H361*$M361</f>
        <v/>
      </c>
    </row>
    <row r="362">
      <c r="A362" s="4" t="inlineStr">
        <is>
          <t>UNIT</t>
        </is>
      </c>
      <c r="B362" s="5" t="inlineStr">
        <is>
          <t>VALERO_PORT_ARTHUR</t>
        </is>
      </c>
      <c r="C362" s="5" t="n">
        <v>3</v>
      </c>
      <c r="D362" s="5" t="inlineStr">
        <is>
          <t>CCR</t>
        </is>
      </c>
      <c r="E362" s="5" t="inlineStr">
        <is>
          <t>REFORMER</t>
        </is>
      </c>
      <c r="F362" s="6" t="n">
        <v>55</v>
      </c>
      <c r="G362" s="7" t="n">
        <v>0.89</v>
      </c>
      <c r="H362" s="8">
        <f>IF($G362&lt;&gt;"",$G362,SUMIFS(Assumptions!$K$4:$K$8,Assumptions!$J$4:$J$8,$C362))</f>
        <v/>
      </c>
      <c r="I362" s="7" t="n"/>
      <c r="J362" s="9">
        <f>IF($I362&lt;&gt;"",$I362,SUMIFS(Assumptions!$P$4:$P$93,Assumptions!$M$4:$M$93,$C362,Assumptions!$N$4:$N$93,$E362,Assumptions!$O$4:$O$93,"LVN"))</f>
        <v/>
      </c>
      <c r="K362" s="7" t="n"/>
      <c r="L362" s="9">
        <f>IF($K362&lt;&gt;"",$K362,SUMIFS(Assumptions!$P$4:$P$93,Assumptions!$M$4:$M$93,$C362,Assumptions!$N$4:$N$93,$E362,Assumptions!$O$4:$O$93,"HVN"))</f>
        <v/>
      </c>
      <c r="M362" s="9">
        <f>J362+L362</f>
        <v/>
      </c>
      <c r="N362" s="10">
        <f>$F362*$H362*$M362</f>
        <v/>
      </c>
    </row>
    <row r="363">
      <c r="A363" s="4" t="inlineStr">
        <is>
          <t>UNIT</t>
        </is>
      </c>
      <c r="B363" s="5" t="inlineStr">
        <is>
          <t>VALERO_PORT_ARTHUR</t>
        </is>
      </c>
      <c r="C363" s="5" t="n">
        <v>3</v>
      </c>
      <c r="D363" s="5" t="inlineStr">
        <is>
          <t>ALKY</t>
        </is>
      </c>
      <c r="E363" s="5" t="inlineStr">
        <is>
          <t>ALKY</t>
        </is>
      </c>
      <c r="F363" s="6" t="n">
        <v>19.5</v>
      </c>
      <c r="G363" s="7" t="n">
        <v>1.1</v>
      </c>
      <c r="H363" s="8">
        <f>IF($G363&lt;&gt;"",$G363,SUMIFS(Assumptions!$K$4:$K$8,Assumptions!$J$4:$J$8,$C363))</f>
        <v/>
      </c>
      <c r="I363" s="7" t="n"/>
      <c r="J363" s="9">
        <f>IF($I363&lt;&gt;"",$I363,SUMIFS(Assumptions!$P$4:$P$93,Assumptions!$M$4:$M$93,$C363,Assumptions!$N$4:$N$93,$E363,Assumptions!$O$4:$O$93,"LVN"))</f>
        <v/>
      </c>
      <c r="K363" s="7" t="n"/>
      <c r="L363" s="9">
        <f>IF($K363&lt;&gt;"",$K363,SUMIFS(Assumptions!$P$4:$P$93,Assumptions!$M$4:$M$93,$C363,Assumptions!$N$4:$N$93,$E363,Assumptions!$O$4:$O$93,"HVN"))</f>
        <v/>
      </c>
      <c r="M363" s="9">
        <f>J363+L363</f>
        <v/>
      </c>
      <c r="N363" s="10">
        <f>$F363*$H363*$M363</f>
        <v/>
      </c>
    </row>
    <row r="364">
      <c r="A364" s="11" t="inlineStr">
        <is>
          <t>TOTAL</t>
        </is>
      </c>
      <c r="B364" s="12" t="inlineStr">
        <is>
          <t>VALERO_PORT_ARTHUR</t>
        </is>
      </c>
      <c r="C364" s="12" t="n">
        <v>3</v>
      </c>
      <c r="D364" s="12" t="inlineStr">
        <is>
          <t>NET NAPHTHA</t>
        </is>
      </c>
      <c r="N364" s="13">
        <f>SUM(N357:N363)</f>
        <v/>
      </c>
    </row>
    <row r="366">
      <c r="A366" s="1" t="inlineStr">
        <is>
          <t xml:space="preserve">  Chevron Pascagoula  [CHEVRON_PASCAGOULA]   —   Chevron   —   PADD 3   —   crude 370 kbd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</row>
    <row r="367">
      <c r="A367" s="4" t="inlineStr">
        <is>
          <t>UNIT</t>
        </is>
      </c>
      <c r="B367" s="5" t="inlineStr">
        <is>
          <t>CHEVRON_PASCAGOULA</t>
        </is>
      </c>
      <c r="C367" s="5" t="n">
        <v>3</v>
      </c>
      <c r="D367" s="5" t="inlineStr">
        <is>
          <t>CDU</t>
        </is>
      </c>
      <c r="E367" s="5" t="inlineStr">
        <is>
          <t>CDU</t>
        </is>
      </c>
      <c r="F367" s="6" t="n">
        <v>375.2</v>
      </c>
      <c r="G367" s="7" t="n">
        <v>0.898</v>
      </c>
      <c r="H367" s="8">
        <f>IF($G367&lt;&gt;"",$G367,SUMIFS(Assumptions!$K$4:$K$8,Assumptions!$J$4:$J$8,$C367))</f>
        <v/>
      </c>
      <c r="I367" s="7" t="n"/>
      <c r="J367" s="9">
        <f>IF($I367&lt;&gt;"",$I367,SUMIFS(Assumptions!$P$4:$P$93,Assumptions!$M$4:$M$93,$C367,Assumptions!$N$4:$N$93,$E367,Assumptions!$O$4:$O$93,"LVN"))</f>
        <v/>
      </c>
      <c r="K367" s="7" t="n"/>
      <c r="L367" s="9">
        <f>IF($K367&lt;&gt;"",$K367,SUMIFS(Assumptions!$P$4:$P$93,Assumptions!$M$4:$M$93,$C367,Assumptions!$N$4:$N$93,$E367,Assumptions!$O$4:$O$93,"HVN"))</f>
        <v/>
      </c>
      <c r="M367" s="9">
        <f>J367+L367</f>
        <v/>
      </c>
      <c r="N367" s="10">
        <f>$F367*$H367*$M367</f>
        <v/>
      </c>
    </row>
    <row r="368">
      <c r="A368" s="4" t="inlineStr">
        <is>
          <t>UNIT</t>
        </is>
      </c>
      <c r="B368" s="5" t="inlineStr">
        <is>
          <t>CHEVRON_PASCAGOULA</t>
        </is>
      </c>
      <c r="C368" s="5" t="n">
        <v>3</v>
      </c>
      <c r="D368" s="5" t="inlineStr">
        <is>
          <t>VDU</t>
        </is>
      </c>
      <c r="E368" s="5" t="inlineStr">
        <is>
          <t>VDU</t>
        </is>
      </c>
      <c r="F368" s="6" t="n">
        <v>330</v>
      </c>
      <c r="G368" s="7" t="n">
        <v>0.51</v>
      </c>
      <c r="H368" s="8">
        <f>IF($G368&lt;&gt;"",$G368,SUMIFS(Assumptions!$K$4:$K$8,Assumptions!$J$4:$J$8,$C368))</f>
        <v/>
      </c>
      <c r="I368" s="7" t="n"/>
      <c r="J368" s="9">
        <f>IF($I368&lt;&gt;"",$I368,SUMIFS(Assumptions!$P$4:$P$93,Assumptions!$M$4:$M$93,$C368,Assumptions!$N$4:$N$93,$E368,Assumptions!$O$4:$O$93,"LVN"))</f>
        <v/>
      </c>
      <c r="K368" s="7" t="n"/>
      <c r="L368" s="9">
        <f>IF($K368&lt;&gt;"",$K368,SUMIFS(Assumptions!$P$4:$P$93,Assumptions!$M$4:$M$93,$C368,Assumptions!$N$4:$N$93,$E368,Assumptions!$O$4:$O$93,"HVN"))</f>
        <v/>
      </c>
      <c r="M368" s="9">
        <f>J368+L368</f>
        <v/>
      </c>
      <c r="N368" s="10">
        <f>$F368*$H368*$M368</f>
        <v/>
      </c>
    </row>
    <row r="369">
      <c r="A369" s="4" t="inlineStr">
        <is>
          <t>UNIT</t>
        </is>
      </c>
      <c r="B369" s="5" t="inlineStr">
        <is>
          <t>CHEVRON_PASCAGOULA</t>
        </is>
      </c>
      <c r="C369" s="5" t="n">
        <v>3</v>
      </c>
      <c r="D369" s="5" t="inlineStr">
        <is>
          <t>FCC</t>
        </is>
      </c>
      <c r="E369" s="5" t="inlineStr">
        <is>
          <t>FCC</t>
        </is>
      </c>
      <c r="F369" s="6" t="n">
        <v>88</v>
      </c>
      <c r="G369" s="7" t="n">
        <v>0.844</v>
      </c>
      <c r="H369" s="8">
        <f>IF($G369&lt;&gt;"",$G369,SUMIFS(Assumptions!$K$4:$K$8,Assumptions!$J$4:$J$8,$C369))</f>
        <v/>
      </c>
      <c r="I369" s="7" t="n"/>
      <c r="J369" s="9">
        <f>IF($I369&lt;&gt;"",$I369,SUMIFS(Assumptions!$P$4:$P$93,Assumptions!$M$4:$M$93,$C369,Assumptions!$N$4:$N$93,$E369,Assumptions!$O$4:$O$93,"LVN"))</f>
        <v/>
      </c>
      <c r="K369" s="7" t="n"/>
      <c r="L369" s="9">
        <f>IF($K369&lt;&gt;"",$K369,SUMIFS(Assumptions!$P$4:$P$93,Assumptions!$M$4:$M$93,$C369,Assumptions!$N$4:$N$93,$E369,Assumptions!$O$4:$O$93,"HVN"))</f>
        <v/>
      </c>
      <c r="M369" s="9">
        <f>J369+L369</f>
        <v/>
      </c>
      <c r="N369" s="10">
        <f>$F369*$H369*$M369</f>
        <v/>
      </c>
    </row>
    <row r="370">
      <c r="A370" s="4" t="inlineStr">
        <is>
          <t>UNIT</t>
        </is>
      </c>
      <c r="B370" s="5" t="inlineStr">
        <is>
          <t>CHEVRON_PASCAGOULA</t>
        </is>
      </c>
      <c r="C370" s="5" t="n">
        <v>3</v>
      </c>
      <c r="D370" s="5" t="inlineStr">
        <is>
          <t>DHCU</t>
        </is>
      </c>
      <c r="E370" s="5" t="inlineStr">
        <is>
          <t>HYDROCRACKER</t>
        </is>
      </c>
      <c r="F370" s="6" t="n">
        <v>119</v>
      </c>
      <c r="G370" s="7" t="n">
        <v>0.622</v>
      </c>
      <c r="H370" s="8">
        <f>IF($G370&lt;&gt;"",$G370,SUMIFS(Assumptions!$K$4:$K$8,Assumptions!$J$4:$J$8,$C370))</f>
        <v/>
      </c>
      <c r="I370" s="7" t="n"/>
      <c r="J370" s="9">
        <f>IF($I370&lt;&gt;"",$I370,SUMIFS(Assumptions!$P$4:$P$93,Assumptions!$M$4:$M$93,$C370,Assumptions!$N$4:$N$93,$E370,Assumptions!$O$4:$O$93,"LVN"))</f>
        <v/>
      </c>
      <c r="K370" s="7" t="n"/>
      <c r="L370" s="9">
        <f>IF($K370&lt;&gt;"",$K370,SUMIFS(Assumptions!$P$4:$P$93,Assumptions!$M$4:$M$93,$C370,Assumptions!$N$4:$N$93,$E370,Assumptions!$O$4:$O$93,"HVN"))</f>
        <v/>
      </c>
      <c r="M370" s="9">
        <f>J370+L370</f>
        <v/>
      </c>
      <c r="N370" s="10">
        <f>$F370*$H370*$M370</f>
        <v/>
      </c>
    </row>
    <row r="371">
      <c r="A371" s="4" t="inlineStr">
        <is>
          <t>UNIT</t>
        </is>
      </c>
      <c r="B371" s="5" t="inlineStr">
        <is>
          <t>CHEVRON_PASCAGOULA</t>
        </is>
      </c>
      <c r="C371" s="5" t="n">
        <v>3</v>
      </c>
      <c r="D371" s="5" t="inlineStr">
        <is>
          <t>COKER</t>
        </is>
      </c>
      <c r="E371" s="5" t="inlineStr">
        <is>
          <t>COKER</t>
        </is>
      </c>
      <c r="F371" s="6" t="n">
        <v>104</v>
      </c>
      <c r="G371" s="7" t="n">
        <v>0.846</v>
      </c>
      <c r="H371" s="8">
        <f>IF($G371&lt;&gt;"",$G371,SUMIFS(Assumptions!$K$4:$K$8,Assumptions!$J$4:$J$8,$C371))</f>
        <v/>
      </c>
      <c r="I371" s="7" t="n"/>
      <c r="J371" s="9">
        <f>IF($I371&lt;&gt;"",$I371,SUMIFS(Assumptions!$P$4:$P$93,Assumptions!$M$4:$M$93,$C371,Assumptions!$N$4:$N$93,$E371,Assumptions!$O$4:$O$93,"LVN"))</f>
        <v/>
      </c>
      <c r="K371" s="7" t="n"/>
      <c r="L371" s="9">
        <f>IF($K371&lt;&gt;"",$K371,SUMIFS(Assumptions!$P$4:$P$93,Assumptions!$M$4:$M$93,$C371,Assumptions!$N$4:$N$93,$E371,Assumptions!$O$4:$O$93,"HVN"))</f>
        <v/>
      </c>
      <c r="M371" s="9">
        <f>J371+L371</f>
        <v/>
      </c>
      <c r="N371" s="10">
        <f>$F371*$H371*$M371</f>
        <v/>
      </c>
    </row>
    <row r="372">
      <c r="A372" s="4" t="inlineStr">
        <is>
          <t>UNIT</t>
        </is>
      </c>
      <c r="B372" s="5" t="inlineStr">
        <is>
          <t>CHEVRON_PASCAGOULA</t>
        </is>
      </c>
      <c r="C372" s="5" t="n">
        <v>3</v>
      </c>
      <c r="D372" s="5" t="inlineStr">
        <is>
          <t>CCR</t>
        </is>
      </c>
      <c r="E372" s="5" t="inlineStr">
        <is>
          <t>REFORMER</t>
        </is>
      </c>
      <c r="F372" s="6" t="n">
        <v>61.6</v>
      </c>
      <c r="G372" s="7" t="n">
        <v>0.9330000000000001</v>
      </c>
      <c r="H372" s="8">
        <f>IF($G372&lt;&gt;"",$G372,SUMIFS(Assumptions!$K$4:$K$8,Assumptions!$J$4:$J$8,$C372))</f>
        <v/>
      </c>
      <c r="I372" s="7" t="n"/>
      <c r="J372" s="9">
        <f>IF($I372&lt;&gt;"",$I372,SUMIFS(Assumptions!$P$4:$P$93,Assumptions!$M$4:$M$93,$C372,Assumptions!$N$4:$N$93,$E372,Assumptions!$O$4:$O$93,"LVN"))</f>
        <v/>
      </c>
      <c r="K372" s="7" t="n"/>
      <c r="L372" s="9">
        <f>IF($K372&lt;&gt;"",$K372,SUMIFS(Assumptions!$P$4:$P$93,Assumptions!$M$4:$M$93,$C372,Assumptions!$N$4:$N$93,$E372,Assumptions!$O$4:$O$93,"HVN"))</f>
        <v/>
      </c>
      <c r="M372" s="9">
        <f>J372+L372</f>
        <v/>
      </c>
      <c r="N372" s="10">
        <f>$F372*$H372*$M372</f>
        <v/>
      </c>
    </row>
    <row r="373">
      <c r="A373" s="4" t="inlineStr">
        <is>
          <t>UNIT</t>
        </is>
      </c>
      <c r="B373" s="5" t="inlineStr">
        <is>
          <t>CHEVRON_PASCAGOULA</t>
        </is>
      </c>
      <c r="C373" s="5" t="n">
        <v>3</v>
      </c>
      <c r="D373" s="5" t="inlineStr">
        <is>
          <t>REF</t>
        </is>
      </c>
      <c r="E373" s="5" t="inlineStr">
        <is>
          <t>REFORMER</t>
        </is>
      </c>
      <c r="F373" s="6" t="n">
        <v>40</v>
      </c>
      <c r="G373" s="7" t="n">
        <v>0.317</v>
      </c>
      <c r="H373" s="8">
        <f>IF($G373&lt;&gt;"",$G373,SUMIFS(Assumptions!$K$4:$K$8,Assumptions!$J$4:$J$8,$C373))</f>
        <v/>
      </c>
      <c r="I373" s="7" t="n"/>
      <c r="J373" s="9">
        <f>IF($I373&lt;&gt;"",$I373,SUMIFS(Assumptions!$P$4:$P$93,Assumptions!$M$4:$M$93,$C373,Assumptions!$N$4:$N$93,$E373,Assumptions!$O$4:$O$93,"LVN"))</f>
        <v/>
      </c>
      <c r="K373" s="7" t="n"/>
      <c r="L373" s="9">
        <f>IF($K373&lt;&gt;"",$K373,SUMIFS(Assumptions!$P$4:$P$93,Assumptions!$M$4:$M$93,$C373,Assumptions!$N$4:$N$93,$E373,Assumptions!$O$4:$O$93,"HVN"))</f>
        <v/>
      </c>
      <c r="M373" s="9">
        <f>J373+L373</f>
        <v/>
      </c>
      <c r="N373" s="10">
        <f>$F373*$H373*$M373</f>
        <v/>
      </c>
    </row>
    <row r="374">
      <c r="A374" s="4" t="inlineStr">
        <is>
          <t>UNIT</t>
        </is>
      </c>
      <c r="B374" s="5" t="inlineStr">
        <is>
          <t>CHEVRON_PASCAGOULA</t>
        </is>
      </c>
      <c r="C374" s="5" t="n">
        <v>3</v>
      </c>
      <c r="D374" s="5" t="inlineStr">
        <is>
          <t>ALKY</t>
        </is>
      </c>
      <c r="E374" s="5" t="inlineStr">
        <is>
          <t>ALKY</t>
        </is>
      </c>
      <c r="F374" s="6" t="n">
        <v>21.5</v>
      </c>
      <c r="G374" s="7" t="n">
        <v>0.927</v>
      </c>
      <c r="H374" s="8">
        <f>IF($G374&lt;&gt;"",$G374,SUMIFS(Assumptions!$K$4:$K$8,Assumptions!$J$4:$J$8,$C374))</f>
        <v/>
      </c>
      <c r="I374" s="7" t="n"/>
      <c r="J374" s="9">
        <f>IF($I374&lt;&gt;"",$I374,SUMIFS(Assumptions!$P$4:$P$93,Assumptions!$M$4:$M$93,$C374,Assumptions!$N$4:$N$93,$E374,Assumptions!$O$4:$O$93,"LVN"))</f>
        <v/>
      </c>
      <c r="K374" s="7" t="n"/>
      <c r="L374" s="9">
        <f>IF($K374&lt;&gt;"",$K374,SUMIFS(Assumptions!$P$4:$P$93,Assumptions!$M$4:$M$93,$C374,Assumptions!$N$4:$N$93,$E374,Assumptions!$O$4:$O$93,"HVN"))</f>
        <v/>
      </c>
      <c r="M374" s="9">
        <f>J374+L374</f>
        <v/>
      </c>
      <c r="N374" s="10">
        <f>$F374*$H374*$M374</f>
        <v/>
      </c>
    </row>
    <row r="375">
      <c r="A375" s="11" t="inlineStr">
        <is>
          <t>TOTAL</t>
        </is>
      </c>
      <c r="B375" s="12" t="inlineStr">
        <is>
          <t>CHEVRON_PASCAGOULA</t>
        </is>
      </c>
      <c r="C375" s="12" t="n">
        <v>3</v>
      </c>
      <c r="D375" s="12" t="inlineStr">
        <is>
          <t>NET NAPHTHA</t>
        </is>
      </c>
      <c r="N375" s="13">
        <f>SUM(N367:N374)</f>
        <v/>
      </c>
    </row>
    <row r="377">
      <c r="A377" s="1" t="inlineStr">
        <is>
          <t xml:space="preserve">  PEMEX Deer Park  [PEMEX_DEER_PARK]   —   PEMEX   —   PADD 3   —   crude 340 kbd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</row>
    <row r="378">
      <c r="A378" s="4" t="inlineStr">
        <is>
          <t>UNIT</t>
        </is>
      </c>
      <c r="B378" s="5" t="inlineStr">
        <is>
          <t>PEMEX_DEER_PARK</t>
        </is>
      </c>
      <c r="C378" s="5" t="n">
        <v>3</v>
      </c>
      <c r="D378" s="5" t="inlineStr">
        <is>
          <t>CDU</t>
        </is>
      </c>
      <c r="E378" s="5" t="inlineStr">
        <is>
          <t>CDU</t>
        </is>
      </c>
      <c r="F378" s="6" t="n">
        <v>340</v>
      </c>
      <c r="G378" s="7" t="n">
        <v>0.802</v>
      </c>
      <c r="H378" s="8">
        <f>IF($G378&lt;&gt;"",$G378,SUMIFS(Assumptions!$K$4:$K$8,Assumptions!$J$4:$J$8,$C378))</f>
        <v/>
      </c>
      <c r="I378" s="7" t="n"/>
      <c r="J378" s="9">
        <f>IF($I378&lt;&gt;"",$I378,SUMIFS(Assumptions!$P$4:$P$93,Assumptions!$M$4:$M$93,$C378,Assumptions!$N$4:$N$93,$E378,Assumptions!$O$4:$O$93,"LVN"))</f>
        <v/>
      </c>
      <c r="K378" s="7" t="n"/>
      <c r="L378" s="9">
        <f>IF($K378&lt;&gt;"",$K378,SUMIFS(Assumptions!$P$4:$P$93,Assumptions!$M$4:$M$93,$C378,Assumptions!$N$4:$N$93,$E378,Assumptions!$O$4:$O$93,"HVN"))</f>
        <v/>
      </c>
      <c r="M378" s="9">
        <f>J378+L378</f>
        <v/>
      </c>
      <c r="N378" s="10">
        <f>$F378*$H378*$M378</f>
        <v/>
      </c>
    </row>
    <row r="379">
      <c r="A379" s="4" t="inlineStr">
        <is>
          <t>UNIT</t>
        </is>
      </c>
      <c r="B379" s="5" t="inlineStr">
        <is>
          <t>PEMEX_DEER_PARK</t>
        </is>
      </c>
      <c r="C379" s="5" t="n">
        <v>3</v>
      </c>
      <c r="D379" s="5" t="inlineStr">
        <is>
          <t>VDU</t>
        </is>
      </c>
      <c r="E379" s="5" t="inlineStr">
        <is>
          <t>VDU</t>
        </is>
      </c>
      <c r="F379" s="6" t="n">
        <v>180</v>
      </c>
      <c r="G379" s="7" t="n">
        <v>0.608</v>
      </c>
      <c r="H379" s="8">
        <f>IF($G379&lt;&gt;"",$G379,SUMIFS(Assumptions!$K$4:$K$8,Assumptions!$J$4:$J$8,$C379))</f>
        <v/>
      </c>
      <c r="I379" s="7" t="n"/>
      <c r="J379" s="9">
        <f>IF($I379&lt;&gt;"",$I379,SUMIFS(Assumptions!$P$4:$P$93,Assumptions!$M$4:$M$93,$C379,Assumptions!$N$4:$N$93,$E379,Assumptions!$O$4:$O$93,"LVN"))</f>
        <v/>
      </c>
      <c r="K379" s="7" t="n"/>
      <c r="L379" s="9">
        <f>IF($K379&lt;&gt;"",$K379,SUMIFS(Assumptions!$P$4:$P$93,Assumptions!$M$4:$M$93,$C379,Assumptions!$N$4:$N$93,$E379,Assumptions!$O$4:$O$93,"HVN"))</f>
        <v/>
      </c>
      <c r="M379" s="9">
        <f>J379+L379</f>
        <v/>
      </c>
      <c r="N379" s="10">
        <f>$F379*$H379*$M379</f>
        <v/>
      </c>
    </row>
    <row r="380">
      <c r="A380" s="4" t="inlineStr">
        <is>
          <t>UNIT</t>
        </is>
      </c>
      <c r="B380" s="5" t="inlineStr">
        <is>
          <t>PEMEX_DEER_PARK</t>
        </is>
      </c>
      <c r="C380" s="5" t="n">
        <v>3</v>
      </c>
      <c r="D380" s="5" t="inlineStr">
        <is>
          <t>FCC</t>
        </is>
      </c>
      <c r="E380" s="5" t="inlineStr">
        <is>
          <t>FCC</t>
        </is>
      </c>
      <c r="F380" s="6" t="n">
        <v>75.09999999999999</v>
      </c>
      <c r="G380" s="7" t="n">
        <v>0.606</v>
      </c>
      <c r="H380" s="8">
        <f>IF($G380&lt;&gt;"",$G380,SUMIFS(Assumptions!$K$4:$K$8,Assumptions!$J$4:$J$8,$C380))</f>
        <v/>
      </c>
      <c r="I380" s="7" t="n"/>
      <c r="J380" s="9">
        <f>IF($I380&lt;&gt;"",$I380,SUMIFS(Assumptions!$P$4:$P$93,Assumptions!$M$4:$M$93,$C380,Assumptions!$N$4:$N$93,$E380,Assumptions!$O$4:$O$93,"LVN"))</f>
        <v/>
      </c>
      <c r="K380" s="7" t="n"/>
      <c r="L380" s="9">
        <f>IF($K380&lt;&gt;"",$K380,SUMIFS(Assumptions!$P$4:$P$93,Assumptions!$M$4:$M$93,$C380,Assumptions!$N$4:$N$93,$E380,Assumptions!$O$4:$O$93,"HVN"))</f>
        <v/>
      </c>
      <c r="M380" s="9">
        <f>J380+L380</f>
        <v/>
      </c>
      <c r="N380" s="10">
        <f>$F380*$H380*$M380</f>
        <v/>
      </c>
    </row>
    <row r="381">
      <c r="A381" s="4" t="inlineStr">
        <is>
          <t>UNIT</t>
        </is>
      </c>
      <c r="B381" s="5" t="inlineStr">
        <is>
          <t>PEMEX_DEER_PARK</t>
        </is>
      </c>
      <c r="C381" s="5" t="n">
        <v>3</v>
      </c>
      <c r="D381" s="5" t="inlineStr">
        <is>
          <t>DHCU</t>
        </is>
      </c>
      <c r="E381" s="5" t="inlineStr">
        <is>
          <t>HYDROCRACKER</t>
        </is>
      </c>
      <c r="F381" s="6" t="n">
        <v>60</v>
      </c>
      <c r="G381" s="7" t="n">
        <v>0</v>
      </c>
      <c r="H381" s="8">
        <f>IF($G381&lt;&gt;"",$G381,SUMIFS(Assumptions!$K$4:$K$8,Assumptions!$J$4:$J$8,$C381))</f>
        <v/>
      </c>
      <c r="I381" s="7" t="n"/>
      <c r="J381" s="9">
        <f>IF($I381&lt;&gt;"",$I381,SUMIFS(Assumptions!$P$4:$P$93,Assumptions!$M$4:$M$93,$C381,Assumptions!$N$4:$N$93,$E381,Assumptions!$O$4:$O$93,"LVN"))</f>
        <v/>
      </c>
      <c r="K381" s="7" t="n"/>
      <c r="L381" s="9">
        <f>IF($K381&lt;&gt;"",$K381,SUMIFS(Assumptions!$P$4:$P$93,Assumptions!$M$4:$M$93,$C381,Assumptions!$N$4:$N$93,$E381,Assumptions!$O$4:$O$93,"HVN"))</f>
        <v/>
      </c>
      <c r="M381" s="9">
        <f>J381+L381</f>
        <v/>
      </c>
      <c r="N381" s="10">
        <f>$F381*$H381*$M381</f>
        <v/>
      </c>
    </row>
    <row r="382">
      <c r="A382" s="4" t="inlineStr">
        <is>
          <t>UNIT</t>
        </is>
      </c>
      <c r="B382" s="5" t="inlineStr">
        <is>
          <t>PEMEX_DEER_PARK</t>
        </is>
      </c>
      <c r="C382" s="5" t="n">
        <v>3</v>
      </c>
      <c r="D382" s="5" t="inlineStr">
        <is>
          <t>COKER</t>
        </is>
      </c>
      <c r="E382" s="5" t="inlineStr">
        <is>
          <t>COKER</t>
        </is>
      </c>
      <c r="F382" s="6" t="n">
        <v>96</v>
      </c>
      <c r="G382" s="7" t="n">
        <v>0.6</v>
      </c>
      <c r="H382" s="8">
        <f>IF($G382&lt;&gt;"",$G382,SUMIFS(Assumptions!$K$4:$K$8,Assumptions!$J$4:$J$8,$C382))</f>
        <v/>
      </c>
      <c r="I382" s="7" t="n"/>
      <c r="J382" s="9">
        <f>IF($I382&lt;&gt;"",$I382,SUMIFS(Assumptions!$P$4:$P$93,Assumptions!$M$4:$M$93,$C382,Assumptions!$N$4:$N$93,$E382,Assumptions!$O$4:$O$93,"LVN"))</f>
        <v/>
      </c>
      <c r="K382" s="7" t="n"/>
      <c r="L382" s="9">
        <f>IF($K382&lt;&gt;"",$K382,SUMIFS(Assumptions!$P$4:$P$93,Assumptions!$M$4:$M$93,$C382,Assumptions!$N$4:$N$93,$E382,Assumptions!$O$4:$O$93,"HVN"))</f>
        <v/>
      </c>
      <c r="M382" s="9">
        <f>J382+L382</f>
        <v/>
      </c>
      <c r="N382" s="10">
        <f>$F382*$H382*$M382</f>
        <v/>
      </c>
    </row>
    <row r="383">
      <c r="A383" s="4" t="inlineStr">
        <is>
          <t>UNIT</t>
        </is>
      </c>
      <c r="B383" s="5" t="inlineStr">
        <is>
          <t>PEMEX_DEER_PARK</t>
        </is>
      </c>
      <c r="C383" s="5" t="n">
        <v>3</v>
      </c>
      <c r="D383" s="5" t="inlineStr">
        <is>
          <t>CCR</t>
        </is>
      </c>
      <c r="E383" s="5" t="inlineStr">
        <is>
          <t>REFORMER</t>
        </is>
      </c>
      <c r="F383" s="6" t="n">
        <v>44</v>
      </c>
      <c r="G383" s="7" t="n">
        <v>0.974</v>
      </c>
      <c r="H383" s="8">
        <f>IF($G383&lt;&gt;"",$G383,SUMIFS(Assumptions!$K$4:$K$8,Assumptions!$J$4:$J$8,$C383))</f>
        <v/>
      </c>
      <c r="I383" s="7" t="n"/>
      <c r="J383" s="9">
        <f>IF($I383&lt;&gt;"",$I383,SUMIFS(Assumptions!$P$4:$P$93,Assumptions!$M$4:$M$93,$C383,Assumptions!$N$4:$N$93,$E383,Assumptions!$O$4:$O$93,"LVN"))</f>
        <v/>
      </c>
      <c r="K383" s="7" t="n"/>
      <c r="L383" s="9">
        <f>IF($K383&lt;&gt;"",$K383,SUMIFS(Assumptions!$P$4:$P$93,Assumptions!$M$4:$M$93,$C383,Assumptions!$N$4:$N$93,$E383,Assumptions!$O$4:$O$93,"HVN"))</f>
        <v/>
      </c>
      <c r="M383" s="9">
        <f>J383+L383</f>
        <v/>
      </c>
      <c r="N383" s="10">
        <f>$F383*$H383*$M383</f>
        <v/>
      </c>
    </row>
    <row r="384">
      <c r="A384" s="4" t="inlineStr">
        <is>
          <t>UNIT</t>
        </is>
      </c>
      <c r="B384" s="5" t="inlineStr">
        <is>
          <t>PEMEX_DEER_PARK</t>
        </is>
      </c>
      <c r="C384" s="5" t="n">
        <v>3</v>
      </c>
      <c r="D384" s="5" t="inlineStr">
        <is>
          <t>REF</t>
        </is>
      </c>
      <c r="E384" s="5" t="inlineStr">
        <is>
          <t>REFORMER</t>
        </is>
      </c>
      <c r="F384" s="6" t="n">
        <v>24.5</v>
      </c>
      <c r="G384" s="7" t="n">
        <v>1</v>
      </c>
      <c r="H384" s="8">
        <f>IF($G384&lt;&gt;"",$G384,SUMIFS(Assumptions!$K$4:$K$8,Assumptions!$J$4:$J$8,$C384))</f>
        <v/>
      </c>
      <c r="I384" s="7" t="n"/>
      <c r="J384" s="9">
        <f>IF($I384&lt;&gt;"",$I384,SUMIFS(Assumptions!$P$4:$P$93,Assumptions!$M$4:$M$93,$C384,Assumptions!$N$4:$N$93,$E384,Assumptions!$O$4:$O$93,"LVN"))</f>
        <v/>
      </c>
      <c r="K384" s="7" t="n"/>
      <c r="L384" s="9">
        <f>IF($K384&lt;&gt;"",$K384,SUMIFS(Assumptions!$P$4:$P$93,Assumptions!$M$4:$M$93,$C384,Assumptions!$N$4:$N$93,$E384,Assumptions!$O$4:$O$93,"HVN"))</f>
        <v/>
      </c>
      <c r="M384" s="9">
        <f>J384+L384</f>
        <v/>
      </c>
      <c r="N384" s="10">
        <f>$F384*$H384*$M384</f>
        <v/>
      </c>
    </row>
    <row r="385">
      <c r="A385" s="4" t="inlineStr">
        <is>
          <t>UNIT</t>
        </is>
      </c>
      <c r="B385" s="5" t="inlineStr">
        <is>
          <t>PEMEX_DEER_PARK</t>
        </is>
      </c>
      <c r="C385" s="5" t="n">
        <v>3</v>
      </c>
      <c r="D385" s="5" t="inlineStr">
        <is>
          <t>ALKY</t>
        </is>
      </c>
      <c r="E385" s="5" t="inlineStr">
        <is>
          <t>ALKY</t>
        </is>
      </c>
      <c r="F385" s="6" t="n">
        <v>21</v>
      </c>
      <c r="G385" s="7" t="n">
        <v>0.917</v>
      </c>
      <c r="H385" s="8">
        <f>IF($G385&lt;&gt;"",$G385,SUMIFS(Assumptions!$K$4:$K$8,Assumptions!$J$4:$J$8,$C385))</f>
        <v/>
      </c>
      <c r="I385" s="7" t="n"/>
      <c r="J385" s="9">
        <f>IF($I385&lt;&gt;"",$I385,SUMIFS(Assumptions!$P$4:$P$93,Assumptions!$M$4:$M$93,$C385,Assumptions!$N$4:$N$93,$E385,Assumptions!$O$4:$O$93,"LVN"))</f>
        <v/>
      </c>
      <c r="K385" s="7" t="n"/>
      <c r="L385" s="9">
        <f>IF($K385&lt;&gt;"",$K385,SUMIFS(Assumptions!$P$4:$P$93,Assumptions!$M$4:$M$93,$C385,Assumptions!$N$4:$N$93,$E385,Assumptions!$O$4:$O$93,"HVN"))</f>
        <v/>
      </c>
      <c r="M385" s="9">
        <f>J385+L385</f>
        <v/>
      </c>
      <c r="N385" s="10">
        <f>$F385*$H385*$M385</f>
        <v/>
      </c>
    </row>
    <row r="386">
      <c r="A386" s="11" t="inlineStr">
        <is>
          <t>TOTAL</t>
        </is>
      </c>
      <c r="B386" s="12" t="inlineStr">
        <is>
          <t>PEMEX_DEER_PARK</t>
        </is>
      </c>
      <c r="C386" s="12" t="n">
        <v>3</v>
      </c>
      <c r="D386" s="12" t="inlineStr">
        <is>
          <t>NET NAPHTHA</t>
        </is>
      </c>
      <c r="N386" s="13">
        <f>SUM(N378:N385)</f>
        <v/>
      </c>
    </row>
    <row r="388">
      <c r="A388" s="1" t="inlineStr">
        <is>
          <t xml:space="preserve">  Flint Hills Resources Corpus Christi  [FLINT_CORPUS_CHRISTI]   —   Koch Industries   —   PADD 3   —   crude 330 kbd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</row>
    <row r="389">
      <c r="A389" s="4" t="inlineStr">
        <is>
          <t>UNIT</t>
        </is>
      </c>
      <c r="B389" s="5" t="inlineStr">
        <is>
          <t>FLINT_CORPUS_CHRISTI</t>
        </is>
      </c>
      <c r="C389" s="5" t="n">
        <v>3</v>
      </c>
      <c r="D389" s="5" t="inlineStr">
        <is>
          <t>CDU</t>
        </is>
      </c>
      <c r="E389" s="5" t="inlineStr">
        <is>
          <t>CDU</t>
        </is>
      </c>
      <c r="F389" s="6" t="n">
        <v>350</v>
      </c>
      <c r="G389" s="7" t="n">
        <v>0.955</v>
      </c>
      <c r="H389" s="8">
        <f>IF($G389&lt;&gt;"",$G389,SUMIFS(Assumptions!$K$4:$K$8,Assumptions!$J$4:$J$8,$C389))</f>
        <v/>
      </c>
      <c r="I389" s="7" t="n"/>
      <c r="J389" s="9">
        <f>IF($I389&lt;&gt;"",$I389,SUMIFS(Assumptions!$P$4:$P$93,Assumptions!$M$4:$M$93,$C389,Assumptions!$N$4:$N$93,$E389,Assumptions!$O$4:$O$93,"LVN"))</f>
        <v/>
      </c>
      <c r="K389" s="7" t="n"/>
      <c r="L389" s="9">
        <f>IF($K389&lt;&gt;"",$K389,SUMIFS(Assumptions!$P$4:$P$93,Assumptions!$M$4:$M$93,$C389,Assumptions!$N$4:$N$93,$E389,Assumptions!$O$4:$O$93,"HVN"))</f>
        <v/>
      </c>
      <c r="M389" s="9">
        <f>J389+L389</f>
        <v/>
      </c>
      <c r="N389" s="10">
        <f>$F389*$H389*$M389</f>
        <v/>
      </c>
    </row>
    <row r="390">
      <c r="A390" s="4" t="inlineStr">
        <is>
          <t>UNIT</t>
        </is>
      </c>
      <c r="B390" s="5" t="inlineStr">
        <is>
          <t>FLINT_CORPUS_CHRISTI</t>
        </is>
      </c>
      <c r="C390" s="5" t="n">
        <v>3</v>
      </c>
      <c r="D390" s="5" t="inlineStr">
        <is>
          <t>VDU</t>
        </is>
      </c>
      <c r="E390" s="5" t="inlineStr">
        <is>
          <t>VDU</t>
        </is>
      </c>
      <c r="F390" s="6" t="n">
        <v>87.5</v>
      </c>
      <c r="G390" s="7" t="n">
        <v>0.976</v>
      </c>
      <c r="H390" s="8">
        <f>IF($G390&lt;&gt;"",$G390,SUMIFS(Assumptions!$K$4:$K$8,Assumptions!$J$4:$J$8,$C390))</f>
        <v/>
      </c>
      <c r="I390" s="7" t="n"/>
      <c r="J390" s="9">
        <f>IF($I390&lt;&gt;"",$I390,SUMIFS(Assumptions!$P$4:$P$93,Assumptions!$M$4:$M$93,$C390,Assumptions!$N$4:$N$93,$E390,Assumptions!$O$4:$O$93,"LVN"))</f>
        <v/>
      </c>
      <c r="K390" s="7" t="n"/>
      <c r="L390" s="9">
        <f>IF($K390&lt;&gt;"",$K390,SUMIFS(Assumptions!$P$4:$P$93,Assumptions!$M$4:$M$93,$C390,Assumptions!$N$4:$N$93,$E390,Assumptions!$O$4:$O$93,"HVN"))</f>
        <v/>
      </c>
      <c r="M390" s="9">
        <f>J390+L390</f>
        <v/>
      </c>
      <c r="N390" s="10">
        <f>$F390*$H390*$M390</f>
        <v/>
      </c>
    </row>
    <row r="391">
      <c r="A391" s="4" t="inlineStr">
        <is>
          <t>UNIT</t>
        </is>
      </c>
      <c r="B391" s="5" t="inlineStr">
        <is>
          <t>FLINT_CORPUS_CHRISTI</t>
        </is>
      </c>
      <c r="C391" s="5" t="n">
        <v>3</v>
      </c>
      <c r="D391" s="5" t="inlineStr">
        <is>
          <t>FCC</t>
        </is>
      </c>
      <c r="E391" s="5" t="inlineStr">
        <is>
          <t>FCC</t>
        </is>
      </c>
      <c r="F391" s="6" t="n">
        <v>105</v>
      </c>
      <c r="G391" s="7" t="n">
        <v>0.897</v>
      </c>
      <c r="H391" s="8">
        <f>IF($G391&lt;&gt;"",$G391,SUMIFS(Assumptions!$K$4:$K$8,Assumptions!$J$4:$J$8,$C391))</f>
        <v/>
      </c>
      <c r="I391" s="7" t="n"/>
      <c r="J391" s="9">
        <f>IF($I391&lt;&gt;"",$I391,SUMIFS(Assumptions!$P$4:$P$93,Assumptions!$M$4:$M$93,$C391,Assumptions!$N$4:$N$93,$E391,Assumptions!$O$4:$O$93,"LVN"))</f>
        <v/>
      </c>
      <c r="K391" s="7" t="n"/>
      <c r="L391" s="9">
        <f>IF($K391&lt;&gt;"",$K391,SUMIFS(Assumptions!$P$4:$P$93,Assumptions!$M$4:$M$93,$C391,Assumptions!$N$4:$N$93,$E391,Assumptions!$O$4:$O$93,"HVN"))</f>
        <v/>
      </c>
      <c r="M391" s="9">
        <f>J391+L391</f>
        <v/>
      </c>
      <c r="N391" s="10">
        <f>$F391*$H391*$M391</f>
        <v/>
      </c>
    </row>
    <row r="392">
      <c r="A392" s="4" t="inlineStr">
        <is>
          <t>UNIT</t>
        </is>
      </c>
      <c r="B392" s="5" t="inlineStr">
        <is>
          <t>FLINT_CORPUS_CHRISTI</t>
        </is>
      </c>
      <c r="C392" s="5" t="n">
        <v>3</v>
      </c>
      <c r="D392" s="5" t="inlineStr">
        <is>
          <t>DHCU</t>
        </is>
      </c>
      <c r="E392" s="5" t="inlineStr">
        <is>
          <t>HYDROCRACKER</t>
        </is>
      </c>
      <c r="F392" s="6" t="n">
        <v>15</v>
      </c>
      <c r="G392" s="7" t="n">
        <v>0.961</v>
      </c>
      <c r="H392" s="8">
        <f>IF($G392&lt;&gt;"",$G392,SUMIFS(Assumptions!$K$4:$K$8,Assumptions!$J$4:$J$8,$C392))</f>
        <v/>
      </c>
      <c r="I392" s="7" t="n"/>
      <c r="J392" s="9">
        <f>IF($I392&lt;&gt;"",$I392,SUMIFS(Assumptions!$P$4:$P$93,Assumptions!$M$4:$M$93,$C392,Assumptions!$N$4:$N$93,$E392,Assumptions!$O$4:$O$93,"LVN"))</f>
        <v/>
      </c>
      <c r="K392" s="7" t="n"/>
      <c r="L392" s="9">
        <f>IF($K392&lt;&gt;"",$K392,SUMIFS(Assumptions!$P$4:$P$93,Assumptions!$M$4:$M$93,$C392,Assumptions!$N$4:$N$93,$E392,Assumptions!$O$4:$O$93,"HVN"))</f>
        <v/>
      </c>
      <c r="M392" s="9">
        <f>J392+L392</f>
        <v/>
      </c>
      <c r="N392" s="10">
        <f>$F392*$H392*$M392</f>
        <v/>
      </c>
    </row>
    <row r="393">
      <c r="A393" s="4" t="inlineStr">
        <is>
          <t>UNIT</t>
        </is>
      </c>
      <c r="B393" s="5" t="inlineStr">
        <is>
          <t>FLINT_CORPUS_CHRISTI</t>
        </is>
      </c>
      <c r="C393" s="5" t="n">
        <v>3</v>
      </c>
      <c r="D393" s="5" t="inlineStr">
        <is>
          <t>COKER</t>
        </is>
      </c>
      <c r="E393" s="5" t="inlineStr">
        <is>
          <t>COKER</t>
        </is>
      </c>
      <c r="F393" s="6" t="n">
        <v>14.5</v>
      </c>
      <c r="G393" s="7" t="n">
        <v>0.966</v>
      </c>
      <c r="H393" s="8">
        <f>IF($G393&lt;&gt;"",$G393,SUMIFS(Assumptions!$K$4:$K$8,Assumptions!$J$4:$J$8,$C393))</f>
        <v/>
      </c>
      <c r="I393" s="7" t="n"/>
      <c r="J393" s="9">
        <f>IF($I393&lt;&gt;"",$I393,SUMIFS(Assumptions!$P$4:$P$93,Assumptions!$M$4:$M$93,$C393,Assumptions!$N$4:$N$93,$E393,Assumptions!$O$4:$O$93,"LVN"))</f>
        <v/>
      </c>
      <c r="K393" s="7" t="n"/>
      <c r="L393" s="9">
        <f>IF($K393&lt;&gt;"",$K393,SUMIFS(Assumptions!$P$4:$P$93,Assumptions!$M$4:$M$93,$C393,Assumptions!$N$4:$N$93,$E393,Assumptions!$O$4:$O$93,"HVN"))</f>
        <v/>
      </c>
      <c r="M393" s="9">
        <f>J393+L393</f>
        <v/>
      </c>
      <c r="N393" s="10">
        <f>$F393*$H393*$M393</f>
        <v/>
      </c>
    </row>
    <row r="394">
      <c r="A394" s="4" t="inlineStr">
        <is>
          <t>UNIT</t>
        </is>
      </c>
      <c r="B394" s="5" t="inlineStr">
        <is>
          <t>FLINT_CORPUS_CHRISTI</t>
        </is>
      </c>
      <c r="C394" s="5" t="n">
        <v>3</v>
      </c>
      <c r="D394" s="5" t="inlineStr">
        <is>
          <t>CCR</t>
        </is>
      </c>
      <c r="E394" s="5" t="inlineStr">
        <is>
          <t>REFORMER</t>
        </is>
      </c>
      <c r="F394" s="6" t="n">
        <v>48</v>
      </c>
      <c r="G394" s="7" t="n">
        <v>0.979</v>
      </c>
      <c r="H394" s="8">
        <f>IF($G394&lt;&gt;"",$G394,SUMIFS(Assumptions!$K$4:$K$8,Assumptions!$J$4:$J$8,$C394))</f>
        <v/>
      </c>
      <c r="I394" s="7" t="n"/>
      <c r="J394" s="9">
        <f>IF($I394&lt;&gt;"",$I394,SUMIFS(Assumptions!$P$4:$P$93,Assumptions!$M$4:$M$93,$C394,Assumptions!$N$4:$N$93,$E394,Assumptions!$O$4:$O$93,"LVN"))</f>
        <v/>
      </c>
      <c r="K394" s="7" t="n"/>
      <c r="L394" s="9">
        <f>IF($K394&lt;&gt;"",$K394,SUMIFS(Assumptions!$P$4:$P$93,Assumptions!$M$4:$M$93,$C394,Assumptions!$N$4:$N$93,$E394,Assumptions!$O$4:$O$93,"HVN"))</f>
        <v/>
      </c>
      <c r="M394" s="9">
        <f>J394+L394</f>
        <v/>
      </c>
      <c r="N394" s="10">
        <f>$F394*$H394*$M394</f>
        <v/>
      </c>
    </row>
    <row r="395">
      <c r="A395" s="4" t="inlineStr">
        <is>
          <t>UNIT</t>
        </is>
      </c>
      <c r="B395" s="5" t="inlineStr">
        <is>
          <t>FLINT_CORPUS_CHRISTI</t>
        </is>
      </c>
      <c r="C395" s="5" t="n">
        <v>3</v>
      </c>
      <c r="D395" s="5" t="inlineStr">
        <is>
          <t>REF</t>
        </is>
      </c>
      <c r="E395" s="5" t="inlineStr">
        <is>
          <t>REFORMER</t>
        </is>
      </c>
      <c r="F395" s="6" t="n">
        <v>17</v>
      </c>
      <c r="G395" s="7" t="n">
        <v>0.988</v>
      </c>
      <c r="H395" s="8">
        <f>IF($G395&lt;&gt;"",$G395,SUMIFS(Assumptions!$K$4:$K$8,Assumptions!$J$4:$J$8,$C395))</f>
        <v/>
      </c>
      <c r="I395" s="7" t="n"/>
      <c r="J395" s="9">
        <f>IF($I395&lt;&gt;"",$I395,SUMIFS(Assumptions!$P$4:$P$93,Assumptions!$M$4:$M$93,$C395,Assumptions!$N$4:$N$93,$E395,Assumptions!$O$4:$O$93,"LVN"))</f>
        <v/>
      </c>
      <c r="K395" s="7" t="n"/>
      <c r="L395" s="9">
        <f>IF($K395&lt;&gt;"",$K395,SUMIFS(Assumptions!$P$4:$P$93,Assumptions!$M$4:$M$93,$C395,Assumptions!$N$4:$N$93,$E395,Assumptions!$O$4:$O$93,"HVN"))</f>
        <v/>
      </c>
      <c r="M395" s="9">
        <f>J395+L395</f>
        <v/>
      </c>
      <c r="N395" s="10">
        <f>$F395*$H395*$M395</f>
        <v/>
      </c>
    </row>
    <row r="396">
      <c r="A396" s="4" t="inlineStr">
        <is>
          <t>UNIT</t>
        </is>
      </c>
      <c r="B396" s="5" t="inlineStr">
        <is>
          <t>FLINT_CORPUS_CHRISTI</t>
        </is>
      </c>
      <c r="C396" s="5" t="n">
        <v>3</v>
      </c>
      <c r="D396" s="5" t="inlineStr">
        <is>
          <t>ISOM</t>
        </is>
      </c>
      <c r="E396" s="5" t="inlineStr">
        <is>
          <t>ISOM</t>
        </is>
      </c>
      <c r="F396" s="6" t="n">
        <v>3.5</v>
      </c>
      <c r="G396" s="7" t="n">
        <v>0.971</v>
      </c>
      <c r="H396" s="8">
        <f>IF($G396&lt;&gt;"",$G396,SUMIFS(Assumptions!$K$4:$K$8,Assumptions!$J$4:$J$8,$C396))</f>
        <v/>
      </c>
      <c r="I396" s="7" t="n"/>
      <c r="J396" s="9">
        <f>IF($I396&lt;&gt;"",$I396,SUMIFS(Assumptions!$P$4:$P$93,Assumptions!$M$4:$M$93,$C396,Assumptions!$N$4:$N$93,$E396,Assumptions!$O$4:$O$93,"LVN"))</f>
        <v/>
      </c>
      <c r="K396" s="7" t="n"/>
      <c r="L396" s="9">
        <f>IF($K396&lt;&gt;"",$K396,SUMIFS(Assumptions!$P$4:$P$93,Assumptions!$M$4:$M$93,$C396,Assumptions!$N$4:$N$93,$E396,Assumptions!$O$4:$O$93,"HVN"))</f>
        <v/>
      </c>
      <c r="M396" s="9">
        <f>J396+L396</f>
        <v/>
      </c>
      <c r="N396" s="10">
        <f>$F396*$H396*$M396</f>
        <v/>
      </c>
    </row>
    <row r="397">
      <c r="A397" s="4" t="inlineStr">
        <is>
          <t>UNIT</t>
        </is>
      </c>
      <c r="B397" s="5" t="inlineStr">
        <is>
          <t>FLINT_CORPUS_CHRISTI</t>
        </is>
      </c>
      <c r="C397" s="5" t="n">
        <v>3</v>
      </c>
      <c r="D397" s="5" t="inlineStr">
        <is>
          <t>ALKY</t>
        </is>
      </c>
      <c r="E397" s="5" t="inlineStr">
        <is>
          <t>ALKY</t>
        </is>
      </c>
      <c r="F397" s="6" t="n">
        <v>15.5</v>
      </c>
      <c r="G397" s="7" t="n">
        <v>1.1</v>
      </c>
      <c r="H397" s="8">
        <f>IF($G397&lt;&gt;"",$G397,SUMIFS(Assumptions!$K$4:$K$8,Assumptions!$J$4:$J$8,$C397))</f>
        <v/>
      </c>
      <c r="I397" s="7" t="n"/>
      <c r="J397" s="9">
        <f>IF($I397&lt;&gt;"",$I397,SUMIFS(Assumptions!$P$4:$P$93,Assumptions!$M$4:$M$93,$C397,Assumptions!$N$4:$N$93,$E397,Assumptions!$O$4:$O$93,"LVN"))</f>
        <v/>
      </c>
      <c r="K397" s="7" t="n"/>
      <c r="L397" s="9">
        <f>IF($K397&lt;&gt;"",$K397,SUMIFS(Assumptions!$P$4:$P$93,Assumptions!$M$4:$M$93,$C397,Assumptions!$N$4:$N$93,$E397,Assumptions!$O$4:$O$93,"HVN"))</f>
        <v/>
      </c>
      <c r="M397" s="9">
        <f>J397+L397</f>
        <v/>
      </c>
      <c r="N397" s="10">
        <f>$F397*$H397*$M397</f>
        <v/>
      </c>
    </row>
    <row r="398">
      <c r="A398" s="11" t="inlineStr">
        <is>
          <t>TOTAL</t>
        </is>
      </c>
      <c r="B398" s="12" t="inlineStr">
        <is>
          <t>FLINT_CORPUS_CHRISTI</t>
        </is>
      </c>
      <c r="C398" s="12" t="n">
        <v>3</v>
      </c>
      <c r="D398" s="12" t="inlineStr">
        <is>
          <t>NET NAPHTHA</t>
        </is>
      </c>
      <c r="N398" s="13">
        <f>SUM(N389:N397)</f>
        <v/>
      </c>
    </row>
    <row r="400">
      <c r="A400" s="1" t="inlineStr">
        <is>
          <t xml:space="preserve">  Valero Corpus Christi  [VALERO_CORPUS_CHRISTI]   —   Valero   —   PADD 3   —   crude 290 kbd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</row>
    <row r="401">
      <c r="A401" s="4" t="inlineStr">
        <is>
          <t>UNIT</t>
        </is>
      </c>
      <c r="B401" s="5" t="inlineStr">
        <is>
          <t>VALERO_CORPUS_CHRISTI</t>
        </is>
      </c>
      <c r="C401" s="5" t="n">
        <v>3</v>
      </c>
      <c r="D401" s="5" t="inlineStr">
        <is>
          <t>CDU</t>
        </is>
      </c>
      <c r="E401" s="5" t="inlineStr">
        <is>
          <t>CDU</t>
        </is>
      </c>
      <c r="F401" s="6" t="n">
        <v>297</v>
      </c>
      <c r="G401" s="7" t="n">
        <v>0.837</v>
      </c>
      <c r="H401" s="8">
        <f>IF($G401&lt;&gt;"",$G401,SUMIFS(Assumptions!$K$4:$K$8,Assumptions!$J$4:$J$8,$C401))</f>
        <v/>
      </c>
      <c r="I401" s="7" t="n"/>
      <c r="J401" s="9">
        <f>IF($I401&lt;&gt;"",$I401,SUMIFS(Assumptions!$P$4:$P$93,Assumptions!$M$4:$M$93,$C401,Assumptions!$N$4:$N$93,$E401,Assumptions!$O$4:$O$93,"LVN"))</f>
        <v/>
      </c>
      <c r="K401" s="7" t="n"/>
      <c r="L401" s="9">
        <f>IF($K401&lt;&gt;"",$K401,SUMIFS(Assumptions!$P$4:$P$93,Assumptions!$M$4:$M$93,$C401,Assumptions!$N$4:$N$93,$E401,Assumptions!$O$4:$O$93,"HVN"))</f>
        <v/>
      </c>
      <c r="M401" s="9">
        <f>J401+L401</f>
        <v/>
      </c>
      <c r="N401" s="10">
        <f>$F401*$H401*$M401</f>
        <v/>
      </c>
    </row>
    <row r="402">
      <c r="A402" s="4" t="inlineStr">
        <is>
          <t>UNIT</t>
        </is>
      </c>
      <c r="B402" s="5" t="inlineStr">
        <is>
          <t>VALERO_CORPUS_CHRISTI</t>
        </is>
      </c>
      <c r="C402" s="5" t="n">
        <v>3</v>
      </c>
      <c r="D402" s="5" t="inlineStr">
        <is>
          <t>VDU</t>
        </is>
      </c>
      <c r="E402" s="5" t="inlineStr">
        <is>
          <t>VDU</t>
        </is>
      </c>
      <c r="F402" s="6" t="n">
        <v>91</v>
      </c>
      <c r="G402" s="7" t="n">
        <v>0.601</v>
      </c>
      <c r="H402" s="8">
        <f>IF($G402&lt;&gt;"",$G402,SUMIFS(Assumptions!$K$4:$K$8,Assumptions!$J$4:$J$8,$C402))</f>
        <v/>
      </c>
      <c r="I402" s="7" t="n"/>
      <c r="J402" s="9">
        <f>IF($I402&lt;&gt;"",$I402,SUMIFS(Assumptions!$P$4:$P$93,Assumptions!$M$4:$M$93,$C402,Assumptions!$N$4:$N$93,$E402,Assumptions!$O$4:$O$93,"LVN"))</f>
        <v/>
      </c>
      <c r="K402" s="7" t="n"/>
      <c r="L402" s="9">
        <f>IF($K402&lt;&gt;"",$K402,SUMIFS(Assumptions!$P$4:$P$93,Assumptions!$M$4:$M$93,$C402,Assumptions!$N$4:$N$93,$E402,Assumptions!$O$4:$O$93,"HVN"))</f>
        <v/>
      </c>
      <c r="M402" s="9">
        <f>J402+L402</f>
        <v/>
      </c>
      <c r="N402" s="10">
        <f>$F402*$H402*$M402</f>
        <v/>
      </c>
    </row>
    <row r="403">
      <c r="A403" s="4" t="inlineStr">
        <is>
          <t>UNIT</t>
        </is>
      </c>
      <c r="B403" s="5" t="inlineStr">
        <is>
          <t>VALERO_CORPUS_CHRISTI</t>
        </is>
      </c>
      <c r="C403" s="5" t="n">
        <v>3</v>
      </c>
      <c r="D403" s="5" t="inlineStr">
        <is>
          <t>FCC</t>
        </is>
      </c>
      <c r="E403" s="5" t="inlineStr">
        <is>
          <t>FCC</t>
        </is>
      </c>
      <c r="F403" s="6" t="n">
        <v>25.5</v>
      </c>
      <c r="G403" s="7" t="n"/>
      <c r="H403" s="8">
        <f>IF($G403&lt;&gt;"",$G403,SUMIFS(Assumptions!$K$4:$K$8,Assumptions!$J$4:$J$8,$C403))</f>
        <v/>
      </c>
      <c r="I403" s="7" t="n"/>
      <c r="J403" s="9">
        <f>IF($I403&lt;&gt;"",$I403,SUMIFS(Assumptions!$P$4:$P$93,Assumptions!$M$4:$M$93,$C403,Assumptions!$N$4:$N$93,$E403,Assumptions!$O$4:$O$93,"LVN"))</f>
        <v/>
      </c>
      <c r="K403" s="7" t="n"/>
      <c r="L403" s="9">
        <f>IF($K403&lt;&gt;"",$K403,SUMIFS(Assumptions!$P$4:$P$93,Assumptions!$M$4:$M$93,$C403,Assumptions!$N$4:$N$93,$E403,Assumptions!$O$4:$O$93,"HVN"))</f>
        <v/>
      </c>
      <c r="M403" s="9">
        <f>J403+L403</f>
        <v/>
      </c>
      <c r="N403" s="10">
        <f>$F403*$H403*$M403</f>
        <v/>
      </c>
    </row>
    <row r="404">
      <c r="A404" s="4" t="inlineStr">
        <is>
          <t>UNIT</t>
        </is>
      </c>
      <c r="B404" s="5" t="inlineStr">
        <is>
          <t>VALERO_CORPUS_CHRISTI</t>
        </is>
      </c>
      <c r="C404" s="5" t="n">
        <v>3</v>
      </c>
      <c r="D404" s="5" t="inlineStr">
        <is>
          <t>RCC</t>
        </is>
      </c>
      <c r="E404" s="5" t="inlineStr">
        <is>
          <t>FCC</t>
        </is>
      </c>
      <c r="F404" s="6" t="n">
        <v>70</v>
      </c>
      <c r="G404" s="7" t="n">
        <v>0.96</v>
      </c>
      <c r="H404" s="8">
        <f>IF($G404&lt;&gt;"",$G404,SUMIFS(Assumptions!$K$4:$K$8,Assumptions!$J$4:$J$8,$C404))</f>
        <v/>
      </c>
      <c r="I404" s="7" t="n"/>
      <c r="J404" s="9">
        <f>IF($I404&lt;&gt;"",$I404,SUMIFS(Assumptions!$P$4:$P$93,Assumptions!$M$4:$M$93,$C404,Assumptions!$N$4:$N$93,$E404,Assumptions!$O$4:$O$93,"LVN"))</f>
        <v/>
      </c>
      <c r="K404" s="7" t="n"/>
      <c r="L404" s="9">
        <f>IF($K404&lt;&gt;"",$K404,SUMIFS(Assumptions!$P$4:$P$93,Assumptions!$M$4:$M$93,$C404,Assumptions!$N$4:$N$93,$E404,Assumptions!$O$4:$O$93,"HVN"))</f>
        <v/>
      </c>
      <c r="M404" s="9">
        <f>J404+L404</f>
        <v/>
      </c>
      <c r="N404" s="10">
        <f>$F404*$H404*$M404</f>
        <v/>
      </c>
    </row>
    <row r="405">
      <c r="A405" s="4" t="inlineStr">
        <is>
          <t>UNIT</t>
        </is>
      </c>
      <c r="B405" s="5" t="inlineStr">
        <is>
          <t>VALERO_CORPUS_CHRISTI</t>
        </is>
      </c>
      <c r="C405" s="5" t="n">
        <v>3</v>
      </c>
      <c r="D405" s="5" t="inlineStr">
        <is>
          <t>DHCU</t>
        </is>
      </c>
      <c r="E405" s="5" t="inlineStr">
        <is>
          <t>HYDROCRACKER</t>
        </is>
      </c>
      <c r="F405" s="6" t="n">
        <v>51</v>
      </c>
      <c r="G405" s="7" t="n">
        <v>0.984</v>
      </c>
      <c r="H405" s="8">
        <f>IF($G405&lt;&gt;"",$G405,SUMIFS(Assumptions!$K$4:$K$8,Assumptions!$J$4:$J$8,$C405))</f>
        <v/>
      </c>
      <c r="I405" s="7" t="n"/>
      <c r="J405" s="9">
        <f>IF($I405&lt;&gt;"",$I405,SUMIFS(Assumptions!$P$4:$P$93,Assumptions!$M$4:$M$93,$C405,Assumptions!$N$4:$N$93,$E405,Assumptions!$O$4:$O$93,"LVN"))</f>
        <v/>
      </c>
      <c r="K405" s="7" t="n"/>
      <c r="L405" s="9">
        <f>IF($K405&lt;&gt;"",$K405,SUMIFS(Assumptions!$P$4:$P$93,Assumptions!$M$4:$M$93,$C405,Assumptions!$N$4:$N$93,$E405,Assumptions!$O$4:$O$93,"HVN"))</f>
        <v/>
      </c>
      <c r="M405" s="9">
        <f>J405+L405</f>
        <v/>
      </c>
      <c r="N405" s="10">
        <f>$F405*$H405*$M405</f>
        <v/>
      </c>
    </row>
    <row r="406">
      <c r="A406" s="4" t="inlineStr">
        <is>
          <t>UNIT</t>
        </is>
      </c>
      <c r="B406" s="5" t="inlineStr">
        <is>
          <t>VALERO_CORPUS_CHRISTI</t>
        </is>
      </c>
      <c r="C406" s="5" t="n">
        <v>3</v>
      </c>
      <c r="D406" s="5" t="inlineStr">
        <is>
          <t>COKER</t>
        </is>
      </c>
      <c r="E406" s="5" t="inlineStr">
        <is>
          <t>COKER</t>
        </is>
      </c>
      <c r="F406" s="6" t="n">
        <v>19</v>
      </c>
      <c r="G406" s="7" t="n">
        <v>0.983</v>
      </c>
      <c r="H406" s="8">
        <f>IF($G406&lt;&gt;"",$G406,SUMIFS(Assumptions!$K$4:$K$8,Assumptions!$J$4:$J$8,$C406))</f>
        <v/>
      </c>
      <c r="I406" s="7" t="n"/>
      <c r="J406" s="9">
        <f>IF($I406&lt;&gt;"",$I406,SUMIFS(Assumptions!$P$4:$P$93,Assumptions!$M$4:$M$93,$C406,Assumptions!$N$4:$N$93,$E406,Assumptions!$O$4:$O$93,"LVN"))</f>
        <v/>
      </c>
      <c r="K406" s="7" t="n"/>
      <c r="L406" s="9">
        <f>IF($K406&lt;&gt;"",$K406,SUMIFS(Assumptions!$P$4:$P$93,Assumptions!$M$4:$M$93,$C406,Assumptions!$N$4:$N$93,$E406,Assumptions!$O$4:$O$93,"HVN"))</f>
        <v/>
      </c>
      <c r="M406" s="9">
        <f>J406+L406</f>
        <v/>
      </c>
      <c r="N406" s="10">
        <f>$F406*$H406*$M406</f>
        <v/>
      </c>
    </row>
    <row r="407">
      <c r="A407" s="4" t="inlineStr">
        <is>
          <t>UNIT</t>
        </is>
      </c>
      <c r="B407" s="5" t="inlineStr">
        <is>
          <t>VALERO_CORPUS_CHRISTI</t>
        </is>
      </c>
      <c r="C407" s="5" t="n">
        <v>3</v>
      </c>
      <c r="D407" s="5" t="inlineStr">
        <is>
          <t>CCR</t>
        </is>
      </c>
      <c r="E407" s="5" t="inlineStr">
        <is>
          <t>REFORMER</t>
        </is>
      </c>
      <c r="F407" s="6" t="n">
        <v>39</v>
      </c>
      <c r="G407" s="7" t="n">
        <v>1.1</v>
      </c>
      <c r="H407" s="8">
        <f>IF($G407&lt;&gt;"",$G407,SUMIFS(Assumptions!$K$4:$K$8,Assumptions!$J$4:$J$8,$C407))</f>
        <v/>
      </c>
      <c r="I407" s="7" t="n"/>
      <c r="J407" s="9">
        <f>IF($I407&lt;&gt;"",$I407,SUMIFS(Assumptions!$P$4:$P$93,Assumptions!$M$4:$M$93,$C407,Assumptions!$N$4:$N$93,$E407,Assumptions!$O$4:$O$93,"LVN"))</f>
        <v/>
      </c>
      <c r="K407" s="7" t="n"/>
      <c r="L407" s="9">
        <f>IF($K407&lt;&gt;"",$K407,SUMIFS(Assumptions!$P$4:$P$93,Assumptions!$M$4:$M$93,$C407,Assumptions!$N$4:$N$93,$E407,Assumptions!$O$4:$O$93,"HVN"))</f>
        <v/>
      </c>
      <c r="M407" s="9">
        <f>J407+L407</f>
        <v/>
      </c>
      <c r="N407" s="10">
        <f>$F407*$H407*$M407</f>
        <v/>
      </c>
    </row>
    <row r="408">
      <c r="A408" s="4" t="inlineStr">
        <is>
          <t>UNIT</t>
        </is>
      </c>
      <c r="B408" s="5" t="inlineStr">
        <is>
          <t>VALERO_CORPUS_CHRISTI</t>
        </is>
      </c>
      <c r="C408" s="5" t="n">
        <v>3</v>
      </c>
      <c r="D408" s="5" t="inlineStr">
        <is>
          <t>REF</t>
        </is>
      </c>
      <c r="E408" s="5" t="inlineStr">
        <is>
          <t>REFORMER</t>
        </is>
      </c>
      <c r="F408" s="6" t="n">
        <v>11</v>
      </c>
      <c r="G408" s="7" t="n"/>
      <c r="H408" s="8">
        <f>IF($G408&lt;&gt;"",$G408,SUMIFS(Assumptions!$K$4:$K$8,Assumptions!$J$4:$J$8,$C408))</f>
        <v/>
      </c>
      <c r="I408" s="7" t="n"/>
      <c r="J408" s="9">
        <f>IF($I408&lt;&gt;"",$I408,SUMIFS(Assumptions!$P$4:$P$93,Assumptions!$M$4:$M$93,$C408,Assumptions!$N$4:$N$93,$E408,Assumptions!$O$4:$O$93,"LVN"))</f>
        <v/>
      </c>
      <c r="K408" s="7" t="n"/>
      <c r="L408" s="9">
        <f>IF($K408&lt;&gt;"",$K408,SUMIFS(Assumptions!$P$4:$P$93,Assumptions!$M$4:$M$93,$C408,Assumptions!$N$4:$N$93,$E408,Assumptions!$O$4:$O$93,"HVN"))</f>
        <v/>
      </c>
      <c r="M408" s="9">
        <f>J408+L408</f>
        <v/>
      </c>
      <c r="N408" s="10">
        <f>$F408*$H408*$M408</f>
        <v/>
      </c>
    </row>
    <row r="409">
      <c r="A409" s="4" t="inlineStr">
        <is>
          <t>UNIT</t>
        </is>
      </c>
      <c r="B409" s="5" t="inlineStr">
        <is>
          <t>VALERO_CORPUS_CHRISTI</t>
        </is>
      </c>
      <c r="C409" s="5" t="n">
        <v>3</v>
      </c>
      <c r="D409" s="5" t="inlineStr">
        <is>
          <t>ISOM</t>
        </is>
      </c>
      <c r="E409" s="5" t="inlineStr">
        <is>
          <t>ISOM</t>
        </is>
      </c>
      <c r="F409" s="6" t="n">
        <v>12</v>
      </c>
      <c r="G409" s="7" t="n">
        <v>0.866</v>
      </c>
      <c r="H409" s="8">
        <f>IF($G409&lt;&gt;"",$G409,SUMIFS(Assumptions!$K$4:$K$8,Assumptions!$J$4:$J$8,$C409))</f>
        <v/>
      </c>
      <c r="I409" s="7" t="n"/>
      <c r="J409" s="9">
        <f>IF($I409&lt;&gt;"",$I409,SUMIFS(Assumptions!$P$4:$P$93,Assumptions!$M$4:$M$93,$C409,Assumptions!$N$4:$N$93,$E409,Assumptions!$O$4:$O$93,"LVN"))</f>
        <v/>
      </c>
      <c r="K409" s="7" t="n"/>
      <c r="L409" s="9">
        <f>IF($K409&lt;&gt;"",$K409,SUMIFS(Assumptions!$P$4:$P$93,Assumptions!$M$4:$M$93,$C409,Assumptions!$N$4:$N$93,$E409,Assumptions!$O$4:$O$93,"HVN"))</f>
        <v/>
      </c>
      <c r="M409" s="9">
        <f>J409+L409</f>
        <v/>
      </c>
      <c r="N409" s="10">
        <f>$F409*$H409*$M409</f>
        <v/>
      </c>
    </row>
    <row r="410">
      <c r="A410" s="4" t="inlineStr">
        <is>
          <t>UNIT</t>
        </is>
      </c>
      <c r="B410" s="5" t="inlineStr">
        <is>
          <t>VALERO_CORPUS_CHRISTI</t>
        </is>
      </c>
      <c r="C410" s="5" t="n">
        <v>3</v>
      </c>
      <c r="D410" s="5" t="inlineStr">
        <is>
          <t>ALKY</t>
        </is>
      </c>
      <c r="E410" s="5" t="inlineStr">
        <is>
          <t>ALKY</t>
        </is>
      </c>
      <c r="F410" s="6" t="n">
        <v>24.5</v>
      </c>
      <c r="G410" s="7" t="n">
        <v>1.1</v>
      </c>
      <c r="H410" s="8">
        <f>IF($G410&lt;&gt;"",$G410,SUMIFS(Assumptions!$K$4:$K$8,Assumptions!$J$4:$J$8,$C410))</f>
        <v/>
      </c>
      <c r="I410" s="7" t="n"/>
      <c r="J410" s="9">
        <f>IF($I410&lt;&gt;"",$I410,SUMIFS(Assumptions!$P$4:$P$93,Assumptions!$M$4:$M$93,$C410,Assumptions!$N$4:$N$93,$E410,Assumptions!$O$4:$O$93,"LVN"))</f>
        <v/>
      </c>
      <c r="K410" s="7" t="n"/>
      <c r="L410" s="9">
        <f>IF($K410&lt;&gt;"",$K410,SUMIFS(Assumptions!$P$4:$P$93,Assumptions!$M$4:$M$93,$C410,Assumptions!$N$4:$N$93,$E410,Assumptions!$O$4:$O$93,"HVN"))</f>
        <v/>
      </c>
      <c r="M410" s="9">
        <f>J410+L410</f>
        <v/>
      </c>
      <c r="N410" s="10">
        <f>$F410*$H410*$M410</f>
        <v/>
      </c>
    </row>
    <row r="411">
      <c r="A411" s="11" t="inlineStr">
        <is>
          <t>TOTAL</t>
        </is>
      </c>
      <c r="B411" s="12" t="inlineStr">
        <is>
          <t>VALERO_CORPUS_CHRISTI</t>
        </is>
      </c>
      <c r="C411" s="12" t="n">
        <v>3</v>
      </c>
      <c r="D411" s="12" t="inlineStr">
        <is>
          <t>NET NAPHTHA</t>
        </is>
      </c>
      <c r="N411" s="13">
        <f>SUM(N401:N410)</f>
        <v/>
      </c>
    </row>
    <row r="413">
      <c r="A413" s="1" t="inlineStr">
        <is>
          <t xml:space="preserve">  Phillips 66 Co. Westlake  [PHILLIPS_WESTLAKE]   —   Phillips 66 Co.   —   PADD 3   —   crude 281 kbd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</row>
    <row r="414">
      <c r="A414" s="4" t="inlineStr">
        <is>
          <t>UNIT</t>
        </is>
      </c>
      <c r="B414" s="5" t="inlineStr">
        <is>
          <t>PHILLIPS_WESTLAKE</t>
        </is>
      </c>
      <c r="C414" s="5" t="n">
        <v>3</v>
      </c>
      <c r="D414" s="5" t="inlineStr">
        <is>
          <t>CDU</t>
        </is>
      </c>
      <c r="E414" s="5" t="inlineStr">
        <is>
          <t>CDU</t>
        </is>
      </c>
      <c r="F414" s="6" t="n">
        <v>273</v>
      </c>
      <c r="G414" s="7" t="n">
        <v>0.827</v>
      </c>
      <c r="H414" s="8">
        <f>IF($G414&lt;&gt;"",$G414,SUMIFS(Assumptions!$K$4:$K$8,Assumptions!$J$4:$J$8,$C414))</f>
        <v/>
      </c>
      <c r="I414" s="7" t="n"/>
      <c r="J414" s="9">
        <f>IF($I414&lt;&gt;"",$I414,SUMIFS(Assumptions!$P$4:$P$93,Assumptions!$M$4:$M$93,$C414,Assumptions!$N$4:$N$93,$E414,Assumptions!$O$4:$O$93,"LVN"))</f>
        <v/>
      </c>
      <c r="K414" s="7" t="n"/>
      <c r="L414" s="9">
        <f>IF($K414&lt;&gt;"",$K414,SUMIFS(Assumptions!$P$4:$P$93,Assumptions!$M$4:$M$93,$C414,Assumptions!$N$4:$N$93,$E414,Assumptions!$O$4:$O$93,"HVN"))</f>
        <v/>
      </c>
      <c r="M414" s="9">
        <f>J414+L414</f>
        <v/>
      </c>
      <c r="N414" s="10">
        <f>$F414*$H414*$M414</f>
        <v/>
      </c>
    </row>
    <row r="415">
      <c r="A415" s="4" t="inlineStr">
        <is>
          <t>UNIT</t>
        </is>
      </c>
      <c r="B415" s="5" t="inlineStr">
        <is>
          <t>PHILLIPS_WESTLAKE</t>
        </is>
      </c>
      <c r="C415" s="5" t="n">
        <v>3</v>
      </c>
      <c r="D415" s="5" t="inlineStr">
        <is>
          <t>VDU</t>
        </is>
      </c>
      <c r="E415" s="5" t="inlineStr">
        <is>
          <t>VDU</t>
        </is>
      </c>
      <c r="F415" s="6" t="n">
        <v>125</v>
      </c>
      <c r="G415" s="7" t="n">
        <v>0.52</v>
      </c>
      <c r="H415" s="8">
        <f>IF($G415&lt;&gt;"",$G415,SUMIFS(Assumptions!$K$4:$K$8,Assumptions!$J$4:$J$8,$C415))</f>
        <v/>
      </c>
      <c r="I415" s="7" t="n"/>
      <c r="J415" s="9">
        <f>IF($I415&lt;&gt;"",$I415,SUMIFS(Assumptions!$P$4:$P$93,Assumptions!$M$4:$M$93,$C415,Assumptions!$N$4:$N$93,$E415,Assumptions!$O$4:$O$93,"LVN"))</f>
        <v/>
      </c>
      <c r="K415" s="7" t="n"/>
      <c r="L415" s="9">
        <f>IF($K415&lt;&gt;"",$K415,SUMIFS(Assumptions!$P$4:$P$93,Assumptions!$M$4:$M$93,$C415,Assumptions!$N$4:$N$93,$E415,Assumptions!$O$4:$O$93,"HVN"))</f>
        <v/>
      </c>
      <c r="M415" s="9">
        <f>J415+L415</f>
        <v/>
      </c>
      <c r="N415" s="10">
        <f>$F415*$H415*$M415</f>
        <v/>
      </c>
    </row>
    <row r="416">
      <c r="A416" s="4" t="inlineStr">
        <is>
          <t>UNIT</t>
        </is>
      </c>
      <c r="B416" s="5" t="inlineStr">
        <is>
          <t>PHILLIPS_WESTLAKE</t>
        </is>
      </c>
      <c r="C416" s="5" t="n">
        <v>3</v>
      </c>
      <c r="D416" s="5" t="inlineStr">
        <is>
          <t>FCC</t>
        </is>
      </c>
      <c r="E416" s="5" t="inlineStr">
        <is>
          <t>FCC</t>
        </is>
      </c>
      <c r="F416" s="6" t="n">
        <v>51.6</v>
      </c>
      <c r="G416" s="7" t="n">
        <v>0.681</v>
      </c>
      <c r="H416" s="8">
        <f>IF($G416&lt;&gt;"",$G416,SUMIFS(Assumptions!$K$4:$K$8,Assumptions!$J$4:$J$8,$C416))</f>
        <v/>
      </c>
      <c r="I416" s="7" t="n"/>
      <c r="J416" s="9">
        <f>IF($I416&lt;&gt;"",$I416,SUMIFS(Assumptions!$P$4:$P$93,Assumptions!$M$4:$M$93,$C416,Assumptions!$N$4:$N$93,$E416,Assumptions!$O$4:$O$93,"LVN"))</f>
        <v/>
      </c>
      <c r="K416" s="7" t="n"/>
      <c r="L416" s="9">
        <f>IF($K416&lt;&gt;"",$K416,SUMIFS(Assumptions!$P$4:$P$93,Assumptions!$M$4:$M$93,$C416,Assumptions!$N$4:$N$93,$E416,Assumptions!$O$4:$O$93,"HVN"))</f>
        <v/>
      </c>
      <c r="M416" s="9">
        <f>J416+L416</f>
        <v/>
      </c>
      <c r="N416" s="10">
        <f>$F416*$H416*$M416</f>
        <v/>
      </c>
    </row>
    <row r="417">
      <c r="A417" s="4" t="inlineStr">
        <is>
          <t>UNIT</t>
        </is>
      </c>
      <c r="B417" s="5" t="inlineStr">
        <is>
          <t>PHILLIPS_WESTLAKE</t>
        </is>
      </c>
      <c r="C417" s="5" t="n">
        <v>3</v>
      </c>
      <c r="D417" s="5" t="inlineStr">
        <is>
          <t>COKER</t>
        </is>
      </c>
      <c r="E417" s="5" t="inlineStr">
        <is>
          <t>COKER</t>
        </is>
      </c>
      <c r="F417" s="6" t="n">
        <v>65.2</v>
      </c>
      <c r="G417" s="7" t="n">
        <v>0.512</v>
      </c>
      <c r="H417" s="8">
        <f>IF($G417&lt;&gt;"",$G417,SUMIFS(Assumptions!$K$4:$K$8,Assumptions!$J$4:$J$8,$C417))</f>
        <v/>
      </c>
      <c r="I417" s="7" t="n"/>
      <c r="J417" s="9">
        <f>IF($I417&lt;&gt;"",$I417,SUMIFS(Assumptions!$P$4:$P$93,Assumptions!$M$4:$M$93,$C417,Assumptions!$N$4:$N$93,$E417,Assumptions!$O$4:$O$93,"LVN"))</f>
        <v/>
      </c>
      <c r="K417" s="7" t="n"/>
      <c r="L417" s="9">
        <f>IF($K417&lt;&gt;"",$K417,SUMIFS(Assumptions!$P$4:$P$93,Assumptions!$M$4:$M$93,$C417,Assumptions!$N$4:$N$93,$E417,Assumptions!$O$4:$O$93,"HVN"))</f>
        <v/>
      </c>
      <c r="M417" s="9">
        <f>J417+L417</f>
        <v/>
      </c>
      <c r="N417" s="10">
        <f>$F417*$H417*$M417</f>
        <v/>
      </c>
    </row>
    <row r="418">
      <c r="A418" s="4" t="inlineStr">
        <is>
          <t>UNIT</t>
        </is>
      </c>
      <c r="B418" s="5" t="inlineStr">
        <is>
          <t>PHILLIPS_WESTLAKE</t>
        </is>
      </c>
      <c r="C418" s="5" t="n">
        <v>3</v>
      </c>
      <c r="D418" s="5" t="inlineStr">
        <is>
          <t>CCR</t>
        </is>
      </c>
      <c r="E418" s="5" t="inlineStr">
        <is>
          <t>REFORMER</t>
        </is>
      </c>
      <c r="F418" s="6" t="n">
        <v>48</v>
      </c>
      <c r="G418" s="7" t="n">
        <v>0.678</v>
      </c>
      <c r="H418" s="8">
        <f>IF($G418&lt;&gt;"",$G418,SUMIFS(Assumptions!$K$4:$K$8,Assumptions!$J$4:$J$8,$C418))</f>
        <v/>
      </c>
      <c r="I418" s="7" t="n"/>
      <c r="J418" s="9">
        <f>IF($I418&lt;&gt;"",$I418,SUMIFS(Assumptions!$P$4:$P$93,Assumptions!$M$4:$M$93,$C418,Assumptions!$N$4:$N$93,$E418,Assumptions!$O$4:$O$93,"LVN"))</f>
        <v/>
      </c>
      <c r="K418" s="7" t="n"/>
      <c r="L418" s="9">
        <f>IF($K418&lt;&gt;"",$K418,SUMIFS(Assumptions!$P$4:$P$93,Assumptions!$M$4:$M$93,$C418,Assumptions!$N$4:$N$93,$E418,Assumptions!$O$4:$O$93,"HVN"))</f>
        <v/>
      </c>
      <c r="M418" s="9">
        <f>J418+L418</f>
        <v/>
      </c>
      <c r="N418" s="10">
        <f>$F418*$H418*$M418</f>
        <v/>
      </c>
    </row>
    <row r="419">
      <c r="A419" s="4" t="inlineStr">
        <is>
          <t>UNIT</t>
        </is>
      </c>
      <c r="B419" s="5" t="inlineStr">
        <is>
          <t>PHILLIPS_WESTLAKE</t>
        </is>
      </c>
      <c r="C419" s="5" t="n">
        <v>3</v>
      </c>
      <c r="D419" s="5" t="inlineStr">
        <is>
          <t>ISOM</t>
        </is>
      </c>
      <c r="E419" s="5" t="inlineStr">
        <is>
          <t>ISOM</t>
        </is>
      </c>
      <c r="F419" s="6" t="n">
        <v>25</v>
      </c>
      <c r="G419" s="7" t="n">
        <v>0.511</v>
      </c>
      <c r="H419" s="8">
        <f>IF($G419&lt;&gt;"",$G419,SUMIFS(Assumptions!$K$4:$K$8,Assumptions!$J$4:$J$8,$C419))</f>
        <v/>
      </c>
      <c r="I419" s="7" t="n"/>
      <c r="J419" s="9">
        <f>IF($I419&lt;&gt;"",$I419,SUMIFS(Assumptions!$P$4:$P$93,Assumptions!$M$4:$M$93,$C419,Assumptions!$N$4:$N$93,$E419,Assumptions!$O$4:$O$93,"LVN"))</f>
        <v/>
      </c>
      <c r="K419" s="7" t="n"/>
      <c r="L419" s="9">
        <f>IF($K419&lt;&gt;"",$K419,SUMIFS(Assumptions!$P$4:$P$93,Assumptions!$M$4:$M$93,$C419,Assumptions!$N$4:$N$93,$E419,Assumptions!$O$4:$O$93,"HVN"))</f>
        <v/>
      </c>
      <c r="M419" s="9">
        <f>J419+L419</f>
        <v/>
      </c>
      <c r="N419" s="10">
        <f>$F419*$H419*$M419</f>
        <v/>
      </c>
    </row>
    <row r="420">
      <c r="A420" s="4" t="inlineStr">
        <is>
          <t>UNIT</t>
        </is>
      </c>
      <c r="B420" s="5" t="inlineStr">
        <is>
          <t>PHILLIPS_WESTLAKE</t>
        </is>
      </c>
      <c r="C420" s="5" t="n">
        <v>3</v>
      </c>
      <c r="D420" s="5" t="inlineStr">
        <is>
          <t>ALKY</t>
        </is>
      </c>
      <c r="E420" s="5" t="inlineStr">
        <is>
          <t>ALKY</t>
        </is>
      </c>
      <c r="F420" s="6" t="n">
        <v>9</v>
      </c>
      <c r="G420" s="7" t="n">
        <v>0.787</v>
      </c>
      <c r="H420" s="8">
        <f>IF($G420&lt;&gt;"",$G420,SUMIFS(Assumptions!$K$4:$K$8,Assumptions!$J$4:$J$8,$C420))</f>
        <v/>
      </c>
      <c r="I420" s="7" t="n"/>
      <c r="J420" s="9">
        <f>IF($I420&lt;&gt;"",$I420,SUMIFS(Assumptions!$P$4:$P$93,Assumptions!$M$4:$M$93,$C420,Assumptions!$N$4:$N$93,$E420,Assumptions!$O$4:$O$93,"LVN"))</f>
        <v/>
      </c>
      <c r="K420" s="7" t="n"/>
      <c r="L420" s="9">
        <f>IF($K420&lt;&gt;"",$K420,SUMIFS(Assumptions!$P$4:$P$93,Assumptions!$M$4:$M$93,$C420,Assumptions!$N$4:$N$93,$E420,Assumptions!$O$4:$O$93,"HVN"))</f>
        <v/>
      </c>
      <c r="M420" s="9">
        <f>J420+L420</f>
        <v/>
      </c>
      <c r="N420" s="10">
        <f>$F420*$H420*$M420</f>
        <v/>
      </c>
    </row>
    <row r="421">
      <c r="A421" s="11" t="inlineStr">
        <is>
          <t>TOTAL</t>
        </is>
      </c>
      <c r="B421" s="12" t="inlineStr">
        <is>
          <t>PHILLIPS_WESTLAKE</t>
        </is>
      </c>
      <c r="C421" s="12" t="n">
        <v>3</v>
      </c>
      <c r="D421" s="12" t="inlineStr">
        <is>
          <t>NET NAPHTHA</t>
        </is>
      </c>
      <c r="N421" s="13">
        <f>SUM(N414:N420)</f>
        <v/>
      </c>
    </row>
    <row r="423">
      <c r="A423" s="1" t="inlineStr">
        <is>
          <t xml:space="preserve">  Phillips 66 Co. Sweeny  [PHILLIPS_SWEENY]   —   Phillips 66 Co.   —   PADD 3   —   crude 278 kbd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</row>
    <row r="424">
      <c r="A424" s="4" t="inlineStr">
        <is>
          <t>UNIT</t>
        </is>
      </c>
      <c r="B424" s="5" t="inlineStr">
        <is>
          <t>PHILLIPS_SWEENY</t>
        </is>
      </c>
      <c r="C424" s="5" t="n">
        <v>3</v>
      </c>
      <c r="D424" s="5" t="inlineStr">
        <is>
          <t>CDU</t>
        </is>
      </c>
      <c r="E424" s="5" t="inlineStr">
        <is>
          <t>CDU</t>
        </is>
      </c>
      <c r="F424" s="6" t="n">
        <v>278.9</v>
      </c>
      <c r="G424" s="7" t="n">
        <v>0.925</v>
      </c>
      <c r="H424" s="8">
        <f>IF($G424&lt;&gt;"",$G424,SUMIFS(Assumptions!$K$4:$K$8,Assumptions!$J$4:$J$8,$C424))</f>
        <v/>
      </c>
      <c r="I424" s="7" t="n"/>
      <c r="J424" s="9">
        <f>IF($I424&lt;&gt;"",$I424,SUMIFS(Assumptions!$P$4:$P$93,Assumptions!$M$4:$M$93,$C424,Assumptions!$N$4:$N$93,$E424,Assumptions!$O$4:$O$93,"LVN"))</f>
        <v/>
      </c>
      <c r="K424" s="7" t="n"/>
      <c r="L424" s="9">
        <f>IF($K424&lt;&gt;"",$K424,SUMIFS(Assumptions!$P$4:$P$93,Assumptions!$M$4:$M$93,$C424,Assumptions!$N$4:$N$93,$E424,Assumptions!$O$4:$O$93,"HVN"))</f>
        <v/>
      </c>
      <c r="M424" s="9">
        <f>J424+L424</f>
        <v/>
      </c>
      <c r="N424" s="10">
        <f>$F424*$H424*$M424</f>
        <v/>
      </c>
    </row>
    <row r="425">
      <c r="A425" s="4" t="inlineStr">
        <is>
          <t>UNIT</t>
        </is>
      </c>
      <c r="B425" s="5" t="inlineStr">
        <is>
          <t>PHILLIPS_SWEENY</t>
        </is>
      </c>
      <c r="C425" s="5" t="n">
        <v>3</v>
      </c>
      <c r="D425" s="5" t="inlineStr">
        <is>
          <t>VDU</t>
        </is>
      </c>
      <c r="E425" s="5" t="inlineStr">
        <is>
          <t>VDU</t>
        </is>
      </c>
      <c r="F425" s="6" t="n">
        <v>132.1</v>
      </c>
      <c r="G425" s="7" t="n">
        <v>0.976</v>
      </c>
      <c r="H425" s="8">
        <f>IF($G425&lt;&gt;"",$G425,SUMIFS(Assumptions!$K$4:$K$8,Assumptions!$J$4:$J$8,$C425))</f>
        <v/>
      </c>
      <c r="I425" s="7" t="n"/>
      <c r="J425" s="9">
        <f>IF($I425&lt;&gt;"",$I425,SUMIFS(Assumptions!$P$4:$P$93,Assumptions!$M$4:$M$93,$C425,Assumptions!$N$4:$N$93,$E425,Assumptions!$O$4:$O$93,"LVN"))</f>
        <v/>
      </c>
      <c r="K425" s="7" t="n"/>
      <c r="L425" s="9">
        <f>IF($K425&lt;&gt;"",$K425,SUMIFS(Assumptions!$P$4:$P$93,Assumptions!$M$4:$M$93,$C425,Assumptions!$N$4:$N$93,$E425,Assumptions!$O$4:$O$93,"HVN"))</f>
        <v/>
      </c>
      <c r="M425" s="9">
        <f>J425+L425</f>
        <v/>
      </c>
      <c r="N425" s="10">
        <f>$F425*$H425*$M425</f>
        <v/>
      </c>
    </row>
    <row r="426">
      <c r="A426" s="4" t="inlineStr">
        <is>
          <t>UNIT</t>
        </is>
      </c>
      <c r="B426" s="5" t="inlineStr">
        <is>
          <t>PHILLIPS_SWEENY</t>
        </is>
      </c>
      <c r="C426" s="5" t="n">
        <v>3</v>
      </c>
      <c r="D426" s="5" t="inlineStr">
        <is>
          <t>FCC</t>
        </is>
      </c>
      <c r="E426" s="5" t="inlineStr">
        <is>
          <t>FCC</t>
        </is>
      </c>
      <c r="F426" s="6" t="n">
        <v>111</v>
      </c>
      <c r="G426" s="7" t="n">
        <v>0.867</v>
      </c>
      <c r="H426" s="8">
        <f>IF($G426&lt;&gt;"",$G426,SUMIFS(Assumptions!$K$4:$K$8,Assumptions!$J$4:$J$8,$C426))</f>
        <v/>
      </c>
      <c r="I426" s="7" t="n"/>
      <c r="J426" s="9">
        <f>IF($I426&lt;&gt;"",$I426,SUMIFS(Assumptions!$P$4:$P$93,Assumptions!$M$4:$M$93,$C426,Assumptions!$N$4:$N$93,$E426,Assumptions!$O$4:$O$93,"LVN"))</f>
        <v/>
      </c>
      <c r="K426" s="7" t="n"/>
      <c r="L426" s="9">
        <f>IF($K426&lt;&gt;"",$K426,SUMIFS(Assumptions!$P$4:$P$93,Assumptions!$M$4:$M$93,$C426,Assumptions!$N$4:$N$93,$E426,Assumptions!$O$4:$O$93,"HVN"))</f>
        <v/>
      </c>
      <c r="M426" s="9">
        <f>J426+L426</f>
        <v/>
      </c>
      <c r="N426" s="10">
        <f>$F426*$H426*$M426</f>
        <v/>
      </c>
    </row>
    <row r="427">
      <c r="A427" s="4" t="inlineStr">
        <is>
          <t>UNIT</t>
        </is>
      </c>
      <c r="B427" s="5" t="inlineStr">
        <is>
          <t>PHILLIPS_SWEENY</t>
        </is>
      </c>
      <c r="C427" s="5" t="n">
        <v>3</v>
      </c>
      <c r="D427" s="5" t="inlineStr">
        <is>
          <t>COKER</t>
        </is>
      </c>
      <c r="E427" s="5" t="inlineStr">
        <is>
          <t>COKER</t>
        </is>
      </c>
      <c r="F427" s="6" t="n">
        <v>78.7</v>
      </c>
      <c r="G427" s="7" t="n">
        <v>0.786</v>
      </c>
      <c r="H427" s="8">
        <f>IF($G427&lt;&gt;"",$G427,SUMIFS(Assumptions!$K$4:$K$8,Assumptions!$J$4:$J$8,$C427))</f>
        <v/>
      </c>
      <c r="I427" s="7" t="n"/>
      <c r="J427" s="9">
        <f>IF($I427&lt;&gt;"",$I427,SUMIFS(Assumptions!$P$4:$P$93,Assumptions!$M$4:$M$93,$C427,Assumptions!$N$4:$N$93,$E427,Assumptions!$O$4:$O$93,"LVN"))</f>
        <v/>
      </c>
      <c r="K427" s="7" t="n"/>
      <c r="L427" s="9">
        <f>IF($K427&lt;&gt;"",$K427,SUMIFS(Assumptions!$P$4:$P$93,Assumptions!$M$4:$M$93,$C427,Assumptions!$N$4:$N$93,$E427,Assumptions!$O$4:$O$93,"HVN"))</f>
        <v/>
      </c>
      <c r="M427" s="9">
        <f>J427+L427</f>
        <v/>
      </c>
      <c r="N427" s="10">
        <f>$F427*$H427*$M427</f>
        <v/>
      </c>
    </row>
    <row r="428">
      <c r="A428" s="4" t="inlineStr">
        <is>
          <t>UNIT</t>
        </is>
      </c>
      <c r="B428" s="5" t="inlineStr">
        <is>
          <t>PHILLIPS_SWEENY</t>
        </is>
      </c>
      <c r="C428" s="5" t="n">
        <v>3</v>
      </c>
      <c r="D428" s="5" t="inlineStr">
        <is>
          <t>CCR</t>
        </is>
      </c>
      <c r="E428" s="5" t="inlineStr">
        <is>
          <t>REFORMER</t>
        </is>
      </c>
      <c r="F428" s="6" t="n">
        <v>42.1</v>
      </c>
      <c r="G428" s="7" t="n">
        <v>0.831</v>
      </c>
      <c r="H428" s="8">
        <f>IF($G428&lt;&gt;"",$G428,SUMIFS(Assumptions!$K$4:$K$8,Assumptions!$J$4:$J$8,$C428))</f>
        <v/>
      </c>
      <c r="I428" s="7" t="n"/>
      <c r="J428" s="9">
        <f>IF($I428&lt;&gt;"",$I428,SUMIFS(Assumptions!$P$4:$P$93,Assumptions!$M$4:$M$93,$C428,Assumptions!$N$4:$N$93,$E428,Assumptions!$O$4:$O$93,"LVN"))</f>
        <v/>
      </c>
      <c r="K428" s="7" t="n"/>
      <c r="L428" s="9">
        <f>IF($K428&lt;&gt;"",$K428,SUMIFS(Assumptions!$P$4:$P$93,Assumptions!$M$4:$M$93,$C428,Assumptions!$N$4:$N$93,$E428,Assumptions!$O$4:$O$93,"HVN"))</f>
        <v/>
      </c>
      <c r="M428" s="9">
        <f>J428+L428</f>
        <v/>
      </c>
      <c r="N428" s="10">
        <f>$F428*$H428*$M428</f>
        <v/>
      </c>
    </row>
    <row r="429">
      <c r="A429" s="4" t="inlineStr">
        <is>
          <t>UNIT</t>
        </is>
      </c>
      <c r="B429" s="5" t="inlineStr">
        <is>
          <t>PHILLIPS_SWEENY</t>
        </is>
      </c>
      <c r="C429" s="5" t="n">
        <v>3</v>
      </c>
      <c r="D429" s="5" t="inlineStr">
        <is>
          <t>ISOM</t>
        </is>
      </c>
      <c r="E429" s="5" t="inlineStr">
        <is>
          <t>ISOM</t>
        </is>
      </c>
      <c r="F429" s="6" t="n">
        <v>10.1</v>
      </c>
      <c r="G429" s="7" t="n">
        <v>0.99</v>
      </c>
      <c r="H429" s="8">
        <f>IF($G429&lt;&gt;"",$G429,SUMIFS(Assumptions!$K$4:$K$8,Assumptions!$J$4:$J$8,$C429))</f>
        <v/>
      </c>
      <c r="I429" s="7" t="n"/>
      <c r="J429" s="9">
        <f>IF($I429&lt;&gt;"",$I429,SUMIFS(Assumptions!$P$4:$P$93,Assumptions!$M$4:$M$93,$C429,Assumptions!$N$4:$N$93,$E429,Assumptions!$O$4:$O$93,"LVN"))</f>
        <v/>
      </c>
      <c r="K429" s="7" t="n"/>
      <c r="L429" s="9">
        <f>IF($K429&lt;&gt;"",$K429,SUMIFS(Assumptions!$P$4:$P$93,Assumptions!$M$4:$M$93,$C429,Assumptions!$N$4:$N$93,$E429,Assumptions!$O$4:$O$93,"HVN"))</f>
        <v/>
      </c>
      <c r="M429" s="9">
        <f>J429+L429</f>
        <v/>
      </c>
      <c r="N429" s="10">
        <f>$F429*$H429*$M429</f>
        <v/>
      </c>
    </row>
    <row r="430">
      <c r="A430" s="4" t="inlineStr">
        <is>
          <t>UNIT</t>
        </is>
      </c>
      <c r="B430" s="5" t="inlineStr">
        <is>
          <t>PHILLIPS_SWEENY</t>
        </is>
      </c>
      <c r="C430" s="5" t="n">
        <v>3</v>
      </c>
      <c r="D430" s="5" t="inlineStr">
        <is>
          <t>ALKY</t>
        </is>
      </c>
      <c r="E430" s="5" t="inlineStr">
        <is>
          <t>ALKY</t>
        </is>
      </c>
      <c r="F430" s="6" t="n">
        <v>21.6</v>
      </c>
      <c r="G430" s="7" t="n">
        <v>1.1</v>
      </c>
      <c r="H430" s="8">
        <f>IF($G430&lt;&gt;"",$G430,SUMIFS(Assumptions!$K$4:$K$8,Assumptions!$J$4:$J$8,$C430))</f>
        <v/>
      </c>
      <c r="I430" s="7" t="n"/>
      <c r="J430" s="9">
        <f>IF($I430&lt;&gt;"",$I430,SUMIFS(Assumptions!$P$4:$P$93,Assumptions!$M$4:$M$93,$C430,Assumptions!$N$4:$N$93,$E430,Assumptions!$O$4:$O$93,"LVN"))</f>
        <v/>
      </c>
      <c r="K430" s="7" t="n"/>
      <c r="L430" s="9">
        <f>IF($K430&lt;&gt;"",$K430,SUMIFS(Assumptions!$P$4:$P$93,Assumptions!$M$4:$M$93,$C430,Assumptions!$N$4:$N$93,$E430,Assumptions!$O$4:$O$93,"HVN"))</f>
        <v/>
      </c>
      <c r="M430" s="9">
        <f>J430+L430</f>
        <v/>
      </c>
      <c r="N430" s="10">
        <f>$F430*$H430*$M430</f>
        <v/>
      </c>
    </row>
    <row r="431">
      <c r="A431" s="11" t="inlineStr">
        <is>
          <t>TOTAL</t>
        </is>
      </c>
      <c r="B431" s="12" t="inlineStr">
        <is>
          <t>PHILLIPS_SWEENY</t>
        </is>
      </c>
      <c r="C431" s="12" t="n">
        <v>3</v>
      </c>
      <c r="D431" s="12" t="inlineStr">
        <is>
          <t>NET NAPHTHA</t>
        </is>
      </c>
      <c r="N431" s="13">
        <f>SUM(N424:N430)</f>
        <v/>
      </c>
    </row>
    <row r="433">
      <c r="A433" s="1" t="inlineStr">
        <is>
          <t xml:space="preserve">  Valero Texas City  [VALERO_TEXAS_CITY]   —   Valero   —   PADD 3   —   crude 260 kbd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</row>
    <row r="434">
      <c r="A434" s="4" t="inlineStr">
        <is>
          <t>UNIT</t>
        </is>
      </c>
      <c r="B434" s="5" t="inlineStr">
        <is>
          <t>VALERO_TEXAS_CITY</t>
        </is>
      </c>
      <c r="C434" s="5" t="n">
        <v>3</v>
      </c>
      <c r="D434" s="5" t="inlineStr">
        <is>
          <t>CDU</t>
        </is>
      </c>
      <c r="E434" s="5" t="inlineStr">
        <is>
          <t>CDU</t>
        </is>
      </c>
      <c r="F434" s="6" t="n">
        <v>231</v>
      </c>
      <c r="G434" s="7" t="n">
        <v>0.834</v>
      </c>
      <c r="H434" s="8">
        <f>IF($G434&lt;&gt;"",$G434,SUMIFS(Assumptions!$K$4:$K$8,Assumptions!$J$4:$J$8,$C434))</f>
        <v/>
      </c>
      <c r="I434" s="7" t="n"/>
      <c r="J434" s="9">
        <f>IF($I434&lt;&gt;"",$I434,SUMIFS(Assumptions!$P$4:$P$93,Assumptions!$M$4:$M$93,$C434,Assumptions!$N$4:$N$93,$E434,Assumptions!$O$4:$O$93,"LVN"))</f>
        <v/>
      </c>
      <c r="K434" s="7" t="n"/>
      <c r="L434" s="9">
        <f>IF($K434&lt;&gt;"",$K434,SUMIFS(Assumptions!$P$4:$P$93,Assumptions!$M$4:$M$93,$C434,Assumptions!$N$4:$N$93,$E434,Assumptions!$O$4:$O$93,"HVN"))</f>
        <v/>
      </c>
      <c r="M434" s="9">
        <f>J434+L434</f>
        <v/>
      </c>
      <c r="N434" s="10">
        <f>$F434*$H434*$M434</f>
        <v/>
      </c>
    </row>
    <row r="435">
      <c r="A435" s="4" t="inlineStr">
        <is>
          <t>UNIT</t>
        </is>
      </c>
      <c r="B435" s="5" t="inlineStr">
        <is>
          <t>VALERO_TEXAS_CITY</t>
        </is>
      </c>
      <c r="C435" s="5" t="n">
        <v>3</v>
      </c>
      <c r="D435" s="5" t="inlineStr">
        <is>
          <t>VDU</t>
        </is>
      </c>
      <c r="E435" s="5" t="inlineStr">
        <is>
          <t>VDU</t>
        </is>
      </c>
      <c r="F435" s="6" t="n">
        <v>133.5</v>
      </c>
      <c r="G435" s="7" t="n">
        <v>0.619</v>
      </c>
      <c r="H435" s="8">
        <f>IF($G435&lt;&gt;"",$G435,SUMIFS(Assumptions!$K$4:$K$8,Assumptions!$J$4:$J$8,$C435))</f>
        <v/>
      </c>
      <c r="I435" s="7" t="n"/>
      <c r="J435" s="9">
        <f>IF($I435&lt;&gt;"",$I435,SUMIFS(Assumptions!$P$4:$P$93,Assumptions!$M$4:$M$93,$C435,Assumptions!$N$4:$N$93,$E435,Assumptions!$O$4:$O$93,"LVN"))</f>
        <v/>
      </c>
      <c r="K435" s="7" t="n"/>
      <c r="L435" s="9">
        <f>IF($K435&lt;&gt;"",$K435,SUMIFS(Assumptions!$P$4:$P$93,Assumptions!$M$4:$M$93,$C435,Assumptions!$N$4:$N$93,$E435,Assumptions!$O$4:$O$93,"HVN"))</f>
        <v/>
      </c>
      <c r="M435" s="9">
        <f>J435+L435</f>
        <v/>
      </c>
      <c r="N435" s="10">
        <f>$F435*$H435*$M435</f>
        <v/>
      </c>
    </row>
    <row r="436">
      <c r="A436" s="4" t="inlineStr">
        <is>
          <t>UNIT</t>
        </is>
      </c>
      <c r="B436" s="5" t="inlineStr">
        <is>
          <t>VALERO_TEXAS_CITY</t>
        </is>
      </c>
      <c r="C436" s="5" t="n">
        <v>3</v>
      </c>
      <c r="D436" s="5" t="inlineStr">
        <is>
          <t>FCC</t>
        </is>
      </c>
      <c r="E436" s="5" t="inlineStr">
        <is>
          <t>FCC</t>
        </is>
      </c>
      <c r="F436" s="6" t="n">
        <v>86</v>
      </c>
      <c r="G436" s="7" t="n">
        <v>0.803</v>
      </c>
      <c r="H436" s="8">
        <f>IF($G436&lt;&gt;"",$G436,SUMIFS(Assumptions!$K$4:$K$8,Assumptions!$J$4:$J$8,$C436))</f>
        <v/>
      </c>
      <c r="I436" s="7" t="n"/>
      <c r="J436" s="9">
        <f>IF($I436&lt;&gt;"",$I436,SUMIFS(Assumptions!$P$4:$P$93,Assumptions!$M$4:$M$93,$C436,Assumptions!$N$4:$N$93,$E436,Assumptions!$O$4:$O$93,"LVN"))</f>
        <v/>
      </c>
      <c r="K436" s="7" t="n"/>
      <c r="L436" s="9">
        <f>IF($K436&lt;&gt;"",$K436,SUMIFS(Assumptions!$P$4:$P$93,Assumptions!$M$4:$M$93,$C436,Assumptions!$N$4:$N$93,$E436,Assumptions!$O$4:$O$93,"HVN"))</f>
        <v/>
      </c>
      <c r="M436" s="9">
        <f>J436+L436</f>
        <v/>
      </c>
      <c r="N436" s="10">
        <f>$F436*$H436*$M436</f>
        <v/>
      </c>
    </row>
    <row r="437">
      <c r="A437" s="4" t="inlineStr">
        <is>
          <t>UNIT</t>
        </is>
      </c>
      <c r="B437" s="5" t="inlineStr">
        <is>
          <t>VALERO_TEXAS_CITY</t>
        </is>
      </c>
      <c r="C437" s="5" t="n">
        <v>3</v>
      </c>
      <c r="D437" s="5" t="inlineStr">
        <is>
          <t>COKER</t>
        </is>
      </c>
      <c r="E437" s="5" t="inlineStr">
        <is>
          <t>COKER</t>
        </is>
      </c>
      <c r="F437" s="6" t="n">
        <v>53.5</v>
      </c>
      <c r="G437" s="7" t="n">
        <v>0.48</v>
      </c>
      <c r="H437" s="8">
        <f>IF($G437&lt;&gt;"",$G437,SUMIFS(Assumptions!$K$4:$K$8,Assumptions!$J$4:$J$8,$C437))</f>
        <v/>
      </c>
      <c r="I437" s="7" t="n"/>
      <c r="J437" s="9">
        <f>IF($I437&lt;&gt;"",$I437,SUMIFS(Assumptions!$P$4:$P$93,Assumptions!$M$4:$M$93,$C437,Assumptions!$N$4:$N$93,$E437,Assumptions!$O$4:$O$93,"LVN"))</f>
        <v/>
      </c>
      <c r="K437" s="7" t="n"/>
      <c r="L437" s="9">
        <f>IF($K437&lt;&gt;"",$K437,SUMIFS(Assumptions!$P$4:$P$93,Assumptions!$M$4:$M$93,$C437,Assumptions!$N$4:$N$93,$E437,Assumptions!$O$4:$O$93,"HVN"))</f>
        <v/>
      </c>
      <c r="M437" s="9">
        <f>J437+L437</f>
        <v/>
      </c>
      <c r="N437" s="10">
        <f>$F437*$H437*$M437</f>
        <v/>
      </c>
    </row>
    <row r="438">
      <c r="A438" s="4" t="inlineStr">
        <is>
          <t>UNIT</t>
        </is>
      </c>
      <c r="B438" s="5" t="inlineStr">
        <is>
          <t>VALERO_TEXAS_CITY</t>
        </is>
      </c>
      <c r="C438" s="5" t="n">
        <v>3</v>
      </c>
      <c r="D438" s="5" t="inlineStr">
        <is>
          <t>CCR</t>
        </is>
      </c>
      <c r="E438" s="5" t="inlineStr">
        <is>
          <t>REFORMER</t>
        </is>
      </c>
      <c r="F438" s="6" t="n">
        <v>18.1</v>
      </c>
      <c r="G438" s="7" t="n">
        <v>0.994</v>
      </c>
      <c r="H438" s="8">
        <f>IF($G438&lt;&gt;"",$G438,SUMIFS(Assumptions!$K$4:$K$8,Assumptions!$J$4:$J$8,$C438))</f>
        <v/>
      </c>
      <c r="I438" s="7" t="n"/>
      <c r="J438" s="9">
        <f>IF($I438&lt;&gt;"",$I438,SUMIFS(Assumptions!$P$4:$P$93,Assumptions!$M$4:$M$93,$C438,Assumptions!$N$4:$N$93,$E438,Assumptions!$O$4:$O$93,"LVN"))</f>
        <v/>
      </c>
      <c r="K438" s="7" t="n"/>
      <c r="L438" s="9">
        <f>IF($K438&lt;&gt;"",$K438,SUMIFS(Assumptions!$P$4:$P$93,Assumptions!$M$4:$M$93,$C438,Assumptions!$N$4:$N$93,$E438,Assumptions!$O$4:$O$93,"HVN"))</f>
        <v/>
      </c>
      <c r="M438" s="9">
        <f>J438+L438</f>
        <v/>
      </c>
      <c r="N438" s="10">
        <f>$F438*$H438*$M438</f>
        <v/>
      </c>
    </row>
    <row r="439">
      <c r="A439" s="4" t="inlineStr">
        <is>
          <t>UNIT</t>
        </is>
      </c>
      <c r="B439" s="5" t="inlineStr">
        <is>
          <t>VALERO_TEXAS_CITY</t>
        </is>
      </c>
      <c r="C439" s="5" t="n">
        <v>3</v>
      </c>
      <c r="D439" s="5" t="inlineStr">
        <is>
          <t>ISOM</t>
        </is>
      </c>
      <c r="E439" s="5" t="inlineStr">
        <is>
          <t>ISOM</t>
        </is>
      </c>
      <c r="F439" s="6" t="n">
        <v>6.5</v>
      </c>
      <c r="G439" s="7" t="n">
        <v>1</v>
      </c>
      <c r="H439" s="8">
        <f>IF($G439&lt;&gt;"",$G439,SUMIFS(Assumptions!$K$4:$K$8,Assumptions!$J$4:$J$8,$C439))</f>
        <v/>
      </c>
      <c r="I439" s="7" t="n"/>
      <c r="J439" s="9">
        <f>IF($I439&lt;&gt;"",$I439,SUMIFS(Assumptions!$P$4:$P$93,Assumptions!$M$4:$M$93,$C439,Assumptions!$N$4:$N$93,$E439,Assumptions!$O$4:$O$93,"LVN"))</f>
        <v/>
      </c>
      <c r="K439" s="7" t="n"/>
      <c r="L439" s="9">
        <f>IF($K439&lt;&gt;"",$K439,SUMIFS(Assumptions!$P$4:$P$93,Assumptions!$M$4:$M$93,$C439,Assumptions!$N$4:$N$93,$E439,Assumptions!$O$4:$O$93,"HVN"))</f>
        <v/>
      </c>
      <c r="M439" s="9">
        <f>J439+L439</f>
        <v/>
      </c>
      <c r="N439" s="10">
        <f>$F439*$H439*$M439</f>
        <v/>
      </c>
    </row>
    <row r="440">
      <c r="A440" s="4" t="inlineStr">
        <is>
          <t>UNIT</t>
        </is>
      </c>
      <c r="B440" s="5" t="inlineStr">
        <is>
          <t>VALERO_TEXAS_CITY</t>
        </is>
      </c>
      <c r="C440" s="5" t="n">
        <v>3</v>
      </c>
      <c r="D440" s="5" t="inlineStr">
        <is>
          <t>ALKY</t>
        </is>
      </c>
      <c r="E440" s="5" t="inlineStr">
        <is>
          <t>ALKY</t>
        </is>
      </c>
      <c r="F440" s="6" t="n">
        <v>14.7</v>
      </c>
      <c r="G440" s="7" t="n">
        <v>1.1</v>
      </c>
      <c r="H440" s="8">
        <f>IF($G440&lt;&gt;"",$G440,SUMIFS(Assumptions!$K$4:$K$8,Assumptions!$J$4:$J$8,$C440))</f>
        <v/>
      </c>
      <c r="I440" s="7" t="n"/>
      <c r="J440" s="9">
        <f>IF($I440&lt;&gt;"",$I440,SUMIFS(Assumptions!$P$4:$P$93,Assumptions!$M$4:$M$93,$C440,Assumptions!$N$4:$N$93,$E440,Assumptions!$O$4:$O$93,"LVN"))</f>
        <v/>
      </c>
      <c r="K440" s="7" t="n"/>
      <c r="L440" s="9">
        <f>IF($K440&lt;&gt;"",$K440,SUMIFS(Assumptions!$P$4:$P$93,Assumptions!$M$4:$M$93,$C440,Assumptions!$N$4:$N$93,$E440,Assumptions!$O$4:$O$93,"HVN"))</f>
        <v/>
      </c>
      <c r="M440" s="9">
        <f>J440+L440</f>
        <v/>
      </c>
      <c r="N440" s="10">
        <f>$F440*$H440*$M440</f>
        <v/>
      </c>
    </row>
    <row r="441">
      <c r="A441" s="11" t="inlineStr">
        <is>
          <t>TOTAL</t>
        </is>
      </c>
      <c r="B441" s="12" t="inlineStr">
        <is>
          <t>VALERO_TEXAS_CITY</t>
        </is>
      </c>
      <c r="C441" s="12" t="n">
        <v>3</v>
      </c>
      <c r="D441" s="12" t="inlineStr">
        <is>
          <t>NET NAPHTHA</t>
        </is>
      </c>
      <c r="N441" s="13">
        <f>SUM(N434:N440)</f>
        <v/>
      </c>
    </row>
    <row r="443">
      <c r="A443" s="1" t="inlineStr">
        <is>
          <t xml:space="preserve">  Shell Norco  [SHELL_NORCO]   —   Shell   —   PADD 3   —   crude 250 kbd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</row>
    <row r="444">
      <c r="A444" s="4" t="inlineStr">
        <is>
          <t>UNIT</t>
        </is>
      </c>
      <c r="B444" s="5" t="inlineStr">
        <is>
          <t>SHELL_NORCO</t>
        </is>
      </c>
      <c r="C444" s="5" t="n">
        <v>3</v>
      </c>
      <c r="D444" s="5" t="inlineStr">
        <is>
          <t>CDU</t>
        </is>
      </c>
      <c r="E444" s="5" t="inlineStr">
        <is>
          <t>CDU</t>
        </is>
      </c>
      <c r="F444" s="6" t="n">
        <v>250</v>
      </c>
      <c r="G444" s="7" t="n">
        <v>0.905</v>
      </c>
      <c r="H444" s="8">
        <f>IF($G444&lt;&gt;"",$G444,SUMIFS(Assumptions!$K$4:$K$8,Assumptions!$J$4:$J$8,$C444))</f>
        <v/>
      </c>
      <c r="I444" s="7" t="n"/>
      <c r="J444" s="9">
        <f>IF($I444&lt;&gt;"",$I444,SUMIFS(Assumptions!$P$4:$P$93,Assumptions!$M$4:$M$93,$C444,Assumptions!$N$4:$N$93,$E444,Assumptions!$O$4:$O$93,"LVN"))</f>
        <v/>
      </c>
      <c r="K444" s="7" t="n"/>
      <c r="L444" s="9">
        <f>IF($K444&lt;&gt;"",$K444,SUMIFS(Assumptions!$P$4:$P$93,Assumptions!$M$4:$M$93,$C444,Assumptions!$N$4:$N$93,$E444,Assumptions!$O$4:$O$93,"HVN"))</f>
        <v/>
      </c>
      <c r="M444" s="9">
        <f>J444+L444</f>
        <v/>
      </c>
      <c r="N444" s="10">
        <f>$F444*$H444*$M444</f>
        <v/>
      </c>
    </row>
    <row r="445">
      <c r="A445" s="4" t="inlineStr">
        <is>
          <t>UNIT</t>
        </is>
      </c>
      <c r="B445" s="5" t="inlineStr">
        <is>
          <t>SHELL_NORCO</t>
        </is>
      </c>
      <c r="C445" s="5" t="n">
        <v>3</v>
      </c>
      <c r="D445" s="5" t="inlineStr">
        <is>
          <t>VDU</t>
        </is>
      </c>
      <c r="E445" s="5" t="inlineStr">
        <is>
          <t>VDU</t>
        </is>
      </c>
      <c r="F445" s="6" t="n">
        <v>91.3</v>
      </c>
      <c r="G445" s="7" t="n">
        <v>0.883</v>
      </c>
      <c r="H445" s="8">
        <f>IF($G445&lt;&gt;"",$G445,SUMIFS(Assumptions!$K$4:$K$8,Assumptions!$J$4:$J$8,$C445))</f>
        <v/>
      </c>
      <c r="I445" s="7" t="n"/>
      <c r="J445" s="9">
        <f>IF($I445&lt;&gt;"",$I445,SUMIFS(Assumptions!$P$4:$P$93,Assumptions!$M$4:$M$93,$C445,Assumptions!$N$4:$N$93,$E445,Assumptions!$O$4:$O$93,"LVN"))</f>
        <v/>
      </c>
      <c r="K445" s="7" t="n"/>
      <c r="L445" s="9">
        <f>IF($K445&lt;&gt;"",$K445,SUMIFS(Assumptions!$P$4:$P$93,Assumptions!$M$4:$M$93,$C445,Assumptions!$N$4:$N$93,$E445,Assumptions!$O$4:$O$93,"HVN"))</f>
        <v/>
      </c>
      <c r="M445" s="9">
        <f>J445+L445</f>
        <v/>
      </c>
      <c r="N445" s="10">
        <f>$F445*$H445*$M445</f>
        <v/>
      </c>
    </row>
    <row r="446">
      <c r="A446" s="4" t="inlineStr">
        <is>
          <t>UNIT</t>
        </is>
      </c>
      <c r="B446" s="5" t="inlineStr">
        <is>
          <t>SHELL_NORCO</t>
        </is>
      </c>
      <c r="C446" s="5" t="n">
        <v>3</v>
      </c>
      <c r="D446" s="5" t="inlineStr">
        <is>
          <t>FCC</t>
        </is>
      </c>
      <c r="E446" s="5" t="inlineStr">
        <is>
          <t>FCC</t>
        </is>
      </c>
      <c r="F446" s="6" t="n">
        <v>118.8</v>
      </c>
      <c r="G446" s="7" t="n"/>
      <c r="H446" s="8">
        <f>IF($G446&lt;&gt;"",$G446,SUMIFS(Assumptions!$K$4:$K$8,Assumptions!$J$4:$J$8,$C446))</f>
        <v/>
      </c>
      <c r="I446" s="7" t="n"/>
      <c r="J446" s="9">
        <f>IF($I446&lt;&gt;"",$I446,SUMIFS(Assumptions!$P$4:$P$93,Assumptions!$M$4:$M$93,$C446,Assumptions!$N$4:$N$93,$E446,Assumptions!$O$4:$O$93,"LVN"))</f>
        <v/>
      </c>
      <c r="K446" s="7" t="n"/>
      <c r="L446" s="9">
        <f>IF($K446&lt;&gt;"",$K446,SUMIFS(Assumptions!$P$4:$P$93,Assumptions!$M$4:$M$93,$C446,Assumptions!$N$4:$N$93,$E446,Assumptions!$O$4:$O$93,"HVN"))</f>
        <v/>
      </c>
      <c r="M446" s="9">
        <f>J446+L446</f>
        <v/>
      </c>
      <c r="N446" s="10">
        <f>$F446*$H446*$M446</f>
        <v/>
      </c>
    </row>
    <row r="447">
      <c r="A447" s="4" t="inlineStr">
        <is>
          <t>UNIT</t>
        </is>
      </c>
      <c r="B447" s="5" t="inlineStr">
        <is>
          <t>SHELL_NORCO</t>
        </is>
      </c>
      <c r="C447" s="5" t="n">
        <v>3</v>
      </c>
      <c r="D447" s="5" t="inlineStr">
        <is>
          <t>DHCU</t>
        </is>
      </c>
      <c r="E447" s="5" t="inlineStr">
        <is>
          <t>HYDROCRACKER</t>
        </is>
      </c>
      <c r="F447" s="6" t="n">
        <v>44</v>
      </c>
      <c r="G447" s="7" t="n">
        <v>0.589</v>
      </c>
      <c r="H447" s="8">
        <f>IF($G447&lt;&gt;"",$G447,SUMIFS(Assumptions!$K$4:$K$8,Assumptions!$J$4:$J$8,$C447))</f>
        <v/>
      </c>
      <c r="I447" s="7" t="n"/>
      <c r="J447" s="9">
        <f>IF($I447&lt;&gt;"",$I447,SUMIFS(Assumptions!$P$4:$P$93,Assumptions!$M$4:$M$93,$C447,Assumptions!$N$4:$N$93,$E447,Assumptions!$O$4:$O$93,"LVN"))</f>
        <v/>
      </c>
      <c r="K447" s="7" t="n"/>
      <c r="L447" s="9">
        <f>IF($K447&lt;&gt;"",$K447,SUMIFS(Assumptions!$P$4:$P$93,Assumptions!$M$4:$M$93,$C447,Assumptions!$N$4:$N$93,$E447,Assumptions!$O$4:$O$93,"HVN"))</f>
        <v/>
      </c>
      <c r="M447" s="9">
        <f>J447+L447</f>
        <v/>
      </c>
      <c r="N447" s="10">
        <f>$F447*$H447*$M447</f>
        <v/>
      </c>
    </row>
    <row r="448">
      <c r="A448" s="4" t="inlineStr">
        <is>
          <t>UNIT</t>
        </is>
      </c>
      <c r="B448" s="5" t="inlineStr">
        <is>
          <t>SHELL_NORCO</t>
        </is>
      </c>
      <c r="C448" s="5" t="n">
        <v>3</v>
      </c>
      <c r="D448" s="5" t="inlineStr">
        <is>
          <t>COKER</t>
        </is>
      </c>
      <c r="E448" s="5" t="inlineStr">
        <is>
          <t>COKER</t>
        </is>
      </c>
      <c r="F448" s="6" t="n">
        <v>28.5</v>
      </c>
      <c r="G448" s="7" t="n">
        <v>0.625</v>
      </c>
      <c r="H448" s="8">
        <f>IF($G448&lt;&gt;"",$G448,SUMIFS(Assumptions!$K$4:$K$8,Assumptions!$J$4:$J$8,$C448))</f>
        <v/>
      </c>
      <c r="I448" s="7" t="n"/>
      <c r="J448" s="9">
        <f>IF($I448&lt;&gt;"",$I448,SUMIFS(Assumptions!$P$4:$P$93,Assumptions!$M$4:$M$93,$C448,Assumptions!$N$4:$N$93,$E448,Assumptions!$O$4:$O$93,"LVN"))</f>
        <v/>
      </c>
      <c r="K448" s="7" t="n"/>
      <c r="L448" s="9">
        <f>IF($K448&lt;&gt;"",$K448,SUMIFS(Assumptions!$P$4:$P$93,Assumptions!$M$4:$M$93,$C448,Assumptions!$N$4:$N$93,$E448,Assumptions!$O$4:$O$93,"HVN"))</f>
        <v/>
      </c>
      <c r="M448" s="9">
        <f>J448+L448</f>
        <v/>
      </c>
      <c r="N448" s="10">
        <f>$F448*$H448*$M448</f>
        <v/>
      </c>
    </row>
    <row r="449">
      <c r="A449" s="4" t="inlineStr">
        <is>
          <t>UNIT</t>
        </is>
      </c>
      <c r="B449" s="5" t="inlineStr">
        <is>
          <t>SHELL_NORCO</t>
        </is>
      </c>
      <c r="C449" s="5" t="n">
        <v>3</v>
      </c>
      <c r="D449" s="5" t="inlineStr">
        <is>
          <t>CCR</t>
        </is>
      </c>
      <c r="E449" s="5" t="inlineStr">
        <is>
          <t>REFORMER</t>
        </is>
      </c>
      <c r="F449" s="6" t="n">
        <v>40</v>
      </c>
      <c r="G449" s="7" t="n">
        <v>0.911</v>
      </c>
      <c r="H449" s="8">
        <f>IF($G449&lt;&gt;"",$G449,SUMIFS(Assumptions!$K$4:$K$8,Assumptions!$J$4:$J$8,$C449))</f>
        <v/>
      </c>
      <c r="I449" s="7" t="n"/>
      <c r="J449" s="9">
        <f>IF($I449&lt;&gt;"",$I449,SUMIFS(Assumptions!$P$4:$P$93,Assumptions!$M$4:$M$93,$C449,Assumptions!$N$4:$N$93,$E449,Assumptions!$O$4:$O$93,"LVN"))</f>
        <v/>
      </c>
      <c r="K449" s="7" t="n"/>
      <c r="L449" s="9">
        <f>IF($K449&lt;&gt;"",$K449,SUMIFS(Assumptions!$P$4:$P$93,Assumptions!$M$4:$M$93,$C449,Assumptions!$N$4:$N$93,$E449,Assumptions!$O$4:$O$93,"HVN"))</f>
        <v/>
      </c>
      <c r="M449" s="9">
        <f>J449+L449</f>
        <v/>
      </c>
      <c r="N449" s="10">
        <f>$F449*$H449*$M449</f>
        <v/>
      </c>
    </row>
    <row r="450">
      <c r="A450" s="4" t="inlineStr">
        <is>
          <t>UNIT</t>
        </is>
      </c>
      <c r="B450" s="5" t="inlineStr">
        <is>
          <t>SHELL_NORCO</t>
        </is>
      </c>
      <c r="C450" s="5" t="n">
        <v>3</v>
      </c>
      <c r="D450" s="5" t="inlineStr">
        <is>
          <t>ALKY</t>
        </is>
      </c>
      <c r="E450" s="5" t="inlineStr">
        <is>
          <t>ALKY</t>
        </is>
      </c>
      <c r="F450" s="6" t="n">
        <v>18.1</v>
      </c>
      <c r="G450" s="7" t="n">
        <v>1.1</v>
      </c>
      <c r="H450" s="8">
        <f>IF($G450&lt;&gt;"",$G450,SUMIFS(Assumptions!$K$4:$K$8,Assumptions!$J$4:$J$8,$C450))</f>
        <v/>
      </c>
      <c r="I450" s="7" t="n"/>
      <c r="J450" s="9">
        <f>IF($I450&lt;&gt;"",$I450,SUMIFS(Assumptions!$P$4:$P$93,Assumptions!$M$4:$M$93,$C450,Assumptions!$N$4:$N$93,$E450,Assumptions!$O$4:$O$93,"LVN"))</f>
        <v/>
      </c>
      <c r="K450" s="7" t="n"/>
      <c r="L450" s="9">
        <f>IF($K450&lt;&gt;"",$K450,SUMIFS(Assumptions!$P$4:$P$93,Assumptions!$M$4:$M$93,$C450,Assumptions!$N$4:$N$93,$E450,Assumptions!$O$4:$O$93,"HVN"))</f>
        <v/>
      </c>
      <c r="M450" s="9">
        <f>J450+L450</f>
        <v/>
      </c>
      <c r="N450" s="10">
        <f>$F450*$H450*$M450</f>
        <v/>
      </c>
    </row>
    <row r="451">
      <c r="A451" s="11" t="inlineStr">
        <is>
          <t>TOTAL</t>
        </is>
      </c>
      <c r="B451" s="12" t="inlineStr">
        <is>
          <t>SHELL_NORCO</t>
        </is>
      </c>
      <c r="C451" s="12" t="n">
        <v>3</v>
      </c>
      <c r="D451" s="12" t="inlineStr">
        <is>
          <t>NET NAPHTHA</t>
        </is>
      </c>
      <c r="N451" s="13">
        <f>SUM(N444:N450)</f>
        <v/>
      </c>
    </row>
    <row r="453">
      <c r="A453" s="1" t="inlineStr">
        <is>
          <t xml:space="preserve">  Total Port Arthur  [TOTAL_PORT_ARTHUR]   —   Total   —   PADD 3   —   crude 238 kbd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</row>
    <row r="454">
      <c r="A454" s="4" t="inlineStr">
        <is>
          <t>UNIT</t>
        </is>
      </c>
      <c r="B454" s="5" t="inlineStr">
        <is>
          <t>TOTAL_PORT_ARTHUR</t>
        </is>
      </c>
      <c r="C454" s="5" t="n">
        <v>3</v>
      </c>
      <c r="D454" s="5" t="inlineStr">
        <is>
          <t>CDU</t>
        </is>
      </c>
      <c r="E454" s="5" t="inlineStr">
        <is>
          <t>CDU</t>
        </is>
      </c>
      <c r="F454" s="6" t="n">
        <v>195</v>
      </c>
      <c r="G454" s="7" t="n">
        <v>0.665</v>
      </c>
      <c r="H454" s="8">
        <f>IF($G454&lt;&gt;"",$G454,SUMIFS(Assumptions!$K$4:$K$8,Assumptions!$J$4:$J$8,$C454))</f>
        <v/>
      </c>
      <c r="I454" s="7" t="n"/>
      <c r="J454" s="9">
        <f>IF($I454&lt;&gt;"",$I454,SUMIFS(Assumptions!$P$4:$P$93,Assumptions!$M$4:$M$93,$C454,Assumptions!$N$4:$N$93,$E454,Assumptions!$O$4:$O$93,"LVN"))</f>
        <v/>
      </c>
      <c r="K454" s="7" t="n"/>
      <c r="L454" s="9">
        <f>IF($K454&lt;&gt;"",$K454,SUMIFS(Assumptions!$P$4:$P$93,Assumptions!$M$4:$M$93,$C454,Assumptions!$N$4:$N$93,$E454,Assumptions!$O$4:$O$93,"HVN"))</f>
        <v/>
      </c>
      <c r="M454" s="9">
        <f>J454+L454</f>
        <v/>
      </c>
      <c r="N454" s="10">
        <f>$F454*$H454*$M454</f>
        <v/>
      </c>
    </row>
    <row r="455">
      <c r="A455" s="4" t="inlineStr">
        <is>
          <t>UNIT</t>
        </is>
      </c>
      <c r="B455" s="5" t="inlineStr">
        <is>
          <t>TOTAL_PORT_ARTHUR</t>
        </is>
      </c>
      <c r="C455" s="5" t="n">
        <v>3</v>
      </c>
      <c r="D455" s="5" t="inlineStr">
        <is>
          <t>VDU</t>
        </is>
      </c>
      <c r="E455" s="5" t="inlineStr">
        <is>
          <t>VDU</t>
        </is>
      </c>
      <c r="F455" s="6" t="n">
        <v>117</v>
      </c>
      <c r="G455" s="7" t="n">
        <v>0.495</v>
      </c>
      <c r="H455" s="8">
        <f>IF($G455&lt;&gt;"",$G455,SUMIFS(Assumptions!$K$4:$K$8,Assumptions!$J$4:$J$8,$C455))</f>
        <v/>
      </c>
      <c r="I455" s="7" t="n"/>
      <c r="J455" s="9">
        <f>IF($I455&lt;&gt;"",$I455,SUMIFS(Assumptions!$P$4:$P$93,Assumptions!$M$4:$M$93,$C455,Assumptions!$N$4:$N$93,$E455,Assumptions!$O$4:$O$93,"LVN"))</f>
        <v/>
      </c>
      <c r="K455" s="7" t="n"/>
      <c r="L455" s="9">
        <f>IF($K455&lt;&gt;"",$K455,SUMIFS(Assumptions!$P$4:$P$93,Assumptions!$M$4:$M$93,$C455,Assumptions!$N$4:$N$93,$E455,Assumptions!$O$4:$O$93,"HVN"))</f>
        <v/>
      </c>
      <c r="M455" s="9">
        <f>J455+L455</f>
        <v/>
      </c>
      <c r="N455" s="10">
        <f>$F455*$H455*$M455</f>
        <v/>
      </c>
    </row>
    <row r="456">
      <c r="A456" s="4" t="inlineStr">
        <is>
          <t>UNIT</t>
        </is>
      </c>
      <c r="B456" s="5" t="inlineStr">
        <is>
          <t>TOTAL_PORT_ARTHUR</t>
        </is>
      </c>
      <c r="C456" s="5" t="n">
        <v>3</v>
      </c>
      <c r="D456" s="5" t="inlineStr">
        <is>
          <t>FCC</t>
        </is>
      </c>
      <c r="E456" s="5" t="inlineStr">
        <is>
          <t>FCC</t>
        </is>
      </c>
      <c r="F456" s="6" t="n">
        <v>80</v>
      </c>
      <c r="G456" s="7" t="n">
        <v>0.489</v>
      </c>
      <c r="H456" s="8">
        <f>IF($G456&lt;&gt;"",$G456,SUMIFS(Assumptions!$K$4:$K$8,Assumptions!$J$4:$J$8,$C456))</f>
        <v/>
      </c>
      <c r="I456" s="7" t="n"/>
      <c r="J456" s="9">
        <f>IF($I456&lt;&gt;"",$I456,SUMIFS(Assumptions!$P$4:$P$93,Assumptions!$M$4:$M$93,$C456,Assumptions!$N$4:$N$93,$E456,Assumptions!$O$4:$O$93,"LVN"))</f>
        <v/>
      </c>
      <c r="K456" s="7" t="n"/>
      <c r="L456" s="9">
        <f>IF($K456&lt;&gt;"",$K456,SUMIFS(Assumptions!$P$4:$P$93,Assumptions!$M$4:$M$93,$C456,Assumptions!$N$4:$N$93,$E456,Assumptions!$O$4:$O$93,"HVN"))</f>
        <v/>
      </c>
      <c r="M456" s="9">
        <f>J456+L456</f>
        <v/>
      </c>
      <c r="N456" s="10">
        <f>$F456*$H456*$M456</f>
        <v/>
      </c>
    </row>
    <row r="457">
      <c r="A457" s="4" t="inlineStr">
        <is>
          <t>UNIT</t>
        </is>
      </c>
      <c r="B457" s="5" t="inlineStr">
        <is>
          <t>TOTAL_PORT_ARTHUR</t>
        </is>
      </c>
      <c r="C457" s="5" t="n">
        <v>3</v>
      </c>
      <c r="D457" s="5" t="inlineStr">
        <is>
          <t>COKER</t>
        </is>
      </c>
      <c r="E457" s="5" t="inlineStr">
        <is>
          <t>COKER</t>
        </is>
      </c>
      <c r="F457" s="6" t="n">
        <v>60</v>
      </c>
      <c r="G457" s="7" t="n">
        <v>0.379</v>
      </c>
      <c r="H457" s="8">
        <f>IF($G457&lt;&gt;"",$G457,SUMIFS(Assumptions!$K$4:$K$8,Assumptions!$J$4:$J$8,$C457))</f>
        <v/>
      </c>
      <c r="I457" s="7" t="n"/>
      <c r="J457" s="9">
        <f>IF($I457&lt;&gt;"",$I457,SUMIFS(Assumptions!$P$4:$P$93,Assumptions!$M$4:$M$93,$C457,Assumptions!$N$4:$N$93,$E457,Assumptions!$O$4:$O$93,"LVN"))</f>
        <v/>
      </c>
      <c r="K457" s="7" t="n"/>
      <c r="L457" s="9">
        <f>IF($K457&lt;&gt;"",$K457,SUMIFS(Assumptions!$P$4:$P$93,Assumptions!$M$4:$M$93,$C457,Assumptions!$N$4:$N$93,$E457,Assumptions!$O$4:$O$93,"HVN"))</f>
        <v/>
      </c>
      <c r="M457" s="9">
        <f>J457+L457</f>
        <v/>
      </c>
      <c r="N457" s="10">
        <f>$F457*$H457*$M457</f>
        <v/>
      </c>
    </row>
    <row r="458">
      <c r="A458" s="4" t="inlineStr">
        <is>
          <t>UNIT</t>
        </is>
      </c>
      <c r="B458" s="5" t="inlineStr">
        <is>
          <t>TOTAL_PORT_ARTHUR</t>
        </is>
      </c>
      <c r="C458" s="5" t="n">
        <v>3</v>
      </c>
      <c r="D458" s="5" t="inlineStr">
        <is>
          <t>CCR</t>
        </is>
      </c>
      <c r="E458" s="5" t="inlineStr">
        <is>
          <t>REFORMER</t>
        </is>
      </c>
      <c r="F458" s="6" t="n">
        <v>43</v>
      </c>
      <c r="G458" s="7" t="n">
        <v>0.9399999999999999</v>
      </c>
      <c r="H458" s="8">
        <f>IF($G458&lt;&gt;"",$G458,SUMIFS(Assumptions!$K$4:$K$8,Assumptions!$J$4:$J$8,$C458))</f>
        <v/>
      </c>
      <c r="I458" s="7" t="n"/>
      <c r="J458" s="9">
        <f>IF($I458&lt;&gt;"",$I458,SUMIFS(Assumptions!$P$4:$P$93,Assumptions!$M$4:$M$93,$C458,Assumptions!$N$4:$N$93,$E458,Assumptions!$O$4:$O$93,"LVN"))</f>
        <v/>
      </c>
      <c r="K458" s="7" t="n"/>
      <c r="L458" s="9">
        <f>IF($K458&lt;&gt;"",$K458,SUMIFS(Assumptions!$P$4:$P$93,Assumptions!$M$4:$M$93,$C458,Assumptions!$N$4:$N$93,$E458,Assumptions!$O$4:$O$93,"HVN"))</f>
        <v/>
      </c>
      <c r="M458" s="9">
        <f>J458+L458</f>
        <v/>
      </c>
      <c r="N458" s="10">
        <f>$F458*$H458*$M458</f>
        <v/>
      </c>
    </row>
    <row r="459">
      <c r="A459" s="4" t="inlineStr">
        <is>
          <t>UNIT</t>
        </is>
      </c>
      <c r="B459" s="5" t="inlineStr">
        <is>
          <t>TOTAL_PORT_ARTHUR</t>
        </is>
      </c>
      <c r="C459" s="5" t="n">
        <v>3</v>
      </c>
      <c r="D459" s="5" t="inlineStr">
        <is>
          <t>ISOM</t>
        </is>
      </c>
      <c r="E459" s="5" t="inlineStr">
        <is>
          <t>ISOM</t>
        </is>
      </c>
      <c r="F459" s="6" t="n">
        <v>7.8</v>
      </c>
      <c r="G459" s="7" t="n">
        <v>0.85</v>
      </c>
      <c r="H459" s="8">
        <f>IF($G459&lt;&gt;"",$G459,SUMIFS(Assumptions!$K$4:$K$8,Assumptions!$J$4:$J$8,$C459))</f>
        <v/>
      </c>
      <c r="I459" s="7" t="n"/>
      <c r="J459" s="9">
        <f>IF($I459&lt;&gt;"",$I459,SUMIFS(Assumptions!$P$4:$P$93,Assumptions!$M$4:$M$93,$C459,Assumptions!$N$4:$N$93,$E459,Assumptions!$O$4:$O$93,"LVN"))</f>
        <v/>
      </c>
      <c r="K459" s="7" t="n"/>
      <c r="L459" s="9">
        <f>IF($K459&lt;&gt;"",$K459,SUMIFS(Assumptions!$P$4:$P$93,Assumptions!$M$4:$M$93,$C459,Assumptions!$N$4:$N$93,$E459,Assumptions!$O$4:$O$93,"HVN"))</f>
        <v/>
      </c>
      <c r="M459" s="9">
        <f>J459+L459</f>
        <v/>
      </c>
      <c r="N459" s="10">
        <f>$F459*$H459*$M459</f>
        <v/>
      </c>
    </row>
    <row r="460">
      <c r="A460" s="4" t="inlineStr">
        <is>
          <t>UNIT</t>
        </is>
      </c>
      <c r="B460" s="5" t="inlineStr">
        <is>
          <t>TOTAL_PORT_ARTHUR</t>
        </is>
      </c>
      <c r="C460" s="5" t="n">
        <v>3</v>
      </c>
      <c r="D460" s="5" t="inlineStr">
        <is>
          <t>ALKY</t>
        </is>
      </c>
      <c r="E460" s="5" t="inlineStr">
        <is>
          <t>ALKY</t>
        </is>
      </c>
      <c r="F460" s="6" t="n">
        <v>7.5</v>
      </c>
      <c r="G460" s="7" t="n">
        <v>1.1</v>
      </c>
      <c r="H460" s="8">
        <f>IF($G460&lt;&gt;"",$G460,SUMIFS(Assumptions!$K$4:$K$8,Assumptions!$J$4:$J$8,$C460))</f>
        <v/>
      </c>
      <c r="I460" s="7" t="n"/>
      <c r="J460" s="9">
        <f>IF($I460&lt;&gt;"",$I460,SUMIFS(Assumptions!$P$4:$P$93,Assumptions!$M$4:$M$93,$C460,Assumptions!$N$4:$N$93,$E460,Assumptions!$O$4:$O$93,"LVN"))</f>
        <v/>
      </c>
      <c r="K460" s="7" t="n"/>
      <c r="L460" s="9">
        <f>IF($K460&lt;&gt;"",$K460,SUMIFS(Assumptions!$P$4:$P$93,Assumptions!$M$4:$M$93,$C460,Assumptions!$N$4:$N$93,$E460,Assumptions!$O$4:$O$93,"HVN"))</f>
        <v/>
      </c>
      <c r="M460" s="9">
        <f>J460+L460</f>
        <v/>
      </c>
      <c r="N460" s="10">
        <f>$F460*$H460*$M460</f>
        <v/>
      </c>
    </row>
    <row r="461">
      <c r="A461" s="11" t="inlineStr">
        <is>
          <t>TOTAL</t>
        </is>
      </c>
      <c r="B461" s="12" t="inlineStr">
        <is>
          <t>TOTAL_PORT_ARTHUR</t>
        </is>
      </c>
      <c r="C461" s="12" t="n">
        <v>3</v>
      </c>
      <c r="D461" s="12" t="inlineStr">
        <is>
          <t>NET NAPHTHA</t>
        </is>
      </c>
      <c r="N461" s="13">
        <f>SUM(N454:N460)</f>
        <v/>
      </c>
    </row>
    <row r="463">
      <c r="A463" s="1" t="inlineStr">
        <is>
          <t xml:space="preserve">  Valero Saint Charles  [VALERO_SAINT_CHARLES]   —   Valero   —   PADD 3   —   crude 215 kbd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</row>
    <row r="464">
      <c r="A464" s="4" t="inlineStr">
        <is>
          <t>UNIT</t>
        </is>
      </c>
      <c r="B464" s="5" t="inlineStr">
        <is>
          <t>VALERO_SAINT_CHARLES</t>
        </is>
      </c>
      <c r="C464" s="5" t="n">
        <v>3</v>
      </c>
      <c r="D464" s="5" t="inlineStr">
        <is>
          <t>CDU</t>
        </is>
      </c>
      <c r="E464" s="5" t="inlineStr">
        <is>
          <t>CDU</t>
        </is>
      </c>
      <c r="F464" s="6" t="n">
        <v>220</v>
      </c>
      <c r="G464" s="7" t="n">
        <v>0.539</v>
      </c>
      <c r="H464" s="8">
        <f>IF($G464&lt;&gt;"",$G464,SUMIFS(Assumptions!$K$4:$K$8,Assumptions!$J$4:$J$8,$C464))</f>
        <v/>
      </c>
      <c r="I464" s="7" t="n"/>
      <c r="J464" s="9">
        <f>IF($I464&lt;&gt;"",$I464,SUMIFS(Assumptions!$P$4:$P$93,Assumptions!$M$4:$M$93,$C464,Assumptions!$N$4:$N$93,$E464,Assumptions!$O$4:$O$93,"LVN"))</f>
        <v/>
      </c>
      <c r="K464" s="7" t="n"/>
      <c r="L464" s="9">
        <f>IF($K464&lt;&gt;"",$K464,SUMIFS(Assumptions!$P$4:$P$93,Assumptions!$M$4:$M$93,$C464,Assumptions!$N$4:$N$93,$E464,Assumptions!$O$4:$O$93,"HVN"))</f>
        <v/>
      </c>
      <c r="M464" s="9">
        <f>J464+L464</f>
        <v/>
      </c>
      <c r="N464" s="10">
        <f>$F464*$H464*$M464</f>
        <v/>
      </c>
    </row>
    <row r="465">
      <c r="A465" s="4" t="inlineStr">
        <is>
          <t>UNIT</t>
        </is>
      </c>
      <c r="B465" s="5" t="inlineStr">
        <is>
          <t>VALERO_SAINT_CHARLES</t>
        </is>
      </c>
      <c r="C465" s="5" t="n">
        <v>3</v>
      </c>
      <c r="D465" s="5" t="inlineStr">
        <is>
          <t>VDU</t>
        </is>
      </c>
      <c r="E465" s="5" t="inlineStr">
        <is>
          <t>VDU</t>
        </is>
      </c>
      <c r="F465" s="6" t="n">
        <v>180</v>
      </c>
      <c r="G465" s="7" t="n">
        <v>0.796</v>
      </c>
      <c r="H465" s="8">
        <f>IF($G465&lt;&gt;"",$G465,SUMIFS(Assumptions!$K$4:$K$8,Assumptions!$J$4:$J$8,$C465))</f>
        <v/>
      </c>
      <c r="I465" s="7" t="n"/>
      <c r="J465" s="9">
        <f>IF($I465&lt;&gt;"",$I465,SUMIFS(Assumptions!$P$4:$P$93,Assumptions!$M$4:$M$93,$C465,Assumptions!$N$4:$N$93,$E465,Assumptions!$O$4:$O$93,"LVN"))</f>
        <v/>
      </c>
      <c r="K465" s="7" t="n"/>
      <c r="L465" s="9">
        <f>IF($K465&lt;&gt;"",$K465,SUMIFS(Assumptions!$P$4:$P$93,Assumptions!$M$4:$M$93,$C465,Assumptions!$N$4:$N$93,$E465,Assumptions!$O$4:$O$93,"HVN"))</f>
        <v/>
      </c>
      <c r="M465" s="9">
        <f>J465+L465</f>
        <v/>
      </c>
      <c r="N465" s="10">
        <f>$F465*$H465*$M465</f>
        <v/>
      </c>
    </row>
    <row r="466">
      <c r="A466" s="4" t="inlineStr">
        <is>
          <t>UNIT</t>
        </is>
      </c>
      <c r="B466" s="5" t="inlineStr">
        <is>
          <t>VALERO_SAINT_CHARLES</t>
        </is>
      </c>
      <c r="C466" s="5" t="n">
        <v>3</v>
      </c>
      <c r="D466" s="5" t="inlineStr">
        <is>
          <t>FCC</t>
        </is>
      </c>
      <c r="E466" s="5" t="inlineStr">
        <is>
          <t>FCC</t>
        </is>
      </c>
      <c r="F466" s="6" t="n">
        <v>100</v>
      </c>
      <c r="G466" s="7" t="n">
        <v>0.696</v>
      </c>
      <c r="H466" s="8">
        <f>IF($G466&lt;&gt;"",$G466,SUMIFS(Assumptions!$K$4:$K$8,Assumptions!$J$4:$J$8,$C466))</f>
        <v/>
      </c>
      <c r="I466" s="7" t="n"/>
      <c r="J466" s="9">
        <f>IF($I466&lt;&gt;"",$I466,SUMIFS(Assumptions!$P$4:$P$93,Assumptions!$M$4:$M$93,$C466,Assumptions!$N$4:$N$93,$E466,Assumptions!$O$4:$O$93,"LVN"))</f>
        <v/>
      </c>
      <c r="K466" s="7" t="n"/>
      <c r="L466" s="9">
        <f>IF($K466&lt;&gt;"",$K466,SUMIFS(Assumptions!$P$4:$P$93,Assumptions!$M$4:$M$93,$C466,Assumptions!$N$4:$N$93,$E466,Assumptions!$O$4:$O$93,"HVN"))</f>
        <v/>
      </c>
      <c r="M466" s="9">
        <f>J466+L466</f>
        <v/>
      </c>
      <c r="N466" s="10">
        <f>$F466*$H466*$M466</f>
        <v/>
      </c>
    </row>
    <row r="467">
      <c r="A467" s="4" t="inlineStr">
        <is>
          <t>UNIT</t>
        </is>
      </c>
      <c r="B467" s="5" t="inlineStr">
        <is>
          <t>VALERO_SAINT_CHARLES</t>
        </is>
      </c>
      <c r="C467" s="5" t="n">
        <v>3</v>
      </c>
      <c r="D467" s="5" t="inlineStr">
        <is>
          <t>DHCU</t>
        </is>
      </c>
      <c r="E467" s="5" t="inlineStr">
        <is>
          <t>HYDROCRACKER</t>
        </is>
      </c>
      <c r="F467" s="6" t="n">
        <v>113</v>
      </c>
      <c r="G467" s="7" t="n">
        <v>0.699</v>
      </c>
      <c r="H467" s="8">
        <f>IF($G467&lt;&gt;"",$G467,SUMIFS(Assumptions!$K$4:$K$8,Assumptions!$J$4:$J$8,$C467))</f>
        <v/>
      </c>
      <c r="I467" s="7" t="n"/>
      <c r="J467" s="9">
        <f>IF($I467&lt;&gt;"",$I467,SUMIFS(Assumptions!$P$4:$P$93,Assumptions!$M$4:$M$93,$C467,Assumptions!$N$4:$N$93,$E467,Assumptions!$O$4:$O$93,"LVN"))</f>
        <v/>
      </c>
      <c r="K467" s="7" t="n"/>
      <c r="L467" s="9">
        <f>IF($K467&lt;&gt;"",$K467,SUMIFS(Assumptions!$P$4:$P$93,Assumptions!$M$4:$M$93,$C467,Assumptions!$N$4:$N$93,$E467,Assumptions!$O$4:$O$93,"HVN"))</f>
        <v/>
      </c>
      <c r="M467" s="9">
        <f>J467+L467</f>
        <v/>
      </c>
      <c r="N467" s="10">
        <f>$F467*$H467*$M467</f>
        <v/>
      </c>
    </row>
    <row r="468">
      <c r="A468" s="4" t="inlineStr">
        <is>
          <t>UNIT</t>
        </is>
      </c>
      <c r="B468" s="5" t="inlineStr">
        <is>
          <t>VALERO_SAINT_CHARLES</t>
        </is>
      </c>
      <c r="C468" s="5" t="n">
        <v>3</v>
      </c>
      <c r="D468" s="5" t="inlineStr">
        <is>
          <t>COKER</t>
        </is>
      </c>
      <c r="E468" s="5" t="inlineStr">
        <is>
          <t>COKER</t>
        </is>
      </c>
      <c r="F468" s="6" t="n">
        <v>86</v>
      </c>
      <c r="G468" s="7" t="n">
        <v>0.6820000000000001</v>
      </c>
      <c r="H468" s="8">
        <f>IF($G468&lt;&gt;"",$G468,SUMIFS(Assumptions!$K$4:$K$8,Assumptions!$J$4:$J$8,$C468))</f>
        <v/>
      </c>
      <c r="I468" s="7" t="n"/>
      <c r="J468" s="9">
        <f>IF($I468&lt;&gt;"",$I468,SUMIFS(Assumptions!$P$4:$P$93,Assumptions!$M$4:$M$93,$C468,Assumptions!$N$4:$N$93,$E468,Assumptions!$O$4:$O$93,"LVN"))</f>
        <v/>
      </c>
      <c r="K468" s="7" t="n"/>
      <c r="L468" s="9">
        <f>IF($K468&lt;&gt;"",$K468,SUMIFS(Assumptions!$P$4:$P$93,Assumptions!$M$4:$M$93,$C468,Assumptions!$N$4:$N$93,$E468,Assumptions!$O$4:$O$93,"HVN"))</f>
        <v/>
      </c>
      <c r="M468" s="9">
        <f>J468+L468</f>
        <v/>
      </c>
      <c r="N468" s="10">
        <f>$F468*$H468*$M468</f>
        <v/>
      </c>
    </row>
    <row r="469">
      <c r="A469" s="4" t="inlineStr">
        <is>
          <t>UNIT</t>
        </is>
      </c>
      <c r="B469" s="5" t="inlineStr">
        <is>
          <t>VALERO_SAINT_CHARLES</t>
        </is>
      </c>
      <c r="C469" s="5" t="n">
        <v>3</v>
      </c>
      <c r="D469" s="5" t="inlineStr">
        <is>
          <t>CCR</t>
        </is>
      </c>
      <c r="E469" s="5" t="inlineStr">
        <is>
          <t>REFORMER</t>
        </is>
      </c>
      <c r="F469" s="6" t="n">
        <v>25</v>
      </c>
      <c r="G469" s="7" t="n">
        <v>0.96</v>
      </c>
      <c r="H469" s="8">
        <f>IF($G469&lt;&gt;"",$G469,SUMIFS(Assumptions!$K$4:$K$8,Assumptions!$J$4:$J$8,$C469))</f>
        <v/>
      </c>
      <c r="I469" s="7" t="n"/>
      <c r="J469" s="9">
        <f>IF($I469&lt;&gt;"",$I469,SUMIFS(Assumptions!$P$4:$P$93,Assumptions!$M$4:$M$93,$C469,Assumptions!$N$4:$N$93,$E469,Assumptions!$O$4:$O$93,"LVN"))</f>
        <v/>
      </c>
      <c r="K469" s="7" t="n"/>
      <c r="L469" s="9">
        <f>IF($K469&lt;&gt;"",$K469,SUMIFS(Assumptions!$P$4:$P$93,Assumptions!$M$4:$M$93,$C469,Assumptions!$N$4:$N$93,$E469,Assumptions!$O$4:$O$93,"HVN"))</f>
        <v/>
      </c>
      <c r="M469" s="9">
        <f>J469+L469</f>
        <v/>
      </c>
      <c r="N469" s="10">
        <f>$F469*$H469*$M469</f>
        <v/>
      </c>
    </row>
    <row r="470">
      <c r="A470" s="4" t="inlineStr">
        <is>
          <t>UNIT</t>
        </is>
      </c>
      <c r="B470" s="5" t="inlineStr">
        <is>
          <t>VALERO_SAINT_CHARLES</t>
        </is>
      </c>
      <c r="C470" s="5" t="n">
        <v>3</v>
      </c>
      <c r="D470" s="5" t="inlineStr">
        <is>
          <t>ALKY</t>
        </is>
      </c>
      <c r="E470" s="5" t="inlineStr">
        <is>
          <t>ALKY</t>
        </is>
      </c>
      <c r="F470" s="6" t="n">
        <v>48</v>
      </c>
      <c r="G470" s="7" t="n">
        <v>0.418</v>
      </c>
      <c r="H470" s="8">
        <f>IF($G470&lt;&gt;"",$G470,SUMIFS(Assumptions!$K$4:$K$8,Assumptions!$J$4:$J$8,$C470))</f>
        <v/>
      </c>
      <c r="I470" s="7" t="n"/>
      <c r="J470" s="9">
        <f>IF($I470&lt;&gt;"",$I470,SUMIFS(Assumptions!$P$4:$P$93,Assumptions!$M$4:$M$93,$C470,Assumptions!$N$4:$N$93,$E470,Assumptions!$O$4:$O$93,"LVN"))</f>
        <v/>
      </c>
      <c r="K470" s="7" t="n"/>
      <c r="L470" s="9">
        <f>IF($K470&lt;&gt;"",$K470,SUMIFS(Assumptions!$P$4:$P$93,Assumptions!$M$4:$M$93,$C470,Assumptions!$N$4:$N$93,$E470,Assumptions!$O$4:$O$93,"HVN"))</f>
        <v/>
      </c>
      <c r="M470" s="9">
        <f>J470+L470</f>
        <v/>
      </c>
      <c r="N470" s="10">
        <f>$F470*$H470*$M470</f>
        <v/>
      </c>
    </row>
    <row r="471">
      <c r="A471" s="11" t="inlineStr">
        <is>
          <t>TOTAL</t>
        </is>
      </c>
      <c r="B471" s="12" t="inlineStr">
        <is>
          <t>VALERO_SAINT_CHARLES</t>
        </is>
      </c>
      <c r="C471" s="12" t="n">
        <v>3</v>
      </c>
      <c r="D471" s="12" t="inlineStr">
        <is>
          <t>NET NAPHTHA</t>
        </is>
      </c>
      <c r="N471" s="13">
        <f>SUM(N464:N470)</f>
        <v/>
      </c>
    </row>
    <row r="473">
      <c r="A473" s="1" t="inlineStr">
        <is>
          <t xml:space="preserve">  Valero Houston  [VALERO_HOUSTON]   —   Valero   —   PADD 3   —   crude 205 kbd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</row>
    <row r="474">
      <c r="A474" s="4" t="inlineStr">
        <is>
          <t>UNIT</t>
        </is>
      </c>
      <c r="B474" s="5" t="inlineStr">
        <is>
          <t>VALERO_HOUSTON</t>
        </is>
      </c>
      <c r="C474" s="5" t="n">
        <v>3</v>
      </c>
      <c r="D474" s="5" t="inlineStr">
        <is>
          <t>CDU</t>
        </is>
      </c>
      <c r="E474" s="5" t="inlineStr">
        <is>
          <t>CDU</t>
        </is>
      </c>
      <c r="F474" s="6" t="n">
        <v>210</v>
      </c>
      <c r="G474" s="7" t="n">
        <v>1</v>
      </c>
      <c r="H474" s="8">
        <f>IF($G474&lt;&gt;"",$G474,SUMIFS(Assumptions!$K$4:$K$8,Assumptions!$J$4:$J$8,$C474))</f>
        <v/>
      </c>
      <c r="I474" s="7" t="n"/>
      <c r="J474" s="9">
        <f>IF($I474&lt;&gt;"",$I474,SUMIFS(Assumptions!$P$4:$P$93,Assumptions!$M$4:$M$93,$C474,Assumptions!$N$4:$N$93,$E474,Assumptions!$O$4:$O$93,"LVN"))</f>
        <v/>
      </c>
      <c r="K474" s="7" t="n"/>
      <c r="L474" s="9">
        <f>IF($K474&lt;&gt;"",$K474,SUMIFS(Assumptions!$P$4:$P$93,Assumptions!$M$4:$M$93,$C474,Assumptions!$N$4:$N$93,$E474,Assumptions!$O$4:$O$93,"HVN"))</f>
        <v/>
      </c>
      <c r="M474" s="9">
        <f>J474+L474</f>
        <v/>
      </c>
      <c r="N474" s="10">
        <f>$F474*$H474*$M474</f>
        <v/>
      </c>
    </row>
    <row r="475">
      <c r="A475" s="4" t="inlineStr">
        <is>
          <t>UNIT</t>
        </is>
      </c>
      <c r="B475" s="5" t="inlineStr">
        <is>
          <t>VALERO_HOUSTON</t>
        </is>
      </c>
      <c r="C475" s="5" t="n">
        <v>3</v>
      </c>
      <c r="D475" s="5" t="inlineStr">
        <is>
          <t>VDU</t>
        </is>
      </c>
      <c r="E475" s="5" t="inlineStr">
        <is>
          <t>VDU</t>
        </is>
      </c>
      <c r="F475" s="6" t="n">
        <v>38</v>
      </c>
      <c r="G475" s="7" t="n">
        <v>1.1</v>
      </c>
      <c r="H475" s="8">
        <f>IF($G475&lt;&gt;"",$G475,SUMIFS(Assumptions!$K$4:$K$8,Assumptions!$J$4:$J$8,$C475))</f>
        <v/>
      </c>
      <c r="I475" s="7" t="n"/>
      <c r="J475" s="9">
        <f>IF($I475&lt;&gt;"",$I475,SUMIFS(Assumptions!$P$4:$P$93,Assumptions!$M$4:$M$93,$C475,Assumptions!$N$4:$N$93,$E475,Assumptions!$O$4:$O$93,"LVN"))</f>
        <v/>
      </c>
      <c r="K475" s="7" t="n"/>
      <c r="L475" s="9">
        <f>IF($K475&lt;&gt;"",$K475,SUMIFS(Assumptions!$P$4:$P$93,Assumptions!$M$4:$M$93,$C475,Assumptions!$N$4:$N$93,$E475,Assumptions!$O$4:$O$93,"HVN"))</f>
        <v/>
      </c>
      <c r="M475" s="9">
        <f>J475+L475</f>
        <v/>
      </c>
      <c r="N475" s="10">
        <f>$F475*$H475*$M475</f>
        <v/>
      </c>
    </row>
    <row r="476">
      <c r="A476" s="4" t="inlineStr">
        <is>
          <t>UNIT</t>
        </is>
      </c>
      <c r="B476" s="5" t="inlineStr">
        <is>
          <t>VALERO_HOUSTON</t>
        </is>
      </c>
      <c r="C476" s="5" t="n">
        <v>3</v>
      </c>
      <c r="D476" s="5" t="inlineStr">
        <is>
          <t>FCC</t>
        </is>
      </c>
      <c r="E476" s="5" t="inlineStr">
        <is>
          <t>FCC</t>
        </is>
      </c>
      <c r="F476" s="6" t="n">
        <v>75.2</v>
      </c>
      <c r="G476" s="7" t="n">
        <v>0.722</v>
      </c>
      <c r="H476" s="8">
        <f>IF($G476&lt;&gt;"",$G476,SUMIFS(Assumptions!$K$4:$K$8,Assumptions!$J$4:$J$8,$C476))</f>
        <v/>
      </c>
      <c r="I476" s="7" t="n"/>
      <c r="J476" s="9">
        <f>IF($I476&lt;&gt;"",$I476,SUMIFS(Assumptions!$P$4:$P$93,Assumptions!$M$4:$M$93,$C476,Assumptions!$N$4:$N$93,$E476,Assumptions!$O$4:$O$93,"LVN"))</f>
        <v/>
      </c>
      <c r="K476" s="7" t="n"/>
      <c r="L476" s="9">
        <f>IF($K476&lt;&gt;"",$K476,SUMIFS(Assumptions!$P$4:$P$93,Assumptions!$M$4:$M$93,$C476,Assumptions!$N$4:$N$93,$E476,Assumptions!$O$4:$O$93,"HVN"))</f>
        <v/>
      </c>
      <c r="M476" s="9">
        <f>J476+L476</f>
        <v/>
      </c>
      <c r="N476" s="10">
        <f>$F476*$H476*$M476</f>
        <v/>
      </c>
    </row>
    <row r="477">
      <c r="A477" s="4" t="inlineStr">
        <is>
          <t>UNIT</t>
        </is>
      </c>
      <c r="B477" s="5" t="inlineStr">
        <is>
          <t>VALERO_HOUSTON</t>
        </is>
      </c>
      <c r="C477" s="5" t="n">
        <v>3</v>
      </c>
      <c r="D477" s="5" t="inlineStr">
        <is>
          <t>DHCU</t>
        </is>
      </c>
      <c r="E477" s="5" t="inlineStr">
        <is>
          <t>HYDROCRACKER</t>
        </is>
      </c>
      <c r="F477" s="6" t="n">
        <v>71.90000000000001</v>
      </c>
      <c r="G477" s="7" t="n">
        <v>0.432</v>
      </c>
      <c r="H477" s="8">
        <f>IF($G477&lt;&gt;"",$G477,SUMIFS(Assumptions!$K$4:$K$8,Assumptions!$J$4:$J$8,$C477))</f>
        <v/>
      </c>
      <c r="I477" s="7" t="n"/>
      <c r="J477" s="9">
        <f>IF($I477&lt;&gt;"",$I477,SUMIFS(Assumptions!$P$4:$P$93,Assumptions!$M$4:$M$93,$C477,Assumptions!$N$4:$N$93,$E477,Assumptions!$O$4:$O$93,"LVN"))</f>
        <v/>
      </c>
      <c r="K477" s="7" t="n"/>
      <c r="L477" s="9">
        <f>IF($K477&lt;&gt;"",$K477,SUMIFS(Assumptions!$P$4:$P$93,Assumptions!$M$4:$M$93,$C477,Assumptions!$N$4:$N$93,$E477,Assumptions!$O$4:$O$93,"HVN"))</f>
        <v/>
      </c>
      <c r="M477" s="9">
        <f>J477+L477</f>
        <v/>
      </c>
      <c r="N477" s="10">
        <f>$F477*$H477*$M477</f>
        <v/>
      </c>
    </row>
    <row r="478">
      <c r="A478" s="4" t="inlineStr">
        <is>
          <t>UNIT</t>
        </is>
      </c>
      <c r="B478" s="5" t="inlineStr">
        <is>
          <t>VALERO_HOUSTON</t>
        </is>
      </c>
      <c r="C478" s="5" t="n">
        <v>3</v>
      </c>
      <c r="D478" s="5" t="inlineStr">
        <is>
          <t>ALKY</t>
        </is>
      </c>
      <c r="E478" s="5" t="inlineStr">
        <is>
          <t>ALKY</t>
        </is>
      </c>
      <c r="F478" s="6" t="n">
        <v>28.9</v>
      </c>
      <c r="G478" s="7" t="n">
        <v>1.1</v>
      </c>
      <c r="H478" s="8">
        <f>IF($G478&lt;&gt;"",$G478,SUMIFS(Assumptions!$K$4:$K$8,Assumptions!$J$4:$J$8,$C478))</f>
        <v/>
      </c>
      <c r="I478" s="7" t="n"/>
      <c r="J478" s="9">
        <f>IF($I478&lt;&gt;"",$I478,SUMIFS(Assumptions!$P$4:$P$93,Assumptions!$M$4:$M$93,$C478,Assumptions!$N$4:$N$93,$E478,Assumptions!$O$4:$O$93,"LVN"))</f>
        <v/>
      </c>
      <c r="K478" s="7" t="n"/>
      <c r="L478" s="9">
        <f>IF($K478&lt;&gt;"",$K478,SUMIFS(Assumptions!$P$4:$P$93,Assumptions!$M$4:$M$93,$C478,Assumptions!$N$4:$N$93,$E478,Assumptions!$O$4:$O$93,"HVN"))</f>
        <v/>
      </c>
      <c r="M478" s="9">
        <f>J478+L478</f>
        <v/>
      </c>
      <c r="N478" s="10">
        <f>$F478*$H478*$M478</f>
        <v/>
      </c>
    </row>
    <row r="479">
      <c r="A479" s="11" t="inlineStr">
        <is>
          <t>TOTAL</t>
        </is>
      </c>
      <c r="B479" s="12" t="inlineStr">
        <is>
          <t>VALERO_HOUSTON</t>
        </is>
      </c>
      <c r="C479" s="12" t="n">
        <v>3</v>
      </c>
      <c r="D479" s="12" t="inlineStr">
        <is>
          <t>NET NAPHTHA</t>
        </is>
      </c>
      <c r="N479" s="13">
        <f>SUM(N474:N478)</f>
        <v/>
      </c>
    </row>
    <row r="481">
      <c r="A481" s="1" t="inlineStr">
        <is>
          <t xml:space="preserve">  Valero Sunray  [VALERO_SUNRAY]   —   Valero   —   PADD 3   —   crude 195 kbd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</row>
    <row r="482">
      <c r="A482" s="4" t="inlineStr">
        <is>
          <t>UNIT</t>
        </is>
      </c>
      <c r="B482" s="5" t="inlineStr">
        <is>
          <t>VALERO_SUNRAY</t>
        </is>
      </c>
      <c r="C482" s="5" t="n">
        <v>3</v>
      </c>
      <c r="D482" s="5" t="inlineStr">
        <is>
          <t>CDU</t>
        </is>
      </c>
      <c r="E482" s="5" t="inlineStr">
        <is>
          <t>CDU</t>
        </is>
      </c>
      <c r="F482" s="6" t="n">
        <v>200</v>
      </c>
      <c r="G482" s="7" t="n">
        <v>0.756</v>
      </c>
      <c r="H482" s="8">
        <f>IF($G482&lt;&gt;"",$G482,SUMIFS(Assumptions!$K$4:$K$8,Assumptions!$J$4:$J$8,$C482))</f>
        <v/>
      </c>
      <c r="I482" s="7" t="n"/>
      <c r="J482" s="9">
        <f>IF($I482&lt;&gt;"",$I482,SUMIFS(Assumptions!$P$4:$P$93,Assumptions!$M$4:$M$93,$C482,Assumptions!$N$4:$N$93,$E482,Assumptions!$O$4:$O$93,"LVN"))</f>
        <v/>
      </c>
      <c r="K482" s="7" t="n"/>
      <c r="L482" s="9">
        <f>IF($K482&lt;&gt;"",$K482,SUMIFS(Assumptions!$P$4:$P$93,Assumptions!$M$4:$M$93,$C482,Assumptions!$N$4:$N$93,$E482,Assumptions!$O$4:$O$93,"HVN"))</f>
        <v/>
      </c>
      <c r="M482" s="9">
        <f>J482+L482</f>
        <v/>
      </c>
      <c r="N482" s="10">
        <f>$F482*$H482*$M482</f>
        <v/>
      </c>
    </row>
    <row r="483">
      <c r="A483" s="4" t="inlineStr">
        <is>
          <t>UNIT</t>
        </is>
      </c>
      <c r="B483" s="5" t="inlineStr">
        <is>
          <t>VALERO_SUNRAY</t>
        </is>
      </c>
      <c r="C483" s="5" t="n">
        <v>3</v>
      </c>
      <c r="D483" s="5" t="inlineStr">
        <is>
          <t>VDU</t>
        </is>
      </c>
      <c r="E483" s="5" t="inlineStr">
        <is>
          <t>VDU</t>
        </is>
      </c>
      <c r="F483" s="6" t="n">
        <v>50</v>
      </c>
      <c r="G483" s="7" t="n">
        <v>0.908</v>
      </c>
      <c r="H483" s="8">
        <f>IF($G483&lt;&gt;"",$G483,SUMIFS(Assumptions!$K$4:$K$8,Assumptions!$J$4:$J$8,$C483))</f>
        <v/>
      </c>
      <c r="I483" s="7" t="n"/>
      <c r="J483" s="9">
        <f>IF($I483&lt;&gt;"",$I483,SUMIFS(Assumptions!$P$4:$P$93,Assumptions!$M$4:$M$93,$C483,Assumptions!$N$4:$N$93,$E483,Assumptions!$O$4:$O$93,"LVN"))</f>
        <v/>
      </c>
      <c r="K483" s="7" t="n"/>
      <c r="L483" s="9">
        <f>IF($K483&lt;&gt;"",$K483,SUMIFS(Assumptions!$P$4:$P$93,Assumptions!$M$4:$M$93,$C483,Assumptions!$N$4:$N$93,$E483,Assumptions!$O$4:$O$93,"HVN"))</f>
        <v/>
      </c>
      <c r="M483" s="9">
        <f>J483+L483</f>
        <v/>
      </c>
      <c r="N483" s="10">
        <f>$F483*$H483*$M483</f>
        <v/>
      </c>
    </row>
    <row r="484">
      <c r="A484" s="4" t="inlineStr">
        <is>
          <t>UNIT</t>
        </is>
      </c>
      <c r="B484" s="5" t="inlineStr">
        <is>
          <t>VALERO_SUNRAY</t>
        </is>
      </c>
      <c r="C484" s="5" t="n">
        <v>3</v>
      </c>
      <c r="D484" s="5" t="inlineStr">
        <is>
          <t>FCC</t>
        </is>
      </c>
      <c r="E484" s="5" t="inlineStr">
        <is>
          <t>FCC</t>
        </is>
      </c>
      <c r="F484" s="6" t="n">
        <v>56</v>
      </c>
      <c r="G484" s="7" t="n">
        <v>0.616</v>
      </c>
      <c r="H484" s="8">
        <f>IF($G484&lt;&gt;"",$G484,SUMIFS(Assumptions!$K$4:$K$8,Assumptions!$J$4:$J$8,$C484))</f>
        <v/>
      </c>
      <c r="I484" s="7" t="n"/>
      <c r="J484" s="9">
        <f>IF($I484&lt;&gt;"",$I484,SUMIFS(Assumptions!$P$4:$P$93,Assumptions!$M$4:$M$93,$C484,Assumptions!$N$4:$N$93,$E484,Assumptions!$O$4:$O$93,"LVN"))</f>
        <v/>
      </c>
      <c r="K484" s="7" t="n"/>
      <c r="L484" s="9">
        <f>IF($K484&lt;&gt;"",$K484,SUMIFS(Assumptions!$P$4:$P$93,Assumptions!$M$4:$M$93,$C484,Assumptions!$N$4:$N$93,$E484,Assumptions!$O$4:$O$93,"HVN"))</f>
        <v/>
      </c>
      <c r="M484" s="9">
        <f>J484+L484</f>
        <v/>
      </c>
      <c r="N484" s="10">
        <f>$F484*$H484*$M484</f>
        <v/>
      </c>
    </row>
    <row r="485">
      <c r="A485" s="4" t="inlineStr">
        <is>
          <t>UNIT</t>
        </is>
      </c>
      <c r="B485" s="5" t="inlineStr">
        <is>
          <t>VALERO_SUNRAY</t>
        </is>
      </c>
      <c r="C485" s="5" t="n">
        <v>3</v>
      </c>
      <c r="D485" s="5" t="inlineStr">
        <is>
          <t>DHCU</t>
        </is>
      </c>
      <c r="E485" s="5" t="inlineStr">
        <is>
          <t>HYDROCRACKER</t>
        </is>
      </c>
      <c r="F485" s="6" t="n">
        <v>29</v>
      </c>
      <c r="G485" s="7" t="n">
        <v>0.448</v>
      </c>
      <c r="H485" s="8">
        <f>IF($G485&lt;&gt;"",$G485,SUMIFS(Assumptions!$K$4:$K$8,Assumptions!$J$4:$J$8,$C485))</f>
        <v/>
      </c>
      <c r="I485" s="7" t="n"/>
      <c r="J485" s="9">
        <f>IF($I485&lt;&gt;"",$I485,SUMIFS(Assumptions!$P$4:$P$93,Assumptions!$M$4:$M$93,$C485,Assumptions!$N$4:$N$93,$E485,Assumptions!$O$4:$O$93,"LVN"))</f>
        <v/>
      </c>
      <c r="K485" s="7" t="n"/>
      <c r="L485" s="9">
        <f>IF($K485&lt;&gt;"",$K485,SUMIFS(Assumptions!$P$4:$P$93,Assumptions!$M$4:$M$93,$C485,Assumptions!$N$4:$N$93,$E485,Assumptions!$O$4:$O$93,"HVN"))</f>
        <v/>
      </c>
      <c r="M485" s="9">
        <f>J485+L485</f>
        <v/>
      </c>
      <c r="N485" s="10">
        <f>$F485*$H485*$M485</f>
        <v/>
      </c>
    </row>
    <row r="486">
      <c r="A486" s="4" t="inlineStr">
        <is>
          <t>UNIT</t>
        </is>
      </c>
      <c r="B486" s="5" t="inlineStr">
        <is>
          <t>VALERO_SUNRAY</t>
        </is>
      </c>
      <c r="C486" s="5" t="n">
        <v>3</v>
      </c>
      <c r="D486" s="5" t="inlineStr">
        <is>
          <t>CCR</t>
        </is>
      </c>
      <c r="E486" s="5" t="inlineStr">
        <is>
          <t>REFORMER</t>
        </is>
      </c>
      <c r="F486" s="6" t="n">
        <v>29</v>
      </c>
      <c r="G486" s="7" t="n">
        <v>0.9</v>
      </c>
      <c r="H486" s="8">
        <f>IF($G486&lt;&gt;"",$G486,SUMIFS(Assumptions!$K$4:$K$8,Assumptions!$J$4:$J$8,$C486))</f>
        <v/>
      </c>
      <c r="I486" s="7" t="n"/>
      <c r="J486" s="9">
        <f>IF($I486&lt;&gt;"",$I486,SUMIFS(Assumptions!$P$4:$P$93,Assumptions!$M$4:$M$93,$C486,Assumptions!$N$4:$N$93,$E486,Assumptions!$O$4:$O$93,"LVN"))</f>
        <v/>
      </c>
      <c r="K486" s="7" t="n"/>
      <c r="L486" s="9">
        <f>IF($K486&lt;&gt;"",$K486,SUMIFS(Assumptions!$P$4:$P$93,Assumptions!$M$4:$M$93,$C486,Assumptions!$N$4:$N$93,$E486,Assumptions!$O$4:$O$93,"HVN"))</f>
        <v/>
      </c>
      <c r="M486" s="9">
        <f>J486+L486</f>
        <v/>
      </c>
      <c r="N486" s="10">
        <f>$F486*$H486*$M486</f>
        <v/>
      </c>
    </row>
    <row r="487">
      <c r="A487" s="4" t="inlineStr">
        <is>
          <t>UNIT</t>
        </is>
      </c>
      <c r="B487" s="5" t="inlineStr">
        <is>
          <t>VALERO_SUNRAY</t>
        </is>
      </c>
      <c r="C487" s="5" t="n">
        <v>3</v>
      </c>
      <c r="D487" s="5" t="inlineStr">
        <is>
          <t>REF</t>
        </is>
      </c>
      <c r="E487" s="5" t="inlineStr">
        <is>
          <t>REFORMER</t>
        </is>
      </c>
      <c r="F487" s="6" t="n">
        <v>18</v>
      </c>
      <c r="G487" s="7" t="n">
        <v>0.959</v>
      </c>
      <c r="H487" s="8">
        <f>IF($G487&lt;&gt;"",$G487,SUMIFS(Assumptions!$K$4:$K$8,Assumptions!$J$4:$J$8,$C487))</f>
        <v/>
      </c>
      <c r="I487" s="7" t="n"/>
      <c r="J487" s="9">
        <f>IF($I487&lt;&gt;"",$I487,SUMIFS(Assumptions!$P$4:$P$93,Assumptions!$M$4:$M$93,$C487,Assumptions!$N$4:$N$93,$E487,Assumptions!$O$4:$O$93,"LVN"))</f>
        <v/>
      </c>
      <c r="K487" s="7" t="n"/>
      <c r="L487" s="9">
        <f>IF($K487&lt;&gt;"",$K487,SUMIFS(Assumptions!$P$4:$P$93,Assumptions!$M$4:$M$93,$C487,Assumptions!$N$4:$N$93,$E487,Assumptions!$O$4:$O$93,"HVN"))</f>
        <v/>
      </c>
      <c r="M487" s="9">
        <f>J487+L487</f>
        <v/>
      </c>
      <c r="N487" s="10">
        <f>$F487*$H487*$M487</f>
        <v/>
      </c>
    </row>
    <row r="488">
      <c r="A488" s="4" t="inlineStr">
        <is>
          <t>UNIT</t>
        </is>
      </c>
      <c r="B488" s="5" t="inlineStr">
        <is>
          <t>VALERO_SUNRAY</t>
        </is>
      </c>
      <c r="C488" s="5" t="n">
        <v>3</v>
      </c>
      <c r="D488" s="5" t="inlineStr">
        <is>
          <t>ALKY</t>
        </is>
      </c>
      <c r="E488" s="5" t="inlineStr">
        <is>
          <t>ALKY</t>
        </is>
      </c>
      <c r="F488" s="6" t="n">
        <v>9.800000000000001</v>
      </c>
      <c r="G488" s="7" t="n">
        <v>1.1</v>
      </c>
      <c r="H488" s="8">
        <f>IF($G488&lt;&gt;"",$G488,SUMIFS(Assumptions!$K$4:$K$8,Assumptions!$J$4:$J$8,$C488))</f>
        <v/>
      </c>
      <c r="I488" s="7" t="n"/>
      <c r="J488" s="9">
        <f>IF($I488&lt;&gt;"",$I488,SUMIFS(Assumptions!$P$4:$P$93,Assumptions!$M$4:$M$93,$C488,Assumptions!$N$4:$N$93,$E488,Assumptions!$O$4:$O$93,"LVN"))</f>
        <v/>
      </c>
      <c r="K488" s="7" t="n"/>
      <c r="L488" s="9">
        <f>IF($K488&lt;&gt;"",$K488,SUMIFS(Assumptions!$P$4:$P$93,Assumptions!$M$4:$M$93,$C488,Assumptions!$N$4:$N$93,$E488,Assumptions!$O$4:$O$93,"HVN"))</f>
        <v/>
      </c>
      <c r="M488" s="9">
        <f>J488+L488</f>
        <v/>
      </c>
      <c r="N488" s="10">
        <f>$F488*$H488*$M488</f>
        <v/>
      </c>
    </row>
    <row r="489">
      <c r="A489" s="11" t="inlineStr">
        <is>
          <t>TOTAL</t>
        </is>
      </c>
      <c r="B489" s="12" t="inlineStr">
        <is>
          <t>VALERO_SUNRAY</t>
        </is>
      </c>
      <c r="C489" s="12" t="n">
        <v>3</v>
      </c>
      <c r="D489" s="12" t="inlineStr">
        <is>
          <t>NET NAPHTHA</t>
        </is>
      </c>
      <c r="N489" s="13">
        <f>SUM(N482:N488)</f>
        <v/>
      </c>
    </row>
    <row r="491">
      <c r="A491" s="1" t="inlineStr">
        <is>
          <t xml:space="preserve">  PBF Energy Company LLC Chalmette  [PBF_CHALMETTE]   —   PBF Energy Company LLC   —   PADD 3   —   crude 185 kbd</t>
        </is>
      </c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</row>
    <row r="492">
      <c r="A492" s="4" t="inlineStr">
        <is>
          <t>UNIT</t>
        </is>
      </c>
      <c r="B492" s="5" t="inlineStr">
        <is>
          <t>PBF_CHALMETTE</t>
        </is>
      </c>
      <c r="C492" s="5" t="n">
        <v>3</v>
      </c>
      <c r="D492" s="5" t="inlineStr">
        <is>
          <t>CDU</t>
        </is>
      </c>
      <c r="E492" s="5" t="inlineStr">
        <is>
          <t>CDU</t>
        </is>
      </c>
      <c r="F492" s="6" t="n">
        <v>197</v>
      </c>
      <c r="G492" s="7" t="n">
        <v>0.656</v>
      </c>
      <c r="H492" s="8">
        <f>IF($G492&lt;&gt;"",$G492,SUMIFS(Assumptions!$K$4:$K$8,Assumptions!$J$4:$J$8,$C492))</f>
        <v/>
      </c>
      <c r="I492" s="7" t="n"/>
      <c r="J492" s="9">
        <f>IF($I492&lt;&gt;"",$I492,SUMIFS(Assumptions!$P$4:$P$93,Assumptions!$M$4:$M$93,$C492,Assumptions!$N$4:$N$93,$E492,Assumptions!$O$4:$O$93,"LVN"))</f>
        <v/>
      </c>
      <c r="K492" s="7" t="n"/>
      <c r="L492" s="9">
        <f>IF($K492&lt;&gt;"",$K492,SUMIFS(Assumptions!$P$4:$P$93,Assumptions!$M$4:$M$93,$C492,Assumptions!$N$4:$N$93,$E492,Assumptions!$O$4:$O$93,"HVN"))</f>
        <v/>
      </c>
      <c r="M492" s="9">
        <f>J492+L492</f>
        <v/>
      </c>
      <c r="N492" s="10">
        <f>$F492*$H492*$M492</f>
        <v/>
      </c>
    </row>
    <row r="493">
      <c r="A493" s="4" t="inlineStr">
        <is>
          <t>UNIT</t>
        </is>
      </c>
      <c r="B493" s="5" t="inlineStr">
        <is>
          <t>PBF_CHALMETTE</t>
        </is>
      </c>
      <c r="C493" s="5" t="n">
        <v>3</v>
      </c>
      <c r="D493" s="5" t="inlineStr">
        <is>
          <t>VDU</t>
        </is>
      </c>
      <c r="E493" s="5" t="inlineStr">
        <is>
          <t>VDU</t>
        </is>
      </c>
      <c r="F493" s="6" t="n">
        <v>169</v>
      </c>
      <c r="G493" s="7" t="n">
        <v>0.488</v>
      </c>
      <c r="H493" s="8">
        <f>IF($G493&lt;&gt;"",$G493,SUMIFS(Assumptions!$K$4:$K$8,Assumptions!$J$4:$J$8,$C493))</f>
        <v/>
      </c>
      <c r="I493" s="7" t="n"/>
      <c r="J493" s="9">
        <f>IF($I493&lt;&gt;"",$I493,SUMIFS(Assumptions!$P$4:$P$93,Assumptions!$M$4:$M$93,$C493,Assumptions!$N$4:$N$93,$E493,Assumptions!$O$4:$O$93,"LVN"))</f>
        <v/>
      </c>
      <c r="K493" s="7" t="n"/>
      <c r="L493" s="9">
        <f>IF($K493&lt;&gt;"",$K493,SUMIFS(Assumptions!$P$4:$P$93,Assumptions!$M$4:$M$93,$C493,Assumptions!$N$4:$N$93,$E493,Assumptions!$O$4:$O$93,"HVN"))</f>
        <v/>
      </c>
      <c r="M493" s="9">
        <f>J493+L493</f>
        <v/>
      </c>
      <c r="N493" s="10">
        <f>$F493*$H493*$M493</f>
        <v/>
      </c>
    </row>
    <row r="494">
      <c r="A494" s="4" t="inlineStr">
        <is>
          <t>UNIT</t>
        </is>
      </c>
      <c r="B494" s="5" t="inlineStr">
        <is>
          <t>PBF_CHALMETTE</t>
        </is>
      </c>
      <c r="C494" s="5" t="n">
        <v>3</v>
      </c>
      <c r="D494" s="5" t="inlineStr">
        <is>
          <t>FCC</t>
        </is>
      </c>
      <c r="E494" s="5" t="inlineStr">
        <is>
          <t>FCC</t>
        </is>
      </c>
      <c r="F494" s="6" t="n">
        <v>75.59999999999999</v>
      </c>
      <c r="G494" s="7" t="n">
        <v>0.744</v>
      </c>
      <c r="H494" s="8">
        <f>IF($G494&lt;&gt;"",$G494,SUMIFS(Assumptions!$K$4:$K$8,Assumptions!$J$4:$J$8,$C494))</f>
        <v/>
      </c>
      <c r="I494" s="7" t="n"/>
      <c r="J494" s="9">
        <f>IF($I494&lt;&gt;"",$I494,SUMIFS(Assumptions!$P$4:$P$93,Assumptions!$M$4:$M$93,$C494,Assumptions!$N$4:$N$93,$E494,Assumptions!$O$4:$O$93,"LVN"))</f>
        <v/>
      </c>
      <c r="K494" s="7" t="n"/>
      <c r="L494" s="9">
        <f>IF($K494&lt;&gt;"",$K494,SUMIFS(Assumptions!$P$4:$P$93,Assumptions!$M$4:$M$93,$C494,Assumptions!$N$4:$N$93,$E494,Assumptions!$O$4:$O$93,"HVN"))</f>
        <v/>
      </c>
      <c r="M494" s="9">
        <f>J494+L494</f>
        <v/>
      </c>
      <c r="N494" s="10">
        <f>$F494*$H494*$M494</f>
        <v/>
      </c>
    </row>
    <row r="495">
      <c r="A495" s="4" t="inlineStr">
        <is>
          <t>UNIT</t>
        </is>
      </c>
      <c r="B495" s="5" t="inlineStr">
        <is>
          <t>PBF_CHALMETTE</t>
        </is>
      </c>
      <c r="C495" s="5" t="n">
        <v>3</v>
      </c>
      <c r="D495" s="5" t="inlineStr">
        <is>
          <t>COKER</t>
        </is>
      </c>
      <c r="E495" s="5" t="inlineStr">
        <is>
          <t>COKER</t>
        </is>
      </c>
      <c r="F495" s="6" t="n">
        <v>42</v>
      </c>
      <c r="G495" s="7" t="n">
        <v>0.801</v>
      </c>
      <c r="H495" s="8">
        <f>IF($G495&lt;&gt;"",$G495,SUMIFS(Assumptions!$K$4:$K$8,Assumptions!$J$4:$J$8,$C495))</f>
        <v/>
      </c>
      <c r="I495" s="7" t="n"/>
      <c r="J495" s="9">
        <f>IF($I495&lt;&gt;"",$I495,SUMIFS(Assumptions!$P$4:$P$93,Assumptions!$M$4:$M$93,$C495,Assumptions!$N$4:$N$93,$E495,Assumptions!$O$4:$O$93,"LVN"))</f>
        <v/>
      </c>
      <c r="K495" s="7" t="n"/>
      <c r="L495" s="9">
        <f>IF($K495&lt;&gt;"",$K495,SUMIFS(Assumptions!$P$4:$P$93,Assumptions!$M$4:$M$93,$C495,Assumptions!$N$4:$N$93,$E495,Assumptions!$O$4:$O$93,"HVN"))</f>
        <v/>
      </c>
      <c r="M495" s="9">
        <f>J495+L495</f>
        <v/>
      </c>
      <c r="N495" s="10">
        <f>$F495*$H495*$M495</f>
        <v/>
      </c>
    </row>
    <row r="496">
      <c r="A496" s="4" t="inlineStr">
        <is>
          <t>UNIT</t>
        </is>
      </c>
      <c r="B496" s="5" t="inlineStr">
        <is>
          <t>PBF_CHALMETTE</t>
        </is>
      </c>
      <c r="C496" s="5" t="n">
        <v>3</v>
      </c>
      <c r="D496" s="5" t="inlineStr">
        <is>
          <t>CCR</t>
        </is>
      </c>
      <c r="E496" s="5" t="inlineStr">
        <is>
          <t>REFORMER</t>
        </is>
      </c>
      <c r="F496" s="6" t="n">
        <v>22.7</v>
      </c>
      <c r="G496" s="7" t="n">
        <v>0.769</v>
      </c>
      <c r="H496" s="8">
        <f>IF($G496&lt;&gt;"",$G496,SUMIFS(Assumptions!$K$4:$K$8,Assumptions!$J$4:$J$8,$C496))</f>
        <v/>
      </c>
      <c r="I496" s="7" t="n"/>
      <c r="J496" s="9">
        <f>IF($I496&lt;&gt;"",$I496,SUMIFS(Assumptions!$P$4:$P$93,Assumptions!$M$4:$M$93,$C496,Assumptions!$N$4:$N$93,$E496,Assumptions!$O$4:$O$93,"LVN"))</f>
        <v/>
      </c>
      <c r="K496" s="7" t="n"/>
      <c r="L496" s="9">
        <f>IF($K496&lt;&gt;"",$K496,SUMIFS(Assumptions!$P$4:$P$93,Assumptions!$M$4:$M$93,$C496,Assumptions!$N$4:$N$93,$E496,Assumptions!$O$4:$O$93,"HVN"))</f>
        <v/>
      </c>
      <c r="M496" s="9">
        <f>J496+L496</f>
        <v/>
      </c>
      <c r="N496" s="10">
        <f>$F496*$H496*$M496</f>
        <v/>
      </c>
    </row>
    <row r="497">
      <c r="A497" s="4" t="inlineStr">
        <is>
          <t>UNIT</t>
        </is>
      </c>
      <c r="B497" s="5" t="inlineStr">
        <is>
          <t>PBF_CHALMETTE</t>
        </is>
      </c>
      <c r="C497" s="5" t="n">
        <v>3</v>
      </c>
      <c r="D497" s="5" t="inlineStr">
        <is>
          <t>REF</t>
        </is>
      </c>
      <c r="E497" s="5" t="inlineStr">
        <is>
          <t>REFORMER</t>
        </is>
      </c>
      <c r="F497" s="6" t="n">
        <v>30</v>
      </c>
      <c r="G497" s="7" t="n">
        <v>0</v>
      </c>
      <c r="H497" s="8">
        <f>IF($G497&lt;&gt;"",$G497,SUMIFS(Assumptions!$K$4:$K$8,Assumptions!$J$4:$J$8,$C497))</f>
        <v/>
      </c>
      <c r="I497" s="7" t="n"/>
      <c r="J497" s="9">
        <f>IF($I497&lt;&gt;"",$I497,SUMIFS(Assumptions!$P$4:$P$93,Assumptions!$M$4:$M$93,$C497,Assumptions!$N$4:$N$93,$E497,Assumptions!$O$4:$O$93,"LVN"))</f>
        <v/>
      </c>
      <c r="K497" s="7" t="n"/>
      <c r="L497" s="9">
        <f>IF($K497&lt;&gt;"",$K497,SUMIFS(Assumptions!$P$4:$P$93,Assumptions!$M$4:$M$93,$C497,Assumptions!$N$4:$N$93,$E497,Assumptions!$O$4:$O$93,"HVN"))</f>
        <v/>
      </c>
      <c r="M497" s="9">
        <f>J497+L497</f>
        <v/>
      </c>
      <c r="N497" s="10">
        <f>$F497*$H497*$M497</f>
        <v/>
      </c>
    </row>
    <row r="498">
      <c r="A498" s="4" t="inlineStr">
        <is>
          <t>UNIT</t>
        </is>
      </c>
      <c r="B498" s="5" t="inlineStr">
        <is>
          <t>PBF_CHALMETTE</t>
        </is>
      </c>
      <c r="C498" s="5" t="n">
        <v>3</v>
      </c>
      <c r="D498" s="5" t="inlineStr">
        <is>
          <t>ISOM</t>
        </is>
      </c>
      <c r="E498" s="5" t="inlineStr">
        <is>
          <t>ISOM</t>
        </is>
      </c>
      <c r="F498" s="6" t="n">
        <v>8.199999999999999</v>
      </c>
      <c r="G498" s="7" t="n"/>
      <c r="H498" s="8">
        <f>IF($G498&lt;&gt;"",$G498,SUMIFS(Assumptions!$K$4:$K$8,Assumptions!$J$4:$J$8,$C498))</f>
        <v/>
      </c>
      <c r="I498" s="7" t="n"/>
      <c r="J498" s="9">
        <f>IF($I498&lt;&gt;"",$I498,SUMIFS(Assumptions!$P$4:$P$93,Assumptions!$M$4:$M$93,$C498,Assumptions!$N$4:$N$93,$E498,Assumptions!$O$4:$O$93,"LVN"))</f>
        <v/>
      </c>
      <c r="K498" s="7" t="n"/>
      <c r="L498" s="9">
        <f>IF($K498&lt;&gt;"",$K498,SUMIFS(Assumptions!$P$4:$P$93,Assumptions!$M$4:$M$93,$C498,Assumptions!$N$4:$N$93,$E498,Assumptions!$O$4:$O$93,"HVN"))</f>
        <v/>
      </c>
      <c r="M498" s="9">
        <f>J498+L498</f>
        <v/>
      </c>
      <c r="N498" s="10">
        <f>$F498*$H498*$M498</f>
        <v/>
      </c>
    </row>
    <row r="499">
      <c r="A499" s="4" t="inlineStr">
        <is>
          <t>UNIT</t>
        </is>
      </c>
      <c r="B499" s="5" t="inlineStr">
        <is>
          <t>PBF_CHALMETTE</t>
        </is>
      </c>
      <c r="C499" s="5" t="n">
        <v>3</v>
      </c>
      <c r="D499" s="5" t="inlineStr">
        <is>
          <t>ALKY</t>
        </is>
      </c>
      <c r="E499" s="5" t="inlineStr">
        <is>
          <t>ALKY</t>
        </is>
      </c>
      <c r="F499" s="6" t="n">
        <v>16.8</v>
      </c>
      <c r="G499" s="7" t="n">
        <v>0.707</v>
      </c>
      <c r="H499" s="8">
        <f>IF($G499&lt;&gt;"",$G499,SUMIFS(Assumptions!$K$4:$K$8,Assumptions!$J$4:$J$8,$C499))</f>
        <v/>
      </c>
      <c r="I499" s="7" t="n"/>
      <c r="J499" s="9">
        <f>IF($I499&lt;&gt;"",$I499,SUMIFS(Assumptions!$P$4:$P$93,Assumptions!$M$4:$M$93,$C499,Assumptions!$N$4:$N$93,$E499,Assumptions!$O$4:$O$93,"LVN"))</f>
        <v/>
      </c>
      <c r="K499" s="7" t="n"/>
      <c r="L499" s="9">
        <f>IF($K499&lt;&gt;"",$K499,SUMIFS(Assumptions!$P$4:$P$93,Assumptions!$M$4:$M$93,$C499,Assumptions!$N$4:$N$93,$E499,Assumptions!$O$4:$O$93,"HVN"))</f>
        <v/>
      </c>
      <c r="M499" s="9">
        <f>J499+L499</f>
        <v/>
      </c>
      <c r="N499" s="10">
        <f>$F499*$H499*$M499</f>
        <v/>
      </c>
    </row>
    <row r="500">
      <c r="A500" s="11" t="inlineStr">
        <is>
          <t>TOTAL</t>
        </is>
      </c>
      <c r="B500" s="12" t="inlineStr">
        <is>
          <t>PBF_CHALMETTE</t>
        </is>
      </c>
      <c r="C500" s="12" t="n">
        <v>3</v>
      </c>
      <c r="D500" s="12" t="inlineStr">
        <is>
          <t>NET NAPHTHA</t>
        </is>
      </c>
      <c r="N500" s="13">
        <f>SUM(N492:N499)</f>
        <v/>
      </c>
    </row>
    <row r="502">
      <c r="A502" s="1" t="inlineStr">
        <is>
          <t xml:space="preserve">  Citgo Corpus Christi  [CITGO_CORPUS_CHRISTI]   —   PDVSA   —   PADD 3   —   crude 176 kbd</t>
        </is>
      </c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</row>
    <row r="503">
      <c r="A503" s="4" t="inlineStr">
        <is>
          <t>UNIT</t>
        </is>
      </c>
      <c r="B503" s="5" t="inlineStr">
        <is>
          <t>CITGO_CORPUS_CHRISTI</t>
        </is>
      </c>
      <c r="C503" s="5" t="n">
        <v>3</v>
      </c>
      <c r="D503" s="5" t="inlineStr">
        <is>
          <t>CDU</t>
        </is>
      </c>
      <c r="E503" s="5" t="inlineStr">
        <is>
          <t>CDU</t>
        </is>
      </c>
      <c r="F503" s="6" t="n">
        <v>175.55</v>
      </c>
      <c r="G503" s="7" t="n">
        <v>0.842</v>
      </c>
      <c r="H503" s="8">
        <f>IF($G503&lt;&gt;"",$G503,SUMIFS(Assumptions!$K$4:$K$8,Assumptions!$J$4:$J$8,$C503))</f>
        <v/>
      </c>
      <c r="I503" s="7" t="n"/>
      <c r="J503" s="9">
        <f>IF($I503&lt;&gt;"",$I503,SUMIFS(Assumptions!$P$4:$P$93,Assumptions!$M$4:$M$93,$C503,Assumptions!$N$4:$N$93,$E503,Assumptions!$O$4:$O$93,"LVN"))</f>
        <v/>
      </c>
      <c r="K503" s="7" t="n"/>
      <c r="L503" s="9">
        <f>IF($K503&lt;&gt;"",$K503,SUMIFS(Assumptions!$P$4:$P$93,Assumptions!$M$4:$M$93,$C503,Assumptions!$N$4:$N$93,$E503,Assumptions!$O$4:$O$93,"HVN"))</f>
        <v/>
      </c>
      <c r="M503" s="9">
        <f>J503+L503</f>
        <v/>
      </c>
      <c r="N503" s="10">
        <f>$F503*$H503*$M503</f>
        <v/>
      </c>
    </row>
    <row r="504">
      <c r="A504" s="4" t="inlineStr">
        <is>
          <t>UNIT</t>
        </is>
      </c>
      <c r="B504" s="5" t="inlineStr">
        <is>
          <t>CITGO_CORPUS_CHRISTI</t>
        </is>
      </c>
      <c r="C504" s="5" t="n">
        <v>3</v>
      </c>
      <c r="D504" s="5" t="inlineStr">
        <is>
          <t>VDU</t>
        </is>
      </c>
      <c r="E504" s="5" t="inlineStr">
        <is>
          <t>VDU</t>
        </is>
      </c>
      <c r="F504" s="6" t="n">
        <v>85.3</v>
      </c>
      <c r="G504" s="7" t="n">
        <v>0.784</v>
      </c>
      <c r="H504" s="8">
        <f>IF($G504&lt;&gt;"",$G504,SUMIFS(Assumptions!$K$4:$K$8,Assumptions!$J$4:$J$8,$C504))</f>
        <v/>
      </c>
      <c r="I504" s="7" t="n"/>
      <c r="J504" s="9">
        <f>IF($I504&lt;&gt;"",$I504,SUMIFS(Assumptions!$P$4:$P$93,Assumptions!$M$4:$M$93,$C504,Assumptions!$N$4:$N$93,$E504,Assumptions!$O$4:$O$93,"LVN"))</f>
        <v/>
      </c>
      <c r="K504" s="7" t="n"/>
      <c r="L504" s="9">
        <f>IF($K504&lt;&gt;"",$K504,SUMIFS(Assumptions!$P$4:$P$93,Assumptions!$M$4:$M$93,$C504,Assumptions!$N$4:$N$93,$E504,Assumptions!$O$4:$O$93,"HVN"))</f>
        <v/>
      </c>
      <c r="M504" s="9">
        <f>J504+L504</f>
        <v/>
      </c>
      <c r="N504" s="10">
        <f>$F504*$H504*$M504</f>
        <v/>
      </c>
    </row>
    <row r="505">
      <c r="A505" s="4" t="inlineStr">
        <is>
          <t>UNIT</t>
        </is>
      </c>
      <c r="B505" s="5" t="inlineStr">
        <is>
          <t>CITGO_CORPUS_CHRISTI</t>
        </is>
      </c>
      <c r="C505" s="5" t="n">
        <v>3</v>
      </c>
      <c r="D505" s="5" t="inlineStr">
        <is>
          <t>FCC</t>
        </is>
      </c>
      <c r="E505" s="5" t="inlineStr">
        <is>
          <t>FCC</t>
        </is>
      </c>
      <c r="F505" s="6" t="n">
        <v>70.7</v>
      </c>
      <c r="G505" s="7" t="n">
        <v>0.639</v>
      </c>
      <c r="H505" s="8">
        <f>IF($G505&lt;&gt;"",$G505,SUMIFS(Assumptions!$K$4:$K$8,Assumptions!$J$4:$J$8,$C505))</f>
        <v/>
      </c>
      <c r="I505" s="7" t="n"/>
      <c r="J505" s="9">
        <f>IF($I505&lt;&gt;"",$I505,SUMIFS(Assumptions!$P$4:$P$93,Assumptions!$M$4:$M$93,$C505,Assumptions!$N$4:$N$93,$E505,Assumptions!$O$4:$O$93,"LVN"))</f>
        <v/>
      </c>
      <c r="K505" s="7" t="n"/>
      <c r="L505" s="9">
        <f>IF($K505&lt;&gt;"",$K505,SUMIFS(Assumptions!$P$4:$P$93,Assumptions!$M$4:$M$93,$C505,Assumptions!$N$4:$N$93,$E505,Assumptions!$O$4:$O$93,"HVN"))</f>
        <v/>
      </c>
      <c r="M505" s="9">
        <f>J505+L505</f>
        <v/>
      </c>
      <c r="N505" s="10">
        <f>$F505*$H505*$M505</f>
        <v/>
      </c>
    </row>
    <row r="506">
      <c r="A506" s="4" t="inlineStr">
        <is>
          <t>UNIT</t>
        </is>
      </c>
      <c r="B506" s="5" t="inlineStr">
        <is>
          <t>CITGO_CORPUS_CHRISTI</t>
        </is>
      </c>
      <c r="C506" s="5" t="n">
        <v>3</v>
      </c>
      <c r="D506" s="5" t="inlineStr">
        <is>
          <t>COKER</t>
        </is>
      </c>
      <c r="E506" s="5" t="inlineStr">
        <is>
          <t>COKER</t>
        </is>
      </c>
      <c r="F506" s="6" t="n">
        <v>45.13</v>
      </c>
      <c r="G506" s="7" t="n">
        <v>0.449</v>
      </c>
      <c r="H506" s="8">
        <f>IF($G506&lt;&gt;"",$G506,SUMIFS(Assumptions!$K$4:$K$8,Assumptions!$J$4:$J$8,$C506))</f>
        <v/>
      </c>
      <c r="I506" s="7" t="n"/>
      <c r="J506" s="9">
        <f>IF($I506&lt;&gt;"",$I506,SUMIFS(Assumptions!$P$4:$P$93,Assumptions!$M$4:$M$93,$C506,Assumptions!$N$4:$N$93,$E506,Assumptions!$O$4:$O$93,"LVN"))</f>
        <v/>
      </c>
      <c r="K506" s="7" t="n"/>
      <c r="L506" s="9">
        <f>IF($K506&lt;&gt;"",$K506,SUMIFS(Assumptions!$P$4:$P$93,Assumptions!$M$4:$M$93,$C506,Assumptions!$N$4:$N$93,$E506,Assumptions!$O$4:$O$93,"HVN"))</f>
        <v/>
      </c>
      <c r="M506" s="9">
        <f>J506+L506</f>
        <v/>
      </c>
      <c r="N506" s="10">
        <f>$F506*$H506*$M506</f>
        <v/>
      </c>
    </row>
    <row r="507">
      <c r="A507" s="4" t="inlineStr">
        <is>
          <t>UNIT</t>
        </is>
      </c>
      <c r="B507" s="5" t="inlineStr">
        <is>
          <t>CITGO_CORPUS_CHRISTI</t>
        </is>
      </c>
      <c r="C507" s="5" t="n">
        <v>3</v>
      </c>
      <c r="D507" s="5" t="inlineStr">
        <is>
          <t>CCR</t>
        </is>
      </c>
      <c r="E507" s="5" t="inlineStr">
        <is>
          <t>REFORMER</t>
        </is>
      </c>
      <c r="F507" s="6" t="n">
        <v>51.5</v>
      </c>
      <c r="G507" s="7" t="n">
        <v>0.589</v>
      </c>
      <c r="H507" s="8">
        <f>IF($G507&lt;&gt;"",$G507,SUMIFS(Assumptions!$K$4:$K$8,Assumptions!$J$4:$J$8,$C507))</f>
        <v/>
      </c>
      <c r="I507" s="7" t="n"/>
      <c r="J507" s="9">
        <f>IF($I507&lt;&gt;"",$I507,SUMIFS(Assumptions!$P$4:$P$93,Assumptions!$M$4:$M$93,$C507,Assumptions!$N$4:$N$93,$E507,Assumptions!$O$4:$O$93,"LVN"))</f>
        <v/>
      </c>
      <c r="K507" s="7" t="n"/>
      <c r="L507" s="9">
        <f>IF($K507&lt;&gt;"",$K507,SUMIFS(Assumptions!$P$4:$P$93,Assumptions!$M$4:$M$93,$C507,Assumptions!$N$4:$N$93,$E507,Assumptions!$O$4:$O$93,"HVN"))</f>
        <v/>
      </c>
      <c r="M507" s="9">
        <f>J507+L507</f>
        <v/>
      </c>
      <c r="N507" s="10">
        <f>$F507*$H507*$M507</f>
        <v/>
      </c>
    </row>
    <row r="508">
      <c r="A508" s="4" t="inlineStr">
        <is>
          <t>UNIT</t>
        </is>
      </c>
      <c r="B508" s="5" t="inlineStr">
        <is>
          <t>CITGO_CORPUS_CHRISTI</t>
        </is>
      </c>
      <c r="C508" s="5" t="n">
        <v>3</v>
      </c>
      <c r="D508" s="5" t="inlineStr">
        <is>
          <t>ALKY</t>
        </is>
      </c>
      <c r="E508" s="5" t="inlineStr">
        <is>
          <t>ALKY</t>
        </is>
      </c>
      <c r="F508" s="6" t="n">
        <v>24.35</v>
      </c>
      <c r="G508" s="7" t="n">
        <v>1.1</v>
      </c>
      <c r="H508" s="8">
        <f>IF($G508&lt;&gt;"",$G508,SUMIFS(Assumptions!$K$4:$K$8,Assumptions!$J$4:$J$8,$C508))</f>
        <v/>
      </c>
      <c r="I508" s="7" t="n"/>
      <c r="J508" s="9">
        <f>IF($I508&lt;&gt;"",$I508,SUMIFS(Assumptions!$P$4:$P$93,Assumptions!$M$4:$M$93,$C508,Assumptions!$N$4:$N$93,$E508,Assumptions!$O$4:$O$93,"LVN"))</f>
        <v/>
      </c>
      <c r="K508" s="7" t="n"/>
      <c r="L508" s="9">
        <f>IF($K508&lt;&gt;"",$K508,SUMIFS(Assumptions!$P$4:$P$93,Assumptions!$M$4:$M$93,$C508,Assumptions!$N$4:$N$93,$E508,Assumptions!$O$4:$O$93,"HVN"))</f>
        <v/>
      </c>
      <c r="M508" s="9">
        <f>J508+L508</f>
        <v/>
      </c>
      <c r="N508" s="10">
        <f>$F508*$H508*$M508</f>
        <v/>
      </c>
    </row>
    <row r="509">
      <c r="A509" s="11" t="inlineStr">
        <is>
          <t>TOTAL</t>
        </is>
      </c>
      <c r="B509" s="12" t="inlineStr">
        <is>
          <t>CITGO_CORPUS_CHRISTI</t>
        </is>
      </c>
      <c r="C509" s="12" t="n">
        <v>3</v>
      </c>
      <c r="D509" s="12" t="inlineStr">
        <is>
          <t>NET NAPHTHA</t>
        </is>
      </c>
      <c r="N509" s="13">
        <f>SUM(N503:N508)</f>
        <v/>
      </c>
    </row>
    <row r="511">
      <c r="A511" s="1" t="inlineStr">
        <is>
          <t xml:space="preserve">  WRB Refining Borger  [WRB_BORGER]   —   Cenovus (50%) / Phillips 66 Co. (50%)   —   PADD 3   —   crude 154 kbd</t>
        </is>
      </c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</row>
    <row r="512">
      <c r="A512" s="4" t="inlineStr">
        <is>
          <t>UNIT</t>
        </is>
      </c>
      <c r="B512" s="5" t="inlineStr">
        <is>
          <t>WRB_BORGER</t>
        </is>
      </c>
      <c r="C512" s="5" t="n">
        <v>3</v>
      </c>
      <c r="D512" s="5" t="inlineStr">
        <is>
          <t>CDU</t>
        </is>
      </c>
      <c r="E512" s="5" t="inlineStr">
        <is>
          <t>CDU</t>
        </is>
      </c>
      <c r="F512" s="6" t="n">
        <v>157</v>
      </c>
      <c r="G512" s="7" t="n">
        <v>0.888</v>
      </c>
      <c r="H512" s="8">
        <f>IF($G512&lt;&gt;"",$G512,SUMIFS(Assumptions!$K$4:$K$8,Assumptions!$J$4:$J$8,$C512))</f>
        <v/>
      </c>
      <c r="I512" s="7" t="n"/>
      <c r="J512" s="9">
        <f>IF($I512&lt;&gt;"",$I512,SUMIFS(Assumptions!$P$4:$P$93,Assumptions!$M$4:$M$93,$C512,Assumptions!$N$4:$N$93,$E512,Assumptions!$O$4:$O$93,"LVN"))</f>
        <v/>
      </c>
      <c r="K512" s="7" t="n"/>
      <c r="L512" s="9">
        <f>IF($K512&lt;&gt;"",$K512,SUMIFS(Assumptions!$P$4:$P$93,Assumptions!$M$4:$M$93,$C512,Assumptions!$N$4:$N$93,$E512,Assumptions!$O$4:$O$93,"HVN"))</f>
        <v/>
      </c>
      <c r="M512" s="9">
        <f>J512+L512</f>
        <v/>
      </c>
      <c r="N512" s="10">
        <f>$F512*$H512*$M512</f>
        <v/>
      </c>
    </row>
    <row r="513">
      <c r="A513" s="4" t="inlineStr">
        <is>
          <t>UNIT</t>
        </is>
      </c>
      <c r="B513" s="5" t="inlineStr">
        <is>
          <t>WRB_BORGER</t>
        </is>
      </c>
      <c r="C513" s="5" t="n">
        <v>3</v>
      </c>
      <c r="D513" s="5" t="inlineStr">
        <is>
          <t>VDU</t>
        </is>
      </c>
      <c r="E513" s="5" t="inlineStr">
        <is>
          <t>VDU</t>
        </is>
      </c>
      <c r="F513" s="6" t="n">
        <v>80</v>
      </c>
      <c r="G513" s="7" t="n">
        <v>0.635</v>
      </c>
      <c r="H513" s="8">
        <f>IF($G513&lt;&gt;"",$G513,SUMIFS(Assumptions!$K$4:$K$8,Assumptions!$J$4:$J$8,$C513))</f>
        <v/>
      </c>
      <c r="I513" s="7" t="n"/>
      <c r="J513" s="9">
        <f>IF($I513&lt;&gt;"",$I513,SUMIFS(Assumptions!$P$4:$P$93,Assumptions!$M$4:$M$93,$C513,Assumptions!$N$4:$N$93,$E513,Assumptions!$O$4:$O$93,"LVN"))</f>
        <v/>
      </c>
      <c r="K513" s="7" t="n"/>
      <c r="L513" s="9">
        <f>IF($K513&lt;&gt;"",$K513,SUMIFS(Assumptions!$P$4:$P$93,Assumptions!$M$4:$M$93,$C513,Assumptions!$N$4:$N$93,$E513,Assumptions!$O$4:$O$93,"HVN"))</f>
        <v/>
      </c>
      <c r="M513" s="9">
        <f>J513+L513</f>
        <v/>
      </c>
      <c r="N513" s="10">
        <f>$F513*$H513*$M513</f>
        <v/>
      </c>
    </row>
    <row r="514">
      <c r="A514" s="4" t="inlineStr">
        <is>
          <t>UNIT</t>
        </is>
      </c>
      <c r="B514" s="5" t="inlineStr">
        <is>
          <t>WRB_BORGER</t>
        </is>
      </c>
      <c r="C514" s="5" t="n">
        <v>3</v>
      </c>
      <c r="D514" s="5" t="inlineStr">
        <is>
          <t>FCC</t>
        </is>
      </c>
      <c r="E514" s="5" t="inlineStr">
        <is>
          <t>FCC</t>
        </is>
      </c>
      <c r="F514" s="6" t="n">
        <v>56</v>
      </c>
      <c r="G514" s="7" t="n">
        <v>0.592</v>
      </c>
      <c r="H514" s="8">
        <f>IF($G514&lt;&gt;"",$G514,SUMIFS(Assumptions!$K$4:$K$8,Assumptions!$J$4:$J$8,$C514))</f>
        <v/>
      </c>
      <c r="I514" s="7" t="n"/>
      <c r="J514" s="9">
        <f>IF($I514&lt;&gt;"",$I514,SUMIFS(Assumptions!$P$4:$P$93,Assumptions!$M$4:$M$93,$C514,Assumptions!$N$4:$N$93,$E514,Assumptions!$O$4:$O$93,"LVN"))</f>
        <v/>
      </c>
      <c r="K514" s="7" t="n"/>
      <c r="L514" s="9">
        <f>IF($K514&lt;&gt;"",$K514,SUMIFS(Assumptions!$P$4:$P$93,Assumptions!$M$4:$M$93,$C514,Assumptions!$N$4:$N$93,$E514,Assumptions!$O$4:$O$93,"HVN"))</f>
        <v/>
      </c>
      <c r="M514" s="9">
        <f>J514+L514</f>
        <v/>
      </c>
      <c r="N514" s="10">
        <f>$F514*$H514*$M514</f>
        <v/>
      </c>
    </row>
    <row r="515">
      <c r="A515" s="4" t="inlineStr">
        <is>
          <t>UNIT</t>
        </is>
      </c>
      <c r="B515" s="5" t="inlineStr">
        <is>
          <t>WRB_BORGER</t>
        </is>
      </c>
      <c r="C515" s="5" t="n">
        <v>3</v>
      </c>
      <c r="D515" s="5" t="inlineStr">
        <is>
          <t>COKER</t>
        </is>
      </c>
      <c r="E515" s="5" t="inlineStr">
        <is>
          <t>COKER</t>
        </is>
      </c>
      <c r="F515" s="6" t="n">
        <v>28.38</v>
      </c>
      <c r="G515" s="7" t="n">
        <v>0.764</v>
      </c>
      <c r="H515" s="8">
        <f>IF($G515&lt;&gt;"",$G515,SUMIFS(Assumptions!$K$4:$K$8,Assumptions!$J$4:$J$8,$C515))</f>
        <v/>
      </c>
      <c r="I515" s="7" t="n"/>
      <c r="J515" s="9">
        <f>IF($I515&lt;&gt;"",$I515,SUMIFS(Assumptions!$P$4:$P$93,Assumptions!$M$4:$M$93,$C515,Assumptions!$N$4:$N$93,$E515,Assumptions!$O$4:$O$93,"LVN"))</f>
        <v/>
      </c>
      <c r="K515" s="7" t="n"/>
      <c r="L515" s="9">
        <f>IF($K515&lt;&gt;"",$K515,SUMIFS(Assumptions!$P$4:$P$93,Assumptions!$M$4:$M$93,$C515,Assumptions!$N$4:$N$93,$E515,Assumptions!$O$4:$O$93,"HVN"))</f>
        <v/>
      </c>
      <c r="M515" s="9">
        <f>J515+L515</f>
        <v/>
      </c>
      <c r="N515" s="10">
        <f>$F515*$H515*$M515</f>
        <v/>
      </c>
    </row>
    <row r="516">
      <c r="A516" s="4" t="inlineStr">
        <is>
          <t>UNIT</t>
        </is>
      </c>
      <c r="B516" s="5" t="inlineStr">
        <is>
          <t>WRB_BORGER</t>
        </is>
      </c>
      <c r="C516" s="5" t="n">
        <v>3</v>
      </c>
      <c r="D516" s="5" t="inlineStr">
        <is>
          <t>REF</t>
        </is>
      </c>
      <c r="E516" s="5" t="inlineStr">
        <is>
          <t>REFORMER</t>
        </is>
      </c>
      <c r="F516" s="6" t="n">
        <v>31.28</v>
      </c>
      <c r="G516" s="7" t="n">
        <v>0.876</v>
      </c>
      <c r="H516" s="8">
        <f>IF($G516&lt;&gt;"",$G516,SUMIFS(Assumptions!$K$4:$K$8,Assumptions!$J$4:$J$8,$C516))</f>
        <v/>
      </c>
      <c r="I516" s="7" t="n"/>
      <c r="J516" s="9">
        <f>IF($I516&lt;&gt;"",$I516,SUMIFS(Assumptions!$P$4:$P$93,Assumptions!$M$4:$M$93,$C516,Assumptions!$N$4:$N$93,$E516,Assumptions!$O$4:$O$93,"LVN"))</f>
        <v/>
      </c>
      <c r="K516" s="7" t="n"/>
      <c r="L516" s="9">
        <f>IF($K516&lt;&gt;"",$K516,SUMIFS(Assumptions!$P$4:$P$93,Assumptions!$M$4:$M$93,$C516,Assumptions!$N$4:$N$93,$E516,Assumptions!$O$4:$O$93,"HVN"))</f>
        <v/>
      </c>
      <c r="M516" s="9">
        <f>J516+L516</f>
        <v/>
      </c>
      <c r="N516" s="10">
        <f>$F516*$H516*$M516</f>
        <v/>
      </c>
    </row>
    <row r="517">
      <c r="A517" s="4" t="inlineStr">
        <is>
          <t>UNIT</t>
        </is>
      </c>
      <c r="B517" s="5" t="inlineStr">
        <is>
          <t>WRB_BORGER</t>
        </is>
      </c>
      <c r="C517" s="5" t="n">
        <v>3</v>
      </c>
      <c r="D517" s="5" t="inlineStr">
        <is>
          <t>ISOM</t>
        </is>
      </c>
      <c r="E517" s="5" t="inlineStr">
        <is>
          <t>ISOM</t>
        </is>
      </c>
      <c r="F517" s="6" t="n">
        <v>31</v>
      </c>
      <c r="G517" s="7" t="n">
        <v>0.508</v>
      </c>
      <c r="H517" s="8">
        <f>IF($G517&lt;&gt;"",$G517,SUMIFS(Assumptions!$K$4:$K$8,Assumptions!$J$4:$J$8,$C517))</f>
        <v/>
      </c>
      <c r="I517" s="7" t="n"/>
      <c r="J517" s="9">
        <f>IF($I517&lt;&gt;"",$I517,SUMIFS(Assumptions!$P$4:$P$93,Assumptions!$M$4:$M$93,$C517,Assumptions!$N$4:$N$93,$E517,Assumptions!$O$4:$O$93,"LVN"))</f>
        <v/>
      </c>
      <c r="K517" s="7" t="n"/>
      <c r="L517" s="9">
        <f>IF($K517&lt;&gt;"",$K517,SUMIFS(Assumptions!$P$4:$P$93,Assumptions!$M$4:$M$93,$C517,Assumptions!$N$4:$N$93,$E517,Assumptions!$O$4:$O$93,"HVN"))</f>
        <v/>
      </c>
      <c r="M517" s="9">
        <f>J517+L517</f>
        <v/>
      </c>
      <c r="N517" s="10">
        <f>$F517*$H517*$M517</f>
        <v/>
      </c>
    </row>
    <row r="518">
      <c r="A518" s="4" t="inlineStr">
        <is>
          <t>UNIT</t>
        </is>
      </c>
      <c r="B518" s="5" t="inlineStr">
        <is>
          <t>WRB_BORGER</t>
        </is>
      </c>
      <c r="C518" s="5" t="n">
        <v>3</v>
      </c>
      <c r="D518" s="5" t="inlineStr">
        <is>
          <t>ALKY</t>
        </is>
      </c>
      <c r="E518" s="5" t="inlineStr">
        <is>
          <t>ALKY</t>
        </is>
      </c>
      <c r="F518" s="6" t="n">
        <v>14</v>
      </c>
      <c r="G518" s="7" t="n">
        <v>0.669</v>
      </c>
      <c r="H518" s="8">
        <f>IF($G518&lt;&gt;"",$G518,SUMIFS(Assumptions!$K$4:$K$8,Assumptions!$J$4:$J$8,$C518))</f>
        <v/>
      </c>
      <c r="I518" s="7" t="n"/>
      <c r="J518" s="9">
        <f>IF($I518&lt;&gt;"",$I518,SUMIFS(Assumptions!$P$4:$P$93,Assumptions!$M$4:$M$93,$C518,Assumptions!$N$4:$N$93,$E518,Assumptions!$O$4:$O$93,"LVN"))</f>
        <v/>
      </c>
      <c r="K518" s="7" t="n"/>
      <c r="L518" s="9">
        <f>IF($K518&lt;&gt;"",$K518,SUMIFS(Assumptions!$P$4:$P$93,Assumptions!$M$4:$M$93,$C518,Assumptions!$N$4:$N$93,$E518,Assumptions!$O$4:$O$93,"HVN"))</f>
        <v/>
      </c>
      <c r="M518" s="9">
        <f>J518+L518</f>
        <v/>
      </c>
      <c r="N518" s="10">
        <f>$F518*$H518*$M518</f>
        <v/>
      </c>
    </row>
    <row r="519">
      <c r="A519" s="11" t="inlineStr">
        <is>
          <t>TOTAL</t>
        </is>
      </c>
      <c r="B519" s="12" t="inlineStr">
        <is>
          <t>WRB_BORGER</t>
        </is>
      </c>
      <c r="C519" s="12" t="n">
        <v>3</v>
      </c>
      <c r="D519" s="12" t="inlineStr">
        <is>
          <t>NET NAPHTHA</t>
        </is>
      </c>
      <c r="N519" s="13">
        <f>SUM(N512:N518)</f>
        <v/>
      </c>
    </row>
    <row r="521">
      <c r="A521" s="1" t="inlineStr">
        <is>
          <t xml:space="preserve">  Marathon Petroleum El Paso  [MARATHON_EL_PASO]   —   Marathon Petroleum   —   PADD 3   —   crude 133 kbd</t>
        </is>
      </c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</row>
    <row r="522">
      <c r="A522" s="4" t="inlineStr">
        <is>
          <t>UNIT</t>
        </is>
      </c>
      <c r="B522" s="5" t="inlineStr">
        <is>
          <t>MARATHON_EL_PASO</t>
        </is>
      </c>
      <c r="C522" s="5" t="n">
        <v>3</v>
      </c>
      <c r="D522" s="5" t="inlineStr">
        <is>
          <t>CDU</t>
        </is>
      </c>
      <c r="E522" s="5" t="inlineStr">
        <is>
          <t>CDU</t>
        </is>
      </c>
      <c r="F522" s="6" t="n">
        <v>138</v>
      </c>
      <c r="G522" s="7" t="n">
        <v>0.902</v>
      </c>
      <c r="H522" s="8">
        <f>IF($G522&lt;&gt;"",$G522,SUMIFS(Assumptions!$K$4:$K$8,Assumptions!$J$4:$J$8,$C522))</f>
        <v/>
      </c>
      <c r="I522" s="7" t="n"/>
      <c r="J522" s="9">
        <f>IF($I522&lt;&gt;"",$I522,SUMIFS(Assumptions!$P$4:$P$93,Assumptions!$M$4:$M$93,$C522,Assumptions!$N$4:$N$93,$E522,Assumptions!$O$4:$O$93,"LVN"))</f>
        <v/>
      </c>
      <c r="K522" s="7" t="n"/>
      <c r="L522" s="9">
        <f>IF($K522&lt;&gt;"",$K522,SUMIFS(Assumptions!$P$4:$P$93,Assumptions!$M$4:$M$93,$C522,Assumptions!$N$4:$N$93,$E522,Assumptions!$O$4:$O$93,"HVN"))</f>
        <v/>
      </c>
      <c r="M522" s="9">
        <f>J522+L522</f>
        <v/>
      </c>
      <c r="N522" s="10">
        <f>$F522*$H522*$M522</f>
        <v/>
      </c>
    </row>
    <row r="523">
      <c r="A523" s="4" t="inlineStr">
        <is>
          <t>UNIT</t>
        </is>
      </c>
      <c r="B523" s="5" t="inlineStr">
        <is>
          <t>MARATHON_EL_PASO</t>
        </is>
      </c>
      <c r="C523" s="5" t="n">
        <v>3</v>
      </c>
      <c r="D523" s="5" t="inlineStr">
        <is>
          <t>VDU</t>
        </is>
      </c>
      <c r="E523" s="5" t="inlineStr">
        <is>
          <t>VDU</t>
        </is>
      </c>
      <c r="F523" s="6" t="n">
        <v>55.5</v>
      </c>
      <c r="G523" s="7" t="n">
        <v>0.651</v>
      </c>
      <c r="H523" s="8">
        <f>IF($G523&lt;&gt;"",$G523,SUMIFS(Assumptions!$K$4:$K$8,Assumptions!$J$4:$J$8,$C523))</f>
        <v/>
      </c>
      <c r="I523" s="7" t="n"/>
      <c r="J523" s="9">
        <f>IF($I523&lt;&gt;"",$I523,SUMIFS(Assumptions!$P$4:$P$93,Assumptions!$M$4:$M$93,$C523,Assumptions!$N$4:$N$93,$E523,Assumptions!$O$4:$O$93,"LVN"))</f>
        <v/>
      </c>
      <c r="K523" s="7" t="n"/>
      <c r="L523" s="9">
        <f>IF($K523&lt;&gt;"",$K523,SUMIFS(Assumptions!$P$4:$P$93,Assumptions!$M$4:$M$93,$C523,Assumptions!$N$4:$N$93,$E523,Assumptions!$O$4:$O$93,"HVN"))</f>
        <v/>
      </c>
      <c r="M523" s="9">
        <f>J523+L523</f>
        <v/>
      </c>
      <c r="N523" s="10">
        <f>$F523*$H523*$M523</f>
        <v/>
      </c>
    </row>
    <row r="524">
      <c r="A524" s="4" t="inlineStr">
        <is>
          <t>UNIT</t>
        </is>
      </c>
      <c r="B524" s="5" t="inlineStr">
        <is>
          <t>MARATHON_EL_PASO</t>
        </is>
      </c>
      <c r="C524" s="5" t="n">
        <v>3</v>
      </c>
      <c r="D524" s="5" t="inlineStr">
        <is>
          <t>FCC</t>
        </is>
      </c>
      <c r="E524" s="5" t="inlineStr">
        <is>
          <t>FCC</t>
        </is>
      </c>
      <c r="F524" s="6" t="n">
        <v>35</v>
      </c>
      <c r="G524" s="7" t="n">
        <v>0.946</v>
      </c>
      <c r="H524" s="8">
        <f>IF($G524&lt;&gt;"",$G524,SUMIFS(Assumptions!$K$4:$K$8,Assumptions!$J$4:$J$8,$C524))</f>
        <v/>
      </c>
      <c r="I524" s="7" t="n"/>
      <c r="J524" s="9">
        <f>IF($I524&lt;&gt;"",$I524,SUMIFS(Assumptions!$P$4:$P$93,Assumptions!$M$4:$M$93,$C524,Assumptions!$N$4:$N$93,$E524,Assumptions!$O$4:$O$93,"LVN"))</f>
        <v/>
      </c>
      <c r="K524" s="7" t="n"/>
      <c r="L524" s="9">
        <f>IF($K524&lt;&gt;"",$K524,SUMIFS(Assumptions!$P$4:$P$93,Assumptions!$M$4:$M$93,$C524,Assumptions!$N$4:$N$93,$E524,Assumptions!$O$4:$O$93,"HVN"))</f>
        <v/>
      </c>
      <c r="M524" s="9">
        <f>J524+L524</f>
        <v/>
      </c>
      <c r="N524" s="10">
        <f>$F524*$H524*$M524</f>
        <v/>
      </c>
    </row>
    <row r="525">
      <c r="A525" s="4" t="inlineStr">
        <is>
          <t>UNIT</t>
        </is>
      </c>
      <c r="B525" s="5" t="inlineStr">
        <is>
          <t>MARATHON_EL_PASO</t>
        </is>
      </c>
      <c r="C525" s="5" t="n">
        <v>3</v>
      </c>
      <c r="D525" s="5" t="inlineStr">
        <is>
          <t>CCR</t>
        </is>
      </c>
      <c r="E525" s="5" t="inlineStr">
        <is>
          <t>REFORMER</t>
        </is>
      </c>
      <c r="F525" s="6" t="n">
        <v>28</v>
      </c>
      <c r="G525" s="7" t="n">
        <v>0.793</v>
      </c>
      <c r="H525" s="8">
        <f>IF($G525&lt;&gt;"",$G525,SUMIFS(Assumptions!$K$4:$K$8,Assumptions!$J$4:$J$8,$C525))</f>
        <v/>
      </c>
      <c r="I525" s="7" t="n"/>
      <c r="J525" s="9">
        <f>IF($I525&lt;&gt;"",$I525,SUMIFS(Assumptions!$P$4:$P$93,Assumptions!$M$4:$M$93,$C525,Assumptions!$N$4:$N$93,$E525,Assumptions!$O$4:$O$93,"LVN"))</f>
        <v/>
      </c>
      <c r="K525" s="7" t="n"/>
      <c r="L525" s="9">
        <f>IF($K525&lt;&gt;"",$K525,SUMIFS(Assumptions!$P$4:$P$93,Assumptions!$M$4:$M$93,$C525,Assumptions!$N$4:$N$93,$E525,Assumptions!$O$4:$O$93,"HVN"))</f>
        <v/>
      </c>
      <c r="M525" s="9">
        <f>J525+L525</f>
        <v/>
      </c>
      <c r="N525" s="10">
        <f>$F525*$H525*$M525</f>
        <v/>
      </c>
    </row>
    <row r="526">
      <c r="A526" s="4" t="inlineStr">
        <is>
          <t>UNIT</t>
        </is>
      </c>
      <c r="B526" s="5" t="inlineStr">
        <is>
          <t>MARATHON_EL_PASO</t>
        </is>
      </c>
      <c r="C526" s="5" t="n">
        <v>3</v>
      </c>
      <c r="D526" s="5" t="inlineStr">
        <is>
          <t>ALKY</t>
        </is>
      </c>
      <c r="E526" s="5" t="inlineStr">
        <is>
          <t>ALKY</t>
        </is>
      </c>
      <c r="F526" s="6" t="n">
        <v>12.5</v>
      </c>
      <c r="G526" s="7" t="n">
        <v>1.1</v>
      </c>
      <c r="H526" s="8">
        <f>IF($G526&lt;&gt;"",$G526,SUMIFS(Assumptions!$K$4:$K$8,Assumptions!$J$4:$J$8,$C526))</f>
        <v/>
      </c>
      <c r="I526" s="7" t="n"/>
      <c r="J526" s="9">
        <f>IF($I526&lt;&gt;"",$I526,SUMIFS(Assumptions!$P$4:$P$93,Assumptions!$M$4:$M$93,$C526,Assumptions!$N$4:$N$93,$E526,Assumptions!$O$4:$O$93,"LVN"))</f>
        <v/>
      </c>
      <c r="K526" s="7" t="n"/>
      <c r="L526" s="9">
        <f>IF($K526&lt;&gt;"",$K526,SUMIFS(Assumptions!$P$4:$P$93,Assumptions!$M$4:$M$93,$C526,Assumptions!$N$4:$N$93,$E526,Assumptions!$O$4:$O$93,"HVN"))</f>
        <v/>
      </c>
      <c r="M526" s="9">
        <f>J526+L526</f>
        <v/>
      </c>
      <c r="N526" s="10">
        <f>$F526*$H526*$M526</f>
        <v/>
      </c>
    </row>
    <row r="527">
      <c r="A527" s="11" t="inlineStr">
        <is>
          <t>TOTAL</t>
        </is>
      </c>
      <c r="B527" s="12" t="inlineStr">
        <is>
          <t>MARATHON_EL_PASO</t>
        </is>
      </c>
      <c r="C527" s="12" t="n">
        <v>3</v>
      </c>
      <c r="D527" s="12" t="inlineStr">
        <is>
          <t>NET NAPHTHA</t>
        </is>
      </c>
      <c r="N527" s="13">
        <f>SUM(N522:N526)</f>
        <v/>
      </c>
    </row>
    <row r="529">
      <c r="A529" s="1" t="inlineStr">
        <is>
          <t xml:space="preserve">  Chevron Pasadena  [CHEVRON_PASADENA]   —   Chevron   —   PADD 3   —   crude 125 kbd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</row>
    <row r="530">
      <c r="A530" s="4" t="inlineStr">
        <is>
          <t>UNIT</t>
        </is>
      </c>
      <c r="B530" s="5" t="inlineStr">
        <is>
          <t>CHEVRON_PASADENA</t>
        </is>
      </c>
      <c r="C530" s="5" t="n">
        <v>3</v>
      </c>
      <c r="D530" s="5" t="inlineStr">
        <is>
          <t>CDU</t>
        </is>
      </c>
      <c r="E530" s="5" t="inlineStr">
        <is>
          <t>CDU</t>
        </is>
      </c>
      <c r="F530" s="6" t="n">
        <v>125</v>
      </c>
      <c r="G530" s="7" t="n">
        <v>0.5620000000000001</v>
      </c>
      <c r="H530" s="8">
        <f>IF($G530&lt;&gt;"",$G530,SUMIFS(Assumptions!$K$4:$K$8,Assumptions!$J$4:$J$8,$C530))</f>
        <v/>
      </c>
      <c r="I530" s="7" t="n"/>
      <c r="J530" s="9">
        <f>IF($I530&lt;&gt;"",$I530,SUMIFS(Assumptions!$P$4:$P$93,Assumptions!$M$4:$M$93,$C530,Assumptions!$N$4:$N$93,$E530,Assumptions!$O$4:$O$93,"LVN"))</f>
        <v/>
      </c>
      <c r="K530" s="7" t="n"/>
      <c r="L530" s="9">
        <f>IF($K530&lt;&gt;"",$K530,SUMIFS(Assumptions!$P$4:$P$93,Assumptions!$M$4:$M$93,$C530,Assumptions!$N$4:$N$93,$E530,Assumptions!$O$4:$O$93,"HVN"))</f>
        <v/>
      </c>
      <c r="M530" s="9">
        <f>J530+L530</f>
        <v/>
      </c>
      <c r="N530" s="10">
        <f>$F530*$H530*$M530</f>
        <v/>
      </c>
    </row>
    <row r="531">
      <c r="A531" s="4" t="inlineStr">
        <is>
          <t>UNIT</t>
        </is>
      </c>
      <c r="B531" s="5" t="inlineStr">
        <is>
          <t>CHEVRON_PASADENA</t>
        </is>
      </c>
      <c r="C531" s="5" t="n">
        <v>3</v>
      </c>
      <c r="D531" s="5" t="inlineStr">
        <is>
          <t>VDU</t>
        </is>
      </c>
      <c r="E531" s="5" t="inlineStr">
        <is>
          <t>VDU</t>
        </is>
      </c>
      <c r="F531" s="6" t="n">
        <v>38</v>
      </c>
      <c r="G531" s="7" t="n">
        <v>0</v>
      </c>
      <c r="H531" s="8">
        <f>IF($G531&lt;&gt;"",$G531,SUMIFS(Assumptions!$K$4:$K$8,Assumptions!$J$4:$J$8,$C531))</f>
        <v/>
      </c>
      <c r="I531" s="7" t="n"/>
      <c r="J531" s="9">
        <f>IF($I531&lt;&gt;"",$I531,SUMIFS(Assumptions!$P$4:$P$93,Assumptions!$M$4:$M$93,$C531,Assumptions!$N$4:$N$93,$E531,Assumptions!$O$4:$O$93,"LVN"))</f>
        <v/>
      </c>
      <c r="K531" s="7" t="n"/>
      <c r="L531" s="9">
        <f>IF($K531&lt;&gt;"",$K531,SUMIFS(Assumptions!$P$4:$P$93,Assumptions!$M$4:$M$93,$C531,Assumptions!$N$4:$N$93,$E531,Assumptions!$O$4:$O$93,"HVN"))</f>
        <v/>
      </c>
      <c r="M531" s="9">
        <f>J531+L531</f>
        <v/>
      </c>
      <c r="N531" s="10">
        <f>$F531*$H531*$M531</f>
        <v/>
      </c>
    </row>
    <row r="532">
      <c r="A532" s="4" t="inlineStr">
        <is>
          <t>UNIT</t>
        </is>
      </c>
      <c r="B532" s="5" t="inlineStr">
        <is>
          <t>CHEVRON_PASADENA</t>
        </is>
      </c>
      <c r="C532" s="5" t="n">
        <v>3</v>
      </c>
      <c r="D532" s="5" t="inlineStr">
        <is>
          <t>FCC</t>
        </is>
      </c>
      <c r="E532" s="5" t="inlineStr">
        <is>
          <t>FCC</t>
        </is>
      </c>
      <c r="F532" s="6" t="n">
        <v>52</v>
      </c>
      <c r="G532" s="7" t="n">
        <v>0</v>
      </c>
      <c r="H532" s="8">
        <f>IF($G532&lt;&gt;"",$G532,SUMIFS(Assumptions!$K$4:$K$8,Assumptions!$J$4:$J$8,$C532))</f>
        <v/>
      </c>
      <c r="I532" s="7" t="n"/>
      <c r="J532" s="9">
        <f>IF($I532&lt;&gt;"",$I532,SUMIFS(Assumptions!$P$4:$P$93,Assumptions!$M$4:$M$93,$C532,Assumptions!$N$4:$N$93,$E532,Assumptions!$O$4:$O$93,"LVN"))</f>
        <v/>
      </c>
      <c r="K532" s="7" t="n"/>
      <c r="L532" s="9">
        <f>IF($K532&lt;&gt;"",$K532,SUMIFS(Assumptions!$P$4:$P$93,Assumptions!$M$4:$M$93,$C532,Assumptions!$N$4:$N$93,$E532,Assumptions!$O$4:$O$93,"HVN"))</f>
        <v/>
      </c>
      <c r="M532" s="9">
        <f>J532+L532</f>
        <v/>
      </c>
      <c r="N532" s="10">
        <f>$F532*$H532*$M532</f>
        <v/>
      </c>
    </row>
    <row r="533">
      <c r="A533" s="4" t="inlineStr">
        <is>
          <t>UNIT</t>
        </is>
      </c>
      <c r="B533" s="5" t="inlineStr">
        <is>
          <t>CHEVRON_PASADENA</t>
        </is>
      </c>
      <c r="C533" s="5" t="n">
        <v>3</v>
      </c>
      <c r="D533" s="5" t="inlineStr">
        <is>
          <t>CCR</t>
        </is>
      </c>
      <c r="E533" s="5" t="inlineStr">
        <is>
          <t>REFORMER</t>
        </is>
      </c>
      <c r="F533" s="6" t="n">
        <v>23</v>
      </c>
      <c r="G533" s="7" t="n">
        <v>0.493</v>
      </c>
      <c r="H533" s="8">
        <f>IF($G533&lt;&gt;"",$G533,SUMIFS(Assumptions!$K$4:$K$8,Assumptions!$J$4:$J$8,$C533))</f>
        <v/>
      </c>
      <c r="I533" s="7" t="n"/>
      <c r="J533" s="9">
        <f>IF($I533&lt;&gt;"",$I533,SUMIFS(Assumptions!$P$4:$P$93,Assumptions!$M$4:$M$93,$C533,Assumptions!$N$4:$N$93,$E533,Assumptions!$O$4:$O$93,"LVN"))</f>
        <v/>
      </c>
      <c r="K533" s="7" t="n"/>
      <c r="L533" s="9">
        <f>IF($K533&lt;&gt;"",$K533,SUMIFS(Assumptions!$P$4:$P$93,Assumptions!$M$4:$M$93,$C533,Assumptions!$N$4:$N$93,$E533,Assumptions!$O$4:$O$93,"HVN"))</f>
        <v/>
      </c>
      <c r="M533" s="9">
        <f>J533+L533</f>
        <v/>
      </c>
      <c r="N533" s="10">
        <f>$F533*$H533*$M533</f>
        <v/>
      </c>
    </row>
    <row r="534">
      <c r="A534" s="4" t="inlineStr">
        <is>
          <t>UNIT</t>
        </is>
      </c>
      <c r="B534" s="5" t="inlineStr">
        <is>
          <t>CHEVRON_PASADENA</t>
        </is>
      </c>
      <c r="C534" s="5" t="n">
        <v>3</v>
      </c>
      <c r="D534" s="5" t="inlineStr">
        <is>
          <t>ALKY</t>
        </is>
      </c>
      <c r="E534" s="5" t="inlineStr">
        <is>
          <t>ALKY</t>
        </is>
      </c>
      <c r="F534" s="6" t="n">
        <v>12.5</v>
      </c>
      <c r="G534" s="7" t="n">
        <v>0</v>
      </c>
      <c r="H534" s="8">
        <f>IF($G534&lt;&gt;"",$G534,SUMIFS(Assumptions!$K$4:$K$8,Assumptions!$J$4:$J$8,$C534))</f>
        <v/>
      </c>
      <c r="I534" s="7" t="n"/>
      <c r="J534" s="9">
        <f>IF($I534&lt;&gt;"",$I534,SUMIFS(Assumptions!$P$4:$P$93,Assumptions!$M$4:$M$93,$C534,Assumptions!$N$4:$N$93,$E534,Assumptions!$O$4:$O$93,"LVN"))</f>
        <v/>
      </c>
      <c r="K534" s="7" t="n"/>
      <c r="L534" s="9">
        <f>IF($K534&lt;&gt;"",$K534,SUMIFS(Assumptions!$P$4:$P$93,Assumptions!$M$4:$M$93,$C534,Assumptions!$N$4:$N$93,$E534,Assumptions!$O$4:$O$93,"HVN"))</f>
        <v/>
      </c>
      <c r="M534" s="9">
        <f>J534+L534</f>
        <v/>
      </c>
      <c r="N534" s="10">
        <f>$F534*$H534*$M534</f>
        <v/>
      </c>
    </row>
    <row r="535">
      <c r="A535" s="11" t="inlineStr">
        <is>
          <t>TOTAL</t>
        </is>
      </c>
      <c r="B535" s="12" t="inlineStr">
        <is>
          <t>CHEVRON_PASADENA</t>
        </is>
      </c>
      <c r="C535" s="12" t="n">
        <v>3</v>
      </c>
      <c r="D535" s="12" t="inlineStr">
        <is>
          <t>NET NAPHTHA</t>
        </is>
      </c>
      <c r="N535" s="13">
        <f>SUM(N530:N534)</f>
        <v/>
      </c>
    </row>
    <row r="537">
      <c r="A537" s="1" t="inlineStr">
        <is>
          <t xml:space="preserve">  Valero Meraux  [VALERO_MERAUX]   —   Valero   —   PADD 3   —   crude 125 kbd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</row>
    <row r="538">
      <c r="A538" s="4" t="inlineStr">
        <is>
          <t>UNIT</t>
        </is>
      </c>
      <c r="B538" s="5" t="inlineStr">
        <is>
          <t>VALERO_MERAUX</t>
        </is>
      </c>
      <c r="C538" s="5" t="n">
        <v>3</v>
      </c>
      <c r="D538" s="5" t="inlineStr">
        <is>
          <t>CDU</t>
        </is>
      </c>
      <c r="E538" s="5" t="inlineStr">
        <is>
          <t>CDU</t>
        </is>
      </c>
      <c r="F538" s="6" t="n">
        <v>128</v>
      </c>
      <c r="G538" s="7" t="n">
        <v>0.927</v>
      </c>
      <c r="H538" s="8">
        <f>IF($G538&lt;&gt;"",$G538,SUMIFS(Assumptions!$K$4:$K$8,Assumptions!$J$4:$J$8,$C538))</f>
        <v/>
      </c>
      <c r="I538" s="7" t="n"/>
      <c r="J538" s="9">
        <f>IF($I538&lt;&gt;"",$I538,SUMIFS(Assumptions!$P$4:$P$93,Assumptions!$M$4:$M$93,$C538,Assumptions!$N$4:$N$93,$E538,Assumptions!$O$4:$O$93,"LVN"))</f>
        <v/>
      </c>
      <c r="K538" s="7" t="n"/>
      <c r="L538" s="9">
        <f>IF($K538&lt;&gt;"",$K538,SUMIFS(Assumptions!$P$4:$P$93,Assumptions!$M$4:$M$93,$C538,Assumptions!$N$4:$N$93,$E538,Assumptions!$O$4:$O$93,"HVN"))</f>
        <v/>
      </c>
      <c r="M538" s="9">
        <f>J538+L538</f>
        <v/>
      </c>
      <c r="N538" s="10">
        <f>$F538*$H538*$M538</f>
        <v/>
      </c>
    </row>
    <row r="539">
      <c r="A539" s="4" t="inlineStr">
        <is>
          <t>UNIT</t>
        </is>
      </c>
      <c r="B539" s="5" t="inlineStr">
        <is>
          <t>VALERO_MERAUX</t>
        </is>
      </c>
      <c r="C539" s="5" t="n">
        <v>3</v>
      </c>
      <c r="D539" s="5" t="inlineStr">
        <is>
          <t>VDU</t>
        </is>
      </c>
      <c r="E539" s="5" t="inlineStr">
        <is>
          <t>VDU</t>
        </is>
      </c>
      <c r="F539" s="6" t="n">
        <v>60</v>
      </c>
      <c r="G539" s="7" t="n">
        <v>0.718</v>
      </c>
      <c r="H539" s="8">
        <f>IF($G539&lt;&gt;"",$G539,SUMIFS(Assumptions!$K$4:$K$8,Assumptions!$J$4:$J$8,$C539))</f>
        <v/>
      </c>
      <c r="I539" s="7" t="n"/>
      <c r="J539" s="9">
        <f>IF($I539&lt;&gt;"",$I539,SUMIFS(Assumptions!$P$4:$P$93,Assumptions!$M$4:$M$93,$C539,Assumptions!$N$4:$N$93,$E539,Assumptions!$O$4:$O$93,"LVN"))</f>
        <v/>
      </c>
      <c r="K539" s="7" t="n"/>
      <c r="L539" s="9">
        <f>IF($K539&lt;&gt;"",$K539,SUMIFS(Assumptions!$P$4:$P$93,Assumptions!$M$4:$M$93,$C539,Assumptions!$N$4:$N$93,$E539,Assumptions!$O$4:$O$93,"HVN"))</f>
        <v/>
      </c>
      <c r="M539" s="9">
        <f>J539+L539</f>
        <v/>
      </c>
      <c r="N539" s="10">
        <f>$F539*$H539*$M539</f>
        <v/>
      </c>
    </row>
    <row r="540">
      <c r="A540" s="4" t="inlineStr">
        <is>
          <t>UNIT</t>
        </is>
      </c>
      <c r="B540" s="5" t="inlineStr">
        <is>
          <t>VALERO_MERAUX</t>
        </is>
      </c>
      <c r="C540" s="5" t="n">
        <v>3</v>
      </c>
      <c r="D540" s="5" t="inlineStr">
        <is>
          <t>DHCU</t>
        </is>
      </c>
      <c r="E540" s="5" t="inlineStr">
        <is>
          <t>HYDROCRACKER</t>
        </is>
      </c>
      <c r="F540" s="6" t="n">
        <v>48.7</v>
      </c>
      <c r="G540" s="7" t="n">
        <v>0.712</v>
      </c>
      <c r="H540" s="8">
        <f>IF($G540&lt;&gt;"",$G540,SUMIFS(Assumptions!$K$4:$K$8,Assumptions!$J$4:$J$8,$C540))</f>
        <v/>
      </c>
      <c r="I540" s="7" t="n"/>
      <c r="J540" s="9">
        <f>IF($I540&lt;&gt;"",$I540,SUMIFS(Assumptions!$P$4:$P$93,Assumptions!$M$4:$M$93,$C540,Assumptions!$N$4:$N$93,$E540,Assumptions!$O$4:$O$93,"LVN"))</f>
        <v/>
      </c>
      <c r="K540" s="7" t="n"/>
      <c r="L540" s="9">
        <f>IF($K540&lt;&gt;"",$K540,SUMIFS(Assumptions!$P$4:$P$93,Assumptions!$M$4:$M$93,$C540,Assumptions!$N$4:$N$93,$E540,Assumptions!$O$4:$O$93,"HVN"))</f>
        <v/>
      </c>
      <c r="M540" s="9">
        <f>J540+L540</f>
        <v/>
      </c>
      <c r="N540" s="10">
        <f>$F540*$H540*$M540</f>
        <v/>
      </c>
    </row>
    <row r="541">
      <c r="A541" s="4" t="inlineStr">
        <is>
          <t>UNIT</t>
        </is>
      </c>
      <c r="B541" s="5" t="inlineStr">
        <is>
          <t>VALERO_MERAUX</t>
        </is>
      </c>
      <c r="C541" s="5" t="n">
        <v>3</v>
      </c>
      <c r="D541" s="5" t="inlineStr">
        <is>
          <t>CCR</t>
        </is>
      </c>
      <c r="E541" s="5" t="inlineStr">
        <is>
          <t>REFORMER</t>
        </is>
      </c>
      <c r="F541" s="6" t="n">
        <v>32</v>
      </c>
      <c r="G541" s="7" t="n">
        <v>0.9389999999999999</v>
      </c>
      <c r="H541" s="8">
        <f>IF($G541&lt;&gt;"",$G541,SUMIFS(Assumptions!$K$4:$K$8,Assumptions!$J$4:$J$8,$C541))</f>
        <v/>
      </c>
      <c r="I541" s="7" t="n"/>
      <c r="J541" s="9">
        <f>IF($I541&lt;&gt;"",$I541,SUMIFS(Assumptions!$P$4:$P$93,Assumptions!$M$4:$M$93,$C541,Assumptions!$N$4:$N$93,$E541,Assumptions!$O$4:$O$93,"LVN"))</f>
        <v/>
      </c>
      <c r="K541" s="7" t="n"/>
      <c r="L541" s="9">
        <f>IF($K541&lt;&gt;"",$K541,SUMIFS(Assumptions!$P$4:$P$93,Assumptions!$M$4:$M$93,$C541,Assumptions!$N$4:$N$93,$E541,Assumptions!$O$4:$O$93,"HVN"))</f>
        <v/>
      </c>
      <c r="M541" s="9">
        <f>J541+L541</f>
        <v/>
      </c>
      <c r="N541" s="10">
        <f>$F541*$H541*$M541</f>
        <v/>
      </c>
    </row>
    <row r="542">
      <c r="A542" s="11" t="inlineStr">
        <is>
          <t>TOTAL</t>
        </is>
      </c>
      <c r="B542" s="12" t="inlineStr">
        <is>
          <t>VALERO_MERAUX</t>
        </is>
      </c>
      <c r="C542" s="12" t="n">
        <v>3</v>
      </c>
      <c r="D542" s="12" t="inlineStr">
        <is>
          <t>NET NAPHTHA</t>
        </is>
      </c>
      <c r="N542" s="13">
        <f>SUM(N538:N541)</f>
        <v/>
      </c>
    </row>
    <row r="544">
      <c r="A544" s="1" t="inlineStr">
        <is>
          <t xml:space="preserve">  Kinder Morgan Houston  [KINDER_HOUSTON]   —   Kinder Morgan   —   PADD 3   —   crude 121 kbd</t>
        </is>
      </c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</row>
    <row r="545">
      <c r="A545" s="4" t="inlineStr">
        <is>
          <t>UNIT</t>
        </is>
      </c>
      <c r="B545" s="5" t="inlineStr">
        <is>
          <t>KINDER_HOUSTON</t>
        </is>
      </c>
      <c r="C545" s="5" t="n">
        <v>3</v>
      </c>
      <c r="D545" s="5" t="inlineStr">
        <is>
          <t>CDU</t>
        </is>
      </c>
      <c r="E545" s="5" t="inlineStr">
        <is>
          <t>CDU</t>
        </is>
      </c>
      <c r="F545" s="6" t="n">
        <v>100</v>
      </c>
      <c r="G545" s="7" t="n"/>
      <c r="H545" s="8">
        <f>IF($G545&lt;&gt;"",$G545,SUMIFS(Assumptions!$K$4:$K$8,Assumptions!$J$4:$J$8,$C545))</f>
        <v/>
      </c>
      <c r="I545" s="7" t="n"/>
      <c r="J545" s="9">
        <f>IF($I545&lt;&gt;"",$I545,SUMIFS(Assumptions!$P$4:$P$93,Assumptions!$M$4:$M$93,$C545,Assumptions!$N$4:$N$93,$E545,Assumptions!$O$4:$O$93,"LVN"))</f>
        <v/>
      </c>
      <c r="K545" s="7" t="n"/>
      <c r="L545" s="9">
        <f>IF($K545&lt;&gt;"",$K545,SUMIFS(Assumptions!$P$4:$P$93,Assumptions!$M$4:$M$93,$C545,Assumptions!$N$4:$N$93,$E545,Assumptions!$O$4:$O$93,"HVN"))</f>
        <v/>
      </c>
      <c r="M545" s="9">
        <f>J545+L545</f>
        <v/>
      </c>
      <c r="N545" s="10">
        <f>$F545*$H545*$M545</f>
        <v/>
      </c>
    </row>
    <row r="546">
      <c r="A546" s="11" t="inlineStr">
        <is>
          <t>TOTAL</t>
        </is>
      </c>
      <c r="B546" s="12" t="inlineStr">
        <is>
          <t>KINDER_HOUSTON</t>
        </is>
      </c>
      <c r="C546" s="12" t="n">
        <v>3</v>
      </c>
      <c r="D546" s="12" t="inlineStr">
        <is>
          <t>NET NAPHTHA</t>
        </is>
      </c>
      <c r="N546" s="13">
        <f>SUM(N545:N545)</f>
        <v/>
      </c>
    </row>
    <row r="548">
      <c r="A548" s="1" t="inlineStr">
        <is>
          <t xml:space="preserve">  Calcasieu Refining Co. Lake Charles  [CALCASIEU_LAKE_CHARLES]   —   TransWorld Oil   —   PADD 3   —   crude 105 kbd</t>
        </is>
      </c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</row>
    <row r="549">
      <c r="A549" s="4" t="inlineStr">
        <is>
          <t>UNIT</t>
        </is>
      </c>
      <c r="B549" s="5" t="inlineStr">
        <is>
          <t>CALCASIEU_LAKE_CHARLES</t>
        </is>
      </c>
      <c r="C549" s="5" t="n">
        <v>3</v>
      </c>
      <c r="D549" s="5" t="inlineStr">
        <is>
          <t>CDU</t>
        </is>
      </c>
      <c r="E549" s="5" t="inlineStr">
        <is>
          <t>CDU</t>
        </is>
      </c>
      <c r="F549" s="6" t="n">
        <v>137</v>
      </c>
      <c r="G549" s="7" t="n"/>
      <c r="H549" s="8">
        <f>IF($G549&lt;&gt;"",$G549,SUMIFS(Assumptions!$K$4:$K$8,Assumptions!$J$4:$J$8,$C549))</f>
        <v/>
      </c>
      <c r="I549" s="7" t="n"/>
      <c r="J549" s="9">
        <f>IF($I549&lt;&gt;"",$I549,SUMIFS(Assumptions!$P$4:$P$93,Assumptions!$M$4:$M$93,$C549,Assumptions!$N$4:$N$93,$E549,Assumptions!$O$4:$O$93,"LVN"))</f>
        <v/>
      </c>
      <c r="K549" s="7" t="n"/>
      <c r="L549" s="9">
        <f>IF($K549&lt;&gt;"",$K549,SUMIFS(Assumptions!$P$4:$P$93,Assumptions!$M$4:$M$93,$C549,Assumptions!$N$4:$N$93,$E549,Assumptions!$O$4:$O$93,"HVN"))</f>
        <v/>
      </c>
      <c r="M549" s="9">
        <f>J549+L549</f>
        <v/>
      </c>
      <c r="N549" s="10">
        <f>$F549*$H549*$M549</f>
        <v/>
      </c>
    </row>
    <row r="550">
      <c r="A550" s="4" t="inlineStr">
        <is>
          <t>UNIT</t>
        </is>
      </c>
      <c r="B550" s="5" t="inlineStr">
        <is>
          <t>CALCASIEU_LAKE_CHARLES</t>
        </is>
      </c>
      <c r="C550" s="5" t="n">
        <v>3</v>
      </c>
      <c r="D550" s="5" t="inlineStr">
        <is>
          <t>VDU</t>
        </is>
      </c>
      <c r="E550" s="5" t="inlineStr">
        <is>
          <t>VDU</t>
        </is>
      </c>
      <c r="F550" s="6" t="n">
        <v>36</v>
      </c>
      <c r="G550" s="7" t="n"/>
      <c r="H550" s="8">
        <f>IF($G550&lt;&gt;"",$G550,SUMIFS(Assumptions!$K$4:$K$8,Assumptions!$J$4:$J$8,$C550))</f>
        <v/>
      </c>
      <c r="I550" s="7" t="n"/>
      <c r="J550" s="9">
        <f>IF($I550&lt;&gt;"",$I550,SUMIFS(Assumptions!$P$4:$P$93,Assumptions!$M$4:$M$93,$C550,Assumptions!$N$4:$N$93,$E550,Assumptions!$O$4:$O$93,"LVN"))</f>
        <v/>
      </c>
      <c r="K550" s="7" t="n"/>
      <c r="L550" s="9">
        <f>IF($K550&lt;&gt;"",$K550,SUMIFS(Assumptions!$P$4:$P$93,Assumptions!$M$4:$M$93,$C550,Assumptions!$N$4:$N$93,$E550,Assumptions!$O$4:$O$93,"HVN"))</f>
        <v/>
      </c>
      <c r="M550" s="9">
        <f>J550+L550</f>
        <v/>
      </c>
      <c r="N550" s="10">
        <f>$F550*$H550*$M550</f>
        <v/>
      </c>
    </row>
    <row r="551">
      <c r="A551" s="11" t="inlineStr">
        <is>
          <t>TOTAL</t>
        </is>
      </c>
      <c r="B551" s="12" t="inlineStr">
        <is>
          <t>CALCASIEU_LAKE_CHARLES</t>
        </is>
      </c>
      <c r="C551" s="12" t="n">
        <v>3</v>
      </c>
      <c r="D551" s="12" t="inlineStr">
        <is>
          <t>NET NAPHTHA</t>
        </is>
      </c>
      <c r="N551" s="13">
        <f>SUM(N549:N550)</f>
        <v/>
      </c>
    </row>
    <row r="553">
      <c r="A553" s="1" t="inlineStr">
        <is>
          <t xml:space="preserve">  HF Sinclair Artesia  [HF_ARTESIA]   —   HF Sinclair   —   PADD 3   —   crude 100 kbd</t>
        </is>
      </c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</row>
    <row r="554">
      <c r="A554" s="4" t="inlineStr">
        <is>
          <t>UNIT</t>
        </is>
      </c>
      <c r="B554" s="5" t="inlineStr">
        <is>
          <t>HF_ARTESIA</t>
        </is>
      </c>
      <c r="C554" s="5" t="n">
        <v>3</v>
      </c>
      <c r="D554" s="5" t="inlineStr">
        <is>
          <t>CDU</t>
        </is>
      </c>
      <c r="E554" s="5" t="inlineStr">
        <is>
          <t>CDU</t>
        </is>
      </c>
      <c r="F554" s="6" t="n">
        <v>124</v>
      </c>
      <c r="G554" s="7" t="n">
        <v>0.742</v>
      </c>
      <c r="H554" s="8">
        <f>IF($G554&lt;&gt;"",$G554,SUMIFS(Assumptions!$K$4:$K$8,Assumptions!$J$4:$J$8,$C554))</f>
        <v/>
      </c>
      <c r="I554" s="7" t="n"/>
      <c r="J554" s="9">
        <f>IF($I554&lt;&gt;"",$I554,SUMIFS(Assumptions!$P$4:$P$93,Assumptions!$M$4:$M$93,$C554,Assumptions!$N$4:$N$93,$E554,Assumptions!$O$4:$O$93,"LVN"))</f>
        <v/>
      </c>
      <c r="K554" s="7" t="n"/>
      <c r="L554" s="9">
        <f>IF($K554&lt;&gt;"",$K554,SUMIFS(Assumptions!$P$4:$P$93,Assumptions!$M$4:$M$93,$C554,Assumptions!$N$4:$N$93,$E554,Assumptions!$O$4:$O$93,"HVN"))</f>
        <v/>
      </c>
      <c r="M554" s="9">
        <f>J554+L554</f>
        <v/>
      </c>
      <c r="N554" s="10">
        <f>$F554*$H554*$M554</f>
        <v/>
      </c>
    </row>
    <row r="555">
      <c r="A555" s="4" t="inlineStr">
        <is>
          <t>UNIT</t>
        </is>
      </c>
      <c r="B555" s="5" t="inlineStr">
        <is>
          <t>HF_ARTESIA</t>
        </is>
      </c>
      <c r="C555" s="5" t="n">
        <v>3</v>
      </c>
      <c r="D555" s="5" t="inlineStr">
        <is>
          <t>VDU</t>
        </is>
      </c>
      <c r="E555" s="5" t="inlineStr">
        <is>
          <t>VDU</t>
        </is>
      </c>
      <c r="F555" s="6" t="n">
        <v>34.3</v>
      </c>
      <c r="G555" s="7" t="n">
        <v>0.921</v>
      </c>
      <c r="H555" s="8">
        <f>IF($G555&lt;&gt;"",$G555,SUMIFS(Assumptions!$K$4:$K$8,Assumptions!$J$4:$J$8,$C555))</f>
        <v/>
      </c>
      <c r="I555" s="7" t="n"/>
      <c r="J555" s="9">
        <f>IF($I555&lt;&gt;"",$I555,SUMIFS(Assumptions!$P$4:$P$93,Assumptions!$M$4:$M$93,$C555,Assumptions!$N$4:$N$93,$E555,Assumptions!$O$4:$O$93,"LVN"))</f>
        <v/>
      </c>
      <c r="K555" s="7" t="n"/>
      <c r="L555" s="9">
        <f>IF($K555&lt;&gt;"",$K555,SUMIFS(Assumptions!$P$4:$P$93,Assumptions!$M$4:$M$93,$C555,Assumptions!$N$4:$N$93,$E555,Assumptions!$O$4:$O$93,"HVN"))</f>
        <v/>
      </c>
      <c r="M555" s="9">
        <f>J555+L555</f>
        <v/>
      </c>
      <c r="N555" s="10">
        <f>$F555*$H555*$M555</f>
        <v/>
      </c>
    </row>
    <row r="556">
      <c r="A556" s="4" t="inlineStr">
        <is>
          <t>UNIT</t>
        </is>
      </c>
      <c r="B556" s="5" t="inlineStr">
        <is>
          <t>HF_ARTESIA</t>
        </is>
      </c>
      <c r="C556" s="5" t="n">
        <v>3</v>
      </c>
      <c r="D556" s="5" t="inlineStr">
        <is>
          <t>FCC</t>
        </is>
      </c>
      <c r="E556" s="5" t="inlineStr">
        <is>
          <t>FCC</t>
        </is>
      </c>
      <c r="F556" s="6" t="n">
        <v>30</v>
      </c>
      <c r="G556" s="7" t="n">
        <v>0.912</v>
      </c>
      <c r="H556" s="8">
        <f>IF($G556&lt;&gt;"",$G556,SUMIFS(Assumptions!$K$4:$K$8,Assumptions!$J$4:$J$8,$C556))</f>
        <v/>
      </c>
      <c r="I556" s="7" t="n"/>
      <c r="J556" s="9">
        <f>IF($I556&lt;&gt;"",$I556,SUMIFS(Assumptions!$P$4:$P$93,Assumptions!$M$4:$M$93,$C556,Assumptions!$N$4:$N$93,$E556,Assumptions!$O$4:$O$93,"LVN"))</f>
        <v/>
      </c>
      <c r="K556" s="7" t="n"/>
      <c r="L556" s="9">
        <f>IF($K556&lt;&gt;"",$K556,SUMIFS(Assumptions!$P$4:$P$93,Assumptions!$M$4:$M$93,$C556,Assumptions!$N$4:$N$93,$E556,Assumptions!$O$4:$O$93,"HVN"))</f>
        <v/>
      </c>
      <c r="M556" s="9">
        <f>J556+L556</f>
        <v/>
      </c>
      <c r="N556" s="10">
        <f>$F556*$H556*$M556</f>
        <v/>
      </c>
    </row>
    <row r="557">
      <c r="A557" s="4" t="inlineStr">
        <is>
          <t>UNIT</t>
        </is>
      </c>
      <c r="B557" s="5" t="inlineStr">
        <is>
          <t>HF_ARTESIA</t>
        </is>
      </c>
      <c r="C557" s="5" t="n">
        <v>3</v>
      </c>
      <c r="D557" s="5" t="inlineStr">
        <is>
          <t>DHCU</t>
        </is>
      </c>
      <c r="E557" s="5" t="inlineStr">
        <is>
          <t>HYDROCRACKER</t>
        </is>
      </c>
      <c r="F557" s="6" t="n">
        <v>18</v>
      </c>
      <c r="G557" s="7" t="n">
        <v>0.971</v>
      </c>
      <c r="H557" s="8">
        <f>IF($G557&lt;&gt;"",$G557,SUMIFS(Assumptions!$K$4:$K$8,Assumptions!$J$4:$J$8,$C557))</f>
        <v/>
      </c>
      <c r="I557" s="7" t="n"/>
      <c r="J557" s="9">
        <f>IF($I557&lt;&gt;"",$I557,SUMIFS(Assumptions!$P$4:$P$93,Assumptions!$M$4:$M$93,$C557,Assumptions!$N$4:$N$93,$E557,Assumptions!$O$4:$O$93,"LVN"))</f>
        <v/>
      </c>
      <c r="K557" s="7" t="n"/>
      <c r="L557" s="9">
        <f>IF($K557&lt;&gt;"",$K557,SUMIFS(Assumptions!$P$4:$P$93,Assumptions!$M$4:$M$93,$C557,Assumptions!$N$4:$N$93,$E557,Assumptions!$O$4:$O$93,"HVN"))</f>
        <v/>
      </c>
      <c r="M557" s="9">
        <f>J557+L557</f>
        <v/>
      </c>
      <c r="N557" s="10">
        <f>$F557*$H557*$M557</f>
        <v/>
      </c>
    </row>
    <row r="558">
      <c r="A558" s="4" t="inlineStr">
        <is>
          <t>UNIT</t>
        </is>
      </c>
      <c r="B558" s="5" t="inlineStr">
        <is>
          <t>HF_ARTESIA</t>
        </is>
      </c>
      <c r="C558" s="5" t="n">
        <v>3</v>
      </c>
      <c r="D558" s="5" t="inlineStr">
        <is>
          <t>CCR</t>
        </is>
      </c>
      <c r="E558" s="5" t="inlineStr">
        <is>
          <t>REFORMER</t>
        </is>
      </c>
      <c r="F558" s="6" t="n">
        <v>24</v>
      </c>
      <c r="G558" s="7" t="n">
        <v>0.979</v>
      </c>
      <c r="H558" s="8">
        <f>IF($G558&lt;&gt;"",$G558,SUMIFS(Assumptions!$K$4:$K$8,Assumptions!$J$4:$J$8,$C558))</f>
        <v/>
      </c>
      <c r="I558" s="7" t="n"/>
      <c r="J558" s="9">
        <f>IF($I558&lt;&gt;"",$I558,SUMIFS(Assumptions!$P$4:$P$93,Assumptions!$M$4:$M$93,$C558,Assumptions!$N$4:$N$93,$E558,Assumptions!$O$4:$O$93,"LVN"))</f>
        <v/>
      </c>
      <c r="K558" s="7" t="n"/>
      <c r="L558" s="9">
        <f>IF($K558&lt;&gt;"",$K558,SUMIFS(Assumptions!$P$4:$P$93,Assumptions!$M$4:$M$93,$C558,Assumptions!$N$4:$N$93,$E558,Assumptions!$O$4:$O$93,"HVN"))</f>
        <v/>
      </c>
      <c r="M558" s="9">
        <f>J558+L558</f>
        <v/>
      </c>
      <c r="N558" s="10">
        <f>$F558*$H558*$M558</f>
        <v/>
      </c>
    </row>
    <row r="559">
      <c r="A559" s="4" t="inlineStr">
        <is>
          <t>UNIT</t>
        </is>
      </c>
      <c r="B559" s="5" t="inlineStr">
        <is>
          <t>HF_ARTESIA</t>
        </is>
      </c>
      <c r="C559" s="5" t="n">
        <v>3</v>
      </c>
      <c r="D559" s="5" t="inlineStr">
        <is>
          <t>ISOM</t>
        </is>
      </c>
      <c r="E559" s="5" t="inlineStr">
        <is>
          <t>ISOM</t>
        </is>
      </c>
      <c r="F559" s="6" t="n">
        <v>9.539999999999999</v>
      </c>
      <c r="G559" s="7" t="n">
        <v>0.657</v>
      </c>
      <c r="H559" s="8">
        <f>IF($G559&lt;&gt;"",$G559,SUMIFS(Assumptions!$K$4:$K$8,Assumptions!$J$4:$J$8,$C559))</f>
        <v/>
      </c>
      <c r="I559" s="7" t="n"/>
      <c r="J559" s="9">
        <f>IF($I559&lt;&gt;"",$I559,SUMIFS(Assumptions!$P$4:$P$93,Assumptions!$M$4:$M$93,$C559,Assumptions!$N$4:$N$93,$E559,Assumptions!$O$4:$O$93,"LVN"))</f>
        <v/>
      </c>
      <c r="K559" s="7" t="n"/>
      <c r="L559" s="9">
        <f>IF($K559&lt;&gt;"",$K559,SUMIFS(Assumptions!$P$4:$P$93,Assumptions!$M$4:$M$93,$C559,Assumptions!$N$4:$N$93,$E559,Assumptions!$O$4:$O$93,"HVN"))</f>
        <v/>
      </c>
      <c r="M559" s="9">
        <f>J559+L559</f>
        <v/>
      </c>
      <c r="N559" s="10">
        <f>$F559*$H559*$M559</f>
        <v/>
      </c>
    </row>
    <row r="560">
      <c r="A560" s="4" t="inlineStr">
        <is>
          <t>UNIT</t>
        </is>
      </c>
      <c r="B560" s="5" t="inlineStr">
        <is>
          <t>HF_ARTESIA</t>
        </is>
      </c>
      <c r="C560" s="5" t="n">
        <v>3</v>
      </c>
      <c r="D560" s="5" t="inlineStr">
        <is>
          <t>ALKY</t>
        </is>
      </c>
      <c r="E560" s="5" t="inlineStr">
        <is>
          <t>ALKY</t>
        </is>
      </c>
      <c r="F560" s="6" t="n">
        <v>9.5</v>
      </c>
      <c r="G560" s="7" t="n">
        <v>0.762</v>
      </c>
      <c r="H560" s="8">
        <f>IF($G560&lt;&gt;"",$G560,SUMIFS(Assumptions!$K$4:$K$8,Assumptions!$J$4:$J$8,$C560))</f>
        <v/>
      </c>
      <c r="I560" s="7" t="n"/>
      <c r="J560" s="9">
        <f>IF($I560&lt;&gt;"",$I560,SUMIFS(Assumptions!$P$4:$P$93,Assumptions!$M$4:$M$93,$C560,Assumptions!$N$4:$N$93,$E560,Assumptions!$O$4:$O$93,"LVN"))</f>
        <v/>
      </c>
      <c r="K560" s="7" t="n"/>
      <c r="L560" s="9">
        <f>IF($K560&lt;&gt;"",$K560,SUMIFS(Assumptions!$P$4:$P$93,Assumptions!$M$4:$M$93,$C560,Assumptions!$N$4:$N$93,$E560,Assumptions!$O$4:$O$93,"HVN"))</f>
        <v/>
      </c>
      <c r="M560" s="9">
        <f>J560+L560</f>
        <v/>
      </c>
      <c r="N560" s="10">
        <f>$F560*$H560*$M560</f>
        <v/>
      </c>
    </row>
    <row r="561">
      <c r="A561" s="11" t="inlineStr">
        <is>
          <t>TOTAL</t>
        </is>
      </c>
      <c r="B561" s="12" t="inlineStr">
        <is>
          <t>HF_ARTESIA</t>
        </is>
      </c>
      <c r="C561" s="12" t="n">
        <v>3</v>
      </c>
      <c r="D561" s="12" t="inlineStr">
        <is>
          <t>NET NAPHTHA</t>
        </is>
      </c>
      <c r="N561" s="13">
        <f>SUM(N554:N560)</f>
        <v/>
      </c>
    </row>
    <row r="563">
      <c r="A563" s="1" t="inlineStr">
        <is>
          <t xml:space="preserve">  Valero Three Rivers  [VALERO_THREE_RIVERS]   —   Valero   —   PADD 3   —   crude 98 kbd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</row>
    <row r="564">
      <c r="A564" s="4" t="inlineStr">
        <is>
          <t>UNIT</t>
        </is>
      </c>
      <c r="B564" s="5" t="inlineStr">
        <is>
          <t>VALERO_THREE_RIVERS</t>
        </is>
      </c>
      <c r="C564" s="5" t="n">
        <v>3</v>
      </c>
      <c r="D564" s="5" t="inlineStr">
        <is>
          <t>CDU</t>
        </is>
      </c>
      <c r="E564" s="5" t="inlineStr">
        <is>
          <t>CDU</t>
        </is>
      </c>
      <c r="F564" s="6" t="n">
        <v>91</v>
      </c>
      <c r="G564" s="7" t="n">
        <v>0.954</v>
      </c>
      <c r="H564" s="8">
        <f>IF($G564&lt;&gt;"",$G564,SUMIFS(Assumptions!$K$4:$K$8,Assumptions!$J$4:$J$8,$C564))</f>
        <v/>
      </c>
      <c r="I564" s="7" t="n"/>
      <c r="J564" s="9">
        <f>IF($I564&lt;&gt;"",$I564,SUMIFS(Assumptions!$P$4:$P$93,Assumptions!$M$4:$M$93,$C564,Assumptions!$N$4:$N$93,$E564,Assumptions!$O$4:$O$93,"LVN"))</f>
        <v/>
      </c>
      <c r="K564" s="7" t="n"/>
      <c r="L564" s="9">
        <f>IF($K564&lt;&gt;"",$K564,SUMIFS(Assumptions!$P$4:$P$93,Assumptions!$M$4:$M$93,$C564,Assumptions!$N$4:$N$93,$E564,Assumptions!$O$4:$O$93,"HVN"))</f>
        <v/>
      </c>
      <c r="M564" s="9">
        <f>J564+L564</f>
        <v/>
      </c>
      <c r="N564" s="10">
        <f>$F564*$H564*$M564</f>
        <v/>
      </c>
    </row>
    <row r="565">
      <c r="A565" s="4" t="inlineStr">
        <is>
          <t>UNIT</t>
        </is>
      </c>
      <c r="B565" s="5" t="inlineStr">
        <is>
          <t>VALERO_THREE_RIVERS</t>
        </is>
      </c>
      <c r="C565" s="5" t="n">
        <v>3</v>
      </c>
      <c r="D565" s="5" t="inlineStr">
        <is>
          <t>VDU</t>
        </is>
      </c>
      <c r="E565" s="5" t="inlineStr">
        <is>
          <t>VDU</t>
        </is>
      </c>
      <c r="F565" s="6" t="n">
        <v>33.5</v>
      </c>
      <c r="G565" s="7" t="n">
        <v>0.8179999999999999</v>
      </c>
      <c r="H565" s="8">
        <f>IF($G565&lt;&gt;"",$G565,SUMIFS(Assumptions!$K$4:$K$8,Assumptions!$J$4:$J$8,$C565))</f>
        <v/>
      </c>
      <c r="I565" s="7" t="n"/>
      <c r="J565" s="9">
        <f>IF($I565&lt;&gt;"",$I565,SUMIFS(Assumptions!$P$4:$P$93,Assumptions!$M$4:$M$93,$C565,Assumptions!$N$4:$N$93,$E565,Assumptions!$O$4:$O$93,"LVN"))</f>
        <v/>
      </c>
      <c r="K565" s="7" t="n"/>
      <c r="L565" s="9">
        <f>IF($K565&lt;&gt;"",$K565,SUMIFS(Assumptions!$P$4:$P$93,Assumptions!$M$4:$M$93,$C565,Assumptions!$N$4:$N$93,$E565,Assumptions!$O$4:$O$93,"HVN"))</f>
        <v/>
      </c>
      <c r="M565" s="9">
        <f>J565+L565</f>
        <v/>
      </c>
      <c r="N565" s="10">
        <f>$F565*$H565*$M565</f>
        <v/>
      </c>
    </row>
    <row r="566">
      <c r="A566" s="4" t="inlineStr">
        <is>
          <t>UNIT</t>
        </is>
      </c>
      <c r="B566" s="5" t="inlineStr">
        <is>
          <t>VALERO_THREE_RIVERS</t>
        </is>
      </c>
      <c r="C566" s="5" t="n">
        <v>3</v>
      </c>
      <c r="D566" s="5" t="inlineStr">
        <is>
          <t>FCC</t>
        </is>
      </c>
      <c r="E566" s="5" t="inlineStr">
        <is>
          <t>FCC</t>
        </is>
      </c>
      <c r="F566" s="6" t="n">
        <v>23.84</v>
      </c>
      <c r="G566" s="7" t="n">
        <v>0.832</v>
      </c>
      <c r="H566" s="8">
        <f>IF($G566&lt;&gt;"",$G566,SUMIFS(Assumptions!$K$4:$K$8,Assumptions!$J$4:$J$8,$C566))</f>
        <v/>
      </c>
      <c r="I566" s="7" t="n"/>
      <c r="J566" s="9">
        <f>IF($I566&lt;&gt;"",$I566,SUMIFS(Assumptions!$P$4:$P$93,Assumptions!$M$4:$M$93,$C566,Assumptions!$N$4:$N$93,$E566,Assumptions!$O$4:$O$93,"LVN"))</f>
        <v/>
      </c>
      <c r="K566" s="7" t="n"/>
      <c r="L566" s="9">
        <f>IF($K566&lt;&gt;"",$K566,SUMIFS(Assumptions!$P$4:$P$93,Assumptions!$M$4:$M$93,$C566,Assumptions!$N$4:$N$93,$E566,Assumptions!$O$4:$O$93,"HVN"))</f>
        <v/>
      </c>
      <c r="M566" s="9">
        <f>J566+L566</f>
        <v/>
      </c>
      <c r="N566" s="10">
        <f>$F566*$H566*$M566</f>
        <v/>
      </c>
    </row>
    <row r="567">
      <c r="A567" s="4" t="inlineStr">
        <is>
          <t>UNIT</t>
        </is>
      </c>
      <c r="B567" s="5" t="inlineStr">
        <is>
          <t>VALERO_THREE_RIVERS</t>
        </is>
      </c>
      <c r="C567" s="5" t="n">
        <v>3</v>
      </c>
      <c r="D567" s="5" t="inlineStr">
        <is>
          <t>DHCU</t>
        </is>
      </c>
      <c r="E567" s="5" t="inlineStr">
        <is>
          <t>HYDROCRACKER</t>
        </is>
      </c>
      <c r="F567" s="6" t="n">
        <v>28</v>
      </c>
      <c r="G567" s="7" t="n">
        <v>0.293</v>
      </c>
      <c r="H567" s="8">
        <f>IF($G567&lt;&gt;"",$G567,SUMIFS(Assumptions!$K$4:$K$8,Assumptions!$J$4:$J$8,$C567))</f>
        <v/>
      </c>
      <c r="I567" s="7" t="n"/>
      <c r="J567" s="9">
        <f>IF($I567&lt;&gt;"",$I567,SUMIFS(Assumptions!$P$4:$P$93,Assumptions!$M$4:$M$93,$C567,Assumptions!$N$4:$N$93,$E567,Assumptions!$O$4:$O$93,"LVN"))</f>
        <v/>
      </c>
      <c r="K567" s="7" t="n"/>
      <c r="L567" s="9">
        <f>IF($K567&lt;&gt;"",$K567,SUMIFS(Assumptions!$P$4:$P$93,Assumptions!$M$4:$M$93,$C567,Assumptions!$N$4:$N$93,$E567,Assumptions!$O$4:$O$93,"HVN"))</f>
        <v/>
      </c>
      <c r="M567" s="9">
        <f>J567+L567</f>
        <v/>
      </c>
      <c r="N567" s="10">
        <f>$F567*$H567*$M567</f>
        <v/>
      </c>
    </row>
    <row r="568">
      <c r="A568" s="4" t="inlineStr">
        <is>
          <t>UNIT</t>
        </is>
      </c>
      <c r="B568" s="5" t="inlineStr">
        <is>
          <t>VALERO_THREE_RIVERS</t>
        </is>
      </c>
      <c r="C568" s="5" t="n">
        <v>3</v>
      </c>
      <c r="D568" s="5" t="inlineStr">
        <is>
          <t>CCR</t>
        </is>
      </c>
      <c r="E568" s="5" t="inlineStr">
        <is>
          <t>REFORMER</t>
        </is>
      </c>
      <c r="F568" s="6" t="n">
        <v>23.5</v>
      </c>
      <c r="G568" s="7" t="n">
        <v>0.901</v>
      </c>
      <c r="H568" s="8">
        <f>IF($G568&lt;&gt;"",$G568,SUMIFS(Assumptions!$K$4:$K$8,Assumptions!$J$4:$J$8,$C568))</f>
        <v/>
      </c>
      <c r="I568" s="7" t="n"/>
      <c r="J568" s="9">
        <f>IF($I568&lt;&gt;"",$I568,SUMIFS(Assumptions!$P$4:$P$93,Assumptions!$M$4:$M$93,$C568,Assumptions!$N$4:$N$93,$E568,Assumptions!$O$4:$O$93,"LVN"))</f>
        <v/>
      </c>
      <c r="K568" s="7" t="n"/>
      <c r="L568" s="9">
        <f>IF($K568&lt;&gt;"",$K568,SUMIFS(Assumptions!$P$4:$P$93,Assumptions!$M$4:$M$93,$C568,Assumptions!$N$4:$N$93,$E568,Assumptions!$O$4:$O$93,"HVN"))</f>
        <v/>
      </c>
      <c r="M568" s="9">
        <f>J568+L568</f>
        <v/>
      </c>
      <c r="N568" s="10">
        <f>$F568*$H568*$M568</f>
        <v/>
      </c>
    </row>
    <row r="569">
      <c r="A569" s="4" t="inlineStr">
        <is>
          <t>UNIT</t>
        </is>
      </c>
      <c r="B569" s="5" t="inlineStr">
        <is>
          <t>VALERO_THREE_RIVERS</t>
        </is>
      </c>
      <c r="C569" s="5" t="n">
        <v>3</v>
      </c>
      <c r="D569" s="5" t="inlineStr">
        <is>
          <t>REF</t>
        </is>
      </c>
      <c r="E569" s="5" t="inlineStr">
        <is>
          <t>REFORMER</t>
        </is>
      </c>
      <c r="F569" s="6" t="n">
        <v>10</v>
      </c>
      <c r="G569" s="7" t="n">
        <v>0.769</v>
      </c>
      <c r="H569" s="8">
        <f>IF($G569&lt;&gt;"",$G569,SUMIFS(Assumptions!$K$4:$K$8,Assumptions!$J$4:$J$8,$C569))</f>
        <v/>
      </c>
      <c r="I569" s="7" t="n"/>
      <c r="J569" s="9">
        <f>IF($I569&lt;&gt;"",$I569,SUMIFS(Assumptions!$P$4:$P$93,Assumptions!$M$4:$M$93,$C569,Assumptions!$N$4:$N$93,$E569,Assumptions!$O$4:$O$93,"LVN"))</f>
        <v/>
      </c>
      <c r="K569" s="7" t="n"/>
      <c r="L569" s="9">
        <f>IF($K569&lt;&gt;"",$K569,SUMIFS(Assumptions!$P$4:$P$93,Assumptions!$M$4:$M$93,$C569,Assumptions!$N$4:$N$93,$E569,Assumptions!$O$4:$O$93,"HVN"))</f>
        <v/>
      </c>
      <c r="M569" s="9">
        <f>J569+L569</f>
        <v/>
      </c>
      <c r="N569" s="10">
        <f>$F569*$H569*$M569</f>
        <v/>
      </c>
    </row>
    <row r="570">
      <c r="A570" s="4" t="inlineStr">
        <is>
          <t>UNIT</t>
        </is>
      </c>
      <c r="B570" s="5" t="inlineStr">
        <is>
          <t>VALERO_THREE_RIVERS</t>
        </is>
      </c>
      <c r="C570" s="5" t="n">
        <v>3</v>
      </c>
      <c r="D570" s="5" t="inlineStr">
        <is>
          <t>ALKY</t>
        </is>
      </c>
      <c r="E570" s="5" t="inlineStr">
        <is>
          <t>ALKY</t>
        </is>
      </c>
      <c r="F570" s="6" t="n">
        <v>7</v>
      </c>
      <c r="G570" s="7" t="n">
        <v>1.1</v>
      </c>
      <c r="H570" s="8">
        <f>IF($G570&lt;&gt;"",$G570,SUMIFS(Assumptions!$K$4:$K$8,Assumptions!$J$4:$J$8,$C570))</f>
        <v/>
      </c>
      <c r="I570" s="7" t="n"/>
      <c r="J570" s="9">
        <f>IF($I570&lt;&gt;"",$I570,SUMIFS(Assumptions!$P$4:$P$93,Assumptions!$M$4:$M$93,$C570,Assumptions!$N$4:$N$93,$E570,Assumptions!$O$4:$O$93,"LVN"))</f>
        <v/>
      </c>
      <c r="K570" s="7" t="n"/>
      <c r="L570" s="9">
        <f>IF($K570&lt;&gt;"",$K570,SUMIFS(Assumptions!$P$4:$P$93,Assumptions!$M$4:$M$93,$C570,Assumptions!$N$4:$N$93,$E570,Assumptions!$O$4:$O$93,"HVN"))</f>
        <v/>
      </c>
      <c r="M570" s="9">
        <f>J570+L570</f>
        <v/>
      </c>
      <c r="N570" s="10">
        <f>$F570*$H570*$M570</f>
        <v/>
      </c>
    </row>
    <row r="571">
      <c r="A571" s="11" t="inlineStr">
        <is>
          <t>TOTAL</t>
        </is>
      </c>
      <c r="B571" s="12" t="inlineStr">
        <is>
          <t>VALERO_THREE_RIVERS</t>
        </is>
      </c>
      <c r="C571" s="12" t="n">
        <v>3</v>
      </c>
      <c r="D571" s="12" t="inlineStr">
        <is>
          <t>NET NAPHTHA</t>
        </is>
      </c>
      <c r="N571" s="13">
        <f>SUM(N564:N570)</f>
        <v/>
      </c>
    </row>
    <row r="573">
      <c r="A573" s="1" t="inlineStr">
        <is>
          <t xml:space="preserve">  Vertex Energy Inc. Mobile  [VERTEX_MOBILE]   —   Vertex Energy Inc.   —   PADD 3   —   crude 91 kbd</t>
        </is>
      </c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</row>
    <row r="574">
      <c r="A574" s="4" t="inlineStr">
        <is>
          <t>UNIT</t>
        </is>
      </c>
      <c r="B574" s="5" t="inlineStr">
        <is>
          <t>VERTEX_MOBILE</t>
        </is>
      </c>
      <c r="C574" s="5" t="n">
        <v>3</v>
      </c>
      <c r="D574" s="5" t="inlineStr">
        <is>
          <t>CDU</t>
        </is>
      </c>
      <c r="E574" s="5" t="inlineStr">
        <is>
          <t>CDU</t>
        </is>
      </c>
      <c r="F574" s="6" t="n">
        <v>90.59999999999999</v>
      </c>
      <c r="G574" s="7" t="n">
        <v>0.672</v>
      </c>
      <c r="H574" s="8">
        <f>IF($G574&lt;&gt;"",$G574,SUMIFS(Assumptions!$K$4:$K$8,Assumptions!$J$4:$J$8,$C574))</f>
        <v/>
      </c>
      <c r="I574" s="7" t="n"/>
      <c r="J574" s="9">
        <f>IF($I574&lt;&gt;"",$I574,SUMIFS(Assumptions!$P$4:$P$93,Assumptions!$M$4:$M$93,$C574,Assumptions!$N$4:$N$93,$E574,Assumptions!$O$4:$O$93,"LVN"))</f>
        <v/>
      </c>
      <c r="K574" s="7" t="n"/>
      <c r="L574" s="9">
        <f>IF($K574&lt;&gt;"",$K574,SUMIFS(Assumptions!$P$4:$P$93,Assumptions!$M$4:$M$93,$C574,Assumptions!$N$4:$N$93,$E574,Assumptions!$O$4:$O$93,"HVN"))</f>
        <v/>
      </c>
      <c r="M574" s="9">
        <f>J574+L574</f>
        <v/>
      </c>
      <c r="N574" s="10">
        <f>$F574*$H574*$M574</f>
        <v/>
      </c>
    </row>
    <row r="575">
      <c r="A575" s="4" t="inlineStr">
        <is>
          <t>UNIT</t>
        </is>
      </c>
      <c r="B575" s="5" t="inlineStr">
        <is>
          <t>VERTEX_MOBILE</t>
        </is>
      </c>
      <c r="C575" s="5" t="n">
        <v>3</v>
      </c>
      <c r="D575" s="5" t="inlineStr">
        <is>
          <t>VDU</t>
        </is>
      </c>
      <c r="E575" s="5" t="inlineStr">
        <is>
          <t>VDU</t>
        </is>
      </c>
      <c r="F575" s="6" t="n">
        <v>29</v>
      </c>
      <c r="G575" s="7" t="n">
        <v>0.626</v>
      </c>
      <c r="H575" s="8">
        <f>IF($G575&lt;&gt;"",$G575,SUMIFS(Assumptions!$K$4:$K$8,Assumptions!$J$4:$J$8,$C575))</f>
        <v/>
      </c>
      <c r="I575" s="7" t="n"/>
      <c r="J575" s="9">
        <f>IF($I575&lt;&gt;"",$I575,SUMIFS(Assumptions!$P$4:$P$93,Assumptions!$M$4:$M$93,$C575,Assumptions!$N$4:$N$93,$E575,Assumptions!$O$4:$O$93,"LVN"))</f>
        <v/>
      </c>
      <c r="K575" s="7" t="n"/>
      <c r="L575" s="9">
        <f>IF($K575&lt;&gt;"",$K575,SUMIFS(Assumptions!$P$4:$P$93,Assumptions!$M$4:$M$93,$C575,Assumptions!$N$4:$N$93,$E575,Assumptions!$O$4:$O$93,"HVN"))</f>
        <v/>
      </c>
      <c r="M575" s="9">
        <f>J575+L575</f>
        <v/>
      </c>
      <c r="N575" s="10">
        <f>$F575*$H575*$M575</f>
        <v/>
      </c>
    </row>
    <row r="576">
      <c r="A576" s="4" t="inlineStr">
        <is>
          <t>UNIT</t>
        </is>
      </c>
      <c r="B576" s="5" t="inlineStr">
        <is>
          <t>VERTEX_MOBILE</t>
        </is>
      </c>
      <c r="C576" s="5" t="n">
        <v>3</v>
      </c>
      <c r="D576" s="5" t="inlineStr">
        <is>
          <t>REF</t>
        </is>
      </c>
      <c r="E576" s="5" t="inlineStr">
        <is>
          <t>REFORMER</t>
        </is>
      </c>
      <c r="F576" s="6" t="n">
        <v>22</v>
      </c>
      <c r="G576" s="7" t="n">
        <v>0.655</v>
      </c>
      <c r="H576" s="8">
        <f>IF($G576&lt;&gt;"",$G576,SUMIFS(Assumptions!$K$4:$K$8,Assumptions!$J$4:$J$8,$C576))</f>
        <v/>
      </c>
      <c r="I576" s="7" t="n"/>
      <c r="J576" s="9">
        <f>IF($I576&lt;&gt;"",$I576,SUMIFS(Assumptions!$P$4:$P$93,Assumptions!$M$4:$M$93,$C576,Assumptions!$N$4:$N$93,$E576,Assumptions!$O$4:$O$93,"LVN"))</f>
        <v/>
      </c>
      <c r="K576" s="7" t="n"/>
      <c r="L576" s="9">
        <f>IF($K576&lt;&gt;"",$K576,SUMIFS(Assumptions!$P$4:$P$93,Assumptions!$M$4:$M$93,$C576,Assumptions!$N$4:$N$93,$E576,Assumptions!$O$4:$O$93,"HVN"))</f>
        <v/>
      </c>
      <c r="M576" s="9">
        <f>J576+L576</f>
        <v/>
      </c>
      <c r="N576" s="10">
        <f>$F576*$H576*$M576</f>
        <v/>
      </c>
    </row>
    <row r="577">
      <c r="A577" s="4" t="inlineStr">
        <is>
          <t>UNIT</t>
        </is>
      </c>
      <c r="B577" s="5" t="inlineStr">
        <is>
          <t>VERTEX_MOBILE</t>
        </is>
      </c>
      <c r="C577" s="5" t="n">
        <v>3</v>
      </c>
      <c r="D577" s="5" t="inlineStr">
        <is>
          <t>ISOM</t>
        </is>
      </c>
      <c r="E577" s="5" t="inlineStr">
        <is>
          <t>ISOM</t>
        </is>
      </c>
      <c r="F577" s="6" t="n">
        <v>2</v>
      </c>
      <c r="G577" s="7" t="n">
        <v>0.95</v>
      </c>
      <c r="H577" s="8">
        <f>IF($G577&lt;&gt;"",$G577,SUMIFS(Assumptions!$K$4:$K$8,Assumptions!$J$4:$J$8,$C577))</f>
        <v/>
      </c>
      <c r="I577" s="7" t="n"/>
      <c r="J577" s="9">
        <f>IF($I577&lt;&gt;"",$I577,SUMIFS(Assumptions!$P$4:$P$93,Assumptions!$M$4:$M$93,$C577,Assumptions!$N$4:$N$93,$E577,Assumptions!$O$4:$O$93,"LVN"))</f>
        <v/>
      </c>
      <c r="K577" s="7" t="n"/>
      <c r="L577" s="9">
        <f>IF($K577&lt;&gt;"",$K577,SUMIFS(Assumptions!$P$4:$P$93,Assumptions!$M$4:$M$93,$C577,Assumptions!$N$4:$N$93,$E577,Assumptions!$O$4:$O$93,"HVN"))</f>
        <v/>
      </c>
      <c r="M577" s="9">
        <f>J577+L577</f>
        <v/>
      </c>
      <c r="N577" s="10">
        <f>$F577*$H577*$M577</f>
        <v/>
      </c>
    </row>
    <row r="578">
      <c r="A578" s="11" t="inlineStr">
        <is>
          <t>TOTAL</t>
        </is>
      </c>
      <c r="B578" s="12" t="inlineStr">
        <is>
          <t>VERTEX_MOBILE</t>
        </is>
      </c>
      <c r="C578" s="12" t="n">
        <v>3</v>
      </c>
      <c r="D578" s="12" t="inlineStr">
        <is>
          <t>NET NAPHTHA</t>
        </is>
      </c>
      <c r="N578" s="13">
        <f>SUM(N574:N577)</f>
        <v/>
      </c>
    </row>
    <row r="580">
      <c r="A580" s="1" t="inlineStr">
        <is>
          <t xml:space="preserve">  Delek Group El Dorado (AR)  [DELEK_EL_DORADO_AR]   —   Delek Group   —   PADD 3   —   crude 80 kbd</t>
        </is>
      </c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</row>
    <row r="581">
      <c r="A581" s="4" t="inlineStr">
        <is>
          <t>UNIT</t>
        </is>
      </c>
      <c r="B581" s="5" t="inlineStr">
        <is>
          <t>DELEK_EL_DORADO_AR</t>
        </is>
      </c>
      <c r="C581" s="5" t="n">
        <v>3</v>
      </c>
      <c r="D581" s="5" t="inlineStr">
        <is>
          <t>CDU</t>
        </is>
      </c>
      <c r="E581" s="5" t="inlineStr">
        <is>
          <t>CDU</t>
        </is>
      </c>
      <c r="F581" s="6" t="n">
        <v>85</v>
      </c>
      <c r="G581" s="7" t="n">
        <v>0.918</v>
      </c>
      <c r="H581" s="8">
        <f>IF($G581&lt;&gt;"",$G581,SUMIFS(Assumptions!$K$4:$K$8,Assumptions!$J$4:$J$8,$C581))</f>
        <v/>
      </c>
      <c r="I581" s="7" t="n"/>
      <c r="J581" s="9">
        <f>IF($I581&lt;&gt;"",$I581,SUMIFS(Assumptions!$P$4:$P$93,Assumptions!$M$4:$M$93,$C581,Assumptions!$N$4:$N$93,$E581,Assumptions!$O$4:$O$93,"LVN"))</f>
        <v/>
      </c>
      <c r="K581" s="7" t="n"/>
      <c r="L581" s="9">
        <f>IF($K581&lt;&gt;"",$K581,SUMIFS(Assumptions!$P$4:$P$93,Assumptions!$M$4:$M$93,$C581,Assumptions!$N$4:$N$93,$E581,Assumptions!$O$4:$O$93,"HVN"))</f>
        <v/>
      </c>
      <c r="M581" s="9">
        <f>J581+L581</f>
        <v/>
      </c>
      <c r="N581" s="10">
        <f>$F581*$H581*$M581</f>
        <v/>
      </c>
    </row>
    <row r="582">
      <c r="A582" s="4" t="inlineStr">
        <is>
          <t>UNIT</t>
        </is>
      </c>
      <c r="B582" s="5" t="inlineStr">
        <is>
          <t>DELEK_EL_DORADO_AR</t>
        </is>
      </c>
      <c r="C582" s="5" t="n">
        <v>3</v>
      </c>
      <c r="D582" s="5" t="inlineStr">
        <is>
          <t>VDU</t>
        </is>
      </c>
      <c r="E582" s="5" t="inlineStr">
        <is>
          <t>VDU</t>
        </is>
      </c>
      <c r="F582" s="6" t="n">
        <v>45</v>
      </c>
      <c r="G582" s="7" t="n">
        <v>0.571</v>
      </c>
      <c r="H582" s="8">
        <f>IF($G582&lt;&gt;"",$G582,SUMIFS(Assumptions!$K$4:$K$8,Assumptions!$J$4:$J$8,$C582))</f>
        <v/>
      </c>
      <c r="I582" s="7" t="n"/>
      <c r="J582" s="9">
        <f>IF($I582&lt;&gt;"",$I582,SUMIFS(Assumptions!$P$4:$P$93,Assumptions!$M$4:$M$93,$C582,Assumptions!$N$4:$N$93,$E582,Assumptions!$O$4:$O$93,"LVN"))</f>
        <v/>
      </c>
      <c r="K582" s="7" t="n"/>
      <c r="L582" s="9">
        <f>IF($K582&lt;&gt;"",$K582,SUMIFS(Assumptions!$P$4:$P$93,Assumptions!$M$4:$M$93,$C582,Assumptions!$N$4:$N$93,$E582,Assumptions!$O$4:$O$93,"HVN"))</f>
        <v/>
      </c>
      <c r="M582" s="9">
        <f>J582+L582</f>
        <v/>
      </c>
      <c r="N582" s="10">
        <f>$F582*$H582*$M582</f>
        <v/>
      </c>
    </row>
    <row r="583">
      <c r="A583" s="4" t="inlineStr">
        <is>
          <t>UNIT</t>
        </is>
      </c>
      <c r="B583" s="5" t="inlineStr">
        <is>
          <t>DELEK_EL_DORADO_AR</t>
        </is>
      </c>
      <c r="C583" s="5" t="n">
        <v>3</v>
      </c>
      <c r="D583" s="5" t="inlineStr">
        <is>
          <t>FCC</t>
        </is>
      </c>
      <c r="E583" s="5" t="inlineStr">
        <is>
          <t>FCC</t>
        </is>
      </c>
      <c r="F583" s="6" t="n">
        <v>21</v>
      </c>
      <c r="G583" s="7" t="n">
        <v>0.794</v>
      </c>
      <c r="H583" s="8">
        <f>IF($G583&lt;&gt;"",$G583,SUMIFS(Assumptions!$K$4:$K$8,Assumptions!$J$4:$J$8,$C583))</f>
        <v/>
      </c>
      <c r="I583" s="7" t="n"/>
      <c r="J583" s="9">
        <f>IF($I583&lt;&gt;"",$I583,SUMIFS(Assumptions!$P$4:$P$93,Assumptions!$M$4:$M$93,$C583,Assumptions!$N$4:$N$93,$E583,Assumptions!$O$4:$O$93,"LVN"))</f>
        <v/>
      </c>
      <c r="K583" s="7" t="n"/>
      <c r="L583" s="9">
        <f>IF($K583&lt;&gt;"",$K583,SUMIFS(Assumptions!$P$4:$P$93,Assumptions!$M$4:$M$93,$C583,Assumptions!$N$4:$N$93,$E583,Assumptions!$O$4:$O$93,"HVN"))</f>
        <v/>
      </c>
      <c r="M583" s="9">
        <f>J583+L583</f>
        <v/>
      </c>
      <c r="N583" s="10">
        <f>$F583*$H583*$M583</f>
        <v/>
      </c>
    </row>
    <row r="584">
      <c r="A584" s="4" t="inlineStr">
        <is>
          <t>UNIT</t>
        </is>
      </c>
      <c r="B584" s="5" t="inlineStr">
        <is>
          <t>DELEK_EL_DORADO_AR</t>
        </is>
      </c>
      <c r="C584" s="5" t="n">
        <v>3</v>
      </c>
      <c r="D584" s="5" t="inlineStr">
        <is>
          <t>CCR</t>
        </is>
      </c>
      <c r="E584" s="5" t="inlineStr">
        <is>
          <t>REFORMER</t>
        </is>
      </c>
      <c r="F584" s="6" t="n">
        <v>15.3</v>
      </c>
      <c r="G584" s="7" t="n">
        <v>0.98</v>
      </c>
      <c r="H584" s="8">
        <f>IF($G584&lt;&gt;"",$G584,SUMIFS(Assumptions!$K$4:$K$8,Assumptions!$J$4:$J$8,$C584))</f>
        <v/>
      </c>
      <c r="I584" s="7" t="n"/>
      <c r="J584" s="9">
        <f>IF($I584&lt;&gt;"",$I584,SUMIFS(Assumptions!$P$4:$P$93,Assumptions!$M$4:$M$93,$C584,Assumptions!$N$4:$N$93,$E584,Assumptions!$O$4:$O$93,"LVN"))</f>
        <v/>
      </c>
      <c r="K584" s="7" t="n"/>
      <c r="L584" s="9">
        <f>IF($K584&lt;&gt;"",$K584,SUMIFS(Assumptions!$P$4:$P$93,Assumptions!$M$4:$M$93,$C584,Assumptions!$N$4:$N$93,$E584,Assumptions!$O$4:$O$93,"HVN"))</f>
        <v/>
      </c>
      <c r="M584" s="9">
        <f>J584+L584</f>
        <v/>
      </c>
      <c r="N584" s="10">
        <f>$F584*$H584*$M584</f>
        <v/>
      </c>
    </row>
    <row r="585">
      <c r="A585" s="4" t="inlineStr">
        <is>
          <t>UNIT</t>
        </is>
      </c>
      <c r="B585" s="5" t="inlineStr">
        <is>
          <t>DELEK_EL_DORADO_AR</t>
        </is>
      </c>
      <c r="C585" s="5" t="n">
        <v>3</v>
      </c>
      <c r="D585" s="5" t="inlineStr">
        <is>
          <t>ISOM</t>
        </is>
      </c>
      <c r="E585" s="5" t="inlineStr">
        <is>
          <t>ISOM</t>
        </is>
      </c>
      <c r="F585" s="6" t="n">
        <v>7.5</v>
      </c>
      <c r="G585" s="7" t="n">
        <v>0.868</v>
      </c>
      <c r="H585" s="8">
        <f>IF($G585&lt;&gt;"",$G585,SUMIFS(Assumptions!$K$4:$K$8,Assumptions!$J$4:$J$8,$C585))</f>
        <v/>
      </c>
      <c r="I585" s="7" t="n"/>
      <c r="J585" s="9">
        <f>IF($I585&lt;&gt;"",$I585,SUMIFS(Assumptions!$P$4:$P$93,Assumptions!$M$4:$M$93,$C585,Assumptions!$N$4:$N$93,$E585,Assumptions!$O$4:$O$93,"LVN"))</f>
        <v/>
      </c>
      <c r="K585" s="7" t="n"/>
      <c r="L585" s="9">
        <f>IF($K585&lt;&gt;"",$K585,SUMIFS(Assumptions!$P$4:$P$93,Assumptions!$M$4:$M$93,$C585,Assumptions!$N$4:$N$93,$E585,Assumptions!$O$4:$O$93,"HVN"))</f>
        <v/>
      </c>
      <c r="M585" s="9">
        <f>J585+L585</f>
        <v/>
      </c>
      <c r="N585" s="10">
        <f>$F585*$H585*$M585</f>
        <v/>
      </c>
    </row>
    <row r="586">
      <c r="A586" s="4" t="inlineStr">
        <is>
          <t>UNIT</t>
        </is>
      </c>
      <c r="B586" s="5" t="inlineStr">
        <is>
          <t>DELEK_EL_DORADO_AR</t>
        </is>
      </c>
      <c r="C586" s="5" t="n">
        <v>3</v>
      </c>
      <c r="D586" s="5" t="inlineStr">
        <is>
          <t>ALKY</t>
        </is>
      </c>
      <c r="E586" s="5" t="inlineStr">
        <is>
          <t>ALKY</t>
        </is>
      </c>
      <c r="F586" s="6" t="n">
        <v>5</v>
      </c>
      <c r="G586" s="7" t="n">
        <v>0.521</v>
      </c>
      <c r="H586" s="8">
        <f>IF($G586&lt;&gt;"",$G586,SUMIFS(Assumptions!$K$4:$K$8,Assumptions!$J$4:$J$8,$C586))</f>
        <v/>
      </c>
      <c r="I586" s="7" t="n"/>
      <c r="J586" s="9">
        <f>IF($I586&lt;&gt;"",$I586,SUMIFS(Assumptions!$P$4:$P$93,Assumptions!$M$4:$M$93,$C586,Assumptions!$N$4:$N$93,$E586,Assumptions!$O$4:$O$93,"LVN"))</f>
        <v/>
      </c>
      <c r="K586" s="7" t="n"/>
      <c r="L586" s="9">
        <f>IF($K586&lt;&gt;"",$K586,SUMIFS(Assumptions!$P$4:$P$93,Assumptions!$M$4:$M$93,$C586,Assumptions!$N$4:$N$93,$E586,Assumptions!$O$4:$O$93,"HVN"))</f>
        <v/>
      </c>
      <c r="M586" s="9">
        <f>J586+L586</f>
        <v/>
      </c>
      <c r="N586" s="10">
        <f>$F586*$H586*$M586</f>
        <v/>
      </c>
    </row>
    <row r="587">
      <c r="A587" s="11" t="inlineStr">
        <is>
          <t>TOTAL</t>
        </is>
      </c>
      <c r="B587" s="12" t="inlineStr">
        <is>
          <t>DELEK_EL_DORADO_AR</t>
        </is>
      </c>
      <c r="C587" s="12" t="n">
        <v>3</v>
      </c>
      <c r="D587" s="12" t="inlineStr">
        <is>
          <t>NET NAPHTHA</t>
        </is>
      </c>
      <c r="N587" s="13">
        <f>SUM(N581:N586)</f>
        <v/>
      </c>
    </row>
    <row r="589">
      <c r="A589" s="1" t="inlineStr">
        <is>
          <t xml:space="preserve">  BASF FINA Petrochemicals Port Arthur  [BASF_PORT_ARTHUR]   —   BASF (60%) / Total (40%)   —   PADD 3   —   crude 75 kbd</t>
        </is>
      </c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</row>
    <row r="590">
      <c r="A590" s="4" t="inlineStr">
        <is>
          <t>UNIT</t>
        </is>
      </c>
      <c r="B590" s="5" t="inlineStr">
        <is>
          <t>BASF_PORT_ARTHUR</t>
        </is>
      </c>
      <c r="C590" s="5" t="n">
        <v>3</v>
      </c>
      <c r="D590" s="5" t="inlineStr">
        <is>
          <t>CRUDE-EST</t>
        </is>
      </c>
      <c r="E590" s="5" t="inlineStr">
        <is>
          <t>est. yield</t>
        </is>
      </c>
      <c r="F590" s="14">
        <f>SUMIFS(Data!$G$3:$G$125,Data!$A$3:$A$125,$B590)</f>
        <v/>
      </c>
      <c r="G590" s="7" t="n"/>
      <c r="H590" s="8">
        <f>IF($G590&lt;&gt;"",$G590,SUMIFS(Assumptions!$K$4:$K$8,Assumptions!$J$4:$J$8,$C590))</f>
        <v/>
      </c>
      <c r="I590" s="7" t="n"/>
      <c r="J590" s="9">
        <f>IF($I590&lt;&gt;"",$I590,SUMIFS(Data!$N$3:$N$125,Data!$A$3:$A$125,$B590)*Assumptions!$S$4)</f>
        <v/>
      </c>
      <c r="K590" s="7" t="n"/>
      <c r="L590" s="9">
        <f>IF($K590&lt;&gt;"",$K590,SUMIFS(Data!$N$3:$N$125,Data!$A$3:$A$125,$B590)*Assumptions!$S$5)</f>
        <v/>
      </c>
      <c r="M590" s="9">
        <f>J590+L590</f>
        <v/>
      </c>
      <c r="N590" s="10">
        <f>$F590*$H590*$M590</f>
        <v/>
      </c>
    </row>
    <row r="591">
      <c r="A591" s="11" t="inlineStr">
        <is>
          <t>TOTAL</t>
        </is>
      </c>
      <c r="B591" s="12" t="inlineStr">
        <is>
          <t>BASF_PORT_ARTHUR</t>
        </is>
      </c>
      <c r="C591" s="12" t="n">
        <v>3</v>
      </c>
      <c r="D591" s="12" t="inlineStr">
        <is>
          <t>NET NAPHTHA</t>
        </is>
      </c>
      <c r="N591" s="13">
        <f>SUM(N590:N590)</f>
        <v/>
      </c>
    </row>
    <row r="593">
      <c r="A593" s="1" t="inlineStr">
        <is>
          <t xml:space="preserve">  Delek Refining Ltd. Tyler  [DELEK_TYLER]   —   Delek Group   —   PADD 3   —   crude 75 kbd</t>
        </is>
      </c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</row>
    <row r="594">
      <c r="A594" s="4" t="inlineStr">
        <is>
          <t>UNIT</t>
        </is>
      </c>
      <c r="B594" s="5" t="inlineStr">
        <is>
          <t>DELEK_TYLER</t>
        </is>
      </c>
      <c r="C594" s="5" t="n">
        <v>3</v>
      </c>
      <c r="D594" s="5" t="inlineStr">
        <is>
          <t>CDU</t>
        </is>
      </c>
      <c r="E594" s="5" t="inlineStr">
        <is>
          <t>CDU</t>
        </is>
      </c>
      <c r="F594" s="6" t="n">
        <v>76</v>
      </c>
      <c r="G594" s="7" t="n">
        <v>0.951</v>
      </c>
      <c r="H594" s="8">
        <f>IF($G594&lt;&gt;"",$G594,SUMIFS(Assumptions!$K$4:$K$8,Assumptions!$J$4:$J$8,$C594))</f>
        <v/>
      </c>
      <c r="I594" s="7" t="n"/>
      <c r="J594" s="9">
        <f>IF($I594&lt;&gt;"",$I594,SUMIFS(Assumptions!$P$4:$P$93,Assumptions!$M$4:$M$93,$C594,Assumptions!$N$4:$N$93,$E594,Assumptions!$O$4:$O$93,"LVN"))</f>
        <v/>
      </c>
      <c r="K594" s="7" t="n"/>
      <c r="L594" s="9">
        <f>IF($K594&lt;&gt;"",$K594,SUMIFS(Assumptions!$P$4:$P$93,Assumptions!$M$4:$M$93,$C594,Assumptions!$N$4:$N$93,$E594,Assumptions!$O$4:$O$93,"HVN"))</f>
        <v/>
      </c>
      <c r="M594" s="9">
        <f>J594+L594</f>
        <v/>
      </c>
      <c r="N594" s="10">
        <f>$F594*$H594*$M594</f>
        <v/>
      </c>
    </row>
    <row r="595">
      <c r="A595" s="4" t="inlineStr">
        <is>
          <t>UNIT</t>
        </is>
      </c>
      <c r="B595" s="5" t="inlineStr">
        <is>
          <t>DELEK_TYLER</t>
        </is>
      </c>
      <c r="C595" s="5" t="n">
        <v>3</v>
      </c>
      <c r="D595" s="5" t="inlineStr">
        <is>
          <t>VDU</t>
        </is>
      </c>
      <c r="E595" s="5" t="inlineStr">
        <is>
          <t>VDU</t>
        </is>
      </c>
      <c r="F595" s="6" t="n">
        <v>28</v>
      </c>
      <c r="G595" s="7" t="n">
        <v>0.746</v>
      </c>
      <c r="H595" s="8">
        <f>IF($G595&lt;&gt;"",$G595,SUMIFS(Assumptions!$K$4:$K$8,Assumptions!$J$4:$J$8,$C595))</f>
        <v/>
      </c>
      <c r="I595" s="7" t="n"/>
      <c r="J595" s="9">
        <f>IF($I595&lt;&gt;"",$I595,SUMIFS(Assumptions!$P$4:$P$93,Assumptions!$M$4:$M$93,$C595,Assumptions!$N$4:$N$93,$E595,Assumptions!$O$4:$O$93,"LVN"))</f>
        <v/>
      </c>
      <c r="K595" s="7" t="n"/>
      <c r="L595" s="9">
        <f>IF($K595&lt;&gt;"",$K595,SUMIFS(Assumptions!$P$4:$P$93,Assumptions!$M$4:$M$93,$C595,Assumptions!$N$4:$N$93,$E595,Assumptions!$O$4:$O$93,"HVN"))</f>
        <v/>
      </c>
      <c r="M595" s="9">
        <f>J595+L595</f>
        <v/>
      </c>
      <c r="N595" s="10">
        <f>$F595*$H595*$M595</f>
        <v/>
      </c>
    </row>
    <row r="596">
      <c r="A596" s="4" t="inlineStr">
        <is>
          <t>UNIT</t>
        </is>
      </c>
      <c r="B596" s="5" t="inlineStr">
        <is>
          <t>DELEK_TYLER</t>
        </is>
      </c>
      <c r="C596" s="5" t="n">
        <v>3</v>
      </c>
      <c r="D596" s="5" t="inlineStr">
        <is>
          <t>FCC</t>
        </is>
      </c>
      <c r="E596" s="5" t="inlineStr">
        <is>
          <t>FCC</t>
        </is>
      </c>
      <c r="F596" s="6" t="n">
        <v>20.25</v>
      </c>
      <c r="G596" s="7" t="n">
        <v>0.819</v>
      </c>
      <c r="H596" s="8">
        <f>IF($G596&lt;&gt;"",$G596,SUMIFS(Assumptions!$K$4:$K$8,Assumptions!$J$4:$J$8,$C596))</f>
        <v/>
      </c>
      <c r="I596" s="7" t="n"/>
      <c r="J596" s="9">
        <f>IF($I596&lt;&gt;"",$I596,SUMIFS(Assumptions!$P$4:$P$93,Assumptions!$M$4:$M$93,$C596,Assumptions!$N$4:$N$93,$E596,Assumptions!$O$4:$O$93,"LVN"))</f>
        <v/>
      </c>
      <c r="K596" s="7" t="n"/>
      <c r="L596" s="9">
        <f>IF($K596&lt;&gt;"",$K596,SUMIFS(Assumptions!$P$4:$P$93,Assumptions!$M$4:$M$93,$C596,Assumptions!$N$4:$N$93,$E596,Assumptions!$O$4:$O$93,"HVN"))</f>
        <v/>
      </c>
      <c r="M596" s="9">
        <f>J596+L596</f>
        <v/>
      </c>
      <c r="N596" s="10">
        <f>$F596*$H596*$M596</f>
        <v/>
      </c>
    </row>
    <row r="597">
      <c r="A597" s="4" t="inlineStr">
        <is>
          <t>UNIT</t>
        </is>
      </c>
      <c r="B597" s="5" t="inlineStr">
        <is>
          <t>DELEK_TYLER</t>
        </is>
      </c>
      <c r="C597" s="5" t="n">
        <v>3</v>
      </c>
      <c r="D597" s="5" t="inlineStr">
        <is>
          <t>COKER</t>
        </is>
      </c>
      <c r="E597" s="5" t="inlineStr">
        <is>
          <t>COKER</t>
        </is>
      </c>
      <c r="F597" s="6" t="n">
        <v>7.5</v>
      </c>
      <c r="G597" s="7" t="n">
        <v>0.974</v>
      </c>
      <c r="H597" s="8">
        <f>IF($G597&lt;&gt;"",$G597,SUMIFS(Assumptions!$K$4:$K$8,Assumptions!$J$4:$J$8,$C597))</f>
        <v/>
      </c>
      <c r="I597" s="7" t="n"/>
      <c r="J597" s="9">
        <f>IF($I597&lt;&gt;"",$I597,SUMIFS(Assumptions!$P$4:$P$93,Assumptions!$M$4:$M$93,$C597,Assumptions!$N$4:$N$93,$E597,Assumptions!$O$4:$O$93,"LVN"))</f>
        <v/>
      </c>
      <c r="K597" s="7" t="n"/>
      <c r="L597" s="9">
        <f>IF($K597&lt;&gt;"",$K597,SUMIFS(Assumptions!$P$4:$P$93,Assumptions!$M$4:$M$93,$C597,Assumptions!$N$4:$N$93,$E597,Assumptions!$O$4:$O$93,"HVN"))</f>
        <v/>
      </c>
      <c r="M597" s="9">
        <f>J597+L597</f>
        <v/>
      </c>
      <c r="N597" s="10">
        <f>$F597*$H597*$M597</f>
        <v/>
      </c>
    </row>
    <row r="598">
      <c r="A598" s="4" t="inlineStr">
        <is>
          <t>UNIT</t>
        </is>
      </c>
      <c r="B598" s="5" t="inlineStr">
        <is>
          <t>DELEK_TYLER</t>
        </is>
      </c>
      <c r="C598" s="5" t="n">
        <v>3</v>
      </c>
      <c r="D598" s="5" t="inlineStr">
        <is>
          <t>CCR</t>
        </is>
      </c>
      <c r="E598" s="5" t="inlineStr">
        <is>
          <t>REFORMER</t>
        </is>
      </c>
      <c r="F598" s="6" t="n">
        <v>13</v>
      </c>
      <c r="G598" s="7" t="n">
        <v>0.962</v>
      </c>
      <c r="H598" s="8">
        <f>IF($G598&lt;&gt;"",$G598,SUMIFS(Assumptions!$K$4:$K$8,Assumptions!$J$4:$J$8,$C598))</f>
        <v/>
      </c>
      <c r="I598" s="7" t="n"/>
      <c r="J598" s="9">
        <f>IF($I598&lt;&gt;"",$I598,SUMIFS(Assumptions!$P$4:$P$93,Assumptions!$M$4:$M$93,$C598,Assumptions!$N$4:$N$93,$E598,Assumptions!$O$4:$O$93,"LVN"))</f>
        <v/>
      </c>
      <c r="K598" s="7" t="n"/>
      <c r="L598" s="9">
        <f>IF($K598&lt;&gt;"",$K598,SUMIFS(Assumptions!$P$4:$P$93,Assumptions!$M$4:$M$93,$C598,Assumptions!$N$4:$N$93,$E598,Assumptions!$O$4:$O$93,"HVN"))</f>
        <v/>
      </c>
      <c r="M598" s="9">
        <f>J598+L598</f>
        <v/>
      </c>
      <c r="N598" s="10">
        <f>$F598*$H598*$M598</f>
        <v/>
      </c>
    </row>
    <row r="599">
      <c r="A599" s="4" t="inlineStr">
        <is>
          <t>UNIT</t>
        </is>
      </c>
      <c r="B599" s="5" t="inlineStr">
        <is>
          <t>DELEK_TYLER</t>
        </is>
      </c>
      <c r="C599" s="5" t="n">
        <v>3</v>
      </c>
      <c r="D599" s="5" t="inlineStr">
        <is>
          <t>REF</t>
        </is>
      </c>
      <c r="E599" s="5" t="inlineStr">
        <is>
          <t>REFORMER</t>
        </is>
      </c>
      <c r="F599" s="6" t="n">
        <v>4.5</v>
      </c>
      <c r="G599" s="7" t="n">
        <v>0.889</v>
      </c>
      <c r="H599" s="8">
        <f>IF($G599&lt;&gt;"",$G599,SUMIFS(Assumptions!$K$4:$K$8,Assumptions!$J$4:$J$8,$C599))</f>
        <v/>
      </c>
      <c r="I599" s="7" t="n"/>
      <c r="J599" s="9">
        <f>IF($I599&lt;&gt;"",$I599,SUMIFS(Assumptions!$P$4:$P$93,Assumptions!$M$4:$M$93,$C599,Assumptions!$N$4:$N$93,$E599,Assumptions!$O$4:$O$93,"LVN"))</f>
        <v/>
      </c>
      <c r="K599" s="7" t="n"/>
      <c r="L599" s="9">
        <f>IF($K599&lt;&gt;"",$K599,SUMIFS(Assumptions!$P$4:$P$93,Assumptions!$M$4:$M$93,$C599,Assumptions!$N$4:$N$93,$E599,Assumptions!$O$4:$O$93,"HVN"))</f>
        <v/>
      </c>
      <c r="M599" s="9">
        <f>J599+L599</f>
        <v/>
      </c>
      <c r="N599" s="10">
        <f>$F599*$H599*$M599</f>
        <v/>
      </c>
    </row>
    <row r="600">
      <c r="A600" s="4" t="inlineStr">
        <is>
          <t>UNIT</t>
        </is>
      </c>
      <c r="B600" s="5" t="inlineStr">
        <is>
          <t>DELEK_TYLER</t>
        </is>
      </c>
      <c r="C600" s="5" t="n">
        <v>3</v>
      </c>
      <c r="D600" s="5" t="inlineStr">
        <is>
          <t>ISOM</t>
        </is>
      </c>
      <c r="E600" s="5" t="inlineStr">
        <is>
          <t>ISOM</t>
        </is>
      </c>
      <c r="F600" s="6" t="n">
        <v>5</v>
      </c>
      <c r="G600" s="7" t="n">
        <v>0.6</v>
      </c>
      <c r="H600" s="8">
        <f>IF($G600&lt;&gt;"",$G600,SUMIFS(Assumptions!$K$4:$K$8,Assumptions!$J$4:$J$8,$C600))</f>
        <v/>
      </c>
      <c r="I600" s="7" t="n"/>
      <c r="J600" s="9">
        <f>IF($I600&lt;&gt;"",$I600,SUMIFS(Assumptions!$P$4:$P$93,Assumptions!$M$4:$M$93,$C600,Assumptions!$N$4:$N$93,$E600,Assumptions!$O$4:$O$93,"LVN"))</f>
        <v/>
      </c>
      <c r="K600" s="7" t="n"/>
      <c r="L600" s="9">
        <f>IF($K600&lt;&gt;"",$K600,SUMIFS(Assumptions!$P$4:$P$93,Assumptions!$M$4:$M$93,$C600,Assumptions!$N$4:$N$93,$E600,Assumptions!$O$4:$O$93,"HVN"))</f>
        <v/>
      </c>
      <c r="M600" s="9">
        <f>J600+L600</f>
        <v/>
      </c>
      <c r="N600" s="10">
        <f>$F600*$H600*$M600</f>
        <v/>
      </c>
    </row>
    <row r="601">
      <c r="A601" s="4" t="inlineStr">
        <is>
          <t>UNIT</t>
        </is>
      </c>
      <c r="B601" s="5" t="inlineStr">
        <is>
          <t>DELEK_TYLER</t>
        </is>
      </c>
      <c r="C601" s="5" t="n">
        <v>3</v>
      </c>
      <c r="D601" s="5" t="inlineStr">
        <is>
          <t>ALKY</t>
        </is>
      </c>
      <c r="E601" s="5" t="inlineStr">
        <is>
          <t>ALKY</t>
        </is>
      </c>
      <c r="F601" s="6" t="n">
        <v>4.7</v>
      </c>
      <c r="G601" s="7" t="n">
        <v>0.928</v>
      </c>
      <c r="H601" s="8">
        <f>IF($G601&lt;&gt;"",$G601,SUMIFS(Assumptions!$K$4:$K$8,Assumptions!$J$4:$J$8,$C601))</f>
        <v/>
      </c>
      <c r="I601" s="7" t="n"/>
      <c r="J601" s="9">
        <f>IF($I601&lt;&gt;"",$I601,SUMIFS(Assumptions!$P$4:$P$93,Assumptions!$M$4:$M$93,$C601,Assumptions!$N$4:$N$93,$E601,Assumptions!$O$4:$O$93,"LVN"))</f>
        <v/>
      </c>
      <c r="K601" s="7" t="n"/>
      <c r="L601" s="9">
        <f>IF($K601&lt;&gt;"",$K601,SUMIFS(Assumptions!$P$4:$P$93,Assumptions!$M$4:$M$93,$C601,Assumptions!$N$4:$N$93,$E601,Assumptions!$O$4:$O$93,"HVN"))</f>
        <v/>
      </c>
      <c r="M601" s="9">
        <f>J601+L601</f>
        <v/>
      </c>
      <c r="N601" s="10">
        <f>$F601*$H601*$M601</f>
        <v/>
      </c>
    </row>
    <row r="602">
      <c r="A602" s="11" t="inlineStr">
        <is>
          <t>TOTAL</t>
        </is>
      </c>
      <c r="B602" s="12" t="inlineStr">
        <is>
          <t>DELEK_TYLER</t>
        </is>
      </c>
      <c r="C602" s="12" t="n">
        <v>3</v>
      </c>
      <c r="D602" s="12" t="inlineStr">
        <is>
          <t>NET NAPHTHA</t>
        </is>
      </c>
      <c r="N602" s="13">
        <f>SUM(N594:N601)</f>
        <v/>
      </c>
    </row>
    <row r="604">
      <c r="A604" s="1" t="inlineStr">
        <is>
          <t xml:space="preserve">  Placid Refining Port Allen  [PLACID_PORT_ALLEN]   —   Placid Refining   —   PADD 3   —   crude 75 kbd</t>
        </is>
      </c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</row>
    <row r="605">
      <c r="A605" s="4" t="inlineStr">
        <is>
          <t>UNIT</t>
        </is>
      </c>
      <c r="B605" s="5" t="inlineStr">
        <is>
          <t>PLACID_PORT_ALLEN</t>
        </is>
      </c>
      <c r="C605" s="5" t="n">
        <v>3</v>
      </c>
      <c r="D605" s="5" t="inlineStr">
        <is>
          <t>CDU</t>
        </is>
      </c>
      <c r="E605" s="5" t="inlineStr">
        <is>
          <t>CDU</t>
        </is>
      </c>
      <c r="F605" s="6" t="n">
        <v>82.5</v>
      </c>
      <c r="G605" s="7" t="n">
        <v>0.868</v>
      </c>
      <c r="H605" s="8">
        <f>IF($G605&lt;&gt;"",$G605,SUMIFS(Assumptions!$K$4:$K$8,Assumptions!$J$4:$J$8,$C605))</f>
        <v/>
      </c>
      <c r="I605" s="7" t="n"/>
      <c r="J605" s="9">
        <f>IF($I605&lt;&gt;"",$I605,SUMIFS(Assumptions!$P$4:$P$93,Assumptions!$M$4:$M$93,$C605,Assumptions!$N$4:$N$93,$E605,Assumptions!$O$4:$O$93,"LVN"))</f>
        <v/>
      </c>
      <c r="K605" s="7" t="n"/>
      <c r="L605" s="9">
        <f>IF($K605&lt;&gt;"",$K605,SUMIFS(Assumptions!$P$4:$P$93,Assumptions!$M$4:$M$93,$C605,Assumptions!$N$4:$N$93,$E605,Assumptions!$O$4:$O$93,"HVN"))</f>
        <v/>
      </c>
      <c r="M605" s="9">
        <f>J605+L605</f>
        <v/>
      </c>
      <c r="N605" s="10">
        <f>$F605*$H605*$M605</f>
        <v/>
      </c>
    </row>
    <row r="606">
      <c r="A606" s="4" t="inlineStr">
        <is>
          <t>UNIT</t>
        </is>
      </c>
      <c r="B606" s="5" t="inlineStr">
        <is>
          <t>PLACID_PORT_ALLEN</t>
        </is>
      </c>
      <c r="C606" s="5" t="n">
        <v>3</v>
      </c>
      <c r="D606" s="5" t="inlineStr">
        <is>
          <t>VDU</t>
        </is>
      </c>
      <c r="E606" s="5" t="inlineStr">
        <is>
          <t>VDU</t>
        </is>
      </c>
      <c r="F606" s="6" t="n">
        <v>27</v>
      </c>
      <c r="G606" s="7" t="n">
        <v>0.9340000000000001</v>
      </c>
      <c r="H606" s="8">
        <f>IF($G606&lt;&gt;"",$G606,SUMIFS(Assumptions!$K$4:$K$8,Assumptions!$J$4:$J$8,$C606))</f>
        <v/>
      </c>
      <c r="I606" s="7" t="n"/>
      <c r="J606" s="9">
        <f>IF($I606&lt;&gt;"",$I606,SUMIFS(Assumptions!$P$4:$P$93,Assumptions!$M$4:$M$93,$C606,Assumptions!$N$4:$N$93,$E606,Assumptions!$O$4:$O$93,"LVN"))</f>
        <v/>
      </c>
      <c r="K606" s="7" t="n"/>
      <c r="L606" s="9">
        <f>IF($K606&lt;&gt;"",$K606,SUMIFS(Assumptions!$P$4:$P$93,Assumptions!$M$4:$M$93,$C606,Assumptions!$N$4:$N$93,$E606,Assumptions!$O$4:$O$93,"HVN"))</f>
        <v/>
      </c>
      <c r="M606" s="9">
        <f>J606+L606</f>
        <v/>
      </c>
      <c r="N606" s="10">
        <f>$F606*$H606*$M606</f>
        <v/>
      </c>
    </row>
    <row r="607">
      <c r="A607" s="4" t="inlineStr">
        <is>
          <t>UNIT</t>
        </is>
      </c>
      <c r="B607" s="5" t="inlineStr">
        <is>
          <t>PLACID_PORT_ALLEN</t>
        </is>
      </c>
      <c r="C607" s="5" t="n">
        <v>3</v>
      </c>
      <c r="D607" s="5" t="inlineStr">
        <is>
          <t>FCC</t>
        </is>
      </c>
      <c r="E607" s="5" t="inlineStr">
        <is>
          <t>FCC</t>
        </is>
      </c>
      <c r="F607" s="6" t="n">
        <v>25</v>
      </c>
      <c r="G607" s="7" t="n">
        <v>0.949</v>
      </c>
      <c r="H607" s="8">
        <f>IF($G607&lt;&gt;"",$G607,SUMIFS(Assumptions!$K$4:$K$8,Assumptions!$J$4:$J$8,$C607))</f>
        <v/>
      </c>
      <c r="I607" s="7" t="n"/>
      <c r="J607" s="9">
        <f>IF($I607&lt;&gt;"",$I607,SUMIFS(Assumptions!$P$4:$P$93,Assumptions!$M$4:$M$93,$C607,Assumptions!$N$4:$N$93,$E607,Assumptions!$O$4:$O$93,"LVN"))</f>
        <v/>
      </c>
      <c r="K607" s="7" t="n"/>
      <c r="L607" s="9">
        <f>IF($K607&lt;&gt;"",$K607,SUMIFS(Assumptions!$P$4:$P$93,Assumptions!$M$4:$M$93,$C607,Assumptions!$N$4:$N$93,$E607,Assumptions!$O$4:$O$93,"HVN"))</f>
        <v/>
      </c>
      <c r="M607" s="9">
        <f>J607+L607</f>
        <v/>
      </c>
      <c r="N607" s="10">
        <f>$F607*$H607*$M607</f>
        <v/>
      </c>
    </row>
    <row r="608">
      <c r="A608" s="4" t="inlineStr">
        <is>
          <t>UNIT</t>
        </is>
      </c>
      <c r="B608" s="5" t="inlineStr">
        <is>
          <t>PLACID_PORT_ALLEN</t>
        </is>
      </c>
      <c r="C608" s="5" t="n">
        <v>3</v>
      </c>
      <c r="D608" s="5" t="inlineStr">
        <is>
          <t>CCR</t>
        </is>
      </c>
      <c r="E608" s="5" t="inlineStr">
        <is>
          <t>REFORMER</t>
        </is>
      </c>
      <c r="F608" s="6" t="n">
        <v>11.5</v>
      </c>
      <c r="G608" s="7" t="n"/>
      <c r="H608" s="8">
        <f>IF($G608&lt;&gt;"",$G608,SUMIFS(Assumptions!$K$4:$K$8,Assumptions!$J$4:$J$8,$C608))</f>
        <v/>
      </c>
      <c r="I608" s="7" t="n"/>
      <c r="J608" s="9">
        <f>IF($I608&lt;&gt;"",$I608,SUMIFS(Assumptions!$P$4:$P$93,Assumptions!$M$4:$M$93,$C608,Assumptions!$N$4:$N$93,$E608,Assumptions!$O$4:$O$93,"LVN"))</f>
        <v/>
      </c>
      <c r="K608" s="7" t="n"/>
      <c r="L608" s="9">
        <f>IF($K608&lt;&gt;"",$K608,SUMIFS(Assumptions!$P$4:$P$93,Assumptions!$M$4:$M$93,$C608,Assumptions!$N$4:$N$93,$E608,Assumptions!$O$4:$O$93,"HVN"))</f>
        <v/>
      </c>
      <c r="M608" s="9">
        <f>J608+L608</f>
        <v/>
      </c>
      <c r="N608" s="10">
        <f>$F608*$H608*$M608</f>
        <v/>
      </c>
    </row>
    <row r="609">
      <c r="A609" s="4" t="inlineStr">
        <is>
          <t>UNIT</t>
        </is>
      </c>
      <c r="B609" s="5" t="inlineStr">
        <is>
          <t>PLACID_PORT_ALLEN</t>
        </is>
      </c>
      <c r="C609" s="5" t="n">
        <v>3</v>
      </c>
      <c r="D609" s="5" t="inlineStr">
        <is>
          <t>ALKY</t>
        </is>
      </c>
      <c r="E609" s="5" t="inlineStr">
        <is>
          <t>ALKY</t>
        </is>
      </c>
      <c r="F609" s="6" t="n">
        <v>7.5</v>
      </c>
      <c r="G609" s="7" t="n">
        <v>0.896</v>
      </c>
      <c r="H609" s="8">
        <f>IF($G609&lt;&gt;"",$G609,SUMIFS(Assumptions!$K$4:$K$8,Assumptions!$J$4:$J$8,$C609))</f>
        <v/>
      </c>
      <c r="I609" s="7" t="n"/>
      <c r="J609" s="9">
        <f>IF($I609&lt;&gt;"",$I609,SUMIFS(Assumptions!$P$4:$P$93,Assumptions!$M$4:$M$93,$C609,Assumptions!$N$4:$N$93,$E609,Assumptions!$O$4:$O$93,"LVN"))</f>
        <v/>
      </c>
      <c r="K609" s="7" t="n"/>
      <c r="L609" s="9">
        <f>IF($K609&lt;&gt;"",$K609,SUMIFS(Assumptions!$P$4:$P$93,Assumptions!$M$4:$M$93,$C609,Assumptions!$N$4:$N$93,$E609,Assumptions!$O$4:$O$93,"HVN"))</f>
        <v/>
      </c>
      <c r="M609" s="9">
        <f>J609+L609</f>
        <v/>
      </c>
      <c r="N609" s="10">
        <f>$F609*$H609*$M609</f>
        <v/>
      </c>
    </row>
    <row r="610">
      <c r="A610" s="11" t="inlineStr">
        <is>
          <t>TOTAL</t>
        </is>
      </c>
      <c r="B610" s="12" t="inlineStr">
        <is>
          <t>PLACID_PORT_ALLEN</t>
        </is>
      </c>
      <c r="C610" s="12" t="n">
        <v>3</v>
      </c>
      <c r="D610" s="12" t="inlineStr">
        <is>
          <t>NET NAPHTHA</t>
        </is>
      </c>
      <c r="N610" s="13">
        <f>SUM(N605:N609)</f>
        <v/>
      </c>
    </row>
    <row r="612">
      <c r="A612" s="1" t="inlineStr">
        <is>
          <t xml:space="preserve">  Delek Group Krotz Springs  [DELEK_KROTZ_SPRINGS]   —   Delek Group   —   PADD 3   —   crude 74 kbd</t>
        </is>
      </c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</row>
    <row r="613">
      <c r="A613" s="4" t="inlineStr">
        <is>
          <t>UNIT</t>
        </is>
      </c>
      <c r="B613" s="5" t="inlineStr">
        <is>
          <t>DELEK_KROTZ_SPRINGS</t>
        </is>
      </c>
      <c r="C613" s="5" t="n">
        <v>3</v>
      </c>
      <c r="D613" s="5" t="inlineStr">
        <is>
          <t>CDU</t>
        </is>
      </c>
      <c r="E613" s="5" t="inlineStr">
        <is>
          <t>CDU</t>
        </is>
      </c>
      <c r="F613" s="6" t="n">
        <v>83</v>
      </c>
      <c r="G613" s="7" t="n">
        <v>0.8090000000000001</v>
      </c>
      <c r="H613" s="8">
        <f>IF($G613&lt;&gt;"",$G613,SUMIFS(Assumptions!$K$4:$K$8,Assumptions!$J$4:$J$8,$C613))</f>
        <v/>
      </c>
      <c r="I613" s="7" t="n"/>
      <c r="J613" s="9">
        <f>IF($I613&lt;&gt;"",$I613,SUMIFS(Assumptions!$P$4:$P$93,Assumptions!$M$4:$M$93,$C613,Assumptions!$N$4:$N$93,$E613,Assumptions!$O$4:$O$93,"LVN"))</f>
        <v/>
      </c>
      <c r="K613" s="7" t="n"/>
      <c r="L613" s="9">
        <f>IF($K613&lt;&gt;"",$K613,SUMIFS(Assumptions!$P$4:$P$93,Assumptions!$M$4:$M$93,$C613,Assumptions!$N$4:$N$93,$E613,Assumptions!$O$4:$O$93,"HVN"))</f>
        <v/>
      </c>
      <c r="M613" s="9">
        <f>J613+L613</f>
        <v/>
      </c>
      <c r="N613" s="10">
        <f>$F613*$H613*$M613</f>
        <v/>
      </c>
    </row>
    <row r="614">
      <c r="A614" s="4" t="inlineStr">
        <is>
          <t>UNIT</t>
        </is>
      </c>
      <c r="B614" s="5" t="inlineStr">
        <is>
          <t>DELEK_KROTZ_SPRINGS</t>
        </is>
      </c>
      <c r="C614" s="5" t="n">
        <v>3</v>
      </c>
      <c r="D614" s="5" t="inlineStr">
        <is>
          <t>VDU</t>
        </is>
      </c>
      <c r="E614" s="5" t="inlineStr">
        <is>
          <t>VDU</t>
        </is>
      </c>
      <c r="F614" s="6" t="n">
        <v>36.2</v>
      </c>
      <c r="G614" s="7" t="n">
        <v>0.512</v>
      </c>
      <c r="H614" s="8">
        <f>IF($G614&lt;&gt;"",$G614,SUMIFS(Assumptions!$K$4:$K$8,Assumptions!$J$4:$J$8,$C614))</f>
        <v/>
      </c>
      <c r="I614" s="7" t="n"/>
      <c r="J614" s="9">
        <f>IF($I614&lt;&gt;"",$I614,SUMIFS(Assumptions!$P$4:$P$93,Assumptions!$M$4:$M$93,$C614,Assumptions!$N$4:$N$93,$E614,Assumptions!$O$4:$O$93,"LVN"))</f>
        <v/>
      </c>
      <c r="K614" s="7" t="n"/>
      <c r="L614" s="9">
        <f>IF($K614&lt;&gt;"",$K614,SUMIFS(Assumptions!$P$4:$P$93,Assumptions!$M$4:$M$93,$C614,Assumptions!$N$4:$N$93,$E614,Assumptions!$O$4:$O$93,"HVN"))</f>
        <v/>
      </c>
      <c r="M614" s="9">
        <f>J614+L614</f>
        <v/>
      </c>
      <c r="N614" s="10">
        <f>$F614*$H614*$M614</f>
        <v/>
      </c>
    </row>
    <row r="615">
      <c r="A615" s="4" t="inlineStr">
        <is>
          <t>UNIT</t>
        </is>
      </c>
      <c r="B615" s="5" t="inlineStr">
        <is>
          <t>DELEK_KROTZ_SPRINGS</t>
        </is>
      </c>
      <c r="C615" s="5" t="n">
        <v>3</v>
      </c>
      <c r="D615" s="5" t="inlineStr">
        <is>
          <t>RCC</t>
        </is>
      </c>
      <c r="E615" s="5" t="inlineStr">
        <is>
          <t>FCC</t>
        </is>
      </c>
      <c r="F615" s="6" t="n">
        <v>34</v>
      </c>
      <c r="G615" s="7" t="n">
        <v>0.79</v>
      </c>
      <c r="H615" s="8">
        <f>IF($G615&lt;&gt;"",$G615,SUMIFS(Assumptions!$K$4:$K$8,Assumptions!$J$4:$J$8,$C615))</f>
        <v/>
      </c>
      <c r="I615" s="7" t="n"/>
      <c r="J615" s="9">
        <f>IF($I615&lt;&gt;"",$I615,SUMIFS(Assumptions!$P$4:$P$93,Assumptions!$M$4:$M$93,$C615,Assumptions!$N$4:$N$93,$E615,Assumptions!$O$4:$O$93,"LVN"))</f>
        <v/>
      </c>
      <c r="K615" s="7" t="n"/>
      <c r="L615" s="9">
        <f>IF($K615&lt;&gt;"",$K615,SUMIFS(Assumptions!$P$4:$P$93,Assumptions!$M$4:$M$93,$C615,Assumptions!$N$4:$N$93,$E615,Assumptions!$O$4:$O$93,"HVN"))</f>
        <v/>
      </c>
      <c r="M615" s="9">
        <f>J615+L615</f>
        <v/>
      </c>
      <c r="N615" s="10">
        <f>$F615*$H615*$M615</f>
        <v/>
      </c>
    </row>
    <row r="616">
      <c r="A616" s="4" t="inlineStr">
        <is>
          <t>UNIT</t>
        </is>
      </c>
      <c r="B616" s="5" t="inlineStr">
        <is>
          <t>DELEK_KROTZ_SPRINGS</t>
        </is>
      </c>
      <c r="C616" s="5" t="n">
        <v>3</v>
      </c>
      <c r="D616" s="5" t="inlineStr">
        <is>
          <t>REF</t>
        </is>
      </c>
      <c r="E616" s="5" t="inlineStr">
        <is>
          <t>REFORMER</t>
        </is>
      </c>
      <c r="F616" s="6" t="n">
        <v>13</v>
      </c>
      <c r="G616" s="7" t="n">
        <v>0.8100000000000001</v>
      </c>
      <c r="H616" s="8">
        <f>IF($G616&lt;&gt;"",$G616,SUMIFS(Assumptions!$K$4:$K$8,Assumptions!$J$4:$J$8,$C616))</f>
        <v/>
      </c>
      <c r="I616" s="7" t="n"/>
      <c r="J616" s="9">
        <f>IF($I616&lt;&gt;"",$I616,SUMIFS(Assumptions!$P$4:$P$93,Assumptions!$M$4:$M$93,$C616,Assumptions!$N$4:$N$93,$E616,Assumptions!$O$4:$O$93,"LVN"))</f>
        <v/>
      </c>
      <c r="K616" s="7" t="n"/>
      <c r="L616" s="9">
        <f>IF($K616&lt;&gt;"",$K616,SUMIFS(Assumptions!$P$4:$P$93,Assumptions!$M$4:$M$93,$C616,Assumptions!$N$4:$N$93,$E616,Assumptions!$O$4:$O$93,"HVN"))</f>
        <v/>
      </c>
      <c r="M616" s="9">
        <f>J616+L616</f>
        <v/>
      </c>
      <c r="N616" s="10">
        <f>$F616*$H616*$M616</f>
        <v/>
      </c>
    </row>
    <row r="617">
      <c r="A617" s="4" t="inlineStr">
        <is>
          <t>UNIT</t>
        </is>
      </c>
      <c r="B617" s="5" t="inlineStr">
        <is>
          <t>DELEK_KROTZ_SPRINGS</t>
        </is>
      </c>
      <c r="C617" s="5" t="n">
        <v>3</v>
      </c>
      <c r="D617" s="5" t="inlineStr">
        <is>
          <t>ISOM</t>
        </is>
      </c>
      <c r="E617" s="5" t="inlineStr">
        <is>
          <t>ISOM</t>
        </is>
      </c>
      <c r="F617" s="6" t="n">
        <v>6.22</v>
      </c>
      <c r="G617" s="7" t="n">
        <v>0.913</v>
      </c>
      <c r="H617" s="8">
        <f>IF($G617&lt;&gt;"",$G617,SUMIFS(Assumptions!$K$4:$K$8,Assumptions!$J$4:$J$8,$C617))</f>
        <v/>
      </c>
      <c r="I617" s="7" t="n"/>
      <c r="J617" s="9">
        <f>IF($I617&lt;&gt;"",$I617,SUMIFS(Assumptions!$P$4:$P$93,Assumptions!$M$4:$M$93,$C617,Assumptions!$N$4:$N$93,$E617,Assumptions!$O$4:$O$93,"LVN"))</f>
        <v/>
      </c>
      <c r="K617" s="7" t="n"/>
      <c r="L617" s="9">
        <f>IF($K617&lt;&gt;"",$K617,SUMIFS(Assumptions!$P$4:$P$93,Assumptions!$M$4:$M$93,$C617,Assumptions!$N$4:$N$93,$E617,Assumptions!$O$4:$O$93,"HVN"))</f>
        <v/>
      </c>
      <c r="M617" s="9">
        <f>J617+L617</f>
        <v/>
      </c>
      <c r="N617" s="10">
        <f>$F617*$H617*$M617</f>
        <v/>
      </c>
    </row>
    <row r="618">
      <c r="A618" s="4" t="inlineStr">
        <is>
          <t>UNIT</t>
        </is>
      </c>
      <c r="B618" s="5" t="inlineStr">
        <is>
          <t>DELEK_KROTZ_SPRINGS</t>
        </is>
      </c>
      <c r="C618" s="5" t="n">
        <v>3</v>
      </c>
      <c r="D618" s="5" t="inlineStr">
        <is>
          <t>ALKY</t>
        </is>
      </c>
      <c r="E618" s="5" t="inlineStr">
        <is>
          <t>ALKY</t>
        </is>
      </c>
      <c r="F618" s="6" t="n">
        <v>6</v>
      </c>
      <c r="G618" s="7" t="n">
        <v>1.1</v>
      </c>
      <c r="H618" s="8">
        <f>IF($G618&lt;&gt;"",$G618,SUMIFS(Assumptions!$K$4:$K$8,Assumptions!$J$4:$J$8,$C618))</f>
        <v/>
      </c>
      <c r="I618" s="7" t="n"/>
      <c r="J618" s="9">
        <f>IF($I618&lt;&gt;"",$I618,SUMIFS(Assumptions!$P$4:$P$93,Assumptions!$M$4:$M$93,$C618,Assumptions!$N$4:$N$93,$E618,Assumptions!$O$4:$O$93,"LVN"))</f>
        <v/>
      </c>
      <c r="K618" s="7" t="n"/>
      <c r="L618" s="9">
        <f>IF($K618&lt;&gt;"",$K618,SUMIFS(Assumptions!$P$4:$P$93,Assumptions!$M$4:$M$93,$C618,Assumptions!$N$4:$N$93,$E618,Assumptions!$O$4:$O$93,"HVN"))</f>
        <v/>
      </c>
      <c r="M618" s="9">
        <f>J618+L618</f>
        <v/>
      </c>
      <c r="N618" s="10">
        <f>$F618*$H618*$M618</f>
        <v/>
      </c>
    </row>
    <row r="619">
      <c r="A619" s="11" t="inlineStr">
        <is>
          <t>TOTAL</t>
        </is>
      </c>
      <c r="B619" s="12" t="inlineStr">
        <is>
          <t>DELEK_KROTZ_SPRINGS</t>
        </is>
      </c>
      <c r="C619" s="12" t="n">
        <v>3</v>
      </c>
      <c r="D619" s="12" t="inlineStr">
        <is>
          <t>NET NAPHTHA</t>
        </is>
      </c>
      <c r="N619" s="13">
        <f>SUM(N613:N618)</f>
        <v/>
      </c>
    </row>
    <row r="621">
      <c r="A621" s="1" t="inlineStr">
        <is>
          <t xml:space="preserve">  Alon Big Springs  [ALON_BIG_SPRINGS]   —   Delek Group   —   PADD 3   —   crude 73 kbd</t>
        </is>
      </c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</row>
    <row r="622">
      <c r="A622" s="4" t="inlineStr">
        <is>
          <t>UNIT</t>
        </is>
      </c>
      <c r="B622" s="5" t="inlineStr">
        <is>
          <t>ALON_BIG_SPRINGS</t>
        </is>
      </c>
      <c r="C622" s="5" t="n">
        <v>3</v>
      </c>
      <c r="D622" s="5" t="inlineStr">
        <is>
          <t>CDU</t>
        </is>
      </c>
      <c r="E622" s="5" t="inlineStr">
        <is>
          <t>CDU</t>
        </is>
      </c>
      <c r="F622" s="6" t="n">
        <v>74</v>
      </c>
      <c r="G622" s="7" t="n">
        <v>0.894</v>
      </c>
      <c r="H622" s="8">
        <f>IF($G622&lt;&gt;"",$G622,SUMIFS(Assumptions!$K$4:$K$8,Assumptions!$J$4:$J$8,$C622))</f>
        <v/>
      </c>
      <c r="I622" s="7" t="n"/>
      <c r="J622" s="9">
        <f>IF($I622&lt;&gt;"",$I622,SUMIFS(Assumptions!$P$4:$P$93,Assumptions!$M$4:$M$93,$C622,Assumptions!$N$4:$N$93,$E622,Assumptions!$O$4:$O$93,"LVN"))</f>
        <v/>
      </c>
      <c r="K622" s="7" t="n"/>
      <c r="L622" s="9">
        <f>IF($K622&lt;&gt;"",$K622,SUMIFS(Assumptions!$P$4:$P$93,Assumptions!$M$4:$M$93,$C622,Assumptions!$N$4:$N$93,$E622,Assumptions!$O$4:$O$93,"HVN"))</f>
        <v/>
      </c>
      <c r="M622" s="9">
        <f>J622+L622</f>
        <v/>
      </c>
      <c r="N622" s="10">
        <f>$F622*$H622*$M622</f>
        <v/>
      </c>
    </row>
    <row r="623">
      <c r="A623" s="4" t="inlineStr">
        <is>
          <t>UNIT</t>
        </is>
      </c>
      <c r="B623" s="5" t="inlineStr">
        <is>
          <t>ALON_BIG_SPRINGS</t>
        </is>
      </c>
      <c r="C623" s="5" t="n">
        <v>3</v>
      </c>
      <c r="D623" s="5" t="inlineStr">
        <is>
          <t>VDU</t>
        </is>
      </c>
      <c r="E623" s="5" t="inlineStr">
        <is>
          <t>VDU</t>
        </is>
      </c>
      <c r="F623" s="6" t="n">
        <v>28</v>
      </c>
      <c r="G623" s="7" t="n">
        <v>0.719</v>
      </c>
      <c r="H623" s="8">
        <f>IF($G623&lt;&gt;"",$G623,SUMIFS(Assumptions!$K$4:$K$8,Assumptions!$J$4:$J$8,$C623))</f>
        <v/>
      </c>
      <c r="I623" s="7" t="n"/>
      <c r="J623" s="9">
        <f>IF($I623&lt;&gt;"",$I623,SUMIFS(Assumptions!$P$4:$P$93,Assumptions!$M$4:$M$93,$C623,Assumptions!$N$4:$N$93,$E623,Assumptions!$O$4:$O$93,"LVN"))</f>
        <v/>
      </c>
      <c r="K623" s="7" t="n"/>
      <c r="L623" s="9">
        <f>IF($K623&lt;&gt;"",$K623,SUMIFS(Assumptions!$P$4:$P$93,Assumptions!$M$4:$M$93,$C623,Assumptions!$N$4:$N$93,$E623,Assumptions!$O$4:$O$93,"HVN"))</f>
        <v/>
      </c>
      <c r="M623" s="9">
        <f>J623+L623</f>
        <v/>
      </c>
      <c r="N623" s="10">
        <f>$F623*$H623*$M623</f>
        <v/>
      </c>
    </row>
    <row r="624">
      <c r="A624" s="4" t="inlineStr">
        <is>
          <t>UNIT</t>
        </is>
      </c>
      <c r="B624" s="5" t="inlineStr">
        <is>
          <t>ALON_BIG_SPRINGS</t>
        </is>
      </c>
      <c r="C624" s="5" t="n">
        <v>3</v>
      </c>
      <c r="D624" s="5" t="inlineStr">
        <is>
          <t>FCC</t>
        </is>
      </c>
      <c r="E624" s="5" t="inlineStr">
        <is>
          <t>FCC</t>
        </is>
      </c>
      <c r="F624" s="6" t="n">
        <v>23.5</v>
      </c>
      <c r="G624" s="7" t="n">
        <v>0.775</v>
      </c>
      <c r="H624" s="8">
        <f>IF($G624&lt;&gt;"",$G624,SUMIFS(Assumptions!$K$4:$K$8,Assumptions!$J$4:$J$8,$C624))</f>
        <v/>
      </c>
      <c r="I624" s="7" t="n"/>
      <c r="J624" s="9">
        <f>IF($I624&lt;&gt;"",$I624,SUMIFS(Assumptions!$P$4:$P$93,Assumptions!$M$4:$M$93,$C624,Assumptions!$N$4:$N$93,$E624,Assumptions!$O$4:$O$93,"LVN"))</f>
        <v/>
      </c>
      <c r="K624" s="7" t="n"/>
      <c r="L624" s="9">
        <f>IF($K624&lt;&gt;"",$K624,SUMIFS(Assumptions!$P$4:$P$93,Assumptions!$M$4:$M$93,$C624,Assumptions!$N$4:$N$93,$E624,Assumptions!$O$4:$O$93,"HVN"))</f>
        <v/>
      </c>
      <c r="M624" s="9">
        <f>J624+L624</f>
        <v/>
      </c>
      <c r="N624" s="10">
        <f>$F624*$H624*$M624</f>
        <v/>
      </c>
    </row>
    <row r="625">
      <c r="A625" s="4" t="inlineStr">
        <is>
          <t>UNIT</t>
        </is>
      </c>
      <c r="B625" s="5" t="inlineStr">
        <is>
          <t>ALON_BIG_SPRINGS</t>
        </is>
      </c>
      <c r="C625" s="5" t="n">
        <v>3</v>
      </c>
      <c r="D625" s="5" t="inlineStr">
        <is>
          <t>CCR</t>
        </is>
      </c>
      <c r="E625" s="5" t="inlineStr">
        <is>
          <t>REFORMER</t>
        </is>
      </c>
      <c r="F625" s="6" t="n">
        <v>21.5</v>
      </c>
      <c r="G625" s="7" t="n">
        <v>0.977</v>
      </c>
      <c r="H625" s="8">
        <f>IF($G625&lt;&gt;"",$G625,SUMIFS(Assumptions!$K$4:$K$8,Assumptions!$J$4:$J$8,$C625))</f>
        <v/>
      </c>
      <c r="I625" s="7" t="n"/>
      <c r="J625" s="9">
        <f>IF($I625&lt;&gt;"",$I625,SUMIFS(Assumptions!$P$4:$P$93,Assumptions!$M$4:$M$93,$C625,Assumptions!$N$4:$N$93,$E625,Assumptions!$O$4:$O$93,"LVN"))</f>
        <v/>
      </c>
      <c r="K625" s="7" t="n"/>
      <c r="L625" s="9">
        <f>IF($K625&lt;&gt;"",$K625,SUMIFS(Assumptions!$P$4:$P$93,Assumptions!$M$4:$M$93,$C625,Assumptions!$N$4:$N$93,$E625,Assumptions!$O$4:$O$93,"HVN"))</f>
        <v/>
      </c>
      <c r="M625" s="9">
        <f>J625+L625</f>
        <v/>
      </c>
      <c r="N625" s="10">
        <f>$F625*$H625*$M625</f>
        <v/>
      </c>
    </row>
    <row r="626">
      <c r="A626" s="4" t="inlineStr">
        <is>
          <t>UNIT</t>
        </is>
      </c>
      <c r="B626" s="5" t="inlineStr">
        <is>
          <t>ALON_BIG_SPRINGS</t>
        </is>
      </c>
      <c r="C626" s="5" t="n">
        <v>3</v>
      </c>
      <c r="D626" s="5" t="inlineStr">
        <is>
          <t>ALKY</t>
        </is>
      </c>
      <c r="E626" s="5" t="inlineStr">
        <is>
          <t>ALKY</t>
        </is>
      </c>
      <c r="F626" s="6" t="n">
        <v>5</v>
      </c>
      <c r="G626" s="7" t="n">
        <v>0.861</v>
      </c>
      <c r="H626" s="8">
        <f>IF($G626&lt;&gt;"",$G626,SUMIFS(Assumptions!$K$4:$K$8,Assumptions!$J$4:$J$8,$C626))</f>
        <v/>
      </c>
      <c r="I626" s="7" t="n"/>
      <c r="J626" s="9">
        <f>IF($I626&lt;&gt;"",$I626,SUMIFS(Assumptions!$P$4:$P$93,Assumptions!$M$4:$M$93,$C626,Assumptions!$N$4:$N$93,$E626,Assumptions!$O$4:$O$93,"LVN"))</f>
        <v/>
      </c>
      <c r="K626" s="7" t="n"/>
      <c r="L626" s="9">
        <f>IF($K626&lt;&gt;"",$K626,SUMIFS(Assumptions!$P$4:$P$93,Assumptions!$M$4:$M$93,$C626,Assumptions!$N$4:$N$93,$E626,Assumptions!$O$4:$O$93,"HVN"))</f>
        <v/>
      </c>
      <c r="M626" s="9">
        <f>J626+L626</f>
        <v/>
      </c>
      <c r="N626" s="10">
        <f>$F626*$H626*$M626</f>
        <v/>
      </c>
    </row>
    <row r="627">
      <c r="A627" s="11" t="inlineStr">
        <is>
          <t>TOTAL</t>
        </is>
      </c>
      <c r="B627" s="12" t="inlineStr">
        <is>
          <t>ALON_BIG_SPRINGS</t>
        </is>
      </c>
      <c r="C627" s="12" t="n">
        <v>3</v>
      </c>
      <c r="D627" s="12" t="inlineStr">
        <is>
          <t>NET NAPHTHA</t>
        </is>
      </c>
      <c r="N627" s="13">
        <f>SUM(N622:N626)</f>
        <v/>
      </c>
    </row>
    <row r="629">
      <c r="A629" s="1" t="inlineStr">
        <is>
          <t xml:space="preserve">  Buckeye Partners Corpus Christi  [BUCKEYE_CORPUS_CHRISTI]   —   Buckeye Partners (80%) / Trafigura (20%)   —   PADD 3   —   crude 65 kbd</t>
        </is>
      </c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</row>
    <row r="630">
      <c r="A630" s="4" t="inlineStr">
        <is>
          <t>UNIT</t>
        </is>
      </c>
      <c r="B630" s="5" t="inlineStr">
        <is>
          <t>BUCKEYE_CORPUS_CHRISTI</t>
        </is>
      </c>
      <c r="C630" s="5" t="n">
        <v>3</v>
      </c>
      <c r="D630" s="5" t="inlineStr">
        <is>
          <t>CDU</t>
        </is>
      </c>
      <c r="E630" s="5" t="inlineStr">
        <is>
          <t>CDU</t>
        </is>
      </c>
      <c r="F630" s="6" t="n">
        <v>65</v>
      </c>
      <c r="G630" s="7" t="n"/>
      <c r="H630" s="8">
        <f>IF($G630&lt;&gt;"",$G630,SUMIFS(Assumptions!$K$4:$K$8,Assumptions!$J$4:$J$8,$C630))</f>
        <v/>
      </c>
      <c r="I630" s="7" t="n"/>
      <c r="J630" s="9">
        <f>IF($I630&lt;&gt;"",$I630,SUMIFS(Assumptions!$P$4:$P$93,Assumptions!$M$4:$M$93,$C630,Assumptions!$N$4:$N$93,$E630,Assumptions!$O$4:$O$93,"LVN"))</f>
        <v/>
      </c>
      <c r="K630" s="7" t="n"/>
      <c r="L630" s="9">
        <f>IF($K630&lt;&gt;"",$K630,SUMIFS(Assumptions!$P$4:$P$93,Assumptions!$M$4:$M$93,$C630,Assumptions!$N$4:$N$93,$E630,Assumptions!$O$4:$O$93,"HVN"))</f>
        <v/>
      </c>
      <c r="M630" s="9">
        <f>J630+L630</f>
        <v/>
      </c>
      <c r="N630" s="10">
        <f>$F630*$H630*$M630</f>
        <v/>
      </c>
    </row>
    <row r="631">
      <c r="A631" s="11" t="inlineStr">
        <is>
          <t>TOTAL</t>
        </is>
      </c>
      <c r="B631" s="12" t="inlineStr">
        <is>
          <t>BUCKEYE_CORPUS_CHRISTI</t>
        </is>
      </c>
      <c r="C631" s="12" t="n">
        <v>3</v>
      </c>
      <c r="D631" s="12" t="inlineStr">
        <is>
          <t>NET NAPHTHA</t>
        </is>
      </c>
      <c r="N631" s="13">
        <f>SUM(N630:N630)</f>
        <v/>
      </c>
    </row>
    <row r="633">
      <c r="A633" s="1" t="inlineStr">
        <is>
          <t xml:space="preserve">  Calumet Lubricants Co. Shreveport  [CALUMET_SHREVEPORT]   —   Calumet Lubricants Co.   —   PADD 3   —   crude 57 kbd</t>
        </is>
      </c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</row>
    <row r="634">
      <c r="A634" s="4" t="inlineStr">
        <is>
          <t>UNIT</t>
        </is>
      </c>
      <c r="B634" s="5" t="inlineStr">
        <is>
          <t>CALUMET_SHREVEPORT</t>
        </is>
      </c>
      <c r="C634" s="5" t="n">
        <v>3</v>
      </c>
      <c r="D634" s="5" t="inlineStr">
        <is>
          <t>CDU</t>
        </is>
      </c>
      <c r="E634" s="5" t="inlineStr">
        <is>
          <t>CDU</t>
        </is>
      </c>
      <c r="F634" s="6" t="n">
        <v>60</v>
      </c>
      <c r="G634" s="7" t="n">
        <v>0.666</v>
      </c>
      <c r="H634" s="8">
        <f>IF($G634&lt;&gt;"",$G634,SUMIFS(Assumptions!$K$4:$K$8,Assumptions!$J$4:$J$8,$C634))</f>
        <v/>
      </c>
      <c r="I634" s="7" t="n"/>
      <c r="J634" s="9">
        <f>IF($I634&lt;&gt;"",$I634,SUMIFS(Assumptions!$P$4:$P$93,Assumptions!$M$4:$M$93,$C634,Assumptions!$N$4:$N$93,$E634,Assumptions!$O$4:$O$93,"LVN"))</f>
        <v/>
      </c>
      <c r="K634" s="7" t="n"/>
      <c r="L634" s="9">
        <f>IF($K634&lt;&gt;"",$K634,SUMIFS(Assumptions!$P$4:$P$93,Assumptions!$M$4:$M$93,$C634,Assumptions!$N$4:$N$93,$E634,Assumptions!$O$4:$O$93,"HVN"))</f>
        <v/>
      </c>
      <c r="M634" s="9">
        <f>J634+L634</f>
        <v/>
      </c>
      <c r="N634" s="10">
        <f>$F634*$H634*$M634</f>
        <v/>
      </c>
    </row>
    <row r="635">
      <c r="A635" s="4" t="inlineStr">
        <is>
          <t>UNIT</t>
        </is>
      </c>
      <c r="B635" s="5" t="inlineStr">
        <is>
          <t>CALUMET_SHREVEPORT</t>
        </is>
      </c>
      <c r="C635" s="5" t="n">
        <v>3</v>
      </c>
      <c r="D635" s="5" t="inlineStr">
        <is>
          <t>VDU</t>
        </is>
      </c>
      <c r="E635" s="5" t="inlineStr">
        <is>
          <t>VDU</t>
        </is>
      </c>
      <c r="F635" s="6" t="n">
        <v>28</v>
      </c>
      <c r="G635" s="7" t="n">
        <v>0.456</v>
      </c>
      <c r="H635" s="8">
        <f>IF($G635&lt;&gt;"",$G635,SUMIFS(Assumptions!$K$4:$K$8,Assumptions!$J$4:$J$8,$C635))</f>
        <v/>
      </c>
      <c r="I635" s="7" t="n"/>
      <c r="J635" s="9">
        <f>IF($I635&lt;&gt;"",$I635,SUMIFS(Assumptions!$P$4:$P$93,Assumptions!$M$4:$M$93,$C635,Assumptions!$N$4:$N$93,$E635,Assumptions!$O$4:$O$93,"LVN"))</f>
        <v/>
      </c>
      <c r="K635" s="7" t="n"/>
      <c r="L635" s="9">
        <f>IF($K635&lt;&gt;"",$K635,SUMIFS(Assumptions!$P$4:$P$93,Assumptions!$M$4:$M$93,$C635,Assumptions!$N$4:$N$93,$E635,Assumptions!$O$4:$O$93,"HVN"))</f>
        <v/>
      </c>
      <c r="M635" s="9">
        <f>J635+L635</f>
        <v/>
      </c>
      <c r="N635" s="10">
        <f>$F635*$H635*$M635</f>
        <v/>
      </c>
    </row>
    <row r="636">
      <c r="A636" s="4" t="inlineStr">
        <is>
          <t>UNIT</t>
        </is>
      </c>
      <c r="B636" s="5" t="inlineStr">
        <is>
          <t>CALUMET_SHREVEPORT</t>
        </is>
      </c>
      <c r="C636" s="5" t="n">
        <v>3</v>
      </c>
      <c r="D636" s="5" t="inlineStr">
        <is>
          <t>CCR</t>
        </is>
      </c>
      <c r="E636" s="5" t="inlineStr">
        <is>
          <t>REFORMER</t>
        </is>
      </c>
      <c r="F636" s="6" t="n">
        <v>12</v>
      </c>
      <c r="G636" s="7" t="n"/>
      <c r="H636" s="8">
        <f>IF($G636&lt;&gt;"",$G636,SUMIFS(Assumptions!$K$4:$K$8,Assumptions!$J$4:$J$8,$C636))</f>
        <v/>
      </c>
      <c r="I636" s="7" t="n"/>
      <c r="J636" s="9">
        <f>IF($I636&lt;&gt;"",$I636,SUMIFS(Assumptions!$P$4:$P$93,Assumptions!$M$4:$M$93,$C636,Assumptions!$N$4:$N$93,$E636,Assumptions!$O$4:$O$93,"LVN"))</f>
        <v/>
      </c>
      <c r="K636" s="7" t="n"/>
      <c r="L636" s="9">
        <f>IF($K636&lt;&gt;"",$K636,SUMIFS(Assumptions!$P$4:$P$93,Assumptions!$M$4:$M$93,$C636,Assumptions!$N$4:$N$93,$E636,Assumptions!$O$4:$O$93,"HVN"))</f>
        <v/>
      </c>
      <c r="M636" s="9">
        <f>J636+L636</f>
        <v/>
      </c>
      <c r="N636" s="10">
        <f>$F636*$H636*$M636</f>
        <v/>
      </c>
    </row>
    <row r="637">
      <c r="A637" s="11" t="inlineStr">
        <is>
          <t>TOTAL</t>
        </is>
      </c>
      <c r="B637" s="12" t="inlineStr">
        <is>
          <t>CALUMET_SHREVEPORT</t>
        </is>
      </c>
      <c r="C637" s="12" t="n">
        <v>3</v>
      </c>
      <c r="D637" s="12" t="inlineStr">
        <is>
          <t>NET NAPHTHA</t>
        </is>
      </c>
      <c r="N637" s="13">
        <f>SUM(N634:N636)</f>
        <v/>
      </c>
    </row>
    <row r="639">
      <c r="A639" s="1" t="inlineStr">
        <is>
          <t xml:space="preserve">  Marathon Petroleum Texas City (Galveston Bay)  [MARATHON_TEXAS_CITY_GALVESTON_BAY]   —   Marathon Petroleum   —   PADD 3   —   crude 50 kbd</t>
        </is>
      </c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</row>
    <row r="640">
      <c r="A640" s="4" t="inlineStr">
        <is>
          <t>UNIT</t>
        </is>
      </c>
      <c r="B640" s="5" t="inlineStr">
        <is>
          <t>MARATHON_TEXAS_CITY_GALVESTON_BAY</t>
        </is>
      </c>
      <c r="C640" s="5" t="n">
        <v>3</v>
      </c>
      <c r="D640" s="5" t="inlineStr">
        <is>
          <t>CRUDE-EST</t>
        </is>
      </c>
      <c r="E640" s="5" t="inlineStr">
        <is>
          <t>est. yield</t>
        </is>
      </c>
      <c r="F640" s="14">
        <f>SUMIFS(Data!$G$3:$G$125,Data!$A$3:$A$125,$B640)</f>
        <v/>
      </c>
      <c r="G640" s="7" t="n"/>
      <c r="H640" s="8">
        <f>IF($G640&lt;&gt;"",$G640,SUMIFS(Assumptions!$K$4:$K$8,Assumptions!$J$4:$J$8,$C640))</f>
        <v/>
      </c>
      <c r="I640" s="7" t="n"/>
      <c r="J640" s="9">
        <f>IF($I640&lt;&gt;"",$I640,SUMIFS(Data!$N$3:$N$125,Data!$A$3:$A$125,$B640)*Assumptions!$S$4)</f>
        <v/>
      </c>
      <c r="K640" s="7" t="n"/>
      <c r="L640" s="9">
        <f>IF($K640&lt;&gt;"",$K640,SUMIFS(Data!$N$3:$N$125,Data!$A$3:$A$125,$B640)*Assumptions!$S$5)</f>
        <v/>
      </c>
      <c r="M640" s="9">
        <f>J640+L640</f>
        <v/>
      </c>
      <c r="N640" s="10">
        <f>$F640*$H640*$M640</f>
        <v/>
      </c>
    </row>
    <row r="641">
      <c r="A641" s="11" t="inlineStr">
        <is>
          <t>TOTAL</t>
        </is>
      </c>
      <c r="B641" s="12" t="inlineStr">
        <is>
          <t>MARATHON_TEXAS_CITY_GALVESTON_BAY</t>
        </is>
      </c>
      <c r="C641" s="12" t="n">
        <v>3</v>
      </c>
      <c r="D641" s="12" t="inlineStr">
        <is>
          <t>NET NAPHTHA</t>
        </is>
      </c>
      <c r="N641" s="13">
        <f>SUM(N640:N640)</f>
        <v/>
      </c>
    </row>
    <row r="643">
      <c r="A643" s="1" t="inlineStr">
        <is>
          <t xml:space="preserve">  Hunt Refining Consolidated Tuscaloosa  [HUNT_TUSCALOOSA]   —   Hunt Refining Consolidated   —   PADD 3   —   crude 40 kbd</t>
        </is>
      </c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</row>
    <row r="644">
      <c r="A644" s="4" t="inlineStr">
        <is>
          <t>UNIT</t>
        </is>
      </c>
      <c r="B644" s="5" t="inlineStr">
        <is>
          <t>HUNT_TUSCALOOSA</t>
        </is>
      </c>
      <c r="C644" s="5" t="n">
        <v>3</v>
      </c>
      <c r="D644" s="5" t="inlineStr">
        <is>
          <t>CDU</t>
        </is>
      </c>
      <c r="E644" s="5" t="inlineStr">
        <is>
          <t>CDU</t>
        </is>
      </c>
      <c r="F644" s="6" t="n">
        <v>50</v>
      </c>
      <c r="G644" s="7" t="n">
        <v>0.792</v>
      </c>
      <c r="H644" s="8">
        <f>IF($G644&lt;&gt;"",$G644,SUMIFS(Assumptions!$K$4:$K$8,Assumptions!$J$4:$J$8,$C644))</f>
        <v/>
      </c>
      <c r="I644" s="7" t="n"/>
      <c r="J644" s="9">
        <f>IF($I644&lt;&gt;"",$I644,SUMIFS(Assumptions!$P$4:$P$93,Assumptions!$M$4:$M$93,$C644,Assumptions!$N$4:$N$93,$E644,Assumptions!$O$4:$O$93,"LVN"))</f>
        <v/>
      </c>
      <c r="K644" s="7" t="n"/>
      <c r="L644" s="9">
        <f>IF($K644&lt;&gt;"",$K644,SUMIFS(Assumptions!$P$4:$P$93,Assumptions!$M$4:$M$93,$C644,Assumptions!$N$4:$N$93,$E644,Assumptions!$O$4:$O$93,"HVN"))</f>
        <v/>
      </c>
      <c r="M644" s="9">
        <f>J644+L644</f>
        <v/>
      </c>
      <c r="N644" s="10">
        <f>$F644*$H644*$M644</f>
        <v/>
      </c>
    </row>
    <row r="645">
      <c r="A645" s="4" t="inlineStr">
        <is>
          <t>UNIT</t>
        </is>
      </c>
      <c r="B645" s="5" t="inlineStr">
        <is>
          <t>HUNT_TUSCALOOSA</t>
        </is>
      </c>
      <c r="C645" s="5" t="n">
        <v>3</v>
      </c>
      <c r="D645" s="5" t="inlineStr">
        <is>
          <t>VDU</t>
        </is>
      </c>
      <c r="E645" s="5" t="inlineStr">
        <is>
          <t>VDU</t>
        </is>
      </c>
      <c r="F645" s="6" t="n">
        <v>25</v>
      </c>
      <c r="G645" s="7" t="n">
        <v>0.926</v>
      </c>
      <c r="H645" s="8">
        <f>IF($G645&lt;&gt;"",$G645,SUMIFS(Assumptions!$K$4:$K$8,Assumptions!$J$4:$J$8,$C645))</f>
        <v/>
      </c>
      <c r="I645" s="7" t="n"/>
      <c r="J645" s="9">
        <f>IF($I645&lt;&gt;"",$I645,SUMIFS(Assumptions!$P$4:$P$93,Assumptions!$M$4:$M$93,$C645,Assumptions!$N$4:$N$93,$E645,Assumptions!$O$4:$O$93,"LVN"))</f>
        <v/>
      </c>
      <c r="K645" s="7" t="n"/>
      <c r="L645" s="9">
        <f>IF($K645&lt;&gt;"",$K645,SUMIFS(Assumptions!$P$4:$P$93,Assumptions!$M$4:$M$93,$C645,Assumptions!$N$4:$N$93,$E645,Assumptions!$O$4:$O$93,"HVN"))</f>
        <v/>
      </c>
      <c r="M645" s="9">
        <f>J645+L645</f>
        <v/>
      </c>
      <c r="N645" s="10">
        <f>$F645*$H645*$M645</f>
        <v/>
      </c>
    </row>
    <row r="646">
      <c r="A646" s="4" t="inlineStr">
        <is>
          <t>UNIT</t>
        </is>
      </c>
      <c r="B646" s="5" t="inlineStr">
        <is>
          <t>HUNT_TUSCALOOSA</t>
        </is>
      </c>
      <c r="C646" s="5" t="n">
        <v>3</v>
      </c>
      <c r="D646" s="5" t="inlineStr">
        <is>
          <t>DHCU</t>
        </is>
      </c>
      <c r="E646" s="5" t="inlineStr">
        <is>
          <t>HYDROCRACKER</t>
        </is>
      </c>
      <c r="F646" s="6" t="n">
        <v>20.5</v>
      </c>
      <c r="G646" s="7" t="n">
        <v>0.602</v>
      </c>
      <c r="H646" s="8">
        <f>IF($G646&lt;&gt;"",$G646,SUMIFS(Assumptions!$K$4:$K$8,Assumptions!$J$4:$J$8,$C646))</f>
        <v/>
      </c>
      <c r="I646" s="7" t="n"/>
      <c r="J646" s="9">
        <f>IF($I646&lt;&gt;"",$I646,SUMIFS(Assumptions!$P$4:$P$93,Assumptions!$M$4:$M$93,$C646,Assumptions!$N$4:$N$93,$E646,Assumptions!$O$4:$O$93,"LVN"))</f>
        <v/>
      </c>
      <c r="K646" s="7" t="n"/>
      <c r="L646" s="9">
        <f>IF($K646&lt;&gt;"",$K646,SUMIFS(Assumptions!$P$4:$P$93,Assumptions!$M$4:$M$93,$C646,Assumptions!$N$4:$N$93,$E646,Assumptions!$O$4:$O$93,"HVN"))</f>
        <v/>
      </c>
      <c r="M646" s="9">
        <f>J646+L646</f>
        <v/>
      </c>
      <c r="N646" s="10">
        <f>$F646*$H646*$M646</f>
        <v/>
      </c>
    </row>
    <row r="647">
      <c r="A647" s="4" t="inlineStr">
        <is>
          <t>UNIT</t>
        </is>
      </c>
      <c r="B647" s="5" t="inlineStr">
        <is>
          <t>HUNT_TUSCALOOSA</t>
        </is>
      </c>
      <c r="C647" s="5" t="n">
        <v>3</v>
      </c>
      <c r="D647" s="5" t="inlineStr">
        <is>
          <t>COKER</t>
        </is>
      </c>
      <c r="E647" s="5" t="inlineStr">
        <is>
          <t>COKER</t>
        </is>
      </c>
      <c r="F647" s="6" t="n">
        <v>34</v>
      </c>
      <c r="G647" s="7" t="n">
        <v>0.144</v>
      </c>
      <c r="H647" s="8">
        <f>IF($G647&lt;&gt;"",$G647,SUMIFS(Assumptions!$K$4:$K$8,Assumptions!$J$4:$J$8,$C647))</f>
        <v/>
      </c>
      <c r="I647" s="7" t="n"/>
      <c r="J647" s="9">
        <f>IF($I647&lt;&gt;"",$I647,SUMIFS(Assumptions!$P$4:$P$93,Assumptions!$M$4:$M$93,$C647,Assumptions!$N$4:$N$93,$E647,Assumptions!$O$4:$O$93,"LVN"))</f>
        <v/>
      </c>
      <c r="K647" s="7" t="n"/>
      <c r="L647" s="9">
        <f>IF($K647&lt;&gt;"",$K647,SUMIFS(Assumptions!$P$4:$P$93,Assumptions!$M$4:$M$93,$C647,Assumptions!$N$4:$N$93,$E647,Assumptions!$O$4:$O$93,"HVN"))</f>
        <v/>
      </c>
      <c r="M647" s="9">
        <f>J647+L647</f>
        <v/>
      </c>
      <c r="N647" s="10">
        <f>$F647*$H647*$M647</f>
        <v/>
      </c>
    </row>
    <row r="648">
      <c r="A648" s="4" t="inlineStr">
        <is>
          <t>UNIT</t>
        </is>
      </c>
      <c r="B648" s="5" t="inlineStr">
        <is>
          <t>HUNT_TUSCALOOSA</t>
        </is>
      </c>
      <c r="C648" s="5" t="n">
        <v>3</v>
      </c>
      <c r="D648" s="5" t="inlineStr">
        <is>
          <t>CCR</t>
        </is>
      </c>
      <c r="E648" s="5" t="inlineStr">
        <is>
          <t>REFORMER</t>
        </is>
      </c>
      <c r="F648" s="6" t="n">
        <v>15.3</v>
      </c>
      <c r="G648" s="7" t="n">
        <v>0.375</v>
      </c>
      <c r="H648" s="8">
        <f>IF($G648&lt;&gt;"",$G648,SUMIFS(Assumptions!$K$4:$K$8,Assumptions!$J$4:$J$8,$C648))</f>
        <v/>
      </c>
      <c r="I648" s="7" t="n"/>
      <c r="J648" s="9">
        <f>IF($I648&lt;&gt;"",$I648,SUMIFS(Assumptions!$P$4:$P$93,Assumptions!$M$4:$M$93,$C648,Assumptions!$N$4:$N$93,$E648,Assumptions!$O$4:$O$93,"LVN"))</f>
        <v/>
      </c>
      <c r="K648" s="7" t="n"/>
      <c r="L648" s="9">
        <f>IF($K648&lt;&gt;"",$K648,SUMIFS(Assumptions!$P$4:$P$93,Assumptions!$M$4:$M$93,$C648,Assumptions!$N$4:$N$93,$E648,Assumptions!$O$4:$O$93,"HVN"))</f>
        <v/>
      </c>
      <c r="M648" s="9">
        <f>J648+L648</f>
        <v/>
      </c>
      <c r="N648" s="10">
        <f>$F648*$H648*$M648</f>
        <v/>
      </c>
    </row>
    <row r="649">
      <c r="A649" s="4" t="inlineStr">
        <is>
          <t>UNIT</t>
        </is>
      </c>
      <c r="B649" s="5" t="inlineStr">
        <is>
          <t>HUNT_TUSCALOOSA</t>
        </is>
      </c>
      <c r="C649" s="5" t="n">
        <v>3</v>
      </c>
      <c r="D649" s="5" t="inlineStr">
        <is>
          <t>ISOM</t>
        </is>
      </c>
      <c r="E649" s="5" t="inlineStr">
        <is>
          <t>ISOM</t>
        </is>
      </c>
      <c r="F649" s="6" t="n">
        <v>4.2</v>
      </c>
      <c r="G649" s="7" t="n">
        <v>0.761</v>
      </c>
      <c r="H649" s="8">
        <f>IF($G649&lt;&gt;"",$G649,SUMIFS(Assumptions!$K$4:$K$8,Assumptions!$J$4:$J$8,$C649))</f>
        <v/>
      </c>
      <c r="I649" s="7" t="n"/>
      <c r="J649" s="9">
        <f>IF($I649&lt;&gt;"",$I649,SUMIFS(Assumptions!$P$4:$P$93,Assumptions!$M$4:$M$93,$C649,Assumptions!$N$4:$N$93,$E649,Assumptions!$O$4:$O$93,"LVN"))</f>
        <v/>
      </c>
      <c r="K649" s="7" t="n"/>
      <c r="L649" s="9">
        <f>IF($K649&lt;&gt;"",$K649,SUMIFS(Assumptions!$P$4:$P$93,Assumptions!$M$4:$M$93,$C649,Assumptions!$N$4:$N$93,$E649,Assumptions!$O$4:$O$93,"HVN"))</f>
        <v/>
      </c>
      <c r="M649" s="9">
        <f>J649+L649</f>
        <v/>
      </c>
      <c r="N649" s="10">
        <f>$F649*$H649*$M649</f>
        <v/>
      </c>
    </row>
    <row r="650">
      <c r="A650" s="11" t="inlineStr">
        <is>
          <t>TOTAL</t>
        </is>
      </c>
      <c r="B650" s="12" t="inlineStr">
        <is>
          <t>HUNT_TUSCALOOSA</t>
        </is>
      </c>
      <c r="C650" s="12" t="n">
        <v>3</v>
      </c>
      <c r="D650" s="12" t="inlineStr">
        <is>
          <t>NET NAPHTHA</t>
        </is>
      </c>
      <c r="N650" s="13">
        <f>SUM(N644:N649)</f>
        <v/>
      </c>
    </row>
    <row r="652">
      <c r="A652" s="1" t="inlineStr">
        <is>
          <t xml:space="preserve">  Ergon Vicksburg  [ERGON_VICKSBURG]   —   Ergon   —   PADD 3   —   crude 27 kbd</t>
        </is>
      </c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</row>
    <row r="653">
      <c r="A653" s="4" t="inlineStr">
        <is>
          <t>UNIT</t>
        </is>
      </c>
      <c r="B653" s="5" t="inlineStr">
        <is>
          <t>ERGON_VICKSBURG</t>
        </is>
      </c>
      <c r="C653" s="5" t="n">
        <v>3</v>
      </c>
      <c r="D653" s="5" t="inlineStr">
        <is>
          <t>CDU</t>
        </is>
      </c>
      <c r="E653" s="5" t="inlineStr">
        <is>
          <t>CDU</t>
        </is>
      </c>
      <c r="F653" s="6" t="n">
        <v>27.3</v>
      </c>
      <c r="G653" s="7" t="n"/>
      <c r="H653" s="8">
        <f>IF($G653&lt;&gt;"",$G653,SUMIFS(Assumptions!$K$4:$K$8,Assumptions!$J$4:$J$8,$C653))</f>
        <v/>
      </c>
      <c r="I653" s="7" t="n"/>
      <c r="J653" s="9">
        <f>IF($I653&lt;&gt;"",$I653,SUMIFS(Assumptions!$P$4:$P$93,Assumptions!$M$4:$M$93,$C653,Assumptions!$N$4:$N$93,$E653,Assumptions!$O$4:$O$93,"LVN"))</f>
        <v/>
      </c>
      <c r="K653" s="7" t="n"/>
      <c r="L653" s="9">
        <f>IF($K653&lt;&gt;"",$K653,SUMIFS(Assumptions!$P$4:$P$93,Assumptions!$M$4:$M$93,$C653,Assumptions!$N$4:$N$93,$E653,Assumptions!$O$4:$O$93,"HVN"))</f>
        <v/>
      </c>
      <c r="M653" s="9">
        <f>J653+L653</f>
        <v/>
      </c>
      <c r="N653" s="10">
        <f>$F653*$H653*$M653</f>
        <v/>
      </c>
    </row>
    <row r="654">
      <c r="A654" s="4" t="inlineStr">
        <is>
          <t>UNIT</t>
        </is>
      </c>
      <c r="B654" s="5" t="inlineStr">
        <is>
          <t>ERGON_VICKSBURG</t>
        </is>
      </c>
      <c r="C654" s="5" t="n">
        <v>3</v>
      </c>
      <c r="D654" s="5" t="inlineStr">
        <is>
          <t>VDU</t>
        </is>
      </c>
      <c r="E654" s="5" t="inlineStr">
        <is>
          <t>VDU</t>
        </is>
      </c>
      <c r="F654" s="6" t="n">
        <v>18</v>
      </c>
      <c r="G654" s="7" t="n"/>
      <c r="H654" s="8">
        <f>IF($G654&lt;&gt;"",$G654,SUMIFS(Assumptions!$K$4:$K$8,Assumptions!$J$4:$J$8,$C654))</f>
        <v/>
      </c>
      <c r="I654" s="7" t="n"/>
      <c r="J654" s="9">
        <f>IF($I654&lt;&gt;"",$I654,SUMIFS(Assumptions!$P$4:$P$93,Assumptions!$M$4:$M$93,$C654,Assumptions!$N$4:$N$93,$E654,Assumptions!$O$4:$O$93,"LVN"))</f>
        <v/>
      </c>
      <c r="K654" s="7" t="n"/>
      <c r="L654" s="9">
        <f>IF($K654&lt;&gt;"",$K654,SUMIFS(Assumptions!$P$4:$P$93,Assumptions!$M$4:$M$93,$C654,Assumptions!$N$4:$N$93,$E654,Assumptions!$O$4:$O$93,"HVN"))</f>
        <v/>
      </c>
      <c r="M654" s="9">
        <f>J654+L654</f>
        <v/>
      </c>
      <c r="N654" s="10">
        <f>$F654*$H654*$M654</f>
        <v/>
      </c>
    </row>
    <row r="655">
      <c r="A655" s="11" t="inlineStr">
        <is>
          <t>TOTAL</t>
        </is>
      </c>
      <c r="B655" s="12" t="inlineStr">
        <is>
          <t>ERGON_VICKSBURG</t>
        </is>
      </c>
      <c r="C655" s="12" t="n">
        <v>3</v>
      </c>
      <c r="D655" s="12" t="inlineStr">
        <is>
          <t>NET NAPHTHA</t>
        </is>
      </c>
      <c r="N655" s="13">
        <f>SUM(N653:N654)</f>
        <v/>
      </c>
    </row>
    <row r="657">
      <c r="A657" s="1" t="inlineStr">
        <is>
          <t xml:space="preserve">  Lazarus Energy San Antonio  [LAZARUS_SAN_ANTONIO]   —   Starlight Relativity Acquisition Co. LLC   —   PADD 3   —   crude 21 kbd</t>
        </is>
      </c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</row>
    <row r="658">
      <c r="A658" s="4" t="inlineStr">
        <is>
          <t>UNIT</t>
        </is>
      </c>
      <c r="B658" s="5" t="inlineStr">
        <is>
          <t>LAZARUS_SAN_ANTONIO</t>
        </is>
      </c>
      <c r="C658" s="5" t="n">
        <v>3</v>
      </c>
      <c r="D658" s="5" t="inlineStr">
        <is>
          <t>CDU</t>
        </is>
      </c>
      <c r="E658" s="5" t="inlineStr">
        <is>
          <t>CDU</t>
        </is>
      </c>
      <c r="F658" s="6" t="n">
        <v>21</v>
      </c>
      <c r="G658" s="7" t="n"/>
      <c r="H658" s="8">
        <f>IF($G658&lt;&gt;"",$G658,SUMIFS(Assumptions!$K$4:$K$8,Assumptions!$J$4:$J$8,$C658))</f>
        <v/>
      </c>
      <c r="I658" s="7" t="n"/>
      <c r="J658" s="9">
        <f>IF($I658&lt;&gt;"",$I658,SUMIFS(Assumptions!$P$4:$P$93,Assumptions!$M$4:$M$93,$C658,Assumptions!$N$4:$N$93,$E658,Assumptions!$O$4:$O$93,"LVN"))</f>
        <v/>
      </c>
      <c r="K658" s="7" t="n"/>
      <c r="L658" s="9">
        <f>IF($K658&lt;&gt;"",$K658,SUMIFS(Assumptions!$P$4:$P$93,Assumptions!$M$4:$M$93,$C658,Assumptions!$N$4:$N$93,$E658,Assumptions!$O$4:$O$93,"HVN"))</f>
        <v/>
      </c>
      <c r="M658" s="9">
        <f>J658+L658</f>
        <v/>
      </c>
      <c r="N658" s="10">
        <f>$F658*$H658*$M658</f>
        <v/>
      </c>
    </row>
    <row r="659">
      <c r="A659" s="4" t="inlineStr">
        <is>
          <t>UNIT</t>
        </is>
      </c>
      <c r="B659" s="5" t="inlineStr">
        <is>
          <t>LAZARUS_SAN_ANTONIO</t>
        </is>
      </c>
      <c r="C659" s="5" t="n">
        <v>3</v>
      </c>
      <c r="D659" s="5" t="inlineStr">
        <is>
          <t>REF</t>
        </is>
      </c>
      <c r="E659" s="5" t="inlineStr">
        <is>
          <t>REFORMER</t>
        </is>
      </c>
      <c r="F659" s="6" t="n">
        <v>6</v>
      </c>
      <c r="G659" s="7" t="n"/>
      <c r="H659" s="8">
        <f>IF($G659&lt;&gt;"",$G659,SUMIFS(Assumptions!$K$4:$K$8,Assumptions!$J$4:$J$8,$C659))</f>
        <v/>
      </c>
      <c r="I659" s="7" t="n"/>
      <c r="J659" s="9">
        <f>IF($I659&lt;&gt;"",$I659,SUMIFS(Assumptions!$P$4:$P$93,Assumptions!$M$4:$M$93,$C659,Assumptions!$N$4:$N$93,$E659,Assumptions!$O$4:$O$93,"LVN"))</f>
        <v/>
      </c>
      <c r="K659" s="7" t="n"/>
      <c r="L659" s="9">
        <f>IF($K659&lt;&gt;"",$K659,SUMIFS(Assumptions!$P$4:$P$93,Assumptions!$M$4:$M$93,$C659,Assumptions!$N$4:$N$93,$E659,Assumptions!$O$4:$O$93,"HVN"))</f>
        <v/>
      </c>
      <c r="M659" s="9">
        <f>J659+L659</f>
        <v/>
      </c>
      <c r="N659" s="10">
        <f>$F659*$H659*$M659</f>
        <v/>
      </c>
    </row>
    <row r="660">
      <c r="A660" s="11" t="inlineStr">
        <is>
          <t>TOTAL</t>
        </is>
      </c>
      <c r="B660" s="12" t="inlineStr">
        <is>
          <t>LAZARUS_SAN_ANTONIO</t>
        </is>
      </c>
      <c r="C660" s="12" t="n">
        <v>3</v>
      </c>
      <c r="D660" s="12" t="inlineStr">
        <is>
          <t>NET NAPHTHA</t>
        </is>
      </c>
      <c r="N660" s="13">
        <f>SUM(N658:N659)</f>
        <v/>
      </c>
    </row>
    <row r="662">
      <c r="A662" s="1" t="inlineStr">
        <is>
          <t xml:space="preserve">  Blue Dolphin Energy Nixon  [BLUE_NIXON]   —   Blue Dolphin Energy   —   PADD 3   —   crude 15 kbd</t>
        </is>
      </c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</row>
    <row r="663">
      <c r="A663" s="4" t="inlineStr">
        <is>
          <t>UNIT</t>
        </is>
      </c>
      <c r="B663" s="5" t="inlineStr">
        <is>
          <t>BLUE_NIXON</t>
        </is>
      </c>
      <c r="C663" s="5" t="n">
        <v>3</v>
      </c>
      <c r="D663" s="5" t="inlineStr">
        <is>
          <t>CDU</t>
        </is>
      </c>
      <c r="E663" s="5" t="inlineStr">
        <is>
          <t>CDU</t>
        </is>
      </c>
      <c r="F663" s="6" t="n">
        <v>15</v>
      </c>
      <c r="G663" s="7" t="n"/>
      <c r="H663" s="8">
        <f>IF($G663&lt;&gt;"",$G663,SUMIFS(Assumptions!$K$4:$K$8,Assumptions!$J$4:$J$8,$C663))</f>
        <v/>
      </c>
      <c r="I663" s="7" t="n"/>
      <c r="J663" s="9">
        <f>IF($I663&lt;&gt;"",$I663,SUMIFS(Assumptions!$P$4:$P$93,Assumptions!$M$4:$M$93,$C663,Assumptions!$N$4:$N$93,$E663,Assumptions!$O$4:$O$93,"LVN"))</f>
        <v/>
      </c>
      <c r="K663" s="7" t="n"/>
      <c r="L663" s="9">
        <f>IF($K663&lt;&gt;"",$K663,SUMIFS(Assumptions!$P$4:$P$93,Assumptions!$M$4:$M$93,$C663,Assumptions!$N$4:$N$93,$E663,Assumptions!$O$4:$O$93,"HVN"))</f>
        <v/>
      </c>
      <c r="M663" s="9">
        <f>J663+L663</f>
        <v/>
      </c>
      <c r="N663" s="10">
        <f>$F663*$H663*$M663</f>
        <v/>
      </c>
    </row>
    <row r="664">
      <c r="A664" s="11" t="inlineStr">
        <is>
          <t>TOTAL</t>
        </is>
      </c>
      <c r="B664" s="12" t="inlineStr">
        <is>
          <t>BLUE_NIXON</t>
        </is>
      </c>
      <c r="C664" s="12" t="n">
        <v>3</v>
      </c>
      <c r="D664" s="12" t="inlineStr">
        <is>
          <t>NET NAPHTHA</t>
        </is>
      </c>
      <c r="N664" s="13">
        <f>SUM(N663:N663)</f>
        <v/>
      </c>
    </row>
    <row r="666">
      <c r="A666" s="1" t="inlineStr">
        <is>
          <t xml:space="preserve">  Calumet Lubricants Co. Cotton Valley  [CALUMET_COTTON_VALLEY]   —   Calumet Lubricants Co.   —   PADD 3   —   crude 14 kbd</t>
        </is>
      </c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</row>
    <row r="667">
      <c r="A667" s="4" t="inlineStr">
        <is>
          <t>UNIT</t>
        </is>
      </c>
      <c r="B667" s="5" t="inlineStr">
        <is>
          <t>CALUMET_COTTON_VALLEY</t>
        </is>
      </c>
      <c r="C667" s="5" t="n">
        <v>3</v>
      </c>
      <c r="D667" s="5" t="inlineStr">
        <is>
          <t>CDU</t>
        </is>
      </c>
      <c r="E667" s="5" t="inlineStr">
        <is>
          <t>CDU</t>
        </is>
      </c>
      <c r="F667" s="6" t="n">
        <v>14</v>
      </c>
      <c r="G667" s="7" t="n"/>
      <c r="H667" s="8">
        <f>IF($G667&lt;&gt;"",$G667,SUMIFS(Assumptions!$K$4:$K$8,Assumptions!$J$4:$J$8,$C667))</f>
        <v/>
      </c>
      <c r="I667" s="7" t="n"/>
      <c r="J667" s="9">
        <f>IF($I667&lt;&gt;"",$I667,SUMIFS(Assumptions!$P$4:$P$93,Assumptions!$M$4:$M$93,$C667,Assumptions!$N$4:$N$93,$E667,Assumptions!$O$4:$O$93,"LVN"))</f>
        <v/>
      </c>
      <c r="K667" s="7" t="n"/>
      <c r="L667" s="9">
        <f>IF($K667&lt;&gt;"",$K667,SUMIFS(Assumptions!$P$4:$P$93,Assumptions!$M$4:$M$93,$C667,Assumptions!$N$4:$N$93,$E667,Assumptions!$O$4:$O$93,"HVN"))</f>
        <v/>
      </c>
      <c r="M667" s="9">
        <f>J667+L667</f>
        <v/>
      </c>
      <c r="N667" s="10">
        <f>$F667*$H667*$M667</f>
        <v/>
      </c>
    </row>
    <row r="668">
      <c r="A668" s="4" t="inlineStr">
        <is>
          <t>UNIT</t>
        </is>
      </c>
      <c r="B668" s="5" t="inlineStr">
        <is>
          <t>CALUMET_COTTON_VALLEY</t>
        </is>
      </c>
      <c r="C668" s="5" t="n">
        <v>3</v>
      </c>
      <c r="D668" s="5" t="inlineStr">
        <is>
          <t>ISOM</t>
        </is>
      </c>
      <c r="E668" s="5" t="inlineStr">
        <is>
          <t>ISOM</t>
        </is>
      </c>
      <c r="F668" s="6" t="n">
        <v>0.5</v>
      </c>
      <c r="G668" s="7" t="n"/>
      <c r="H668" s="8">
        <f>IF($G668&lt;&gt;"",$G668,SUMIFS(Assumptions!$K$4:$K$8,Assumptions!$J$4:$J$8,$C668))</f>
        <v/>
      </c>
      <c r="I668" s="7" t="n"/>
      <c r="J668" s="9">
        <f>IF($I668&lt;&gt;"",$I668,SUMIFS(Assumptions!$P$4:$P$93,Assumptions!$M$4:$M$93,$C668,Assumptions!$N$4:$N$93,$E668,Assumptions!$O$4:$O$93,"LVN"))</f>
        <v/>
      </c>
      <c r="K668" s="7" t="n"/>
      <c r="L668" s="9">
        <f>IF($K668&lt;&gt;"",$K668,SUMIFS(Assumptions!$P$4:$P$93,Assumptions!$M$4:$M$93,$C668,Assumptions!$N$4:$N$93,$E668,Assumptions!$O$4:$O$93,"HVN"))</f>
        <v/>
      </c>
      <c r="M668" s="9">
        <f>J668+L668</f>
        <v/>
      </c>
      <c r="N668" s="10">
        <f>$F668*$H668*$M668</f>
        <v/>
      </c>
    </row>
    <row r="669">
      <c r="A669" s="11" t="inlineStr">
        <is>
          <t>TOTAL</t>
        </is>
      </c>
      <c r="B669" s="12" t="inlineStr">
        <is>
          <t>CALUMET_COTTON_VALLEY</t>
        </is>
      </c>
      <c r="C669" s="12" t="n">
        <v>3</v>
      </c>
      <c r="D669" s="12" t="inlineStr">
        <is>
          <t>NET NAPHTHA</t>
        </is>
      </c>
      <c r="N669" s="13">
        <f>SUM(N667:N668)</f>
        <v/>
      </c>
    </row>
    <row r="671">
      <c r="A671" s="1" t="inlineStr">
        <is>
          <t xml:space="preserve">  Hunt Refining Consolidated Sandersville  [HUNT_SANDERSVILLE]   —   Hunt Refining Consolidated   —   PADD 3   —   crude 12 kbd</t>
        </is>
      </c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</row>
    <row r="672">
      <c r="A672" s="4" t="inlineStr">
        <is>
          <t>UNIT</t>
        </is>
      </c>
      <c r="B672" s="5" t="inlineStr">
        <is>
          <t>HUNT_SANDERSVILLE</t>
        </is>
      </c>
      <c r="C672" s="5" t="n">
        <v>3</v>
      </c>
      <c r="D672" s="5" t="inlineStr">
        <is>
          <t>CDU</t>
        </is>
      </c>
      <c r="E672" s="5" t="inlineStr">
        <is>
          <t>CDU</t>
        </is>
      </c>
      <c r="F672" s="6" t="n">
        <v>12.5</v>
      </c>
      <c r="G672" s="7" t="n"/>
      <c r="H672" s="8">
        <f>IF($G672&lt;&gt;"",$G672,SUMIFS(Assumptions!$K$4:$K$8,Assumptions!$J$4:$J$8,$C672))</f>
        <v/>
      </c>
      <c r="I672" s="7" t="n"/>
      <c r="J672" s="9">
        <f>IF($I672&lt;&gt;"",$I672,SUMIFS(Assumptions!$P$4:$P$93,Assumptions!$M$4:$M$93,$C672,Assumptions!$N$4:$N$93,$E672,Assumptions!$O$4:$O$93,"LVN"))</f>
        <v/>
      </c>
      <c r="K672" s="7" t="n"/>
      <c r="L672" s="9">
        <f>IF($K672&lt;&gt;"",$K672,SUMIFS(Assumptions!$P$4:$P$93,Assumptions!$M$4:$M$93,$C672,Assumptions!$N$4:$N$93,$E672,Assumptions!$O$4:$O$93,"HVN"))</f>
        <v/>
      </c>
      <c r="M672" s="9">
        <f>J672+L672</f>
        <v/>
      </c>
      <c r="N672" s="10">
        <f>$F672*$H672*$M672</f>
        <v/>
      </c>
    </row>
    <row r="673">
      <c r="A673" s="4" t="inlineStr">
        <is>
          <t>UNIT</t>
        </is>
      </c>
      <c r="B673" s="5" t="inlineStr">
        <is>
          <t>HUNT_SANDERSVILLE</t>
        </is>
      </c>
      <c r="C673" s="5" t="n">
        <v>3</v>
      </c>
      <c r="D673" s="5" t="inlineStr">
        <is>
          <t>VDU</t>
        </is>
      </c>
      <c r="E673" s="5" t="inlineStr">
        <is>
          <t>VDU</t>
        </is>
      </c>
      <c r="F673" s="6" t="n">
        <v>6.88</v>
      </c>
      <c r="G673" s="7" t="n"/>
      <c r="H673" s="8">
        <f>IF($G673&lt;&gt;"",$G673,SUMIFS(Assumptions!$K$4:$K$8,Assumptions!$J$4:$J$8,$C673))</f>
        <v/>
      </c>
      <c r="I673" s="7" t="n"/>
      <c r="J673" s="9">
        <f>IF($I673&lt;&gt;"",$I673,SUMIFS(Assumptions!$P$4:$P$93,Assumptions!$M$4:$M$93,$C673,Assumptions!$N$4:$N$93,$E673,Assumptions!$O$4:$O$93,"LVN"))</f>
        <v/>
      </c>
      <c r="K673" s="7" t="n"/>
      <c r="L673" s="9">
        <f>IF($K673&lt;&gt;"",$K673,SUMIFS(Assumptions!$P$4:$P$93,Assumptions!$M$4:$M$93,$C673,Assumptions!$N$4:$N$93,$E673,Assumptions!$O$4:$O$93,"HVN"))</f>
        <v/>
      </c>
      <c r="M673" s="9">
        <f>J673+L673</f>
        <v/>
      </c>
      <c r="N673" s="10">
        <f>$F673*$H673*$M673</f>
        <v/>
      </c>
    </row>
    <row r="674">
      <c r="A674" s="11" t="inlineStr">
        <is>
          <t>TOTAL</t>
        </is>
      </c>
      <c r="B674" s="12" t="inlineStr">
        <is>
          <t>HUNT_SANDERSVILLE</t>
        </is>
      </c>
      <c r="C674" s="12" t="n">
        <v>3</v>
      </c>
      <c r="D674" s="12" t="inlineStr">
        <is>
          <t>NET NAPHTHA</t>
        </is>
      </c>
      <c r="N674" s="13">
        <f>SUM(N672:N673)</f>
        <v/>
      </c>
    </row>
    <row r="676">
      <c r="A676" s="1" t="inlineStr">
        <is>
          <t xml:space="preserve">  Calumet Lubricants Co. Princeton  [CALUMET_PRINCETON]   —   Calumet Lubricants Co.   —   PADD 3   —   crude 9 kbd</t>
        </is>
      </c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</row>
    <row r="677">
      <c r="A677" s="4" t="inlineStr">
        <is>
          <t>UNIT</t>
        </is>
      </c>
      <c r="B677" s="5" t="inlineStr">
        <is>
          <t>CALUMET_PRINCETON</t>
        </is>
      </c>
      <c r="C677" s="5" t="n">
        <v>3</v>
      </c>
      <c r="D677" s="5" t="inlineStr">
        <is>
          <t>CDU</t>
        </is>
      </c>
      <c r="E677" s="5" t="inlineStr">
        <is>
          <t>CDU</t>
        </is>
      </c>
      <c r="F677" s="6" t="n">
        <v>8.65</v>
      </c>
      <c r="G677" s="7" t="n"/>
      <c r="H677" s="8">
        <f>IF($G677&lt;&gt;"",$G677,SUMIFS(Assumptions!$K$4:$K$8,Assumptions!$J$4:$J$8,$C677))</f>
        <v/>
      </c>
      <c r="I677" s="7" t="n"/>
      <c r="J677" s="9">
        <f>IF($I677&lt;&gt;"",$I677,SUMIFS(Assumptions!$P$4:$P$93,Assumptions!$M$4:$M$93,$C677,Assumptions!$N$4:$N$93,$E677,Assumptions!$O$4:$O$93,"LVN"))</f>
        <v/>
      </c>
      <c r="K677" s="7" t="n"/>
      <c r="L677" s="9">
        <f>IF($K677&lt;&gt;"",$K677,SUMIFS(Assumptions!$P$4:$P$93,Assumptions!$M$4:$M$93,$C677,Assumptions!$N$4:$N$93,$E677,Assumptions!$O$4:$O$93,"HVN"))</f>
        <v/>
      </c>
      <c r="M677" s="9">
        <f>J677+L677</f>
        <v/>
      </c>
      <c r="N677" s="10">
        <f>$F677*$H677*$M677</f>
        <v/>
      </c>
    </row>
    <row r="678">
      <c r="A678" s="4" t="inlineStr">
        <is>
          <t>UNIT</t>
        </is>
      </c>
      <c r="B678" s="5" t="inlineStr">
        <is>
          <t>CALUMET_PRINCETON</t>
        </is>
      </c>
      <c r="C678" s="5" t="n">
        <v>3</v>
      </c>
      <c r="D678" s="5" t="inlineStr">
        <is>
          <t>VDU</t>
        </is>
      </c>
      <c r="E678" s="5" t="inlineStr">
        <is>
          <t>VDU</t>
        </is>
      </c>
      <c r="F678" s="6" t="n">
        <v>7</v>
      </c>
      <c r="G678" s="7" t="n"/>
      <c r="H678" s="8">
        <f>IF($G678&lt;&gt;"",$G678,SUMIFS(Assumptions!$K$4:$K$8,Assumptions!$J$4:$J$8,$C678))</f>
        <v/>
      </c>
      <c r="I678" s="7" t="n"/>
      <c r="J678" s="9">
        <f>IF($I678&lt;&gt;"",$I678,SUMIFS(Assumptions!$P$4:$P$93,Assumptions!$M$4:$M$93,$C678,Assumptions!$N$4:$N$93,$E678,Assumptions!$O$4:$O$93,"LVN"))</f>
        <v/>
      </c>
      <c r="K678" s="7" t="n"/>
      <c r="L678" s="9">
        <f>IF($K678&lt;&gt;"",$K678,SUMIFS(Assumptions!$P$4:$P$93,Assumptions!$M$4:$M$93,$C678,Assumptions!$N$4:$N$93,$E678,Assumptions!$O$4:$O$93,"HVN"))</f>
        <v/>
      </c>
      <c r="M678" s="9">
        <f>J678+L678</f>
        <v/>
      </c>
      <c r="N678" s="10">
        <f>$F678*$H678*$M678</f>
        <v/>
      </c>
    </row>
    <row r="679">
      <c r="A679" s="11" t="inlineStr">
        <is>
          <t>TOTAL</t>
        </is>
      </c>
      <c r="B679" s="12" t="inlineStr">
        <is>
          <t>CALUMET_PRINCETON</t>
        </is>
      </c>
      <c r="C679" s="12" t="n">
        <v>3</v>
      </c>
      <c r="D679" s="12" t="inlineStr">
        <is>
          <t>NET NAPHTHA</t>
        </is>
      </c>
      <c r="N679" s="13">
        <f>SUM(N677:N678)</f>
        <v/>
      </c>
    </row>
    <row r="681">
      <c r="A681" s="1" t="inlineStr">
        <is>
          <t xml:space="preserve">  Cross Oil and Ref.Co. Smackover  [CROSS_SMACKOVER]   —   Cross Oil and Ref.Co.   —   PADD 3   —   crude 8 kbd</t>
        </is>
      </c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</row>
    <row r="682">
      <c r="A682" s="4" t="inlineStr">
        <is>
          <t>UNIT</t>
        </is>
      </c>
      <c r="B682" s="5" t="inlineStr">
        <is>
          <t>CROSS_SMACKOVER</t>
        </is>
      </c>
      <c r="C682" s="5" t="n">
        <v>3</v>
      </c>
      <c r="D682" s="5" t="inlineStr">
        <is>
          <t>CDU</t>
        </is>
      </c>
      <c r="E682" s="5" t="inlineStr">
        <is>
          <t>CDU</t>
        </is>
      </c>
      <c r="F682" s="6" t="n">
        <v>7.7</v>
      </c>
      <c r="G682" s="7" t="n"/>
      <c r="H682" s="8">
        <f>IF($G682&lt;&gt;"",$G682,SUMIFS(Assumptions!$K$4:$K$8,Assumptions!$J$4:$J$8,$C682))</f>
        <v/>
      </c>
      <c r="I682" s="7" t="n"/>
      <c r="J682" s="9">
        <f>IF($I682&lt;&gt;"",$I682,SUMIFS(Assumptions!$P$4:$P$93,Assumptions!$M$4:$M$93,$C682,Assumptions!$N$4:$N$93,$E682,Assumptions!$O$4:$O$93,"LVN"))</f>
        <v/>
      </c>
      <c r="K682" s="7" t="n"/>
      <c r="L682" s="9">
        <f>IF($K682&lt;&gt;"",$K682,SUMIFS(Assumptions!$P$4:$P$93,Assumptions!$M$4:$M$93,$C682,Assumptions!$N$4:$N$93,$E682,Assumptions!$O$4:$O$93,"HVN"))</f>
        <v/>
      </c>
      <c r="M682" s="9">
        <f>J682+L682</f>
        <v/>
      </c>
      <c r="N682" s="10">
        <f>$F682*$H682*$M682</f>
        <v/>
      </c>
    </row>
    <row r="683">
      <c r="A683" s="4" t="inlineStr">
        <is>
          <t>UNIT</t>
        </is>
      </c>
      <c r="B683" s="5" t="inlineStr">
        <is>
          <t>CROSS_SMACKOVER</t>
        </is>
      </c>
      <c r="C683" s="5" t="n">
        <v>3</v>
      </c>
      <c r="D683" s="5" t="inlineStr">
        <is>
          <t>VDU</t>
        </is>
      </c>
      <c r="E683" s="5" t="inlineStr">
        <is>
          <t>VDU</t>
        </is>
      </c>
      <c r="F683" s="6" t="n">
        <v>3.85</v>
      </c>
      <c r="G683" s="7" t="n"/>
      <c r="H683" s="8">
        <f>IF($G683&lt;&gt;"",$G683,SUMIFS(Assumptions!$K$4:$K$8,Assumptions!$J$4:$J$8,$C683))</f>
        <v/>
      </c>
      <c r="I683" s="7" t="n"/>
      <c r="J683" s="9">
        <f>IF($I683&lt;&gt;"",$I683,SUMIFS(Assumptions!$P$4:$P$93,Assumptions!$M$4:$M$93,$C683,Assumptions!$N$4:$N$93,$E683,Assumptions!$O$4:$O$93,"LVN"))</f>
        <v/>
      </c>
      <c r="K683" s="7" t="n"/>
      <c r="L683" s="9">
        <f>IF($K683&lt;&gt;"",$K683,SUMIFS(Assumptions!$P$4:$P$93,Assumptions!$M$4:$M$93,$C683,Assumptions!$N$4:$N$93,$E683,Assumptions!$O$4:$O$93,"HVN"))</f>
        <v/>
      </c>
      <c r="M683" s="9">
        <f>J683+L683</f>
        <v/>
      </c>
      <c r="N683" s="10">
        <f>$F683*$H683*$M683</f>
        <v/>
      </c>
    </row>
    <row r="684">
      <c r="A684" s="11" t="inlineStr">
        <is>
          <t>TOTAL</t>
        </is>
      </c>
      <c r="B684" s="12" t="inlineStr">
        <is>
          <t>CROSS_SMACKOVER</t>
        </is>
      </c>
      <c r="C684" s="12" t="n">
        <v>3</v>
      </c>
      <c r="D684" s="12" t="inlineStr">
        <is>
          <t>NET NAPHTHA</t>
        </is>
      </c>
      <c r="N684" s="13">
        <f>SUM(N682:N683)</f>
        <v/>
      </c>
    </row>
    <row r="686">
      <c r="A686" s="1" t="inlineStr">
        <is>
          <t xml:space="preserve">  Goodway Refining Atmore  [GOODWAY_ATMORE]   —   Goodway Refining   —   PADD 3   —   crude 4 kbd</t>
        </is>
      </c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</row>
    <row r="687">
      <c r="A687" s="4" t="inlineStr">
        <is>
          <t>UNIT</t>
        </is>
      </c>
      <c r="B687" s="5" t="inlineStr">
        <is>
          <t>GOODWAY_ATMORE</t>
        </is>
      </c>
      <c r="C687" s="5" t="n">
        <v>3</v>
      </c>
      <c r="D687" s="5" t="inlineStr">
        <is>
          <t>CDU</t>
        </is>
      </c>
      <c r="E687" s="5" t="inlineStr">
        <is>
          <t>CDU</t>
        </is>
      </c>
      <c r="F687" s="6" t="n">
        <v>5</v>
      </c>
      <c r="G687" s="7" t="n"/>
      <c r="H687" s="8">
        <f>IF($G687&lt;&gt;"",$G687,SUMIFS(Assumptions!$K$4:$K$8,Assumptions!$J$4:$J$8,$C687))</f>
        <v/>
      </c>
      <c r="I687" s="7" t="n"/>
      <c r="J687" s="9">
        <f>IF($I687&lt;&gt;"",$I687,SUMIFS(Assumptions!$P$4:$P$93,Assumptions!$M$4:$M$93,$C687,Assumptions!$N$4:$N$93,$E687,Assumptions!$O$4:$O$93,"LVN"))</f>
        <v/>
      </c>
      <c r="K687" s="7" t="n"/>
      <c r="L687" s="9">
        <f>IF($K687&lt;&gt;"",$K687,SUMIFS(Assumptions!$P$4:$P$93,Assumptions!$M$4:$M$93,$C687,Assumptions!$N$4:$N$93,$E687,Assumptions!$O$4:$O$93,"HVN"))</f>
        <v/>
      </c>
      <c r="M687" s="9">
        <f>J687+L687</f>
        <v/>
      </c>
      <c r="N687" s="10">
        <f>$F687*$H687*$M687</f>
        <v/>
      </c>
    </row>
    <row r="688">
      <c r="A688" s="11" t="inlineStr">
        <is>
          <t>TOTAL</t>
        </is>
      </c>
      <c r="B688" s="12" t="inlineStr">
        <is>
          <t>GOODWAY_ATMORE</t>
        </is>
      </c>
      <c r="C688" s="12" t="n">
        <v>3</v>
      </c>
      <c r="D688" s="12" t="inlineStr">
        <is>
          <t>NET NAPHTHA</t>
        </is>
      </c>
      <c r="N688" s="13">
        <f>SUM(N687:N687)</f>
        <v/>
      </c>
    </row>
    <row r="690">
      <c r="A690" s="1" t="inlineStr">
        <is>
          <t xml:space="preserve">  LyondellBasell Refining Houston  [LYONDELLBASELL_HOUSTON]   —   Access Industries   —   PADD 3   —   crude: pending capacity sheet</t>
        </is>
      </c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</row>
    <row r="691">
      <c r="A691" s="4" t="inlineStr">
        <is>
          <t>UNIT</t>
        </is>
      </c>
      <c r="B691" s="5" t="inlineStr">
        <is>
          <t>LYONDELLBASELL_HOUSTON</t>
        </is>
      </c>
      <c r="C691" s="5" t="n">
        <v>3</v>
      </c>
      <c r="D691" s="5" t="inlineStr">
        <is>
          <t>CRUDE-EST</t>
        </is>
      </c>
      <c r="E691" s="5" t="inlineStr">
        <is>
          <t>est. yield</t>
        </is>
      </c>
      <c r="F691" s="14">
        <f>SUMIFS(Data!$G$3:$G$125,Data!$A$3:$A$125,$B691)</f>
        <v/>
      </c>
      <c r="G691" s="7" t="n"/>
      <c r="H691" s="8">
        <f>IF($G691&lt;&gt;"",$G691,SUMIFS(Assumptions!$K$4:$K$8,Assumptions!$J$4:$J$8,$C691))</f>
        <v/>
      </c>
      <c r="I691" s="7" t="n"/>
      <c r="J691" s="9">
        <f>IF($I691&lt;&gt;"",$I691,SUMIFS(Data!$N$3:$N$125,Data!$A$3:$A$125,$B691)*Assumptions!$S$4)</f>
        <v/>
      </c>
      <c r="K691" s="7" t="n"/>
      <c r="L691" s="9">
        <f>IF($K691&lt;&gt;"",$K691,SUMIFS(Data!$N$3:$N$125,Data!$A$3:$A$125,$B691)*Assumptions!$S$5)</f>
        <v/>
      </c>
      <c r="M691" s="9">
        <f>J691+L691</f>
        <v/>
      </c>
      <c r="N691" s="10">
        <f>$F691*$H691*$M691</f>
        <v/>
      </c>
    </row>
    <row r="692">
      <c r="A692" s="11" t="inlineStr">
        <is>
          <t>TOTAL</t>
        </is>
      </c>
      <c r="B692" s="12" t="inlineStr">
        <is>
          <t>LYONDELLBASELL_HOUSTON</t>
        </is>
      </c>
      <c r="C692" s="12" t="n">
        <v>3</v>
      </c>
      <c r="D692" s="12" t="inlineStr">
        <is>
          <t>NET NAPHTHA</t>
        </is>
      </c>
      <c r="N692" s="13">
        <f>SUM(N691:N691)</f>
        <v/>
      </c>
    </row>
    <row r="694">
      <c r="A694" s="1" t="inlineStr">
        <is>
          <t xml:space="preserve">  Shell Convent  [SHELL_CONVENT]   —   Shell   —   PADD 3   —   crude: pending capacity sheet</t>
        </is>
      </c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</row>
    <row r="695">
      <c r="A695" s="4" t="inlineStr">
        <is>
          <t>UNIT</t>
        </is>
      </c>
      <c r="B695" s="5" t="inlineStr">
        <is>
          <t>SHELL_CONVENT</t>
        </is>
      </c>
      <c r="C695" s="5" t="n">
        <v>3</v>
      </c>
      <c r="D695" s="5" t="inlineStr">
        <is>
          <t>CRUDE-EST</t>
        </is>
      </c>
      <c r="E695" s="5" t="inlineStr">
        <is>
          <t>est. yield</t>
        </is>
      </c>
      <c r="F695" s="14">
        <f>SUMIFS(Data!$G$3:$G$125,Data!$A$3:$A$125,$B695)</f>
        <v/>
      </c>
      <c r="G695" s="7" t="n"/>
      <c r="H695" s="8">
        <f>IF($G695&lt;&gt;"",$G695,SUMIFS(Assumptions!$K$4:$K$8,Assumptions!$J$4:$J$8,$C695))</f>
        <v/>
      </c>
      <c r="I695" s="7" t="n"/>
      <c r="J695" s="9">
        <f>IF($I695&lt;&gt;"",$I695,SUMIFS(Data!$N$3:$N$125,Data!$A$3:$A$125,$B695)*Assumptions!$S$4)</f>
        <v/>
      </c>
      <c r="K695" s="7" t="n"/>
      <c r="L695" s="9">
        <f>IF($K695&lt;&gt;"",$K695,SUMIFS(Data!$N$3:$N$125,Data!$A$3:$A$125,$B695)*Assumptions!$S$5)</f>
        <v/>
      </c>
      <c r="M695" s="9">
        <f>J695+L695</f>
        <v/>
      </c>
      <c r="N695" s="10">
        <f>$F695*$H695*$M695</f>
        <v/>
      </c>
    </row>
    <row r="696">
      <c r="A696" s="11" t="inlineStr">
        <is>
          <t>TOTAL</t>
        </is>
      </c>
      <c r="B696" s="12" t="inlineStr">
        <is>
          <t>SHELL_CONVENT</t>
        </is>
      </c>
      <c r="C696" s="12" t="n">
        <v>3</v>
      </c>
      <c r="D696" s="12" t="inlineStr">
        <is>
          <t>NET NAPHTHA</t>
        </is>
      </c>
      <c r="N696" s="13">
        <f>SUM(N695:N695)</f>
        <v/>
      </c>
    </row>
    <row r="698">
      <c r="A698" s="1" t="inlineStr">
        <is>
          <t xml:space="preserve">  Shell Oil Co. USA Saint Rose  [SHELL_SAINT_ROSE]   —   Shell   —   PADD 3   —   crude: pending capacity sheet</t>
        </is>
      </c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</row>
    <row r="699">
      <c r="A699" s="4" t="inlineStr">
        <is>
          <t>UNIT</t>
        </is>
      </c>
      <c r="B699" s="5" t="inlineStr">
        <is>
          <t>SHELL_SAINT_ROSE</t>
        </is>
      </c>
      <c r="C699" s="5" t="n">
        <v>3</v>
      </c>
      <c r="D699" s="5" t="inlineStr">
        <is>
          <t>CRUDE-EST</t>
        </is>
      </c>
      <c r="E699" s="5" t="inlineStr">
        <is>
          <t>est. yield</t>
        </is>
      </c>
      <c r="F699" s="14">
        <f>SUMIFS(Data!$G$3:$G$125,Data!$A$3:$A$125,$B699)</f>
        <v/>
      </c>
      <c r="G699" s="7" t="n"/>
      <c r="H699" s="8">
        <f>IF($G699&lt;&gt;"",$G699,SUMIFS(Assumptions!$K$4:$K$8,Assumptions!$J$4:$J$8,$C699))</f>
        <v/>
      </c>
      <c r="I699" s="7" t="n"/>
      <c r="J699" s="9">
        <f>IF($I699&lt;&gt;"",$I699,SUMIFS(Data!$N$3:$N$125,Data!$A$3:$A$125,$B699)*Assumptions!$S$4)</f>
        <v/>
      </c>
      <c r="K699" s="7" t="n"/>
      <c r="L699" s="9">
        <f>IF($K699&lt;&gt;"",$K699,SUMIFS(Data!$N$3:$N$125,Data!$A$3:$A$125,$B699)*Assumptions!$S$5)</f>
        <v/>
      </c>
      <c r="M699" s="9">
        <f>J699+L699</f>
        <v/>
      </c>
      <c r="N699" s="10">
        <f>$F699*$H699*$M699</f>
        <v/>
      </c>
    </row>
    <row r="700">
      <c r="A700" s="11" t="inlineStr">
        <is>
          <t>TOTAL</t>
        </is>
      </c>
      <c r="B700" s="12" t="inlineStr">
        <is>
          <t>SHELL_SAINT_ROSE</t>
        </is>
      </c>
      <c r="C700" s="12" t="n">
        <v>3</v>
      </c>
      <c r="D700" s="12" t="inlineStr">
        <is>
          <t>NET NAPHTHA</t>
        </is>
      </c>
      <c r="N700" s="13">
        <f>SUM(N699:N699)</f>
        <v/>
      </c>
    </row>
    <row r="702">
      <c r="A702" s="1" t="inlineStr">
        <is>
          <t xml:space="preserve">  Suncor Denver  [SUNCOR_DENVER]   —   Suncor   —   PADD 4   —   crude 98 kbd</t>
        </is>
      </c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</row>
    <row r="703">
      <c r="A703" s="4" t="inlineStr">
        <is>
          <t>UNIT</t>
        </is>
      </c>
      <c r="B703" s="5" t="inlineStr">
        <is>
          <t>SUNCOR_DENVER</t>
        </is>
      </c>
      <c r="C703" s="5" t="n">
        <v>4</v>
      </c>
      <c r="D703" s="5" t="inlineStr">
        <is>
          <t>CDU</t>
        </is>
      </c>
      <c r="E703" s="5" t="inlineStr">
        <is>
          <t>CDU</t>
        </is>
      </c>
      <c r="F703" s="6" t="n">
        <v>98</v>
      </c>
      <c r="G703" s="7" t="n">
        <v>0.326</v>
      </c>
      <c r="H703" s="8">
        <f>IF($G703&lt;&gt;"",$G703,SUMIFS(Assumptions!$K$4:$K$8,Assumptions!$J$4:$J$8,$C703))</f>
        <v/>
      </c>
      <c r="I703" s="7" t="n"/>
      <c r="J703" s="9">
        <f>IF($I703&lt;&gt;"",$I703,SUMIFS(Assumptions!$P$4:$P$93,Assumptions!$M$4:$M$93,$C703,Assumptions!$N$4:$N$93,$E703,Assumptions!$O$4:$O$93,"LVN"))</f>
        <v/>
      </c>
      <c r="K703" s="7" t="n"/>
      <c r="L703" s="9">
        <f>IF($K703&lt;&gt;"",$K703,SUMIFS(Assumptions!$P$4:$P$93,Assumptions!$M$4:$M$93,$C703,Assumptions!$N$4:$N$93,$E703,Assumptions!$O$4:$O$93,"HVN"))</f>
        <v/>
      </c>
      <c r="M703" s="9">
        <f>J703+L703</f>
        <v/>
      </c>
      <c r="N703" s="10">
        <f>$F703*$H703*$M703</f>
        <v/>
      </c>
    </row>
    <row r="704">
      <c r="A704" s="4" t="inlineStr">
        <is>
          <t>UNIT</t>
        </is>
      </c>
      <c r="B704" s="5" t="inlineStr">
        <is>
          <t>SUNCOR_DENVER</t>
        </is>
      </c>
      <c r="C704" s="5" t="n">
        <v>4</v>
      </c>
      <c r="D704" s="5" t="inlineStr">
        <is>
          <t>VDU</t>
        </is>
      </c>
      <c r="E704" s="5" t="inlineStr">
        <is>
          <t>VDU</t>
        </is>
      </c>
      <c r="F704" s="6" t="n">
        <v>33.5</v>
      </c>
      <c r="G704" s="7" t="n">
        <v>0.9370000000000001</v>
      </c>
      <c r="H704" s="8">
        <f>IF($G704&lt;&gt;"",$G704,SUMIFS(Assumptions!$K$4:$K$8,Assumptions!$J$4:$J$8,$C704))</f>
        <v/>
      </c>
      <c r="I704" s="7" t="n"/>
      <c r="J704" s="9">
        <f>IF($I704&lt;&gt;"",$I704,SUMIFS(Assumptions!$P$4:$P$93,Assumptions!$M$4:$M$93,$C704,Assumptions!$N$4:$N$93,$E704,Assumptions!$O$4:$O$93,"LVN"))</f>
        <v/>
      </c>
      <c r="K704" s="7" t="n"/>
      <c r="L704" s="9">
        <f>IF($K704&lt;&gt;"",$K704,SUMIFS(Assumptions!$P$4:$P$93,Assumptions!$M$4:$M$93,$C704,Assumptions!$N$4:$N$93,$E704,Assumptions!$O$4:$O$93,"HVN"))</f>
        <v/>
      </c>
      <c r="M704" s="9">
        <f>J704+L704</f>
        <v/>
      </c>
      <c r="N704" s="10">
        <f>$F704*$H704*$M704</f>
        <v/>
      </c>
    </row>
    <row r="705">
      <c r="A705" s="4" t="inlineStr">
        <is>
          <t>UNIT</t>
        </is>
      </c>
      <c r="B705" s="5" t="inlineStr">
        <is>
          <t>SUNCOR_DENVER</t>
        </is>
      </c>
      <c r="C705" s="5" t="n">
        <v>4</v>
      </c>
      <c r="D705" s="5" t="inlineStr">
        <is>
          <t>FCC</t>
        </is>
      </c>
      <c r="E705" s="5" t="inlineStr">
        <is>
          <t>FCC</t>
        </is>
      </c>
      <c r="F705" s="6" t="n">
        <v>30</v>
      </c>
      <c r="G705" s="7" t="n">
        <v>0.776</v>
      </c>
      <c r="H705" s="8">
        <f>IF($G705&lt;&gt;"",$G705,SUMIFS(Assumptions!$K$4:$K$8,Assumptions!$J$4:$J$8,$C705))</f>
        <v/>
      </c>
      <c r="I705" s="7" t="n"/>
      <c r="J705" s="9">
        <f>IF($I705&lt;&gt;"",$I705,SUMIFS(Assumptions!$P$4:$P$93,Assumptions!$M$4:$M$93,$C705,Assumptions!$N$4:$N$93,$E705,Assumptions!$O$4:$O$93,"LVN"))</f>
        <v/>
      </c>
      <c r="K705" s="7" t="n"/>
      <c r="L705" s="9">
        <f>IF($K705&lt;&gt;"",$K705,SUMIFS(Assumptions!$P$4:$P$93,Assumptions!$M$4:$M$93,$C705,Assumptions!$N$4:$N$93,$E705,Assumptions!$O$4:$O$93,"HVN"))</f>
        <v/>
      </c>
      <c r="M705" s="9">
        <f>J705+L705</f>
        <v/>
      </c>
      <c r="N705" s="10">
        <f>$F705*$H705*$M705</f>
        <v/>
      </c>
    </row>
    <row r="706">
      <c r="A706" s="4" t="inlineStr">
        <is>
          <t>UNIT</t>
        </is>
      </c>
      <c r="B706" s="5" t="inlineStr">
        <is>
          <t>SUNCOR_DENVER</t>
        </is>
      </c>
      <c r="C706" s="5" t="n">
        <v>4</v>
      </c>
      <c r="D706" s="5" t="inlineStr">
        <is>
          <t>CCR</t>
        </is>
      </c>
      <c r="E706" s="5" t="inlineStr">
        <is>
          <t>REFORMER</t>
        </is>
      </c>
      <c r="F706" s="6" t="n">
        <v>21.9</v>
      </c>
      <c r="G706" s="7" t="n"/>
      <c r="H706" s="8">
        <f>IF($G706&lt;&gt;"",$G706,SUMIFS(Assumptions!$K$4:$K$8,Assumptions!$J$4:$J$8,$C706))</f>
        <v/>
      </c>
      <c r="I706" s="7" t="n"/>
      <c r="J706" s="9">
        <f>IF($I706&lt;&gt;"",$I706,SUMIFS(Assumptions!$P$4:$P$93,Assumptions!$M$4:$M$93,$C706,Assumptions!$N$4:$N$93,$E706,Assumptions!$O$4:$O$93,"LVN"))</f>
        <v/>
      </c>
      <c r="K706" s="7" t="n"/>
      <c r="L706" s="9">
        <f>IF($K706&lt;&gt;"",$K706,SUMIFS(Assumptions!$P$4:$P$93,Assumptions!$M$4:$M$93,$C706,Assumptions!$N$4:$N$93,$E706,Assumptions!$O$4:$O$93,"HVN"))</f>
        <v/>
      </c>
      <c r="M706" s="9">
        <f>J706+L706</f>
        <v/>
      </c>
      <c r="N706" s="10">
        <f>$F706*$H706*$M706</f>
        <v/>
      </c>
    </row>
    <row r="707">
      <c r="A707" s="11" t="inlineStr">
        <is>
          <t>TOTAL</t>
        </is>
      </c>
      <c r="B707" s="12" t="inlineStr">
        <is>
          <t>SUNCOR_DENVER</t>
        </is>
      </c>
      <c r="C707" s="12" t="n">
        <v>4</v>
      </c>
      <c r="D707" s="12" t="inlineStr">
        <is>
          <t>NET NAPHTHA</t>
        </is>
      </c>
      <c r="N707" s="13">
        <f>SUM(N703:N706)</f>
        <v/>
      </c>
    </row>
    <row r="709">
      <c r="A709" s="1" t="inlineStr">
        <is>
          <t xml:space="preserve">  Sinclair Sinclair  [SINCLAIR_SINCLAIR]   —   Sinclair   —   PADD 4   —   crude 94 kbd</t>
        </is>
      </c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</row>
    <row r="710">
      <c r="A710" s="4" t="inlineStr">
        <is>
          <t>UNIT</t>
        </is>
      </c>
      <c r="B710" s="5" t="inlineStr">
        <is>
          <t>SINCLAIR_SINCLAIR</t>
        </is>
      </c>
      <c r="C710" s="5" t="n">
        <v>4</v>
      </c>
      <c r="D710" s="5" t="inlineStr">
        <is>
          <t>CDU</t>
        </is>
      </c>
      <c r="E710" s="5" t="inlineStr">
        <is>
          <t>CDU</t>
        </is>
      </c>
      <c r="F710" s="6" t="n">
        <v>94</v>
      </c>
      <c r="G710" s="7" t="n">
        <v>0.95</v>
      </c>
      <c r="H710" s="8">
        <f>IF($G710&lt;&gt;"",$G710,SUMIFS(Assumptions!$K$4:$K$8,Assumptions!$J$4:$J$8,$C710))</f>
        <v/>
      </c>
      <c r="I710" s="7" t="n"/>
      <c r="J710" s="9">
        <f>IF($I710&lt;&gt;"",$I710,SUMIFS(Assumptions!$P$4:$P$93,Assumptions!$M$4:$M$93,$C710,Assumptions!$N$4:$N$93,$E710,Assumptions!$O$4:$O$93,"LVN"))</f>
        <v/>
      </c>
      <c r="K710" s="7" t="n"/>
      <c r="L710" s="9">
        <f>IF($K710&lt;&gt;"",$K710,SUMIFS(Assumptions!$P$4:$P$93,Assumptions!$M$4:$M$93,$C710,Assumptions!$N$4:$N$93,$E710,Assumptions!$O$4:$O$93,"HVN"))</f>
        <v/>
      </c>
      <c r="M710" s="9">
        <f>J710+L710</f>
        <v/>
      </c>
      <c r="N710" s="10">
        <f>$F710*$H710*$M710</f>
        <v/>
      </c>
    </row>
    <row r="711">
      <c r="A711" s="4" t="inlineStr">
        <is>
          <t>UNIT</t>
        </is>
      </c>
      <c r="B711" s="5" t="inlineStr">
        <is>
          <t>SINCLAIR_SINCLAIR</t>
        </is>
      </c>
      <c r="C711" s="5" t="n">
        <v>4</v>
      </c>
      <c r="D711" s="5" t="inlineStr">
        <is>
          <t>VDU</t>
        </is>
      </c>
      <c r="E711" s="5" t="inlineStr">
        <is>
          <t>VDU</t>
        </is>
      </c>
      <c r="F711" s="6" t="n">
        <v>51</v>
      </c>
      <c r="G711" s="7" t="n">
        <v>0.822</v>
      </c>
      <c r="H711" s="8">
        <f>IF($G711&lt;&gt;"",$G711,SUMIFS(Assumptions!$K$4:$K$8,Assumptions!$J$4:$J$8,$C711))</f>
        <v/>
      </c>
      <c r="I711" s="7" t="n"/>
      <c r="J711" s="9">
        <f>IF($I711&lt;&gt;"",$I711,SUMIFS(Assumptions!$P$4:$P$93,Assumptions!$M$4:$M$93,$C711,Assumptions!$N$4:$N$93,$E711,Assumptions!$O$4:$O$93,"LVN"))</f>
        <v/>
      </c>
      <c r="K711" s="7" t="n"/>
      <c r="L711" s="9">
        <f>IF($K711&lt;&gt;"",$K711,SUMIFS(Assumptions!$P$4:$P$93,Assumptions!$M$4:$M$93,$C711,Assumptions!$N$4:$N$93,$E711,Assumptions!$O$4:$O$93,"HVN"))</f>
        <v/>
      </c>
      <c r="M711" s="9">
        <f>J711+L711</f>
        <v/>
      </c>
      <c r="N711" s="10">
        <f>$F711*$H711*$M711</f>
        <v/>
      </c>
    </row>
    <row r="712">
      <c r="A712" s="4" t="inlineStr">
        <is>
          <t>UNIT</t>
        </is>
      </c>
      <c r="B712" s="5" t="inlineStr">
        <is>
          <t>SINCLAIR_SINCLAIR</t>
        </is>
      </c>
      <c r="C712" s="5" t="n">
        <v>4</v>
      </c>
      <c r="D712" s="5" t="inlineStr">
        <is>
          <t>FCC</t>
        </is>
      </c>
      <c r="E712" s="5" t="inlineStr">
        <is>
          <t>FCC</t>
        </is>
      </c>
      <c r="F712" s="6" t="n">
        <v>22</v>
      </c>
      <c r="G712" s="7" t="n">
        <v>0.85</v>
      </c>
      <c r="H712" s="8">
        <f>IF($G712&lt;&gt;"",$G712,SUMIFS(Assumptions!$K$4:$K$8,Assumptions!$J$4:$J$8,$C712))</f>
        <v/>
      </c>
      <c r="I712" s="7" t="n"/>
      <c r="J712" s="9">
        <f>IF($I712&lt;&gt;"",$I712,SUMIFS(Assumptions!$P$4:$P$93,Assumptions!$M$4:$M$93,$C712,Assumptions!$N$4:$N$93,$E712,Assumptions!$O$4:$O$93,"LVN"))</f>
        <v/>
      </c>
      <c r="K712" s="7" t="n"/>
      <c r="L712" s="9">
        <f>IF($K712&lt;&gt;"",$K712,SUMIFS(Assumptions!$P$4:$P$93,Assumptions!$M$4:$M$93,$C712,Assumptions!$N$4:$N$93,$E712,Assumptions!$O$4:$O$93,"HVN"))</f>
        <v/>
      </c>
      <c r="M712" s="9">
        <f>J712+L712</f>
        <v/>
      </c>
      <c r="N712" s="10">
        <f>$F712*$H712*$M712</f>
        <v/>
      </c>
    </row>
    <row r="713">
      <c r="A713" s="4" t="inlineStr">
        <is>
          <t>UNIT</t>
        </is>
      </c>
      <c r="B713" s="5" t="inlineStr">
        <is>
          <t>SINCLAIR_SINCLAIR</t>
        </is>
      </c>
      <c r="C713" s="5" t="n">
        <v>4</v>
      </c>
      <c r="D713" s="5" t="inlineStr">
        <is>
          <t>DHCU</t>
        </is>
      </c>
      <c r="E713" s="5" t="inlineStr">
        <is>
          <t>HYDROCRACKER</t>
        </is>
      </c>
      <c r="F713" s="6" t="n">
        <v>16</v>
      </c>
      <c r="G713" s="7" t="n">
        <v>0.38</v>
      </c>
      <c r="H713" s="8">
        <f>IF($G713&lt;&gt;"",$G713,SUMIFS(Assumptions!$K$4:$K$8,Assumptions!$J$4:$J$8,$C713))</f>
        <v/>
      </c>
      <c r="I713" s="7" t="n"/>
      <c r="J713" s="9">
        <f>IF($I713&lt;&gt;"",$I713,SUMIFS(Assumptions!$P$4:$P$93,Assumptions!$M$4:$M$93,$C713,Assumptions!$N$4:$N$93,$E713,Assumptions!$O$4:$O$93,"LVN"))</f>
        <v/>
      </c>
      <c r="K713" s="7" t="n"/>
      <c r="L713" s="9">
        <f>IF($K713&lt;&gt;"",$K713,SUMIFS(Assumptions!$P$4:$P$93,Assumptions!$M$4:$M$93,$C713,Assumptions!$N$4:$N$93,$E713,Assumptions!$O$4:$O$93,"HVN"))</f>
        <v/>
      </c>
      <c r="M713" s="9">
        <f>J713+L713</f>
        <v/>
      </c>
      <c r="N713" s="10">
        <f>$F713*$H713*$M713</f>
        <v/>
      </c>
    </row>
    <row r="714">
      <c r="A714" s="4" t="inlineStr">
        <is>
          <t>UNIT</t>
        </is>
      </c>
      <c r="B714" s="5" t="inlineStr">
        <is>
          <t>SINCLAIR_SINCLAIR</t>
        </is>
      </c>
      <c r="C714" s="5" t="n">
        <v>4</v>
      </c>
      <c r="D714" s="5" t="inlineStr">
        <is>
          <t>COKER</t>
        </is>
      </c>
      <c r="E714" s="5" t="inlineStr">
        <is>
          <t>COKER</t>
        </is>
      </c>
      <c r="F714" s="6" t="n">
        <v>20</v>
      </c>
      <c r="G714" s="7" t="n">
        <v>0.243</v>
      </c>
      <c r="H714" s="8">
        <f>IF($G714&lt;&gt;"",$G714,SUMIFS(Assumptions!$K$4:$K$8,Assumptions!$J$4:$J$8,$C714))</f>
        <v/>
      </c>
      <c r="I714" s="7" t="n"/>
      <c r="J714" s="9">
        <f>IF($I714&lt;&gt;"",$I714,SUMIFS(Assumptions!$P$4:$P$93,Assumptions!$M$4:$M$93,$C714,Assumptions!$N$4:$N$93,$E714,Assumptions!$O$4:$O$93,"LVN"))</f>
        <v/>
      </c>
      <c r="K714" s="7" t="n"/>
      <c r="L714" s="9">
        <f>IF($K714&lt;&gt;"",$K714,SUMIFS(Assumptions!$P$4:$P$93,Assumptions!$M$4:$M$93,$C714,Assumptions!$N$4:$N$93,$E714,Assumptions!$O$4:$O$93,"HVN"))</f>
        <v/>
      </c>
      <c r="M714" s="9">
        <f>J714+L714</f>
        <v/>
      </c>
      <c r="N714" s="10">
        <f>$F714*$H714*$M714</f>
        <v/>
      </c>
    </row>
    <row r="715">
      <c r="A715" s="4" t="inlineStr">
        <is>
          <t>UNIT</t>
        </is>
      </c>
      <c r="B715" s="5" t="inlineStr">
        <is>
          <t>SINCLAIR_SINCLAIR</t>
        </is>
      </c>
      <c r="C715" s="5" t="n">
        <v>4</v>
      </c>
      <c r="D715" s="5" t="inlineStr">
        <is>
          <t>REF</t>
        </is>
      </c>
      <c r="E715" s="5" t="inlineStr">
        <is>
          <t>REFORMER</t>
        </is>
      </c>
      <c r="F715" s="6" t="n">
        <v>13</v>
      </c>
      <c r="G715" s="7" t="n">
        <v>0.966</v>
      </c>
      <c r="H715" s="8">
        <f>IF($G715&lt;&gt;"",$G715,SUMIFS(Assumptions!$K$4:$K$8,Assumptions!$J$4:$J$8,$C715))</f>
        <v/>
      </c>
      <c r="I715" s="7" t="n"/>
      <c r="J715" s="9">
        <f>IF($I715&lt;&gt;"",$I715,SUMIFS(Assumptions!$P$4:$P$93,Assumptions!$M$4:$M$93,$C715,Assumptions!$N$4:$N$93,$E715,Assumptions!$O$4:$O$93,"LVN"))</f>
        <v/>
      </c>
      <c r="K715" s="7" t="n"/>
      <c r="L715" s="9">
        <f>IF($K715&lt;&gt;"",$K715,SUMIFS(Assumptions!$P$4:$P$93,Assumptions!$M$4:$M$93,$C715,Assumptions!$N$4:$N$93,$E715,Assumptions!$O$4:$O$93,"HVN"))</f>
        <v/>
      </c>
      <c r="M715" s="9">
        <f>J715+L715</f>
        <v/>
      </c>
      <c r="N715" s="10">
        <f>$F715*$H715*$M715</f>
        <v/>
      </c>
    </row>
    <row r="716">
      <c r="A716" s="4" t="inlineStr">
        <is>
          <t>UNIT</t>
        </is>
      </c>
      <c r="B716" s="5" t="inlineStr">
        <is>
          <t>SINCLAIR_SINCLAIR</t>
        </is>
      </c>
      <c r="C716" s="5" t="n">
        <v>4</v>
      </c>
      <c r="D716" s="5" t="inlineStr">
        <is>
          <t>ALKY</t>
        </is>
      </c>
      <c r="E716" s="5" t="inlineStr">
        <is>
          <t>ALKY</t>
        </is>
      </c>
      <c r="F716" s="6" t="n">
        <v>5</v>
      </c>
      <c r="G716" s="7" t="n">
        <v>0.789</v>
      </c>
      <c r="H716" s="8">
        <f>IF($G716&lt;&gt;"",$G716,SUMIFS(Assumptions!$K$4:$K$8,Assumptions!$J$4:$J$8,$C716))</f>
        <v/>
      </c>
      <c r="I716" s="7" t="n"/>
      <c r="J716" s="9">
        <f>IF($I716&lt;&gt;"",$I716,SUMIFS(Assumptions!$P$4:$P$93,Assumptions!$M$4:$M$93,$C716,Assumptions!$N$4:$N$93,$E716,Assumptions!$O$4:$O$93,"LVN"))</f>
        <v/>
      </c>
      <c r="K716" s="7" t="n"/>
      <c r="L716" s="9">
        <f>IF($K716&lt;&gt;"",$K716,SUMIFS(Assumptions!$P$4:$P$93,Assumptions!$M$4:$M$93,$C716,Assumptions!$N$4:$N$93,$E716,Assumptions!$O$4:$O$93,"HVN"))</f>
        <v/>
      </c>
      <c r="M716" s="9">
        <f>J716+L716</f>
        <v/>
      </c>
      <c r="N716" s="10">
        <f>$F716*$H716*$M716</f>
        <v/>
      </c>
    </row>
    <row r="717">
      <c r="A717" s="11" t="inlineStr">
        <is>
          <t>TOTAL</t>
        </is>
      </c>
      <c r="B717" s="12" t="inlineStr">
        <is>
          <t>SINCLAIR_SINCLAIR</t>
        </is>
      </c>
      <c r="C717" s="12" t="n">
        <v>4</v>
      </c>
      <c r="D717" s="12" t="inlineStr">
        <is>
          <t>NET NAPHTHA</t>
        </is>
      </c>
      <c r="N717" s="13">
        <f>SUM(N710:N716)</f>
        <v/>
      </c>
    </row>
    <row r="719">
      <c r="A719" s="1" t="inlineStr">
        <is>
          <t xml:space="preserve">  Marathon Petroleum Salt Lake City  [MARATHON_SALT_LAKE_CITY]   —   Marathon Petroleum   —   PADD 4   —   crude 72 kbd</t>
        </is>
      </c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</row>
    <row r="720">
      <c r="A720" s="4" t="inlineStr">
        <is>
          <t>UNIT</t>
        </is>
      </c>
      <c r="B720" s="5" t="inlineStr">
        <is>
          <t>MARATHON_SALT_LAKE_CITY</t>
        </is>
      </c>
      <c r="C720" s="5" t="n">
        <v>4</v>
      </c>
      <c r="D720" s="5" t="inlineStr">
        <is>
          <t>CDU</t>
        </is>
      </c>
      <c r="E720" s="5" t="inlineStr">
        <is>
          <t>CDU</t>
        </is>
      </c>
      <c r="F720" s="6" t="n">
        <v>71.58</v>
      </c>
      <c r="G720" s="7" t="n">
        <v>0.88</v>
      </c>
      <c r="H720" s="8">
        <f>IF($G720&lt;&gt;"",$G720,SUMIFS(Assumptions!$K$4:$K$8,Assumptions!$J$4:$J$8,$C720))</f>
        <v/>
      </c>
      <c r="I720" s="7" t="n"/>
      <c r="J720" s="9">
        <f>IF($I720&lt;&gt;"",$I720,SUMIFS(Assumptions!$P$4:$P$93,Assumptions!$M$4:$M$93,$C720,Assumptions!$N$4:$N$93,$E720,Assumptions!$O$4:$O$93,"LVN"))</f>
        <v/>
      </c>
      <c r="K720" s="7" t="n"/>
      <c r="L720" s="9">
        <f>IF($K720&lt;&gt;"",$K720,SUMIFS(Assumptions!$P$4:$P$93,Assumptions!$M$4:$M$93,$C720,Assumptions!$N$4:$N$93,$E720,Assumptions!$O$4:$O$93,"HVN"))</f>
        <v/>
      </c>
      <c r="M720" s="9">
        <f>J720+L720</f>
        <v/>
      </c>
      <c r="N720" s="10">
        <f>$F720*$H720*$M720</f>
        <v/>
      </c>
    </row>
    <row r="721">
      <c r="A721" s="4" t="inlineStr">
        <is>
          <t>UNIT</t>
        </is>
      </c>
      <c r="B721" s="5" t="inlineStr">
        <is>
          <t>MARATHON_SALT_LAKE_CITY</t>
        </is>
      </c>
      <c r="C721" s="5" t="n">
        <v>4</v>
      </c>
      <c r="D721" s="5" t="inlineStr">
        <is>
          <t>RCC</t>
        </is>
      </c>
      <c r="E721" s="5" t="inlineStr">
        <is>
          <t>FCC</t>
        </is>
      </c>
      <c r="F721" s="6" t="n">
        <v>24.5</v>
      </c>
      <c r="G721" s="7" t="n">
        <v>0.9330000000000001</v>
      </c>
      <c r="H721" s="8">
        <f>IF($G721&lt;&gt;"",$G721,SUMIFS(Assumptions!$K$4:$K$8,Assumptions!$J$4:$J$8,$C721))</f>
        <v/>
      </c>
      <c r="I721" s="7" t="n"/>
      <c r="J721" s="9">
        <f>IF($I721&lt;&gt;"",$I721,SUMIFS(Assumptions!$P$4:$P$93,Assumptions!$M$4:$M$93,$C721,Assumptions!$N$4:$N$93,$E721,Assumptions!$O$4:$O$93,"LVN"))</f>
        <v/>
      </c>
      <c r="K721" s="7" t="n"/>
      <c r="L721" s="9">
        <f>IF($K721&lt;&gt;"",$K721,SUMIFS(Assumptions!$P$4:$P$93,Assumptions!$M$4:$M$93,$C721,Assumptions!$N$4:$N$93,$E721,Assumptions!$O$4:$O$93,"HVN"))</f>
        <v/>
      </c>
      <c r="M721" s="9">
        <f>J721+L721</f>
        <v/>
      </c>
      <c r="N721" s="10">
        <f>$F721*$H721*$M721</f>
        <v/>
      </c>
    </row>
    <row r="722">
      <c r="A722" s="4" t="inlineStr">
        <is>
          <t>UNIT</t>
        </is>
      </c>
      <c r="B722" s="5" t="inlineStr">
        <is>
          <t>MARATHON_SALT_LAKE_CITY</t>
        </is>
      </c>
      <c r="C722" s="5" t="n">
        <v>4</v>
      </c>
      <c r="D722" s="5" t="inlineStr">
        <is>
          <t>REF</t>
        </is>
      </c>
      <c r="E722" s="5" t="inlineStr">
        <is>
          <t>REFORMER</t>
        </is>
      </c>
      <c r="F722" s="6" t="n">
        <v>11.5</v>
      </c>
      <c r="G722" s="7" t="n">
        <v>0.6</v>
      </c>
      <c r="H722" s="8">
        <f>IF($G722&lt;&gt;"",$G722,SUMIFS(Assumptions!$K$4:$K$8,Assumptions!$J$4:$J$8,$C722))</f>
        <v/>
      </c>
      <c r="I722" s="7" t="n"/>
      <c r="J722" s="9">
        <f>IF($I722&lt;&gt;"",$I722,SUMIFS(Assumptions!$P$4:$P$93,Assumptions!$M$4:$M$93,$C722,Assumptions!$N$4:$N$93,$E722,Assumptions!$O$4:$O$93,"LVN"))</f>
        <v/>
      </c>
      <c r="K722" s="7" t="n"/>
      <c r="L722" s="9">
        <f>IF($K722&lt;&gt;"",$K722,SUMIFS(Assumptions!$P$4:$P$93,Assumptions!$M$4:$M$93,$C722,Assumptions!$N$4:$N$93,$E722,Assumptions!$O$4:$O$93,"HVN"))</f>
        <v/>
      </c>
      <c r="M722" s="9">
        <f>J722+L722</f>
        <v/>
      </c>
      <c r="N722" s="10">
        <f>$F722*$H722*$M722</f>
        <v/>
      </c>
    </row>
    <row r="723">
      <c r="A723" s="4" t="inlineStr">
        <is>
          <t>UNIT</t>
        </is>
      </c>
      <c r="B723" s="5" t="inlineStr">
        <is>
          <t>MARATHON_SALT_LAKE_CITY</t>
        </is>
      </c>
      <c r="C723" s="5" t="n">
        <v>4</v>
      </c>
      <c r="D723" s="5" t="inlineStr">
        <is>
          <t>ALKY</t>
        </is>
      </c>
      <c r="E723" s="5" t="inlineStr">
        <is>
          <t>ALKY</t>
        </is>
      </c>
      <c r="F723" s="6" t="n">
        <v>7.5</v>
      </c>
      <c r="G723" s="7" t="n">
        <v>0.782</v>
      </c>
      <c r="H723" s="8">
        <f>IF($G723&lt;&gt;"",$G723,SUMIFS(Assumptions!$K$4:$K$8,Assumptions!$J$4:$J$8,$C723))</f>
        <v/>
      </c>
      <c r="I723" s="7" t="n"/>
      <c r="J723" s="9">
        <f>IF($I723&lt;&gt;"",$I723,SUMIFS(Assumptions!$P$4:$P$93,Assumptions!$M$4:$M$93,$C723,Assumptions!$N$4:$N$93,$E723,Assumptions!$O$4:$O$93,"LVN"))</f>
        <v/>
      </c>
      <c r="K723" s="7" t="n"/>
      <c r="L723" s="9">
        <f>IF($K723&lt;&gt;"",$K723,SUMIFS(Assumptions!$P$4:$P$93,Assumptions!$M$4:$M$93,$C723,Assumptions!$N$4:$N$93,$E723,Assumptions!$O$4:$O$93,"HVN"))</f>
        <v/>
      </c>
      <c r="M723" s="9">
        <f>J723+L723</f>
        <v/>
      </c>
      <c r="N723" s="10">
        <f>$F723*$H723*$M723</f>
        <v/>
      </c>
    </row>
    <row r="724">
      <c r="A724" s="11" t="inlineStr">
        <is>
          <t>TOTAL</t>
        </is>
      </c>
      <c r="B724" s="12" t="inlineStr">
        <is>
          <t>MARATHON_SALT_LAKE_CITY</t>
        </is>
      </c>
      <c r="C724" s="12" t="n">
        <v>4</v>
      </c>
      <c r="D724" s="12" t="inlineStr">
        <is>
          <t>NET NAPHTHA</t>
        </is>
      </c>
      <c r="N724" s="13">
        <f>SUM(N720:N723)</f>
        <v/>
      </c>
    </row>
    <row r="726">
      <c r="A726" s="1" t="inlineStr">
        <is>
          <t xml:space="preserve">  Phillips 66 Co. Billings  [PHILLIPS_BILLINGS]   —   Phillips 66 Co.   —   PADD 4   —   crude 66 kbd</t>
        </is>
      </c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</row>
    <row r="727">
      <c r="A727" s="4" t="inlineStr">
        <is>
          <t>UNIT</t>
        </is>
      </c>
      <c r="B727" s="5" t="inlineStr">
        <is>
          <t>PHILLIPS_BILLINGS</t>
        </is>
      </c>
      <c r="C727" s="5" t="n">
        <v>4</v>
      </c>
      <c r="D727" s="5" t="inlineStr">
        <is>
          <t>CDU</t>
        </is>
      </c>
      <c r="E727" s="5" t="inlineStr">
        <is>
          <t>CDU</t>
        </is>
      </c>
      <c r="F727" s="6" t="n">
        <v>69.5</v>
      </c>
      <c r="G727" s="7" t="n">
        <v>0.9399999999999999</v>
      </c>
      <c r="H727" s="8">
        <f>IF($G727&lt;&gt;"",$G727,SUMIFS(Assumptions!$K$4:$K$8,Assumptions!$J$4:$J$8,$C727))</f>
        <v/>
      </c>
      <c r="I727" s="7" t="n"/>
      <c r="J727" s="9">
        <f>IF($I727&lt;&gt;"",$I727,SUMIFS(Assumptions!$P$4:$P$93,Assumptions!$M$4:$M$93,$C727,Assumptions!$N$4:$N$93,$E727,Assumptions!$O$4:$O$93,"LVN"))</f>
        <v/>
      </c>
      <c r="K727" s="7" t="n"/>
      <c r="L727" s="9">
        <f>IF($K727&lt;&gt;"",$K727,SUMIFS(Assumptions!$P$4:$P$93,Assumptions!$M$4:$M$93,$C727,Assumptions!$N$4:$N$93,$E727,Assumptions!$O$4:$O$93,"HVN"))</f>
        <v/>
      </c>
      <c r="M727" s="9">
        <f>J727+L727</f>
        <v/>
      </c>
      <c r="N727" s="10">
        <f>$F727*$H727*$M727</f>
        <v/>
      </c>
    </row>
    <row r="728">
      <c r="A728" s="4" t="inlineStr">
        <is>
          <t>UNIT</t>
        </is>
      </c>
      <c r="B728" s="5" t="inlineStr">
        <is>
          <t>PHILLIPS_BILLINGS</t>
        </is>
      </c>
      <c r="C728" s="5" t="n">
        <v>4</v>
      </c>
      <c r="D728" s="5" t="inlineStr">
        <is>
          <t>VDU</t>
        </is>
      </c>
      <c r="E728" s="5" t="inlineStr">
        <is>
          <t>VDU</t>
        </is>
      </c>
      <c r="F728" s="6" t="n">
        <v>45.1</v>
      </c>
      <c r="G728" s="7" t="n">
        <v>0.656</v>
      </c>
      <c r="H728" s="8">
        <f>IF($G728&lt;&gt;"",$G728,SUMIFS(Assumptions!$K$4:$K$8,Assumptions!$J$4:$J$8,$C728))</f>
        <v/>
      </c>
      <c r="I728" s="7" t="n"/>
      <c r="J728" s="9">
        <f>IF($I728&lt;&gt;"",$I728,SUMIFS(Assumptions!$P$4:$P$93,Assumptions!$M$4:$M$93,$C728,Assumptions!$N$4:$N$93,$E728,Assumptions!$O$4:$O$93,"LVN"))</f>
        <v/>
      </c>
      <c r="K728" s="7" t="n"/>
      <c r="L728" s="9">
        <f>IF($K728&lt;&gt;"",$K728,SUMIFS(Assumptions!$P$4:$P$93,Assumptions!$M$4:$M$93,$C728,Assumptions!$N$4:$N$93,$E728,Assumptions!$O$4:$O$93,"HVN"))</f>
        <v/>
      </c>
      <c r="M728" s="9">
        <f>J728+L728</f>
        <v/>
      </c>
      <c r="N728" s="10">
        <f>$F728*$H728*$M728</f>
        <v/>
      </c>
    </row>
    <row r="729">
      <c r="A729" s="4" t="inlineStr">
        <is>
          <t>UNIT</t>
        </is>
      </c>
      <c r="B729" s="5" t="inlineStr">
        <is>
          <t>PHILLIPS_BILLINGS</t>
        </is>
      </c>
      <c r="C729" s="5" t="n">
        <v>4</v>
      </c>
      <c r="D729" s="5" t="inlineStr">
        <is>
          <t>FCC</t>
        </is>
      </c>
      <c r="E729" s="5" t="inlineStr">
        <is>
          <t>FCC</t>
        </is>
      </c>
      <c r="F729" s="6" t="n">
        <v>23.5</v>
      </c>
      <c r="G729" s="7" t="n">
        <v>0.823</v>
      </c>
      <c r="H729" s="8">
        <f>IF($G729&lt;&gt;"",$G729,SUMIFS(Assumptions!$K$4:$K$8,Assumptions!$J$4:$J$8,$C729))</f>
        <v/>
      </c>
      <c r="I729" s="7" t="n"/>
      <c r="J729" s="9">
        <f>IF($I729&lt;&gt;"",$I729,SUMIFS(Assumptions!$P$4:$P$93,Assumptions!$M$4:$M$93,$C729,Assumptions!$N$4:$N$93,$E729,Assumptions!$O$4:$O$93,"LVN"))</f>
        <v/>
      </c>
      <c r="K729" s="7" t="n"/>
      <c r="L729" s="9">
        <f>IF($K729&lt;&gt;"",$K729,SUMIFS(Assumptions!$P$4:$P$93,Assumptions!$M$4:$M$93,$C729,Assumptions!$N$4:$N$93,$E729,Assumptions!$O$4:$O$93,"HVN"))</f>
        <v/>
      </c>
      <c r="M729" s="9">
        <f>J729+L729</f>
        <v/>
      </c>
      <c r="N729" s="10">
        <f>$F729*$H729*$M729</f>
        <v/>
      </c>
    </row>
    <row r="730">
      <c r="A730" s="4" t="inlineStr">
        <is>
          <t>UNIT</t>
        </is>
      </c>
      <c r="B730" s="5" t="inlineStr">
        <is>
          <t>PHILLIPS_BILLINGS</t>
        </is>
      </c>
      <c r="C730" s="5" t="n">
        <v>4</v>
      </c>
      <c r="D730" s="5" t="inlineStr">
        <is>
          <t>COKER</t>
        </is>
      </c>
      <c r="E730" s="5" t="inlineStr">
        <is>
          <t>COKER</t>
        </is>
      </c>
      <c r="F730" s="6" t="n">
        <v>18.27</v>
      </c>
      <c r="G730" s="7" t="n">
        <v>0.864</v>
      </c>
      <c r="H730" s="8">
        <f>IF($G730&lt;&gt;"",$G730,SUMIFS(Assumptions!$K$4:$K$8,Assumptions!$J$4:$J$8,$C730))</f>
        <v/>
      </c>
      <c r="I730" s="7" t="n"/>
      <c r="J730" s="9">
        <f>IF($I730&lt;&gt;"",$I730,SUMIFS(Assumptions!$P$4:$P$93,Assumptions!$M$4:$M$93,$C730,Assumptions!$N$4:$N$93,$E730,Assumptions!$O$4:$O$93,"LVN"))</f>
        <v/>
      </c>
      <c r="K730" s="7" t="n"/>
      <c r="L730" s="9">
        <f>IF($K730&lt;&gt;"",$K730,SUMIFS(Assumptions!$P$4:$P$93,Assumptions!$M$4:$M$93,$C730,Assumptions!$N$4:$N$93,$E730,Assumptions!$O$4:$O$93,"HVN"))</f>
        <v/>
      </c>
      <c r="M730" s="9">
        <f>J730+L730</f>
        <v/>
      </c>
      <c r="N730" s="10">
        <f>$F730*$H730*$M730</f>
        <v/>
      </c>
    </row>
    <row r="731">
      <c r="A731" s="4" t="inlineStr">
        <is>
          <t>UNIT</t>
        </is>
      </c>
      <c r="B731" s="5" t="inlineStr">
        <is>
          <t>PHILLIPS_BILLINGS</t>
        </is>
      </c>
      <c r="C731" s="5" t="n">
        <v>4</v>
      </c>
      <c r="D731" s="5" t="inlineStr">
        <is>
          <t>REF</t>
        </is>
      </c>
      <c r="E731" s="5" t="inlineStr">
        <is>
          <t>REFORMER</t>
        </is>
      </c>
      <c r="F731" s="6" t="n">
        <v>9.199999999999999</v>
      </c>
      <c r="G731" s="7" t="n">
        <v>0.911</v>
      </c>
      <c r="H731" s="8">
        <f>IF($G731&lt;&gt;"",$G731,SUMIFS(Assumptions!$K$4:$K$8,Assumptions!$J$4:$J$8,$C731))</f>
        <v/>
      </c>
      <c r="I731" s="7" t="n"/>
      <c r="J731" s="9">
        <f>IF($I731&lt;&gt;"",$I731,SUMIFS(Assumptions!$P$4:$P$93,Assumptions!$M$4:$M$93,$C731,Assumptions!$N$4:$N$93,$E731,Assumptions!$O$4:$O$93,"LVN"))</f>
        <v/>
      </c>
      <c r="K731" s="7" t="n"/>
      <c r="L731" s="9">
        <f>IF($K731&lt;&gt;"",$K731,SUMIFS(Assumptions!$P$4:$P$93,Assumptions!$M$4:$M$93,$C731,Assumptions!$N$4:$N$93,$E731,Assumptions!$O$4:$O$93,"HVN"))</f>
        <v/>
      </c>
      <c r="M731" s="9">
        <f>J731+L731</f>
        <v/>
      </c>
      <c r="N731" s="10">
        <f>$F731*$H731*$M731</f>
        <v/>
      </c>
    </row>
    <row r="732">
      <c r="A732" s="4" t="inlineStr">
        <is>
          <t>UNIT</t>
        </is>
      </c>
      <c r="B732" s="5" t="inlineStr">
        <is>
          <t>PHILLIPS_BILLINGS</t>
        </is>
      </c>
      <c r="C732" s="5" t="n">
        <v>4</v>
      </c>
      <c r="D732" s="5" t="inlineStr">
        <is>
          <t>ALKY</t>
        </is>
      </c>
      <c r="E732" s="5" t="inlineStr">
        <is>
          <t>ALKY</t>
        </is>
      </c>
      <c r="F732" s="6" t="n">
        <v>7.3</v>
      </c>
      <c r="G732" s="7" t="n">
        <v>0.767</v>
      </c>
      <c r="H732" s="8">
        <f>IF($G732&lt;&gt;"",$G732,SUMIFS(Assumptions!$K$4:$K$8,Assumptions!$J$4:$J$8,$C732))</f>
        <v/>
      </c>
      <c r="I732" s="7" t="n"/>
      <c r="J732" s="9">
        <f>IF($I732&lt;&gt;"",$I732,SUMIFS(Assumptions!$P$4:$P$93,Assumptions!$M$4:$M$93,$C732,Assumptions!$N$4:$N$93,$E732,Assumptions!$O$4:$O$93,"LVN"))</f>
        <v/>
      </c>
      <c r="K732" s="7" t="n"/>
      <c r="L732" s="9">
        <f>IF($K732&lt;&gt;"",$K732,SUMIFS(Assumptions!$P$4:$P$93,Assumptions!$M$4:$M$93,$C732,Assumptions!$N$4:$N$93,$E732,Assumptions!$O$4:$O$93,"HVN"))</f>
        <v/>
      </c>
      <c r="M732" s="9">
        <f>J732+L732</f>
        <v/>
      </c>
      <c r="N732" s="10">
        <f>$F732*$H732*$M732</f>
        <v/>
      </c>
    </row>
    <row r="733">
      <c r="A733" s="11" t="inlineStr">
        <is>
          <t>TOTAL</t>
        </is>
      </c>
      <c r="B733" s="12" t="inlineStr">
        <is>
          <t>PHILLIPS_BILLINGS</t>
        </is>
      </c>
      <c r="C733" s="12" t="n">
        <v>4</v>
      </c>
      <c r="D733" s="12" t="inlineStr">
        <is>
          <t>NET NAPHTHA</t>
        </is>
      </c>
      <c r="N733" s="13">
        <f>SUM(N727:N732)</f>
        <v/>
      </c>
    </row>
    <row r="735">
      <c r="A735" s="1" t="inlineStr">
        <is>
          <t xml:space="preserve">  Par Petroleum Billings  [PAR_BILLINGS]   —   Par Petroleum   —   PADD 4   —   crude 63 kbd</t>
        </is>
      </c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</row>
    <row r="736">
      <c r="A736" s="4" t="inlineStr">
        <is>
          <t>UNIT</t>
        </is>
      </c>
      <c r="B736" s="5" t="inlineStr">
        <is>
          <t>PAR_BILLINGS</t>
        </is>
      </c>
      <c r="C736" s="5" t="n">
        <v>4</v>
      </c>
      <c r="D736" s="5" t="inlineStr">
        <is>
          <t>CDU</t>
        </is>
      </c>
      <c r="E736" s="5" t="inlineStr">
        <is>
          <t>CDU</t>
        </is>
      </c>
      <c r="F736" s="6" t="n">
        <v>62.9</v>
      </c>
      <c r="G736" s="7" t="n">
        <v>0.79</v>
      </c>
      <c r="H736" s="8">
        <f>IF($G736&lt;&gt;"",$G736,SUMIFS(Assumptions!$K$4:$K$8,Assumptions!$J$4:$J$8,$C736))</f>
        <v/>
      </c>
      <c r="I736" s="7" t="n"/>
      <c r="J736" s="9">
        <f>IF($I736&lt;&gt;"",$I736,SUMIFS(Assumptions!$P$4:$P$93,Assumptions!$M$4:$M$93,$C736,Assumptions!$N$4:$N$93,$E736,Assumptions!$O$4:$O$93,"LVN"))</f>
        <v/>
      </c>
      <c r="K736" s="7" t="n"/>
      <c r="L736" s="9">
        <f>IF($K736&lt;&gt;"",$K736,SUMIFS(Assumptions!$P$4:$P$93,Assumptions!$M$4:$M$93,$C736,Assumptions!$N$4:$N$93,$E736,Assumptions!$O$4:$O$93,"HVN"))</f>
        <v/>
      </c>
      <c r="M736" s="9">
        <f>J736+L736</f>
        <v/>
      </c>
      <c r="N736" s="10">
        <f>$F736*$H736*$M736</f>
        <v/>
      </c>
    </row>
    <row r="737">
      <c r="A737" s="4" t="inlineStr">
        <is>
          <t>UNIT</t>
        </is>
      </c>
      <c r="B737" s="5" t="inlineStr">
        <is>
          <t>PAR_BILLINGS</t>
        </is>
      </c>
      <c r="C737" s="5" t="n">
        <v>4</v>
      </c>
      <c r="D737" s="5" t="inlineStr">
        <is>
          <t>VDU</t>
        </is>
      </c>
      <c r="E737" s="5" t="inlineStr">
        <is>
          <t>VDU</t>
        </is>
      </c>
      <c r="F737" s="6" t="n">
        <v>32.3</v>
      </c>
      <c r="G737" s="7" t="n">
        <v>0.741</v>
      </c>
      <c r="H737" s="8">
        <f>IF($G737&lt;&gt;"",$G737,SUMIFS(Assumptions!$K$4:$K$8,Assumptions!$J$4:$J$8,$C737))</f>
        <v/>
      </c>
      <c r="I737" s="7" t="n"/>
      <c r="J737" s="9">
        <f>IF($I737&lt;&gt;"",$I737,SUMIFS(Assumptions!$P$4:$P$93,Assumptions!$M$4:$M$93,$C737,Assumptions!$N$4:$N$93,$E737,Assumptions!$O$4:$O$93,"LVN"))</f>
        <v/>
      </c>
      <c r="K737" s="7" t="n"/>
      <c r="L737" s="9">
        <f>IF($K737&lt;&gt;"",$K737,SUMIFS(Assumptions!$P$4:$P$93,Assumptions!$M$4:$M$93,$C737,Assumptions!$N$4:$N$93,$E737,Assumptions!$O$4:$O$93,"HVN"))</f>
        <v/>
      </c>
      <c r="M737" s="9">
        <f>J737+L737</f>
        <v/>
      </c>
      <c r="N737" s="10">
        <f>$F737*$H737*$M737</f>
        <v/>
      </c>
    </row>
    <row r="738">
      <c r="A738" s="4" t="inlineStr">
        <is>
          <t>UNIT</t>
        </is>
      </c>
      <c r="B738" s="5" t="inlineStr">
        <is>
          <t>PAR_BILLINGS</t>
        </is>
      </c>
      <c r="C738" s="5" t="n">
        <v>4</v>
      </c>
      <c r="D738" s="5" t="inlineStr">
        <is>
          <t>FCC</t>
        </is>
      </c>
      <c r="E738" s="5" t="inlineStr">
        <is>
          <t>FCC</t>
        </is>
      </c>
      <c r="F738" s="6" t="n">
        <v>23.66</v>
      </c>
      <c r="G738" s="7" t="n">
        <v>0.571</v>
      </c>
      <c r="H738" s="8">
        <f>IF($G738&lt;&gt;"",$G738,SUMIFS(Assumptions!$K$4:$K$8,Assumptions!$J$4:$J$8,$C738))</f>
        <v/>
      </c>
      <c r="I738" s="7" t="n"/>
      <c r="J738" s="9">
        <f>IF($I738&lt;&gt;"",$I738,SUMIFS(Assumptions!$P$4:$P$93,Assumptions!$M$4:$M$93,$C738,Assumptions!$N$4:$N$93,$E738,Assumptions!$O$4:$O$93,"LVN"))</f>
        <v/>
      </c>
      <c r="K738" s="7" t="n"/>
      <c r="L738" s="9">
        <f>IF($K738&lt;&gt;"",$K738,SUMIFS(Assumptions!$P$4:$P$93,Assumptions!$M$4:$M$93,$C738,Assumptions!$N$4:$N$93,$E738,Assumptions!$O$4:$O$93,"HVN"))</f>
        <v/>
      </c>
      <c r="M738" s="9">
        <f>J738+L738</f>
        <v/>
      </c>
      <c r="N738" s="10">
        <f>$F738*$H738*$M738</f>
        <v/>
      </c>
    </row>
    <row r="739">
      <c r="A739" s="4" t="inlineStr">
        <is>
          <t>UNIT</t>
        </is>
      </c>
      <c r="B739" s="5" t="inlineStr">
        <is>
          <t>PAR_BILLINGS</t>
        </is>
      </c>
      <c r="C739" s="5" t="n">
        <v>4</v>
      </c>
      <c r="D739" s="5" t="inlineStr">
        <is>
          <t>DHCU</t>
        </is>
      </c>
      <c r="E739" s="5" t="inlineStr">
        <is>
          <t>HYDROCRACKER</t>
        </is>
      </c>
      <c r="F739" s="6" t="n">
        <v>6.2</v>
      </c>
      <c r="G739" s="7" t="n">
        <v>0.758</v>
      </c>
      <c r="H739" s="8">
        <f>IF($G739&lt;&gt;"",$G739,SUMIFS(Assumptions!$K$4:$K$8,Assumptions!$J$4:$J$8,$C739))</f>
        <v/>
      </c>
      <c r="I739" s="7" t="n"/>
      <c r="J739" s="9">
        <f>IF($I739&lt;&gt;"",$I739,SUMIFS(Assumptions!$P$4:$P$93,Assumptions!$M$4:$M$93,$C739,Assumptions!$N$4:$N$93,$E739,Assumptions!$O$4:$O$93,"LVN"))</f>
        <v/>
      </c>
      <c r="K739" s="7" t="n"/>
      <c r="L739" s="9">
        <f>IF($K739&lt;&gt;"",$K739,SUMIFS(Assumptions!$P$4:$P$93,Assumptions!$M$4:$M$93,$C739,Assumptions!$N$4:$N$93,$E739,Assumptions!$O$4:$O$93,"HVN"))</f>
        <v/>
      </c>
      <c r="M739" s="9">
        <f>J739+L739</f>
        <v/>
      </c>
      <c r="N739" s="10">
        <f>$F739*$H739*$M739</f>
        <v/>
      </c>
    </row>
    <row r="740">
      <c r="A740" s="4" t="inlineStr">
        <is>
          <t>UNIT</t>
        </is>
      </c>
      <c r="B740" s="5" t="inlineStr">
        <is>
          <t>PAR_BILLINGS</t>
        </is>
      </c>
      <c r="C740" s="5" t="n">
        <v>4</v>
      </c>
      <c r="D740" s="5" t="inlineStr">
        <is>
          <t>FCOKER</t>
        </is>
      </c>
      <c r="E740" s="5" t="inlineStr">
        <is>
          <t>COKER</t>
        </is>
      </c>
      <c r="F740" s="6" t="n">
        <v>10</v>
      </c>
      <c r="G740" s="7" t="n">
        <v>0.605</v>
      </c>
      <c r="H740" s="8">
        <f>IF($G740&lt;&gt;"",$G740,SUMIFS(Assumptions!$K$4:$K$8,Assumptions!$J$4:$J$8,$C740))</f>
        <v/>
      </c>
      <c r="I740" s="7" t="n"/>
      <c r="J740" s="9">
        <f>IF($I740&lt;&gt;"",$I740,SUMIFS(Assumptions!$P$4:$P$93,Assumptions!$M$4:$M$93,$C740,Assumptions!$N$4:$N$93,$E740,Assumptions!$O$4:$O$93,"LVN"))</f>
        <v/>
      </c>
      <c r="K740" s="7" t="n"/>
      <c r="L740" s="9">
        <f>IF($K740&lt;&gt;"",$K740,SUMIFS(Assumptions!$P$4:$P$93,Assumptions!$M$4:$M$93,$C740,Assumptions!$N$4:$N$93,$E740,Assumptions!$O$4:$O$93,"HVN"))</f>
        <v/>
      </c>
      <c r="M740" s="9">
        <f>J740+L740</f>
        <v/>
      </c>
      <c r="N740" s="10">
        <f>$F740*$H740*$M740</f>
        <v/>
      </c>
    </row>
    <row r="741">
      <c r="A741" s="4" t="inlineStr">
        <is>
          <t>UNIT</t>
        </is>
      </c>
      <c r="B741" s="5" t="inlineStr">
        <is>
          <t>PAR_BILLINGS</t>
        </is>
      </c>
      <c r="C741" s="5" t="n">
        <v>4</v>
      </c>
      <c r="D741" s="5" t="inlineStr">
        <is>
          <t>REF</t>
        </is>
      </c>
      <c r="E741" s="5" t="inlineStr">
        <is>
          <t>REFORMER</t>
        </is>
      </c>
      <c r="F741" s="6" t="n">
        <v>12.5</v>
      </c>
      <c r="G741" s="7" t="n">
        <v>0.6879999999999999</v>
      </c>
      <c r="H741" s="8">
        <f>IF($G741&lt;&gt;"",$G741,SUMIFS(Assumptions!$K$4:$K$8,Assumptions!$J$4:$J$8,$C741))</f>
        <v/>
      </c>
      <c r="I741" s="7" t="n"/>
      <c r="J741" s="9">
        <f>IF($I741&lt;&gt;"",$I741,SUMIFS(Assumptions!$P$4:$P$93,Assumptions!$M$4:$M$93,$C741,Assumptions!$N$4:$N$93,$E741,Assumptions!$O$4:$O$93,"LVN"))</f>
        <v/>
      </c>
      <c r="K741" s="7" t="n"/>
      <c r="L741" s="9">
        <f>IF($K741&lt;&gt;"",$K741,SUMIFS(Assumptions!$P$4:$P$93,Assumptions!$M$4:$M$93,$C741,Assumptions!$N$4:$N$93,$E741,Assumptions!$O$4:$O$93,"HVN"))</f>
        <v/>
      </c>
      <c r="M741" s="9">
        <f>J741+L741</f>
        <v/>
      </c>
      <c r="N741" s="10">
        <f>$F741*$H741*$M741</f>
        <v/>
      </c>
    </row>
    <row r="742">
      <c r="A742" s="4" t="inlineStr">
        <is>
          <t>UNIT</t>
        </is>
      </c>
      <c r="B742" s="5" t="inlineStr">
        <is>
          <t>PAR_BILLINGS</t>
        </is>
      </c>
      <c r="C742" s="5" t="n">
        <v>4</v>
      </c>
      <c r="D742" s="5" t="inlineStr">
        <is>
          <t>ALKY</t>
        </is>
      </c>
      <c r="E742" s="5" t="inlineStr">
        <is>
          <t>ALKY</t>
        </is>
      </c>
      <c r="F742" s="6" t="n">
        <v>5.1</v>
      </c>
      <c r="G742" s="7" t="n">
        <v>0.927</v>
      </c>
      <c r="H742" s="8">
        <f>IF($G742&lt;&gt;"",$G742,SUMIFS(Assumptions!$K$4:$K$8,Assumptions!$J$4:$J$8,$C742))</f>
        <v/>
      </c>
      <c r="I742" s="7" t="n"/>
      <c r="J742" s="9">
        <f>IF($I742&lt;&gt;"",$I742,SUMIFS(Assumptions!$P$4:$P$93,Assumptions!$M$4:$M$93,$C742,Assumptions!$N$4:$N$93,$E742,Assumptions!$O$4:$O$93,"LVN"))</f>
        <v/>
      </c>
      <c r="K742" s="7" t="n"/>
      <c r="L742" s="9">
        <f>IF($K742&lt;&gt;"",$K742,SUMIFS(Assumptions!$P$4:$P$93,Assumptions!$M$4:$M$93,$C742,Assumptions!$N$4:$N$93,$E742,Assumptions!$O$4:$O$93,"HVN"))</f>
        <v/>
      </c>
      <c r="M742" s="9">
        <f>J742+L742</f>
        <v/>
      </c>
      <c r="N742" s="10">
        <f>$F742*$H742*$M742</f>
        <v/>
      </c>
    </row>
    <row r="743">
      <c r="A743" s="11" t="inlineStr">
        <is>
          <t>TOTAL</t>
        </is>
      </c>
      <c r="B743" s="12" t="inlineStr">
        <is>
          <t>PAR_BILLINGS</t>
        </is>
      </c>
      <c r="C743" s="12" t="n">
        <v>4</v>
      </c>
      <c r="D743" s="12" t="inlineStr">
        <is>
          <t>NET NAPHTHA</t>
        </is>
      </c>
      <c r="N743" s="13">
        <f>SUM(N736:N742)</f>
        <v/>
      </c>
    </row>
    <row r="745">
      <c r="A745" s="1" t="inlineStr">
        <is>
          <t xml:space="preserve">  CHS Laurel  [CHS_LAUREL]   —   CHS   —   PADD 4   —   crude 61 kbd</t>
        </is>
      </c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</row>
    <row r="746">
      <c r="A746" s="4" t="inlineStr">
        <is>
          <t>UNIT</t>
        </is>
      </c>
      <c r="B746" s="5" t="inlineStr">
        <is>
          <t>CHS_LAUREL</t>
        </is>
      </c>
      <c r="C746" s="5" t="n">
        <v>4</v>
      </c>
      <c r="D746" s="5" t="inlineStr">
        <is>
          <t>CDU</t>
        </is>
      </c>
      <c r="E746" s="5" t="inlineStr">
        <is>
          <t>CDU</t>
        </is>
      </c>
      <c r="F746" s="6" t="n">
        <v>65</v>
      </c>
      <c r="G746" s="7" t="n">
        <v>0.997</v>
      </c>
      <c r="H746" s="8">
        <f>IF($G746&lt;&gt;"",$G746,SUMIFS(Assumptions!$K$4:$K$8,Assumptions!$J$4:$J$8,$C746))</f>
        <v/>
      </c>
      <c r="I746" s="7" t="n"/>
      <c r="J746" s="9">
        <f>IF($I746&lt;&gt;"",$I746,SUMIFS(Assumptions!$P$4:$P$93,Assumptions!$M$4:$M$93,$C746,Assumptions!$N$4:$N$93,$E746,Assumptions!$O$4:$O$93,"LVN"))</f>
        <v/>
      </c>
      <c r="K746" s="7" t="n"/>
      <c r="L746" s="9">
        <f>IF($K746&lt;&gt;"",$K746,SUMIFS(Assumptions!$P$4:$P$93,Assumptions!$M$4:$M$93,$C746,Assumptions!$N$4:$N$93,$E746,Assumptions!$O$4:$O$93,"HVN"))</f>
        <v/>
      </c>
      <c r="M746" s="9">
        <f>J746+L746</f>
        <v/>
      </c>
      <c r="N746" s="10">
        <f>$F746*$H746*$M746</f>
        <v/>
      </c>
    </row>
    <row r="747">
      <c r="A747" s="4" t="inlineStr">
        <is>
          <t>UNIT</t>
        </is>
      </c>
      <c r="B747" s="5" t="inlineStr">
        <is>
          <t>CHS_LAUREL</t>
        </is>
      </c>
      <c r="C747" s="5" t="n">
        <v>4</v>
      </c>
      <c r="D747" s="5" t="inlineStr">
        <is>
          <t>VDU</t>
        </is>
      </c>
      <c r="E747" s="5" t="inlineStr">
        <is>
          <t>VDU</t>
        </is>
      </c>
      <c r="F747" s="6" t="n">
        <v>32.2</v>
      </c>
      <c r="G747" s="7" t="n">
        <v>0.978</v>
      </c>
      <c r="H747" s="8">
        <f>IF($G747&lt;&gt;"",$G747,SUMIFS(Assumptions!$K$4:$K$8,Assumptions!$J$4:$J$8,$C747))</f>
        <v/>
      </c>
      <c r="I747" s="7" t="n"/>
      <c r="J747" s="9">
        <f>IF($I747&lt;&gt;"",$I747,SUMIFS(Assumptions!$P$4:$P$93,Assumptions!$M$4:$M$93,$C747,Assumptions!$N$4:$N$93,$E747,Assumptions!$O$4:$O$93,"LVN"))</f>
        <v/>
      </c>
      <c r="K747" s="7" t="n"/>
      <c r="L747" s="9">
        <f>IF($K747&lt;&gt;"",$K747,SUMIFS(Assumptions!$P$4:$P$93,Assumptions!$M$4:$M$93,$C747,Assumptions!$N$4:$N$93,$E747,Assumptions!$O$4:$O$93,"HVN"))</f>
        <v/>
      </c>
      <c r="M747" s="9">
        <f>J747+L747</f>
        <v/>
      </c>
      <c r="N747" s="10">
        <f>$F747*$H747*$M747</f>
        <v/>
      </c>
    </row>
    <row r="748">
      <c r="A748" s="4" t="inlineStr">
        <is>
          <t>UNIT</t>
        </is>
      </c>
      <c r="B748" s="5" t="inlineStr">
        <is>
          <t>CHS_LAUREL</t>
        </is>
      </c>
      <c r="C748" s="5" t="n">
        <v>4</v>
      </c>
      <c r="D748" s="5" t="inlineStr">
        <is>
          <t>FCC</t>
        </is>
      </c>
      <c r="E748" s="5" t="inlineStr">
        <is>
          <t>FCC</t>
        </is>
      </c>
      <c r="F748" s="6" t="n">
        <v>16.5</v>
      </c>
      <c r="G748" s="7" t="n">
        <v>0.99</v>
      </c>
      <c r="H748" s="8">
        <f>IF($G748&lt;&gt;"",$G748,SUMIFS(Assumptions!$K$4:$K$8,Assumptions!$J$4:$J$8,$C748))</f>
        <v/>
      </c>
      <c r="I748" s="7" t="n"/>
      <c r="J748" s="9">
        <f>IF($I748&lt;&gt;"",$I748,SUMIFS(Assumptions!$P$4:$P$93,Assumptions!$M$4:$M$93,$C748,Assumptions!$N$4:$N$93,$E748,Assumptions!$O$4:$O$93,"LVN"))</f>
        <v/>
      </c>
      <c r="K748" s="7" t="n"/>
      <c r="L748" s="9">
        <f>IF($K748&lt;&gt;"",$K748,SUMIFS(Assumptions!$P$4:$P$93,Assumptions!$M$4:$M$93,$C748,Assumptions!$N$4:$N$93,$E748,Assumptions!$O$4:$O$93,"HVN"))</f>
        <v/>
      </c>
      <c r="M748" s="9">
        <f>J748+L748</f>
        <v/>
      </c>
      <c r="N748" s="10">
        <f>$F748*$H748*$M748</f>
        <v/>
      </c>
    </row>
    <row r="749">
      <c r="A749" s="4" t="inlineStr">
        <is>
          <t>UNIT</t>
        </is>
      </c>
      <c r="B749" s="5" t="inlineStr">
        <is>
          <t>CHS_LAUREL</t>
        </is>
      </c>
      <c r="C749" s="5" t="n">
        <v>4</v>
      </c>
      <c r="D749" s="5" t="inlineStr">
        <is>
          <t>COKER</t>
        </is>
      </c>
      <c r="E749" s="5" t="inlineStr">
        <is>
          <t>COKER</t>
        </is>
      </c>
      <c r="F749" s="6" t="n">
        <v>16</v>
      </c>
      <c r="G749" s="7" t="n">
        <v>0.887</v>
      </c>
      <c r="H749" s="8">
        <f>IF($G749&lt;&gt;"",$G749,SUMIFS(Assumptions!$K$4:$K$8,Assumptions!$J$4:$J$8,$C749))</f>
        <v/>
      </c>
      <c r="I749" s="7" t="n"/>
      <c r="J749" s="9">
        <f>IF($I749&lt;&gt;"",$I749,SUMIFS(Assumptions!$P$4:$P$93,Assumptions!$M$4:$M$93,$C749,Assumptions!$N$4:$N$93,$E749,Assumptions!$O$4:$O$93,"LVN"))</f>
        <v/>
      </c>
      <c r="K749" s="7" t="n"/>
      <c r="L749" s="9">
        <f>IF($K749&lt;&gt;"",$K749,SUMIFS(Assumptions!$P$4:$P$93,Assumptions!$M$4:$M$93,$C749,Assumptions!$N$4:$N$93,$E749,Assumptions!$O$4:$O$93,"HVN"))</f>
        <v/>
      </c>
      <c r="M749" s="9">
        <f>J749+L749</f>
        <v/>
      </c>
      <c r="N749" s="10">
        <f>$F749*$H749*$M749</f>
        <v/>
      </c>
    </row>
    <row r="750">
      <c r="A750" s="4" t="inlineStr">
        <is>
          <t>UNIT</t>
        </is>
      </c>
      <c r="B750" s="5" t="inlineStr">
        <is>
          <t>CHS_LAUREL</t>
        </is>
      </c>
      <c r="C750" s="5" t="n">
        <v>4</v>
      </c>
      <c r="D750" s="5" t="inlineStr">
        <is>
          <t>CCR</t>
        </is>
      </c>
      <c r="E750" s="5" t="inlineStr">
        <is>
          <t>REFORMER</t>
        </is>
      </c>
      <c r="F750" s="6" t="n">
        <v>12.5</v>
      </c>
      <c r="G750" s="7" t="n"/>
      <c r="H750" s="8">
        <f>IF($G750&lt;&gt;"",$G750,SUMIFS(Assumptions!$K$4:$K$8,Assumptions!$J$4:$J$8,$C750))</f>
        <v/>
      </c>
      <c r="I750" s="7" t="n"/>
      <c r="J750" s="9">
        <f>IF($I750&lt;&gt;"",$I750,SUMIFS(Assumptions!$P$4:$P$93,Assumptions!$M$4:$M$93,$C750,Assumptions!$N$4:$N$93,$E750,Assumptions!$O$4:$O$93,"LVN"))</f>
        <v/>
      </c>
      <c r="K750" s="7" t="n"/>
      <c r="L750" s="9">
        <f>IF($K750&lt;&gt;"",$K750,SUMIFS(Assumptions!$P$4:$P$93,Assumptions!$M$4:$M$93,$C750,Assumptions!$N$4:$N$93,$E750,Assumptions!$O$4:$O$93,"HVN"))</f>
        <v/>
      </c>
      <c r="M750" s="9">
        <f>J750+L750</f>
        <v/>
      </c>
      <c r="N750" s="10">
        <f>$F750*$H750*$M750</f>
        <v/>
      </c>
    </row>
    <row r="751">
      <c r="A751" s="4" t="inlineStr">
        <is>
          <t>UNIT</t>
        </is>
      </c>
      <c r="B751" s="5" t="inlineStr">
        <is>
          <t>CHS_LAUREL</t>
        </is>
      </c>
      <c r="C751" s="5" t="n">
        <v>4</v>
      </c>
      <c r="D751" s="5" t="inlineStr">
        <is>
          <t>REF</t>
        </is>
      </c>
      <c r="E751" s="5" t="inlineStr">
        <is>
          <t>REFORMER</t>
        </is>
      </c>
      <c r="F751" s="6" t="n">
        <v>12</v>
      </c>
      <c r="G751" s="7" t="n">
        <v>0.923</v>
      </c>
      <c r="H751" s="8">
        <f>IF($G751&lt;&gt;"",$G751,SUMIFS(Assumptions!$K$4:$K$8,Assumptions!$J$4:$J$8,$C751))</f>
        <v/>
      </c>
      <c r="I751" s="7" t="n"/>
      <c r="J751" s="9">
        <f>IF($I751&lt;&gt;"",$I751,SUMIFS(Assumptions!$P$4:$P$93,Assumptions!$M$4:$M$93,$C751,Assumptions!$N$4:$N$93,$E751,Assumptions!$O$4:$O$93,"LVN"))</f>
        <v/>
      </c>
      <c r="K751" s="7" t="n"/>
      <c r="L751" s="9">
        <f>IF($K751&lt;&gt;"",$K751,SUMIFS(Assumptions!$P$4:$P$93,Assumptions!$M$4:$M$93,$C751,Assumptions!$N$4:$N$93,$E751,Assumptions!$O$4:$O$93,"HVN"))</f>
        <v/>
      </c>
      <c r="M751" s="9">
        <f>J751+L751</f>
        <v/>
      </c>
      <c r="N751" s="10">
        <f>$F751*$H751*$M751</f>
        <v/>
      </c>
    </row>
    <row r="752">
      <c r="A752" s="4" t="inlineStr">
        <is>
          <t>UNIT</t>
        </is>
      </c>
      <c r="B752" s="5" t="inlineStr">
        <is>
          <t>CHS_LAUREL</t>
        </is>
      </c>
      <c r="C752" s="5" t="n">
        <v>4</v>
      </c>
      <c r="D752" s="5" t="inlineStr">
        <is>
          <t>ALKY</t>
        </is>
      </c>
      <c r="E752" s="5" t="inlineStr">
        <is>
          <t>ALKY</t>
        </is>
      </c>
      <c r="F752" s="6" t="n">
        <v>4</v>
      </c>
      <c r="G752" s="7" t="n">
        <v>0.747</v>
      </c>
      <c r="H752" s="8">
        <f>IF($G752&lt;&gt;"",$G752,SUMIFS(Assumptions!$K$4:$K$8,Assumptions!$J$4:$J$8,$C752))</f>
        <v/>
      </c>
      <c r="I752" s="7" t="n"/>
      <c r="J752" s="9">
        <f>IF($I752&lt;&gt;"",$I752,SUMIFS(Assumptions!$P$4:$P$93,Assumptions!$M$4:$M$93,$C752,Assumptions!$N$4:$N$93,$E752,Assumptions!$O$4:$O$93,"LVN"))</f>
        <v/>
      </c>
      <c r="K752" s="7" t="n"/>
      <c r="L752" s="9">
        <f>IF($K752&lt;&gt;"",$K752,SUMIFS(Assumptions!$P$4:$P$93,Assumptions!$M$4:$M$93,$C752,Assumptions!$N$4:$N$93,$E752,Assumptions!$O$4:$O$93,"HVN"))</f>
        <v/>
      </c>
      <c r="M752" s="9">
        <f>J752+L752</f>
        <v/>
      </c>
      <c r="N752" s="10">
        <f>$F752*$H752*$M752</f>
        <v/>
      </c>
    </row>
    <row r="753">
      <c r="A753" s="11" t="inlineStr">
        <is>
          <t>TOTAL</t>
        </is>
      </c>
      <c r="B753" s="12" t="inlineStr">
        <is>
          <t>CHS_LAUREL</t>
        </is>
      </c>
      <c r="C753" s="12" t="n">
        <v>4</v>
      </c>
      <c r="D753" s="12" t="inlineStr">
        <is>
          <t>NET NAPHTHA</t>
        </is>
      </c>
      <c r="N753" s="13">
        <f>SUM(N746:N752)</f>
        <v/>
      </c>
    </row>
    <row r="755">
      <c r="A755" s="1" t="inlineStr">
        <is>
          <t xml:space="preserve">  Chevron Salt Lake City  [CHEVRON_SALT_LAKE_CITY]   —   Chevron   —   PADD 4   —   crude 55 kbd</t>
        </is>
      </c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</row>
    <row r="756">
      <c r="A756" s="4" t="inlineStr">
        <is>
          <t>UNIT</t>
        </is>
      </c>
      <c r="B756" s="5" t="inlineStr">
        <is>
          <t>CHEVRON_SALT_LAKE_CITY</t>
        </is>
      </c>
      <c r="C756" s="5" t="n">
        <v>4</v>
      </c>
      <c r="D756" s="5" t="inlineStr">
        <is>
          <t>CDU</t>
        </is>
      </c>
      <c r="E756" s="5" t="inlineStr">
        <is>
          <t>CDU</t>
        </is>
      </c>
      <c r="F756" s="6" t="n">
        <v>57.6</v>
      </c>
      <c r="G756" s="7" t="n">
        <v>0.851</v>
      </c>
      <c r="H756" s="8">
        <f>IF($G756&lt;&gt;"",$G756,SUMIFS(Assumptions!$K$4:$K$8,Assumptions!$J$4:$J$8,$C756))</f>
        <v/>
      </c>
      <c r="I756" s="7" t="n"/>
      <c r="J756" s="9">
        <f>IF($I756&lt;&gt;"",$I756,SUMIFS(Assumptions!$P$4:$P$93,Assumptions!$M$4:$M$93,$C756,Assumptions!$N$4:$N$93,$E756,Assumptions!$O$4:$O$93,"LVN"))</f>
        <v/>
      </c>
      <c r="K756" s="7" t="n"/>
      <c r="L756" s="9">
        <f>IF($K756&lt;&gt;"",$K756,SUMIFS(Assumptions!$P$4:$P$93,Assumptions!$M$4:$M$93,$C756,Assumptions!$N$4:$N$93,$E756,Assumptions!$O$4:$O$93,"HVN"))</f>
        <v/>
      </c>
      <c r="M756" s="9">
        <f>J756+L756</f>
        <v/>
      </c>
      <c r="N756" s="10">
        <f>$F756*$H756*$M756</f>
        <v/>
      </c>
    </row>
    <row r="757">
      <c r="A757" s="4" t="inlineStr">
        <is>
          <t>UNIT</t>
        </is>
      </c>
      <c r="B757" s="5" t="inlineStr">
        <is>
          <t>CHEVRON_SALT_LAKE_CITY</t>
        </is>
      </c>
      <c r="C757" s="5" t="n">
        <v>4</v>
      </c>
      <c r="D757" s="5" t="inlineStr">
        <is>
          <t>VDU</t>
        </is>
      </c>
      <c r="E757" s="5" t="inlineStr">
        <is>
          <t>VDU</t>
        </is>
      </c>
      <c r="F757" s="6" t="n">
        <v>27.9</v>
      </c>
      <c r="G757" s="7" t="n">
        <v>0.5679999999999999</v>
      </c>
      <c r="H757" s="8">
        <f>IF($G757&lt;&gt;"",$G757,SUMIFS(Assumptions!$K$4:$K$8,Assumptions!$J$4:$J$8,$C757))</f>
        <v/>
      </c>
      <c r="I757" s="7" t="n"/>
      <c r="J757" s="9">
        <f>IF($I757&lt;&gt;"",$I757,SUMIFS(Assumptions!$P$4:$P$93,Assumptions!$M$4:$M$93,$C757,Assumptions!$N$4:$N$93,$E757,Assumptions!$O$4:$O$93,"LVN"))</f>
        <v/>
      </c>
      <c r="K757" s="7" t="n"/>
      <c r="L757" s="9">
        <f>IF($K757&lt;&gt;"",$K757,SUMIFS(Assumptions!$P$4:$P$93,Assumptions!$M$4:$M$93,$C757,Assumptions!$N$4:$N$93,$E757,Assumptions!$O$4:$O$93,"HVN"))</f>
        <v/>
      </c>
      <c r="M757" s="9">
        <f>J757+L757</f>
        <v/>
      </c>
      <c r="N757" s="10">
        <f>$F757*$H757*$M757</f>
        <v/>
      </c>
    </row>
    <row r="758">
      <c r="A758" s="4" t="inlineStr">
        <is>
          <t>UNIT</t>
        </is>
      </c>
      <c r="B758" s="5" t="inlineStr">
        <is>
          <t>CHEVRON_SALT_LAKE_CITY</t>
        </is>
      </c>
      <c r="C758" s="5" t="n">
        <v>4</v>
      </c>
      <c r="D758" s="5" t="inlineStr">
        <is>
          <t>FCC</t>
        </is>
      </c>
      <c r="E758" s="5" t="inlineStr">
        <is>
          <t>FCC</t>
        </is>
      </c>
      <c r="F758" s="6" t="n">
        <v>15.5</v>
      </c>
      <c r="G758" s="7" t="n">
        <v>0.749</v>
      </c>
      <c r="H758" s="8">
        <f>IF($G758&lt;&gt;"",$G758,SUMIFS(Assumptions!$K$4:$K$8,Assumptions!$J$4:$J$8,$C758))</f>
        <v/>
      </c>
      <c r="I758" s="7" t="n"/>
      <c r="J758" s="9">
        <f>IF($I758&lt;&gt;"",$I758,SUMIFS(Assumptions!$P$4:$P$93,Assumptions!$M$4:$M$93,$C758,Assumptions!$N$4:$N$93,$E758,Assumptions!$O$4:$O$93,"LVN"))</f>
        <v/>
      </c>
      <c r="K758" s="7" t="n"/>
      <c r="L758" s="9">
        <f>IF($K758&lt;&gt;"",$K758,SUMIFS(Assumptions!$P$4:$P$93,Assumptions!$M$4:$M$93,$C758,Assumptions!$N$4:$N$93,$E758,Assumptions!$O$4:$O$93,"HVN"))</f>
        <v/>
      </c>
      <c r="M758" s="9">
        <f>J758+L758</f>
        <v/>
      </c>
      <c r="N758" s="10">
        <f>$F758*$H758*$M758</f>
        <v/>
      </c>
    </row>
    <row r="759">
      <c r="A759" s="4" t="inlineStr">
        <is>
          <t>UNIT</t>
        </is>
      </c>
      <c r="B759" s="5" t="inlineStr">
        <is>
          <t>CHEVRON_SALT_LAKE_CITY</t>
        </is>
      </c>
      <c r="C759" s="5" t="n">
        <v>4</v>
      </c>
      <c r="D759" s="5" t="inlineStr">
        <is>
          <t>COKER</t>
        </is>
      </c>
      <c r="E759" s="5" t="inlineStr">
        <is>
          <t>COKER</t>
        </is>
      </c>
      <c r="F759" s="6" t="n">
        <v>10</v>
      </c>
      <c r="G759" s="7" t="n">
        <v>0.334</v>
      </c>
      <c r="H759" s="8">
        <f>IF($G759&lt;&gt;"",$G759,SUMIFS(Assumptions!$K$4:$K$8,Assumptions!$J$4:$J$8,$C759))</f>
        <v/>
      </c>
      <c r="I759" s="7" t="n"/>
      <c r="J759" s="9">
        <f>IF($I759&lt;&gt;"",$I759,SUMIFS(Assumptions!$P$4:$P$93,Assumptions!$M$4:$M$93,$C759,Assumptions!$N$4:$N$93,$E759,Assumptions!$O$4:$O$93,"LVN"))</f>
        <v/>
      </c>
      <c r="K759" s="7" t="n"/>
      <c r="L759" s="9">
        <f>IF($K759&lt;&gt;"",$K759,SUMIFS(Assumptions!$P$4:$P$93,Assumptions!$M$4:$M$93,$C759,Assumptions!$N$4:$N$93,$E759,Assumptions!$O$4:$O$93,"HVN"))</f>
        <v/>
      </c>
      <c r="M759" s="9">
        <f>J759+L759</f>
        <v/>
      </c>
      <c r="N759" s="10">
        <f>$F759*$H759*$M759</f>
        <v/>
      </c>
    </row>
    <row r="760">
      <c r="A760" s="4" t="inlineStr">
        <is>
          <t>UNIT</t>
        </is>
      </c>
      <c r="B760" s="5" t="inlineStr">
        <is>
          <t>CHEVRON_SALT_LAKE_CITY</t>
        </is>
      </c>
      <c r="C760" s="5" t="n">
        <v>4</v>
      </c>
      <c r="D760" s="5" t="inlineStr">
        <is>
          <t>REF</t>
        </is>
      </c>
      <c r="E760" s="5" t="inlineStr">
        <is>
          <t>REFORMER</t>
        </is>
      </c>
      <c r="F760" s="6" t="n">
        <v>9.1</v>
      </c>
      <c r="G760" s="7" t="n">
        <v>0.644</v>
      </c>
      <c r="H760" s="8">
        <f>IF($G760&lt;&gt;"",$G760,SUMIFS(Assumptions!$K$4:$K$8,Assumptions!$J$4:$J$8,$C760))</f>
        <v/>
      </c>
      <c r="I760" s="7" t="n"/>
      <c r="J760" s="9">
        <f>IF($I760&lt;&gt;"",$I760,SUMIFS(Assumptions!$P$4:$P$93,Assumptions!$M$4:$M$93,$C760,Assumptions!$N$4:$N$93,$E760,Assumptions!$O$4:$O$93,"LVN"))</f>
        <v/>
      </c>
      <c r="K760" s="7" t="n"/>
      <c r="L760" s="9">
        <f>IF($K760&lt;&gt;"",$K760,SUMIFS(Assumptions!$P$4:$P$93,Assumptions!$M$4:$M$93,$C760,Assumptions!$N$4:$N$93,$E760,Assumptions!$O$4:$O$93,"HVN"))</f>
        <v/>
      </c>
      <c r="M760" s="9">
        <f>J760+L760</f>
        <v/>
      </c>
      <c r="N760" s="10">
        <f>$F760*$H760*$M760</f>
        <v/>
      </c>
    </row>
    <row r="761">
      <c r="A761" s="4" t="inlineStr">
        <is>
          <t>UNIT</t>
        </is>
      </c>
      <c r="B761" s="5" t="inlineStr">
        <is>
          <t>CHEVRON_SALT_LAKE_CITY</t>
        </is>
      </c>
      <c r="C761" s="5" t="n">
        <v>4</v>
      </c>
      <c r="D761" s="5" t="inlineStr">
        <is>
          <t>ALKY</t>
        </is>
      </c>
      <c r="E761" s="5" t="inlineStr">
        <is>
          <t>ALKY</t>
        </is>
      </c>
      <c r="F761" s="6" t="n">
        <v>5.6</v>
      </c>
      <c r="G761" s="7" t="n">
        <v>0.901</v>
      </c>
      <c r="H761" s="8">
        <f>IF($G761&lt;&gt;"",$G761,SUMIFS(Assumptions!$K$4:$K$8,Assumptions!$J$4:$J$8,$C761))</f>
        <v/>
      </c>
      <c r="I761" s="7" t="n"/>
      <c r="J761" s="9">
        <f>IF($I761&lt;&gt;"",$I761,SUMIFS(Assumptions!$P$4:$P$93,Assumptions!$M$4:$M$93,$C761,Assumptions!$N$4:$N$93,$E761,Assumptions!$O$4:$O$93,"LVN"))</f>
        <v/>
      </c>
      <c r="K761" s="7" t="n"/>
      <c r="L761" s="9">
        <f>IF($K761&lt;&gt;"",$K761,SUMIFS(Assumptions!$P$4:$P$93,Assumptions!$M$4:$M$93,$C761,Assumptions!$N$4:$N$93,$E761,Assumptions!$O$4:$O$93,"HVN"))</f>
        <v/>
      </c>
      <c r="M761" s="9">
        <f>J761+L761</f>
        <v/>
      </c>
      <c r="N761" s="10">
        <f>$F761*$H761*$M761</f>
        <v/>
      </c>
    </row>
    <row r="762">
      <c r="A762" s="11" t="inlineStr">
        <is>
          <t>TOTAL</t>
        </is>
      </c>
      <c r="B762" s="12" t="inlineStr">
        <is>
          <t>CHEVRON_SALT_LAKE_CITY</t>
        </is>
      </c>
      <c r="C762" s="12" t="n">
        <v>4</v>
      </c>
      <c r="D762" s="12" t="inlineStr">
        <is>
          <t>NET NAPHTHA</t>
        </is>
      </c>
      <c r="N762" s="13">
        <f>SUM(N756:N761)</f>
        <v/>
      </c>
    </row>
    <row r="764">
      <c r="A764" s="1" t="inlineStr">
        <is>
          <t xml:space="preserve">  HF Sinclair Woods Cross  [HF_WOODS_CROSS]   —   HF Sinclair   —   PADD 4   —   crude 45 kbd</t>
        </is>
      </c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</row>
    <row r="765">
      <c r="A765" s="4" t="inlineStr">
        <is>
          <t>UNIT</t>
        </is>
      </c>
      <c r="B765" s="5" t="inlineStr">
        <is>
          <t>HF_WOODS_CROSS</t>
        </is>
      </c>
      <c r="C765" s="5" t="n">
        <v>4</v>
      </c>
      <c r="D765" s="5" t="inlineStr">
        <is>
          <t>CDU</t>
        </is>
      </c>
      <c r="E765" s="5" t="inlineStr">
        <is>
          <t>CDU</t>
        </is>
      </c>
      <c r="F765" s="6" t="n">
        <v>45</v>
      </c>
      <c r="G765" s="7" t="n">
        <v>0.95</v>
      </c>
      <c r="H765" s="8">
        <f>IF($G765&lt;&gt;"",$G765,SUMIFS(Assumptions!$K$4:$K$8,Assumptions!$J$4:$J$8,$C765))</f>
        <v/>
      </c>
      <c r="I765" s="7" t="n"/>
      <c r="J765" s="9">
        <f>IF($I765&lt;&gt;"",$I765,SUMIFS(Assumptions!$P$4:$P$93,Assumptions!$M$4:$M$93,$C765,Assumptions!$N$4:$N$93,$E765,Assumptions!$O$4:$O$93,"LVN"))</f>
        <v/>
      </c>
      <c r="K765" s="7" t="n"/>
      <c r="L765" s="9">
        <f>IF($K765&lt;&gt;"",$K765,SUMIFS(Assumptions!$P$4:$P$93,Assumptions!$M$4:$M$93,$C765,Assumptions!$N$4:$N$93,$E765,Assumptions!$O$4:$O$93,"HVN"))</f>
        <v/>
      </c>
      <c r="M765" s="9">
        <f>J765+L765</f>
        <v/>
      </c>
      <c r="N765" s="10">
        <f>$F765*$H765*$M765</f>
        <v/>
      </c>
    </row>
    <row r="766">
      <c r="A766" s="4" t="inlineStr">
        <is>
          <t>UNIT</t>
        </is>
      </c>
      <c r="B766" s="5" t="inlineStr">
        <is>
          <t>HF_WOODS_CROSS</t>
        </is>
      </c>
      <c r="C766" s="5" t="n">
        <v>4</v>
      </c>
      <c r="D766" s="5" t="inlineStr">
        <is>
          <t>RCC</t>
        </is>
      </c>
      <c r="E766" s="5" t="inlineStr">
        <is>
          <t>FCC</t>
        </is>
      </c>
      <c r="F766" s="6" t="n">
        <v>17.5</v>
      </c>
      <c r="G766" s="7" t="n"/>
      <c r="H766" s="8">
        <f>IF($G766&lt;&gt;"",$G766,SUMIFS(Assumptions!$K$4:$K$8,Assumptions!$J$4:$J$8,$C766))</f>
        <v/>
      </c>
      <c r="I766" s="7" t="n"/>
      <c r="J766" s="9">
        <f>IF($I766&lt;&gt;"",$I766,SUMIFS(Assumptions!$P$4:$P$93,Assumptions!$M$4:$M$93,$C766,Assumptions!$N$4:$N$93,$E766,Assumptions!$O$4:$O$93,"LVN"))</f>
        <v/>
      </c>
      <c r="K766" s="7" t="n"/>
      <c r="L766" s="9">
        <f>IF($K766&lt;&gt;"",$K766,SUMIFS(Assumptions!$P$4:$P$93,Assumptions!$M$4:$M$93,$C766,Assumptions!$N$4:$N$93,$E766,Assumptions!$O$4:$O$93,"HVN"))</f>
        <v/>
      </c>
      <c r="M766" s="9">
        <f>J766+L766</f>
        <v/>
      </c>
      <c r="N766" s="10">
        <f>$F766*$H766*$M766</f>
        <v/>
      </c>
    </row>
    <row r="767">
      <c r="A767" s="4" t="inlineStr">
        <is>
          <t>UNIT</t>
        </is>
      </c>
      <c r="B767" s="5" t="inlineStr">
        <is>
          <t>HF_WOODS_CROSS</t>
        </is>
      </c>
      <c r="C767" s="5" t="n">
        <v>4</v>
      </c>
      <c r="D767" s="5" t="inlineStr">
        <is>
          <t>DHCU</t>
        </is>
      </c>
      <c r="E767" s="5" t="inlineStr">
        <is>
          <t>HYDROCRACKER</t>
        </is>
      </c>
      <c r="F767" s="6" t="n">
        <v>15</v>
      </c>
      <c r="G767" s="7" t="n">
        <v>0.653</v>
      </c>
      <c r="H767" s="8">
        <f>IF($G767&lt;&gt;"",$G767,SUMIFS(Assumptions!$K$4:$K$8,Assumptions!$J$4:$J$8,$C767))</f>
        <v/>
      </c>
      <c r="I767" s="7" t="n"/>
      <c r="J767" s="9">
        <f>IF($I767&lt;&gt;"",$I767,SUMIFS(Assumptions!$P$4:$P$93,Assumptions!$M$4:$M$93,$C767,Assumptions!$N$4:$N$93,$E767,Assumptions!$O$4:$O$93,"LVN"))</f>
        <v/>
      </c>
      <c r="K767" s="7" t="n"/>
      <c r="L767" s="9">
        <f>IF($K767&lt;&gt;"",$K767,SUMIFS(Assumptions!$P$4:$P$93,Assumptions!$M$4:$M$93,$C767,Assumptions!$N$4:$N$93,$E767,Assumptions!$O$4:$O$93,"HVN"))</f>
        <v/>
      </c>
      <c r="M767" s="9">
        <f>J767+L767</f>
        <v/>
      </c>
      <c r="N767" s="10">
        <f>$F767*$H767*$M767</f>
        <v/>
      </c>
    </row>
    <row r="768">
      <c r="A768" s="4" t="inlineStr">
        <is>
          <t>UNIT</t>
        </is>
      </c>
      <c r="B768" s="5" t="inlineStr">
        <is>
          <t>HF_WOODS_CROSS</t>
        </is>
      </c>
      <c r="C768" s="5" t="n">
        <v>4</v>
      </c>
      <c r="D768" s="5" t="inlineStr">
        <is>
          <t>REF</t>
        </is>
      </c>
      <c r="E768" s="5" t="inlineStr">
        <is>
          <t>REFORMER</t>
        </is>
      </c>
      <c r="F768" s="6" t="n">
        <v>8.4</v>
      </c>
      <c r="G768" s="7" t="n">
        <v>0.357</v>
      </c>
      <c r="H768" s="8">
        <f>IF($G768&lt;&gt;"",$G768,SUMIFS(Assumptions!$K$4:$K$8,Assumptions!$J$4:$J$8,$C768))</f>
        <v/>
      </c>
      <c r="I768" s="7" t="n"/>
      <c r="J768" s="9">
        <f>IF($I768&lt;&gt;"",$I768,SUMIFS(Assumptions!$P$4:$P$93,Assumptions!$M$4:$M$93,$C768,Assumptions!$N$4:$N$93,$E768,Assumptions!$O$4:$O$93,"LVN"))</f>
        <v/>
      </c>
      <c r="K768" s="7" t="n"/>
      <c r="L768" s="9">
        <f>IF($K768&lt;&gt;"",$K768,SUMIFS(Assumptions!$P$4:$P$93,Assumptions!$M$4:$M$93,$C768,Assumptions!$N$4:$N$93,$E768,Assumptions!$O$4:$O$93,"HVN"))</f>
        <v/>
      </c>
      <c r="M768" s="9">
        <f>J768+L768</f>
        <v/>
      </c>
      <c r="N768" s="10">
        <f>$F768*$H768*$M768</f>
        <v/>
      </c>
    </row>
    <row r="769">
      <c r="A769" s="4" t="inlineStr">
        <is>
          <t>UNIT</t>
        </is>
      </c>
      <c r="B769" s="5" t="inlineStr">
        <is>
          <t>HF_WOODS_CROSS</t>
        </is>
      </c>
      <c r="C769" s="5" t="n">
        <v>4</v>
      </c>
      <c r="D769" s="5" t="inlineStr">
        <is>
          <t>ISOM</t>
        </is>
      </c>
      <c r="E769" s="5" t="inlineStr">
        <is>
          <t>ISOM</t>
        </is>
      </c>
      <c r="F769" s="6" t="n">
        <v>3</v>
      </c>
      <c r="G769" s="7" t="n">
        <v>1</v>
      </c>
      <c r="H769" s="8">
        <f>IF($G769&lt;&gt;"",$G769,SUMIFS(Assumptions!$K$4:$K$8,Assumptions!$J$4:$J$8,$C769))</f>
        <v/>
      </c>
      <c r="I769" s="7" t="n"/>
      <c r="J769" s="9">
        <f>IF($I769&lt;&gt;"",$I769,SUMIFS(Assumptions!$P$4:$P$93,Assumptions!$M$4:$M$93,$C769,Assumptions!$N$4:$N$93,$E769,Assumptions!$O$4:$O$93,"LVN"))</f>
        <v/>
      </c>
      <c r="K769" s="7" t="n"/>
      <c r="L769" s="9">
        <f>IF($K769&lt;&gt;"",$K769,SUMIFS(Assumptions!$P$4:$P$93,Assumptions!$M$4:$M$93,$C769,Assumptions!$N$4:$N$93,$E769,Assumptions!$O$4:$O$93,"HVN"))</f>
        <v/>
      </c>
      <c r="M769" s="9">
        <f>J769+L769</f>
        <v/>
      </c>
      <c r="N769" s="10">
        <f>$F769*$H769*$M769</f>
        <v/>
      </c>
    </row>
    <row r="770">
      <c r="A770" s="4" t="inlineStr">
        <is>
          <t>UNIT</t>
        </is>
      </c>
      <c r="B770" s="5" t="inlineStr">
        <is>
          <t>HF_WOODS_CROSS</t>
        </is>
      </c>
      <c r="C770" s="5" t="n">
        <v>4</v>
      </c>
      <c r="D770" s="5" t="inlineStr">
        <is>
          <t>ALKY</t>
        </is>
      </c>
      <c r="E770" s="5" t="inlineStr">
        <is>
          <t>ALKY</t>
        </is>
      </c>
      <c r="F770" s="6" t="n">
        <v>5.3</v>
      </c>
      <c r="G770" s="7" t="n">
        <v>1.1</v>
      </c>
      <c r="H770" s="8">
        <f>IF($G770&lt;&gt;"",$G770,SUMIFS(Assumptions!$K$4:$K$8,Assumptions!$J$4:$J$8,$C770))</f>
        <v/>
      </c>
      <c r="I770" s="7" t="n"/>
      <c r="J770" s="9">
        <f>IF($I770&lt;&gt;"",$I770,SUMIFS(Assumptions!$P$4:$P$93,Assumptions!$M$4:$M$93,$C770,Assumptions!$N$4:$N$93,$E770,Assumptions!$O$4:$O$93,"LVN"))</f>
        <v/>
      </c>
      <c r="K770" s="7" t="n"/>
      <c r="L770" s="9">
        <f>IF($K770&lt;&gt;"",$K770,SUMIFS(Assumptions!$P$4:$P$93,Assumptions!$M$4:$M$93,$C770,Assumptions!$N$4:$N$93,$E770,Assumptions!$O$4:$O$93,"HVN"))</f>
        <v/>
      </c>
      <c r="M770" s="9">
        <f>J770+L770</f>
        <v/>
      </c>
      <c r="N770" s="10">
        <f>$F770*$H770*$M770</f>
        <v/>
      </c>
    </row>
    <row r="771">
      <c r="A771" s="11" t="inlineStr">
        <is>
          <t>TOTAL</t>
        </is>
      </c>
      <c r="B771" s="12" t="inlineStr">
        <is>
          <t>HF_WOODS_CROSS</t>
        </is>
      </c>
      <c r="C771" s="12" t="n">
        <v>4</v>
      </c>
      <c r="D771" s="12" t="inlineStr">
        <is>
          <t>NET NAPHTHA</t>
        </is>
      </c>
      <c r="N771" s="13">
        <f>SUM(N765:N770)</f>
        <v/>
      </c>
    </row>
    <row r="773">
      <c r="A773" s="1" t="inlineStr">
        <is>
          <t xml:space="preserve">  Big West Oil Co North Slaterville Canal  [BIG_NORTH_SLATERVILLE_CANAL]   —   Flying J   —   PADD 4   —   crude 33 kbd</t>
        </is>
      </c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</row>
    <row r="774">
      <c r="A774" s="4" t="inlineStr">
        <is>
          <t>UNIT</t>
        </is>
      </c>
      <c r="B774" s="5" t="inlineStr">
        <is>
          <t>BIG_NORTH_SLATERVILLE_CANAL</t>
        </is>
      </c>
      <c r="C774" s="5" t="n">
        <v>4</v>
      </c>
      <c r="D774" s="5" t="inlineStr">
        <is>
          <t>CDU</t>
        </is>
      </c>
      <c r="E774" s="5" t="inlineStr">
        <is>
          <t>CDU</t>
        </is>
      </c>
      <c r="F774" s="6" t="n">
        <v>33</v>
      </c>
      <c r="G774" s="7" t="n">
        <v>0.9389999999999999</v>
      </c>
      <c r="H774" s="8">
        <f>IF($G774&lt;&gt;"",$G774,SUMIFS(Assumptions!$K$4:$K$8,Assumptions!$J$4:$J$8,$C774))</f>
        <v/>
      </c>
      <c r="I774" s="7" t="n"/>
      <c r="J774" s="9">
        <f>IF($I774&lt;&gt;"",$I774,SUMIFS(Assumptions!$P$4:$P$93,Assumptions!$M$4:$M$93,$C774,Assumptions!$N$4:$N$93,$E774,Assumptions!$O$4:$O$93,"LVN"))</f>
        <v/>
      </c>
      <c r="K774" s="7" t="n"/>
      <c r="L774" s="9">
        <f>IF($K774&lt;&gt;"",$K774,SUMIFS(Assumptions!$P$4:$P$93,Assumptions!$M$4:$M$93,$C774,Assumptions!$N$4:$N$93,$E774,Assumptions!$O$4:$O$93,"HVN"))</f>
        <v/>
      </c>
      <c r="M774" s="9">
        <f>J774+L774</f>
        <v/>
      </c>
      <c r="N774" s="10">
        <f>$F774*$H774*$M774</f>
        <v/>
      </c>
    </row>
    <row r="775">
      <c r="A775" s="4" t="inlineStr">
        <is>
          <t>UNIT</t>
        </is>
      </c>
      <c r="B775" s="5" t="inlineStr">
        <is>
          <t>BIG_NORTH_SLATERVILLE_CANAL</t>
        </is>
      </c>
      <c r="C775" s="5" t="n">
        <v>4</v>
      </c>
      <c r="D775" s="5" t="inlineStr">
        <is>
          <t>FCC</t>
        </is>
      </c>
      <c r="E775" s="5" t="inlineStr">
        <is>
          <t>FCC</t>
        </is>
      </c>
      <c r="F775" s="6" t="n">
        <v>12.5</v>
      </c>
      <c r="G775" s="7" t="n">
        <v>0.982</v>
      </c>
      <c r="H775" s="8">
        <f>IF($G775&lt;&gt;"",$G775,SUMIFS(Assumptions!$K$4:$K$8,Assumptions!$J$4:$J$8,$C775))</f>
        <v/>
      </c>
      <c r="I775" s="7" t="n"/>
      <c r="J775" s="9">
        <f>IF($I775&lt;&gt;"",$I775,SUMIFS(Assumptions!$P$4:$P$93,Assumptions!$M$4:$M$93,$C775,Assumptions!$N$4:$N$93,$E775,Assumptions!$O$4:$O$93,"LVN"))</f>
        <v/>
      </c>
      <c r="K775" s="7" t="n"/>
      <c r="L775" s="9">
        <f>IF($K775&lt;&gt;"",$K775,SUMIFS(Assumptions!$P$4:$P$93,Assumptions!$M$4:$M$93,$C775,Assumptions!$N$4:$N$93,$E775,Assumptions!$O$4:$O$93,"HVN"))</f>
        <v/>
      </c>
      <c r="M775" s="9">
        <f>J775+L775</f>
        <v/>
      </c>
      <c r="N775" s="10">
        <f>$F775*$H775*$M775</f>
        <v/>
      </c>
    </row>
    <row r="776">
      <c r="A776" s="4" t="inlineStr">
        <is>
          <t>UNIT</t>
        </is>
      </c>
      <c r="B776" s="5" t="inlineStr">
        <is>
          <t>BIG_NORTH_SLATERVILLE_CANAL</t>
        </is>
      </c>
      <c r="C776" s="5" t="n">
        <v>4</v>
      </c>
      <c r="D776" s="5" t="inlineStr">
        <is>
          <t>REF</t>
        </is>
      </c>
      <c r="E776" s="5" t="inlineStr">
        <is>
          <t>REFORMER</t>
        </is>
      </c>
      <c r="F776" s="6" t="n">
        <v>8.5</v>
      </c>
      <c r="G776" s="7" t="n"/>
      <c r="H776" s="8">
        <f>IF($G776&lt;&gt;"",$G776,SUMIFS(Assumptions!$K$4:$K$8,Assumptions!$J$4:$J$8,$C776))</f>
        <v/>
      </c>
      <c r="I776" s="7" t="n"/>
      <c r="J776" s="9">
        <f>IF($I776&lt;&gt;"",$I776,SUMIFS(Assumptions!$P$4:$P$93,Assumptions!$M$4:$M$93,$C776,Assumptions!$N$4:$N$93,$E776,Assumptions!$O$4:$O$93,"LVN"))</f>
        <v/>
      </c>
      <c r="K776" s="7" t="n"/>
      <c r="L776" s="9">
        <f>IF($K776&lt;&gt;"",$K776,SUMIFS(Assumptions!$P$4:$P$93,Assumptions!$M$4:$M$93,$C776,Assumptions!$N$4:$N$93,$E776,Assumptions!$O$4:$O$93,"HVN"))</f>
        <v/>
      </c>
      <c r="M776" s="9">
        <f>J776+L776</f>
        <v/>
      </c>
      <c r="N776" s="10">
        <f>$F776*$H776*$M776</f>
        <v/>
      </c>
    </row>
    <row r="777">
      <c r="A777" s="4" t="inlineStr">
        <is>
          <t>UNIT</t>
        </is>
      </c>
      <c r="B777" s="5" t="inlineStr">
        <is>
          <t>BIG_NORTH_SLATERVILLE_CANAL</t>
        </is>
      </c>
      <c r="C777" s="5" t="n">
        <v>4</v>
      </c>
      <c r="D777" s="5" t="inlineStr">
        <is>
          <t>ISOM</t>
        </is>
      </c>
      <c r="E777" s="5" t="inlineStr">
        <is>
          <t>ISOM</t>
        </is>
      </c>
      <c r="F777" s="6" t="n">
        <v>3</v>
      </c>
      <c r="G777" s="7" t="n">
        <v>0.742</v>
      </c>
      <c r="H777" s="8">
        <f>IF($G777&lt;&gt;"",$G777,SUMIFS(Assumptions!$K$4:$K$8,Assumptions!$J$4:$J$8,$C777))</f>
        <v/>
      </c>
      <c r="I777" s="7" t="n"/>
      <c r="J777" s="9">
        <f>IF($I777&lt;&gt;"",$I777,SUMIFS(Assumptions!$P$4:$P$93,Assumptions!$M$4:$M$93,$C777,Assumptions!$N$4:$N$93,$E777,Assumptions!$O$4:$O$93,"LVN"))</f>
        <v/>
      </c>
      <c r="K777" s="7" t="n"/>
      <c r="L777" s="9">
        <f>IF($K777&lt;&gt;"",$K777,SUMIFS(Assumptions!$P$4:$P$93,Assumptions!$M$4:$M$93,$C777,Assumptions!$N$4:$N$93,$E777,Assumptions!$O$4:$O$93,"HVN"))</f>
        <v/>
      </c>
      <c r="M777" s="9">
        <f>J777+L777</f>
        <v/>
      </c>
      <c r="N777" s="10">
        <f>$F777*$H777*$M777</f>
        <v/>
      </c>
    </row>
    <row r="778">
      <c r="A778" s="4" t="inlineStr">
        <is>
          <t>UNIT</t>
        </is>
      </c>
      <c r="B778" s="5" t="inlineStr">
        <is>
          <t>BIG_NORTH_SLATERVILLE_CANAL</t>
        </is>
      </c>
      <c r="C778" s="5" t="n">
        <v>4</v>
      </c>
      <c r="D778" s="5" t="inlineStr">
        <is>
          <t>ALKY</t>
        </is>
      </c>
      <c r="E778" s="5" t="inlineStr">
        <is>
          <t>ALKY</t>
        </is>
      </c>
      <c r="F778" s="6" t="n">
        <v>3.1</v>
      </c>
      <c r="G778" s="7" t="n">
        <v>0.866</v>
      </c>
      <c r="H778" s="8">
        <f>IF($G778&lt;&gt;"",$G778,SUMIFS(Assumptions!$K$4:$K$8,Assumptions!$J$4:$J$8,$C778))</f>
        <v/>
      </c>
      <c r="I778" s="7" t="n"/>
      <c r="J778" s="9">
        <f>IF($I778&lt;&gt;"",$I778,SUMIFS(Assumptions!$P$4:$P$93,Assumptions!$M$4:$M$93,$C778,Assumptions!$N$4:$N$93,$E778,Assumptions!$O$4:$O$93,"LVN"))</f>
        <v/>
      </c>
      <c r="K778" s="7" t="n"/>
      <c r="L778" s="9">
        <f>IF($K778&lt;&gt;"",$K778,SUMIFS(Assumptions!$P$4:$P$93,Assumptions!$M$4:$M$93,$C778,Assumptions!$N$4:$N$93,$E778,Assumptions!$O$4:$O$93,"HVN"))</f>
        <v/>
      </c>
      <c r="M778" s="9">
        <f>J778+L778</f>
        <v/>
      </c>
      <c r="N778" s="10">
        <f>$F778*$H778*$M778</f>
        <v/>
      </c>
    </row>
    <row r="779">
      <c r="A779" s="11" t="inlineStr">
        <is>
          <t>TOTAL</t>
        </is>
      </c>
      <c r="B779" s="12" t="inlineStr">
        <is>
          <t>BIG_NORTH_SLATERVILLE_CANAL</t>
        </is>
      </c>
      <c r="C779" s="12" t="n">
        <v>4</v>
      </c>
      <c r="D779" s="12" t="inlineStr">
        <is>
          <t>NET NAPHTHA</t>
        </is>
      </c>
      <c r="N779" s="13">
        <f>SUM(N774:N778)</f>
        <v/>
      </c>
    </row>
    <row r="781">
      <c r="A781" s="1" t="inlineStr">
        <is>
          <t xml:space="preserve">  HF Sinclair Casper  [HF_CASPER]   —   HF Sinclair   —   PADD 4   —   crude 30 kbd</t>
        </is>
      </c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</row>
    <row r="782">
      <c r="A782" s="4" t="inlineStr">
        <is>
          <t>UNIT</t>
        </is>
      </c>
      <c r="B782" s="5" t="inlineStr">
        <is>
          <t>HF_CASPER</t>
        </is>
      </c>
      <c r="C782" s="5" t="n">
        <v>4</v>
      </c>
      <c r="D782" s="5" t="inlineStr">
        <is>
          <t>CDU</t>
        </is>
      </c>
      <c r="E782" s="5" t="inlineStr">
        <is>
          <t>CDU</t>
        </is>
      </c>
      <c r="F782" s="6" t="n">
        <v>30</v>
      </c>
      <c r="G782" s="7" t="n"/>
      <c r="H782" s="8">
        <f>IF($G782&lt;&gt;"",$G782,SUMIFS(Assumptions!$K$4:$K$8,Assumptions!$J$4:$J$8,$C782))</f>
        <v/>
      </c>
      <c r="I782" s="7" t="n"/>
      <c r="J782" s="9">
        <f>IF($I782&lt;&gt;"",$I782,SUMIFS(Assumptions!$P$4:$P$93,Assumptions!$M$4:$M$93,$C782,Assumptions!$N$4:$N$93,$E782,Assumptions!$O$4:$O$93,"LVN"))</f>
        <v/>
      </c>
      <c r="K782" s="7" t="n"/>
      <c r="L782" s="9">
        <f>IF($K782&lt;&gt;"",$K782,SUMIFS(Assumptions!$P$4:$P$93,Assumptions!$M$4:$M$93,$C782,Assumptions!$N$4:$N$93,$E782,Assumptions!$O$4:$O$93,"HVN"))</f>
        <v/>
      </c>
      <c r="M782" s="9">
        <f>J782+L782</f>
        <v/>
      </c>
      <c r="N782" s="10">
        <f>$F782*$H782*$M782</f>
        <v/>
      </c>
    </row>
    <row r="783">
      <c r="A783" s="4" t="inlineStr">
        <is>
          <t>UNIT</t>
        </is>
      </c>
      <c r="B783" s="5" t="inlineStr">
        <is>
          <t>HF_CASPER</t>
        </is>
      </c>
      <c r="C783" s="5" t="n">
        <v>4</v>
      </c>
      <c r="D783" s="5" t="inlineStr">
        <is>
          <t>FCC</t>
        </is>
      </c>
      <c r="E783" s="5" t="inlineStr">
        <is>
          <t>FCC</t>
        </is>
      </c>
      <c r="F783" s="6" t="n">
        <v>10.5</v>
      </c>
      <c r="G783" s="7" t="n"/>
      <c r="H783" s="8">
        <f>IF($G783&lt;&gt;"",$G783,SUMIFS(Assumptions!$K$4:$K$8,Assumptions!$J$4:$J$8,$C783))</f>
        <v/>
      </c>
      <c r="I783" s="7" t="n"/>
      <c r="J783" s="9">
        <f>IF($I783&lt;&gt;"",$I783,SUMIFS(Assumptions!$P$4:$P$93,Assumptions!$M$4:$M$93,$C783,Assumptions!$N$4:$N$93,$E783,Assumptions!$O$4:$O$93,"LVN"))</f>
        <v/>
      </c>
      <c r="K783" s="7" t="n"/>
      <c r="L783" s="9">
        <f>IF($K783&lt;&gt;"",$K783,SUMIFS(Assumptions!$P$4:$P$93,Assumptions!$M$4:$M$93,$C783,Assumptions!$N$4:$N$93,$E783,Assumptions!$O$4:$O$93,"HVN"))</f>
        <v/>
      </c>
      <c r="M783" s="9">
        <f>J783+L783</f>
        <v/>
      </c>
      <c r="N783" s="10">
        <f>$F783*$H783*$M783</f>
        <v/>
      </c>
    </row>
    <row r="784">
      <c r="A784" s="4" t="inlineStr">
        <is>
          <t>UNIT</t>
        </is>
      </c>
      <c r="B784" s="5" t="inlineStr">
        <is>
          <t>HF_CASPER</t>
        </is>
      </c>
      <c r="C784" s="5" t="n">
        <v>4</v>
      </c>
      <c r="D784" s="5" t="inlineStr">
        <is>
          <t>CCR</t>
        </is>
      </c>
      <c r="E784" s="5" t="inlineStr">
        <is>
          <t>REFORMER</t>
        </is>
      </c>
      <c r="F784" s="6" t="n">
        <v>5</v>
      </c>
      <c r="G784" s="7" t="n"/>
      <c r="H784" s="8">
        <f>IF($G784&lt;&gt;"",$G784,SUMIFS(Assumptions!$K$4:$K$8,Assumptions!$J$4:$J$8,$C784))</f>
        <v/>
      </c>
      <c r="I784" s="7" t="n"/>
      <c r="J784" s="9">
        <f>IF($I784&lt;&gt;"",$I784,SUMIFS(Assumptions!$P$4:$P$93,Assumptions!$M$4:$M$93,$C784,Assumptions!$N$4:$N$93,$E784,Assumptions!$O$4:$O$93,"LVN"))</f>
        <v/>
      </c>
      <c r="K784" s="7" t="n"/>
      <c r="L784" s="9">
        <f>IF($K784&lt;&gt;"",$K784,SUMIFS(Assumptions!$P$4:$P$93,Assumptions!$M$4:$M$93,$C784,Assumptions!$N$4:$N$93,$E784,Assumptions!$O$4:$O$93,"HVN"))</f>
        <v/>
      </c>
      <c r="M784" s="9">
        <f>J784+L784</f>
        <v/>
      </c>
      <c r="N784" s="10">
        <f>$F784*$H784*$M784</f>
        <v/>
      </c>
    </row>
    <row r="785">
      <c r="A785" s="11" t="inlineStr">
        <is>
          <t>TOTAL</t>
        </is>
      </c>
      <c r="B785" s="12" t="inlineStr">
        <is>
          <t>HF_CASPER</t>
        </is>
      </c>
      <c r="C785" s="12" t="n">
        <v>4</v>
      </c>
      <c r="D785" s="12" t="inlineStr">
        <is>
          <t>NET NAPHTHA</t>
        </is>
      </c>
      <c r="N785" s="13">
        <f>SUM(N782:N784)</f>
        <v/>
      </c>
    </row>
    <row r="787">
      <c r="A787" s="1" t="inlineStr">
        <is>
          <t xml:space="preserve">  Par Petroleum Newcastle  [PAR_NEWCASTLE]   —   Par Petroleum   —   PADD 4   —   crude 20 kbd</t>
        </is>
      </c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</row>
    <row r="788">
      <c r="A788" s="4" t="inlineStr">
        <is>
          <t>UNIT</t>
        </is>
      </c>
      <c r="B788" s="5" t="inlineStr">
        <is>
          <t>PAR_NEWCASTLE</t>
        </is>
      </c>
      <c r="C788" s="5" t="n">
        <v>4</v>
      </c>
      <c r="D788" s="5" t="inlineStr">
        <is>
          <t>CDU</t>
        </is>
      </c>
      <c r="E788" s="5" t="inlineStr">
        <is>
          <t>CDU</t>
        </is>
      </c>
      <c r="F788" s="6" t="n">
        <v>18.5</v>
      </c>
      <c r="G788" s="7" t="n"/>
      <c r="H788" s="8">
        <f>IF($G788&lt;&gt;"",$G788,SUMIFS(Assumptions!$K$4:$K$8,Assumptions!$J$4:$J$8,$C788))</f>
        <v/>
      </c>
      <c r="I788" s="7" t="n"/>
      <c r="J788" s="9">
        <f>IF($I788&lt;&gt;"",$I788,SUMIFS(Assumptions!$P$4:$P$93,Assumptions!$M$4:$M$93,$C788,Assumptions!$N$4:$N$93,$E788,Assumptions!$O$4:$O$93,"LVN"))</f>
        <v/>
      </c>
      <c r="K788" s="7" t="n"/>
      <c r="L788" s="9">
        <f>IF($K788&lt;&gt;"",$K788,SUMIFS(Assumptions!$P$4:$P$93,Assumptions!$M$4:$M$93,$C788,Assumptions!$N$4:$N$93,$E788,Assumptions!$O$4:$O$93,"HVN"))</f>
        <v/>
      </c>
      <c r="M788" s="9">
        <f>J788+L788</f>
        <v/>
      </c>
      <c r="N788" s="10">
        <f>$F788*$H788*$M788</f>
        <v/>
      </c>
    </row>
    <row r="789">
      <c r="A789" s="4" t="inlineStr">
        <is>
          <t>UNIT</t>
        </is>
      </c>
      <c r="B789" s="5" t="inlineStr">
        <is>
          <t>PAR_NEWCASTLE</t>
        </is>
      </c>
      <c r="C789" s="5" t="n">
        <v>4</v>
      </c>
      <c r="D789" s="5" t="inlineStr">
        <is>
          <t>VDU</t>
        </is>
      </c>
      <c r="E789" s="5" t="inlineStr">
        <is>
          <t>VDU</t>
        </is>
      </c>
      <c r="F789" s="6" t="n">
        <v>1.8</v>
      </c>
      <c r="G789" s="7" t="n"/>
      <c r="H789" s="8">
        <f>IF($G789&lt;&gt;"",$G789,SUMIFS(Assumptions!$K$4:$K$8,Assumptions!$J$4:$J$8,$C789))</f>
        <v/>
      </c>
      <c r="I789" s="7" t="n"/>
      <c r="J789" s="9">
        <f>IF($I789&lt;&gt;"",$I789,SUMIFS(Assumptions!$P$4:$P$93,Assumptions!$M$4:$M$93,$C789,Assumptions!$N$4:$N$93,$E789,Assumptions!$O$4:$O$93,"LVN"))</f>
        <v/>
      </c>
      <c r="K789" s="7" t="n"/>
      <c r="L789" s="9">
        <f>IF($K789&lt;&gt;"",$K789,SUMIFS(Assumptions!$P$4:$P$93,Assumptions!$M$4:$M$93,$C789,Assumptions!$N$4:$N$93,$E789,Assumptions!$O$4:$O$93,"HVN"))</f>
        <v/>
      </c>
      <c r="M789" s="9">
        <f>J789+L789</f>
        <v/>
      </c>
      <c r="N789" s="10">
        <f>$F789*$H789*$M789</f>
        <v/>
      </c>
    </row>
    <row r="790">
      <c r="A790" s="4" t="inlineStr">
        <is>
          <t>UNIT</t>
        </is>
      </c>
      <c r="B790" s="5" t="inlineStr">
        <is>
          <t>PAR_NEWCASTLE</t>
        </is>
      </c>
      <c r="C790" s="5" t="n">
        <v>4</v>
      </c>
      <c r="D790" s="5" t="inlineStr">
        <is>
          <t>FCC</t>
        </is>
      </c>
      <c r="E790" s="5" t="inlineStr">
        <is>
          <t>FCC</t>
        </is>
      </c>
      <c r="F790" s="6" t="n">
        <v>7.5</v>
      </c>
      <c r="G790" s="7" t="n"/>
      <c r="H790" s="8">
        <f>IF($G790&lt;&gt;"",$G790,SUMIFS(Assumptions!$K$4:$K$8,Assumptions!$J$4:$J$8,$C790))</f>
        <v/>
      </c>
      <c r="I790" s="7" t="n"/>
      <c r="J790" s="9">
        <f>IF($I790&lt;&gt;"",$I790,SUMIFS(Assumptions!$P$4:$P$93,Assumptions!$M$4:$M$93,$C790,Assumptions!$N$4:$N$93,$E790,Assumptions!$O$4:$O$93,"LVN"))</f>
        <v/>
      </c>
      <c r="K790" s="7" t="n"/>
      <c r="L790" s="9">
        <f>IF($K790&lt;&gt;"",$K790,SUMIFS(Assumptions!$P$4:$P$93,Assumptions!$M$4:$M$93,$C790,Assumptions!$N$4:$N$93,$E790,Assumptions!$O$4:$O$93,"HVN"))</f>
        <v/>
      </c>
      <c r="M790" s="9">
        <f>J790+L790</f>
        <v/>
      </c>
      <c r="N790" s="10">
        <f>$F790*$H790*$M790</f>
        <v/>
      </c>
    </row>
    <row r="791">
      <c r="A791" s="4" t="inlineStr">
        <is>
          <t>UNIT</t>
        </is>
      </c>
      <c r="B791" s="5" t="inlineStr">
        <is>
          <t>PAR_NEWCASTLE</t>
        </is>
      </c>
      <c r="C791" s="5" t="n">
        <v>4</v>
      </c>
      <c r="D791" s="5" t="inlineStr">
        <is>
          <t>REF</t>
        </is>
      </c>
      <c r="E791" s="5" t="inlineStr">
        <is>
          <t>REFORMER</t>
        </is>
      </c>
      <c r="F791" s="6" t="n">
        <v>4</v>
      </c>
      <c r="G791" s="7" t="n"/>
      <c r="H791" s="8">
        <f>IF($G791&lt;&gt;"",$G791,SUMIFS(Assumptions!$K$4:$K$8,Assumptions!$J$4:$J$8,$C791))</f>
        <v/>
      </c>
      <c r="I791" s="7" t="n"/>
      <c r="J791" s="9">
        <f>IF($I791&lt;&gt;"",$I791,SUMIFS(Assumptions!$P$4:$P$93,Assumptions!$M$4:$M$93,$C791,Assumptions!$N$4:$N$93,$E791,Assumptions!$O$4:$O$93,"LVN"))</f>
        <v/>
      </c>
      <c r="K791" s="7" t="n"/>
      <c r="L791" s="9">
        <f>IF($K791&lt;&gt;"",$K791,SUMIFS(Assumptions!$P$4:$P$93,Assumptions!$M$4:$M$93,$C791,Assumptions!$N$4:$N$93,$E791,Assumptions!$O$4:$O$93,"HVN"))</f>
        <v/>
      </c>
      <c r="M791" s="9">
        <f>J791+L791</f>
        <v/>
      </c>
      <c r="N791" s="10">
        <f>$F791*$H791*$M791</f>
        <v/>
      </c>
    </row>
    <row r="792">
      <c r="A792" s="4" t="inlineStr">
        <is>
          <t>UNIT</t>
        </is>
      </c>
      <c r="B792" s="5" t="inlineStr">
        <is>
          <t>PAR_NEWCASTLE</t>
        </is>
      </c>
      <c r="C792" s="5" t="n">
        <v>4</v>
      </c>
      <c r="D792" s="5" t="inlineStr">
        <is>
          <t>ALKY</t>
        </is>
      </c>
      <c r="E792" s="5" t="inlineStr">
        <is>
          <t>ALKY</t>
        </is>
      </c>
      <c r="F792" s="6" t="n">
        <v>1.3</v>
      </c>
      <c r="G792" s="7" t="n"/>
      <c r="H792" s="8">
        <f>IF($G792&lt;&gt;"",$G792,SUMIFS(Assumptions!$K$4:$K$8,Assumptions!$J$4:$J$8,$C792))</f>
        <v/>
      </c>
      <c r="I792" s="7" t="n"/>
      <c r="J792" s="9">
        <f>IF($I792&lt;&gt;"",$I792,SUMIFS(Assumptions!$P$4:$P$93,Assumptions!$M$4:$M$93,$C792,Assumptions!$N$4:$N$93,$E792,Assumptions!$O$4:$O$93,"LVN"))</f>
        <v/>
      </c>
      <c r="K792" s="7" t="n"/>
      <c r="L792" s="9">
        <f>IF($K792&lt;&gt;"",$K792,SUMIFS(Assumptions!$P$4:$P$93,Assumptions!$M$4:$M$93,$C792,Assumptions!$N$4:$N$93,$E792,Assumptions!$O$4:$O$93,"HVN"))</f>
        <v/>
      </c>
      <c r="M792" s="9">
        <f>J792+L792</f>
        <v/>
      </c>
      <c r="N792" s="10">
        <f>$F792*$H792*$M792</f>
        <v/>
      </c>
    </row>
    <row r="793">
      <c r="A793" s="11" t="inlineStr">
        <is>
          <t>TOTAL</t>
        </is>
      </c>
      <c r="B793" s="12" t="inlineStr">
        <is>
          <t>PAR_NEWCASTLE</t>
        </is>
      </c>
      <c r="C793" s="12" t="n">
        <v>4</v>
      </c>
      <c r="D793" s="12" t="inlineStr">
        <is>
          <t>NET NAPHTHA</t>
        </is>
      </c>
      <c r="N793" s="13">
        <f>SUM(N788:N792)</f>
        <v/>
      </c>
    </row>
    <row r="795">
      <c r="A795" s="1" t="inlineStr">
        <is>
          <t xml:space="preserve">  Montana Refining Co. Great Falls  [MONTANA_GREAT_FALLS]   —   Calumet Lubricants Co.   —   PADD 4   —   crude 17 kbd</t>
        </is>
      </c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</row>
    <row r="796">
      <c r="A796" s="4" t="inlineStr">
        <is>
          <t>UNIT</t>
        </is>
      </c>
      <c r="B796" s="5" t="inlineStr">
        <is>
          <t>MONTANA_GREAT_FALLS</t>
        </is>
      </c>
      <c r="C796" s="5" t="n">
        <v>4</v>
      </c>
      <c r="D796" s="5" t="inlineStr">
        <is>
          <t>CDU</t>
        </is>
      </c>
      <c r="E796" s="5" t="inlineStr">
        <is>
          <t>CDU</t>
        </is>
      </c>
      <c r="F796" s="6" t="n">
        <v>27</v>
      </c>
      <c r="G796" s="7" t="n"/>
      <c r="H796" s="8">
        <f>IF($G796&lt;&gt;"",$G796,SUMIFS(Assumptions!$K$4:$K$8,Assumptions!$J$4:$J$8,$C796))</f>
        <v/>
      </c>
      <c r="I796" s="7" t="n"/>
      <c r="J796" s="9">
        <f>IF($I796&lt;&gt;"",$I796,SUMIFS(Assumptions!$P$4:$P$93,Assumptions!$M$4:$M$93,$C796,Assumptions!$N$4:$N$93,$E796,Assumptions!$O$4:$O$93,"LVN"))</f>
        <v/>
      </c>
      <c r="K796" s="7" t="n"/>
      <c r="L796" s="9">
        <f>IF($K796&lt;&gt;"",$K796,SUMIFS(Assumptions!$P$4:$P$93,Assumptions!$M$4:$M$93,$C796,Assumptions!$N$4:$N$93,$E796,Assumptions!$O$4:$O$93,"HVN"))</f>
        <v/>
      </c>
      <c r="M796" s="9">
        <f>J796+L796</f>
        <v/>
      </c>
      <c r="N796" s="10">
        <f>$F796*$H796*$M796</f>
        <v/>
      </c>
    </row>
    <row r="797">
      <c r="A797" s="4" t="inlineStr">
        <is>
          <t>UNIT</t>
        </is>
      </c>
      <c r="B797" s="5" t="inlineStr">
        <is>
          <t>MONTANA_GREAT_FALLS</t>
        </is>
      </c>
      <c r="C797" s="5" t="n">
        <v>4</v>
      </c>
      <c r="D797" s="5" t="inlineStr">
        <is>
          <t>VDU</t>
        </is>
      </c>
      <c r="E797" s="5" t="inlineStr">
        <is>
          <t>VDU</t>
        </is>
      </c>
      <c r="F797" s="6" t="n">
        <v>20</v>
      </c>
      <c r="G797" s="7" t="n"/>
      <c r="H797" s="8">
        <f>IF($G797&lt;&gt;"",$G797,SUMIFS(Assumptions!$K$4:$K$8,Assumptions!$J$4:$J$8,$C797))</f>
        <v/>
      </c>
      <c r="I797" s="7" t="n"/>
      <c r="J797" s="9">
        <f>IF($I797&lt;&gt;"",$I797,SUMIFS(Assumptions!$P$4:$P$93,Assumptions!$M$4:$M$93,$C797,Assumptions!$N$4:$N$93,$E797,Assumptions!$O$4:$O$93,"LVN"))</f>
        <v/>
      </c>
      <c r="K797" s="7" t="n"/>
      <c r="L797" s="9">
        <f>IF($K797&lt;&gt;"",$K797,SUMIFS(Assumptions!$P$4:$P$93,Assumptions!$M$4:$M$93,$C797,Assumptions!$N$4:$N$93,$E797,Assumptions!$O$4:$O$93,"HVN"))</f>
        <v/>
      </c>
      <c r="M797" s="9">
        <f>J797+L797</f>
        <v/>
      </c>
      <c r="N797" s="10">
        <f>$F797*$H797*$M797</f>
        <v/>
      </c>
    </row>
    <row r="798">
      <c r="A798" s="4" t="inlineStr">
        <is>
          <t>UNIT</t>
        </is>
      </c>
      <c r="B798" s="5" t="inlineStr">
        <is>
          <t>MONTANA_GREAT_FALLS</t>
        </is>
      </c>
      <c r="C798" s="5" t="n">
        <v>4</v>
      </c>
      <c r="D798" s="5" t="inlineStr">
        <is>
          <t>FCC</t>
        </is>
      </c>
      <c r="E798" s="5" t="inlineStr">
        <is>
          <t>FCC</t>
        </is>
      </c>
      <c r="F798" s="6" t="n">
        <v>3</v>
      </c>
      <c r="G798" s="7" t="n"/>
      <c r="H798" s="8">
        <f>IF($G798&lt;&gt;"",$G798,SUMIFS(Assumptions!$K$4:$K$8,Assumptions!$J$4:$J$8,$C798))</f>
        <v/>
      </c>
      <c r="I798" s="7" t="n"/>
      <c r="J798" s="9">
        <f>IF($I798&lt;&gt;"",$I798,SUMIFS(Assumptions!$P$4:$P$93,Assumptions!$M$4:$M$93,$C798,Assumptions!$N$4:$N$93,$E798,Assumptions!$O$4:$O$93,"LVN"))</f>
        <v/>
      </c>
      <c r="K798" s="7" t="n"/>
      <c r="L798" s="9">
        <f>IF($K798&lt;&gt;"",$K798,SUMIFS(Assumptions!$P$4:$P$93,Assumptions!$M$4:$M$93,$C798,Assumptions!$N$4:$N$93,$E798,Assumptions!$O$4:$O$93,"HVN"))</f>
        <v/>
      </c>
      <c r="M798" s="9">
        <f>J798+L798</f>
        <v/>
      </c>
      <c r="N798" s="10">
        <f>$F798*$H798*$M798</f>
        <v/>
      </c>
    </row>
    <row r="799">
      <c r="A799" s="4" t="inlineStr">
        <is>
          <t>UNIT</t>
        </is>
      </c>
      <c r="B799" s="5" t="inlineStr">
        <is>
          <t>MONTANA_GREAT_FALLS</t>
        </is>
      </c>
      <c r="C799" s="5" t="n">
        <v>4</v>
      </c>
      <c r="D799" s="5" t="inlineStr">
        <is>
          <t>REF</t>
        </is>
      </c>
      <c r="E799" s="5" t="inlineStr">
        <is>
          <t>REFORMER</t>
        </is>
      </c>
      <c r="F799" s="6" t="n">
        <v>1.5</v>
      </c>
      <c r="G799" s="7" t="n"/>
      <c r="H799" s="8">
        <f>IF($G799&lt;&gt;"",$G799,SUMIFS(Assumptions!$K$4:$K$8,Assumptions!$J$4:$J$8,$C799))</f>
        <v/>
      </c>
      <c r="I799" s="7" t="n"/>
      <c r="J799" s="9">
        <f>IF($I799&lt;&gt;"",$I799,SUMIFS(Assumptions!$P$4:$P$93,Assumptions!$M$4:$M$93,$C799,Assumptions!$N$4:$N$93,$E799,Assumptions!$O$4:$O$93,"LVN"))</f>
        <v/>
      </c>
      <c r="K799" s="7" t="n"/>
      <c r="L799" s="9">
        <f>IF($K799&lt;&gt;"",$K799,SUMIFS(Assumptions!$P$4:$P$93,Assumptions!$M$4:$M$93,$C799,Assumptions!$N$4:$N$93,$E799,Assumptions!$O$4:$O$93,"HVN"))</f>
        <v/>
      </c>
      <c r="M799" s="9">
        <f>J799+L799</f>
        <v/>
      </c>
      <c r="N799" s="10">
        <f>$F799*$H799*$M799</f>
        <v/>
      </c>
    </row>
    <row r="800">
      <c r="A800" s="4" t="inlineStr">
        <is>
          <t>UNIT</t>
        </is>
      </c>
      <c r="B800" s="5" t="inlineStr">
        <is>
          <t>MONTANA_GREAT_FALLS</t>
        </is>
      </c>
      <c r="C800" s="5" t="n">
        <v>4</v>
      </c>
      <c r="D800" s="5" t="inlineStr">
        <is>
          <t>ISOM</t>
        </is>
      </c>
      <c r="E800" s="5" t="inlineStr">
        <is>
          <t>ISOM</t>
        </is>
      </c>
      <c r="F800" s="6" t="n">
        <v>1.5</v>
      </c>
      <c r="G800" s="7" t="n"/>
      <c r="H800" s="8">
        <f>IF($G800&lt;&gt;"",$G800,SUMIFS(Assumptions!$K$4:$K$8,Assumptions!$J$4:$J$8,$C800))</f>
        <v/>
      </c>
      <c r="I800" s="7" t="n"/>
      <c r="J800" s="9">
        <f>IF($I800&lt;&gt;"",$I800,SUMIFS(Assumptions!$P$4:$P$93,Assumptions!$M$4:$M$93,$C800,Assumptions!$N$4:$N$93,$E800,Assumptions!$O$4:$O$93,"LVN"))</f>
        <v/>
      </c>
      <c r="K800" s="7" t="n"/>
      <c r="L800" s="9">
        <f>IF($K800&lt;&gt;"",$K800,SUMIFS(Assumptions!$P$4:$P$93,Assumptions!$M$4:$M$93,$C800,Assumptions!$N$4:$N$93,$E800,Assumptions!$O$4:$O$93,"HVN"))</f>
        <v/>
      </c>
      <c r="M800" s="9">
        <f>J800+L800</f>
        <v/>
      </c>
      <c r="N800" s="10">
        <f>$F800*$H800*$M800</f>
        <v/>
      </c>
    </row>
    <row r="801">
      <c r="A801" s="4" t="inlineStr">
        <is>
          <t>UNIT</t>
        </is>
      </c>
      <c r="B801" s="5" t="inlineStr">
        <is>
          <t>MONTANA_GREAT_FALLS</t>
        </is>
      </c>
      <c r="C801" s="5" t="n">
        <v>4</v>
      </c>
      <c r="D801" s="5" t="inlineStr">
        <is>
          <t>ALKY</t>
        </is>
      </c>
      <c r="E801" s="5" t="inlineStr">
        <is>
          <t>ALKY</t>
        </is>
      </c>
      <c r="F801" s="6" t="n">
        <v>0.8</v>
      </c>
      <c r="G801" s="7" t="n"/>
      <c r="H801" s="8">
        <f>IF($G801&lt;&gt;"",$G801,SUMIFS(Assumptions!$K$4:$K$8,Assumptions!$J$4:$J$8,$C801))</f>
        <v/>
      </c>
      <c r="I801" s="7" t="n"/>
      <c r="J801" s="9">
        <f>IF($I801&lt;&gt;"",$I801,SUMIFS(Assumptions!$P$4:$P$93,Assumptions!$M$4:$M$93,$C801,Assumptions!$N$4:$N$93,$E801,Assumptions!$O$4:$O$93,"LVN"))</f>
        <v/>
      </c>
      <c r="K801" s="7" t="n"/>
      <c r="L801" s="9">
        <f>IF($K801&lt;&gt;"",$K801,SUMIFS(Assumptions!$P$4:$P$93,Assumptions!$M$4:$M$93,$C801,Assumptions!$N$4:$N$93,$E801,Assumptions!$O$4:$O$93,"HVN"))</f>
        <v/>
      </c>
      <c r="M801" s="9">
        <f>J801+L801</f>
        <v/>
      </c>
      <c r="N801" s="10">
        <f>$F801*$H801*$M801</f>
        <v/>
      </c>
    </row>
    <row r="802">
      <c r="A802" s="11" t="inlineStr">
        <is>
          <t>TOTAL</t>
        </is>
      </c>
      <c r="B802" s="12" t="inlineStr">
        <is>
          <t>MONTANA_GREAT_FALLS</t>
        </is>
      </c>
      <c r="C802" s="12" t="n">
        <v>4</v>
      </c>
      <c r="D802" s="12" t="inlineStr">
        <is>
          <t>NET NAPHTHA</t>
        </is>
      </c>
      <c r="N802" s="13">
        <f>SUM(N796:N801)</f>
        <v/>
      </c>
    </row>
    <row r="804">
      <c r="A804" s="1" t="inlineStr">
        <is>
          <t xml:space="preserve">  Silver Eagle Refining Woods Cross  [SILVER_WOODS_CROSS]   —   Silver Eagle Refining   —   PADD 4   —   crude 16 kbd</t>
        </is>
      </c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</row>
    <row r="805">
      <c r="A805" s="4" t="inlineStr">
        <is>
          <t>UNIT</t>
        </is>
      </c>
      <c r="B805" s="5" t="inlineStr">
        <is>
          <t>SILVER_WOODS_CROSS</t>
        </is>
      </c>
      <c r="C805" s="5" t="n">
        <v>4</v>
      </c>
      <c r="D805" s="5" t="inlineStr">
        <is>
          <t>CDU</t>
        </is>
      </c>
      <c r="E805" s="5" t="inlineStr">
        <is>
          <t>CDU</t>
        </is>
      </c>
      <c r="F805" s="6" t="n">
        <v>15.7</v>
      </c>
      <c r="G805" s="7" t="n"/>
      <c r="H805" s="8">
        <f>IF($G805&lt;&gt;"",$G805,SUMIFS(Assumptions!$K$4:$K$8,Assumptions!$J$4:$J$8,$C805))</f>
        <v/>
      </c>
      <c r="I805" s="7" t="n"/>
      <c r="J805" s="9">
        <f>IF($I805&lt;&gt;"",$I805,SUMIFS(Assumptions!$P$4:$P$93,Assumptions!$M$4:$M$93,$C805,Assumptions!$N$4:$N$93,$E805,Assumptions!$O$4:$O$93,"LVN"))</f>
        <v/>
      </c>
      <c r="K805" s="7" t="n"/>
      <c r="L805" s="9">
        <f>IF($K805&lt;&gt;"",$K805,SUMIFS(Assumptions!$P$4:$P$93,Assumptions!$M$4:$M$93,$C805,Assumptions!$N$4:$N$93,$E805,Assumptions!$O$4:$O$93,"HVN"))</f>
        <v/>
      </c>
      <c r="M805" s="9">
        <f>J805+L805</f>
        <v/>
      </c>
      <c r="N805" s="10">
        <f>$F805*$H805*$M805</f>
        <v/>
      </c>
    </row>
    <row r="806">
      <c r="A806" s="4" t="inlineStr">
        <is>
          <t>UNIT</t>
        </is>
      </c>
      <c r="B806" s="5" t="inlineStr">
        <is>
          <t>SILVER_WOODS_CROSS</t>
        </is>
      </c>
      <c r="C806" s="5" t="n">
        <v>4</v>
      </c>
      <c r="D806" s="5" t="inlineStr">
        <is>
          <t>VDU</t>
        </is>
      </c>
      <c r="E806" s="5" t="inlineStr">
        <is>
          <t>VDU</t>
        </is>
      </c>
      <c r="F806" s="6" t="n">
        <v>7</v>
      </c>
      <c r="G806" s="7" t="n"/>
      <c r="H806" s="8">
        <f>IF($G806&lt;&gt;"",$G806,SUMIFS(Assumptions!$K$4:$K$8,Assumptions!$J$4:$J$8,$C806))</f>
        <v/>
      </c>
      <c r="I806" s="7" t="n"/>
      <c r="J806" s="9">
        <f>IF($I806&lt;&gt;"",$I806,SUMIFS(Assumptions!$P$4:$P$93,Assumptions!$M$4:$M$93,$C806,Assumptions!$N$4:$N$93,$E806,Assumptions!$O$4:$O$93,"LVN"))</f>
        <v/>
      </c>
      <c r="K806" s="7" t="n"/>
      <c r="L806" s="9">
        <f>IF($K806&lt;&gt;"",$K806,SUMIFS(Assumptions!$P$4:$P$93,Assumptions!$M$4:$M$93,$C806,Assumptions!$N$4:$N$93,$E806,Assumptions!$O$4:$O$93,"HVN"))</f>
        <v/>
      </c>
      <c r="M806" s="9">
        <f>J806+L806</f>
        <v/>
      </c>
      <c r="N806" s="10">
        <f>$F806*$H806*$M806</f>
        <v/>
      </c>
    </row>
    <row r="807">
      <c r="A807" s="4" t="inlineStr">
        <is>
          <t>UNIT</t>
        </is>
      </c>
      <c r="B807" s="5" t="inlineStr">
        <is>
          <t>SILVER_WOODS_CROSS</t>
        </is>
      </c>
      <c r="C807" s="5" t="n">
        <v>4</v>
      </c>
      <c r="D807" s="5" t="inlineStr">
        <is>
          <t>REF</t>
        </is>
      </c>
      <c r="E807" s="5" t="inlineStr">
        <is>
          <t>REFORMER</t>
        </is>
      </c>
      <c r="F807" s="6" t="n">
        <v>2.2</v>
      </c>
      <c r="G807" s="7" t="n"/>
      <c r="H807" s="8">
        <f>IF($G807&lt;&gt;"",$G807,SUMIFS(Assumptions!$K$4:$K$8,Assumptions!$J$4:$J$8,$C807))</f>
        <v/>
      </c>
      <c r="I807" s="7" t="n"/>
      <c r="J807" s="9">
        <f>IF($I807&lt;&gt;"",$I807,SUMIFS(Assumptions!$P$4:$P$93,Assumptions!$M$4:$M$93,$C807,Assumptions!$N$4:$N$93,$E807,Assumptions!$O$4:$O$93,"LVN"))</f>
        <v/>
      </c>
      <c r="K807" s="7" t="n"/>
      <c r="L807" s="9">
        <f>IF($K807&lt;&gt;"",$K807,SUMIFS(Assumptions!$P$4:$P$93,Assumptions!$M$4:$M$93,$C807,Assumptions!$N$4:$N$93,$E807,Assumptions!$O$4:$O$93,"HVN"))</f>
        <v/>
      </c>
      <c r="M807" s="9">
        <f>J807+L807</f>
        <v/>
      </c>
      <c r="N807" s="10">
        <f>$F807*$H807*$M807</f>
        <v/>
      </c>
    </row>
    <row r="808">
      <c r="A808" s="11" t="inlineStr">
        <is>
          <t>TOTAL</t>
        </is>
      </c>
      <c r="B808" s="12" t="inlineStr">
        <is>
          <t>SILVER_WOODS_CROSS</t>
        </is>
      </c>
      <c r="C808" s="12" t="n">
        <v>4</v>
      </c>
      <c r="D808" s="12" t="inlineStr">
        <is>
          <t>NET NAPHTHA</t>
        </is>
      </c>
      <c r="N808" s="13">
        <f>SUM(N805:N807)</f>
        <v/>
      </c>
    </row>
    <row r="810">
      <c r="A810" s="1" t="inlineStr">
        <is>
          <t xml:space="preserve">  Wyoming Refining Evanston  [WYOMING_EVANSTON]   —   Silver Eagle Refining   —   PADD 4   —   crude 3 kbd</t>
        </is>
      </c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</row>
    <row r="811">
      <c r="A811" s="4" t="inlineStr">
        <is>
          <t>UNIT</t>
        </is>
      </c>
      <c r="B811" s="5" t="inlineStr">
        <is>
          <t>WYOMING_EVANSTON</t>
        </is>
      </c>
      <c r="C811" s="5" t="n">
        <v>4</v>
      </c>
      <c r="D811" s="5" t="inlineStr">
        <is>
          <t>CDU</t>
        </is>
      </c>
      <c r="E811" s="5" t="inlineStr">
        <is>
          <t>CDU</t>
        </is>
      </c>
      <c r="F811" s="6" t="n">
        <v>3.4</v>
      </c>
      <c r="G811" s="7" t="n"/>
      <c r="H811" s="8">
        <f>IF($G811&lt;&gt;"",$G811,SUMIFS(Assumptions!$K$4:$K$8,Assumptions!$J$4:$J$8,$C811))</f>
        <v/>
      </c>
      <c r="I811" s="7" t="n"/>
      <c r="J811" s="9">
        <f>IF($I811&lt;&gt;"",$I811,SUMIFS(Assumptions!$P$4:$P$93,Assumptions!$M$4:$M$93,$C811,Assumptions!$N$4:$N$93,$E811,Assumptions!$O$4:$O$93,"LVN"))</f>
        <v/>
      </c>
      <c r="K811" s="7" t="n"/>
      <c r="L811" s="9">
        <f>IF($K811&lt;&gt;"",$K811,SUMIFS(Assumptions!$P$4:$P$93,Assumptions!$M$4:$M$93,$C811,Assumptions!$N$4:$N$93,$E811,Assumptions!$O$4:$O$93,"HVN"))</f>
        <v/>
      </c>
      <c r="M811" s="9">
        <f>J811+L811</f>
        <v/>
      </c>
      <c r="N811" s="10">
        <f>$F811*$H811*$M811</f>
        <v/>
      </c>
    </row>
    <row r="812">
      <c r="A812" s="4" t="inlineStr">
        <is>
          <t>UNIT</t>
        </is>
      </c>
      <c r="B812" s="5" t="inlineStr">
        <is>
          <t>WYOMING_EVANSTON</t>
        </is>
      </c>
      <c r="C812" s="5" t="n">
        <v>4</v>
      </c>
      <c r="D812" s="5" t="inlineStr">
        <is>
          <t>REF</t>
        </is>
      </c>
      <c r="E812" s="5" t="inlineStr">
        <is>
          <t>REFORMER</t>
        </is>
      </c>
      <c r="F812" s="6" t="n">
        <v>2.9</v>
      </c>
      <c r="G812" s="7" t="n"/>
      <c r="H812" s="8">
        <f>IF($G812&lt;&gt;"",$G812,SUMIFS(Assumptions!$K$4:$K$8,Assumptions!$J$4:$J$8,$C812))</f>
        <v/>
      </c>
      <c r="I812" s="7" t="n"/>
      <c r="J812" s="9">
        <f>IF($I812&lt;&gt;"",$I812,SUMIFS(Assumptions!$P$4:$P$93,Assumptions!$M$4:$M$93,$C812,Assumptions!$N$4:$N$93,$E812,Assumptions!$O$4:$O$93,"LVN"))</f>
        <v/>
      </c>
      <c r="K812" s="7" t="n"/>
      <c r="L812" s="9">
        <f>IF($K812&lt;&gt;"",$K812,SUMIFS(Assumptions!$P$4:$P$93,Assumptions!$M$4:$M$93,$C812,Assumptions!$N$4:$N$93,$E812,Assumptions!$O$4:$O$93,"HVN"))</f>
        <v/>
      </c>
      <c r="M812" s="9">
        <f>J812+L812</f>
        <v/>
      </c>
      <c r="N812" s="10">
        <f>$F812*$H812*$M812</f>
        <v/>
      </c>
    </row>
    <row r="813">
      <c r="A813" s="11" t="inlineStr">
        <is>
          <t>TOTAL</t>
        </is>
      </c>
      <c r="B813" s="12" t="inlineStr">
        <is>
          <t>WYOMING_EVANSTON</t>
        </is>
      </c>
      <c r="C813" s="12" t="n">
        <v>4</v>
      </c>
      <c r="D813" s="12" t="inlineStr">
        <is>
          <t>NET NAPHTHA</t>
        </is>
      </c>
      <c r="N813" s="13">
        <f>SUM(N811:N812)</f>
        <v/>
      </c>
    </row>
    <row r="815">
      <c r="A815" s="1" t="inlineStr">
        <is>
          <t xml:space="preserve">  Slate Douglas  [SLATE_DOUGLAS]   —   Slate   —   PADD 4   —   crude: pending capacity sheet</t>
        </is>
      </c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</row>
    <row r="816">
      <c r="A816" s="4" t="inlineStr">
        <is>
          <t>UNIT</t>
        </is>
      </c>
      <c r="B816" s="5" t="inlineStr">
        <is>
          <t>SLATE_DOUGLAS</t>
        </is>
      </c>
      <c r="C816" s="5" t="n">
        <v>4</v>
      </c>
      <c r="D816" s="5" t="inlineStr">
        <is>
          <t>CRUDE-EST</t>
        </is>
      </c>
      <c r="E816" s="5" t="inlineStr">
        <is>
          <t>est. yield</t>
        </is>
      </c>
      <c r="F816" s="14">
        <f>SUMIFS(Data!$G$3:$G$125,Data!$A$3:$A$125,$B816)</f>
        <v/>
      </c>
      <c r="G816" s="7" t="n"/>
      <c r="H816" s="8">
        <f>IF($G816&lt;&gt;"",$G816,SUMIFS(Assumptions!$K$4:$K$8,Assumptions!$J$4:$J$8,$C816))</f>
        <v/>
      </c>
      <c r="I816" s="7" t="n"/>
      <c r="J816" s="9">
        <f>IF($I816&lt;&gt;"",$I816,SUMIFS(Data!$N$3:$N$125,Data!$A$3:$A$125,$B816)*Assumptions!$S$4)</f>
        <v/>
      </c>
      <c r="K816" s="7" t="n"/>
      <c r="L816" s="9">
        <f>IF($K816&lt;&gt;"",$K816,SUMIFS(Data!$N$3:$N$125,Data!$A$3:$A$125,$B816)*Assumptions!$S$5)</f>
        <v/>
      </c>
      <c r="M816" s="9">
        <f>J816+L816</f>
        <v/>
      </c>
      <c r="N816" s="10">
        <f>$F816*$H816*$M816</f>
        <v/>
      </c>
    </row>
    <row r="817">
      <c r="A817" s="11" t="inlineStr">
        <is>
          <t>TOTAL</t>
        </is>
      </c>
      <c r="B817" s="12" t="inlineStr">
        <is>
          <t>SLATE_DOUGLAS</t>
        </is>
      </c>
      <c r="C817" s="12" t="n">
        <v>4</v>
      </c>
      <c r="D817" s="12" t="inlineStr">
        <is>
          <t>NET NAPHTHA</t>
        </is>
      </c>
      <c r="N817" s="13">
        <f>SUM(N816:N816)</f>
        <v/>
      </c>
    </row>
    <row r="819">
      <c r="A819" s="1" t="inlineStr">
        <is>
          <t xml:space="preserve">  Chevron El Segundo  [CHEVRON_EL_SEGUNDO]   —   Chevron   —   PADD 5   —   crude 290 kbd</t>
        </is>
      </c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</row>
    <row r="820">
      <c r="A820" s="4" t="inlineStr">
        <is>
          <t>UNIT</t>
        </is>
      </c>
      <c r="B820" s="5" t="inlineStr">
        <is>
          <t>CHEVRON_EL_SEGUNDO</t>
        </is>
      </c>
      <c r="C820" s="5" t="n">
        <v>5</v>
      </c>
      <c r="D820" s="5" t="inlineStr">
        <is>
          <t>CDU</t>
        </is>
      </c>
      <c r="E820" s="5" t="inlineStr">
        <is>
          <t>CDU</t>
        </is>
      </c>
      <c r="F820" s="6" t="n">
        <v>290.5</v>
      </c>
      <c r="G820" s="7" t="n">
        <v>0.772</v>
      </c>
      <c r="H820" s="8">
        <f>IF($G820&lt;&gt;"",$G820,SUMIFS(Assumptions!$K$4:$K$8,Assumptions!$J$4:$J$8,$C820))</f>
        <v/>
      </c>
      <c r="I820" s="7" t="n"/>
      <c r="J820" s="9">
        <f>IF($I820&lt;&gt;"",$I820,SUMIFS(Assumptions!$P$4:$P$93,Assumptions!$M$4:$M$93,$C820,Assumptions!$N$4:$N$93,$E820,Assumptions!$O$4:$O$93,"LVN"))</f>
        <v/>
      </c>
      <c r="K820" s="7" t="n"/>
      <c r="L820" s="9">
        <f>IF($K820&lt;&gt;"",$K820,SUMIFS(Assumptions!$P$4:$P$93,Assumptions!$M$4:$M$93,$C820,Assumptions!$N$4:$N$93,$E820,Assumptions!$O$4:$O$93,"HVN"))</f>
        <v/>
      </c>
      <c r="M820" s="9">
        <f>J820+L820</f>
        <v/>
      </c>
      <c r="N820" s="10">
        <f>$F820*$H820*$M820</f>
        <v/>
      </c>
    </row>
    <row r="821">
      <c r="A821" s="4" t="inlineStr">
        <is>
          <t>UNIT</t>
        </is>
      </c>
      <c r="B821" s="5" t="inlineStr">
        <is>
          <t>CHEVRON_EL_SEGUNDO</t>
        </is>
      </c>
      <c r="C821" s="5" t="n">
        <v>5</v>
      </c>
      <c r="D821" s="5" t="inlineStr">
        <is>
          <t>VDU</t>
        </is>
      </c>
      <c r="E821" s="5" t="inlineStr">
        <is>
          <t>VDU</t>
        </is>
      </c>
      <c r="F821" s="6" t="n">
        <v>169.1</v>
      </c>
      <c r="G821" s="7" t="n">
        <v>0.61</v>
      </c>
      <c r="H821" s="8">
        <f>IF($G821&lt;&gt;"",$G821,SUMIFS(Assumptions!$K$4:$K$8,Assumptions!$J$4:$J$8,$C821))</f>
        <v/>
      </c>
      <c r="I821" s="7" t="n"/>
      <c r="J821" s="9">
        <f>IF($I821&lt;&gt;"",$I821,SUMIFS(Assumptions!$P$4:$P$93,Assumptions!$M$4:$M$93,$C821,Assumptions!$N$4:$N$93,$E821,Assumptions!$O$4:$O$93,"LVN"))</f>
        <v/>
      </c>
      <c r="K821" s="7" t="n"/>
      <c r="L821" s="9">
        <f>IF($K821&lt;&gt;"",$K821,SUMIFS(Assumptions!$P$4:$P$93,Assumptions!$M$4:$M$93,$C821,Assumptions!$N$4:$N$93,$E821,Assumptions!$O$4:$O$93,"HVN"))</f>
        <v/>
      </c>
      <c r="M821" s="9">
        <f>J821+L821</f>
        <v/>
      </c>
      <c r="N821" s="10">
        <f>$F821*$H821*$M821</f>
        <v/>
      </c>
    </row>
    <row r="822">
      <c r="A822" s="4" t="inlineStr">
        <is>
          <t>UNIT</t>
        </is>
      </c>
      <c r="B822" s="5" t="inlineStr">
        <is>
          <t>CHEVRON_EL_SEGUNDO</t>
        </is>
      </c>
      <c r="C822" s="5" t="n">
        <v>5</v>
      </c>
      <c r="D822" s="5" t="inlineStr">
        <is>
          <t>FCC</t>
        </is>
      </c>
      <c r="E822" s="5" t="inlineStr">
        <is>
          <t>FCC</t>
        </is>
      </c>
      <c r="F822" s="6" t="n">
        <v>73.8</v>
      </c>
      <c r="G822" s="7" t="n">
        <v>0.5639999999999999</v>
      </c>
      <c r="H822" s="8">
        <f>IF($G822&lt;&gt;"",$G822,SUMIFS(Assumptions!$K$4:$K$8,Assumptions!$J$4:$J$8,$C822))</f>
        <v/>
      </c>
      <c r="I822" s="7" t="n"/>
      <c r="J822" s="9">
        <f>IF($I822&lt;&gt;"",$I822,SUMIFS(Assumptions!$P$4:$P$93,Assumptions!$M$4:$M$93,$C822,Assumptions!$N$4:$N$93,$E822,Assumptions!$O$4:$O$93,"LVN"))</f>
        <v/>
      </c>
      <c r="K822" s="7" t="n"/>
      <c r="L822" s="9">
        <f>IF($K822&lt;&gt;"",$K822,SUMIFS(Assumptions!$P$4:$P$93,Assumptions!$M$4:$M$93,$C822,Assumptions!$N$4:$N$93,$E822,Assumptions!$O$4:$O$93,"HVN"))</f>
        <v/>
      </c>
      <c r="M822" s="9">
        <f>J822+L822</f>
        <v/>
      </c>
      <c r="N822" s="10">
        <f>$F822*$H822*$M822</f>
        <v/>
      </c>
    </row>
    <row r="823">
      <c r="A823" s="4" t="inlineStr">
        <is>
          <t>UNIT</t>
        </is>
      </c>
      <c r="B823" s="5" t="inlineStr">
        <is>
          <t>CHEVRON_EL_SEGUNDO</t>
        </is>
      </c>
      <c r="C823" s="5" t="n">
        <v>5</v>
      </c>
      <c r="D823" s="5" t="inlineStr">
        <is>
          <t>DHCU</t>
        </is>
      </c>
      <c r="E823" s="5" t="inlineStr">
        <is>
          <t>HYDROCRACKER</t>
        </is>
      </c>
      <c r="F823" s="6" t="n">
        <v>55</v>
      </c>
      <c r="G823" s="7" t="n">
        <v>0.877</v>
      </c>
      <c r="H823" s="8">
        <f>IF($G823&lt;&gt;"",$G823,SUMIFS(Assumptions!$K$4:$K$8,Assumptions!$J$4:$J$8,$C823))</f>
        <v/>
      </c>
      <c r="I823" s="7" t="n"/>
      <c r="J823" s="9">
        <f>IF($I823&lt;&gt;"",$I823,SUMIFS(Assumptions!$P$4:$P$93,Assumptions!$M$4:$M$93,$C823,Assumptions!$N$4:$N$93,$E823,Assumptions!$O$4:$O$93,"LVN"))</f>
        <v/>
      </c>
      <c r="K823" s="7" t="n"/>
      <c r="L823" s="9">
        <f>IF($K823&lt;&gt;"",$K823,SUMIFS(Assumptions!$P$4:$P$93,Assumptions!$M$4:$M$93,$C823,Assumptions!$N$4:$N$93,$E823,Assumptions!$O$4:$O$93,"HVN"))</f>
        <v/>
      </c>
      <c r="M823" s="9">
        <f>J823+L823</f>
        <v/>
      </c>
      <c r="N823" s="10">
        <f>$F823*$H823*$M823</f>
        <v/>
      </c>
    </row>
    <row r="824">
      <c r="A824" s="4" t="inlineStr">
        <is>
          <t>UNIT</t>
        </is>
      </c>
      <c r="B824" s="5" t="inlineStr">
        <is>
          <t>CHEVRON_EL_SEGUNDO</t>
        </is>
      </c>
      <c r="C824" s="5" t="n">
        <v>5</v>
      </c>
      <c r="D824" s="5" t="inlineStr">
        <is>
          <t>COKER</t>
        </is>
      </c>
      <c r="E824" s="5" t="inlineStr">
        <is>
          <t>COKER</t>
        </is>
      </c>
      <c r="F824" s="6" t="n">
        <v>76.7</v>
      </c>
      <c r="G824" s="7" t="n">
        <v>0.429</v>
      </c>
      <c r="H824" s="8">
        <f>IF($G824&lt;&gt;"",$G824,SUMIFS(Assumptions!$K$4:$K$8,Assumptions!$J$4:$J$8,$C824))</f>
        <v/>
      </c>
      <c r="I824" s="7" t="n"/>
      <c r="J824" s="9">
        <f>IF($I824&lt;&gt;"",$I824,SUMIFS(Assumptions!$P$4:$P$93,Assumptions!$M$4:$M$93,$C824,Assumptions!$N$4:$N$93,$E824,Assumptions!$O$4:$O$93,"LVN"))</f>
        <v/>
      </c>
      <c r="K824" s="7" t="n"/>
      <c r="L824" s="9">
        <f>IF($K824&lt;&gt;"",$K824,SUMIFS(Assumptions!$P$4:$P$93,Assumptions!$M$4:$M$93,$C824,Assumptions!$N$4:$N$93,$E824,Assumptions!$O$4:$O$93,"HVN"))</f>
        <v/>
      </c>
      <c r="M824" s="9">
        <f>J824+L824</f>
        <v/>
      </c>
      <c r="N824" s="10">
        <f>$F824*$H824*$M824</f>
        <v/>
      </c>
    </row>
    <row r="825">
      <c r="A825" s="4" t="inlineStr">
        <is>
          <t>UNIT</t>
        </is>
      </c>
      <c r="B825" s="5" t="inlineStr">
        <is>
          <t>CHEVRON_EL_SEGUNDO</t>
        </is>
      </c>
      <c r="C825" s="5" t="n">
        <v>5</v>
      </c>
      <c r="D825" s="5" t="inlineStr">
        <is>
          <t>CCR</t>
        </is>
      </c>
      <c r="E825" s="5" t="inlineStr">
        <is>
          <t>REFORMER</t>
        </is>
      </c>
      <c r="F825" s="6" t="n">
        <v>49</v>
      </c>
      <c r="G825" s="7" t="n">
        <v>0.819</v>
      </c>
      <c r="H825" s="8">
        <f>IF($G825&lt;&gt;"",$G825,SUMIFS(Assumptions!$K$4:$K$8,Assumptions!$J$4:$J$8,$C825))</f>
        <v/>
      </c>
      <c r="I825" s="7" t="n"/>
      <c r="J825" s="9">
        <f>IF($I825&lt;&gt;"",$I825,SUMIFS(Assumptions!$P$4:$P$93,Assumptions!$M$4:$M$93,$C825,Assumptions!$N$4:$N$93,$E825,Assumptions!$O$4:$O$93,"LVN"))</f>
        <v/>
      </c>
      <c r="K825" s="7" t="n"/>
      <c r="L825" s="9">
        <f>IF($K825&lt;&gt;"",$K825,SUMIFS(Assumptions!$P$4:$P$93,Assumptions!$M$4:$M$93,$C825,Assumptions!$N$4:$N$93,$E825,Assumptions!$O$4:$O$93,"HVN"))</f>
        <v/>
      </c>
      <c r="M825" s="9">
        <f>J825+L825</f>
        <v/>
      </c>
      <c r="N825" s="10">
        <f>$F825*$H825*$M825</f>
        <v/>
      </c>
    </row>
    <row r="826">
      <c r="A826" s="4" t="inlineStr">
        <is>
          <t>UNIT</t>
        </is>
      </c>
      <c r="B826" s="5" t="inlineStr">
        <is>
          <t>CHEVRON_EL_SEGUNDO</t>
        </is>
      </c>
      <c r="C826" s="5" t="n">
        <v>5</v>
      </c>
      <c r="D826" s="5" t="inlineStr">
        <is>
          <t>ISOM</t>
        </is>
      </c>
      <c r="E826" s="5" t="inlineStr">
        <is>
          <t>ISOM</t>
        </is>
      </c>
      <c r="F826" s="6" t="n">
        <v>22.3</v>
      </c>
      <c r="G826" s="7" t="n">
        <v>0.63</v>
      </c>
      <c r="H826" s="8">
        <f>IF($G826&lt;&gt;"",$G826,SUMIFS(Assumptions!$K$4:$K$8,Assumptions!$J$4:$J$8,$C826))</f>
        <v/>
      </c>
      <c r="I826" s="7" t="n"/>
      <c r="J826" s="9">
        <f>IF($I826&lt;&gt;"",$I826,SUMIFS(Assumptions!$P$4:$P$93,Assumptions!$M$4:$M$93,$C826,Assumptions!$N$4:$N$93,$E826,Assumptions!$O$4:$O$93,"LVN"))</f>
        <v/>
      </c>
      <c r="K826" s="7" t="n"/>
      <c r="L826" s="9">
        <f>IF($K826&lt;&gt;"",$K826,SUMIFS(Assumptions!$P$4:$P$93,Assumptions!$M$4:$M$93,$C826,Assumptions!$N$4:$N$93,$E826,Assumptions!$O$4:$O$93,"HVN"))</f>
        <v/>
      </c>
      <c r="M826" s="9">
        <f>J826+L826</f>
        <v/>
      </c>
      <c r="N826" s="10">
        <f>$F826*$H826*$M826</f>
        <v/>
      </c>
    </row>
    <row r="827">
      <c r="A827" s="4" t="inlineStr">
        <is>
          <t>UNIT</t>
        </is>
      </c>
      <c r="B827" s="5" t="inlineStr">
        <is>
          <t>CHEVRON_EL_SEGUNDO</t>
        </is>
      </c>
      <c r="C827" s="5" t="n">
        <v>5</v>
      </c>
      <c r="D827" s="5" t="inlineStr">
        <is>
          <t>ALKY</t>
        </is>
      </c>
      <c r="E827" s="5" t="inlineStr">
        <is>
          <t>ALKY</t>
        </is>
      </c>
      <c r="F827" s="6" t="n">
        <v>33.3</v>
      </c>
      <c r="G827" s="7" t="n">
        <v>0.505</v>
      </c>
      <c r="H827" s="8">
        <f>IF($G827&lt;&gt;"",$G827,SUMIFS(Assumptions!$K$4:$K$8,Assumptions!$J$4:$J$8,$C827))</f>
        <v/>
      </c>
      <c r="I827" s="7" t="n"/>
      <c r="J827" s="9">
        <f>IF($I827&lt;&gt;"",$I827,SUMIFS(Assumptions!$P$4:$P$93,Assumptions!$M$4:$M$93,$C827,Assumptions!$N$4:$N$93,$E827,Assumptions!$O$4:$O$93,"LVN"))</f>
        <v/>
      </c>
      <c r="K827" s="7" t="n"/>
      <c r="L827" s="9">
        <f>IF($K827&lt;&gt;"",$K827,SUMIFS(Assumptions!$P$4:$P$93,Assumptions!$M$4:$M$93,$C827,Assumptions!$N$4:$N$93,$E827,Assumptions!$O$4:$O$93,"HVN"))</f>
        <v/>
      </c>
      <c r="M827" s="9">
        <f>J827+L827</f>
        <v/>
      </c>
      <c r="N827" s="10">
        <f>$F827*$H827*$M827</f>
        <v/>
      </c>
    </row>
    <row r="828">
      <c r="A828" s="11" t="inlineStr">
        <is>
          <t>TOTAL</t>
        </is>
      </c>
      <c r="B828" s="12" t="inlineStr">
        <is>
          <t>CHEVRON_EL_SEGUNDO</t>
        </is>
      </c>
      <c r="C828" s="12" t="n">
        <v>5</v>
      </c>
      <c r="D828" s="12" t="inlineStr">
        <is>
          <t>NET NAPHTHA</t>
        </is>
      </c>
      <c r="N828" s="13">
        <f>SUM(N820:N827)</f>
        <v/>
      </c>
    </row>
    <row r="830">
      <c r="A830" s="1" t="inlineStr">
        <is>
          <t xml:space="preserve">  Marathon Petroleum Carson  [MARATHON_CARSON]   —   Marathon Petroleum   —   PADD 5   —   crude 281 kbd</t>
        </is>
      </c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</row>
    <row r="831">
      <c r="A831" s="4" t="inlineStr">
        <is>
          <t>UNIT</t>
        </is>
      </c>
      <c r="B831" s="5" t="inlineStr">
        <is>
          <t>MARATHON_CARSON</t>
        </is>
      </c>
      <c r="C831" s="5" t="n">
        <v>5</v>
      </c>
      <c r="D831" s="5" t="inlineStr">
        <is>
          <t>CRUDE-EST</t>
        </is>
      </c>
      <c r="E831" s="5" t="inlineStr">
        <is>
          <t>est. yield</t>
        </is>
      </c>
      <c r="F831" s="14">
        <f>SUMIFS(Data!$G$3:$G$125,Data!$A$3:$A$125,$B831)</f>
        <v/>
      </c>
      <c r="G831" s="7" t="n"/>
      <c r="H831" s="8">
        <f>IF($G831&lt;&gt;"",$G831,SUMIFS(Assumptions!$K$4:$K$8,Assumptions!$J$4:$J$8,$C831))</f>
        <v/>
      </c>
      <c r="I831" s="7" t="n"/>
      <c r="J831" s="9">
        <f>IF($I831&lt;&gt;"",$I831,SUMIFS(Data!$N$3:$N$125,Data!$A$3:$A$125,$B831)*Assumptions!$S$4)</f>
        <v/>
      </c>
      <c r="K831" s="7" t="n"/>
      <c r="L831" s="9">
        <f>IF($K831&lt;&gt;"",$K831,SUMIFS(Data!$N$3:$N$125,Data!$A$3:$A$125,$B831)*Assumptions!$S$5)</f>
        <v/>
      </c>
      <c r="M831" s="9">
        <f>J831+L831</f>
        <v/>
      </c>
      <c r="N831" s="10">
        <f>$F831*$H831*$M831</f>
        <v/>
      </c>
    </row>
    <row r="832">
      <c r="A832" s="11" t="inlineStr">
        <is>
          <t>TOTAL</t>
        </is>
      </c>
      <c r="B832" s="12" t="inlineStr">
        <is>
          <t>MARATHON_CARSON</t>
        </is>
      </c>
      <c r="C832" s="12" t="n">
        <v>5</v>
      </c>
      <c r="D832" s="12" t="inlineStr">
        <is>
          <t>NET NAPHTHA</t>
        </is>
      </c>
      <c r="N832" s="13">
        <f>SUM(N831:N831)</f>
        <v/>
      </c>
    </row>
    <row r="834">
      <c r="A834" s="1" t="inlineStr">
        <is>
          <t xml:space="preserve">  Chevron Richmond  [CHEVRON_RICHMOND]   —   Chevron   —   PADD 5   —   crude 257 kbd</t>
        </is>
      </c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</row>
    <row r="835">
      <c r="A835" s="4" t="inlineStr">
        <is>
          <t>UNIT</t>
        </is>
      </c>
      <c r="B835" s="5" t="inlineStr">
        <is>
          <t>CHEVRON_RICHMOND</t>
        </is>
      </c>
      <c r="C835" s="5" t="n">
        <v>5</v>
      </c>
      <c r="D835" s="5" t="inlineStr">
        <is>
          <t>CDU</t>
        </is>
      </c>
      <c r="E835" s="5" t="inlineStr">
        <is>
          <t>CDU</t>
        </is>
      </c>
      <c r="F835" s="6" t="n">
        <v>257.2</v>
      </c>
      <c r="G835" s="7" t="n">
        <v>0.9419999999999999</v>
      </c>
      <c r="H835" s="8">
        <f>IF($G835&lt;&gt;"",$G835,SUMIFS(Assumptions!$K$4:$K$8,Assumptions!$J$4:$J$8,$C835))</f>
        <v/>
      </c>
      <c r="I835" s="7" t="n"/>
      <c r="J835" s="9">
        <f>IF($I835&lt;&gt;"",$I835,SUMIFS(Assumptions!$P$4:$P$93,Assumptions!$M$4:$M$93,$C835,Assumptions!$N$4:$N$93,$E835,Assumptions!$O$4:$O$93,"LVN"))</f>
        <v/>
      </c>
      <c r="K835" s="7" t="n"/>
      <c r="L835" s="9">
        <f>IF($K835&lt;&gt;"",$K835,SUMIFS(Assumptions!$P$4:$P$93,Assumptions!$M$4:$M$93,$C835,Assumptions!$N$4:$N$93,$E835,Assumptions!$O$4:$O$93,"HVN"))</f>
        <v/>
      </c>
      <c r="M835" s="9">
        <f>J835+L835</f>
        <v/>
      </c>
      <c r="N835" s="10">
        <f>$F835*$H835*$M835</f>
        <v/>
      </c>
    </row>
    <row r="836">
      <c r="A836" s="4" t="inlineStr">
        <is>
          <t>UNIT</t>
        </is>
      </c>
      <c r="B836" s="5" t="inlineStr">
        <is>
          <t>CHEVRON_RICHMOND</t>
        </is>
      </c>
      <c r="C836" s="5" t="n">
        <v>5</v>
      </c>
      <c r="D836" s="5" t="inlineStr">
        <is>
          <t>VDU</t>
        </is>
      </c>
      <c r="E836" s="5" t="inlineStr">
        <is>
          <t>VDU</t>
        </is>
      </c>
      <c r="F836" s="6" t="n">
        <v>123.46</v>
      </c>
      <c r="G836" s="7" t="n">
        <v>0.8149999999999999</v>
      </c>
      <c r="H836" s="8">
        <f>IF($G836&lt;&gt;"",$G836,SUMIFS(Assumptions!$K$4:$K$8,Assumptions!$J$4:$J$8,$C836))</f>
        <v/>
      </c>
      <c r="I836" s="7" t="n"/>
      <c r="J836" s="9">
        <f>IF($I836&lt;&gt;"",$I836,SUMIFS(Assumptions!$P$4:$P$93,Assumptions!$M$4:$M$93,$C836,Assumptions!$N$4:$N$93,$E836,Assumptions!$O$4:$O$93,"LVN"))</f>
        <v/>
      </c>
      <c r="K836" s="7" t="n"/>
      <c r="L836" s="9">
        <f>IF($K836&lt;&gt;"",$K836,SUMIFS(Assumptions!$P$4:$P$93,Assumptions!$M$4:$M$93,$C836,Assumptions!$N$4:$N$93,$E836,Assumptions!$O$4:$O$93,"HVN"))</f>
        <v/>
      </c>
      <c r="M836" s="9">
        <f>J836+L836</f>
        <v/>
      </c>
      <c r="N836" s="10">
        <f>$F836*$H836*$M836</f>
        <v/>
      </c>
    </row>
    <row r="837">
      <c r="A837" s="4" t="inlineStr">
        <is>
          <t>UNIT</t>
        </is>
      </c>
      <c r="B837" s="5" t="inlineStr">
        <is>
          <t>CHEVRON_RICHMOND</t>
        </is>
      </c>
      <c r="C837" s="5" t="n">
        <v>5</v>
      </c>
      <c r="D837" s="5" t="inlineStr">
        <is>
          <t>FCC</t>
        </is>
      </c>
      <c r="E837" s="5" t="inlineStr">
        <is>
          <t>FCC</t>
        </is>
      </c>
      <c r="F837" s="6" t="n">
        <v>90</v>
      </c>
      <c r="G837" s="7" t="n">
        <v>0.597</v>
      </c>
      <c r="H837" s="8">
        <f>IF($G837&lt;&gt;"",$G837,SUMIFS(Assumptions!$K$4:$K$8,Assumptions!$J$4:$J$8,$C837))</f>
        <v/>
      </c>
      <c r="I837" s="7" t="n"/>
      <c r="J837" s="9">
        <f>IF($I837&lt;&gt;"",$I837,SUMIFS(Assumptions!$P$4:$P$93,Assumptions!$M$4:$M$93,$C837,Assumptions!$N$4:$N$93,$E837,Assumptions!$O$4:$O$93,"LVN"))</f>
        <v/>
      </c>
      <c r="K837" s="7" t="n"/>
      <c r="L837" s="9">
        <f>IF($K837&lt;&gt;"",$K837,SUMIFS(Assumptions!$P$4:$P$93,Assumptions!$M$4:$M$93,$C837,Assumptions!$N$4:$N$93,$E837,Assumptions!$O$4:$O$93,"HVN"))</f>
        <v/>
      </c>
      <c r="M837" s="9">
        <f>J837+L837</f>
        <v/>
      </c>
      <c r="N837" s="10">
        <f>$F837*$H837*$M837</f>
        <v/>
      </c>
    </row>
    <row r="838">
      <c r="A838" s="4" t="inlineStr">
        <is>
          <t>UNIT</t>
        </is>
      </c>
      <c r="B838" s="5" t="inlineStr">
        <is>
          <t>CHEVRON_RICHMOND</t>
        </is>
      </c>
      <c r="C838" s="5" t="n">
        <v>5</v>
      </c>
      <c r="D838" s="5" t="inlineStr">
        <is>
          <t>DHCU</t>
        </is>
      </c>
      <c r="E838" s="5" t="inlineStr">
        <is>
          <t>HYDROCRACKER</t>
        </is>
      </c>
      <c r="F838" s="6" t="n">
        <v>103.4</v>
      </c>
      <c r="G838" s="7" t="n">
        <v>0.493</v>
      </c>
      <c r="H838" s="8">
        <f>IF($G838&lt;&gt;"",$G838,SUMIFS(Assumptions!$K$4:$K$8,Assumptions!$J$4:$J$8,$C838))</f>
        <v/>
      </c>
      <c r="I838" s="7" t="n"/>
      <c r="J838" s="9">
        <f>IF($I838&lt;&gt;"",$I838,SUMIFS(Assumptions!$P$4:$P$93,Assumptions!$M$4:$M$93,$C838,Assumptions!$N$4:$N$93,$E838,Assumptions!$O$4:$O$93,"LVN"))</f>
        <v/>
      </c>
      <c r="K838" s="7" t="n"/>
      <c r="L838" s="9">
        <f>IF($K838&lt;&gt;"",$K838,SUMIFS(Assumptions!$P$4:$P$93,Assumptions!$M$4:$M$93,$C838,Assumptions!$N$4:$N$93,$E838,Assumptions!$O$4:$O$93,"HVN"))</f>
        <v/>
      </c>
      <c r="M838" s="9">
        <f>J838+L838</f>
        <v/>
      </c>
      <c r="N838" s="10">
        <f>$F838*$H838*$M838</f>
        <v/>
      </c>
    </row>
    <row r="839">
      <c r="A839" s="4" t="inlineStr">
        <is>
          <t>UNIT</t>
        </is>
      </c>
      <c r="B839" s="5" t="inlineStr">
        <is>
          <t>CHEVRON_RICHMOND</t>
        </is>
      </c>
      <c r="C839" s="5" t="n">
        <v>5</v>
      </c>
      <c r="D839" s="5" t="inlineStr">
        <is>
          <t>CCR</t>
        </is>
      </c>
      <c r="E839" s="5" t="inlineStr">
        <is>
          <t>REFORMER</t>
        </is>
      </c>
      <c r="F839" s="6" t="n">
        <v>71.3</v>
      </c>
      <c r="G839" s="7" t="n"/>
      <c r="H839" s="8">
        <f>IF($G839&lt;&gt;"",$G839,SUMIFS(Assumptions!$K$4:$K$8,Assumptions!$J$4:$J$8,$C839))</f>
        <v/>
      </c>
      <c r="I839" s="7" t="n"/>
      <c r="J839" s="9">
        <f>IF($I839&lt;&gt;"",$I839,SUMIFS(Assumptions!$P$4:$P$93,Assumptions!$M$4:$M$93,$C839,Assumptions!$N$4:$N$93,$E839,Assumptions!$O$4:$O$93,"LVN"))</f>
        <v/>
      </c>
      <c r="K839" s="7" t="n"/>
      <c r="L839" s="9">
        <f>IF($K839&lt;&gt;"",$K839,SUMIFS(Assumptions!$P$4:$P$93,Assumptions!$M$4:$M$93,$C839,Assumptions!$N$4:$N$93,$E839,Assumptions!$O$4:$O$93,"HVN"))</f>
        <v/>
      </c>
      <c r="M839" s="9">
        <f>J839+L839</f>
        <v/>
      </c>
      <c r="N839" s="10">
        <f>$F839*$H839*$M839</f>
        <v/>
      </c>
    </row>
    <row r="840">
      <c r="A840" s="4" t="inlineStr">
        <is>
          <t>UNIT</t>
        </is>
      </c>
      <c r="B840" s="5" t="inlineStr">
        <is>
          <t>CHEVRON_RICHMOND</t>
        </is>
      </c>
      <c r="C840" s="5" t="n">
        <v>5</v>
      </c>
      <c r="D840" s="5" t="inlineStr">
        <is>
          <t>ISOM</t>
        </is>
      </c>
      <c r="E840" s="5" t="inlineStr">
        <is>
          <t>ISOM</t>
        </is>
      </c>
      <c r="F840" s="6" t="n">
        <v>46</v>
      </c>
      <c r="G840" s="7" t="n">
        <v>0.455</v>
      </c>
      <c r="H840" s="8">
        <f>IF($G840&lt;&gt;"",$G840,SUMIFS(Assumptions!$K$4:$K$8,Assumptions!$J$4:$J$8,$C840))</f>
        <v/>
      </c>
      <c r="I840" s="7" t="n"/>
      <c r="J840" s="9">
        <f>IF($I840&lt;&gt;"",$I840,SUMIFS(Assumptions!$P$4:$P$93,Assumptions!$M$4:$M$93,$C840,Assumptions!$N$4:$N$93,$E840,Assumptions!$O$4:$O$93,"LVN"))</f>
        <v/>
      </c>
      <c r="K840" s="7" t="n"/>
      <c r="L840" s="9">
        <f>IF($K840&lt;&gt;"",$K840,SUMIFS(Assumptions!$P$4:$P$93,Assumptions!$M$4:$M$93,$C840,Assumptions!$N$4:$N$93,$E840,Assumptions!$O$4:$O$93,"HVN"))</f>
        <v/>
      </c>
      <c r="M840" s="9">
        <f>J840+L840</f>
        <v/>
      </c>
      <c r="N840" s="10">
        <f>$F840*$H840*$M840</f>
        <v/>
      </c>
    </row>
    <row r="841">
      <c r="A841" s="4" t="inlineStr">
        <is>
          <t>UNIT</t>
        </is>
      </c>
      <c r="B841" s="5" t="inlineStr">
        <is>
          <t>CHEVRON_RICHMOND</t>
        </is>
      </c>
      <c r="C841" s="5" t="n">
        <v>5</v>
      </c>
      <c r="D841" s="5" t="inlineStr">
        <is>
          <t>ALKY</t>
        </is>
      </c>
      <c r="E841" s="5" t="inlineStr">
        <is>
          <t>ALKY</t>
        </is>
      </c>
      <c r="F841" s="6" t="n">
        <v>32.66</v>
      </c>
      <c r="G841" s="7" t="n">
        <v>0.62</v>
      </c>
      <c r="H841" s="8">
        <f>IF($G841&lt;&gt;"",$G841,SUMIFS(Assumptions!$K$4:$K$8,Assumptions!$J$4:$J$8,$C841))</f>
        <v/>
      </c>
      <c r="I841" s="7" t="n"/>
      <c r="J841" s="9">
        <f>IF($I841&lt;&gt;"",$I841,SUMIFS(Assumptions!$P$4:$P$93,Assumptions!$M$4:$M$93,$C841,Assumptions!$N$4:$N$93,$E841,Assumptions!$O$4:$O$93,"LVN"))</f>
        <v/>
      </c>
      <c r="K841" s="7" t="n"/>
      <c r="L841" s="9">
        <f>IF($K841&lt;&gt;"",$K841,SUMIFS(Assumptions!$P$4:$P$93,Assumptions!$M$4:$M$93,$C841,Assumptions!$N$4:$N$93,$E841,Assumptions!$O$4:$O$93,"HVN"))</f>
        <v/>
      </c>
      <c r="M841" s="9">
        <f>J841+L841</f>
        <v/>
      </c>
      <c r="N841" s="10">
        <f>$F841*$H841*$M841</f>
        <v/>
      </c>
    </row>
    <row r="842">
      <c r="A842" s="11" t="inlineStr">
        <is>
          <t>TOTAL</t>
        </is>
      </c>
      <c r="B842" s="12" t="inlineStr">
        <is>
          <t>CHEVRON_RICHMOND</t>
        </is>
      </c>
      <c r="C842" s="12" t="n">
        <v>5</v>
      </c>
      <c r="D842" s="12" t="inlineStr">
        <is>
          <t>NET NAPHTHA</t>
        </is>
      </c>
      <c r="N842" s="13">
        <f>SUM(N835:N841)</f>
        <v/>
      </c>
    </row>
    <row r="844">
      <c r="A844" s="1" t="inlineStr">
        <is>
          <t xml:space="preserve">  BP Ferndale  [BP_FERNDALE]   —   BP   —   PADD 5   —   crude 251 kbd</t>
        </is>
      </c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</row>
    <row r="845">
      <c r="A845" s="4" t="inlineStr">
        <is>
          <t>UNIT</t>
        </is>
      </c>
      <c r="B845" s="5" t="inlineStr">
        <is>
          <t>BP_FERNDALE</t>
        </is>
      </c>
      <c r="C845" s="5" t="n">
        <v>5</v>
      </c>
      <c r="D845" s="5" t="inlineStr">
        <is>
          <t>CDU</t>
        </is>
      </c>
      <c r="E845" s="5" t="inlineStr">
        <is>
          <t>CDU</t>
        </is>
      </c>
      <c r="F845" s="6" t="n">
        <v>251</v>
      </c>
      <c r="G845" s="7" t="n">
        <v>0.9330000000000001</v>
      </c>
      <c r="H845" s="8">
        <f>IF($G845&lt;&gt;"",$G845,SUMIFS(Assumptions!$K$4:$K$8,Assumptions!$J$4:$J$8,$C845))</f>
        <v/>
      </c>
      <c r="I845" s="7" t="n"/>
      <c r="J845" s="9">
        <f>IF($I845&lt;&gt;"",$I845,SUMIFS(Assumptions!$P$4:$P$93,Assumptions!$M$4:$M$93,$C845,Assumptions!$N$4:$N$93,$E845,Assumptions!$O$4:$O$93,"LVN"))</f>
        <v/>
      </c>
      <c r="K845" s="7" t="n"/>
      <c r="L845" s="9">
        <f>IF($K845&lt;&gt;"",$K845,SUMIFS(Assumptions!$P$4:$P$93,Assumptions!$M$4:$M$93,$C845,Assumptions!$N$4:$N$93,$E845,Assumptions!$O$4:$O$93,"HVN"))</f>
        <v/>
      </c>
      <c r="M845" s="9">
        <f>J845+L845</f>
        <v/>
      </c>
      <c r="N845" s="10">
        <f>$F845*$H845*$M845</f>
        <v/>
      </c>
    </row>
    <row r="846">
      <c r="A846" s="4" t="inlineStr">
        <is>
          <t>UNIT</t>
        </is>
      </c>
      <c r="B846" s="5" t="inlineStr">
        <is>
          <t>BP_FERNDALE</t>
        </is>
      </c>
      <c r="C846" s="5" t="n">
        <v>5</v>
      </c>
      <c r="D846" s="5" t="inlineStr">
        <is>
          <t>VDU</t>
        </is>
      </c>
      <c r="E846" s="5" t="inlineStr">
        <is>
          <t>VDU</t>
        </is>
      </c>
      <c r="F846" s="6" t="n">
        <v>139</v>
      </c>
      <c r="G846" s="7" t="n">
        <v>0.6899999999999999</v>
      </c>
      <c r="H846" s="8">
        <f>IF($G846&lt;&gt;"",$G846,SUMIFS(Assumptions!$K$4:$K$8,Assumptions!$J$4:$J$8,$C846))</f>
        <v/>
      </c>
      <c r="I846" s="7" t="n"/>
      <c r="J846" s="9">
        <f>IF($I846&lt;&gt;"",$I846,SUMIFS(Assumptions!$P$4:$P$93,Assumptions!$M$4:$M$93,$C846,Assumptions!$N$4:$N$93,$E846,Assumptions!$O$4:$O$93,"LVN"))</f>
        <v/>
      </c>
      <c r="K846" s="7" t="n"/>
      <c r="L846" s="9">
        <f>IF($K846&lt;&gt;"",$K846,SUMIFS(Assumptions!$P$4:$P$93,Assumptions!$M$4:$M$93,$C846,Assumptions!$N$4:$N$93,$E846,Assumptions!$O$4:$O$93,"HVN"))</f>
        <v/>
      </c>
      <c r="M846" s="9">
        <f>J846+L846</f>
        <v/>
      </c>
      <c r="N846" s="10">
        <f>$F846*$H846*$M846</f>
        <v/>
      </c>
    </row>
    <row r="847">
      <c r="A847" s="4" t="inlineStr">
        <is>
          <t>UNIT</t>
        </is>
      </c>
      <c r="B847" s="5" t="inlineStr">
        <is>
          <t>BP_FERNDALE</t>
        </is>
      </c>
      <c r="C847" s="5" t="n">
        <v>5</v>
      </c>
      <c r="D847" s="5" t="inlineStr">
        <is>
          <t>DHCU</t>
        </is>
      </c>
      <c r="E847" s="5" t="inlineStr">
        <is>
          <t>HYDROCRACKER</t>
        </is>
      </c>
      <c r="F847" s="6" t="n">
        <v>65</v>
      </c>
      <c r="G847" s="7" t="n">
        <v>0.998</v>
      </c>
      <c r="H847" s="8">
        <f>IF($G847&lt;&gt;"",$G847,SUMIFS(Assumptions!$K$4:$K$8,Assumptions!$J$4:$J$8,$C847))</f>
        <v/>
      </c>
      <c r="I847" s="7" t="n"/>
      <c r="J847" s="9">
        <f>IF($I847&lt;&gt;"",$I847,SUMIFS(Assumptions!$P$4:$P$93,Assumptions!$M$4:$M$93,$C847,Assumptions!$N$4:$N$93,$E847,Assumptions!$O$4:$O$93,"LVN"))</f>
        <v/>
      </c>
      <c r="K847" s="7" t="n"/>
      <c r="L847" s="9">
        <f>IF($K847&lt;&gt;"",$K847,SUMIFS(Assumptions!$P$4:$P$93,Assumptions!$M$4:$M$93,$C847,Assumptions!$N$4:$N$93,$E847,Assumptions!$O$4:$O$93,"HVN"))</f>
        <v/>
      </c>
      <c r="M847" s="9">
        <f>J847+L847</f>
        <v/>
      </c>
      <c r="N847" s="10">
        <f>$F847*$H847*$M847</f>
        <v/>
      </c>
    </row>
    <row r="848">
      <c r="A848" s="4" t="inlineStr">
        <is>
          <t>UNIT</t>
        </is>
      </c>
      <c r="B848" s="5" t="inlineStr">
        <is>
          <t>BP_FERNDALE</t>
        </is>
      </c>
      <c r="C848" s="5" t="n">
        <v>5</v>
      </c>
      <c r="D848" s="5" t="inlineStr">
        <is>
          <t>COKER</t>
        </is>
      </c>
      <c r="E848" s="5" t="inlineStr">
        <is>
          <t>COKER</t>
        </is>
      </c>
      <c r="F848" s="6" t="n">
        <v>61.5</v>
      </c>
      <c r="G848" s="7" t="n">
        <v>0.647</v>
      </c>
      <c r="H848" s="8">
        <f>IF($G848&lt;&gt;"",$G848,SUMIFS(Assumptions!$K$4:$K$8,Assumptions!$J$4:$J$8,$C848))</f>
        <v/>
      </c>
      <c r="I848" s="7" t="n"/>
      <c r="J848" s="9">
        <f>IF($I848&lt;&gt;"",$I848,SUMIFS(Assumptions!$P$4:$P$93,Assumptions!$M$4:$M$93,$C848,Assumptions!$N$4:$N$93,$E848,Assumptions!$O$4:$O$93,"LVN"))</f>
        <v/>
      </c>
      <c r="K848" s="7" t="n"/>
      <c r="L848" s="9">
        <f>IF($K848&lt;&gt;"",$K848,SUMIFS(Assumptions!$P$4:$P$93,Assumptions!$M$4:$M$93,$C848,Assumptions!$N$4:$N$93,$E848,Assumptions!$O$4:$O$93,"HVN"))</f>
        <v/>
      </c>
      <c r="M848" s="9">
        <f>J848+L848</f>
        <v/>
      </c>
      <c r="N848" s="10">
        <f>$F848*$H848*$M848</f>
        <v/>
      </c>
    </row>
    <row r="849">
      <c r="A849" s="4" t="inlineStr">
        <is>
          <t>UNIT</t>
        </is>
      </c>
      <c r="B849" s="5" t="inlineStr">
        <is>
          <t>BP_FERNDALE</t>
        </is>
      </c>
      <c r="C849" s="5" t="n">
        <v>5</v>
      </c>
      <c r="D849" s="5" t="inlineStr">
        <is>
          <t>CCR</t>
        </is>
      </c>
      <c r="E849" s="5" t="inlineStr">
        <is>
          <t>REFORMER</t>
        </is>
      </c>
      <c r="F849" s="6" t="n">
        <v>65</v>
      </c>
      <c r="G849" s="7" t="n">
        <v>0.881</v>
      </c>
      <c r="H849" s="8">
        <f>IF($G849&lt;&gt;"",$G849,SUMIFS(Assumptions!$K$4:$K$8,Assumptions!$J$4:$J$8,$C849))</f>
        <v/>
      </c>
      <c r="I849" s="7" t="n"/>
      <c r="J849" s="9">
        <f>IF($I849&lt;&gt;"",$I849,SUMIFS(Assumptions!$P$4:$P$93,Assumptions!$M$4:$M$93,$C849,Assumptions!$N$4:$N$93,$E849,Assumptions!$O$4:$O$93,"LVN"))</f>
        <v/>
      </c>
      <c r="K849" s="7" t="n"/>
      <c r="L849" s="9">
        <f>IF($K849&lt;&gt;"",$K849,SUMIFS(Assumptions!$P$4:$P$93,Assumptions!$M$4:$M$93,$C849,Assumptions!$N$4:$N$93,$E849,Assumptions!$O$4:$O$93,"HVN"))</f>
        <v/>
      </c>
      <c r="M849" s="9">
        <f>J849+L849</f>
        <v/>
      </c>
      <c r="N849" s="10">
        <f>$F849*$H849*$M849</f>
        <v/>
      </c>
    </row>
    <row r="850">
      <c r="A850" s="4" t="inlineStr">
        <is>
          <t>UNIT</t>
        </is>
      </c>
      <c r="B850" s="5" t="inlineStr">
        <is>
          <t>BP_FERNDALE</t>
        </is>
      </c>
      <c r="C850" s="5" t="n">
        <v>5</v>
      </c>
      <c r="D850" s="5" t="inlineStr">
        <is>
          <t>ISOM</t>
        </is>
      </c>
      <c r="E850" s="5" t="inlineStr">
        <is>
          <t>ISOM</t>
        </is>
      </c>
      <c r="F850" s="6" t="n">
        <v>26</v>
      </c>
      <c r="G850" s="7" t="n">
        <v>0.826</v>
      </c>
      <c r="H850" s="8">
        <f>IF($G850&lt;&gt;"",$G850,SUMIFS(Assumptions!$K$4:$K$8,Assumptions!$J$4:$J$8,$C850))</f>
        <v/>
      </c>
      <c r="I850" s="7" t="n"/>
      <c r="J850" s="9">
        <f>IF($I850&lt;&gt;"",$I850,SUMIFS(Assumptions!$P$4:$P$93,Assumptions!$M$4:$M$93,$C850,Assumptions!$N$4:$N$93,$E850,Assumptions!$O$4:$O$93,"LVN"))</f>
        <v/>
      </c>
      <c r="K850" s="7" t="n"/>
      <c r="L850" s="9">
        <f>IF($K850&lt;&gt;"",$K850,SUMIFS(Assumptions!$P$4:$P$93,Assumptions!$M$4:$M$93,$C850,Assumptions!$N$4:$N$93,$E850,Assumptions!$O$4:$O$93,"HVN"))</f>
        <v/>
      </c>
      <c r="M850" s="9">
        <f>J850+L850</f>
        <v/>
      </c>
      <c r="N850" s="10">
        <f>$F850*$H850*$M850</f>
        <v/>
      </c>
    </row>
    <row r="851">
      <c r="A851" s="11" t="inlineStr">
        <is>
          <t>TOTAL</t>
        </is>
      </c>
      <c r="B851" s="12" t="inlineStr">
        <is>
          <t>BP_FERNDALE</t>
        </is>
      </c>
      <c r="C851" s="12" t="n">
        <v>5</v>
      </c>
      <c r="D851" s="12" t="inlineStr">
        <is>
          <t>NET NAPHTHA</t>
        </is>
      </c>
      <c r="N851" s="13">
        <f>SUM(N845:N850)</f>
        <v/>
      </c>
    </row>
    <row r="853">
      <c r="A853" s="1" t="inlineStr">
        <is>
          <t xml:space="preserve">  PBF Energy Company LLC Torrance  [PBF_TORRANCE]   —   PBF Energy Company LLC   —   PADD 5   —   crude 166 kbd</t>
        </is>
      </c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</row>
    <row r="854">
      <c r="A854" s="4" t="inlineStr">
        <is>
          <t>UNIT</t>
        </is>
      </c>
      <c r="B854" s="5" t="inlineStr">
        <is>
          <t>PBF_TORRANCE</t>
        </is>
      </c>
      <c r="C854" s="5" t="n">
        <v>5</v>
      </c>
      <c r="D854" s="5" t="inlineStr">
        <is>
          <t>CDU</t>
        </is>
      </c>
      <c r="E854" s="5" t="inlineStr">
        <is>
          <t>CDU</t>
        </is>
      </c>
      <c r="F854" s="6" t="n">
        <v>166.2</v>
      </c>
      <c r="G854" s="7" t="n">
        <v>0.77</v>
      </c>
      <c r="H854" s="8">
        <f>IF($G854&lt;&gt;"",$G854,SUMIFS(Assumptions!$K$4:$K$8,Assumptions!$J$4:$J$8,$C854))</f>
        <v/>
      </c>
      <c r="I854" s="7" t="n"/>
      <c r="J854" s="9">
        <f>IF($I854&lt;&gt;"",$I854,SUMIFS(Assumptions!$P$4:$P$93,Assumptions!$M$4:$M$93,$C854,Assumptions!$N$4:$N$93,$E854,Assumptions!$O$4:$O$93,"LVN"))</f>
        <v/>
      </c>
      <c r="K854" s="7" t="n"/>
      <c r="L854" s="9">
        <f>IF($K854&lt;&gt;"",$K854,SUMIFS(Assumptions!$P$4:$P$93,Assumptions!$M$4:$M$93,$C854,Assumptions!$N$4:$N$93,$E854,Assumptions!$O$4:$O$93,"HVN"))</f>
        <v/>
      </c>
      <c r="M854" s="9">
        <f>J854+L854</f>
        <v/>
      </c>
      <c r="N854" s="10">
        <f>$F854*$H854*$M854</f>
        <v/>
      </c>
    </row>
    <row r="855">
      <c r="A855" s="4" t="inlineStr">
        <is>
          <t>UNIT</t>
        </is>
      </c>
      <c r="B855" s="5" t="inlineStr">
        <is>
          <t>PBF_TORRANCE</t>
        </is>
      </c>
      <c r="C855" s="5" t="n">
        <v>5</v>
      </c>
      <c r="D855" s="5" t="inlineStr">
        <is>
          <t>VDU</t>
        </is>
      </c>
      <c r="E855" s="5" t="inlineStr">
        <is>
          <t>VDU</t>
        </is>
      </c>
      <c r="F855" s="6" t="n">
        <v>102.3</v>
      </c>
      <c r="G855" s="7" t="n">
        <v>0.708</v>
      </c>
      <c r="H855" s="8">
        <f>IF($G855&lt;&gt;"",$G855,SUMIFS(Assumptions!$K$4:$K$8,Assumptions!$J$4:$J$8,$C855))</f>
        <v/>
      </c>
      <c r="I855" s="7" t="n"/>
      <c r="J855" s="9">
        <f>IF($I855&lt;&gt;"",$I855,SUMIFS(Assumptions!$P$4:$P$93,Assumptions!$M$4:$M$93,$C855,Assumptions!$N$4:$N$93,$E855,Assumptions!$O$4:$O$93,"LVN"))</f>
        <v/>
      </c>
      <c r="K855" s="7" t="n"/>
      <c r="L855" s="9">
        <f>IF($K855&lt;&gt;"",$K855,SUMIFS(Assumptions!$P$4:$P$93,Assumptions!$M$4:$M$93,$C855,Assumptions!$N$4:$N$93,$E855,Assumptions!$O$4:$O$93,"HVN"))</f>
        <v/>
      </c>
      <c r="M855" s="9">
        <f>J855+L855</f>
        <v/>
      </c>
      <c r="N855" s="10">
        <f>$F855*$H855*$M855</f>
        <v/>
      </c>
    </row>
    <row r="856">
      <c r="A856" s="4" t="inlineStr">
        <is>
          <t>UNIT</t>
        </is>
      </c>
      <c r="B856" s="5" t="inlineStr">
        <is>
          <t>PBF_TORRANCE</t>
        </is>
      </c>
      <c r="C856" s="5" t="n">
        <v>5</v>
      </c>
      <c r="D856" s="5" t="inlineStr">
        <is>
          <t>FCC</t>
        </is>
      </c>
      <c r="E856" s="5" t="inlineStr">
        <is>
          <t>FCC</t>
        </is>
      </c>
      <c r="F856" s="6" t="n">
        <v>90</v>
      </c>
      <c r="G856" s="7" t="n">
        <v>0.407</v>
      </c>
      <c r="H856" s="8">
        <f>IF($G856&lt;&gt;"",$G856,SUMIFS(Assumptions!$K$4:$K$8,Assumptions!$J$4:$J$8,$C856))</f>
        <v/>
      </c>
      <c r="I856" s="7" t="n"/>
      <c r="J856" s="9">
        <f>IF($I856&lt;&gt;"",$I856,SUMIFS(Assumptions!$P$4:$P$93,Assumptions!$M$4:$M$93,$C856,Assumptions!$N$4:$N$93,$E856,Assumptions!$O$4:$O$93,"LVN"))</f>
        <v/>
      </c>
      <c r="K856" s="7" t="n"/>
      <c r="L856" s="9">
        <f>IF($K856&lt;&gt;"",$K856,SUMIFS(Assumptions!$P$4:$P$93,Assumptions!$M$4:$M$93,$C856,Assumptions!$N$4:$N$93,$E856,Assumptions!$O$4:$O$93,"HVN"))</f>
        <v/>
      </c>
      <c r="M856" s="9">
        <f>J856+L856</f>
        <v/>
      </c>
      <c r="N856" s="10">
        <f>$F856*$H856*$M856</f>
        <v/>
      </c>
    </row>
    <row r="857">
      <c r="A857" s="4" t="inlineStr">
        <is>
          <t>UNIT</t>
        </is>
      </c>
      <c r="B857" s="5" t="inlineStr">
        <is>
          <t>PBF_TORRANCE</t>
        </is>
      </c>
      <c r="C857" s="5" t="n">
        <v>5</v>
      </c>
      <c r="D857" s="5" t="inlineStr">
        <is>
          <t>DHCU</t>
        </is>
      </c>
      <c r="E857" s="5" t="inlineStr">
        <is>
          <t>HYDROCRACKER</t>
        </is>
      </c>
      <c r="F857" s="6" t="n">
        <v>28.3</v>
      </c>
      <c r="G857" s="7" t="n">
        <v>0.978</v>
      </c>
      <c r="H857" s="8">
        <f>IF($G857&lt;&gt;"",$G857,SUMIFS(Assumptions!$K$4:$K$8,Assumptions!$J$4:$J$8,$C857))</f>
        <v/>
      </c>
      <c r="I857" s="7" t="n"/>
      <c r="J857" s="9">
        <f>IF($I857&lt;&gt;"",$I857,SUMIFS(Assumptions!$P$4:$P$93,Assumptions!$M$4:$M$93,$C857,Assumptions!$N$4:$N$93,$E857,Assumptions!$O$4:$O$93,"LVN"))</f>
        <v/>
      </c>
      <c r="K857" s="7" t="n"/>
      <c r="L857" s="9">
        <f>IF($K857&lt;&gt;"",$K857,SUMIFS(Assumptions!$P$4:$P$93,Assumptions!$M$4:$M$93,$C857,Assumptions!$N$4:$N$93,$E857,Assumptions!$O$4:$O$93,"HVN"))</f>
        <v/>
      </c>
      <c r="M857" s="9">
        <f>J857+L857</f>
        <v/>
      </c>
      <c r="N857" s="10">
        <f>$F857*$H857*$M857</f>
        <v/>
      </c>
    </row>
    <row r="858">
      <c r="A858" s="4" t="inlineStr">
        <is>
          <t>UNIT</t>
        </is>
      </c>
      <c r="B858" s="5" t="inlineStr">
        <is>
          <t>PBF_TORRANCE</t>
        </is>
      </c>
      <c r="C858" s="5" t="n">
        <v>5</v>
      </c>
      <c r="D858" s="5" t="inlineStr">
        <is>
          <t>COKER</t>
        </is>
      </c>
      <c r="E858" s="5" t="inlineStr">
        <is>
          <t>COKER</t>
        </is>
      </c>
      <c r="F858" s="6" t="n">
        <v>62</v>
      </c>
      <c r="G858" s="7" t="n">
        <v>0.521</v>
      </c>
      <c r="H858" s="8">
        <f>IF($G858&lt;&gt;"",$G858,SUMIFS(Assumptions!$K$4:$K$8,Assumptions!$J$4:$J$8,$C858))</f>
        <v/>
      </c>
      <c r="I858" s="7" t="n"/>
      <c r="J858" s="9">
        <f>IF($I858&lt;&gt;"",$I858,SUMIFS(Assumptions!$P$4:$P$93,Assumptions!$M$4:$M$93,$C858,Assumptions!$N$4:$N$93,$E858,Assumptions!$O$4:$O$93,"LVN"))</f>
        <v/>
      </c>
      <c r="K858" s="7" t="n"/>
      <c r="L858" s="9">
        <f>IF($K858&lt;&gt;"",$K858,SUMIFS(Assumptions!$P$4:$P$93,Assumptions!$M$4:$M$93,$C858,Assumptions!$N$4:$N$93,$E858,Assumptions!$O$4:$O$93,"HVN"))</f>
        <v/>
      </c>
      <c r="M858" s="9">
        <f>J858+L858</f>
        <v/>
      </c>
      <c r="N858" s="10">
        <f>$F858*$H858*$M858</f>
        <v/>
      </c>
    </row>
    <row r="859">
      <c r="A859" s="4" t="inlineStr">
        <is>
          <t>UNIT</t>
        </is>
      </c>
      <c r="B859" s="5" t="inlineStr">
        <is>
          <t>PBF_TORRANCE</t>
        </is>
      </c>
      <c r="C859" s="5" t="n">
        <v>5</v>
      </c>
      <c r="D859" s="5" t="inlineStr">
        <is>
          <t>REF</t>
        </is>
      </c>
      <c r="E859" s="5" t="inlineStr">
        <is>
          <t>REFORMER</t>
        </is>
      </c>
      <c r="F859" s="6" t="n">
        <v>20</v>
      </c>
      <c r="G859" s="7" t="n">
        <v>0.99</v>
      </c>
      <c r="H859" s="8">
        <f>IF($G859&lt;&gt;"",$G859,SUMIFS(Assumptions!$K$4:$K$8,Assumptions!$J$4:$J$8,$C859))</f>
        <v/>
      </c>
      <c r="I859" s="7" t="n"/>
      <c r="J859" s="9">
        <f>IF($I859&lt;&gt;"",$I859,SUMIFS(Assumptions!$P$4:$P$93,Assumptions!$M$4:$M$93,$C859,Assumptions!$N$4:$N$93,$E859,Assumptions!$O$4:$O$93,"LVN"))</f>
        <v/>
      </c>
      <c r="K859" s="7" t="n"/>
      <c r="L859" s="9">
        <f>IF($K859&lt;&gt;"",$K859,SUMIFS(Assumptions!$P$4:$P$93,Assumptions!$M$4:$M$93,$C859,Assumptions!$N$4:$N$93,$E859,Assumptions!$O$4:$O$93,"HVN"))</f>
        <v/>
      </c>
      <c r="M859" s="9">
        <f>J859+L859</f>
        <v/>
      </c>
      <c r="N859" s="10">
        <f>$F859*$H859*$M859</f>
        <v/>
      </c>
    </row>
    <row r="860">
      <c r="A860" s="4" t="inlineStr">
        <is>
          <t>UNIT</t>
        </is>
      </c>
      <c r="B860" s="5" t="inlineStr">
        <is>
          <t>PBF_TORRANCE</t>
        </is>
      </c>
      <c r="C860" s="5" t="n">
        <v>5</v>
      </c>
      <c r="D860" s="5" t="inlineStr">
        <is>
          <t>ALKY</t>
        </is>
      </c>
      <c r="E860" s="5" t="inlineStr">
        <is>
          <t>ALKY</t>
        </is>
      </c>
      <c r="F860" s="6" t="n">
        <v>30</v>
      </c>
      <c r="G860" s="7" t="n">
        <v>0.39</v>
      </c>
      <c r="H860" s="8">
        <f>IF($G860&lt;&gt;"",$G860,SUMIFS(Assumptions!$K$4:$K$8,Assumptions!$J$4:$J$8,$C860))</f>
        <v/>
      </c>
      <c r="I860" s="7" t="n"/>
      <c r="J860" s="9">
        <f>IF($I860&lt;&gt;"",$I860,SUMIFS(Assumptions!$P$4:$P$93,Assumptions!$M$4:$M$93,$C860,Assumptions!$N$4:$N$93,$E860,Assumptions!$O$4:$O$93,"LVN"))</f>
        <v/>
      </c>
      <c r="K860" s="7" t="n"/>
      <c r="L860" s="9">
        <f>IF($K860&lt;&gt;"",$K860,SUMIFS(Assumptions!$P$4:$P$93,Assumptions!$M$4:$M$93,$C860,Assumptions!$N$4:$N$93,$E860,Assumptions!$O$4:$O$93,"HVN"))</f>
        <v/>
      </c>
      <c r="M860" s="9">
        <f>J860+L860</f>
        <v/>
      </c>
      <c r="N860" s="10">
        <f>$F860*$H860*$M860</f>
        <v/>
      </c>
    </row>
    <row r="861">
      <c r="A861" s="11" t="inlineStr">
        <is>
          <t>TOTAL</t>
        </is>
      </c>
      <c r="B861" s="12" t="inlineStr">
        <is>
          <t>PBF_TORRANCE</t>
        </is>
      </c>
      <c r="C861" s="12" t="n">
        <v>5</v>
      </c>
      <c r="D861" s="12" t="inlineStr">
        <is>
          <t>NET NAPHTHA</t>
        </is>
      </c>
      <c r="N861" s="13">
        <f>SUM(N854:N860)</f>
        <v/>
      </c>
    </row>
    <row r="863">
      <c r="A863" s="1" t="inlineStr">
        <is>
          <t xml:space="preserve">  PBF Energy Company LLC Martinez  [PBF_MARTINEZ]   —   PBF Energy Company LLC   —   PADD 5   —   crude 158 kbd</t>
        </is>
      </c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</row>
    <row r="864">
      <c r="A864" s="4" t="inlineStr">
        <is>
          <t>UNIT</t>
        </is>
      </c>
      <c r="B864" s="5" t="inlineStr">
        <is>
          <t>PBF_MARTINEZ</t>
        </is>
      </c>
      <c r="C864" s="5" t="n">
        <v>5</v>
      </c>
      <c r="D864" s="5" t="inlineStr">
        <is>
          <t>CDU</t>
        </is>
      </c>
      <c r="E864" s="5" t="inlineStr">
        <is>
          <t>CDU</t>
        </is>
      </c>
      <c r="F864" s="6" t="n">
        <v>157</v>
      </c>
      <c r="G864" s="7" t="n">
        <v>0.78</v>
      </c>
      <c r="H864" s="8">
        <f>IF($G864&lt;&gt;"",$G864,SUMIFS(Assumptions!$K$4:$K$8,Assumptions!$J$4:$J$8,$C864))</f>
        <v/>
      </c>
      <c r="I864" s="7" t="n"/>
      <c r="J864" s="9">
        <f>IF($I864&lt;&gt;"",$I864,SUMIFS(Assumptions!$P$4:$P$93,Assumptions!$M$4:$M$93,$C864,Assumptions!$N$4:$N$93,$E864,Assumptions!$O$4:$O$93,"LVN"))</f>
        <v/>
      </c>
      <c r="K864" s="7" t="n"/>
      <c r="L864" s="9">
        <f>IF($K864&lt;&gt;"",$K864,SUMIFS(Assumptions!$P$4:$P$93,Assumptions!$M$4:$M$93,$C864,Assumptions!$N$4:$N$93,$E864,Assumptions!$O$4:$O$93,"HVN"))</f>
        <v/>
      </c>
      <c r="M864" s="9">
        <f>J864+L864</f>
        <v/>
      </c>
      <c r="N864" s="10">
        <f>$F864*$H864*$M864</f>
        <v/>
      </c>
    </row>
    <row r="865">
      <c r="A865" s="4" t="inlineStr">
        <is>
          <t>UNIT</t>
        </is>
      </c>
      <c r="B865" s="5" t="inlineStr">
        <is>
          <t>PBF_MARTINEZ</t>
        </is>
      </c>
      <c r="C865" s="5" t="n">
        <v>5</v>
      </c>
      <c r="D865" s="5" t="inlineStr">
        <is>
          <t>VDU</t>
        </is>
      </c>
      <c r="E865" s="5" t="inlineStr">
        <is>
          <t>VDU</t>
        </is>
      </c>
      <c r="F865" s="6" t="n">
        <v>101</v>
      </c>
      <c r="G865" s="7" t="n">
        <v>0.543</v>
      </c>
      <c r="H865" s="8">
        <f>IF($G865&lt;&gt;"",$G865,SUMIFS(Assumptions!$K$4:$K$8,Assumptions!$J$4:$J$8,$C865))</f>
        <v/>
      </c>
      <c r="I865" s="7" t="n"/>
      <c r="J865" s="9">
        <f>IF($I865&lt;&gt;"",$I865,SUMIFS(Assumptions!$P$4:$P$93,Assumptions!$M$4:$M$93,$C865,Assumptions!$N$4:$N$93,$E865,Assumptions!$O$4:$O$93,"LVN"))</f>
        <v/>
      </c>
      <c r="K865" s="7" t="n"/>
      <c r="L865" s="9">
        <f>IF($K865&lt;&gt;"",$K865,SUMIFS(Assumptions!$P$4:$P$93,Assumptions!$M$4:$M$93,$C865,Assumptions!$N$4:$N$93,$E865,Assumptions!$O$4:$O$93,"HVN"))</f>
        <v/>
      </c>
      <c r="M865" s="9">
        <f>J865+L865</f>
        <v/>
      </c>
      <c r="N865" s="10">
        <f>$F865*$H865*$M865</f>
        <v/>
      </c>
    </row>
    <row r="866">
      <c r="A866" s="4" t="inlineStr">
        <is>
          <t>UNIT</t>
        </is>
      </c>
      <c r="B866" s="5" t="inlineStr">
        <is>
          <t>PBF_MARTINEZ</t>
        </is>
      </c>
      <c r="C866" s="5" t="n">
        <v>5</v>
      </c>
      <c r="D866" s="5" t="inlineStr">
        <is>
          <t>FCC</t>
        </is>
      </c>
      <c r="E866" s="5" t="inlineStr">
        <is>
          <t>FCC</t>
        </is>
      </c>
      <c r="F866" s="6" t="n">
        <v>72</v>
      </c>
      <c r="G866" s="7" t="n">
        <v>0.776</v>
      </c>
      <c r="H866" s="8">
        <f>IF($G866&lt;&gt;"",$G866,SUMIFS(Assumptions!$K$4:$K$8,Assumptions!$J$4:$J$8,$C866))</f>
        <v/>
      </c>
      <c r="I866" s="7" t="n"/>
      <c r="J866" s="9">
        <f>IF($I866&lt;&gt;"",$I866,SUMIFS(Assumptions!$P$4:$P$93,Assumptions!$M$4:$M$93,$C866,Assumptions!$N$4:$N$93,$E866,Assumptions!$O$4:$O$93,"LVN"))</f>
        <v/>
      </c>
      <c r="K866" s="7" t="n"/>
      <c r="L866" s="9">
        <f>IF($K866&lt;&gt;"",$K866,SUMIFS(Assumptions!$P$4:$P$93,Assumptions!$M$4:$M$93,$C866,Assumptions!$N$4:$N$93,$E866,Assumptions!$O$4:$O$93,"HVN"))</f>
        <v/>
      </c>
      <c r="M866" s="9">
        <f>J866+L866</f>
        <v/>
      </c>
      <c r="N866" s="10">
        <f>$F866*$H866*$M866</f>
        <v/>
      </c>
    </row>
    <row r="867">
      <c r="A867" s="4" t="inlineStr">
        <is>
          <t>UNIT</t>
        </is>
      </c>
      <c r="B867" s="5" t="inlineStr">
        <is>
          <t>PBF_MARTINEZ</t>
        </is>
      </c>
      <c r="C867" s="5" t="n">
        <v>5</v>
      </c>
      <c r="D867" s="5" t="inlineStr">
        <is>
          <t>DHCU</t>
        </is>
      </c>
      <c r="E867" s="5" t="inlineStr">
        <is>
          <t>HYDROCRACKER</t>
        </is>
      </c>
      <c r="F867" s="6" t="n">
        <v>42.9</v>
      </c>
      <c r="G867" s="7" t="n">
        <v>0.604</v>
      </c>
      <c r="H867" s="8">
        <f>IF($G867&lt;&gt;"",$G867,SUMIFS(Assumptions!$K$4:$K$8,Assumptions!$J$4:$J$8,$C867))</f>
        <v/>
      </c>
      <c r="I867" s="7" t="n"/>
      <c r="J867" s="9">
        <f>IF($I867&lt;&gt;"",$I867,SUMIFS(Assumptions!$P$4:$P$93,Assumptions!$M$4:$M$93,$C867,Assumptions!$N$4:$N$93,$E867,Assumptions!$O$4:$O$93,"LVN"))</f>
        <v/>
      </c>
      <c r="K867" s="7" t="n"/>
      <c r="L867" s="9">
        <f>IF($K867&lt;&gt;"",$K867,SUMIFS(Assumptions!$P$4:$P$93,Assumptions!$M$4:$M$93,$C867,Assumptions!$N$4:$N$93,$E867,Assumptions!$O$4:$O$93,"HVN"))</f>
        <v/>
      </c>
      <c r="M867" s="9">
        <f>J867+L867</f>
        <v/>
      </c>
      <c r="N867" s="10">
        <f>$F867*$H867*$M867</f>
        <v/>
      </c>
    </row>
    <row r="868">
      <c r="A868" s="4" t="inlineStr">
        <is>
          <t>UNIT</t>
        </is>
      </c>
      <c r="B868" s="5" t="inlineStr">
        <is>
          <t>PBF_MARTINEZ</t>
        </is>
      </c>
      <c r="C868" s="5" t="n">
        <v>5</v>
      </c>
      <c r="D868" s="5" t="inlineStr">
        <is>
          <t>COKER</t>
        </is>
      </c>
      <c r="E868" s="5" t="inlineStr">
        <is>
          <t>COKER</t>
        </is>
      </c>
      <c r="F868" s="6" t="n">
        <v>26.8</v>
      </c>
      <c r="G868" s="7" t="n">
        <v>0.597</v>
      </c>
      <c r="H868" s="8">
        <f>IF($G868&lt;&gt;"",$G868,SUMIFS(Assumptions!$K$4:$K$8,Assumptions!$J$4:$J$8,$C868))</f>
        <v/>
      </c>
      <c r="I868" s="7" t="n"/>
      <c r="J868" s="9">
        <f>IF($I868&lt;&gt;"",$I868,SUMIFS(Assumptions!$P$4:$P$93,Assumptions!$M$4:$M$93,$C868,Assumptions!$N$4:$N$93,$E868,Assumptions!$O$4:$O$93,"LVN"))</f>
        <v/>
      </c>
      <c r="K868" s="7" t="n"/>
      <c r="L868" s="9">
        <f>IF($K868&lt;&gt;"",$K868,SUMIFS(Assumptions!$P$4:$P$93,Assumptions!$M$4:$M$93,$C868,Assumptions!$N$4:$N$93,$E868,Assumptions!$O$4:$O$93,"HVN"))</f>
        <v/>
      </c>
      <c r="M868" s="9">
        <f>J868+L868</f>
        <v/>
      </c>
      <c r="N868" s="10">
        <f>$F868*$H868*$M868</f>
        <v/>
      </c>
    </row>
    <row r="869">
      <c r="A869" s="4" t="inlineStr">
        <is>
          <t>UNIT</t>
        </is>
      </c>
      <c r="B869" s="5" t="inlineStr">
        <is>
          <t>PBF_MARTINEZ</t>
        </is>
      </c>
      <c r="C869" s="5" t="n">
        <v>5</v>
      </c>
      <c r="D869" s="5" t="inlineStr">
        <is>
          <t>FCOKER</t>
        </is>
      </c>
      <c r="E869" s="5" t="inlineStr">
        <is>
          <t>COKER</t>
        </is>
      </c>
      <c r="F869" s="6" t="n">
        <v>22.5</v>
      </c>
      <c r="G869" s="7" t="n">
        <v>0.257</v>
      </c>
      <c r="H869" s="8">
        <f>IF($G869&lt;&gt;"",$G869,SUMIFS(Assumptions!$K$4:$K$8,Assumptions!$J$4:$J$8,$C869))</f>
        <v/>
      </c>
      <c r="I869" s="7" t="n"/>
      <c r="J869" s="9">
        <f>IF($I869&lt;&gt;"",$I869,SUMIFS(Assumptions!$P$4:$P$93,Assumptions!$M$4:$M$93,$C869,Assumptions!$N$4:$N$93,$E869,Assumptions!$O$4:$O$93,"LVN"))</f>
        <v/>
      </c>
      <c r="K869" s="7" t="n"/>
      <c r="L869" s="9">
        <f>IF($K869&lt;&gt;"",$K869,SUMIFS(Assumptions!$P$4:$P$93,Assumptions!$M$4:$M$93,$C869,Assumptions!$N$4:$N$93,$E869,Assumptions!$O$4:$O$93,"HVN"))</f>
        <v/>
      </c>
      <c r="M869" s="9">
        <f>J869+L869</f>
        <v/>
      </c>
      <c r="N869" s="10">
        <f>$F869*$H869*$M869</f>
        <v/>
      </c>
    </row>
    <row r="870">
      <c r="A870" s="4" t="inlineStr">
        <is>
          <t>UNIT</t>
        </is>
      </c>
      <c r="B870" s="5" t="inlineStr">
        <is>
          <t>PBF_MARTINEZ</t>
        </is>
      </c>
      <c r="C870" s="5" t="n">
        <v>5</v>
      </c>
      <c r="D870" s="5" t="inlineStr">
        <is>
          <t>CCR</t>
        </is>
      </c>
      <c r="E870" s="5" t="inlineStr">
        <is>
          <t>REFORMER</t>
        </is>
      </c>
      <c r="F870" s="6" t="n">
        <v>31</v>
      </c>
      <c r="G870" s="7" t="n">
        <v>0.995</v>
      </c>
      <c r="H870" s="8">
        <f>IF($G870&lt;&gt;"",$G870,SUMIFS(Assumptions!$K$4:$K$8,Assumptions!$J$4:$J$8,$C870))</f>
        <v/>
      </c>
      <c r="I870" s="7" t="n"/>
      <c r="J870" s="9">
        <f>IF($I870&lt;&gt;"",$I870,SUMIFS(Assumptions!$P$4:$P$93,Assumptions!$M$4:$M$93,$C870,Assumptions!$N$4:$N$93,$E870,Assumptions!$O$4:$O$93,"LVN"))</f>
        <v/>
      </c>
      <c r="K870" s="7" t="n"/>
      <c r="L870" s="9">
        <f>IF($K870&lt;&gt;"",$K870,SUMIFS(Assumptions!$P$4:$P$93,Assumptions!$M$4:$M$93,$C870,Assumptions!$N$4:$N$93,$E870,Assumptions!$O$4:$O$93,"HVN"))</f>
        <v/>
      </c>
      <c r="M870" s="9">
        <f>J870+L870</f>
        <v/>
      </c>
      <c r="N870" s="10">
        <f>$F870*$H870*$M870</f>
        <v/>
      </c>
    </row>
    <row r="871">
      <c r="A871" s="4" t="inlineStr">
        <is>
          <t>UNIT</t>
        </is>
      </c>
      <c r="B871" s="5" t="inlineStr">
        <is>
          <t>PBF_MARTINEZ</t>
        </is>
      </c>
      <c r="C871" s="5" t="n">
        <v>5</v>
      </c>
      <c r="D871" s="5" t="inlineStr">
        <is>
          <t>ISOM</t>
        </is>
      </c>
      <c r="E871" s="5" t="inlineStr">
        <is>
          <t>ISOM</t>
        </is>
      </c>
      <c r="F871" s="6" t="n">
        <v>15</v>
      </c>
      <c r="G871" s="7" t="n">
        <v>0.495</v>
      </c>
      <c r="H871" s="8">
        <f>IF($G871&lt;&gt;"",$G871,SUMIFS(Assumptions!$K$4:$K$8,Assumptions!$J$4:$J$8,$C871))</f>
        <v/>
      </c>
      <c r="I871" s="7" t="n"/>
      <c r="J871" s="9">
        <f>IF($I871&lt;&gt;"",$I871,SUMIFS(Assumptions!$P$4:$P$93,Assumptions!$M$4:$M$93,$C871,Assumptions!$N$4:$N$93,$E871,Assumptions!$O$4:$O$93,"LVN"))</f>
        <v/>
      </c>
      <c r="K871" s="7" t="n"/>
      <c r="L871" s="9">
        <f>IF($K871&lt;&gt;"",$K871,SUMIFS(Assumptions!$P$4:$P$93,Assumptions!$M$4:$M$93,$C871,Assumptions!$N$4:$N$93,$E871,Assumptions!$O$4:$O$93,"HVN"))</f>
        <v/>
      </c>
      <c r="M871" s="9">
        <f>J871+L871</f>
        <v/>
      </c>
      <c r="N871" s="10">
        <f>$F871*$H871*$M871</f>
        <v/>
      </c>
    </row>
    <row r="872">
      <c r="A872" s="4" t="inlineStr">
        <is>
          <t>UNIT</t>
        </is>
      </c>
      <c r="B872" s="5" t="inlineStr">
        <is>
          <t>PBF_MARTINEZ</t>
        </is>
      </c>
      <c r="C872" s="5" t="n">
        <v>5</v>
      </c>
      <c r="D872" s="5" t="inlineStr">
        <is>
          <t>ALKY</t>
        </is>
      </c>
      <c r="E872" s="5" t="inlineStr">
        <is>
          <t>ALKY</t>
        </is>
      </c>
      <c r="F872" s="6" t="n">
        <v>12.8</v>
      </c>
      <c r="G872" s="7" t="n">
        <v>1.1</v>
      </c>
      <c r="H872" s="8">
        <f>IF($G872&lt;&gt;"",$G872,SUMIFS(Assumptions!$K$4:$K$8,Assumptions!$J$4:$J$8,$C872))</f>
        <v/>
      </c>
      <c r="I872" s="7" t="n"/>
      <c r="J872" s="9">
        <f>IF($I872&lt;&gt;"",$I872,SUMIFS(Assumptions!$P$4:$P$93,Assumptions!$M$4:$M$93,$C872,Assumptions!$N$4:$N$93,$E872,Assumptions!$O$4:$O$93,"LVN"))</f>
        <v/>
      </c>
      <c r="K872" s="7" t="n"/>
      <c r="L872" s="9">
        <f>IF($K872&lt;&gt;"",$K872,SUMIFS(Assumptions!$P$4:$P$93,Assumptions!$M$4:$M$93,$C872,Assumptions!$N$4:$N$93,$E872,Assumptions!$O$4:$O$93,"HVN"))</f>
        <v/>
      </c>
      <c r="M872" s="9">
        <f>J872+L872</f>
        <v/>
      </c>
      <c r="N872" s="10">
        <f>$F872*$H872*$M872</f>
        <v/>
      </c>
    </row>
    <row r="873">
      <c r="A873" s="11" t="inlineStr">
        <is>
          <t>TOTAL</t>
        </is>
      </c>
      <c r="B873" s="12" t="inlineStr">
        <is>
          <t>PBF_MARTINEZ</t>
        </is>
      </c>
      <c r="C873" s="12" t="n">
        <v>5</v>
      </c>
      <c r="D873" s="12" t="inlineStr">
        <is>
          <t>NET NAPHTHA</t>
        </is>
      </c>
      <c r="N873" s="13">
        <f>SUM(N864:N872)</f>
        <v/>
      </c>
    </row>
    <row r="875">
      <c r="A875" s="1" t="inlineStr">
        <is>
          <t xml:space="preserve">  HF Sinclair Anacortes  [HF_ANACORTES]   —   HF Sinclair   —   PADD 5   —   crude 149 kbd</t>
        </is>
      </c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</row>
    <row r="876">
      <c r="A876" s="4" t="inlineStr">
        <is>
          <t>UNIT</t>
        </is>
      </c>
      <c r="B876" s="5" t="inlineStr">
        <is>
          <t>HF_ANACORTES</t>
        </is>
      </c>
      <c r="C876" s="5" t="n">
        <v>5</v>
      </c>
      <c r="D876" s="5" t="inlineStr">
        <is>
          <t>CDU</t>
        </is>
      </c>
      <c r="E876" s="5" t="inlineStr">
        <is>
          <t>CDU</t>
        </is>
      </c>
      <c r="F876" s="6" t="n">
        <v>149</v>
      </c>
      <c r="G876" s="7" t="n">
        <v>0.65</v>
      </c>
      <c r="H876" s="8">
        <f>IF($G876&lt;&gt;"",$G876,SUMIFS(Assumptions!$K$4:$K$8,Assumptions!$J$4:$J$8,$C876))</f>
        <v/>
      </c>
      <c r="I876" s="7" t="n"/>
      <c r="J876" s="9">
        <f>IF($I876&lt;&gt;"",$I876,SUMIFS(Assumptions!$P$4:$P$93,Assumptions!$M$4:$M$93,$C876,Assumptions!$N$4:$N$93,$E876,Assumptions!$O$4:$O$93,"LVN"))</f>
        <v/>
      </c>
      <c r="K876" s="7" t="n"/>
      <c r="L876" s="9">
        <f>IF($K876&lt;&gt;"",$K876,SUMIFS(Assumptions!$P$4:$P$93,Assumptions!$M$4:$M$93,$C876,Assumptions!$N$4:$N$93,$E876,Assumptions!$O$4:$O$93,"HVN"))</f>
        <v/>
      </c>
      <c r="M876" s="9">
        <f>J876+L876</f>
        <v/>
      </c>
      <c r="N876" s="10">
        <f>$F876*$H876*$M876</f>
        <v/>
      </c>
    </row>
    <row r="877">
      <c r="A877" s="4" t="inlineStr">
        <is>
          <t>UNIT</t>
        </is>
      </c>
      <c r="B877" s="5" t="inlineStr">
        <is>
          <t>HF_ANACORTES</t>
        </is>
      </c>
      <c r="C877" s="5" t="n">
        <v>5</v>
      </c>
      <c r="D877" s="5" t="inlineStr">
        <is>
          <t>VDU</t>
        </is>
      </c>
      <c r="E877" s="5" t="inlineStr">
        <is>
          <t>VDU</t>
        </is>
      </c>
      <c r="F877" s="6" t="n">
        <v>65.8</v>
      </c>
      <c r="G877" s="7" t="n">
        <v>0.591</v>
      </c>
      <c r="H877" s="8">
        <f>IF($G877&lt;&gt;"",$G877,SUMIFS(Assumptions!$K$4:$K$8,Assumptions!$J$4:$J$8,$C877))</f>
        <v/>
      </c>
      <c r="I877" s="7" t="n"/>
      <c r="J877" s="9">
        <f>IF($I877&lt;&gt;"",$I877,SUMIFS(Assumptions!$P$4:$P$93,Assumptions!$M$4:$M$93,$C877,Assumptions!$N$4:$N$93,$E877,Assumptions!$O$4:$O$93,"LVN"))</f>
        <v/>
      </c>
      <c r="K877" s="7" t="n"/>
      <c r="L877" s="9">
        <f>IF($K877&lt;&gt;"",$K877,SUMIFS(Assumptions!$P$4:$P$93,Assumptions!$M$4:$M$93,$C877,Assumptions!$N$4:$N$93,$E877,Assumptions!$O$4:$O$93,"HVN"))</f>
        <v/>
      </c>
      <c r="M877" s="9">
        <f>J877+L877</f>
        <v/>
      </c>
      <c r="N877" s="10">
        <f>$F877*$H877*$M877</f>
        <v/>
      </c>
    </row>
    <row r="878">
      <c r="A878" s="4" t="inlineStr">
        <is>
          <t>UNIT</t>
        </is>
      </c>
      <c r="B878" s="5" t="inlineStr">
        <is>
          <t>HF_ANACORTES</t>
        </is>
      </c>
      <c r="C878" s="5" t="n">
        <v>5</v>
      </c>
      <c r="D878" s="5" t="inlineStr">
        <is>
          <t>FCC</t>
        </is>
      </c>
      <c r="E878" s="5" t="inlineStr">
        <is>
          <t>FCC</t>
        </is>
      </c>
      <c r="F878" s="6" t="n">
        <v>57.9</v>
      </c>
      <c r="G878" s="7" t="n">
        <v>0.513</v>
      </c>
      <c r="H878" s="8">
        <f>IF($G878&lt;&gt;"",$G878,SUMIFS(Assumptions!$K$4:$K$8,Assumptions!$J$4:$J$8,$C878))</f>
        <v/>
      </c>
      <c r="I878" s="7" t="n"/>
      <c r="J878" s="9">
        <f>IF($I878&lt;&gt;"",$I878,SUMIFS(Assumptions!$P$4:$P$93,Assumptions!$M$4:$M$93,$C878,Assumptions!$N$4:$N$93,$E878,Assumptions!$O$4:$O$93,"LVN"))</f>
        <v/>
      </c>
      <c r="K878" s="7" t="n"/>
      <c r="L878" s="9">
        <f>IF($K878&lt;&gt;"",$K878,SUMIFS(Assumptions!$P$4:$P$93,Assumptions!$M$4:$M$93,$C878,Assumptions!$N$4:$N$93,$E878,Assumptions!$O$4:$O$93,"HVN"))</f>
        <v/>
      </c>
      <c r="M878" s="9">
        <f>J878+L878</f>
        <v/>
      </c>
      <c r="N878" s="10">
        <f>$F878*$H878*$M878</f>
        <v/>
      </c>
    </row>
    <row r="879">
      <c r="A879" s="4" t="inlineStr">
        <is>
          <t>UNIT</t>
        </is>
      </c>
      <c r="B879" s="5" t="inlineStr">
        <is>
          <t>HF_ANACORTES</t>
        </is>
      </c>
      <c r="C879" s="5" t="n">
        <v>5</v>
      </c>
      <c r="D879" s="5" t="inlineStr">
        <is>
          <t>COKER</t>
        </is>
      </c>
      <c r="E879" s="5" t="inlineStr">
        <is>
          <t>COKER</t>
        </is>
      </c>
      <c r="F879" s="6" t="n">
        <v>25.3</v>
      </c>
      <c r="G879" s="7" t="n">
        <v>0.48</v>
      </c>
      <c r="H879" s="8">
        <f>IF($G879&lt;&gt;"",$G879,SUMIFS(Assumptions!$K$4:$K$8,Assumptions!$J$4:$J$8,$C879))</f>
        <v/>
      </c>
      <c r="I879" s="7" t="n"/>
      <c r="J879" s="9">
        <f>IF($I879&lt;&gt;"",$I879,SUMIFS(Assumptions!$P$4:$P$93,Assumptions!$M$4:$M$93,$C879,Assumptions!$N$4:$N$93,$E879,Assumptions!$O$4:$O$93,"LVN"))</f>
        <v/>
      </c>
      <c r="K879" s="7" t="n"/>
      <c r="L879" s="9">
        <f>IF($K879&lt;&gt;"",$K879,SUMIFS(Assumptions!$P$4:$P$93,Assumptions!$M$4:$M$93,$C879,Assumptions!$N$4:$N$93,$E879,Assumptions!$O$4:$O$93,"HVN"))</f>
        <v/>
      </c>
      <c r="M879" s="9">
        <f>J879+L879</f>
        <v/>
      </c>
      <c r="N879" s="10">
        <f>$F879*$H879*$M879</f>
        <v/>
      </c>
    </row>
    <row r="880">
      <c r="A880" s="4" t="inlineStr">
        <is>
          <t>UNIT</t>
        </is>
      </c>
      <c r="B880" s="5" t="inlineStr">
        <is>
          <t>HF_ANACORTES</t>
        </is>
      </c>
      <c r="C880" s="5" t="n">
        <v>5</v>
      </c>
      <c r="D880" s="5" t="inlineStr">
        <is>
          <t>REF</t>
        </is>
      </c>
      <c r="E880" s="5" t="inlineStr">
        <is>
          <t>REFORMER</t>
        </is>
      </c>
      <c r="F880" s="6" t="n">
        <v>21.7</v>
      </c>
      <c r="G880" s="7" t="n">
        <v>0.504</v>
      </c>
      <c r="H880" s="8">
        <f>IF($G880&lt;&gt;"",$G880,SUMIFS(Assumptions!$K$4:$K$8,Assumptions!$J$4:$J$8,$C880))</f>
        <v/>
      </c>
      <c r="I880" s="7" t="n"/>
      <c r="J880" s="9">
        <f>IF($I880&lt;&gt;"",$I880,SUMIFS(Assumptions!$P$4:$P$93,Assumptions!$M$4:$M$93,$C880,Assumptions!$N$4:$N$93,$E880,Assumptions!$O$4:$O$93,"LVN"))</f>
        <v/>
      </c>
      <c r="K880" s="7" t="n"/>
      <c r="L880" s="9">
        <f>IF($K880&lt;&gt;"",$K880,SUMIFS(Assumptions!$P$4:$P$93,Assumptions!$M$4:$M$93,$C880,Assumptions!$N$4:$N$93,$E880,Assumptions!$O$4:$O$93,"HVN"))</f>
        <v/>
      </c>
      <c r="M880" s="9">
        <f>J880+L880</f>
        <v/>
      </c>
      <c r="N880" s="10">
        <f>$F880*$H880*$M880</f>
        <v/>
      </c>
    </row>
    <row r="881">
      <c r="A881" s="4" t="inlineStr">
        <is>
          <t>UNIT</t>
        </is>
      </c>
      <c r="B881" s="5" t="inlineStr">
        <is>
          <t>HF_ANACORTES</t>
        </is>
      </c>
      <c r="C881" s="5" t="n">
        <v>5</v>
      </c>
      <c r="D881" s="5" t="inlineStr">
        <is>
          <t>ALKY</t>
        </is>
      </c>
      <c r="E881" s="5" t="inlineStr">
        <is>
          <t>ALKY</t>
        </is>
      </c>
      <c r="F881" s="6" t="n">
        <v>12.5</v>
      </c>
      <c r="G881" s="7" t="n">
        <v>0.675</v>
      </c>
      <c r="H881" s="8">
        <f>IF($G881&lt;&gt;"",$G881,SUMIFS(Assumptions!$K$4:$K$8,Assumptions!$J$4:$J$8,$C881))</f>
        <v/>
      </c>
      <c r="I881" s="7" t="n"/>
      <c r="J881" s="9">
        <f>IF($I881&lt;&gt;"",$I881,SUMIFS(Assumptions!$P$4:$P$93,Assumptions!$M$4:$M$93,$C881,Assumptions!$N$4:$N$93,$E881,Assumptions!$O$4:$O$93,"LVN"))</f>
        <v/>
      </c>
      <c r="K881" s="7" t="n"/>
      <c r="L881" s="9">
        <f>IF($K881&lt;&gt;"",$K881,SUMIFS(Assumptions!$P$4:$P$93,Assumptions!$M$4:$M$93,$C881,Assumptions!$N$4:$N$93,$E881,Assumptions!$O$4:$O$93,"HVN"))</f>
        <v/>
      </c>
      <c r="M881" s="9">
        <f>J881+L881</f>
        <v/>
      </c>
      <c r="N881" s="10">
        <f>$F881*$H881*$M881</f>
        <v/>
      </c>
    </row>
    <row r="882">
      <c r="A882" s="11" t="inlineStr">
        <is>
          <t>TOTAL</t>
        </is>
      </c>
      <c r="B882" s="12" t="inlineStr">
        <is>
          <t>HF_ANACORTES</t>
        </is>
      </c>
      <c r="C882" s="12" t="n">
        <v>5</v>
      </c>
      <c r="D882" s="12" t="inlineStr">
        <is>
          <t>NET NAPHTHA</t>
        </is>
      </c>
      <c r="N882" s="13">
        <f>SUM(N876:N881)</f>
        <v/>
      </c>
    </row>
    <row r="884">
      <c r="A884" s="1" t="inlineStr">
        <is>
          <t xml:space="preserve">  Marathon Petroleum Anacortes  [MARATHON_ANACORTES]   —   Marathon Petroleum   —   PADD 5   —   crude 122 kbd</t>
        </is>
      </c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</row>
    <row r="885">
      <c r="A885" s="4" t="inlineStr">
        <is>
          <t>UNIT</t>
        </is>
      </c>
      <c r="B885" s="5" t="inlineStr">
        <is>
          <t>MARATHON_ANACORTES</t>
        </is>
      </c>
      <c r="C885" s="5" t="n">
        <v>5</v>
      </c>
      <c r="D885" s="5" t="inlineStr">
        <is>
          <t>CDU</t>
        </is>
      </c>
      <c r="E885" s="5" t="inlineStr">
        <is>
          <t>CDU</t>
        </is>
      </c>
      <c r="F885" s="6" t="n">
        <v>125.26</v>
      </c>
      <c r="G885" s="7" t="n">
        <v>0.907</v>
      </c>
      <c r="H885" s="8">
        <f>IF($G885&lt;&gt;"",$G885,SUMIFS(Assumptions!$K$4:$K$8,Assumptions!$J$4:$J$8,$C885))</f>
        <v/>
      </c>
      <c r="I885" s="7" t="n"/>
      <c r="J885" s="9">
        <f>IF($I885&lt;&gt;"",$I885,SUMIFS(Assumptions!$P$4:$P$93,Assumptions!$M$4:$M$93,$C885,Assumptions!$N$4:$N$93,$E885,Assumptions!$O$4:$O$93,"LVN"))</f>
        <v/>
      </c>
      <c r="K885" s="7" t="n"/>
      <c r="L885" s="9">
        <f>IF($K885&lt;&gt;"",$K885,SUMIFS(Assumptions!$P$4:$P$93,Assumptions!$M$4:$M$93,$C885,Assumptions!$N$4:$N$93,$E885,Assumptions!$O$4:$O$93,"HVN"))</f>
        <v/>
      </c>
      <c r="M885" s="9">
        <f>J885+L885</f>
        <v/>
      </c>
      <c r="N885" s="10">
        <f>$F885*$H885*$M885</f>
        <v/>
      </c>
    </row>
    <row r="886">
      <c r="A886" s="4" t="inlineStr">
        <is>
          <t>UNIT</t>
        </is>
      </c>
      <c r="B886" s="5" t="inlineStr">
        <is>
          <t>MARATHON_ANACORTES</t>
        </is>
      </c>
      <c r="C886" s="5" t="n">
        <v>5</v>
      </c>
      <c r="D886" s="5" t="inlineStr">
        <is>
          <t>VDU</t>
        </is>
      </c>
      <c r="E886" s="5" t="inlineStr">
        <is>
          <t>VDU</t>
        </is>
      </c>
      <c r="F886" s="6" t="n">
        <v>47</v>
      </c>
      <c r="G886" s="7" t="n">
        <v>0.849</v>
      </c>
      <c r="H886" s="8">
        <f>IF($G886&lt;&gt;"",$G886,SUMIFS(Assumptions!$K$4:$K$8,Assumptions!$J$4:$J$8,$C886))</f>
        <v/>
      </c>
      <c r="I886" s="7" t="n"/>
      <c r="J886" s="9">
        <f>IF($I886&lt;&gt;"",$I886,SUMIFS(Assumptions!$P$4:$P$93,Assumptions!$M$4:$M$93,$C886,Assumptions!$N$4:$N$93,$E886,Assumptions!$O$4:$O$93,"LVN"))</f>
        <v/>
      </c>
      <c r="K886" s="7" t="n"/>
      <c r="L886" s="9">
        <f>IF($K886&lt;&gt;"",$K886,SUMIFS(Assumptions!$P$4:$P$93,Assumptions!$M$4:$M$93,$C886,Assumptions!$N$4:$N$93,$E886,Assumptions!$O$4:$O$93,"HVN"))</f>
        <v/>
      </c>
      <c r="M886" s="9">
        <f>J886+L886</f>
        <v/>
      </c>
      <c r="N886" s="10">
        <f>$F886*$H886*$M886</f>
        <v/>
      </c>
    </row>
    <row r="887">
      <c r="A887" s="4" t="inlineStr">
        <is>
          <t>UNIT</t>
        </is>
      </c>
      <c r="B887" s="5" t="inlineStr">
        <is>
          <t>MARATHON_ANACORTES</t>
        </is>
      </c>
      <c r="C887" s="5" t="n">
        <v>5</v>
      </c>
      <c r="D887" s="5" t="inlineStr">
        <is>
          <t>FCC</t>
        </is>
      </c>
      <c r="E887" s="5" t="inlineStr">
        <is>
          <t>FCC</t>
        </is>
      </c>
      <c r="F887" s="6" t="n">
        <v>51.5</v>
      </c>
      <c r="G887" s="7" t="n">
        <v>0.9330000000000001</v>
      </c>
      <c r="H887" s="8">
        <f>IF($G887&lt;&gt;"",$G887,SUMIFS(Assumptions!$K$4:$K$8,Assumptions!$J$4:$J$8,$C887))</f>
        <v/>
      </c>
      <c r="I887" s="7" t="n"/>
      <c r="J887" s="9">
        <f>IF($I887&lt;&gt;"",$I887,SUMIFS(Assumptions!$P$4:$P$93,Assumptions!$M$4:$M$93,$C887,Assumptions!$N$4:$N$93,$E887,Assumptions!$O$4:$O$93,"LVN"))</f>
        <v/>
      </c>
      <c r="K887" s="7" t="n"/>
      <c r="L887" s="9">
        <f>IF($K887&lt;&gt;"",$K887,SUMIFS(Assumptions!$P$4:$P$93,Assumptions!$M$4:$M$93,$C887,Assumptions!$N$4:$N$93,$E887,Assumptions!$O$4:$O$93,"HVN"))</f>
        <v/>
      </c>
      <c r="M887" s="9">
        <f>J887+L887</f>
        <v/>
      </c>
      <c r="N887" s="10">
        <f>$F887*$H887*$M887</f>
        <v/>
      </c>
    </row>
    <row r="888">
      <c r="A888" s="4" t="inlineStr">
        <is>
          <t>UNIT</t>
        </is>
      </c>
      <c r="B888" s="5" t="inlineStr">
        <is>
          <t>MARATHON_ANACORTES</t>
        </is>
      </c>
      <c r="C888" s="5" t="n">
        <v>5</v>
      </c>
      <c r="D888" s="5" t="inlineStr">
        <is>
          <t>CCR</t>
        </is>
      </c>
      <c r="E888" s="5" t="inlineStr">
        <is>
          <t>REFORMER</t>
        </is>
      </c>
      <c r="F888" s="6" t="n">
        <v>28.5</v>
      </c>
      <c r="G888" s="7" t="n">
        <v>0.537</v>
      </c>
      <c r="H888" s="8">
        <f>IF($G888&lt;&gt;"",$G888,SUMIFS(Assumptions!$K$4:$K$8,Assumptions!$J$4:$J$8,$C888))</f>
        <v/>
      </c>
      <c r="I888" s="7" t="n"/>
      <c r="J888" s="9">
        <f>IF($I888&lt;&gt;"",$I888,SUMIFS(Assumptions!$P$4:$P$93,Assumptions!$M$4:$M$93,$C888,Assumptions!$N$4:$N$93,$E888,Assumptions!$O$4:$O$93,"LVN"))</f>
        <v/>
      </c>
      <c r="K888" s="7" t="n"/>
      <c r="L888" s="9">
        <f>IF($K888&lt;&gt;"",$K888,SUMIFS(Assumptions!$P$4:$P$93,Assumptions!$M$4:$M$93,$C888,Assumptions!$N$4:$N$93,$E888,Assumptions!$O$4:$O$93,"HVN"))</f>
        <v/>
      </c>
      <c r="M888" s="9">
        <f>J888+L888</f>
        <v/>
      </c>
      <c r="N888" s="10">
        <f>$F888*$H888*$M888</f>
        <v/>
      </c>
    </row>
    <row r="889">
      <c r="A889" s="4" t="inlineStr">
        <is>
          <t>UNIT</t>
        </is>
      </c>
      <c r="B889" s="5" t="inlineStr">
        <is>
          <t>MARATHON_ANACORTES</t>
        </is>
      </c>
      <c r="C889" s="5" t="n">
        <v>5</v>
      </c>
      <c r="D889" s="5" t="inlineStr">
        <is>
          <t>ALKY</t>
        </is>
      </c>
      <c r="E889" s="5" t="inlineStr">
        <is>
          <t>ALKY</t>
        </is>
      </c>
      <c r="F889" s="6" t="n">
        <v>17</v>
      </c>
      <c r="G889" s="7" t="n">
        <v>0.748</v>
      </c>
      <c r="H889" s="8">
        <f>IF($G889&lt;&gt;"",$G889,SUMIFS(Assumptions!$K$4:$K$8,Assumptions!$J$4:$J$8,$C889))</f>
        <v/>
      </c>
      <c r="I889" s="7" t="n"/>
      <c r="J889" s="9">
        <f>IF($I889&lt;&gt;"",$I889,SUMIFS(Assumptions!$P$4:$P$93,Assumptions!$M$4:$M$93,$C889,Assumptions!$N$4:$N$93,$E889,Assumptions!$O$4:$O$93,"LVN"))</f>
        <v/>
      </c>
      <c r="K889" s="7" t="n"/>
      <c r="L889" s="9">
        <f>IF($K889&lt;&gt;"",$K889,SUMIFS(Assumptions!$P$4:$P$93,Assumptions!$M$4:$M$93,$C889,Assumptions!$N$4:$N$93,$E889,Assumptions!$O$4:$O$93,"HVN"))</f>
        <v/>
      </c>
      <c r="M889" s="9">
        <f>J889+L889</f>
        <v/>
      </c>
      <c r="N889" s="10">
        <f>$F889*$H889*$M889</f>
        <v/>
      </c>
    </row>
    <row r="890">
      <c r="A890" s="11" t="inlineStr">
        <is>
          <t>TOTAL</t>
        </is>
      </c>
      <c r="B890" s="12" t="inlineStr">
        <is>
          <t>MARATHON_ANACORTES</t>
        </is>
      </c>
      <c r="C890" s="12" t="n">
        <v>5</v>
      </c>
      <c r="D890" s="12" t="inlineStr">
        <is>
          <t>NET NAPHTHA</t>
        </is>
      </c>
      <c r="N890" s="13">
        <f>SUM(N885:N889)</f>
        <v/>
      </c>
    </row>
    <row r="892">
      <c r="A892" s="1" t="inlineStr">
        <is>
          <t xml:space="preserve">  Phillips 66 Co. Ferndale  [PHILLIPS_FERNDALE]   —   Phillips 66 Co.   —   PADD 5   —   crude 105 kbd</t>
        </is>
      </c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</row>
    <row r="893">
      <c r="A893" s="4" t="inlineStr">
        <is>
          <t>UNIT</t>
        </is>
      </c>
      <c r="B893" s="5" t="inlineStr">
        <is>
          <t>PHILLIPS_FERNDALE</t>
        </is>
      </c>
      <c r="C893" s="5" t="n">
        <v>5</v>
      </c>
      <c r="D893" s="5" t="inlineStr">
        <is>
          <t>CDU</t>
        </is>
      </c>
      <c r="E893" s="5" t="inlineStr">
        <is>
          <t>CDU</t>
        </is>
      </c>
      <c r="F893" s="6" t="n">
        <v>110.5</v>
      </c>
      <c r="G893" s="7" t="n">
        <v>0.884</v>
      </c>
      <c r="H893" s="8">
        <f>IF($G893&lt;&gt;"",$G893,SUMIFS(Assumptions!$K$4:$K$8,Assumptions!$J$4:$J$8,$C893))</f>
        <v/>
      </c>
      <c r="I893" s="7" t="n"/>
      <c r="J893" s="9">
        <f>IF($I893&lt;&gt;"",$I893,SUMIFS(Assumptions!$P$4:$P$93,Assumptions!$M$4:$M$93,$C893,Assumptions!$N$4:$N$93,$E893,Assumptions!$O$4:$O$93,"LVN"))</f>
        <v/>
      </c>
      <c r="K893" s="7" t="n"/>
      <c r="L893" s="9">
        <f>IF($K893&lt;&gt;"",$K893,SUMIFS(Assumptions!$P$4:$P$93,Assumptions!$M$4:$M$93,$C893,Assumptions!$N$4:$N$93,$E893,Assumptions!$O$4:$O$93,"HVN"))</f>
        <v/>
      </c>
      <c r="M893" s="9">
        <f>J893+L893</f>
        <v/>
      </c>
      <c r="N893" s="10">
        <f>$F893*$H893*$M893</f>
        <v/>
      </c>
    </row>
    <row r="894">
      <c r="A894" s="4" t="inlineStr">
        <is>
          <t>UNIT</t>
        </is>
      </c>
      <c r="B894" s="5" t="inlineStr">
        <is>
          <t>PHILLIPS_FERNDALE</t>
        </is>
      </c>
      <c r="C894" s="5" t="n">
        <v>5</v>
      </c>
      <c r="D894" s="5" t="inlineStr">
        <is>
          <t>VDU</t>
        </is>
      </c>
      <c r="E894" s="5" t="inlineStr">
        <is>
          <t>VDU</t>
        </is>
      </c>
      <c r="F894" s="6" t="n">
        <v>48.1</v>
      </c>
      <c r="G894" s="7" t="n">
        <v>0.613</v>
      </c>
      <c r="H894" s="8">
        <f>IF($G894&lt;&gt;"",$G894,SUMIFS(Assumptions!$K$4:$K$8,Assumptions!$J$4:$J$8,$C894))</f>
        <v/>
      </c>
      <c r="I894" s="7" t="n"/>
      <c r="J894" s="9">
        <f>IF($I894&lt;&gt;"",$I894,SUMIFS(Assumptions!$P$4:$P$93,Assumptions!$M$4:$M$93,$C894,Assumptions!$N$4:$N$93,$E894,Assumptions!$O$4:$O$93,"LVN"))</f>
        <v/>
      </c>
      <c r="K894" s="7" t="n"/>
      <c r="L894" s="9">
        <f>IF($K894&lt;&gt;"",$K894,SUMIFS(Assumptions!$P$4:$P$93,Assumptions!$M$4:$M$93,$C894,Assumptions!$N$4:$N$93,$E894,Assumptions!$O$4:$O$93,"HVN"))</f>
        <v/>
      </c>
      <c r="M894" s="9">
        <f>J894+L894</f>
        <v/>
      </c>
      <c r="N894" s="10">
        <f>$F894*$H894*$M894</f>
        <v/>
      </c>
    </row>
    <row r="895">
      <c r="A895" s="4" t="inlineStr">
        <is>
          <t>UNIT</t>
        </is>
      </c>
      <c r="B895" s="5" t="inlineStr">
        <is>
          <t>PHILLIPS_FERNDALE</t>
        </is>
      </c>
      <c r="C895" s="5" t="n">
        <v>5</v>
      </c>
      <c r="D895" s="5" t="inlineStr">
        <is>
          <t>FCC</t>
        </is>
      </c>
      <c r="E895" s="5" t="inlineStr">
        <is>
          <t>FCC</t>
        </is>
      </c>
      <c r="F895" s="6" t="n">
        <v>38</v>
      </c>
      <c r="G895" s="7" t="n">
        <v>0.999</v>
      </c>
      <c r="H895" s="8">
        <f>IF($G895&lt;&gt;"",$G895,SUMIFS(Assumptions!$K$4:$K$8,Assumptions!$J$4:$J$8,$C895))</f>
        <v/>
      </c>
      <c r="I895" s="7" t="n"/>
      <c r="J895" s="9">
        <f>IF($I895&lt;&gt;"",$I895,SUMIFS(Assumptions!$P$4:$P$93,Assumptions!$M$4:$M$93,$C895,Assumptions!$N$4:$N$93,$E895,Assumptions!$O$4:$O$93,"LVN"))</f>
        <v/>
      </c>
      <c r="K895" s="7" t="n"/>
      <c r="L895" s="9">
        <f>IF($K895&lt;&gt;"",$K895,SUMIFS(Assumptions!$P$4:$P$93,Assumptions!$M$4:$M$93,$C895,Assumptions!$N$4:$N$93,$E895,Assumptions!$O$4:$O$93,"HVN"))</f>
        <v/>
      </c>
      <c r="M895" s="9">
        <f>J895+L895</f>
        <v/>
      </c>
      <c r="N895" s="10">
        <f>$F895*$H895*$M895</f>
        <v/>
      </c>
    </row>
    <row r="896">
      <c r="A896" s="4" t="inlineStr">
        <is>
          <t>UNIT</t>
        </is>
      </c>
      <c r="B896" s="5" t="inlineStr">
        <is>
          <t>PHILLIPS_FERNDALE</t>
        </is>
      </c>
      <c r="C896" s="5" t="n">
        <v>5</v>
      </c>
      <c r="D896" s="5" t="inlineStr">
        <is>
          <t>CCR</t>
        </is>
      </c>
      <c r="E896" s="5" t="inlineStr">
        <is>
          <t>REFORMER</t>
        </is>
      </c>
      <c r="F896" s="6" t="n">
        <v>18.5</v>
      </c>
      <c r="G896" s="7" t="n">
        <v>0.591</v>
      </c>
      <c r="H896" s="8">
        <f>IF($G896&lt;&gt;"",$G896,SUMIFS(Assumptions!$K$4:$K$8,Assumptions!$J$4:$J$8,$C896))</f>
        <v/>
      </c>
      <c r="I896" s="7" t="n"/>
      <c r="J896" s="9">
        <f>IF($I896&lt;&gt;"",$I896,SUMIFS(Assumptions!$P$4:$P$93,Assumptions!$M$4:$M$93,$C896,Assumptions!$N$4:$N$93,$E896,Assumptions!$O$4:$O$93,"LVN"))</f>
        <v/>
      </c>
      <c r="K896" s="7" t="n"/>
      <c r="L896" s="9">
        <f>IF($K896&lt;&gt;"",$K896,SUMIFS(Assumptions!$P$4:$P$93,Assumptions!$M$4:$M$93,$C896,Assumptions!$N$4:$N$93,$E896,Assumptions!$O$4:$O$93,"HVN"))</f>
        <v/>
      </c>
      <c r="M896" s="9">
        <f>J896+L896</f>
        <v/>
      </c>
      <c r="N896" s="10">
        <f>$F896*$H896*$M896</f>
        <v/>
      </c>
    </row>
    <row r="897">
      <c r="A897" s="4" t="inlineStr">
        <is>
          <t>UNIT</t>
        </is>
      </c>
      <c r="B897" s="5" t="inlineStr">
        <is>
          <t>PHILLIPS_FERNDALE</t>
        </is>
      </c>
      <c r="C897" s="5" t="n">
        <v>5</v>
      </c>
      <c r="D897" s="5" t="inlineStr">
        <is>
          <t>ALKY</t>
        </is>
      </c>
      <c r="E897" s="5" t="inlineStr">
        <is>
          <t>ALKY</t>
        </is>
      </c>
      <c r="F897" s="6" t="n">
        <v>12.7</v>
      </c>
      <c r="G897" s="7" t="n">
        <v>1.1</v>
      </c>
      <c r="H897" s="8">
        <f>IF($G897&lt;&gt;"",$G897,SUMIFS(Assumptions!$K$4:$K$8,Assumptions!$J$4:$J$8,$C897))</f>
        <v/>
      </c>
      <c r="I897" s="7" t="n"/>
      <c r="J897" s="9">
        <f>IF($I897&lt;&gt;"",$I897,SUMIFS(Assumptions!$P$4:$P$93,Assumptions!$M$4:$M$93,$C897,Assumptions!$N$4:$N$93,$E897,Assumptions!$O$4:$O$93,"LVN"))</f>
        <v/>
      </c>
      <c r="K897" s="7" t="n"/>
      <c r="L897" s="9">
        <f>IF($K897&lt;&gt;"",$K897,SUMIFS(Assumptions!$P$4:$P$93,Assumptions!$M$4:$M$93,$C897,Assumptions!$N$4:$N$93,$E897,Assumptions!$O$4:$O$93,"HVN"))</f>
        <v/>
      </c>
      <c r="M897" s="9">
        <f>J897+L897</f>
        <v/>
      </c>
      <c r="N897" s="10">
        <f>$F897*$H897*$M897</f>
        <v/>
      </c>
    </row>
    <row r="898">
      <c r="A898" s="11" t="inlineStr">
        <is>
          <t>TOTAL</t>
        </is>
      </c>
      <c r="B898" s="12" t="inlineStr">
        <is>
          <t>PHILLIPS_FERNDALE</t>
        </is>
      </c>
      <c r="C898" s="12" t="n">
        <v>5</v>
      </c>
      <c r="D898" s="12" t="inlineStr">
        <is>
          <t>NET NAPHTHA</t>
        </is>
      </c>
      <c r="N898" s="13">
        <f>SUM(N893:N897)</f>
        <v/>
      </c>
    </row>
    <row r="900">
      <c r="A900" s="1" t="inlineStr">
        <is>
          <t xml:space="preserve">  Marathon Petroleum Los Angeles  [MARATHON_LOS_ANGELES]   —   Marathon Petroleum   —   PADD 5   —   crude 104 kbd</t>
        </is>
      </c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</row>
    <row r="901">
      <c r="A901" s="4" t="inlineStr">
        <is>
          <t>UNIT</t>
        </is>
      </c>
      <c r="B901" s="5" t="inlineStr">
        <is>
          <t>MARATHON_LOS_ANGELES</t>
        </is>
      </c>
      <c r="C901" s="5" t="n">
        <v>5</v>
      </c>
      <c r="D901" s="5" t="inlineStr">
        <is>
          <t>CRUDE-EST</t>
        </is>
      </c>
      <c r="E901" s="5" t="inlineStr">
        <is>
          <t>est. yield</t>
        </is>
      </c>
      <c r="F901" s="14">
        <f>SUMIFS(Data!$G$3:$G$125,Data!$A$3:$A$125,$B901)</f>
        <v/>
      </c>
      <c r="G901" s="7" t="n"/>
      <c r="H901" s="8">
        <f>IF($G901&lt;&gt;"",$G901,SUMIFS(Assumptions!$K$4:$K$8,Assumptions!$J$4:$J$8,$C901))</f>
        <v/>
      </c>
      <c r="I901" s="7" t="n"/>
      <c r="J901" s="9">
        <f>IF($I901&lt;&gt;"",$I901,SUMIFS(Data!$N$3:$N$125,Data!$A$3:$A$125,$B901)*Assumptions!$S$4)</f>
        <v/>
      </c>
      <c r="K901" s="7" t="n"/>
      <c r="L901" s="9">
        <f>IF($K901&lt;&gt;"",$K901,SUMIFS(Data!$N$3:$N$125,Data!$A$3:$A$125,$B901)*Assumptions!$S$5)</f>
        <v/>
      </c>
      <c r="M901" s="9">
        <f>J901+L901</f>
        <v/>
      </c>
      <c r="N901" s="10">
        <f>$F901*$H901*$M901</f>
        <v/>
      </c>
    </row>
    <row r="902">
      <c r="A902" s="11" t="inlineStr">
        <is>
          <t>TOTAL</t>
        </is>
      </c>
      <c r="B902" s="12" t="inlineStr">
        <is>
          <t>MARATHON_LOS_ANGELES</t>
        </is>
      </c>
      <c r="C902" s="12" t="n">
        <v>5</v>
      </c>
      <c r="D902" s="12" t="inlineStr">
        <is>
          <t>NET NAPHTHA</t>
        </is>
      </c>
      <c r="N902" s="13">
        <f>SUM(N901:N901)</f>
        <v/>
      </c>
    </row>
    <row r="904">
      <c r="A904" s="1" t="inlineStr">
        <is>
          <t xml:space="preserve">  Par Petroleum Ewa Beach  [PAR_EWA_BEACH]   —   Par Petroleum   —   PADD 5   —   crude 94 kbd</t>
        </is>
      </c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</row>
    <row r="905">
      <c r="A905" s="4" t="inlineStr">
        <is>
          <t>UNIT</t>
        </is>
      </c>
      <c r="B905" s="5" t="inlineStr">
        <is>
          <t>PAR_EWA_BEACH</t>
        </is>
      </c>
      <c r="C905" s="5" t="n">
        <v>5</v>
      </c>
      <c r="D905" s="5" t="inlineStr">
        <is>
          <t>CDU</t>
        </is>
      </c>
      <c r="E905" s="5" t="inlineStr">
        <is>
          <t>CDU</t>
        </is>
      </c>
      <c r="F905" s="6" t="n">
        <v>94</v>
      </c>
      <c r="G905" s="7" t="n">
        <v>0.86</v>
      </c>
      <c r="H905" s="8">
        <f>IF($G905&lt;&gt;"",$G905,SUMIFS(Assumptions!$K$4:$K$8,Assumptions!$J$4:$J$8,$C905))</f>
        <v/>
      </c>
      <c r="I905" s="7" t="n"/>
      <c r="J905" s="9">
        <f>IF($I905&lt;&gt;"",$I905,SUMIFS(Assumptions!$P$4:$P$93,Assumptions!$M$4:$M$93,$C905,Assumptions!$N$4:$N$93,$E905,Assumptions!$O$4:$O$93,"LVN"))</f>
        <v/>
      </c>
      <c r="K905" s="7" t="n"/>
      <c r="L905" s="9">
        <f>IF($K905&lt;&gt;"",$K905,SUMIFS(Assumptions!$P$4:$P$93,Assumptions!$M$4:$M$93,$C905,Assumptions!$N$4:$N$93,$E905,Assumptions!$O$4:$O$93,"HVN"))</f>
        <v/>
      </c>
      <c r="M905" s="9">
        <f>J905+L905</f>
        <v/>
      </c>
      <c r="N905" s="10">
        <f>$F905*$H905*$M905</f>
        <v/>
      </c>
    </row>
    <row r="906">
      <c r="A906" s="4" t="inlineStr">
        <is>
          <t>UNIT</t>
        </is>
      </c>
      <c r="B906" s="5" t="inlineStr">
        <is>
          <t>PAR_EWA_BEACH</t>
        </is>
      </c>
      <c r="C906" s="5" t="n">
        <v>5</v>
      </c>
      <c r="D906" s="5" t="inlineStr">
        <is>
          <t>VDU</t>
        </is>
      </c>
      <c r="E906" s="5" t="inlineStr">
        <is>
          <t>VDU</t>
        </is>
      </c>
      <c r="F906" s="6" t="n">
        <v>71</v>
      </c>
      <c r="G906" s="7" t="n">
        <v>0.459</v>
      </c>
      <c r="H906" s="8">
        <f>IF($G906&lt;&gt;"",$G906,SUMIFS(Assumptions!$K$4:$K$8,Assumptions!$J$4:$J$8,$C906))</f>
        <v/>
      </c>
      <c r="I906" s="7" t="n"/>
      <c r="J906" s="9">
        <f>IF($I906&lt;&gt;"",$I906,SUMIFS(Assumptions!$P$4:$P$93,Assumptions!$M$4:$M$93,$C906,Assumptions!$N$4:$N$93,$E906,Assumptions!$O$4:$O$93,"LVN"))</f>
        <v/>
      </c>
      <c r="K906" s="7" t="n"/>
      <c r="L906" s="9">
        <f>IF($K906&lt;&gt;"",$K906,SUMIFS(Assumptions!$P$4:$P$93,Assumptions!$M$4:$M$93,$C906,Assumptions!$N$4:$N$93,$E906,Assumptions!$O$4:$O$93,"HVN"))</f>
        <v/>
      </c>
      <c r="M906" s="9">
        <f>J906+L906</f>
        <v/>
      </c>
      <c r="N906" s="10">
        <f>$F906*$H906*$M906</f>
        <v/>
      </c>
    </row>
    <row r="907">
      <c r="A907" s="4" t="inlineStr">
        <is>
          <t>UNIT</t>
        </is>
      </c>
      <c r="B907" s="5" t="inlineStr">
        <is>
          <t>PAR_EWA_BEACH</t>
        </is>
      </c>
      <c r="C907" s="5" t="n">
        <v>5</v>
      </c>
      <c r="D907" s="5" t="inlineStr">
        <is>
          <t>FCC</t>
        </is>
      </c>
      <c r="E907" s="5" t="inlineStr">
        <is>
          <t>FCC</t>
        </is>
      </c>
      <c r="F907" s="6" t="n">
        <v>22</v>
      </c>
      <c r="G907" s="7" t="n">
        <v>0.399</v>
      </c>
      <c r="H907" s="8">
        <f>IF($G907&lt;&gt;"",$G907,SUMIFS(Assumptions!$K$4:$K$8,Assumptions!$J$4:$J$8,$C907))</f>
        <v/>
      </c>
      <c r="I907" s="7" t="n"/>
      <c r="J907" s="9">
        <f>IF($I907&lt;&gt;"",$I907,SUMIFS(Assumptions!$P$4:$P$93,Assumptions!$M$4:$M$93,$C907,Assumptions!$N$4:$N$93,$E907,Assumptions!$O$4:$O$93,"LVN"))</f>
        <v/>
      </c>
      <c r="K907" s="7" t="n"/>
      <c r="L907" s="9">
        <f>IF($K907&lt;&gt;"",$K907,SUMIFS(Assumptions!$P$4:$P$93,Assumptions!$M$4:$M$93,$C907,Assumptions!$N$4:$N$93,$E907,Assumptions!$O$4:$O$93,"HVN"))</f>
        <v/>
      </c>
      <c r="M907" s="9">
        <f>J907+L907</f>
        <v/>
      </c>
      <c r="N907" s="10">
        <f>$F907*$H907*$M907</f>
        <v/>
      </c>
    </row>
    <row r="908">
      <c r="A908" s="4" t="inlineStr">
        <is>
          <t>UNIT</t>
        </is>
      </c>
      <c r="B908" s="5" t="inlineStr">
        <is>
          <t>PAR_EWA_BEACH</t>
        </is>
      </c>
      <c r="C908" s="5" t="n">
        <v>5</v>
      </c>
      <c r="D908" s="5" t="inlineStr">
        <is>
          <t>DHCU</t>
        </is>
      </c>
      <c r="E908" s="5" t="inlineStr">
        <is>
          <t>HYDROCRACKER</t>
        </is>
      </c>
      <c r="F908" s="6" t="n">
        <v>18</v>
      </c>
      <c r="G908" s="7" t="n">
        <v>0.741</v>
      </c>
      <c r="H908" s="8">
        <f>IF($G908&lt;&gt;"",$G908,SUMIFS(Assumptions!$K$4:$K$8,Assumptions!$J$4:$J$8,$C908))</f>
        <v/>
      </c>
      <c r="I908" s="7" t="n"/>
      <c r="J908" s="9">
        <f>IF($I908&lt;&gt;"",$I908,SUMIFS(Assumptions!$P$4:$P$93,Assumptions!$M$4:$M$93,$C908,Assumptions!$N$4:$N$93,$E908,Assumptions!$O$4:$O$93,"LVN"))</f>
        <v/>
      </c>
      <c r="K908" s="7" t="n"/>
      <c r="L908" s="9">
        <f>IF($K908&lt;&gt;"",$K908,SUMIFS(Assumptions!$P$4:$P$93,Assumptions!$M$4:$M$93,$C908,Assumptions!$N$4:$N$93,$E908,Assumptions!$O$4:$O$93,"HVN"))</f>
        <v/>
      </c>
      <c r="M908" s="9">
        <f>J908+L908</f>
        <v/>
      </c>
      <c r="N908" s="10">
        <f>$F908*$H908*$M908</f>
        <v/>
      </c>
    </row>
    <row r="909">
      <c r="A909" s="4" t="inlineStr">
        <is>
          <t>UNIT</t>
        </is>
      </c>
      <c r="B909" s="5" t="inlineStr">
        <is>
          <t>PAR_EWA_BEACH</t>
        </is>
      </c>
      <c r="C909" s="5" t="n">
        <v>5</v>
      </c>
      <c r="D909" s="5" t="inlineStr">
        <is>
          <t>CCR</t>
        </is>
      </c>
      <c r="E909" s="5" t="inlineStr">
        <is>
          <t>REFORMER</t>
        </is>
      </c>
      <c r="F909" s="6" t="n">
        <v>13.5</v>
      </c>
      <c r="G909" s="7" t="n">
        <v>0.867</v>
      </c>
      <c r="H909" s="8">
        <f>IF($G909&lt;&gt;"",$G909,SUMIFS(Assumptions!$K$4:$K$8,Assumptions!$J$4:$J$8,$C909))</f>
        <v/>
      </c>
      <c r="I909" s="7" t="n"/>
      <c r="J909" s="9">
        <f>IF($I909&lt;&gt;"",$I909,SUMIFS(Assumptions!$P$4:$P$93,Assumptions!$M$4:$M$93,$C909,Assumptions!$N$4:$N$93,$E909,Assumptions!$O$4:$O$93,"LVN"))</f>
        <v/>
      </c>
      <c r="K909" s="7" t="n"/>
      <c r="L909" s="9">
        <f>IF($K909&lt;&gt;"",$K909,SUMIFS(Assumptions!$P$4:$P$93,Assumptions!$M$4:$M$93,$C909,Assumptions!$N$4:$N$93,$E909,Assumptions!$O$4:$O$93,"HVN"))</f>
        <v/>
      </c>
      <c r="M909" s="9">
        <f>J909+L909</f>
        <v/>
      </c>
      <c r="N909" s="10">
        <f>$F909*$H909*$M909</f>
        <v/>
      </c>
    </row>
    <row r="910">
      <c r="A910" s="4" t="inlineStr">
        <is>
          <t>UNIT</t>
        </is>
      </c>
      <c r="B910" s="5" t="inlineStr">
        <is>
          <t>PAR_EWA_BEACH</t>
        </is>
      </c>
      <c r="C910" s="5" t="n">
        <v>5</v>
      </c>
      <c r="D910" s="5" t="inlineStr">
        <is>
          <t>ALKY</t>
        </is>
      </c>
      <c r="E910" s="5" t="inlineStr">
        <is>
          <t>ALKY</t>
        </is>
      </c>
      <c r="F910" s="6" t="n">
        <v>5</v>
      </c>
      <c r="G910" s="7" t="n">
        <v>0.122</v>
      </c>
      <c r="H910" s="8">
        <f>IF($G910&lt;&gt;"",$G910,SUMIFS(Assumptions!$K$4:$K$8,Assumptions!$J$4:$J$8,$C910))</f>
        <v/>
      </c>
      <c r="I910" s="7" t="n"/>
      <c r="J910" s="9">
        <f>IF($I910&lt;&gt;"",$I910,SUMIFS(Assumptions!$P$4:$P$93,Assumptions!$M$4:$M$93,$C910,Assumptions!$N$4:$N$93,$E910,Assumptions!$O$4:$O$93,"LVN"))</f>
        <v/>
      </c>
      <c r="K910" s="7" t="n"/>
      <c r="L910" s="9">
        <f>IF($K910&lt;&gt;"",$K910,SUMIFS(Assumptions!$P$4:$P$93,Assumptions!$M$4:$M$93,$C910,Assumptions!$N$4:$N$93,$E910,Assumptions!$O$4:$O$93,"HVN"))</f>
        <v/>
      </c>
      <c r="M910" s="9">
        <f>J910+L910</f>
        <v/>
      </c>
      <c r="N910" s="10">
        <f>$F910*$H910*$M910</f>
        <v/>
      </c>
    </row>
    <row r="911">
      <c r="A911" s="11" t="inlineStr">
        <is>
          <t>TOTAL</t>
        </is>
      </c>
      <c r="B911" s="12" t="inlineStr">
        <is>
          <t>PAR_EWA_BEACH</t>
        </is>
      </c>
      <c r="C911" s="12" t="n">
        <v>5</v>
      </c>
      <c r="D911" s="12" t="inlineStr">
        <is>
          <t>NET NAPHTHA</t>
        </is>
      </c>
      <c r="N911" s="13">
        <f>SUM(N905:N910)</f>
        <v/>
      </c>
    </row>
    <row r="913">
      <c r="A913" s="1" t="inlineStr">
        <is>
          <t xml:space="preserve">  Valero Los Angeles  [VALERO_LOS_ANGELES]   —   Valero   —   PADD 5   —   crude 90 kbd</t>
        </is>
      </c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</row>
    <row r="914">
      <c r="A914" s="4" t="inlineStr">
        <is>
          <t>UNIT</t>
        </is>
      </c>
      <c r="B914" s="5" t="inlineStr">
        <is>
          <t>VALERO_LOS_ANGELES</t>
        </is>
      </c>
      <c r="C914" s="5" t="n">
        <v>5</v>
      </c>
      <c r="D914" s="5" t="inlineStr">
        <is>
          <t>CDU</t>
        </is>
      </c>
      <c r="E914" s="5" t="inlineStr">
        <is>
          <t>CDU</t>
        </is>
      </c>
      <c r="F914" s="6" t="n">
        <v>87</v>
      </c>
      <c r="G914" s="7" t="n">
        <v>0.9399999999999999</v>
      </c>
      <c r="H914" s="8">
        <f>IF($G914&lt;&gt;"",$G914,SUMIFS(Assumptions!$K$4:$K$8,Assumptions!$J$4:$J$8,$C914))</f>
        <v/>
      </c>
      <c r="I914" s="7" t="n"/>
      <c r="J914" s="9">
        <f>IF($I914&lt;&gt;"",$I914,SUMIFS(Assumptions!$P$4:$P$93,Assumptions!$M$4:$M$93,$C914,Assumptions!$N$4:$N$93,$E914,Assumptions!$O$4:$O$93,"LVN"))</f>
        <v/>
      </c>
      <c r="K914" s="7" t="n"/>
      <c r="L914" s="9">
        <f>IF($K914&lt;&gt;"",$K914,SUMIFS(Assumptions!$P$4:$P$93,Assumptions!$M$4:$M$93,$C914,Assumptions!$N$4:$N$93,$E914,Assumptions!$O$4:$O$93,"HVN"))</f>
        <v/>
      </c>
      <c r="M914" s="9">
        <f>J914+L914</f>
        <v/>
      </c>
      <c r="N914" s="10">
        <f>$F914*$H914*$M914</f>
        <v/>
      </c>
    </row>
    <row r="915">
      <c r="A915" s="4" t="inlineStr">
        <is>
          <t>UNIT</t>
        </is>
      </c>
      <c r="B915" s="5" t="inlineStr">
        <is>
          <t>VALERO_LOS_ANGELES</t>
        </is>
      </c>
      <c r="C915" s="5" t="n">
        <v>5</v>
      </c>
      <c r="D915" s="5" t="inlineStr">
        <is>
          <t>VDU</t>
        </is>
      </c>
      <c r="E915" s="5" t="inlineStr">
        <is>
          <t>VDU</t>
        </is>
      </c>
      <c r="F915" s="6" t="n">
        <v>46</v>
      </c>
      <c r="G915" s="7" t="n">
        <v>0.8179999999999999</v>
      </c>
      <c r="H915" s="8">
        <f>IF($G915&lt;&gt;"",$G915,SUMIFS(Assumptions!$K$4:$K$8,Assumptions!$J$4:$J$8,$C915))</f>
        <v/>
      </c>
      <c r="I915" s="7" t="n"/>
      <c r="J915" s="9">
        <f>IF($I915&lt;&gt;"",$I915,SUMIFS(Assumptions!$P$4:$P$93,Assumptions!$M$4:$M$93,$C915,Assumptions!$N$4:$N$93,$E915,Assumptions!$O$4:$O$93,"LVN"))</f>
        <v/>
      </c>
      <c r="K915" s="7" t="n"/>
      <c r="L915" s="9">
        <f>IF($K915&lt;&gt;"",$K915,SUMIFS(Assumptions!$P$4:$P$93,Assumptions!$M$4:$M$93,$C915,Assumptions!$N$4:$N$93,$E915,Assumptions!$O$4:$O$93,"HVN"))</f>
        <v/>
      </c>
      <c r="M915" s="9">
        <f>J915+L915</f>
        <v/>
      </c>
      <c r="N915" s="10">
        <f>$F915*$H915*$M915</f>
        <v/>
      </c>
    </row>
    <row r="916">
      <c r="A916" s="4" t="inlineStr">
        <is>
          <t>UNIT</t>
        </is>
      </c>
      <c r="B916" s="5" t="inlineStr">
        <is>
          <t>VALERO_LOS_ANGELES</t>
        </is>
      </c>
      <c r="C916" s="5" t="n">
        <v>5</v>
      </c>
      <c r="D916" s="5" t="inlineStr">
        <is>
          <t>FCC</t>
        </is>
      </c>
      <c r="E916" s="5" t="inlineStr">
        <is>
          <t>FCC</t>
        </is>
      </c>
      <c r="F916" s="6" t="n">
        <v>56.3</v>
      </c>
      <c r="G916" s="7" t="n">
        <v>0.676</v>
      </c>
      <c r="H916" s="8">
        <f>IF($G916&lt;&gt;"",$G916,SUMIFS(Assumptions!$K$4:$K$8,Assumptions!$J$4:$J$8,$C916))</f>
        <v/>
      </c>
      <c r="I916" s="7" t="n"/>
      <c r="J916" s="9">
        <f>IF($I916&lt;&gt;"",$I916,SUMIFS(Assumptions!$P$4:$P$93,Assumptions!$M$4:$M$93,$C916,Assumptions!$N$4:$N$93,$E916,Assumptions!$O$4:$O$93,"LVN"))</f>
        <v/>
      </c>
      <c r="K916" s="7" t="n"/>
      <c r="L916" s="9">
        <f>IF($K916&lt;&gt;"",$K916,SUMIFS(Assumptions!$P$4:$P$93,Assumptions!$M$4:$M$93,$C916,Assumptions!$N$4:$N$93,$E916,Assumptions!$O$4:$O$93,"HVN"))</f>
        <v/>
      </c>
      <c r="M916" s="9">
        <f>J916+L916</f>
        <v/>
      </c>
      <c r="N916" s="10">
        <f>$F916*$H916*$M916</f>
        <v/>
      </c>
    </row>
    <row r="917">
      <c r="A917" s="4" t="inlineStr">
        <is>
          <t>UNIT</t>
        </is>
      </c>
      <c r="B917" s="5" t="inlineStr">
        <is>
          <t>VALERO_LOS_ANGELES</t>
        </is>
      </c>
      <c r="C917" s="5" t="n">
        <v>5</v>
      </c>
      <c r="D917" s="5" t="inlineStr">
        <is>
          <t>COKER</t>
        </is>
      </c>
      <c r="E917" s="5" t="inlineStr">
        <is>
          <t>COKER</t>
        </is>
      </c>
      <c r="F917" s="6" t="n">
        <v>28.8</v>
      </c>
      <c r="G917" s="7" t="n">
        <v>0.536</v>
      </c>
      <c r="H917" s="8">
        <f>IF($G917&lt;&gt;"",$G917,SUMIFS(Assumptions!$K$4:$K$8,Assumptions!$J$4:$J$8,$C917))</f>
        <v/>
      </c>
      <c r="I917" s="7" t="n"/>
      <c r="J917" s="9">
        <f>IF($I917&lt;&gt;"",$I917,SUMIFS(Assumptions!$P$4:$P$93,Assumptions!$M$4:$M$93,$C917,Assumptions!$N$4:$N$93,$E917,Assumptions!$O$4:$O$93,"LVN"))</f>
        <v/>
      </c>
      <c r="K917" s="7" t="n"/>
      <c r="L917" s="9">
        <f>IF($K917&lt;&gt;"",$K917,SUMIFS(Assumptions!$P$4:$P$93,Assumptions!$M$4:$M$93,$C917,Assumptions!$N$4:$N$93,$E917,Assumptions!$O$4:$O$93,"HVN"))</f>
        <v/>
      </c>
      <c r="M917" s="9">
        <f>J917+L917</f>
        <v/>
      </c>
      <c r="N917" s="10">
        <f>$F917*$H917*$M917</f>
        <v/>
      </c>
    </row>
    <row r="918">
      <c r="A918" s="4" t="inlineStr">
        <is>
          <t>UNIT</t>
        </is>
      </c>
      <c r="B918" s="5" t="inlineStr">
        <is>
          <t>VALERO_LOS_ANGELES</t>
        </is>
      </c>
      <c r="C918" s="5" t="n">
        <v>5</v>
      </c>
      <c r="D918" s="5" t="inlineStr">
        <is>
          <t>CCR</t>
        </is>
      </c>
      <c r="E918" s="5" t="inlineStr">
        <is>
          <t>REFORMER</t>
        </is>
      </c>
      <c r="F918" s="6" t="n">
        <v>18</v>
      </c>
      <c r="G918" s="7" t="n">
        <v>0.853</v>
      </c>
      <c r="H918" s="8">
        <f>IF($G918&lt;&gt;"",$G918,SUMIFS(Assumptions!$K$4:$K$8,Assumptions!$J$4:$J$8,$C918))</f>
        <v/>
      </c>
      <c r="I918" s="7" t="n"/>
      <c r="J918" s="9">
        <f>IF($I918&lt;&gt;"",$I918,SUMIFS(Assumptions!$P$4:$P$93,Assumptions!$M$4:$M$93,$C918,Assumptions!$N$4:$N$93,$E918,Assumptions!$O$4:$O$93,"LVN"))</f>
        <v/>
      </c>
      <c r="K918" s="7" t="n"/>
      <c r="L918" s="9">
        <f>IF($K918&lt;&gt;"",$K918,SUMIFS(Assumptions!$P$4:$P$93,Assumptions!$M$4:$M$93,$C918,Assumptions!$N$4:$N$93,$E918,Assumptions!$O$4:$O$93,"HVN"))</f>
        <v/>
      </c>
      <c r="M918" s="9">
        <f>J918+L918</f>
        <v/>
      </c>
      <c r="N918" s="10">
        <f>$F918*$H918*$M918</f>
        <v/>
      </c>
    </row>
    <row r="919">
      <c r="A919" s="4" t="inlineStr">
        <is>
          <t>UNIT</t>
        </is>
      </c>
      <c r="B919" s="5" t="inlineStr">
        <is>
          <t>VALERO_LOS_ANGELES</t>
        </is>
      </c>
      <c r="C919" s="5" t="n">
        <v>5</v>
      </c>
      <c r="D919" s="5" t="inlineStr">
        <is>
          <t>ALKY</t>
        </is>
      </c>
      <c r="E919" s="5" t="inlineStr">
        <is>
          <t>ALKY</t>
        </is>
      </c>
      <c r="F919" s="6" t="n">
        <v>22</v>
      </c>
      <c r="G919" s="7" t="n">
        <v>0.428</v>
      </c>
      <c r="H919" s="8">
        <f>IF($G919&lt;&gt;"",$G919,SUMIFS(Assumptions!$K$4:$K$8,Assumptions!$J$4:$J$8,$C919))</f>
        <v/>
      </c>
      <c r="I919" s="7" t="n"/>
      <c r="J919" s="9">
        <f>IF($I919&lt;&gt;"",$I919,SUMIFS(Assumptions!$P$4:$P$93,Assumptions!$M$4:$M$93,$C919,Assumptions!$N$4:$N$93,$E919,Assumptions!$O$4:$O$93,"LVN"))</f>
        <v/>
      </c>
      <c r="K919" s="7" t="n"/>
      <c r="L919" s="9">
        <f>IF($K919&lt;&gt;"",$K919,SUMIFS(Assumptions!$P$4:$P$93,Assumptions!$M$4:$M$93,$C919,Assumptions!$N$4:$N$93,$E919,Assumptions!$O$4:$O$93,"HVN"))</f>
        <v/>
      </c>
      <c r="M919" s="9">
        <f>J919+L919</f>
        <v/>
      </c>
      <c r="N919" s="10">
        <f>$F919*$H919*$M919</f>
        <v/>
      </c>
    </row>
    <row r="920">
      <c r="A920" s="11" t="inlineStr">
        <is>
          <t>TOTAL</t>
        </is>
      </c>
      <c r="B920" s="12" t="inlineStr">
        <is>
          <t>VALERO_LOS_ANGELES</t>
        </is>
      </c>
      <c r="C920" s="12" t="n">
        <v>5</v>
      </c>
      <c r="D920" s="12" t="inlineStr">
        <is>
          <t>NET NAPHTHA</t>
        </is>
      </c>
      <c r="N920" s="13">
        <f>SUM(N914:N919)</f>
        <v/>
      </c>
    </row>
    <row r="922">
      <c r="A922" s="1" t="inlineStr">
        <is>
          <t xml:space="preserve">  Marathon Petroleum Nikiski  [MARATHON_NIKISKI]   —   Marathon Petroleum   —   PADD 5   —   crude 68 kbd</t>
        </is>
      </c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</row>
    <row r="923">
      <c r="A923" s="4" t="inlineStr">
        <is>
          <t>UNIT</t>
        </is>
      </c>
      <c r="B923" s="5" t="inlineStr">
        <is>
          <t>MARATHON_NIKISKI</t>
        </is>
      </c>
      <c r="C923" s="5" t="n">
        <v>5</v>
      </c>
      <c r="D923" s="5" t="inlineStr">
        <is>
          <t>CDU</t>
        </is>
      </c>
      <c r="E923" s="5" t="inlineStr">
        <is>
          <t>CDU</t>
        </is>
      </c>
      <c r="F923" s="6" t="n">
        <v>72</v>
      </c>
      <c r="G923" s="7" t="n">
        <v>0.92</v>
      </c>
      <c r="H923" s="8">
        <f>IF($G923&lt;&gt;"",$G923,SUMIFS(Assumptions!$K$4:$K$8,Assumptions!$J$4:$J$8,$C923))</f>
        <v/>
      </c>
      <c r="I923" s="7" t="n"/>
      <c r="J923" s="9">
        <f>IF($I923&lt;&gt;"",$I923,SUMIFS(Assumptions!$P$4:$P$93,Assumptions!$M$4:$M$93,$C923,Assumptions!$N$4:$N$93,$E923,Assumptions!$O$4:$O$93,"LVN"))</f>
        <v/>
      </c>
      <c r="K923" s="7" t="n"/>
      <c r="L923" s="9">
        <f>IF($K923&lt;&gt;"",$K923,SUMIFS(Assumptions!$P$4:$P$93,Assumptions!$M$4:$M$93,$C923,Assumptions!$N$4:$N$93,$E923,Assumptions!$O$4:$O$93,"HVN"))</f>
        <v/>
      </c>
      <c r="M923" s="9">
        <f>J923+L923</f>
        <v/>
      </c>
      <c r="N923" s="10">
        <f>$F923*$H923*$M923</f>
        <v/>
      </c>
    </row>
    <row r="924">
      <c r="A924" s="4" t="inlineStr">
        <is>
          <t>UNIT</t>
        </is>
      </c>
      <c r="B924" s="5" t="inlineStr">
        <is>
          <t>MARATHON_NIKISKI</t>
        </is>
      </c>
      <c r="C924" s="5" t="n">
        <v>5</v>
      </c>
      <c r="D924" s="5" t="inlineStr">
        <is>
          <t>VDU</t>
        </is>
      </c>
      <c r="E924" s="5" t="inlineStr">
        <is>
          <t>VDU</t>
        </is>
      </c>
      <c r="F924" s="6" t="n">
        <v>26</v>
      </c>
      <c r="G924" s="7" t="n">
        <v>0.999</v>
      </c>
      <c r="H924" s="8">
        <f>IF($G924&lt;&gt;"",$G924,SUMIFS(Assumptions!$K$4:$K$8,Assumptions!$J$4:$J$8,$C924))</f>
        <v/>
      </c>
      <c r="I924" s="7" t="n"/>
      <c r="J924" s="9">
        <f>IF($I924&lt;&gt;"",$I924,SUMIFS(Assumptions!$P$4:$P$93,Assumptions!$M$4:$M$93,$C924,Assumptions!$N$4:$N$93,$E924,Assumptions!$O$4:$O$93,"LVN"))</f>
        <v/>
      </c>
      <c r="K924" s="7" t="n"/>
      <c r="L924" s="9">
        <f>IF($K924&lt;&gt;"",$K924,SUMIFS(Assumptions!$P$4:$P$93,Assumptions!$M$4:$M$93,$C924,Assumptions!$N$4:$N$93,$E924,Assumptions!$O$4:$O$93,"HVN"))</f>
        <v/>
      </c>
      <c r="M924" s="9">
        <f>J924+L924</f>
        <v/>
      </c>
      <c r="N924" s="10">
        <f>$F924*$H924*$M924</f>
        <v/>
      </c>
    </row>
    <row r="925">
      <c r="A925" s="4" t="inlineStr">
        <is>
          <t>UNIT</t>
        </is>
      </c>
      <c r="B925" s="5" t="inlineStr">
        <is>
          <t>MARATHON_NIKISKI</t>
        </is>
      </c>
      <c r="C925" s="5" t="n">
        <v>5</v>
      </c>
      <c r="D925" s="5" t="inlineStr">
        <is>
          <t>DHCU</t>
        </is>
      </c>
      <c r="E925" s="5" t="inlineStr">
        <is>
          <t>HYDROCRACKER</t>
        </is>
      </c>
      <c r="F925" s="6" t="n">
        <v>13</v>
      </c>
      <c r="G925" s="7" t="n">
        <v>0.999</v>
      </c>
      <c r="H925" s="8">
        <f>IF($G925&lt;&gt;"",$G925,SUMIFS(Assumptions!$K$4:$K$8,Assumptions!$J$4:$J$8,$C925))</f>
        <v/>
      </c>
      <c r="I925" s="7" t="n"/>
      <c r="J925" s="9">
        <f>IF($I925&lt;&gt;"",$I925,SUMIFS(Assumptions!$P$4:$P$93,Assumptions!$M$4:$M$93,$C925,Assumptions!$N$4:$N$93,$E925,Assumptions!$O$4:$O$93,"LVN"))</f>
        <v/>
      </c>
      <c r="K925" s="7" t="n"/>
      <c r="L925" s="9">
        <f>IF($K925&lt;&gt;"",$K925,SUMIFS(Assumptions!$P$4:$P$93,Assumptions!$M$4:$M$93,$C925,Assumptions!$N$4:$N$93,$E925,Assumptions!$O$4:$O$93,"HVN"))</f>
        <v/>
      </c>
      <c r="M925" s="9">
        <f>J925+L925</f>
        <v/>
      </c>
      <c r="N925" s="10">
        <f>$F925*$H925*$M925</f>
        <v/>
      </c>
    </row>
    <row r="926">
      <c r="A926" s="4" t="inlineStr">
        <is>
          <t>UNIT</t>
        </is>
      </c>
      <c r="B926" s="5" t="inlineStr">
        <is>
          <t>MARATHON_NIKISKI</t>
        </is>
      </c>
      <c r="C926" s="5" t="n">
        <v>5</v>
      </c>
      <c r="D926" s="5" t="inlineStr">
        <is>
          <t>CCR</t>
        </is>
      </c>
      <c r="E926" s="5" t="inlineStr">
        <is>
          <t>REFORMER</t>
        </is>
      </c>
      <c r="F926" s="6" t="n">
        <v>13.5</v>
      </c>
      <c r="G926" s="7" t="n">
        <v>0.967</v>
      </c>
      <c r="H926" s="8">
        <f>IF($G926&lt;&gt;"",$G926,SUMIFS(Assumptions!$K$4:$K$8,Assumptions!$J$4:$J$8,$C926))</f>
        <v/>
      </c>
      <c r="I926" s="7" t="n"/>
      <c r="J926" s="9">
        <f>IF($I926&lt;&gt;"",$I926,SUMIFS(Assumptions!$P$4:$P$93,Assumptions!$M$4:$M$93,$C926,Assumptions!$N$4:$N$93,$E926,Assumptions!$O$4:$O$93,"LVN"))</f>
        <v/>
      </c>
      <c r="K926" s="7" t="n"/>
      <c r="L926" s="9">
        <f>IF($K926&lt;&gt;"",$K926,SUMIFS(Assumptions!$P$4:$P$93,Assumptions!$M$4:$M$93,$C926,Assumptions!$N$4:$N$93,$E926,Assumptions!$O$4:$O$93,"HVN"))</f>
        <v/>
      </c>
      <c r="M926" s="9">
        <f>J926+L926</f>
        <v/>
      </c>
      <c r="N926" s="10">
        <f>$F926*$H926*$M926</f>
        <v/>
      </c>
    </row>
    <row r="927">
      <c r="A927" s="4" t="inlineStr">
        <is>
          <t>UNIT</t>
        </is>
      </c>
      <c r="B927" s="5" t="inlineStr">
        <is>
          <t>MARATHON_NIKISKI</t>
        </is>
      </c>
      <c r="C927" s="5" t="n">
        <v>5</v>
      </c>
      <c r="D927" s="5" t="inlineStr">
        <is>
          <t>REF</t>
        </is>
      </c>
      <c r="E927" s="5" t="inlineStr">
        <is>
          <t>REFORMER</t>
        </is>
      </c>
      <c r="F927" s="6" t="n">
        <v>14.2</v>
      </c>
      <c r="G927" s="7" t="n"/>
      <c r="H927" s="8">
        <f>IF($G927&lt;&gt;"",$G927,SUMIFS(Assumptions!$K$4:$K$8,Assumptions!$J$4:$J$8,$C927))</f>
        <v/>
      </c>
      <c r="I927" s="7" t="n"/>
      <c r="J927" s="9">
        <f>IF($I927&lt;&gt;"",$I927,SUMIFS(Assumptions!$P$4:$P$93,Assumptions!$M$4:$M$93,$C927,Assumptions!$N$4:$N$93,$E927,Assumptions!$O$4:$O$93,"LVN"))</f>
        <v/>
      </c>
      <c r="K927" s="7" t="n"/>
      <c r="L927" s="9">
        <f>IF($K927&lt;&gt;"",$K927,SUMIFS(Assumptions!$P$4:$P$93,Assumptions!$M$4:$M$93,$C927,Assumptions!$N$4:$N$93,$E927,Assumptions!$O$4:$O$93,"HVN"))</f>
        <v/>
      </c>
      <c r="M927" s="9">
        <f>J927+L927</f>
        <v/>
      </c>
      <c r="N927" s="10">
        <f>$F927*$H927*$M927</f>
        <v/>
      </c>
    </row>
    <row r="928">
      <c r="A928" s="4" t="inlineStr">
        <is>
          <t>UNIT</t>
        </is>
      </c>
      <c r="B928" s="5" t="inlineStr">
        <is>
          <t>MARATHON_NIKISKI</t>
        </is>
      </c>
      <c r="C928" s="5" t="n">
        <v>5</v>
      </c>
      <c r="D928" s="5" t="inlineStr">
        <is>
          <t>ISOM</t>
        </is>
      </c>
      <c r="E928" s="5" t="inlineStr">
        <is>
          <t>ISOM</t>
        </is>
      </c>
      <c r="F928" s="6" t="n">
        <v>5</v>
      </c>
      <c r="G928" s="7" t="n">
        <v>1.099</v>
      </c>
      <c r="H928" s="8">
        <f>IF($G928&lt;&gt;"",$G928,SUMIFS(Assumptions!$K$4:$K$8,Assumptions!$J$4:$J$8,$C928))</f>
        <v/>
      </c>
      <c r="I928" s="7" t="n"/>
      <c r="J928" s="9">
        <f>IF($I928&lt;&gt;"",$I928,SUMIFS(Assumptions!$P$4:$P$93,Assumptions!$M$4:$M$93,$C928,Assumptions!$N$4:$N$93,$E928,Assumptions!$O$4:$O$93,"LVN"))</f>
        <v/>
      </c>
      <c r="K928" s="7" t="n"/>
      <c r="L928" s="9">
        <f>IF($K928&lt;&gt;"",$K928,SUMIFS(Assumptions!$P$4:$P$93,Assumptions!$M$4:$M$93,$C928,Assumptions!$N$4:$N$93,$E928,Assumptions!$O$4:$O$93,"HVN"))</f>
        <v/>
      </c>
      <c r="M928" s="9">
        <f>J928+L928</f>
        <v/>
      </c>
      <c r="N928" s="10">
        <f>$F928*$H928*$M928</f>
        <v/>
      </c>
    </row>
    <row r="929">
      <c r="A929" s="11" t="inlineStr">
        <is>
          <t>TOTAL</t>
        </is>
      </c>
      <c r="B929" s="12" t="inlineStr">
        <is>
          <t>MARATHON_NIKISKI</t>
        </is>
      </c>
      <c r="C929" s="12" t="n">
        <v>5</v>
      </c>
      <c r="D929" s="12" t="inlineStr">
        <is>
          <t>NET NAPHTHA</t>
        </is>
      </c>
      <c r="N929" s="13">
        <f>SUM(N923:N928)</f>
        <v/>
      </c>
    </row>
    <row r="931">
      <c r="A931" s="1" t="inlineStr">
        <is>
          <t xml:space="preserve">  Petro Star Inc. Valdez  [PETRO_VALDEZ]   —   Petro Star Inc.   —   PADD 5   —   crude 60 kbd</t>
        </is>
      </c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</row>
    <row r="932">
      <c r="A932" s="4" t="inlineStr">
        <is>
          <t>UNIT</t>
        </is>
      </c>
      <c r="B932" s="5" t="inlineStr">
        <is>
          <t>PETRO_VALDEZ</t>
        </is>
      </c>
      <c r="C932" s="5" t="n">
        <v>5</v>
      </c>
      <c r="D932" s="5" t="inlineStr">
        <is>
          <t>CDU</t>
        </is>
      </c>
      <c r="E932" s="5" t="inlineStr">
        <is>
          <t>CDU</t>
        </is>
      </c>
      <c r="F932" s="6" t="n">
        <v>60</v>
      </c>
      <c r="G932" s="7" t="n"/>
      <c r="H932" s="8">
        <f>IF($G932&lt;&gt;"",$G932,SUMIFS(Assumptions!$K$4:$K$8,Assumptions!$J$4:$J$8,$C932))</f>
        <v/>
      </c>
      <c r="I932" s="7" t="n"/>
      <c r="J932" s="9">
        <f>IF($I932&lt;&gt;"",$I932,SUMIFS(Assumptions!$P$4:$P$93,Assumptions!$M$4:$M$93,$C932,Assumptions!$N$4:$N$93,$E932,Assumptions!$O$4:$O$93,"LVN"))</f>
        <v/>
      </c>
      <c r="K932" s="7" t="n"/>
      <c r="L932" s="9">
        <f>IF($K932&lt;&gt;"",$K932,SUMIFS(Assumptions!$P$4:$P$93,Assumptions!$M$4:$M$93,$C932,Assumptions!$N$4:$N$93,$E932,Assumptions!$O$4:$O$93,"HVN"))</f>
        <v/>
      </c>
      <c r="M932" s="9">
        <f>J932+L932</f>
        <v/>
      </c>
      <c r="N932" s="10">
        <f>$F932*$H932*$M932</f>
        <v/>
      </c>
    </row>
    <row r="933">
      <c r="A933" s="11" t="inlineStr">
        <is>
          <t>TOTAL</t>
        </is>
      </c>
      <c r="B933" s="12" t="inlineStr">
        <is>
          <t>PETRO_VALDEZ</t>
        </is>
      </c>
      <c r="C933" s="12" t="n">
        <v>5</v>
      </c>
      <c r="D933" s="12" t="inlineStr">
        <is>
          <t>NET NAPHTHA</t>
        </is>
      </c>
      <c r="N933" s="13">
        <f>SUM(N932:N932)</f>
        <v/>
      </c>
    </row>
    <row r="935">
      <c r="A935" s="1" t="inlineStr">
        <is>
          <t xml:space="preserve">  Par Petroleum Tacoma  [PAR_TACOMA]   —   Par Petroleum   —   PADD 5   —   crude 42 kbd</t>
        </is>
      </c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</row>
    <row r="936">
      <c r="A936" s="4" t="inlineStr">
        <is>
          <t>UNIT</t>
        </is>
      </c>
      <c r="B936" s="5" t="inlineStr">
        <is>
          <t>PAR_TACOMA</t>
        </is>
      </c>
      <c r="C936" s="5" t="n">
        <v>5</v>
      </c>
      <c r="D936" s="5" t="inlineStr">
        <is>
          <t>CDU</t>
        </is>
      </c>
      <c r="E936" s="5" t="inlineStr">
        <is>
          <t>CDU</t>
        </is>
      </c>
      <c r="F936" s="6" t="n">
        <v>42</v>
      </c>
      <c r="G936" s="7" t="n"/>
      <c r="H936" s="8">
        <f>IF($G936&lt;&gt;"",$G936,SUMIFS(Assumptions!$K$4:$K$8,Assumptions!$J$4:$J$8,$C936))</f>
        <v/>
      </c>
      <c r="I936" s="7" t="n"/>
      <c r="J936" s="9">
        <f>IF($I936&lt;&gt;"",$I936,SUMIFS(Assumptions!$P$4:$P$93,Assumptions!$M$4:$M$93,$C936,Assumptions!$N$4:$N$93,$E936,Assumptions!$O$4:$O$93,"LVN"))</f>
        <v/>
      </c>
      <c r="K936" s="7" t="n"/>
      <c r="L936" s="9">
        <f>IF($K936&lt;&gt;"",$K936,SUMIFS(Assumptions!$P$4:$P$93,Assumptions!$M$4:$M$93,$C936,Assumptions!$N$4:$N$93,$E936,Assumptions!$O$4:$O$93,"HVN"))</f>
        <v/>
      </c>
      <c r="M936" s="9">
        <f>J936+L936</f>
        <v/>
      </c>
      <c r="N936" s="10">
        <f>$F936*$H936*$M936</f>
        <v/>
      </c>
    </row>
    <row r="937">
      <c r="A937" s="4" t="inlineStr">
        <is>
          <t>UNIT</t>
        </is>
      </c>
      <c r="B937" s="5" t="inlineStr">
        <is>
          <t>PAR_TACOMA</t>
        </is>
      </c>
      <c r="C937" s="5" t="n">
        <v>5</v>
      </c>
      <c r="D937" s="5" t="inlineStr">
        <is>
          <t>VDU</t>
        </is>
      </c>
      <c r="E937" s="5" t="inlineStr">
        <is>
          <t>VDU</t>
        </is>
      </c>
      <c r="F937" s="6" t="n">
        <v>19.2</v>
      </c>
      <c r="G937" s="7" t="n"/>
      <c r="H937" s="8">
        <f>IF($G937&lt;&gt;"",$G937,SUMIFS(Assumptions!$K$4:$K$8,Assumptions!$J$4:$J$8,$C937))</f>
        <v/>
      </c>
      <c r="I937" s="7" t="n"/>
      <c r="J937" s="9">
        <f>IF($I937&lt;&gt;"",$I937,SUMIFS(Assumptions!$P$4:$P$93,Assumptions!$M$4:$M$93,$C937,Assumptions!$N$4:$N$93,$E937,Assumptions!$O$4:$O$93,"LVN"))</f>
        <v/>
      </c>
      <c r="K937" s="7" t="n"/>
      <c r="L937" s="9">
        <f>IF($K937&lt;&gt;"",$K937,SUMIFS(Assumptions!$P$4:$P$93,Assumptions!$M$4:$M$93,$C937,Assumptions!$N$4:$N$93,$E937,Assumptions!$O$4:$O$93,"HVN"))</f>
        <v/>
      </c>
      <c r="M937" s="9">
        <f>J937+L937</f>
        <v/>
      </c>
      <c r="N937" s="10">
        <f>$F937*$H937*$M937</f>
        <v/>
      </c>
    </row>
    <row r="938">
      <c r="A938" s="4" t="inlineStr">
        <is>
          <t>UNIT</t>
        </is>
      </c>
      <c r="B938" s="5" t="inlineStr">
        <is>
          <t>PAR_TACOMA</t>
        </is>
      </c>
      <c r="C938" s="5" t="n">
        <v>5</v>
      </c>
      <c r="D938" s="5" t="inlineStr">
        <is>
          <t>REF</t>
        </is>
      </c>
      <c r="E938" s="5" t="inlineStr">
        <is>
          <t>REFORMER</t>
        </is>
      </c>
      <c r="F938" s="6" t="n">
        <v>6.8</v>
      </c>
      <c r="G938" s="7" t="n"/>
      <c r="H938" s="8">
        <f>IF($G938&lt;&gt;"",$G938,SUMIFS(Assumptions!$K$4:$K$8,Assumptions!$J$4:$J$8,$C938))</f>
        <v/>
      </c>
      <c r="I938" s="7" t="n"/>
      <c r="J938" s="9">
        <f>IF($I938&lt;&gt;"",$I938,SUMIFS(Assumptions!$P$4:$P$93,Assumptions!$M$4:$M$93,$C938,Assumptions!$N$4:$N$93,$E938,Assumptions!$O$4:$O$93,"LVN"))</f>
        <v/>
      </c>
      <c r="K938" s="7" t="n"/>
      <c r="L938" s="9">
        <f>IF($K938&lt;&gt;"",$K938,SUMIFS(Assumptions!$P$4:$P$93,Assumptions!$M$4:$M$93,$C938,Assumptions!$N$4:$N$93,$E938,Assumptions!$O$4:$O$93,"HVN"))</f>
        <v/>
      </c>
      <c r="M938" s="9">
        <f>J938+L938</f>
        <v/>
      </c>
      <c r="N938" s="10">
        <f>$F938*$H938*$M938</f>
        <v/>
      </c>
    </row>
    <row r="939">
      <c r="A939" s="4" t="inlineStr">
        <is>
          <t>UNIT</t>
        </is>
      </c>
      <c r="B939" s="5" t="inlineStr">
        <is>
          <t>PAR_TACOMA</t>
        </is>
      </c>
      <c r="C939" s="5" t="n">
        <v>5</v>
      </c>
      <c r="D939" s="5" t="inlineStr">
        <is>
          <t>ISOM</t>
        </is>
      </c>
      <c r="E939" s="5" t="inlineStr">
        <is>
          <t>ISOM</t>
        </is>
      </c>
      <c r="F939" s="6" t="n">
        <v>4.5</v>
      </c>
      <c r="G939" s="7" t="n"/>
      <c r="H939" s="8">
        <f>IF($G939&lt;&gt;"",$G939,SUMIFS(Assumptions!$K$4:$K$8,Assumptions!$J$4:$J$8,$C939))</f>
        <v/>
      </c>
      <c r="I939" s="7" t="n"/>
      <c r="J939" s="9">
        <f>IF($I939&lt;&gt;"",$I939,SUMIFS(Assumptions!$P$4:$P$93,Assumptions!$M$4:$M$93,$C939,Assumptions!$N$4:$N$93,$E939,Assumptions!$O$4:$O$93,"LVN"))</f>
        <v/>
      </c>
      <c r="K939" s="7" t="n"/>
      <c r="L939" s="9">
        <f>IF($K939&lt;&gt;"",$K939,SUMIFS(Assumptions!$P$4:$P$93,Assumptions!$M$4:$M$93,$C939,Assumptions!$N$4:$N$93,$E939,Assumptions!$O$4:$O$93,"HVN"))</f>
        <v/>
      </c>
      <c r="M939" s="9">
        <f>J939+L939</f>
        <v/>
      </c>
      <c r="N939" s="10">
        <f>$F939*$H939*$M939</f>
        <v/>
      </c>
    </row>
    <row r="940">
      <c r="A940" s="11" t="inlineStr">
        <is>
          <t>TOTAL</t>
        </is>
      </c>
      <c r="B940" s="12" t="inlineStr">
        <is>
          <t>PAR_TACOMA</t>
        </is>
      </c>
      <c r="C940" s="12" t="n">
        <v>5</v>
      </c>
      <c r="D940" s="12" t="inlineStr">
        <is>
          <t>NET NAPHTHA</t>
        </is>
      </c>
      <c r="N940" s="13">
        <f>SUM(N936:N939)</f>
        <v/>
      </c>
    </row>
    <row r="942">
      <c r="A942" s="1" t="inlineStr">
        <is>
          <t xml:space="preserve">  Kern Oil Bakersfield  [KERN_BAKERSFIELD]   —   Kern Oil   —   PADD 5   —   crude 27 kbd</t>
        </is>
      </c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</row>
    <row r="943">
      <c r="A943" s="4" t="inlineStr">
        <is>
          <t>UNIT</t>
        </is>
      </c>
      <c r="B943" s="5" t="inlineStr">
        <is>
          <t>KERN_BAKERSFIELD</t>
        </is>
      </c>
      <c r="C943" s="5" t="n">
        <v>5</v>
      </c>
      <c r="D943" s="5" t="inlineStr">
        <is>
          <t>CDU</t>
        </is>
      </c>
      <c r="E943" s="5" t="inlineStr">
        <is>
          <t>CDU</t>
        </is>
      </c>
      <c r="F943" s="6" t="n">
        <v>27</v>
      </c>
      <c r="G943" s="7" t="n"/>
      <c r="H943" s="8">
        <f>IF($G943&lt;&gt;"",$G943,SUMIFS(Assumptions!$K$4:$K$8,Assumptions!$J$4:$J$8,$C943))</f>
        <v/>
      </c>
      <c r="I943" s="7" t="n"/>
      <c r="J943" s="9">
        <f>IF($I943&lt;&gt;"",$I943,SUMIFS(Assumptions!$P$4:$P$93,Assumptions!$M$4:$M$93,$C943,Assumptions!$N$4:$N$93,$E943,Assumptions!$O$4:$O$93,"LVN"))</f>
        <v/>
      </c>
      <c r="K943" s="7" t="n"/>
      <c r="L943" s="9">
        <f>IF($K943&lt;&gt;"",$K943,SUMIFS(Assumptions!$P$4:$P$93,Assumptions!$M$4:$M$93,$C943,Assumptions!$N$4:$N$93,$E943,Assumptions!$O$4:$O$93,"HVN"))</f>
        <v/>
      </c>
      <c r="M943" s="9">
        <f>J943+L943</f>
        <v/>
      </c>
      <c r="N943" s="10">
        <f>$F943*$H943*$M943</f>
        <v/>
      </c>
    </row>
    <row r="944">
      <c r="A944" s="4" t="inlineStr">
        <is>
          <t>UNIT</t>
        </is>
      </c>
      <c r="B944" s="5" t="inlineStr">
        <is>
          <t>KERN_BAKERSFIELD</t>
        </is>
      </c>
      <c r="C944" s="5" t="n">
        <v>5</v>
      </c>
      <c r="D944" s="5" t="inlineStr">
        <is>
          <t>CCR</t>
        </is>
      </c>
      <c r="E944" s="5" t="inlineStr">
        <is>
          <t>REFORMER</t>
        </is>
      </c>
      <c r="F944" s="6" t="n">
        <v>2.5</v>
      </c>
      <c r="G944" s="7" t="n"/>
      <c r="H944" s="8">
        <f>IF($G944&lt;&gt;"",$G944,SUMIFS(Assumptions!$K$4:$K$8,Assumptions!$J$4:$J$8,$C944))</f>
        <v/>
      </c>
      <c r="I944" s="7" t="n"/>
      <c r="J944" s="9">
        <f>IF($I944&lt;&gt;"",$I944,SUMIFS(Assumptions!$P$4:$P$93,Assumptions!$M$4:$M$93,$C944,Assumptions!$N$4:$N$93,$E944,Assumptions!$O$4:$O$93,"LVN"))</f>
        <v/>
      </c>
      <c r="K944" s="7" t="n"/>
      <c r="L944" s="9">
        <f>IF($K944&lt;&gt;"",$K944,SUMIFS(Assumptions!$P$4:$P$93,Assumptions!$M$4:$M$93,$C944,Assumptions!$N$4:$N$93,$E944,Assumptions!$O$4:$O$93,"HVN"))</f>
        <v/>
      </c>
      <c r="M944" s="9">
        <f>J944+L944</f>
        <v/>
      </c>
      <c r="N944" s="10">
        <f>$F944*$H944*$M944</f>
        <v/>
      </c>
    </row>
    <row r="945">
      <c r="A945" s="4" t="inlineStr">
        <is>
          <t>UNIT</t>
        </is>
      </c>
      <c r="B945" s="5" t="inlineStr">
        <is>
          <t>KERN_BAKERSFIELD</t>
        </is>
      </c>
      <c r="C945" s="5" t="n">
        <v>5</v>
      </c>
      <c r="D945" s="5" t="inlineStr">
        <is>
          <t>REF</t>
        </is>
      </c>
      <c r="E945" s="5" t="inlineStr">
        <is>
          <t>REFORMER</t>
        </is>
      </c>
      <c r="F945" s="6" t="n">
        <v>3.3</v>
      </c>
      <c r="G945" s="7" t="n"/>
      <c r="H945" s="8">
        <f>IF($G945&lt;&gt;"",$G945,SUMIFS(Assumptions!$K$4:$K$8,Assumptions!$J$4:$J$8,$C945))</f>
        <v/>
      </c>
      <c r="I945" s="7" t="n"/>
      <c r="J945" s="9">
        <f>IF($I945&lt;&gt;"",$I945,SUMIFS(Assumptions!$P$4:$P$93,Assumptions!$M$4:$M$93,$C945,Assumptions!$N$4:$N$93,$E945,Assumptions!$O$4:$O$93,"LVN"))</f>
        <v/>
      </c>
      <c r="K945" s="7" t="n"/>
      <c r="L945" s="9">
        <f>IF($K945&lt;&gt;"",$K945,SUMIFS(Assumptions!$P$4:$P$93,Assumptions!$M$4:$M$93,$C945,Assumptions!$N$4:$N$93,$E945,Assumptions!$O$4:$O$93,"HVN"))</f>
        <v/>
      </c>
      <c r="M945" s="9">
        <f>J945+L945</f>
        <v/>
      </c>
      <c r="N945" s="10">
        <f>$F945*$H945*$M945</f>
        <v/>
      </c>
    </row>
    <row r="946">
      <c r="A946" s="11" t="inlineStr">
        <is>
          <t>TOTAL</t>
        </is>
      </c>
      <c r="B946" s="12" t="inlineStr">
        <is>
          <t>KERN_BAKERSFIELD</t>
        </is>
      </c>
      <c r="C946" s="12" t="n">
        <v>5</v>
      </c>
      <c r="D946" s="12" t="inlineStr">
        <is>
          <t>NET NAPHTHA</t>
        </is>
      </c>
      <c r="N946" s="13">
        <f>SUM(N943:N945)</f>
        <v/>
      </c>
    </row>
    <row r="948">
      <c r="A948" s="1" t="inlineStr">
        <is>
          <t xml:space="preserve">  San Joaquin Refining Bakersfield  [SAN_BAKERSFIELD]   —   San Joaquin Refining   —   PADD 5   —   crude 25 kbd</t>
        </is>
      </c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</row>
    <row r="949">
      <c r="A949" s="4" t="inlineStr">
        <is>
          <t>UNIT</t>
        </is>
      </c>
      <c r="B949" s="5" t="inlineStr">
        <is>
          <t>SAN_BAKERSFIELD</t>
        </is>
      </c>
      <c r="C949" s="5" t="n">
        <v>5</v>
      </c>
      <c r="D949" s="5" t="inlineStr">
        <is>
          <t>CDU</t>
        </is>
      </c>
      <c r="E949" s="5" t="inlineStr">
        <is>
          <t>CDU</t>
        </is>
      </c>
      <c r="F949" s="6" t="n">
        <v>25</v>
      </c>
      <c r="G949" s="7" t="n"/>
      <c r="H949" s="8">
        <f>IF($G949&lt;&gt;"",$G949,SUMIFS(Assumptions!$K$4:$K$8,Assumptions!$J$4:$J$8,$C949))</f>
        <v/>
      </c>
      <c r="I949" s="7" t="n"/>
      <c r="J949" s="9">
        <f>IF($I949&lt;&gt;"",$I949,SUMIFS(Assumptions!$P$4:$P$93,Assumptions!$M$4:$M$93,$C949,Assumptions!$N$4:$N$93,$E949,Assumptions!$O$4:$O$93,"LVN"))</f>
        <v/>
      </c>
      <c r="K949" s="7" t="n"/>
      <c r="L949" s="9">
        <f>IF($K949&lt;&gt;"",$K949,SUMIFS(Assumptions!$P$4:$P$93,Assumptions!$M$4:$M$93,$C949,Assumptions!$N$4:$N$93,$E949,Assumptions!$O$4:$O$93,"HVN"))</f>
        <v/>
      </c>
      <c r="M949" s="9">
        <f>J949+L949</f>
        <v/>
      </c>
      <c r="N949" s="10">
        <f>$F949*$H949*$M949</f>
        <v/>
      </c>
    </row>
    <row r="950">
      <c r="A950" s="4" t="inlineStr">
        <is>
          <t>UNIT</t>
        </is>
      </c>
      <c r="B950" s="5" t="inlineStr">
        <is>
          <t>SAN_BAKERSFIELD</t>
        </is>
      </c>
      <c r="C950" s="5" t="n">
        <v>5</v>
      </c>
      <c r="D950" s="5" t="inlineStr">
        <is>
          <t>VDU</t>
        </is>
      </c>
      <c r="E950" s="5" t="inlineStr">
        <is>
          <t>VDU</t>
        </is>
      </c>
      <c r="F950" s="6" t="n">
        <v>14.3</v>
      </c>
      <c r="G950" s="7" t="n"/>
      <c r="H950" s="8">
        <f>IF($G950&lt;&gt;"",$G950,SUMIFS(Assumptions!$K$4:$K$8,Assumptions!$J$4:$J$8,$C950))</f>
        <v/>
      </c>
      <c r="I950" s="7" t="n"/>
      <c r="J950" s="9">
        <f>IF($I950&lt;&gt;"",$I950,SUMIFS(Assumptions!$P$4:$P$93,Assumptions!$M$4:$M$93,$C950,Assumptions!$N$4:$N$93,$E950,Assumptions!$O$4:$O$93,"LVN"))</f>
        <v/>
      </c>
      <c r="K950" s="7" t="n"/>
      <c r="L950" s="9">
        <f>IF($K950&lt;&gt;"",$K950,SUMIFS(Assumptions!$P$4:$P$93,Assumptions!$M$4:$M$93,$C950,Assumptions!$N$4:$N$93,$E950,Assumptions!$O$4:$O$93,"HVN"))</f>
        <v/>
      </c>
      <c r="M950" s="9">
        <f>J950+L950</f>
        <v/>
      </c>
      <c r="N950" s="10">
        <f>$F950*$H950*$M950</f>
        <v/>
      </c>
    </row>
    <row r="951">
      <c r="A951" s="11" t="inlineStr">
        <is>
          <t>TOTAL</t>
        </is>
      </c>
      <c r="B951" s="12" t="inlineStr">
        <is>
          <t>SAN_BAKERSFIELD</t>
        </is>
      </c>
      <c r="C951" s="12" t="n">
        <v>5</v>
      </c>
      <c r="D951" s="12" t="inlineStr">
        <is>
          <t>NET NAPHTHA</t>
        </is>
      </c>
      <c r="N951" s="13">
        <f>SUM(N949:N950)</f>
        <v/>
      </c>
    </row>
    <row r="953">
      <c r="A953" s="1" t="inlineStr">
        <is>
          <t xml:space="preserve">  Petro Star Inc. North Pole  [PETRO_NORTH_POLE]   —   Petro Star Inc.   —   PADD 5   —   crude 22 kbd</t>
        </is>
      </c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</row>
    <row r="954">
      <c r="A954" s="4" t="inlineStr">
        <is>
          <t>UNIT</t>
        </is>
      </c>
      <c r="B954" s="5" t="inlineStr">
        <is>
          <t>PETRO_NORTH_POLE</t>
        </is>
      </c>
      <c r="C954" s="5" t="n">
        <v>5</v>
      </c>
      <c r="D954" s="5" t="inlineStr">
        <is>
          <t>CDU</t>
        </is>
      </c>
      <c r="E954" s="5" t="inlineStr">
        <is>
          <t>CDU</t>
        </is>
      </c>
      <c r="F954" s="6" t="n">
        <v>22.5</v>
      </c>
      <c r="G954" s="7" t="n"/>
      <c r="H954" s="8">
        <f>IF($G954&lt;&gt;"",$G954,SUMIFS(Assumptions!$K$4:$K$8,Assumptions!$J$4:$J$8,$C954))</f>
        <v/>
      </c>
      <c r="I954" s="7" t="n"/>
      <c r="J954" s="9">
        <f>IF($I954&lt;&gt;"",$I954,SUMIFS(Assumptions!$P$4:$P$93,Assumptions!$M$4:$M$93,$C954,Assumptions!$N$4:$N$93,$E954,Assumptions!$O$4:$O$93,"LVN"))</f>
        <v/>
      </c>
      <c r="K954" s="7" t="n"/>
      <c r="L954" s="9">
        <f>IF($K954&lt;&gt;"",$K954,SUMIFS(Assumptions!$P$4:$P$93,Assumptions!$M$4:$M$93,$C954,Assumptions!$N$4:$N$93,$E954,Assumptions!$O$4:$O$93,"HVN"))</f>
        <v/>
      </c>
      <c r="M954" s="9">
        <f>J954+L954</f>
        <v/>
      </c>
      <c r="N954" s="10">
        <f>$F954*$H954*$M954</f>
        <v/>
      </c>
    </row>
    <row r="955">
      <c r="A955" s="11" t="inlineStr">
        <is>
          <t>TOTAL</t>
        </is>
      </c>
      <c r="B955" s="12" t="inlineStr">
        <is>
          <t>PETRO_NORTH_POLE</t>
        </is>
      </c>
      <c r="C955" s="12" t="n">
        <v>5</v>
      </c>
      <c r="D955" s="12" t="inlineStr">
        <is>
          <t>NET NAPHTHA</t>
        </is>
      </c>
      <c r="N955" s="13">
        <f>SUM(N954:N954)</f>
        <v/>
      </c>
    </row>
    <row r="957">
      <c r="A957" s="1" t="inlineStr">
        <is>
          <t xml:space="preserve">  BP Prudhoe Bay  [BP_PRUDHOE_BAY]   —   BP   —   PADD 5   —   crude 16 kbd</t>
        </is>
      </c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</row>
    <row r="958">
      <c r="A958" s="4" t="inlineStr">
        <is>
          <t>UNIT</t>
        </is>
      </c>
      <c r="B958" s="5" t="inlineStr">
        <is>
          <t>BP_PRUDHOE_BAY</t>
        </is>
      </c>
      <c r="C958" s="5" t="n">
        <v>5</v>
      </c>
      <c r="D958" s="5" t="inlineStr">
        <is>
          <t>CDU</t>
        </is>
      </c>
      <c r="E958" s="5" t="inlineStr">
        <is>
          <t>CDU</t>
        </is>
      </c>
      <c r="F958" s="6" t="n">
        <v>8</v>
      </c>
      <c r="G958" s="7" t="n"/>
      <c r="H958" s="8">
        <f>IF($G958&lt;&gt;"",$G958,SUMIFS(Assumptions!$K$4:$K$8,Assumptions!$J$4:$J$8,$C958))</f>
        <v/>
      </c>
      <c r="I958" s="7" t="n"/>
      <c r="J958" s="9">
        <f>IF($I958&lt;&gt;"",$I958,SUMIFS(Assumptions!$P$4:$P$93,Assumptions!$M$4:$M$93,$C958,Assumptions!$N$4:$N$93,$E958,Assumptions!$O$4:$O$93,"LVN"))</f>
        <v/>
      </c>
      <c r="K958" s="7" t="n"/>
      <c r="L958" s="9">
        <f>IF($K958&lt;&gt;"",$K958,SUMIFS(Assumptions!$P$4:$P$93,Assumptions!$M$4:$M$93,$C958,Assumptions!$N$4:$N$93,$E958,Assumptions!$O$4:$O$93,"HVN"))</f>
        <v/>
      </c>
      <c r="M958" s="9">
        <f>J958+L958</f>
        <v/>
      </c>
      <c r="N958" s="10">
        <f>$F958*$H958*$M958</f>
        <v/>
      </c>
    </row>
    <row r="959">
      <c r="A959" s="11" t="inlineStr">
        <is>
          <t>TOTAL</t>
        </is>
      </c>
      <c r="B959" s="12" t="inlineStr">
        <is>
          <t>BP_PRUDHOE_BAY</t>
        </is>
      </c>
      <c r="C959" s="12" t="n">
        <v>5</v>
      </c>
      <c r="D959" s="12" t="inlineStr">
        <is>
          <t>NET NAPHTHA</t>
        </is>
      </c>
      <c r="N959" s="13">
        <f>SUM(N958:N958)</f>
        <v/>
      </c>
    </row>
    <row r="961">
      <c r="A961" s="1" t="inlineStr">
        <is>
          <t xml:space="preserve">  ConocoPhillips Anchorage  [CONOCOPHILLIPS_ANCHORAGE]   —   Phillips Petroleum   —   PADD 5   —   crude 16 kbd</t>
        </is>
      </c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</row>
    <row r="962">
      <c r="A962" s="4" t="inlineStr">
        <is>
          <t>UNIT</t>
        </is>
      </c>
      <c r="B962" s="5" t="inlineStr">
        <is>
          <t>CONOCOPHILLIPS_ANCHORAGE</t>
        </is>
      </c>
      <c r="C962" s="5" t="n">
        <v>5</v>
      </c>
      <c r="D962" s="5" t="inlineStr">
        <is>
          <t>CDU</t>
        </is>
      </c>
      <c r="E962" s="5" t="inlineStr">
        <is>
          <t>CDU</t>
        </is>
      </c>
      <c r="F962" s="6" t="n">
        <v>16</v>
      </c>
      <c r="G962" s="7" t="n"/>
      <c r="H962" s="8">
        <f>IF($G962&lt;&gt;"",$G962,SUMIFS(Assumptions!$K$4:$K$8,Assumptions!$J$4:$J$8,$C962))</f>
        <v/>
      </c>
      <c r="I962" s="7" t="n"/>
      <c r="J962" s="9">
        <f>IF($I962&lt;&gt;"",$I962,SUMIFS(Assumptions!$P$4:$P$93,Assumptions!$M$4:$M$93,$C962,Assumptions!$N$4:$N$93,$E962,Assumptions!$O$4:$O$93,"LVN"))</f>
        <v/>
      </c>
      <c r="K962" s="7" t="n"/>
      <c r="L962" s="9">
        <f>IF($K962&lt;&gt;"",$K962,SUMIFS(Assumptions!$P$4:$P$93,Assumptions!$M$4:$M$93,$C962,Assumptions!$N$4:$N$93,$E962,Assumptions!$O$4:$O$93,"HVN"))</f>
        <v/>
      </c>
      <c r="M962" s="9">
        <f>J962+L962</f>
        <v/>
      </c>
      <c r="N962" s="10">
        <f>$F962*$H962*$M962</f>
        <v/>
      </c>
    </row>
    <row r="963">
      <c r="A963" s="11" t="inlineStr">
        <is>
          <t>TOTAL</t>
        </is>
      </c>
      <c r="B963" s="12" t="inlineStr">
        <is>
          <t>CONOCOPHILLIPS_ANCHORAGE</t>
        </is>
      </c>
      <c r="C963" s="12" t="n">
        <v>5</v>
      </c>
      <c r="D963" s="12" t="inlineStr">
        <is>
          <t>NET NAPHTHA</t>
        </is>
      </c>
      <c r="N963" s="13">
        <f>SUM(N962:N962)</f>
        <v/>
      </c>
    </row>
    <row r="965">
      <c r="A965" s="1" t="inlineStr">
        <is>
          <t xml:space="preserve">  Lunday-Thagard Oil Co. South Gate  [LUNDAYTHAGARD_SOUTH_GATE]   —   Lunday-Thagard Oil Co.   —   PADD 5   —   crude 8 kbd</t>
        </is>
      </c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</row>
    <row r="966">
      <c r="A966" s="4" t="inlineStr">
        <is>
          <t>UNIT</t>
        </is>
      </c>
      <c r="B966" s="5" t="inlineStr">
        <is>
          <t>LUNDAYTHAGARD_SOUTH_GATE</t>
        </is>
      </c>
      <c r="C966" s="5" t="n">
        <v>5</v>
      </c>
      <c r="D966" s="5" t="inlineStr">
        <is>
          <t>CDU</t>
        </is>
      </c>
      <c r="E966" s="5" t="inlineStr">
        <is>
          <t>CDU</t>
        </is>
      </c>
      <c r="F966" s="6" t="n">
        <v>10</v>
      </c>
      <c r="G966" s="7" t="n"/>
      <c r="H966" s="8">
        <f>IF($G966&lt;&gt;"",$G966,SUMIFS(Assumptions!$K$4:$K$8,Assumptions!$J$4:$J$8,$C966))</f>
        <v/>
      </c>
      <c r="I966" s="7" t="n"/>
      <c r="J966" s="9">
        <f>IF($I966&lt;&gt;"",$I966,SUMIFS(Assumptions!$P$4:$P$93,Assumptions!$M$4:$M$93,$C966,Assumptions!$N$4:$N$93,$E966,Assumptions!$O$4:$O$93,"LVN"))</f>
        <v/>
      </c>
      <c r="K966" s="7" t="n"/>
      <c r="L966" s="9">
        <f>IF($K966&lt;&gt;"",$K966,SUMIFS(Assumptions!$P$4:$P$93,Assumptions!$M$4:$M$93,$C966,Assumptions!$N$4:$N$93,$E966,Assumptions!$O$4:$O$93,"HVN"))</f>
        <v/>
      </c>
      <c r="M966" s="9">
        <f>J966+L966</f>
        <v/>
      </c>
      <c r="N966" s="10">
        <f>$F966*$H966*$M966</f>
        <v/>
      </c>
    </row>
    <row r="967">
      <c r="A967" s="4" t="inlineStr">
        <is>
          <t>UNIT</t>
        </is>
      </c>
      <c r="B967" s="5" t="inlineStr">
        <is>
          <t>LUNDAYTHAGARD_SOUTH_GATE</t>
        </is>
      </c>
      <c r="C967" s="5" t="n">
        <v>5</v>
      </c>
      <c r="D967" s="5" t="inlineStr">
        <is>
          <t>VDU</t>
        </is>
      </c>
      <c r="E967" s="5" t="inlineStr">
        <is>
          <t>VDU</t>
        </is>
      </c>
      <c r="F967" s="6" t="n">
        <v>5</v>
      </c>
      <c r="G967" s="7" t="n"/>
      <c r="H967" s="8">
        <f>IF($G967&lt;&gt;"",$G967,SUMIFS(Assumptions!$K$4:$K$8,Assumptions!$J$4:$J$8,$C967))</f>
        <v/>
      </c>
      <c r="I967" s="7" t="n"/>
      <c r="J967" s="9">
        <f>IF($I967&lt;&gt;"",$I967,SUMIFS(Assumptions!$P$4:$P$93,Assumptions!$M$4:$M$93,$C967,Assumptions!$N$4:$N$93,$E967,Assumptions!$O$4:$O$93,"LVN"))</f>
        <v/>
      </c>
      <c r="K967" s="7" t="n"/>
      <c r="L967" s="9">
        <f>IF($K967&lt;&gt;"",$K967,SUMIFS(Assumptions!$P$4:$P$93,Assumptions!$M$4:$M$93,$C967,Assumptions!$N$4:$N$93,$E967,Assumptions!$O$4:$O$93,"HVN"))</f>
        <v/>
      </c>
      <c r="M967" s="9">
        <f>J967+L967</f>
        <v/>
      </c>
      <c r="N967" s="10">
        <f>$F967*$H967*$M967</f>
        <v/>
      </c>
    </row>
    <row r="968">
      <c r="A968" s="11" t="inlineStr">
        <is>
          <t>TOTAL</t>
        </is>
      </c>
      <c r="B968" s="12" t="inlineStr">
        <is>
          <t>LUNDAYTHAGARD_SOUTH_GATE</t>
        </is>
      </c>
      <c r="C968" s="12" t="n">
        <v>5</v>
      </c>
      <c r="D968" s="12" t="inlineStr">
        <is>
          <t>NET NAPHTHA</t>
        </is>
      </c>
      <c r="N968" s="13">
        <f>SUM(N966:N967)</f>
        <v/>
      </c>
    </row>
    <row r="970">
      <c r="A970" s="1" t="inlineStr">
        <is>
          <t xml:space="preserve">  Foreland Corp Tonopah  [FORELAND_TONOPAH]   —   Energy Income Fund   —   PADD 5   —   crude 5 kbd</t>
        </is>
      </c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</row>
    <row r="971">
      <c r="A971" s="4" t="inlineStr">
        <is>
          <t>UNIT</t>
        </is>
      </c>
      <c r="B971" s="5" t="inlineStr">
        <is>
          <t>FORELAND_TONOPAH</t>
        </is>
      </c>
      <c r="C971" s="5" t="n">
        <v>5</v>
      </c>
      <c r="D971" s="5" t="inlineStr">
        <is>
          <t>CDU</t>
        </is>
      </c>
      <c r="E971" s="5" t="inlineStr">
        <is>
          <t>CDU</t>
        </is>
      </c>
      <c r="F971" s="6" t="n">
        <v>5</v>
      </c>
      <c r="G971" s="7" t="n"/>
      <c r="H971" s="8">
        <f>IF($G971&lt;&gt;"",$G971,SUMIFS(Assumptions!$K$4:$K$8,Assumptions!$J$4:$J$8,$C971))</f>
        <v/>
      </c>
      <c r="I971" s="7" t="n"/>
      <c r="J971" s="9">
        <f>IF($I971&lt;&gt;"",$I971,SUMIFS(Assumptions!$P$4:$P$93,Assumptions!$M$4:$M$93,$C971,Assumptions!$N$4:$N$93,$E971,Assumptions!$O$4:$O$93,"LVN"))</f>
        <v/>
      </c>
      <c r="K971" s="7" t="n"/>
      <c r="L971" s="9">
        <f>IF($K971&lt;&gt;"",$K971,SUMIFS(Assumptions!$P$4:$P$93,Assumptions!$M$4:$M$93,$C971,Assumptions!$N$4:$N$93,$E971,Assumptions!$O$4:$O$93,"HVN"))</f>
        <v/>
      </c>
      <c r="M971" s="9">
        <f>J971+L971</f>
        <v/>
      </c>
      <c r="N971" s="10">
        <f>$F971*$H971*$M971</f>
        <v/>
      </c>
    </row>
    <row r="972">
      <c r="A972" s="4" t="inlineStr">
        <is>
          <t>UNIT</t>
        </is>
      </c>
      <c r="B972" s="5" t="inlineStr">
        <is>
          <t>FORELAND_TONOPAH</t>
        </is>
      </c>
      <c r="C972" s="5" t="n">
        <v>5</v>
      </c>
      <c r="D972" s="5" t="inlineStr">
        <is>
          <t>VDU</t>
        </is>
      </c>
      <c r="E972" s="5" t="inlineStr">
        <is>
          <t>VDU</t>
        </is>
      </c>
      <c r="F972" s="6" t="n">
        <v>2.75</v>
      </c>
      <c r="G972" s="7" t="n"/>
      <c r="H972" s="8">
        <f>IF($G972&lt;&gt;"",$G972,SUMIFS(Assumptions!$K$4:$K$8,Assumptions!$J$4:$J$8,$C972))</f>
        <v/>
      </c>
      <c r="I972" s="7" t="n"/>
      <c r="J972" s="9">
        <f>IF($I972&lt;&gt;"",$I972,SUMIFS(Assumptions!$P$4:$P$93,Assumptions!$M$4:$M$93,$C972,Assumptions!$N$4:$N$93,$E972,Assumptions!$O$4:$O$93,"LVN"))</f>
        <v/>
      </c>
      <c r="K972" s="7" t="n"/>
      <c r="L972" s="9">
        <f>IF($K972&lt;&gt;"",$K972,SUMIFS(Assumptions!$P$4:$P$93,Assumptions!$M$4:$M$93,$C972,Assumptions!$N$4:$N$93,$E972,Assumptions!$O$4:$O$93,"HVN"))</f>
        <v/>
      </c>
      <c r="M972" s="9">
        <f>J972+L972</f>
        <v/>
      </c>
      <c r="N972" s="10">
        <f>$F972*$H972*$M972</f>
        <v/>
      </c>
    </row>
    <row r="973">
      <c r="A973" s="11" t="inlineStr">
        <is>
          <t>TOTAL</t>
        </is>
      </c>
      <c r="B973" s="12" t="inlineStr">
        <is>
          <t>FORELAND_TONOPAH</t>
        </is>
      </c>
      <c r="C973" s="12" t="n">
        <v>5</v>
      </c>
      <c r="D973" s="12" t="inlineStr">
        <is>
          <t>NET NAPHTHA</t>
        </is>
      </c>
      <c r="N973" s="13">
        <f>SUM(N971:N972)</f>
        <v/>
      </c>
    </row>
    <row r="975">
      <c r="A975" s="1" t="inlineStr">
        <is>
          <t xml:space="preserve">  Phillips 66 Co. Los Angeles  [PHILLIPS_LOS_ANGELES]   —   Phillips 66 Co.   —   PADD 5   —   crude: pending capacity sheet</t>
        </is>
      </c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</row>
    <row r="976">
      <c r="A976" s="4" t="inlineStr">
        <is>
          <t>UNIT</t>
        </is>
      </c>
      <c r="B976" s="5" t="inlineStr">
        <is>
          <t>PHILLIPS_LOS_ANGELES</t>
        </is>
      </c>
      <c r="C976" s="5" t="n">
        <v>5</v>
      </c>
      <c r="D976" s="5" t="inlineStr">
        <is>
          <t>CRUDE-EST</t>
        </is>
      </c>
      <c r="E976" s="5" t="inlineStr">
        <is>
          <t>est. yield</t>
        </is>
      </c>
      <c r="F976" s="14">
        <f>SUMIFS(Data!$G$3:$G$125,Data!$A$3:$A$125,$B976)</f>
        <v/>
      </c>
      <c r="G976" s="7" t="n"/>
      <c r="H976" s="8">
        <f>IF($G976&lt;&gt;"",$G976,SUMIFS(Assumptions!$K$4:$K$8,Assumptions!$J$4:$J$8,$C976))</f>
        <v/>
      </c>
      <c r="I976" s="7" t="n"/>
      <c r="J976" s="9">
        <f>IF($I976&lt;&gt;"",$I976,SUMIFS(Data!$N$3:$N$125,Data!$A$3:$A$125,$B976)*Assumptions!$S$4)</f>
        <v/>
      </c>
      <c r="K976" s="7" t="n"/>
      <c r="L976" s="9">
        <f>IF($K976&lt;&gt;"",$K976,SUMIFS(Data!$N$3:$N$125,Data!$A$3:$A$125,$B976)*Assumptions!$S$5)</f>
        <v/>
      </c>
      <c r="M976" s="9">
        <f>J976+L976</f>
        <v/>
      </c>
      <c r="N976" s="10">
        <f>$F976*$H976*$M976</f>
        <v/>
      </c>
    </row>
    <row r="977">
      <c r="A977" s="11" t="inlineStr">
        <is>
          <t>TOTAL</t>
        </is>
      </c>
      <c r="B977" s="12" t="inlineStr">
        <is>
          <t>PHILLIPS_LOS_ANGELES</t>
        </is>
      </c>
      <c r="C977" s="12" t="n">
        <v>5</v>
      </c>
      <c r="D977" s="12" t="inlineStr">
        <is>
          <t>NET NAPHTHA</t>
        </is>
      </c>
      <c r="N977" s="13">
        <f>SUM(N976:N976)</f>
        <v/>
      </c>
    </row>
    <row r="979">
      <c r="A979" s="1" t="inlineStr">
        <is>
          <t xml:space="preserve">  Valero Benicia  [VALERO_BENICIA]   —   Valero   —   PADD 5   —   crude: pending capacity sheet</t>
        </is>
      </c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</row>
    <row r="980">
      <c r="A980" s="4" t="inlineStr">
        <is>
          <t>UNIT</t>
        </is>
      </c>
      <c r="B980" s="5" t="inlineStr">
        <is>
          <t>VALERO_BENICIA</t>
        </is>
      </c>
      <c r="C980" s="5" t="n">
        <v>5</v>
      </c>
      <c r="D980" s="5" t="inlineStr">
        <is>
          <t>CDU</t>
        </is>
      </c>
      <c r="E980" s="5" t="inlineStr">
        <is>
          <t>CDU</t>
        </is>
      </c>
      <c r="F980" s="6" t="n">
        <v>149</v>
      </c>
      <c r="G980" s="7" t="n">
        <v>0.62</v>
      </c>
      <c r="H980" s="8">
        <f>IF($G980&lt;&gt;"",$G980,SUMIFS(Assumptions!$K$4:$K$8,Assumptions!$J$4:$J$8,$C980))</f>
        <v/>
      </c>
      <c r="I980" s="7" t="n"/>
      <c r="J980" s="9">
        <f>IF($I980&lt;&gt;"",$I980,SUMIFS(Assumptions!$P$4:$P$93,Assumptions!$M$4:$M$93,$C980,Assumptions!$N$4:$N$93,$E980,Assumptions!$O$4:$O$93,"LVN"))</f>
        <v/>
      </c>
      <c r="K980" s="7" t="n"/>
      <c r="L980" s="9">
        <f>IF($K980&lt;&gt;"",$K980,SUMIFS(Assumptions!$P$4:$P$93,Assumptions!$M$4:$M$93,$C980,Assumptions!$N$4:$N$93,$E980,Assumptions!$O$4:$O$93,"HVN"))</f>
        <v/>
      </c>
      <c r="M980" s="9">
        <f>J980+L980</f>
        <v/>
      </c>
      <c r="N980" s="10">
        <f>$F980*$H980*$M980</f>
        <v/>
      </c>
    </row>
    <row r="981">
      <c r="A981" s="4" t="inlineStr">
        <is>
          <t>UNIT</t>
        </is>
      </c>
      <c r="B981" s="5" t="inlineStr">
        <is>
          <t>VALERO_BENICIA</t>
        </is>
      </c>
      <c r="C981" s="5" t="n">
        <v>5</v>
      </c>
      <c r="D981" s="5" t="inlineStr">
        <is>
          <t>VDU</t>
        </is>
      </c>
      <c r="E981" s="5" t="inlineStr">
        <is>
          <t>VDU</t>
        </is>
      </c>
      <c r="F981" s="6" t="n">
        <v>85.5</v>
      </c>
      <c r="G981" s="7" t="n">
        <v>0.515</v>
      </c>
      <c r="H981" s="8">
        <f>IF($G981&lt;&gt;"",$G981,SUMIFS(Assumptions!$K$4:$K$8,Assumptions!$J$4:$J$8,$C981))</f>
        <v/>
      </c>
      <c r="I981" s="7" t="n"/>
      <c r="J981" s="9">
        <f>IF($I981&lt;&gt;"",$I981,SUMIFS(Assumptions!$P$4:$P$93,Assumptions!$M$4:$M$93,$C981,Assumptions!$N$4:$N$93,$E981,Assumptions!$O$4:$O$93,"LVN"))</f>
        <v/>
      </c>
      <c r="K981" s="7" t="n"/>
      <c r="L981" s="9">
        <f>IF($K981&lt;&gt;"",$K981,SUMIFS(Assumptions!$P$4:$P$93,Assumptions!$M$4:$M$93,$C981,Assumptions!$N$4:$N$93,$E981,Assumptions!$O$4:$O$93,"HVN"))</f>
        <v/>
      </c>
      <c r="M981" s="9">
        <f>J981+L981</f>
        <v/>
      </c>
      <c r="N981" s="10">
        <f>$F981*$H981*$M981</f>
        <v/>
      </c>
    </row>
    <row r="982">
      <c r="A982" s="4" t="inlineStr">
        <is>
          <t>UNIT</t>
        </is>
      </c>
      <c r="B982" s="5" t="inlineStr">
        <is>
          <t>VALERO_BENICIA</t>
        </is>
      </c>
      <c r="C982" s="5" t="n">
        <v>5</v>
      </c>
      <c r="D982" s="5" t="inlineStr">
        <is>
          <t>FCC</t>
        </is>
      </c>
      <c r="E982" s="5" t="inlineStr">
        <is>
          <t>FCC</t>
        </is>
      </c>
      <c r="F982" s="6" t="n">
        <v>75.3</v>
      </c>
      <c r="G982" s="7" t="n">
        <v>0.6860000000000001</v>
      </c>
      <c r="H982" s="8">
        <f>IF($G982&lt;&gt;"",$G982,SUMIFS(Assumptions!$K$4:$K$8,Assumptions!$J$4:$J$8,$C982))</f>
        <v/>
      </c>
      <c r="I982" s="7" t="n"/>
      <c r="J982" s="9">
        <f>IF($I982&lt;&gt;"",$I982,SUMIFS(Assumptions!$P$4:$P$93,Assumptions!$M$4:$M$93,$C982,Assumptions!$N$4:$N$93,$E982,Assumptions!$O$4:$O$93,"LVN"))</f>
        <v/>
      </c>
      <c r="K982" s="7" t="n"/>
      <c r="L982" s="9">
        <f>IF($K982&lt;&gt;"",$K982,SUMIFS(Assumptions!$P$4:$P$93,Assumptions!$M$4:$M$93,$C982,Assumptions!$N$4:$N$93,$E982,Assumptions!$O$4:$O$93,"HVN"))</f>
        <v/>
      </c>
      <c r="M982" s="9">
        <f>J982+L982</f>
        <v/>
      </c>
      <c r="N982" s="10">
        <f>$F982*$H982*$M982</f>
        <v/>
      </c>
    </row>
    <row r="983">
      <c r="A983" s="4" t="inlineStr">
        <is>
          <t>UNIT</t>
        </is>
      </c>
      <c r="B983" s="5" t="inlineStr">
        <is>
          <t>VALERO_BENICIA</t>
        </is>
      </c>
      <c r="C983" s="5" t="n">
        <v>5</v>
      </c>
      <c r="D983" s="5" t="inlineStr">
        <is>
          <t>DHCU</t>
        </is>
      </c>
      <c r="E983" s="5" t="inlineStr">
        <is>
          <t>HYDROCRACKER</t>
        </is>
      </c>
      <c r="F983" s="6" t="n">
        <v>34</v>
      </c>
      <c r="G983" s="7" t="n">
        <v>0.311</v>
      </c>
      <c r="H983" s="8">
        <f>IF($G983&lt;&gt;"",$G983,SUMIFS(Assumptions!$K$4:$K$8,Assumptions!$J$4:$J$8,$C983))</f>
        <v/>
      </c>
      <c r="I983" s="7" t="n"/>
      <c r="J983" s="9">
        <f>IF($I983&lt;&gt;"",$I983,SUMIFS(Assumptions!$P$4:$P$93,Assumptions!$M$4:$M$93,$C983,Assumptions!$N$4:$N$93,$E983,Assumptions!$O$4:$O$93,"LVN"))</f>
        <v/>
      </c>
      <c r="K983" s="7" t="n"/>
      <c r="L983" s="9">
        <f>IF($K983&lt;&gt;"",$K983,SUMIFS(Assumptions!$P$4:$P$93,Assumptions!$M$4:$M$93,$C983,Assumptions!$N$4:$N$93,$E983,Assumptions!$O$4:$O$93,"HVN"))</f>
        <v/>
      </c>
      <c r="M983" s="9">
        <f>J983+L983</f>
        <v/>
      </c>
      <c r="N983" s="10">
        <f>$F983*$H983*$M983</f>
        <v/>
      </c>
    </row>
    <row r="984">
      <c r="A984" s="4" t="inlineStr">
        <is>
          <t>UNIT</t>
        </is>
      </c>
      <c r="B984" s="5" t="inlineStr">
        <is>
          <t>VALERO_BENICIA</t>
        </is>
      </c>
      <c r="C984" s="5" t="n">
        <v>5</v>
      </c>
      <c r="D984" s="5" t="inlineStr">
        <is>
          <t>FCOKER</t>
        </is>
      </c>
      <c r="E984" s="5" t="inlineStr">
        <is>
          <t>COKER</t>
        </is>
      </c>
      <c r="F984" s="6" t="n">
        <v>29.5</v>
      </c>
      <c r="G984" s="7" t="n">
        <v>0.274</v>
      </c>
      <c r="H984" s="8">
        <f>IF($G984&lt;&gt;"",$G984,SUMIFS(Assumptions!$K$4:$K$8,Assumptions!$J$4:$J$8,$C984))</f>
        <v/>
      </c>
      <c r="I984" s="7" t="n"/>
      <c r="J984" s="9">
        <f>IF($I984&lt;&gt;"",$I984,SUMIFS(Assumptions!$P$4:$P$93,Assumptions!$M$4:$M$93,$C984,Assumptions!$N$4:$N$93,$E984,Assumptions!$O$4:$O$93,"LVN"))</f>
        <v/>
      </c>
      <c r="K984" s="7" t="n"/>
      <c r="L984" s="9">
        <f>IF($K984&lt;&gt;"",$K984,SUMIFS(Assumptions!$P$4:$P$93,Assumptions!$M$4:$M$93,$C984,Assumptions!$N$4:$N$93,$E984,Assumptions!$O$4:$O$93,"HVN"))</f>
        <v/>
      </c>
      <c r="M984" s="9">
        <f>J984+L984</f>
        <v/>
      </c>
      <c r="N984" s="10">
        <f>$F984*$H984*$M984</f>
        <v/>
      </c>
    </row>
    <row r="985">
      <c r="A985" s="4" t="inlineStr">
        <is>
          <t>UNIT</t>
        </is>
      </c>
      <c r="B985" s="5" t="inlineStr">
        <is>
          <t>VALERO_BENICIA</t>
        </is>
      </c>
      <c r="C985" s="5" t="n">
        <v>5</v>
      </c>
      <c r="D985" s="5" t="inlineStr">
        <is>
          <t>REF</t>
        </is>
      </c>
      <c r="E985" s="5" t="inlineStr">
        <is>
          <t>REFORMER</t>
        </is>
      </c>
      <c r="F985" s="6" t="n">
        <v>37.2</v>
      </c>
      <c r="G985" s="7" t="n">
        <v>0.487</v>
      </c>
      <c r="H985" s="8">
        <f>IF($G985&lt;&gt;"",$G985,SUMIFS(Assumptions!$K$4:$K$8,Assumptions!$J$4:$J$8,$C985))</f>
        <v/>
      </c>
      <c r="I985" s="7" t="n"/>
      <c r="J985" s="9">
        <f>IF($I985&lt;&gt;"",$I985,SUMIFS(Assumptions!$P$4:$P$93,Assumptions!$M$4:$M$93,$C985,Assumptions!$N$4:$N$93,$E985,Assumptions!$O$4:$O$93,"LVN"))</f>
        <v/>
      </c>
      <c r="K985" s="7" t="n"/>
      <c r="L985" s="9">
        <f>IF($K985&lt;&gt;"",$K985,SUMIFS(Assumptions!$P$4:$P$93,Assumptions!$M$4:$M$93,$C985,Assumptions!$N$4:$N$93,$E985,Assumptions!$O$4:$O$93,"HVN"))</f>
        <v/>
      </c>
      <c r="M985" s="9">
        <f>J985+L985</f>
        <v/>
      </c>
      <c r="N985" s="10">
        <f>$F985*$H985*$M985</f>
        <v/>
      </c>
    </row>
    <row r="986">
      <c r="A986" s="4" t="inlineStr">
        <is>
          <t>UNIT</t>
        </is>
      </c>
      <c r="B986" s="5" t="inlineStr">
        <is>
          <t>VALERO_BENICIA</t>
        </is>
      </c>
      <c r="C986" s="5" t="n">
        <v>5</v>
      </c>
      <c r="D986" s="5" t="inlineStr">
        <is>
          <t>ALKY</t>
        </is>
      </c>
      <c r="E986" s="5" t="inlineStr">
        <is>
          <t>ALKY</t>
        </is>
      </c>
      <c r="F986" s="6" t="n">
        <v>17.1</v>
      </c>
      <c r="G986" s="7" t="n">
        <v>0.8169999999999999</v>
      </c>
      <c r="H986" s="8">
        <f>IF($G986&lt;&gt;"",$G986,SUMIFS(Assumptions!$K$4:$K$8,Assumptions!$J$4:$J$8,$C986))</f>
        <v/>
      </c>
      <c r="I986" s="7" t="n"/>
      <c r="J986" s="9">
        <f>IF($I986&lt;&gt;"",$I986,SUMIFS(Assumptions!$P$4:$P$93,Assumptions!$M$4:$M$93,$C986,Assumptions!$N$4:$N$93,$E986,Assumptions!$O$4:$O$93,"LVN"))</f>
        <v/>
      </c>
      <c r="K986" s="7" t="n"/>
      <c r="L986" s="9">
        <f>IF($K986&lt;&gt;"",$K986,SUMIFS(Assumptions!$P$4:$P$93,Assumptions!$M$4:$M$93,$C986,Assumptions!$N$4:$N$93,$E986,Assumptions!$O$4:$O$93,"HVN"))</f>
        <v/>
      </c>
      <c r="M986" s="9">
        <f>J986+L986</f>
        <v/>
      </c>
      <c r="N986" s="10">
        <f>$F986*$H986*$M986</f>
        <v/>
      </c>
    </row>
    <row r="987">
      <c r="A987" s="11" t="inlineStr">
        <is>
          <t>TOTAL</t>
        </is>
      </c>
      <c r="B987" s="12" t="inlineStr">
        <is>
          <t>VALERO_BENICIA</t>
        </is>
      </c>
      <c r="C987" s="12" t="n">
        <v>5</v>
      </c>
      <c r="D987" s="12" t="inlineStr">
        <is>
          <t>NET NAPHTHA</t>
        </is>
      </c>
      <c r="N987" s="13">
        <f>SUM(N980:N986)</f>
        <v/>
      </c>
    </row>
  </sheetData>
  <mergeCells count="124">
    <mergeCell ref="A764:N764"/>
    <mergeCell ref="A913:N913"/>
    <mergeCell ref="A953:N953"/>
    <mergeCell ref="A922:N922"/>
    <mergeCell ref="A279:N279"/>
    <mergeCell ref="A521:N521"/>
    <mergeCell ref="A819:N819"/>
    <mergeCell ref="A59:N59"/>
    <mergeCell ref="A11:N11"/>
    <mergeCell ref="A216:N216"/>
    <mergeCell ref="A225:N225"/>
    <mergeCell ref="A694:N694"/>
    <mergeCell ref="A979:N979"/>
    <mergeCell ref="A37:N37"/>
    <mergeCell ref="A413:N413"/>
    <mergeCell ref="A453:N453"/>
    <mergeCell ref="A366:N366"/>
    <mergeCell ref="A935:N935"/>
    <mergeCell ref="A139:N139"/>
    <mergeCell ref="A443:N443"/>
    <mergeCell ref="A875:N875"/>
    <mergeCell ref="A657:N657"/>
    <mergeCell ref="A71:N71"/>
    <mergeCell ref="A129:N129"/>
    <mergeCell ref="A242:N242"/>
    <mergeCell ref="A666:N666"/>
    <mergeCell ref="A681:N681"/>
    <mergeCell ref="A834:N834"/>
    <mergeCell ref="A91:N91"/>
    <mergeCell ref="A961:N961"/>
    <mergeCell ref="A165:N165"/>
    <mergeCell ref="A612:N612"/>
    <mergeCell ref="A481:N481"/>
    <mergeCell ref="A155:N155"/>
    <mergeCell ref="A892:N892"/>
    <mergeCell ref="A102:N102"/>
    <mergeCell ref="A633:N633"/>
    <mergeCell ref="A344:N344"/>
    <mergeCell ref="A400:N400"/>
    <mergeCell ref="A544:N544"/>
    <mergeCell ref="A965:N965"/>
    <mergeCell ref="A676:N676"/>
    <mergeCell ref="A795:N795"/>
    <mergeCell ref="A639:N639"/>
    <mergeCell ref="A810:N810"/>
    <mergeCell ref="A844:N844"/>
    <mergeCell ref="A49:N49"/>
    <mergeCell ref="A884:N884"/>
    <mergeCell ref="A334:N334"/>
    <mergeCell ref="A1:N1"/>
    <mergeCell ref="A548:N548"/>
    <mergeCell ref="A781:N781"/>
    <mergeCell ref="A205:N205"/>
    <mergeCell ref="A652:N652"/>
    <mergeCell ref="A233:N233"/>
    <mergeCell ref="A702:N702"/>
    <mergeCell ref="A120:N120"/>
    <mergeCell ref="A3:N3"/>
    <mergeCell ref="A356:N356"/>
    <mergeCell ref="A773:N773"/>
    <mergeCell ref="A301:N301"/>
    <mergeCell ref="A745:N745"/>
    <mergeCell ref="A719:N719"/>
    <mergeCell ref="A604:N604"/>
    <mergeCell ref="A312:N312"/>
    <mergeCell ref="A863:N863"/>
    <mergeCell ref="A290:N290"/>
    <mergeCell ref="A147:N147"/>
    <mergeCell ref="A43:N43"/>
    <mergeCell ref="A957:N957"/>
    <mergeCell ref="A258:N258"/>
    <mergeCell ref="A186:N186"/>
    <mergeCell ref="A24:N24"/>
    <mergeCell ref="A266:N266"/>
    <mergeCell ref="A275:N275"/>
    <mergeCell ref="A502:N502"/>
    <mergeCell ref="A931:N931"/>
    <mergeCell ref="A511:N511"/>
    <mergeCell ref="A787:N787"/>
    <mergeCell ref="A900:N900"/>
    <mergeCell ref="A473:N473"/>
    <mergeCell ref="A948:N948"/>
    <mergeCell ref="A942:N942"/>
    <mergeCell ref="A423:N423"/>
    <mergeCell ref="A174:N174"/>
    <mergeCell ref="A463:N463"/>
    <mergeCell ref="A643:N643"/>
    <mergeCell ref="A537:N537"/>
    <mergeCell ref="A698:N698"/>
    <mergeCell ref="A755:N755"/>
    <mergeCell ref="A970:N970"/>
    <mergeCell ref="A377:N377"/>
    <mergeCell ref="A433:N433"/>
    <mergeCell ref="A573:N573"/>
    <mergeCell ref="A20:N20"/>
    <mergeCell ref="A662:N662"/>
    <mergeCell ref="A815:N815"/>
    <mergeCell ref="A671:N671"/>
    <mergeCell ref="A81:N81"/>
    <mergeCell ref="A323:N323"/>
    <mergeCell ref="A621:N621"/>
    <mergeCell ref="A563:N563"/>
    <mergeCell ref="A830:N830"/>
    <mergeCell ref="A686:N686"/>
    <mergeCell ref="A726:N726"/>
    <mergeCell ref="A249:N249"/>
    <mergeCell ref="A735:N735"/>
    <mergeCell ref="A904:N904"/>
    <mergeCell ref="A580:N580"/>
    <mergeCell ref="A589:N589"/>
    <mergeCell ref="A629:N629"/>
    <mergeCell ref="A388:N388"/>
    <mergeCell ref="A690:N690"/>
    <mergeCell ref="A804:N804"/>
    <mergeCell ref="A195:N195"/>
    <mergeCell ref="A553:N553"/>
    <mergeCell ref="A529:N529"/>
    <mergeCell ref="A975:N975"/>
    <mergeCell ref="A853:N853"/>
    <mergeCell ref="A709:N709"/>
    <mergeCell ref="A491:N491"/>
    <mergeCell ref="A28:N28"/>
    <mergeCell ref="A111:N111"/>
    <mergeCell ref="A593:N59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Assumptions — blue cells are inputs. Yields are % of unit throughput; consumers (reformer/isom) are NEGATIVE. Edits flow straight into the Boxes sheet.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>
      <c r="A3" s="1" t="inlineStr">
        <is>
          <t>PADD 1 — East Coast</t>
        </is>
      </c>
      <c r="B3" s="2" t="n"/>
      <c r="C3" s="2" t="n"/>
      <c r="D3" s="2" t="n"/>
      <c r="E3" s="2" t="n"/>
      <c r="F3" s="2" t="n"/>
      <c r="G3" s="2" t="n"/>
      <c r="H3" s="2" t="n"/>
      <c r="J3" s="3" t="inlineStr">
        <is>
          <t>padd</t>
        </is>
      </c>
      <c r="K3" s="3" t="inlineStr">
        <is>
          <t>util</t>
        </is>
      </c>
      <c r="M3" s="3" t="inlineStr">
        <is>
          <t>padd</t>
        </is>
      </c>
      <c r="N3" s="3" t="inlineStr">
        <is>
          <t>unit_type</t>
        </is>
      </c>
      <c r="O3" s="3" t="inlineStr">
        <is>
          <t>cut</t>
        </is>
      </c>
      <c r="P3" s="3" t="inlineStr">
        <is>
          <t>yield</t>
        </is>
      </c>
      <c r="R3" s="3" t="inlineStr">
        <is>
          <t>Yield-mode cut split</t>
        </is>
      </c>
      <c r="S3" s="3" t="inlineStr">
        <is>
          <t>share</t>
        </is>
      </c>
    </row>
    <row r="4">
      <c r="A4" s="11" t="inlineStr">
        <is>
          <t>Utilization</t>
        </is>
      </c>
      <c r="B4" s="15" t="n">
        <v>0.9</v>
      </c>
      <c r="J4" t="n">
        <v>1</v>
      </c>
      <c r="K4">
        <f>B4</f>
        <v/>
      </c>
      <c r="M4" t="n">
        <v>1</v>
      </c>
      <c r="N4" t="inlineStr">
        <is>
          <t>CDU</t>
        </is>
      </c>
      <c r="O4" t="inlineStr">
        <is>
          <t>LVN</t>
        </is>
      </c>
      <c r="P4">
        <f>B7</f>
        <v/>
      </c>
      <c r="R4" s="4" t="inlineStr">
        <is>
          <t>LVN</t>
        </is>
      </c>
      <c r="S4" s="16" t="n">
        <v>0.35</v>
      </c>
    </row>
    <row r="5">
      <c r="J5" t="n">
        <v>2</v>
      </c>
      <c r="K5">
        <f>B19</f>
        <v/>
      </c>
      <c r="M5" t="n">
        <v>1</v>
      </c>
      <c r="N5" t="inlineStr">
        <is>
          <t>CDU</t>
        </is>
      </c>
      <c r="O5" t="inlineStr">
        <is>
          <t>HVN</t>
        </is>
      </c>
      <c r="P5">
        <f>C7</f>
        <v/>
      </c>
      <c r="R5" s="4" t="inlineStr">
        <is>
          <t>HVN</t>
        </is>
      </c>
      <c r="S5" s="16" t="n">
        <v>0.65</v>
      </c>
    </row>
    <row r="6">
      <c r="A6" s="3" t="inlineStr">
        <is>
          <t>Unit type</t>
        </is>
      </c>
      <c r="B6" s="3" t="inlineStr">
        <is>
          <t>LVN</t>
        </is>
      </c>
      <c r="C6" s="3" t="inlineStr">
        <is>
          <t>HVN</t>
        </is>
      </c>
      <c r="J6" t="n">
        <v>3</v>
      </c>
      <c r="K6">
        <f>B34</f>
        <v/>
      </c>
      <c r="M6" t="n">
        <v>1</v>
      </c>
      <c r="N6" t="inlineStr">
        <is>
          <t>VDU</t>
        </is>
      </c>
      <c r="O6" t="inlineStr">
        <is>
          <t>LVN</t>
        </is>
      </c>
      <c r="P6">
        <f>B8</f>
        <v/>
      </c>
    </row>
    <row r="7">
      <c r="A7" s="4" t="inlineStr">
        <is>
          <t>CDU</t>
        </is>
      </c>
      <c r="B7" s="15" t="n">
        <v>0.05</v>
      </c>
      <c r="C7" s="15" t="n">
        <v>0.13</v>
      </c>
      <c r="J7" t="n">
        <v>4</v>
      </c>
      <c r="K7">
        <f>B49</f>
        <v/>
      </c>
      <c r="M7" t="n">
        <v>1</v>
      </c>
      <c r="N7" t="inlineStr">
        <is>
          <t>VDU</t>
        </is>
      </c>
      <c r="O7" t="inlineStr">
        <is>
          <t>HVN</t>
        </is>
      </c>
      <c r="P7">
        <f>C8</f>
        <v/>
      </c>
      <c r="R7" s="4" t="inlineStr">
        <is>
          <t>how a yield-mode refinery's 2024 net yield splits across cuts</t>
        </is>
      </c>
    </row>
    <row r="8">
      <c r="A8" s="4" t="inlineStr">
        <is>
          <t>VDU</t>
        </is>
      </c>
      <c r="B8" s="15" t="n">
        <v>0</v>
      </c>
      <c r="C8" s="15" t="n">
        <v>0.01</v>
      </c>
      <c r="J8" t="n">
        <v>5</v>
      </c>
      <c r="K8">
        <f>B64</f>
        <v/>
      </c>
      <c r="M8" t="n">
        <v>1</v>
      </c>
      <c r="N8" t="inlineStr">
        <is>
          <t>FCC</t>
        </is>
      </c>
      <c r="O8" t="inlineStr">
        <is>
          <t>LVN</t>
        </is>
      </c>
      <c r="P8">
        <f>B9</f>
        <v/>
      </c>
    </row>
    <row r="9">
      <c r="A9" s="4" t="inlineStr">
        <is>
          <t>FCC</t>
        </is>
      </c>
      <c r="B9" s="15" t="n">
        <v>0.02</v>
      </c>
      <c r="C9" s="15" t="n">
        <v>0.04</v>
      </c>
      <c r="M9" t="n">
        <v>1</v>
      </c>
      <c r="N9" t="inlineStr">
        <is>
          <t>FCC</t>
        </is>
      </c>
      <c r="O9" t="inlineStr">
        <is>
          <t>HVN</t>
        </is>
      </c>
      <c r="P9">
        <f>C9</f>
        <v/>
      </c>
    </row>
    <row r="10">
      <c r="A10" s="4" t="inlineStr">
        <is>
          <t>COKER</t>
        </is>
      </c>
      <c r="B10" s="15" t="n">
        <v>0.02</v>
      </c>
      <c r="C10" s="15" t="n">
        <v>0.08</v>
      </c>
      <c r="M10" t="n">
        <v>1</v>
      </c>
      <c r="N10" t="inlineStr">
        <is>
          <t>COKER</t>
        </is>
      </c>
      <c r="O10" t="inlineStr">
        <is>
          <t>LVN</t>
        </is>
      </c>
      <c r="P10">
        <f>B10</f>
        <v/>
      </c>
    </row>
    <row r="11">
      <c r="A11" s="4" t="inlineStr">
        <is>
          <t>HYDROCRACKER</t>
        </is>
      </c>
      <c r="B11" s="15" t="n">
        <v>0.05</v>
      </c>
      <c r="C11" s="15" t="n">
        <v>0.15</v>
      </c>
      <c r="M11" t="n">
        <v>1</v>
      </c>
      <c r="N11" t="inlineStr">
        <is>
          <t>COKER</t>
        </is>
      </c>
      <c r="O11" t="inlineStr">
        <is>
          <t>HVN</t>
        </is>
      </c>
      <c r="P11">
        <f>C10</f>
        <v/>
      </c>
    </row>
    <row r="12">
      <c r="A12" s="4" t="inlineStr">
        <is>
          <t>REFORMER</t>
        </is>
      </c>
      <c r="B12" s="15" t="n">
        <v>0</v>
      </c>
      <c r="C12" s="15" t="n">
        <v>-1</v>
      </c>
      <c r="M12" t="n">
        <v>1</v>
      </c>
      <c r="N12" t="inlineStr">
        <is>
          <t>HYDROCRACKER</t>
        </is>
      </c>
      <c r="O12" t="inlineStr">
        <is>
          <t>LVN</t>
        </is>
      </c>
      <c r="P12">
        <f>B11</f>
        <v/>
      </c>
    </row>
    <row r="13">
      <c r="A13" s="4" t="inlineStr">
        <is>
          <t>ISOM</t>
        </is>
      </c>
      <c r="B13" s="15" t="n">
        <v>-1</v>
      </c>
      <c r="C13" s="15" t="n">
        <v>0</v>
      </c>
      <c r="M13" t="n">
        <v>1</v>
      </c>
      <c r="N13" t="inlineStr">
        <is>
          <t>HYDROCRACKER</t>
        </is>
      </c>
      <c r="O13" t="inlineStr">
        <is>
          <t>HVN</t>
        </is>
      </c>
      <c r="P13">
        <f>C11</f>
        <v/>
      </c>
    </row>
    <row r="14">
      <c r="A14" s="4" t="inlineStr">
        <is>
          <t>ALKY</t>
        </is>
      </c>
      <c r="B14" s="15" t="n">
        <v>0</v>
      </c>
      <c r="C14" s="15" t="n">
        <v>0</v>
      </c>
      <c r="M14" t="n">
        <v>1</v>
      </c>
      <c r="N14" t="inlineStr">
        <is>
          <t>REFORMER</t>
        </is>
      </c>
      <c r="O14" t="inlineStr">
        <is>
          <t>LVN</t>
        </is>
      </c>
      <c r="P14">
        <f>B12</f>
        <v/>
      </c>
    </row>
    <row r="15">
      <c r="A15" s="4" t="inlineStr">
        <is>
          <t>SPLITTER</t>
        </is>
      </c>
      <c r="B15" s="15" t="n">
        <v>0.25</v>
      </c>
      <c r="C15" s="15" t="n">
        <v>0.35</v>
      </c>
      <c r="M15" t="n">
        <v>1</v>
      </c>
      <c r="N15" t="inlineStr">
        <is>
          <t>REFORMER</t>
        </is>
      </c>
      <c r="O15" t="inlineStr">
        <is>
          <t>HVN</t>
        </is>
      </c>
      <c r="P15">
        <f>C12</f>
        <v/>
      </c>
    </row>
    <row r="16">
      <c r="M16" t="n">
        <v>1</v>
      </c>
      <c r="N16" t="inlineStr">
        <is>
          <t>ISOM</t>
        </is>
      </c>
      <c r="O16" t="inlineStr">
        <is>
          <t>LVN</t>
        </is>
      </c>
      <c r="P16">
        <f>B13</f>
        <v/>
      </c>
    </row>
    <row r="17">
      <c r="M17" t="n">
        <v>1</v>
      </c>
      <c r="N17" t="inlineStr">
        <is>
          <t>ISOM</t>
        </is>
      </c>
      <c r="O17" t="inlineStr">
        <is>
          <t>HVN</t>
        </is>
      </c>
      <c r="P17">
        <f>C13</f>
        <v/>
      </c>
    </row>
    <row r="18">
      <c r="A18" s="1" t="inlineStr">
        <is>
          <t>PADD 2 — Midwest</t>
        </is>
      </c>
      <c r="B18" s="2" t="n"/>
      <c r="C18" s="2" t="n"/>
      <c r="D18" s="2" t="n"/>
      <c r="E18" s="2" t="n"/>
      <c r="F18" s="2" t="n"/>
      <c r="G18" s="2" t="n"/>
      <c r="H18" s="2" t="n"/>
      <c r="M18" t="n">
        <v>1</v>
      </c>
      <c r="N18" t="inlineStr">
        <is>
          <t>ALKY</t>
        </is>
      </c>
      <c r="O18" t="inlineStr">
        <is>
          <t>LVN</t>
        </is>
      </c>
      <c r="P18">
        <f>B14</f>
        <v/>
      </c>
    </row>
    <row r="19">
      <c r="A19" s="11" t="inlineStr">
        <is>
          <t>Utilization</t>
        </is>
      </c>
      <c r="B19" s="15" t="n">
        <v>0.9</v>
      </c>
      <c r="M19" t="n">
        <v>1</v>
      </c>
      <c r="N19" t="inlineStr">
        <is>
          <t>ALKY</t>
        </is>
      </c>
      <c r="O19" t="inlineStr">
        <is>
          <t>HVN</t>
        </is>
      </c>
      <c r="P19">
        <f>C14</f>
        <v/>
      </c>
    </row>
    <row r="20">
      <c r="M20" t="n">
        <v>1</v>
      </c>
      <c r="N20" t="inlineStr">
        <is>
          <t>SPLITTER</t>
        </is>
      </c>
      <c r="O20" t="inlineStr">
        <is>
          <t>LVN</t>
        </is>
      </c>
      <c r="P20">
        <f>B15</f>
        <v/>
      </c>
    </row>
    <row r="21">
      <c r="A21" s="3" t="inlineStr">
        <is>
          <t>Unit type</t>
        </is>
      </c>
      <c r="B21" s="3" t="inlineStr">
        <is>
          <t>LVN</t>
        </is>
      </c>
      <c r="C21" s="3" t="inlineStr">
        <is>
          <t>HVN</t>
        </is>
      </c>
      <c r="M21" t="n">
        <v>1</v>
      </c>
      <c r="N21" t="inlineStr">
        <is>
          <t>SPLITTER</t>
        </is>
      </c>
      <c r="O21" t="inlineStr">
        <is>
          <t>HVN</t>
        </is>
      </c>
      <c r="P21">
        <f>C15</f>
        <v/>
      </c>
    </row>
    <row r="22">
      <c r="A22" s="4" t="inlineStr">
        <is>
          <t>CDU</t>
        </is>
      </c>
      <c r="B22" s="15" t="n">
        <v>0.05</v>
      </c>
      <c r="C22" s="15" t="n">
        <v>0.13</v>
      </c>
      <c r="M22" t="n">
        <v>2</v>
      </c>
      <c r="N22" t="inlineStr">
        <is>
          <t>CDU</t>
        </is>
      </c>
      <c r="O22" t="inlineStr">
        <is>
          <t>LVN</t>
        </is>
      </c>
      <c r="P22">
        <f>B22</f>
        <v/>
      </c>
    </row>
    <row r="23">
      <c r="A23" s="4" t="inlineStr">
        <is>
          <t>VDU</t>
        </is>
      </c>
      <c r="B23" s="15" t="n">
        <v>0</v>
      </c>
      <c r="C23" s="15" t="n">
        <v>0.01</v>
      </c>
      <c r="M23" t="n">
        <v>2</v>
      </c>
      <c r="N23" t="inlineStr">
        <is>
          <t>CDU</t>
        </is>
      </c>
      <c r="O23" t="inlineStr">
        <is>
          <t>HVN</t>
        </is>
      </c>
      <c r="P23">
        <f>C22</f>
        <v/>
      </c>
    </row>
    <row r="24">
      <c r="A24" s="4" t="inlineStr">
        <is>
          <t>FCC</t>
        </is>
      </c>
      <c r="B24" s="15" t="n">
        <v>0.02</v>
      </c>
      <c r="C24" s="15" t="n">
        <v>0.04</v>
      </c>
      <c r="M24" t="n">
        <v>2</v>
      </c>
      <c r="N24" t="inlineStr">
        <is>
          <t>VDU</t>
        </is>
      </c>
      <c r="O24" t="inlineStr">
        <is>
          <t>LVN</t>
        </is>
      </c>
      <c r="P24">
        <f>B23</f>
        <v/>
      </c>
    </row>
    <row r="25">
      <c r="A25" s="4" t="inlineStr">
        <is>
          <t>COKER</t>
        </is>
      </c>
      <c r="B25" s="15" t="n">
        <v>0.02</v>
      </c>
      <c r="C25" s="15" t="n">
        <v>0.08</v>
      </c>
      <c r="M25" t="n">
        <v>2</v>
      </c>
      <c r="N25" t="inlineStr">
        <is>
          <t>VDU</t>
        </is>
      </c>
      <c r="O25" t="inlineStr">
        <is>
          <t>HVN</t>
        </is>
      </c>
      <c r="P25">
        <f>C23</f>
        <v/>
      </c>
    </row>
    <row r="26">
      <c r="A26" s="4" t="inlineStr">
        <is>
          <t>HYDROCRACKER</t>
        </is>
      </c>
      <c r="B26" s="15" t="n">
        <v>0.05</v>
      </c>
      <c r="C26" s="15" t="n">
        <v>0.15</v>
      </c>
      <c r="M26" t="n">
        <v>2</v>
      </c>
      <c r="N26" t="inlineStr">
        <is>
          <t>FCC</t>
        </is>
      </c>
      <c r="O26" t="inlineStr">
        <is>
          <t>LVN</t>
        </is>
      </c>
      <c r="P26">
        <f>B24</f>
        <v/>
      </c>
    </row>
    <row r="27">
      <c r="A27" s="4" t="inlineStr">
        <is>
          <t>REFORMER</t>
        </is>
      </c>
      <c r="B27" s="15" t="n">
        <v>0</v>
      </c>
      <c r="C27" s="15" t="n">
        <v>-1</v>
      </c>
      <c r="M27" t="n">
        <v>2</v>
      </c>
      <c r="N27" t="inlineStr">
        <is>
          <t>FCC</t>
        </is>
      </c>
      <c r="O27" t="inlineStr">
        <is>
          <t>HVN</t>
        </is>
      </c>
      <c r="P27">
        <f>C24</f>
        <v/>
      </c>
    </row>
    <row r="28">
      <c r="A28" s="4" t="inlineStr">
        <is>
          <t>ISOM</t>
        </is>
      </c>
      <c r="B28" s="15" t="n">
        <v>-1</v>
      </c>
      <c r="C28" s="15" t="n">
        <v>0</v>
      </c>
      <c r="M28" t="n">
        <v>2</v>
      </c>
      <c r="N28" t="inlineStr">
        <is>
          <t>COKER</t>
        </is>
      </c>
      <c r="O28" t="inlineStr">
        <is>
          <t>LVN</t>
        </is>
      </c>
      <c r="P28">
        <f>B25</f>
        <v/>
      </c>
    </row>
    <row r="29">
      <c r="A29" s="4" t="inlineStr">
        <is>
          <t>ALKY</t>
        </is>
      </c>
      <c r="B29" s="15" t="n">
        <v>0</v>
      </c>
      <c r="C29" s="15" t="n">
        <v>0</v>
      </c>
      <c r="M29" t="n">
        <v>2</v>
      </c>
      <c r="N29" t="inlineStr">
        <is>
          <t>COKER</t>
        </is>
      </c>
      <c r="O29" t="inlineStr">
        <is>
          <t>HVN</t>
        </is>
      </c>
      <c r="P29">
        <f>C25</f>
        <v/>
      </c>
    </row>
    <row r="30">
      <c r="A30" s="4" t="inlineStr">
        <is>
          <t>SPLITTER</t>
        </is>
      </c>
      <c r="B30" s="15" t="n">
        <v>0.25</v>
      </c>
      <c r="C30" s="15" t="n">
        <v>0.35</v>
      </c>
      <c r="M30" t="n">
        <v>2</v>
      </c>
      <c r="N30" t="inlineStr">
        <is>
          <t>HYDROCRACKER</t>
        </is>
      </c>
      <c r="O30" t="inlineStr">
        <is>
          <t>LVN</t>
        </is>
      </c>
      <c r="P30">
        <f>B26</f>
        <v/>
      </c>
    </row>
    <row r="31">
      <c r="M31" t="n">
        <v>2</v>
      </c>
      <c r="N31" t="inlineStr">
        <is>
          <t>HYDROCRACKER</t>
        </is>
      </c>
      <c r="O31" t="inlineStr">
        <is>
          <t>HVN</t>
        </is>
      </c>
      <c r="P31">
        <f>C26</f>
        <v/>
      </c>
    </row>
    <row r="32">
      <c r="M32" t="n">
        <v>2</v>
      </c>
      <c r="N32" t="inlineStr">
        <is>
          <t>REFORMER</t>
        </is>
      </c>
      <c r="O32" t="inlineStr">
        <is>
          <t>LVN</t>
        </is>
      </c>
      <c r="P32">
        <f>B27</f>
        <v/>
      </c>
    </row>
    <row r="33">
      <c r="A33" s="1" t="inlineStr">
        <is>
          <t>PADD 3 — Gulf Coast</t>
        </is>
      </c>
      <c r="B33" s="2" t="n"/>
      <c r="C33" s="2" t="n"/>
      <c r="D33" s="2" t="n"/>
      <c r="E33" s="2" t="n"/>
      <c r="F33" s="2" t="n"/>
      <c r="G33" s="2" t="n"/>
      <c r="H33" s="2" t="n"/>
      <c r="M33" t="n">
        <v>2</v>
      </c>
      <c r="N33" t="inlineStr">
        <is>
          <t>REFORMER</t>
        </is>
      </c>
      <c r="O33" t="inlineStr">
        <is>
          <t>HVN</t>
        </is>
      </c>
      <c r="P33">
        <f>C27</f>
        <v/>
      </c>
    </row>
    <row r="34">
      <c r="A34" s="11" t="inlineStr">
        <is>
          <t>Utilization</t>
        </is>
      </c>
      <c r="B34" s="15" t="n">
        <v>0.93</v>
      </c>
      <c r="M34" t="n">
        <v>2</v>
      </c>
      <c r="N34" t="inlineStr">
        <is>
          <t>ISOM</t>
        </is>
      </c>
      <c r="O34" t="inlineStr">
        <is>
          <t>LVN</t>
        </is>
      </c>
      <c r="P34">
        <f>B28</f>
        <v/>
      </c>
    </row>
    <row r="35">
      <c r="M35" t="n">
        <v>2</v>
      </c>
      <c r="N35" t="inlineStr">
        <is>
          <t>ISOM</t>
        </is>
      </c>
      <c r="O35" t="inlineStr">
        <is>
          <t>HVN</t>
        </is>
      </c>
      <c r="P35">
        <f>C28</f>
        <v/>
      </c>
    </row>
    <row r="36">
      <c r="A36" s="3" t="inlineStr">
        <is>
          <t>Unit type</t>
        </is>
      </c>
      <c r="B36" s="3" t="inlineStr">
        <is>
          <t>LVN</t>
        </is>
      </c>
      <c r="C36" s="3" t="inlineStr">
        <is>
          <t>HVN</t>
        </is>
      </c>
      <c r="M36" t="n">
        <v>2</v>
      </c>
      <c r="N36" t="inlineStr">
        <is>
          <t>ALKY</t>
        </is>
      </c>
      <c r="O36" t="inlineStr">
        <is>
          <t>LVN</t>
        </is>
      </c>
      <c r="P36">
        <f>B29</f>
        <v/>
      </c>
    </row>
    <row r="37">
      <c r="A37" s="4" t="inlineStr">
        <is>
          <t>CDU</t>
        </is>
      </c>
      <c r="B37" s="15" t="n">
        <v>0.055</v>
      </c>
      <c r="C37" s="15" t="n">
        <v>0.135</v>
      </c>
      <c r="M37" t="n">
        <v>2</v>
      </c>
      <c r="N37" t="inlineStr">
        <is>
          <t>ALKY</t>
        </is>
      </c>
      <c r="O37" t="inlineStr">
        <is>
          <t>HVN</t>
        </is>
      </c>
      <c r="P37">
        <f>C29</f>
        <v/>
      </c>
    </row>
    <row r="38">
      <c r="A38" s="4" t="inlineStr">
        <is>
          <t>VDU</t>
        </is>
      </c>
      <c r="B38" s="15" t="n">
        <v>0</v>
      </c>
      <c r="C38" s="15" t="n">
        <v>0.01</v>
      </c>
      <c r="M38" t="n">
        <v>2</v>
      </c>
      <c r="N38" t="inlineStr">
        <is>
          <t>SPLITTER</t>
        </is>
      </c>
      <c r="O38" t="inlineStr">
        <is>
          <t>LVN</t>
        </is>
      </c>
      <c r="P38">
        <f>B30</f>
        <v/>
      </c>
    </row>
    <row r="39">
      <c r="A39" s="4" t="inlineStr">
        <is>
          <t>FCC</t>
        </is>
      </c>
      <c r="B39" s="15" t="n">
        <v>0.02</v>
      </c>
      <c r="C39" s="15" t="n">
        <v>0.04</v>
      </c>
      <c r="M39" t="n">
        <v>2</v>
      </c>
      <c r="N39" t="inlineStr">
        <is>
          <t>SPLITTER</t>
        </is>
      </c>
      <c r="O39" t="inlineStr">
        <is>
          <t>HVN</t>
        </is>
      </c>
      <c r="P39">
        <f>C30</f>
        <v/>
      </c>
    </row>
    <row r="40">
      <c r="A40" s="4" t="inlineStr">
        <is>
          <t>COKER</t>
        </is>
      </c>
      <c r="B40" s="15" t="n">
        <v>0.02</v>
      </c>
      <c r="C40" s="15" t="n">
        <v>0.08</v>
      </c>
      <c r="M40" t="n">
        <v>3</v>
      </c>
      <c r="N40" t="inlineStr">
        <is>
          <t>CDU</t>
        </is>
      </c>
      <c r="O40" t="inlineStr">
        <is>
          <t>LVN</t>
        </is>
      </c>
      <c r="P40">
        <f>B37</f>
        <v/>
      </c>
    </row>
    <row r="41">
      <c r="A41" s="4" t="inlineStr">
        <is>
          <t>HYDROCRACKER</t>
        </is>
      </c>
      <c r="B41" s="15" t="n">
        <v>0.05</v>
      </c>
      <c r="C41" s="15" t="n">
        <v>0.15</v>
      </c>
      <c r="M41" t="n">
        <v>3</v>
      </c>
      <c r="N41" t="inlineStr">
        <is>
          <t>CDU</t>
        </is>
      </c>
      <c r="O41" t="inlineStr">
        <is>
          <t>HVN</t>
        </is>
      </c>
      <c r="P41">
        <f>C37</f>
        <v/>
      </c>
    </row>
    <row r="42">
      <c r="A42" s="4" t="inlineStr">
        <is>
          <t>REFORMER</t>
        </is>
      </c>
      <c r="B42" s="15" t="n">
        <v>0</v>
      </c>
      <c r="C42" s="15" t="n">
        <v>-1</v>
      </c>
      <c r="M42" t="n">
        <v>3</v>
      </c>
      <c r="N42" t="inlineStr">
        <is>
          <t>VDU</t>
        </is>
      </c>
      <c r="O42" t="inlineStr">
        <is>
          <t>LVN</t>
        </is>
      </c>
      <c r="P42">
        <f>B38</f>
        <v/>
      </c>
    </row>
    <row r="43">
      <c r="A43" s="4" t="inlineStr">
        <is>
          <t>ISOM</t>
        </is>
      </c>
      <c r="B43" s="15" t="n">
        <v>-1</v>
      </c>
      <c r="C43" s="15" t="n">
        <v>0</v>
      </c>
      <c r="M43" t="n">
        <v>3</v>
      </c>
      <c r="N43" t="inlineStr">
        <is>
          <t>VDU</t>
        </is>
      </c>
      <c r="O43" t="inlineStr">
        <is>
          <t>HVN</t>
        </is>
      </c>
      <c r="P43">
        <f>C38</f>
        <v/>
      </c>
    </row>
    <row r="44">
      <c r="A44" s="4" t="inlineStr">
        <is>
          <t>ALKY</t>
        </is>
      </c>
      <c r="B44" s="15" t="n">
        <v>0</v>
      </c>
      <c r="C44" s="15" t="n">
        <v>0</v>
      </c>
      <c r="M44" t="n">
        <v>3</v>
      </c>
      <c r="N44" t="inlineStr">
        <is>
          <t>FCC</t>
        </is>
      </c>
      <c r="O44" t="inlineStr">
        <is>
          <t>LVN</t>
        </is>
      </c>
      <c r="P44">
        <f>B39</f>
        <v/>
      </c>
    </row>
    <row r="45">
      <c r="A45" s="4" t="inlineStr">
        <is>
          <t>SPLITTER</t>
        </is>
      </c>
      <c r="B45" s="15" t="n">
        <v>0.25</v>
      </c>
      <c r="C45" s="15" t="n">
        <v>0.35</v>
      </c>
      <c r="M45" t="n">
        <v>3</v>
      </c>
      <c r="N45" t="inlineStr">
        <is>
          <t>FCC</t>
        </is>
      </c>
      <c r="O45" t="inlineStr">
        <is>
          <t>HVN</t>
        </is>
      </c>
      <c r="P45">
        <f>C39</f>
        <v/>
      </c>
    </row>
    <row r="46">
      <c r="M46" t="n">
        <v>3</v>
      </c>
      <c r="N46" t="inlineStr">
        <is>
          <t>COKER</t>
        </is>
      </c>
      <c r="O46" t="inlineStr">
        <is>
          <t>LVN</t>
        </is>
      </c>
      <c r="P46">
        <f>B40</f>
        <v/>
      </c>
    </row>
    <row r="47">
      <c r="M47" t="n">
        <v>3</v>
      </c>
      <c r="N47" t="inlineStr">
        <is>
          <t>COKER</t>
        </is>
      </c>
      <c r="O47" t="inlineStr">
        <is>
          <t>HVN</t>
        </is>
      </c>
      <c r="P47">
        <f>C40</f>
        <v/>
      </c>
    </row>
    <row r="48">
      <c r="A48" s="1" t="inlineStr">
        <is>
          <t>PADD 4 — Rocky Mountains</t>
        </is>
      </c>
      <c r="B48" s="2" t="n"/>
      <c r="C48" s="2" t="n"/>
      <c r="D48" s="2" t="n"/>
      <c r="E48" s="2" t="n"/>
      <c r="F48" s="2" t="n"/>
      <c r="G48" s="2" t="n"/>
      <c r="H48" s="2" t="n"/>
      <c r="M48" t="n">
        <v>3</v>
      </c>
      <c r="N48" t="inlineStr">
        <is>
          <t>HYDROCRACKER</t>
        </is>
      </c>
      <c r="O48" t="inlineStr">
        <is>
          <t>LVN</t>
        </is>
      </c>
      <c r="P48">
        <f>B41</f>
        <v/>
      </c>
    </row>
    <row r="49">
      <c r="A49" s="11" t="inlineStr">
        <is>
          <t>Utilization</t>
        </is>
      </c>
      <c r="B49" s="15" t="n">
        <v>0.9</v>
      </c>
      <c r="M49" t="n">
        <v>3</v>
      </c>
      <c r="N49" t="inlineStr">
        <is>
          <t>HYDROCRACKER</t>
        </is>
      </c>
      <c r="O49" t="inlineStr">
        <is>
          <t>HVN</t>
        </is>
      </c>
      <c r="P49">
        <f>C41</f>
        <v/>
      </c>
    </row>
    <row r="50">
      <c r="M50" t="n">
        <v>3</v>
      </c>
      <c r="N50" t="inlineStr">
        <is>
          <t>REFORMER</t>
        </is>
      </c>
      <c r="O50" t="inlineStr">
        <is>
          <t>LVN</t>
        </is>
      </c>
      <c r="P50">
        <f>B42</f>
        <v/>
      </c>
    </row>
    <row r="51">
      <c r="A51" s="3" t="inlineStr">
        <is>
          <t>Unit type</t>
        </is>
      </c>
      <c r="B51" s="3" t="inlineStr">
        <is>
          <t>LVN</t>
        </is>
      </c>
      <c r="C51" s="3" t="inlineStr">
        <is>
          <t>HVN</t>
        </is>
      </c>
      <c r="M51" t="n">
        <v>3</v>
      </c>
      <c r="N51" t="inlineStr">
        <is>
          <t>REFORMER</t>
        </is>
      </c>
      <c r="O51" t="inlineStr">
        <is>
          <t>HVN</t>
        </is>
      </c>
      <c r="P51">
        <f>C42</f>
        <v/>
      </c>
    </row>
    <row r="52">
      <c r="A52" s="4" t="inlineStr">
        <is>
          <t>CDU</t>
        </is>
      </c>
      <c r="B52" s="15" t="n">
        <v>0.05</v>
      </c>
      <c r="C52" s="15" t="n">
        <v>0.13</v>
      </c>
      <c r="M52" t="n">
        <v>3</v>
      </c>
      <c r="N52" t="inlineStr">
        <is>
          <t>ISOM</t>
        </is>
      </c>
      <c r="O52" t="inlineStr">
        <is>
          <t>LVN</t>
        </is>
      </c>
      <c r="P52">
        <f>B43</f>
        <v/>
      </c>
    </row>
    <row r="53">
      <c r="A53" s="4" t="inlineStr">
        <is>
          <t>VDU</t>
        </is>
      </c>
      <c r="B53" s="15" t="n">
        <v>0</v>
      </c>
      <c r="C53" s="15" t="n">
        <v>0.01</v>
      </c>
      <c r="M53" t="n">
        <v>3</v>
      </c>
      <c r="N53" t="inlineStr">
        <is>
          <t>ISOM</t>
        </is>
      </c>
      <c r="O53" t="inlineStr">
        <is>
          <t>HVN</t>
        </is>
      </c>
      <c r="P53">
        <f>C43</f>
        <v/>
      </c>
    </row>
    <row r="54">
      <c r="A54" s="4" t="inlineStr">
        <is>
          <t>FCC</t>
        </is>
      </c>
      <c r="B54" s="15" t="n">
        <v>0.02</v>
      </c>
      <c r="C54" s="15" t="n">
        <v>0.04</v>
      </c>
      <c r="M54" t="n">
        <v>3</v>
      </c>
      <c r="N54" t="inlineStr">
        <is>
          <t>ALKY</t>
        </is>
      </c>
      <c r="O54" t="inlineStr">
        <is>
          <t>LVN</t>
        </is>
      </c>
      <c r="P54">
        <f>B44</f>
        <v/>
      </c>
    </row>
    <row r="55">
      <c r="A55" s="4" t="inlineStr">
        <is>
          <t>COKER</t>
        </is>
      </c>
      <c r="B55" s="15" t="n">
        <v>0.02</v>
      </c>
      <c r="C55" s="15" t="n">
        <v>0.08</v>
      </c>
      <c r="M55" t="n">
        <v>3</v>
      </c>
      <c r="N55" t="inlineStr">
        <is>
          <t>ALKY</t>
        </is>
      </c>
      <c r="O55" t="inlineStr">
        <is>
          <t>HVN</t>
        </is>
      </c>
      <c r="P55">
        <f>C44</f>
        <v/>
      </c>
    </row>
    <row r="56">
      <c r="A56" s="4" t="inlineStr">
        <is>
          <t>HYDROCRACKER</t>
        </is>
      </c>
      <c r="B56" s="15" t="n">
        <v>0.05</v>
      </c>
      <c r="C56" s="15" t="n">
        <v>0.15</v>
      </c>
      <c r="M56" t="n">
        <v>3</v>
      </c>
      <c r="N56" t="inlineStr">
        <is>
          <t>SPLITTER</t>
        </is>
      </c>
      <c r="O56" t="inlineStr">
        <is>
          <t>LVN</t>
        </is>
      </c>
      <c r="P56">
        <f>B45</f>
        <v/>
      </c>
    </row>
    <row r="57">
      <c r="A57" s="4" t="inlineStr">
        <is>
          <t>REFORMER</t>
        </is>
      </c>
      <c r="B57" s="15" t="n">
        <v>0</v>
      </c>
      <c r="C57" s="15" t="n">
        <v>-1</v>
      </c>
      <c r="M57" t="n">
        <v>3</v>
      </c>
      <c r="N57" t="inlineStr">
        <is>
          <t>SPLITTER</t>
        </is>
      </c>
      <c r="O57" t="inlineStr">
        <is>
          <t>HVN</t>
        </is>
      </c>
      <c r="P57">
        <f>C45</f>
        <v/>
      </c>
    </row>
    <row r="58">
      <c r="A58" s="4" t="inlineStr">
        <is>
          <t>ISOM</t>
        </is>
      </c>
      <c r="B58" s="15" t="n">
        <v>-1</v>
      </c>
      <c r="C58" s="15" t="n">
        <v>0</v>
      </c>
      <c r="M58" t="n">
        <v>4</v>
      </c>
      <c r="N58" t="inlineStr">
        <is>
          <t>CDU</t>
        </is>
      </c>
      <c r="O58" t="inlineStr">
        <is>
          <t>LVN</t>
        </is>
      </c>
      <c r="P58">
        <f>B52</f>
        <v/>
      </c>
    </row>
    <row r="59">
      <c r="A59" s="4" t="inlineStr">
        <is>
          <t>ALKY</t>
        </is>
      </c>
      <c r="B59" s="15" t="n">
        <v>0</v>
      </c>
      <c r="C59" s="15" t="n">
        <v>0</v>
      </c>
      <c r="M59" t="n">
        <v>4</v>
      </c>
      <c r="N59" t="inlineStr">
        <is>
          <t>CDU</t>
        </is>
      </c>
      <c r="O59" t="inlineStr">
        <is>
          <t>HVN</t>
        </is>
      </c>
      <c r="P59">
        <f>C52</f>
        <v/>
      </c>
    </row>
    <row r="60">
      <c r="A60" s="4" t="inlineStr">
        <is>
          <t>SPLITTER</t>
        </is>
      </c>
      <c r="B60" s="15" t="n">
        <v>0.25</v>
      </c>
      <c r="C60" s="15" t="n">
        <v>0.35</v>
      </c>
      <c r="M60" t="n">
        <v>4</v>
      </c>
      <c r="N60" t="inlineStr">
        <is>
          <t>VDU</t>
        </is>
      </c>
      <c r="O60" t="inlineStr">
        <is>
          <t>LVN</t>
        </is>
      </c>
      <c r="P60">
        <f>B53</f>
        <v/>
      </c>
    </row>
    <row r="61">
      <c r="M61" t="n">
        <v>4</v>
      </c>
      <c r="N61" t="inlineStr">
        <is>
          <t>VDU</t>
        </is>
      </c>
      <c r="O61" t="inlineStr">
        <is>
          <t>HVN</t>
        </is>
      </c>
      <c r="P61">
        <f>C53</f>
        <v/>
      </c>
    </row>
    <row r="62">
      <c r="M62" t="n">
        <v>4</v>
      </c>
      <c r="N62" t="inlineStr">
        <is>
          <t>FCC</t>
        </is>
      </c>
      <c r="O62" t="inlineStr">
        <is>
          <t>LVN</t>
        </is>
      </c>
      <c r="P62">
        <f>B54</f>
        <v/>
      </c>
    </row>
    <row r="63">
      <c r="A63" s="1" t="inlineStr">
        <is>
          <t>PADD 5 — West Coast</t>
        </is>
      </c>
      <c r="B63" s="2" t="n"/>
      <c r="C63" s="2" t="n"/>
      <c r="D63" s="2" t="n"/>
      <c r="E63" s="2" t="n"/>
      <c r="F63" s="2" t="n"/>
      <c r="G63" s="2" t="n"/>
      <c r="H63" s="2" t="n"/>
      <c r="M63" t="n">
        <v>4</v>
      </c>
      <c r="N63" t="inlineStr">
        <is>
          <t>FCC</t>
        </is>
      </c>
      <c r="O63" t="inlineStr">
        <is>
          <t>HVN</t>
        </is>
      </c>
      <c r="P63">
        <f>C54</f>
        <v/>
      </c>
    </row>
    <row r="64">
      <c r="A64" s="11" t="inlineStr">
        <is>
          <t>Utilization</t>
        </is>
      </c>
      <c r="B64" s="15" t="n">
        <v>0.9</v>
      </c>
      <c r="M64" t="n">
        <v>4</v>
      </c>
      <c r="N64" t="inlineStr">
        <is>
          <t>COKER</t>
        </is>
      </c>
      <c r="O64" t="inlineStr">
        <is>
          <t>LVN</t>
        </is>
      </c>
      <c r="P64">
        <f>B55</f>
        <v/>
      </c>
    </row>
    <row r="65">
      <c r="M65" t="n">
        <v>4</v>
      </c>
      <c r="N65" t="inlineStr">
        <is>
          <t>COKER</t>
        </is>
      </c>
      <c r="O65" t="inlineStr">
        <is>
          <t>HVN</t>
        </is>
      </c>
      <c r="P65">
        <f>C55</f>
        <v/>
      </c>
    </row>
    <row r="66">
      <c r="A66" s="3" t="inlineStr">
        <is>
          <t>Unit type</t>
        </is>
      </c>
      <c r="B66" s="3" t="inlineStr">
        <is>
          <t>LVN</t>
        </is>
      </c>
      <c r="C66" s="3" t="inlineStr">
        <is>
          <t>HVN</t>
        </is>
      </c>
      <c r="M66" t="n">
        <v>4</v>
      </c>
      <c r="N66" t="inlineStr">
        <is>
          <t>HYDROCRACKER</t>
        </is>
      </c>
      <c r="O66" t="inlineStr">
        <is>
          <t>LVN</t>
        </is>
      </c>
      <c r="P66">
        <f>B56</f>
        <v/>
      </c>
    </row>
    <row r="67">
      <c r="A67" s="4" t="inlineStr">
        <is>
          <t>CDU</t>
        </is>
      </c>
      <c r="B67" s="15" t="n">
        <v>0.05</v>
      </c>
      <c r="C67" s="15" t="n">
        <v>0.13</v>
      </c>
      <c r="M67" t="n">
        <v>4</v>
      </c>
      <c r="N67" t="inlineStr">
        <is>
          <t>HYDROCRACKER</t>
        </is>
      </c>
      <c r="O67" t="inlineStr">
        <is>
          <t>HVN</t>
        </is>
      </c>
      <c r="P67">
        <f>C56</f>
        <v/>
      </c>
    </row>
    <row r="68">
      <c r="A68" s="4" t="inlineStr">
        <is>
          <t>VDU</t>
        </is>
      </c>
      <c r="B68" s="15" t="n">
        <v>0</v>
      </c>
      <c r="C68" s="15" t="n">
        <v>0.01</v>
      </c>
      <c r="M68" t="n">
        <v>4</v>
      </c>
      <c r="N68" t="inlineStr">
        <is>
          <t>REFORMER</t>
        </is>
      </c>
      <c r="O68" t="inlineStr">
        <is>
          <t>LVN</t>
        </is>
      </c>
      <c r="P68">
        <f>B57</f>
        <v/>
      </c>
    </row>
    <row r="69">
      <c r="A69" s="4" t="inlineStr">
        <is>
          <t>FCC</t>
        </is>
      </c>
      <c r="B69" s="15" t="n">
        <v>0.02</v>
      </c>
      <c r="C69" s="15" t="n">
        <v>0.04</v>
      </c>
      <c r="M69" t="n">
        <v>4</v>
      </c>
      <c r="N69" t="inlineStr">
        <is>
          <t>REFORMER</t>
        </is>
      </c>
      <c r="O69" t="inlineStr">
        <is>
          <t>HVN</t>
        </is>
      </c>
      <c r="P69">
        <f>C57</f>
        <v/>
      </c>
    </row>
    <row r="70">
      <c r="A70" s="4" t="inlineStr">
        <is>
          <t>COKER</t>
        </is>
      </c>
      <c r="B70" s="15" t="n">
        <v>0.02</v>
      </c>
      <c r="C70" s="15" t="n">
        <v>0.08</v>
      </c>
      <c r="M70" t="n">
        <v>4</v>
      </c>
      <c r="N70" t="inlineStr">
        <is>
          <t>ISOM</t>
        </is>
      </c>
      <c r="O70" t="inlineStr">
        <is>
          <t>LVN</t>
        </is>
      </c>
      <c r="P70">
        <f>B58</f>
        <v/>
      </c>
    </row>
    <row r="71">
      <c r="A71" s="4" t="inlineStr">
        <is>
          <t>HYDROCRACKER</t>
        </is>
      </c>
      <c r="B71" s="15" t="n">
        <v>0.05</v>
      </c>
      <c r="C71" s="15" t="n">
        <v>0.15</v>
      </c>
      <c r="M71" t="n">
        <v>4</v>
      </c>
      <c r="N71" t="inlineStr">
        <is>
          <t>ISOM</t>
        </is>
      </c>
      <c r="O71" t="inlineStr">
        <is>
          <t>HVN</t>
        </is>
      </c>
      <c r="P71">
        <f>C58</f>
        <v/>
      </c>
    </row>
    <row r="72">
      <c r="A72" s="4" t="inlineStr">
        <is>
          <t>REFORMER</t>
        </is>
      </c>
      <c r="B72" s="15" t="n">
        <v>0</v>
      </c>
      <c r="C72" s="15" t="n">
        <v>-1</v>
      </c>
      <c r="M72" t="n">
        <v>4</v>
      </c>
      <c r="N72" t="inlineStr">
        <is>
          <t>ALKY</t>
        </is>
      </c>
      <c r="O72" t="inlineStr">
        <is>
          <t>LVN</t>
        </is>
      </c>
      <c r="P72">
        <f>B59</f>
        <v/>
      </c>
    </row>
    <row r="73">
      <c r="A73" s="4" t="inlineStr">
        <is>
          <t>ISOM</t>
        </is>
      </c>
      <c r="B73" s="15" t="n">
        <v>-1</v>
      </c>
      <c r="C73" s="15" t="n">
        <v>0</v>
      </c>
      <c r="M73" t="n">
        <v>4</v>
      </c>
      <c r="N73" t="inlineStr">
        <is>
          <t>ALKY</t>
        </is>
      </c>
      <c r="O73" t="inlineStr">
        <is>
          <t>HVN</t>
        </is>
      </c>
      <c r="P73">
        <f>C59</f>
        <v/>
      </c>
    </row>
    <row r="74">
      <c r="A74" s="4" t="inlineStr">
        <is>
          <t>ALKY</t>
        </is>
      </c>
      <c r="B74" s="15" t="n">
        <v>0</v>
      </c>
      <c r="C74" s="15" t="n">
        <v>0</v>
      </c>
      <c r="M74" t="n">
        <v>4</v>
      </c>
      <c r="N74" t="inlineStr">
        <is>
          <t>SPLITTER</t>
        </is>
      </c>
      <c r="O74" t="inlineStr">
        <is>
          <t>LVN</t>
        </is>
      </c>
      <c r="P74">
        <f>B60</f>
        <v/>
      </c>
    </row>
    <row r="75">
      <c r="A75" s="4" t="inlineStr">
        <is>
          <t>SPLITTER</t>
        </is>
      </c>
      <c r="B75" s="15" t="n">
        <v>0.25</v>
      </c>
      <c r="C75" s="15" t="n">
        <v>0.35</v>
      </c>
      <c r="M75" t="n">
        <v>4</v>
      </c>
      <c r="N75" t="inlineStr">
        <is>
          <t>SPLITTER</t>
        </is>
      </c>
      <c r="O75" t="inlineStr">
        <is>
          <t>HVN</t>
        </is>
      </c>
      <c r="P75">
        <f>C60</f>
        <v/>
      </c>
    </row>
    <row r="76">
      <c r="M76" t="n">
        <v>5</v>
      </c>
      <c r="N76" t="inlineStr">
        <is>
          <t>CDU</t>
        </is>
      </c>
      <c r="O76" t="inlineStr">
        <is>
          <t>LVN</t>
        </is>
      </c>
      <c r="P76">
        <f>B67</f>
        <v/>
      </c>
    </row>
    <row r="77">
      <c r="M77" t="n">
        <v>5</v>
      </c>
      <c r="N77" t="inlineStr">
        <is>
          <t>CDU</t>
        </is>
      </c>
      <c r="O77" t="inlineStr">
        <is>
          <t>HVN</t>
        </is>
      </c>
      <c r="P77">
        <f>C67</f>
        <v/>
      </c>
    </row>
    <row r="78">
      <c r="M78" t="n">
        <v>5</v>
      </c>
      <c r="N78" t="inlineStr">
        <is>
          <t>VDU</t>
        </is>
      </c>
      <c r="O78" t="inlineStr">
        <is>
          <t>LVN</t>
        </is>
      </c>
      <c r="P78">
        <f>B68</f>
        <v/>
      </c>
    </row>
    <row r="79">
      <c r="M79" t="n">
        <v>5</v>
      </c>
      <c r="N79" t="inlineStr">
        <is>
          <t>VDU</t>
        </is>
      </c>
      <c r="O79" t="inlineStr">
        <is>
          <t>HVN</t>
        </is>
      </c>
      <c r="P79">
        <f>C68</f>
        <v/>
      </c>
    </row>
    <row r="80">
      <c r="M80" t="n">
        <v>5</v>
      </c>
      <c r="N80" t="inlineStr">
        <is>
          <t>FCC</t>
        </is>
      </c>
      <c r="O80" t="inlineStr">
        <is>
          <t>LVN</t>
        </is>
      </c>
      <c r="P80">
        <f>B69</f>
        <v/>
      </c>
    </row>
    <row r="81">
      <c r="M81" t="n">
        <v>5</v>
      </c>
      <c r="N81" t="inlineStr">
        <is>
          <t>FCC</t>
        </is>
      </c>
      <c r="O81" t="inlineStr">
        <is>
          <t>HVN</t>
        </is>
      </c>
      <c r="P81">
        <f>C69</f>
        <v/>
      </c>
    </row>
    <row r="82">
      <c r="M82" t="n">
        <v>5</v>
      </c>
      <c r="N82" t="inlineStr">
        <is>
          <t>COKER</t>
        </is>
      </c>
      <c r="O82" t="inlineStr">
        <is>
          <t>LVN</t>
        </is>
      </c>
      <c r="P82">
        <f>B70</f>
        <v/>
      </c>
    </row>
    <row r="83">
      <c r="M83" t="n">
        <v>5</v>
      </c>
      <c r="N83" t="inlineStr">
        <is>
          <t>COKER</t>
        </is>
      </c>
      <c r="O83" t="inlineStr">
        <is>
          <t>HVN</t>
        </is>
      </c>
      <c r="P83">
        <f>C70</f>
        <v/>
      </c>
    </row>
    <row r="84">
      <c r="M84" t="n">
        <v>5</v>
      </c>
      <c r="N84" t="inlineStr">
        <is>
          <t>HYDROCRACKER</t>
        </is>
      </c>
      <c r="O84" t="inlineStr">
        <is>
          <t>LVN</t>
        </is>
      </c>
      <c r="P84">
        <f>B71</f>
        <v/>
      </c>
    </row>
    <row r="85">
      <c r="M85" t="n">
        <v>5</v>
      </c>
      <c r="N85" t="inlineStr">
        <is>
          <t>HYDROCRACKER</t>
        </is>
      </c>
      <c r="O85" t="inlineStr">
        <is>
          <t>HVN</t>
        </is>
      </c>
      <c r="P85">
        <f>C71</f>
        <v/>
      </c>
    </row>
    <row r="86">
      <c r="M86" t="n">
        <v>5</v>
      </c>
      <c r="N86" t="inlineStr">
        <is>
          <t>REFORMER</t>
        </is>
      </c>
      <c r="O86" t="inlineStr">
        <is>
          <t>LVN</t>
        </is>
      </c>
      <c r="P86">
        <f>B72</f>
        <v/>
      </c>
    </row>
    <row r="87">
      <c r="M87" t="n">
        <v>5</v>
      </c>
      <c r="N87" t="inlineStr">
        <is>
          <t>REFORMER</t>
        </is>
      </c>
      <c r="O87" t="inlineStr">
        <is>
          <t>HVN</t>
        </is>
      </c>
      <c r="P87">
        <f>C72</f>
        <v/>
      </c>
    </row>
    <row r="88">
      <c r="M88" t="n">
        <v>5</v>
      </c>
      <c r="N88" t="inlineStr">
        <is>
          <t>ISOM</t>
        </is>
      </c>
      <c r="O88" t="inlineStr">
        <is>
          <t>LVN</t>
        </is>
      </c>
      <c r="P88">
        <f>B73</f>
        <v/>
      </c>
    </row>
    <row r="89">
      <c r="M89" t="n">
        <v>5</v>
      </c>
      <c r="N89" t="inlineStr">
        <is>
          <t>ISOM</t>
        </is>
      </c>
      <c r="O89" t="inlineStr">
        <is>
          <t>HVN</t>
        </is>
      </c>
      <c r="P89">
        <f>C73</f>
        <v/>
      </c>
    </row>
    <row r="90">
      <c r="M90" t="n">
        <v>5</v>
      </c>
      <c r="N90" t="inlineStr">
        <is>
          <t>ALKY</t>
        </is>
      </c>
      <c r="O90" t="inlineStr">
        <is>
          <t>LVN</t>
        </is>
      </c>
      <c r="P90">
        <f>B74</f>
        <v/>
      </c>
    </row>
    <row r="91">
      <c r="M91" t="n">
        <v>5</v>
      </c>
      <c r="N91" t="inlineStr">
        <is>
          <t>ALKY</t>
        </is>
      </c>
      <c r="O91" t="inlineStr">
        <is>
          <t>HVN</t>
        </is>
      </c>
      <c r="P91">
        <f>C74</f>
        <v/>
      </c>
    </row>
    <row r="92">
      <c r="M92" t="n">
        <v>5</v>
      </c>
      <c r="N92" t="inlineStr">
        <is>
          <t>SPLITTER</t>
        </is>
      </c>
      <c r="O92" t="inlineStr">
        <is>
          <t>LVN</t>
        </is>
      </c>
      <c r="P92">
        <f>B75</f>
        <v/>
      </c>
    </row>
    <row r="93">
      <c r="M93" t="n">
        <v>5</v>
      </c>
      <c r="N93" t="inlineStr">
        <is>
          <t>SPLITTER</t>
        </is>
      </c>
      <c r="O93" t="inlineStr">
        <is>
          <t>HVN</t>
        </is>
      </c>
      <c r="P93">
        <f>C75</f>
        <v/>
      </c>
    </row>
  </sheetData>
  <mergeCells count="6">
    <mergeCell ref="A18:H18"/>
    <mergeCell ref="A48:H48"/>
    <mergeCell ref="A3:H3"/>
    <mergeCell ref="A1:P1"/>
    <mergeCell ref="A63:H63"/>
    <mergeCell ref="A33:H3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" customWidth="1" min="4" max="4"/>
    <col width="13" customWidth="1" min="5" max="5"/>
    <col width="15" customWidth="1" min="6" max="6"/>
    <col width="10" customWidth="1" min="7" max="7"/>
    <col width="9" customWidth="1" min="8" max="8"/>
    <col width="12" customWidth="1" min="9" max="9"/>
    <col width="9" customWidth="1" min="10" max="10"/>
    <col width="8" customWidth="1" min="11" max="11"/>
    <col width="9" customWidth="1" min="12" max="12"/>
    <col width="8" customWidth="1" min="13" max="13"/>
    <col width="9" customWidth="1" min="14" max="14"/>
    <col width="8" customWidth="1" min="15" max="15"/>
  </cols>
  <sheetData>
    <row r="1">
      <c r="A1" s="1" t="inlineStr">
        <is>
          <t>Imported data — refinery registry + 2024 net yields (% of crude). Type a crude capacity (blue) and that refinery's box lights up. Re-import: python -m naphtha_model ingest-yields &lt;file&gt;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refinery_id</t>
        </is>
      </c>
      <c r="B2" s="3" t="inlineStr">
        <is>
          <t>name</t>
        </is>
      </c>
      <c r="C2" s="3" t="inlineStr">
        <is>
          <t>owner</t>
        </is>
      </c>
      <c r="D2" s="3" t="inlineStr">
        <is>
          <t>padd</t>
        </is>
      </c>
      <c r="E2" s="3" t="inlineStr">
        <is>
          <t>state</t>
        </is>
      </c>
      <c r="F2" s="3" t="inlineStr">
        <is>
          <t>city</t>
        </is>
      </c>
      <c r="G2" s="3" t="inlineStr">
        <is>
          <t>crude_capacity_kbd</t>
        </is>
      </c>
      <c r="H2" s="3" t="inlineStr">
        <is>
          <t>status</t>
        </is>
      </c>
      <c r="I2" s="3" t="inlineStr">
        <is>
          <t>gasoil_diesel</t>
        </is>
      </c>
      <c r="J2" s="3" t="inlineStr">
        <is>
          <t>gasoline</t>
        </is>
      </c>
      <c r="K2" s="3" t="inlineStr">
        <is>
          <t>hfo</t>
        </is>
      </c>
      <c r="L2" s="3" t="inlineStr">
        <is>
          <t>kero_jet</t>
        </is>
      </c>
      <c r="M2" s="3" t="inlineStr">
        <is>
          <t>lpg</t>
        </is>
      </c>
      <c r="N2" s="3" t="inlineStr">
        <is>
          <t>naphtha</t>
        </is>
      </c>
      <c r="O2" s="3" t="inlineStr">
        <is>
          <t>total</t>
        </is>
      </c>
    </row>
    <row r="3">
      <c r="A3" s="5" t="inlineStr">
        <is>
          <t>PHILLIPS_LINDEN</t>
        </is>
      </c>
      <c r="B3" s="5" t="inlineStr">
        <is>
          <t>Phillips 66 Co. Linden</t>
        </is>
      </c>
      <c r="C3" s="5" t="inlineStr">
        <is>
          <t>Phillips 66 Co.</t>
        </is>
      </c>
      <c r="D3" s="5" t="n">
        <v>1</v>
      </c>
      <c r="E3" s="5" t="inlineStr">
        <is>
          <t>New Jersey</t>
        </is>
      </c>
      <c r="F3" s="5" t="inlineStr">
        <is>
          <t>Linden</t>
        </is>
      </c>
      <c r="G3" s="6" t="n">
        <v>258</v>
      </c>
      <c r="H3" s="5" t="inlineStr">
        <is>
          <t>operating</t>
        </is>
      </c>
      <c r="I3" s="17" t="n">
        <v>0.320086</v>
      </c>
      <c r="J3" s="17" t="n">
        <v>0.513787</v>
      </c>
      <c r="K3" s="17" t="n">
        <v>0.001038</v>
      </c>
      <c r="L3" s="17" t="n">
        <v>0.09799200000000001</v>
      </c>
      <c r="M3" s="17" t="n">
        <v>0.024308</v>
      </c>
      <c r="N3" s="17" t="n">
        <v>0</v>
      </c>
      <c r="O3" s="17" t="n">
        <v>0.95721</v>
      </c>
    </row>
    <row r="4">
      <c r="A4" s="5" t="inlineStr">
        <is>
          <t>MONROE_TRAINER</t>
        </is>
      </c>
      <c r="B4" s="5" t="inlineStr">
        <is>
          <t>Monroe Energy Trainer</t>
        </is>
      </c>
      <c r="C4" s="5" t="inlineStr">
        <is>
          <t>Delta Airlines</t>
        </is>
      </c>
      <c r="D4" s="5" t="n">
        <v>1</v>
      </c>
      <c r="E4" s="5" t="inlineStr">
        <is>
          <t>Pennsylvania</t>
        </is>
      </c>
      <c r="F4" s="5" t="inlineStr">
        <is>
          <t>Trainer</t>
        </is>
      </c>
      <c r="G4" s="6" t="n">
        <v>185</v>
      </c>
      <c r="H4" s="5" t="inlineStr">
        <is>
          <t>operating</t>
        </is>
      </c>
      <c r="I4" s="17" t="n">
        <v>0.19063</v>
      </c>
      <c r="J4" s="17" t="n">
        <v>0.5729529999999999</v>
      </c>
      <c r="K4" s="17" t="n">
        <v>0.012446</v>
      </c>
      <c r="L4" s="17" t="n">
        <v>0.196579</v>
      </c>
      <c r="M4" s="17" t="n">
        <v>0.014049</v>
      </c>
      <c r="N4" s="17" t="n">
        <v>0</v>
      </c>
      <c r="O4" s="17" t="n">
        <v>0.986657</v>
      </c>
    </row>
    <row r="5">
      <c r="A5" s="5" t="inlineStr">
        <is>
          <t>PBF_DELAWARE_CITY</t>
        </is>
      </c>
      <c r="B5" s="5" t="inlineStr">
        <is>
          <t>PBF Energy Company LLC Delaware City</t>
        </is>
      </c>
      <c r="C5" s="5" t="inlineStr">
        <is>
          <t>PBF Energy Company LLC</t>
        </is>
      </c>
      <c r="D5" s="5" t="n">
        <v>1</v>
      </c>
      <c r="E5" s="5" t="inlineStr">
        <is>
          <t>Delaware</t>
        </is>
      </c>
      <c r="F5" s="5" t="inlineStr">
        <is>
          <t>Delaware City</t>
        </is>
      </c>
      <c r="G5" s="6" t="n">
        <v>180</v>
      </c>
      <c r="H5" s="5" t="inlineStr">
        <is>
          <t>operating</t>
        </is>
      </c>
      <c r="I5" s="17" t="n">
        <v>0.288664</v>
      </c>
      <c r="J5" s="17" t="n">
        <v>0.626601</v>
      </c>
      <c r="K5" s="17" t="n">
        <v>0.006595999999999999</v>
      </c>
      <c r="L5" s="17" t="n">
        <v>0.118778</v>
      </c>
      <c r="M5" s="17" t="n">
        <v>0.027567</v>
      </c>
      <c r="N5" s="17" t="n">
        <v>0</v>
      </c>
      <c r="O5" s="17" t="n">
        <v>1.068205</v>
      </c>
    </row>
    <row r="6">
      <c r="A6" s="5" t="inlineStr">
        <is>
          <t>PBF_PAULSBORO</t>
        </is>
      </c>
      <c r="B6" s="5" t="inlineStr">
        <is>
          <t>PBF Energy Company LLC Paulsboro</t>
        </is>
      </c>
      <c r="C6" s="5" t="inlineStr">
        <is>
          <t>PBF Energy Company LLC</t>
        </is>
      </c>
      <c r="D6" s="5" t="n">
        <v>1</v>
      </c>
      <c r="E6" s="5" t="inlineStr">
        <is>
          <t>New Jersey</t>
        </is>
      </c>
      <c r="F6" s="5" t="inlineStr">
        <is>
          <t>Paulsboro</t>
        </is>
      </c>
      <c r="G6" s="6" t="n">
        <v>100</v>
      </c>
      <c r="H6" s="5" t="inlineStr">
        <is>
          <t>operating</t>
        </is>
      </c>
      <c r="I6" s="17" t="n">
        <v>0.373933</v>
      </c>
      <c r="J6" s="17" t="n">
        <v>0.272644</v>
      </c>
      <c r="K6" s="17" t="n">
        <v>0.024194</v>
      </c>
      <c r="L6" s="17" t="n">
        <v>0.199112</v>
      </c>
      <c r="M6" s="17" t="n">
        <v>0.009816</v>
      </c>
      <c r="N6" s="17" t="n">
        <v>0</v>
      </c>
      <c r="O6" s="17" t="n">
        <v>0.8796980000000001</v>
      </c>
    </row>
    <row r="7">
      <c r="A7" s="5" t="inlineStr">
        <is>
          <t>UNITED_WARREN</t>
        </is>
      </c>
      <c r="B7" s="5" t="inlineStr">
        <is>
          <t>United Refining Warren</t>
        </is>
      </c>
      <c r="C7" s="5" t="inlineStr">
        <is>
          <t>United Refining</t>
        </is>
      </c>
      <c r="D7" s="5" t="n">
        <v>1</v>
      </c>
      <c r="E7" s="5" t="inlineStr">
        <is>
          <t>Pennsylvania</t>
        </is>
      </c>
      <c r="F7" s="5" t="inlineStr">
        <is>
          <t>Warren</t>
        </is>
      </c>
      <c r="G7" s="6" t="n">
        <v>70</v>
      </c>
      <c r="H7" s="5" t="inlineStr">
        <is>
          <t>operating</t>
        </is>
      </c>
      <c r="I7" s="17" t="n">
        <v>0.174032</v>
      </c>
      <c r="J7" s="17" t="n">
        <v>0.450898</v>
      </c>
      <c r="K7" s="17" t="n">
        <v>0.001753</v>
      </c>
      <c r="L7" s="17" t="n">
        <v>0</v>
      </c>
      <c r="M7" s="17" t="n">
        <v>0.0007560000000000001</v>
      </c>
      <c r="N7" s="17" t="n">
        <v>0</v>
      </c>
      <c r="O7" s="17" t="n">
        <v>0.627437</v>
      </c>
    </row>
    <row r="8">
      <c r="A8" s="5" t="inlineStr">
        <is>
          <t>ERGON_NEWELL</t>
        </is>
      </c>
      <c r="B8" s="5" t="inlineStr">
        <is>
          <t>Ergon Newell</t>
        </is>
      </c>
      <c r="C8" s="5" t="inlineStr">
        <is>
          <t>Ergon</t>
        </is>
      </c>
      <c r="D8" s="5" t="n">
        <v>1</v>
      </c>
      <c r="E8" s="5" t="inlineStr">
        <is>
          <t>West Virginia</t>
        </is>
      </c>
      <c r="F8" s="5" t="inlineStr">
        <is>
          <t>Newell</t>
        </is>
      </c>
      <c r="G8" s="6" t="n">
        <v>22.3</v>
      </c>
      <c r="H8" s="5" t="inlineStr">
        <is>
          <t>operating</t>
        </is>
      </c>
      <c r="I8" s="17" t="n">
        <v>0.276305</v>
      </c>
      <c r="J8" s="17" t="n">
        <v>0.340546</v>
      </c>
      <c r="K8" s="17" t="n">
        <v>0</v>
      </c>
      <c r="L8" s="17" t="n">
        <v>0</v>
      </c>
      <c r="M8" s="17" t="n">
        <v>0.001903</v>
      </c>
      <c r="N8" s="17" t="n">
        <v>0</v>
      </c>
      <c r="O8" s="17" t="n">
        <v>0.618754</v>
      </c>
    </row>
    <row r="9">
      <c r="A9" s="5" t="inlineStr">
        <is>
          <t>AMERICAN_BRADFORD</t>
        </is>
      </c>
      <c r="B9" s="5" t="inlineStr">
        <is>
          <t>American Refining Group Bradford</t>
        </is>
      </c>
      <c r="C9" s="5" t="inlineStr">
        <is>
          <t>American Refining Group</t>
        </is>
      </c>
      <c r="D9" s="5" t="n">
        <v>1</v>
      </c>
      <c r="E9" s="5" t="inlineStr">
        <is>
          <t>Pennsylvania</t>
        </is>
      </c>
      <c r="F9" s="5" t="inlineStr">
        <is>
          <t>Bradford</t>
        </is>
      </c>
      <c r="G9" s="6" t="n">
        <v>11.8</v>
      </c>
      <c r="H9" s="5" t="inlineStr">
        <is>
          <t>operating</t>
        </is>
      </c>
      <c r="I9" s="17" t="n">
        <v>0.240976</v>
      </c>
      <c r="J9" s="17" t="n">
        <v>0.368069</v>
      </c>
      <c r="K9" s="17" t="n">
        <v>0</v>
      </c>
      <c r="L9" s="17" t="n">
        <v>0</v>
      </c>
      <c r="M9" s="17" t="n">
        <v>0.00557</v>
      </c>
      <c r="N9" s="17" t="n">
        <v>0</v>
      </c>
      <c r="O9" s="17" t="n">
        <v>0.614615</v>
      </c>
    </row>
    <row r="10">
      <c r="A10" s="5" t="inlineStr">
        <is>
          <t>BP_WHITING</t>
        </is>
      </c>
      <c r="B10" s="5" t="inlineStr">
        <is>
          <t>BP Whiting</t>
        </is>
      </c>
      <c r="C10" s="5" t="inlineStr">
        <is>
          <t>BP</t>
        </is>
      </c>
      <c r="D10" s="5" t="n">
        <v>2</v>
      </c>
      <c r="E10" s="5" t="inlineStr">
        <is>
          <t>Indiana</t>
        </is>
      </c>
      <c r="F10" s="5" t="inlineStr">
        <is>
          <t>Whiting</t>
        </is>
      </c>
      <c r="G10" s="6" t="n">
        <v>435</v>
      </c>
      <c r="H10" s="5" t="inlineStr">
        <is>
          <t>operating</t>
        </is>
      </c>
      <c r="I10" s="17" t="n">
        <v>0.232409</v>
      </c>
      <c r="J10" s="17" t="n">
        <v>0.573591</v>
      </c>
      <c r="K10" s="17" t="n">
        <v>0.010617</v>
      </c>
      <c r="L10" s="17" t="n">
        <v>0.069983</v>
      </c>
      <c r="M10" s="17" t="n">
        <v>0.018035</v>
      </c>
      <c r="N10" s="17" t="n">
        <v>0.00217</v>
      </c>
      <c r="O10" s="17" t="n">
        <v>0.9068040000000001</v>
      </c>
    </row>
    <row r="11">
      <c r="A11" s="5" t="inlineStr">
        <is>
          <t>FLINT_ROSEMOUNT</t>
        </is>
      </c>
      <c r="B11" s="5" t="inlineStr">
        <is>
          <t>Flint Hills Resources Rosemount</t>
        </is>
      </c>
      <c r="C11" s="5" t="inlineStr">
        <is>
          <t>Koch Industries</t>
        </is>
      </c>
      <c r="D11" s="5" t="n">
        <v>2</v>
      </c>
      <c r="E11" s="5" t="inlineStr">
        <is>
          <t>Minnesota</t>
        </is>
      </c>
      <c r="F11" s="5" t="inlineStr">
        <is>
          <t>Rosemount</t>
        </is>
      </c>
      <c r="G11" s="6" t="n">
        <v>375</v>
      </c>
      <c r="H11" s="5" t="inlineStr">
        <is>
          <t>operating</t>
        </is>
      </c>
      <c r="I11" s="17" t="n">
        <v>0.115114</v>
      </c>
      <c r="J11" s="17" t="n">
        <v>0.666609</v>
      </c>
      <c r="K11" s="17" t="n">
        <v>0.022427</v>
      </c>
      <c r="L11" s="17" t="n">
        <v>0.112758</v>
      </c>
      <c r="M11" s="17" t="n">
        <v>0.014163</v>
      </c>
      <c r="N11" s="17" t="n">
        <v>0.010141</v>
      </c>
      <c r="O11" s="17" t="n">
        <v>0.941212</v>
      </c>
    </row>
    <row r="12">
      <c r="A12" s="5" t="inlineStr">
        <is>
          <t>CENOVUS_WOOD_RIVER</t>
        </is>
      </c>
      <c r="B12" s="5" t="inlineStr">
        <is>
          <t>Cenovus Wood River</t>
        </is>
      </c>
      <c r="C12" s="5" t="inlineStr">
        <is>
          <t>Cenovus (50%) / Phillips 66 Co. (50%)</t>
        </is>
      </c>
      <c r="D12" s="5" t="n">
        <v>2</v>
      </c>
      <c r="E12" s="5" t="inlineStr">
        <is>
          <t>Illinois</t>
        </is>
      </c>
      <c r="F12" s="5" t="inlineStr">
        <is>
          <t>Wood River</t>
        </is>
      </c>
      <c r="G12" s="6" t="n">
        <v>356</v>
      </c>
      <c r="H12" s="5" t="inlineStr">
        <is>
          <t>operating</t>
        </is>
      </c>
      <c r="I12" s="17" t="n">
        <v>0.06430799999999999</v>
      </c>
      <c r="J12" s="17" t="n">
        <v>0.361823</v>
      </c>
      <c r="K12" s="17" t="n">
        <v>0.010296</v>
      </c>
      <c r="L12" s="17" t="n">
        <v>0.034763</v>
      </c>
      <c r="M12" s="17" t="n">
        <v>0.003792</v>
      </c>
      <c r="N12" s="17" t="n">
        <v>0.001431</v>
      </c>
      <c r="O12" s="17" t="n">
        <v>0.476413</v>
      </c>
    </row>
    <row r="13">
      <c r="A13" s="5" t="inlineStr">
        <is>
          <t>MARATHON_CATLETTSBURG</t>
        </is>
      </c>
      <c r="B13" s="5" t="inlineStr">
        <is>
          <t>Marathon Petroleum Catlettsburg</t>
        </is>
      </c>
      <c r="C13" s="5" t="inlineStr">
        <is>
          <t>Marathon Petroleum</t>
        </is>
      </c>
      <c r="D13" s="5" t="n">
        <v>2</v>
      </c>
      <c r="E13" s="5" t="inlineStr">
        <is>
          <t>Kentucky</t>
        </is>
      </c>
      <c r="F13" s="5" t="inlineStr">
        <is>
          <t>Catlettsburg</t>
        </is>
      </c>
      <c r="G13" s="6" t="n">
        <v>316</v>
      </c>
      <c r="H13" s="5" t="inlineStr">
        <is>
          <t>operating</t>
        </is>
      </c>
      <c r="I13" s="17" t="n">
        <v>0.478289</v>
      </c>
      <c r="J13" s="17" t="n">
        <v>0.4347570000000001</v>
      </c>
      <c r="K13" s="17" t="n">
        <v>0.001486</v>
      </c>
      <c r="L13" s="17" t="n">
        <v>0.020455</v>
      </c>
      <c r="M13" s="17" t="n">
        <v>0.009075999999999999</v>
      </c>
      <c r="N13" s="17" t="n">
        <v>0.001714</v>
      </c>
      <c r="O13" s="17" t="n">
        <v>0.945778</v>
      </c>
    </row>
    <row r="14">
      <c r="A14" s="5" t="inlineStr">
        <is>
          <t>MARATHON_ROBINSON</t>
        </is>
      </c>
      <c r="B14" s="5" t="inlineStr">
        <is>
          <t>Marathon Petroleum Robinson</t>
        </is>
      </c>
      <c r="C14" s="5" t="inlineStr">
        <is>
          <t>Marathon Petroleum</t>
        </is>
      </c>
      <c r="D14" s="5" t="n">
        <v>2</v>
      </c>
      <c r="E14" s="5" t="inlineStr">
        <is>
          <t>Illinois</t>
        </is>
      </c>
      <c r="F14" s="5" t="inlineStr">
        <is>
          <t>Robinson</t>
        </is>
      </c>
      <c r="G14" s="6" t="n">
        <v>278</v>
      </c>
      <c r="H14" s="5" t="inlineStr">
        <is>
          <t>operating</t>
        </is>
      </c>
      <c r="I14" s="17" t="n">
        <v>0.395003</v>
      </c>
      <c r="J14" s="17" t="n">
        <v>0.5376069999999999</v>
      </c>
      <c r="K14" s="17" t="n">
        <v>0.010142</v>
      </c>
      <c r="L14" s="17" t="n">
        <v>0.021377</v>
      </c>
      <c r="M14" s="17" t="n">
        <v>0.005884</v>
      </c>
      <c r="N14" s="17" t="n">
        <v>0.00261</v>
      </c>
      <c r="O14" s="17" t="n">
        <v>0.972624</v>
      </c>
    </row>
    <row r="15">
      <c r="A15" s="5" t="inlineStr">
        <is>
          <t>EXXONMOBIL_JOLIET</t>
        </is>
      </c>
      <c r="B15" s="5" t="inlineStr">
        <is>
          <t>ExxonMobil Joliet</t>
        </is>
      </c>
      <c r="C15" s="5" t="inlineStr">
        <is>
          <t>ExxonMobil</t>
        </is>
      </c>
      <c r="D15" s="5" t="n">
        <v>2</v>
      </c>
      <c r="E15" s="5" t="inlineStr">
        <is>
          <t>Illinois</t>
        </is>
      </c>
      <c r="F15" s="5" t="inlineStr">
        <is>
          <t>Joliet</t>
        </is>
      </c>
      <c r="G15" s="6" t="n">
        <v>252</v>
      </c>
      <c r="H15" s="5" t="inlineStr">
        <is>
          <t>operating</t>
        </is>
      </c>
      <c r="I15" s="17" t="n">
        <v>0.277571</v>
      </c>
      <c r="J15" s="17" t="n">
        <v>0.571539</v>
      </c>
      <c r="K15" s="17" t="n">
        <v>0.002654</v>
      </c>
      <c r="L15" s="17" t="n">
        <v>0.066733</v>
      </c>
      <c r="M15" s="17" t="n">
        <v>0.003918</v>
      </c>
      <c r="N15" s="17" t="n">
        <v>0.001772</v>
      </c>
      <c r="O15" s="17" t="n">
        <v>0.924187</v>
      </c>
    </row>
    <row r="16">
      <c r="A16" s="5" t="inlineStr">
        <is>
          <t>PHILLIPS_PONCA_CITY</t>
        </is>
      </c>
      <c r="B16" s="5" t="inlineStr">
        <is>
          <t>Phillips 66 Co. Ponca City</t>
        </is>
      </c>
      <c r="C16" s="5" t="inlineStr">
        <is>
          <t>Phillips 66 Co.</t>
        </is>
      </c>
      <c r="D16" s="5" t="n">
        <v>2</v>
      </c>
      <c r="E16" s="5" t="inlineStr">
        <is>
          <t>Oklahoma</t>
        </is>
      </c>
      <c r="F16" s="5" t="inlineStr">
        <is>
          <t>Ponca City</t>
        </is>
      </c>
      <c r="G16" s="6" t="n">
        <v>225</v>
      </c>
      <c r="H16" s="5" t="inlineStr">
        <is>
          <t>operating</t>
        </is>
      </c>
      <c r="I16" s="17" t="n">
        <v>0.366507</v>
      </c>
      <c r="J16" s="17" t="n">
        <v>0.485868</v>
      </c>
      <c r="K16" s="17" t="n">
        <v>0.006726999999999999</v>
      </c>
      <c r="L16" s="17" t="n">
        <v>0.081784</v>
      </c>
      <c r="M16" s="17" t="n">
        <v>0.002253</v>
      </c>
      <c r="N16" s="17" t="n">
        <v>0.001036</v>
      </c>
      <c r="O16" s="17" t="n">
        <v>0.9441759999999999</v>
      </c>
    </row>
    <row r="17">
      <c r="A17" s="5" t="inlineStr">
        <is>
          <t>CITGO_LEMONT</t>
        </is>
      </c>
      <c r="B17" s="5" t="inlineStr">
        <is>
          <t>Citgo Lemont</t>
        </is>
      </c>
      <c r="C17" s="5" t="inlineStr">
        <is>
          <t>PDVSA</t>
        </is>
      </c>
      <c r="D17" s="5" t="n">
        <v>2</v>
      </c>
      <c r="E17" s="5" t="inlineStr">
        <is>
          <t>Illinois</t>
        </is>
      </c>
      <c r="F17" s="5" t="inlineStr">
        <is>
          <t>Lemont</t>
        </is>
      </c>
      <c r="G17" s="6" t="n">
        <v>194.12</v>
      </c>
      <c r="H17" s="5" t="inlineStr">
        <is>
          <t>operating</t>
        </is>
      </c>
      <c r="I17" s="17" t="n">
        <v>0.299464</v>
      </c>
      <c r="J17" s="17" t="n">
        <v>0.5076160000000001</v>
      </c>
      <c r="K17" s="17" t="n">
        <v>0.0008100000000000001</v>
      </c>
      <c r="L17" s="17" t="n">
        <v>0.130942</v>
      </c>
      <c r="M17" s="17" t="n">
        <v>0.002889</v>
      </c>
      <c r="N17" s="17" t="n">
        <v>0.00595</v>
      </c>
      <c r="O17" s="17" t="n">
        <v>0.9476720000000001</v>
      </c>
    </row>
    <row r="18">
      <c r="A18" s="5" t="inlineStr">
        <is>
          <t>CENOVUS_LIMA</t>
        </is>
      </c>
      <c r="B18" s="5" t="inlineStr">
        <is>
          <t>Cenovus Lima</t>
        </is>
      </c>
      <c r="C18" s="5" t="inlineStr">
        <is>
          <t>Cenovus</t>
        </is>
      </c>
      <c r="D18" s="5" t="n">
        <v>2</v>
      </c>
      <c r="E18" s="5" t="inlineStr">
        <is>
          <t>Ohio</t>
        </is>
      </c>
      <c r="F18" s="5" t="inlineStr">
        <is>
          <t>Lima</t>
        </is>
      </c>
      <c r="G18" s="6" t="n">
        <v>185</v>
      </c>
      <c r="H18" s="5" t="inlineStr">
        <is>
          <t>operating</t>
        </is>
      </c>
      <c r="I18" s="17" t="n">
        <v>0.208956</v>
      </c>
      <c r="J18" s="17" t="n">
        <v>0.567905</v>
      </c>
      <c r="K18" s="17" t="n">
        <v>0.001856</v>
      </c>
      <c r="L18" s="17" t="n">
        <v>0.167952</v>
      </c>
      <c r="M18" s="17" t="n">
        <v>0.007396000000000001</v>
      </c>
      <c r="N18" s="17" t="n">
        <v>0.005404</v>
      </c>
      <c r="O18" s="17" t="n">
        <v>0.959469</v>
      </c>
    </row>
    <row r="19">
      <c r="A19" s="5" t="inlineStr">
        <is>
          <t>PBF_TOLEDO</t>
        </is>
      </c>
      <c r="B19" s="5" t="inlineStr">
        <is>
          <t>PBF Energy Company LLC Toledo</t>
        </is>
      </c>
      <c r="C19" s="5" t="inlineStr">
        <is>
          <t>PBF Energy Company LLC</t>
        </is>
      </c>
      <c r="D19" s="5" t="n">
        <v>2</v>
      </c>
      <c r="E19" s="5" t="inlineStr">
        <is>
          <t>Ohio</t>
        </is>
      </c>
      <c r="F19" s="5" t="inlineStr">
        <is>
          <t>Toledo</t>
        </is>
      </c>
      <c r="G19" s="6" t="n">
        <v>180</v>
      </c>
      <c r="H19" s="5" t="inlineStr">
        <is>
          <t>operating</t>
        </is>
      </c>
      <c r="I19" s="17" t="n">
        <v>0.227272</v>
      </c>
      <c r="J19" s="17" t="n">
        <v>0.554835</v>
      </c>
      <c r="K19" s="17" t="n">
        <v>0.003474</v>
      </c>
      <c r="L19" s="17" t="n">
        <v>0.181237</v>
      </c>
      <c r="M19" s="17" t="n">
        <v>0.008708</v>
      </c>
      <c r="N19" s="17" t="n">
        <v>0.003831</v>
      </c>
      <c r="O19" s="17" t="n">
        <v>0.9793569999999999</v>
      </c>
    </row>
    <row r="20">
      <c r="A20" s="5" t="inlineStr">
        <is>
          <t>VALERO_MEMPHIS</t>
        </is>
      </c>
      <c r="B20" s="5" t="inlineStr">
        <is>
          <t>Valero Memphis</t>
        </is>
      </c>
      <c r="C20" s="5" t="inlineStr">
        <is>
          <t>Valero</t>
        </is>
      </c>
      <c r="D20" s="5" t="n">
        <v>2</v>
      </c>
      <c r="E20" s="5" t="inlineStr">
        <is>
          <t>Tennessee</t>
        </is>
      </c>
      <c r="F20" s="5" t="inlineStr">
        <is>
          <t>Memphis</t>
        </is>
      </c>
      <c r="G20" s="6" t="n">
        <v>180</v>
      </c>
      <c r="H20" s="5" t="inlineStr">
        <is>
          <t>operating</t>
        </is>
      </c>
      <c r="I20" s="17" t="n">
        <v>0.5403629999999999</v>
      </c>
      <c r="J20" s="17" t="n">
        <v>0.426441</v>
      </c>
      <c r="K20" s="17" t="n">
        <v>0.000731</v>
      </c>
      <c r="L20" s="17" t="n">
        <v>0</v>
      </c>
      <c r="M20" s="17" t="n">
        <v>0.00437</v>
      </c>
      <c r="N20" s="17" t="n">
        <v>0.003239</v>
      </c>
      <c r="O20" s="17" t="n">
        <v>0.9751430000000001</v>
      </c>
    </row>
    <row r="21">
      <c r="A21" s="5" t="inlineStr">
        <is>
          <t>CENOVUS_TOLEDO</t>
        </is>
      </c>
      <c r="B21" s="5" t="inlineStr">
        <is>
          <t>Cenovus Toledo</t>
        </is>
      </c>
      <c r="C21" s="5" t="inlineStr">
        <is>
          <t>Cenovus</t>
        </is>
      </c>
      <c r="D21" s="5" t="n">
        <v>2</v>
      </c>
      <c r="E21" s="5" t="inlineStr">
        <is>
          <t>Ohio</t>
        </is>
      </c>
      <c r="F21" s="5" t="inlineStr">
        <is>
          <t>Toledo</t>
        </is>
      </c>
      <c r="G21" s="6" t="n">
        <v>160</v>
      </c>
      <c r="H21" s="5" t="inlineStr">
        <is>
          <t>operating</t>
        </is>
      </c>
      <c r="I21" s="17" t="n">
        <v>0.037569</v>
      </c>
      <c r="J21" s="17" t="n">
        <v>0.75274</v>
      </c>
      <c r="K21" s="17" t="n">
        <v>0.016172</v>
      </c>
      <c r="L21" s="17" t="n">
        <v>0.107308</v>
      </c>
      <c r="M21" s="17" t="n">
        <v>0.008028</v>
      </c>
      <c r="N21" s="17" t="n">
        <v>0.002121</v>
      </c>
      <c r="O21" s="17" t="n">
        <v>0.9239360000000001</v>
      </c>
    </row>
    <row r="22">
      <c r="A22" s="5" t="inlineStr">
        <is>
          <t>MARATHON_DETROIT</t>
        </is>
      </c>
      <c r="B22" s="5" t="inlineStr">
        <is>
          <t>Marathon Petroleum Detroit</t>
        </is>
      </c>
      <c r="C22" s="5" t="inlineStr">
        <is>
          <t>Marathon Petroleum</t>
        </is>
      </c>
      <c r="D22" s="5" t="n">
        <v>2</v>
      </c>
      <c r="E22" s="5" t="inlineStr">
        <is>
          <t>Michigan</t>
        </is>
      </c>
      <c r="F22" s="5" t="inlineStr">
        <is>
          <t>Detroit</t>
        </is>
      </c>
      <c r="G22" s="6" t="n">
        <v>140</v>
      </c>
      <c r="H22" s="5" t="inlineStr">
        <is>
          <t>operating</t>
        </is>
      </c>
      <c r="I22" s="17" t="n">
        <v>0.340967</v>
      </c>
      <c r="J22" s="17" t="n">
        <v>0.490704</v>
      </c>
      <c r="K22" s="17" t="n">
        <v>0.007616</v>
      </c>
      <c r="L22" s="17" t="n">
        <v>0.010936</v>
      </c>
      <c r="M22" s="17" t="n">
        <v>0.011926</v>
      </c>
      <c r="N22" s="17" t="n">
        <v>0.001459</v>
      </c>
      <c r="O22" s="17" t="n">
        <v>0.86361</v>
      </c>
    </row>
    <row r="23">
      <c r="A23" s="5" t="inlineStr">
        <is>
          <t>HF_EL_DORADO_KS</t>
        </is>
      </c>
      <c r="B23" s="5" t="inlineStr">
        <is>
          <t>HF Sinclair El Dorado (KS)</t>
        </is>
      </c>
      <c r="C23" s="5" t="inlineStr">
        <is>
          <t>HF Sinclair</t>
        </is>
      </c>
      <c r="D23" s="5" t="n">
        <v>2</v>
      </c>
      <c r="E23" s="5" t="inlineStr">
        <is>
          <t>Kansas</t>
        </is>
      </c>
      <c r="F23" s="5" t="inlineStr">
        <is>
          <t>El Dorado (KS)</t>
        </is>
      </c>
      <c r="G23" s="6" t="n">
        <v>135</v>
      </c>
      <c r="H23" s="5" t="inlineStr">
        <is>
          <t>operating</t>
        </is>
      </c>
      <c r="I23" s="17" t="n">
        <v>0.212953</v>
      </c>
      <c r="J23" s="17" t="n">
        <v>0.673224</v>
      </c>
      <c r="K23" s="17" t="n">
        <v>0.01426</v>
      </c>
      <c r="L23" s="17" t="n">
        <v>0.048543</v>
      </c>
      <c r="M23" s="17" t="n">
        <v>0.006962</v>
      </c>
      <c r="N23" s="17" t="n">
        <v>0.003144</v>
      </c>
      <c r="O23" s="17" t="n">
        <v>0.9590879999999999</v>
      </c>
    </row>
    <row r="24">
      <c r="A24" s="5" t="inlineStr">
        <is>
          <t>CVR_COFFEYVILLE</t>
        </is>
      </c>
      <c r="B24" s="5" t="inlineStr">
        <is>
          <t>CVR Energy Coffeyville</t>
        </is>
      </c>
      <c r="C24" s="5" t="inlineStr">
        <is>
          <t>Icahn Enterprises (80%) / Other Investors (20%)</t>
        </is>
      </c>
      <c r="D24" s="5" t="n">
        <v>2</v>
      </c>
      <c r="E24" s="5" t="inlineStr">
        <is>
          <t>Kansas</t>
        </is>
      </c>
      <c r="F24" s="5" t="inlineStr">
        <is>
          <t>Coffeyville</t>
        </is>
      </c>
      <c r="G24" s="6" t="n">
        <v>132</v>
      </c>
      <c r="H24" s="5" t="inlineStr">
        <is>
          <t>operating</t>
        </is>
      </c>
      <c r="I24" s="17" t="n">
        <v>0.315972</v>
      </c>
      <c r="J24" s="17" t="n">
        <v>0.379308</v>
      </c>
      <c r="K24" s="17" t="n">
        <v>0.001787</v>
      </c>
      <c r="L24" s="17" t="n">
        <v>0.06864099999999999</v>
      </c>
      <c r="M24" s="17" t="n">
        <v>0.003074</v>
      </c>
      <c r="N24" s="17" t="n">
        <v>0.001004</v>
      </c>
      <c r="O24" s="17" t="n">
        <v>0.769787</v>
      </c>
    </row>
    <row r="25">
      <c r="A25" s="5" t="inlineStr">
        <is>
          <t>HF_TULSA</t>
        </is>
      </c>
      <c r="B25" s="5" t="inlineStr">
        <is>
          <t>HF Sinclair Tulsa</t>
        </is>
      </c>
      <c r="C25" s="5" t="inlineStr">
        <is>
          <t>HF Sinclair</t>
        </is>
      </c>
      <c r="D25" s="5" t="n">
        <v>2</v>
      </c>
      <c r="E25" s="5" t="inlineStr">
        <is>
          <t>Oklahoma</t>
        </is>
      </c>
      <c r="F25" s="5" t="inlineStr">
        <is>
          <t>Tulsa</t>
        </is>
      </c>
      <c r="G25" s="6" t="n">
        <v>125</v>
      </c>
      <c r="H25" s="5" t="inlineStr">
        <is>
          <t>operating</t>
        </is>
      </c>
      <c r="I25" s="17" t="n">
        <v>0.509566</v>
      </c>
      <c r="J25" s="17" t="n">
        <v>0.302954</v>
      </c>
      <c r="K25" s="17" t="n">
        <v>0.003985</v>
      </c>
      <c r="L25" s="17" t="n">
        <v>0.056125</v>
      </c>
      <c r="M25" s="17" t="n">
        <v>0.004819</v>
      </c>
      <c r="N25" s="17" t="n">
        <v>0.014038</v>
      </c>
      <c r="O25" s="17" t="n">
        <v>0.891486</v>
      </c>
    </row>
    <row r="26">
      <c r="A26" s="5" t="inlineStr">
        <is>
          <t>NCRA_MCPHERSON</t>
        </is>
      </c>
      <c r="B26" s="5" t="inlineStr">
        <is>
          <t>NCRA McPherson</t>
        </is>
      </c>
      <c r="C26" s="5" t="inlineStr">
        <is>
          <t>CHS</t>
        </is>
      </c>
      <c r="D26" s="5" t="n">
        <v>2</v>
      </c>
      <c r="E26" s="5" t="inlineStr">
        <is>
          <t>Kansas</t>
        </is>
      </c>
      <c r="F26" s="5" t="inlineStr">
        <is>
          <t>McPherson</t>
        </is>
      </c>
      <c r="G26" s="6" t="n">
        <v>117.1</v>
      </c>
      <c r="H26" s="5" t="inlineStr">
        <is>
          <t>operating</t>
        </is>
      </c>
      <c r="I26" s="17" t="n">
        <v>0.266878</v>
      </c>
      <c r="J26" s="17" t="n">
        <v>0.567835</v>
      </c>
      <c r="K26" s="17" t="n">
        <v>0.004981999999999999</v>
      </c>
      <c r="L26" s="17" t="n">
        <v>0.121657</v>
      </c>
      <c r="M26" s="17" t="n">
        <v>0.004316</v>
      </c>
      <c r="N26" s="17" t="n">
        <v>0.002883</v>
      </c>
      <c r="O26" s="17" t="n">
        <v>0.968549</v>
      </c>
    </row>
    <row r="27">
      <c r="A27" s="5" t="inlineStr">
        <is>
          <t>MARATHON_SAINT_PAUL_PARK</t>
        </is>
      </c>
      <c r="B27" s="5" t="inlineStr">
        <is>
          <t>Marathon Petroleum Saint Paul Park</t>
        </is>
      </c>
      <c r="C27" s="5" t="inlineStr">
        <is>
          <t>Marathon Petroleum</t>
        </is>
      </c>
      <c r="D27" s="5" t="n">
        <v>2</v>
      </c>
      <c r="E27" s="5" t="inlineStr">
        <is>
          <t>Minnesota</t>
        </is>
      </c>
      <c r="F27" s="5" t="inlineStr">
        <is>
          <t>Saint Paul Park</t>
        </is>
      </c>
      <c r="G27" s="6" t="n">
        <v>111</v>
      </c>
      <c r="H27" s="5" t="inlineStr">
        <is>
          <t>operating</t>
        </is>
      </c>
      <c r="I27" s="17" t="n">
        <v>0.2093</v>
      </c>
      <c r="J27" s="17" t="n">
        <v>0.545693</v>
      </c>
      <c r="K27" s="17" t="n">
        <v>0.011134</v>
      </c>
      <c r="L27" s="17" t="n">
        <v>0.127933</v>
      </c>
      <c r="M27" s="17" t="n">
        <v>0.007335</v>
      </c>
      <c r="N27" s="17" t="n">
        <v>0.000164</v>
      </c>
      <c r="O27" s="17" t="n">
        <v>0.90156</v>
      </c>
    </row>
    <row r="28">
      <c r="A28" s="5" t="inlineStr">
        <is>
          <t>MARATHON_CANTON</t>
        </is>
      </c>
      <c r="B28" s="5" t="inlineStr">
        <is>
          <t>Marathon Petroleum Canton</t>
        </is>
      </c>
      <c r="C28" s="5" t="inlineStr">
        <is>
          <t>Marathon Petroleum</t>
        </is>
      </c>
      <c r="D28" s="5" t="n">
        <v>2</v>
      </c>
      <c r="E28" s="5" t="inlineStr">
        <is>
          <t>Ohio</t>
        </is>
      </c>
      <c r="F28" s="5" t="inlineStr">
        <is>
          <t>Canton</t>
        </is>
      </c>
      <c r="G28" s="6" t="n">
        <v>100</v>
      </c>
      <c r="H28" s="5" t="inlineStr">
        <is>
          <t>operating</t>
        </is>
      </c>
      <c r="I28" s="17" t="n">
        <v>0.473389</v>
      </c>
      <c r="J28" s="17" t="n">
        <v>0.40001</v>
      </c>
      <c r="K28" s="17" t="n">
        <v>0.001688</v>
      </c>
      <c r="L28" s="17" t="n">
        <v>0.020935</v>
      </c>
      <c r="M28" s="17" t="n">
        <v>0.002659</v>
      </c>
      <c r="N28" s="17" t="n">
        <v>0.004758</v>
      </c>
      <c r="O28" s="17" t="n">
        <v>0.9034399999999999</v>
      </c>
    </row>
    <row r="29">
      <c r="A29" s="5" t="inlineStr">
        <is>
          <t>VALERO_ARDMORE</t>
        </is>
      </c>
      <c r="B29" s="5" t="inlineStr">
        <is>
          <t>Valero Ardmore</t>
        </is>
      </c>
      <c r="C29" s="5" t="inlineStr">
        <is>
          <t>Valero</t>
        </is>
      </c>
      <c r="D29" s="5" t="n">
        <v>2</v>
      </c>
      <c r="E29" s="5" t="inlineStr">
        <is>
          <t>Oklahoma</t>
        </is>
      </c>
      <c r="F29" s="5" t="inlineStr">
        <is>
          <t>Ardmore</t>
        </is>
      </c>
      <c r="G29" s="6" t="n">
        <v>86</v>
      </c>
      <c r="H29" s="5" t="inlineStr">
        <is>
          <t>operating</t>
        </is>
      </c>
      <c r="I29" s="17" t="n">
        <v>0.492831</v>
      </c>
      <c r="J29" s="17" t="n">
        <v>0.421308</v>
      </c>
      <c r="K29" s="17" t="n">
        <v>0.006997</v>
      </c>
      <c r="L29" s="17" t="n">
        <v>0</v>
      </c>
      <c r="M29" s="17" t="n">
        <v>9.8e-05</v>
      </c>
      <c r="N29" s="17" t="n">
        <v>0.000158</v>
      </c>
      <c r="O29" s="17" t="n">
        <v>0.921392</v>
      </c>
    </row>
    <row r="30">
      <c r="A30" s="5" t="inlineStr">
        <is>
          <t>MARATHON_MANDAN</t>
        </is>
      </c>
      <c r="B30" s="5" t="inlineStr">
        <is>
          <t>Marathon Petroleum Mandan</t>
        </is>
      </c>
      <c r="C30" s="5" t="inlineStr">
        <is>
          <t>Marathon Petroleum</t>
        </is>
      </c>
      <c r="D30" s="5" t="n">
        <v>2</v>
      </c>
      <c r="E30" s="5" t="inlineStr">
        <is>
          <t>North Dakota</t>
        </is>
      </c>
      <c r="F30" s="5" t="inlineStr">
        <is>
          <t>Mandan</t>
        </is>
      </c>
      <c r="G30" s="6" t="n">
        <v>75.5</v>
      </c>
      <c r="H30" s="5" t="inlineStr">
        <is>
          <t>operating</t>
        </is>
      </c>
      <c r="I30" s="17" t="n">
        <v>0.439423</v>
      </c>
      <c r="J30" s="17" t="n">
        <v>0.42772</v>
      </c>
      <c r="K30" s="17" t="n">
        <v>0.011106</v>
      </c>
      <c r="L30" s="17" t="n">
        <v>0.070643</v>
      </c>
      <c r="M30" s="17" t="n">
        <v>0.003674</v>
      </c>
      <c r="N30" s="17" t="n">
        <v>0.00416</v>
      </c>
      <c r="O30" s="17" t="n">
        <v>0.9567260000000001</v>
      </c>
    </row>
    <row r="31">
      <c r="A31" s="5" t="inlineStr">
        <is>
          <t>CVR_WYNNEWOOD</t>
        </is>
      </c>
      <c r="B31" s="5" t="inlineStr">
        <is>
          <t>CVR Energy Wynnewood</t>
        </is>
      </c>
      <c r="C31" s="5" t="inlineStr">
        <is>
          <t>Icahn Enterprises (80%) / Other Investors (20%)</t>
        </is>
      </c>
      <c r="D31" s="5" t="n">
        <v>2</v>
      </c>
      <c r="E31" s="5" t="inlineStr">
        <is>
          <t>Oklahoma</t>
        </is>
      </c>
      <c r="F31" s="5" t="inlineStr">
        <is>
          <t>Wynnewood</t>
        </is>
      </c>
      <c r="G31" s="6" t="n">
        <v>75</v>
      </c>
      <c r="H31" s="5" t="inlineStr">
        <is>
          <t>operating</t>
        </is>
      </c>
      <c r="I31" s="17" t="n">
        <v>0.17764</v>
      </c>
      <c r="J31" s="17" t="n">
        <v>0.415458</v>
      </c>
      <c r="K31" s="17" t="n">
        <v>0.003776</v>
      </c>
      <c r="L31" s="17" t="n">
        <v>0.150803</v>
      </c>
      <c r="M31" s="17" t="n">
        <v>0.004015</v>
      </c>
      <c r="N31" s="17" t="n">
        <v>0.002848</v>
      </c>
      <c r="O31" s="17" t="n">
        <v>0.75454</v>
      </c>
    </row>
    <row r="32">
      <c r="A32" s="5" t="inlineStr">
        <is>
          <t>CENOVUS_SUPERIOR</t>
        </is>
      </c>
      <c r="B32" s="5" t="inlineStr">
        <is>
          <t>Cenovus Superior</t>
        </is>
      </c>
      <c r="C32" s="5" t="inlineStr">
        <is>
          <t>Cenovus</t>
        </is>
      </c>
      <c r="D32" s="5" t="n">
        <v>2</v>
      </c>
      <c r="E32" s="5" t="inlineStr">
        <is>
          <t>Wisconsin</t>
        </is>
      </c>
      <c r="F32" s="5" t="inlineStr">
        <is>
          <t>Superior</t>
        </is>
      </c>
      <c r="G32" s="6" t="n">
        <v>50</v>
      </c>
      <c r="H32" s="5" t="inlineStr">
        <is>
          <t>operating</t>
        </is>
      </c>
      <c r="I32" s="17" t="n">
        <v>0.258986</v>
      </c>
      <c r="J32" s="17" t="n">
        <v>0.389313</v>
      </c>
      <c r="K32" s="17" t="n">
        <v>0.007497</v>
      </c>
      <c r="L32" s="17" t="n">
        <v>0.148205</v>
      </c>
      <c r="M32" s="17" t="n">
        <v>0.006697999999999999</v>
      </c>
      <c r="N32" s="17" t="n">
        <v>0.002883</v>
      </c>
      <c r="O32" s="17" t="n">
        <v>0.8135819999999999</v>
      </c>
    </row>
    <row r="33">
      <c r="A33" s="5" t="inlineStr">
        <is>
          <t>COUNTRYMARK_MOUNT_VERNON</t>
        </is>
      </c>
      <c r="B33" s="5" t="inlineStr">
        <is>
          <t>Countrymark Cooperative Inc. Mount Vernon</t>
        </is>
      </c>
      <c r="C33" s="5" t="inlineStr">
        <is>
          <t>Countrymark Cooperative Inc.</t>
        </is>
      </c>
      <c r="D33" s="5" t="n">
        <v>2</v>
      </c>
      <c r="E33" s="5" t="inlineStr">
        <is>
          <t>Indiana</t>
        </is>
      </c>
      <c r="F33" s="5" t="inlineStr">
        <is>
          <t>Mount Vernon</t>
        </is>
      </c>
      <c r="G33" s="6" t="n">
        <v>30.8</v>
      </c>
      <c r="H33" s="5" t="inlineStr">
        <is>
          <t>operating</t>
        </is>
      </c>
      <c r="I33" s="17" t="n">
        <v>0.275814</v>
      </c>
      <c r="J33" s="17" t="n">
        <v>0.469008</v>
      </c>
      <c r="K33" s="17" t="n">
        <v>0.001351</v>
      </c>
      <c r="L33" s="17" t="n">
        <v>0.150118</v>
      </c>
      <c r="M33" s="17" t="n">
        <v>0.002167</v>
      </c>
      <c r="N33" s="17" t="n">
        <v>0.000118</v>
      </c>
      <c r="O33" s="17" t="n">
        <v>0.898573</v>
      </c>
    </row>
    <row r="34">
      <c r="A34" s="5" t="inlineStr">
        <is>
          <t>SOMERSET_SOMERSET</t>
        </is>
      </c>
      <c r="B34" s="5" t="inlineStr">
        <is>
          <t>Somerset Refinery Somerset</t>
        </is>
      </c>
      <c r="C34" s="5" t="inlineStr">
        <is>
          <t>Continental Refining Company</t>
        </is>
      </c>
      <c r="D34" s="5" t="n">
        <v>2</v>
      </c>
      <c r="E34" s="5" t="inlineStr">
        <is>
          <t>Kentucky</t>
        </is>
      </c>
      <c r="F34" s="5" t="inlineStr">
        <is>
          <t>Somerset</t>
        </is>
      </c>
      <c r="G34" s="6" t="n">
        <v>0</v>
      </c>
      <c r="H34" s="5" t="inlineStr">
        <is>
          <t>shut</t>
        </is>
      </c>
      <c r="I34" s="17" t="n">
        <v>0.349199</v>
      </c>
      <c r="J34" s="17" t="n">
        <v>0.451466</v>
      </c>
      <c r="K34" s="17" t="n">
        <v>0.025532</v>
      </c>
      <c r="L34" s="17" t="n">
        <v>0.083103</v>
      </c>
      <c r="M34" s="17" t="n">
        <v>0.007549</v>
      </c>
      <c r="N34" s="17" t="n">
        <v>0.002096</v>
      </c>
      <c r="O34" s="17" t="n">
        <v>0.9189449999999999</v>
      </c>
    </row>
    <row r="35">
      <c r="A35" s="5" t="inlineStr">
        <is>
          <t>MPC_GALV_BAY</t>
        </is>
      </c>
      <c r="B35" s="5" t="inlineStr">
        <is>
          <t>Galveston Bay Refinery</t>
        </is>
      </c>
      <c r="C35" s="5" t="inlineStr">
        <is>
          <t>Marathon Petroleum</t>
        </is>
      </c>
      <c r="D35" s="5" t="n">
        <v>3</v>
      </c>
      <c r="E35" s="5" t="inlineStr">
        <is>
          <t>TX</t>
        </is>
      </c>
      <c r="F35" s="5" t="inlineStr">
        <is>
          <t>Texas City</t>
        </is>
      </c>
      <c r="G35" s="6" t="n">
        <v>665</v>
      </c>
      <c r="H35" s="5" t="inlineStr">
        <is>
          <t>operating</t>
        </is>
      </c>
      <c r="I35" s="17" t="n">
        <v>0.221018</v>
      </c>
      <c r="J35" s="17" t="n">
        <v>0.588114</v>
      </c>
      <c r="K35" s="17" t="n">
        <v>0.017278</v>
      </c>
      <c r="L35" s="17" t="n">
        <v>0.09565</v>
      </c>
      <c r="M35" s="17" t="n">
        <v>-0.012318</v>
      </c>
      <c r="N35" s="17" t="n">
        <v>0.003629</v>
      </c>
      <c r="O35" s="17" t="n">
        <v>0.913371</v>
      </c>
    </row>
    <row r="36">
      <c r="A36" s="5" t="inlineStr">
        <is>
          <t>MOTIVA_PAR</t>
        </is>
      </c>
      <c r="B36" s="5" t="inlineStr">
        <is>
          <t>Motiva Port Arthur</t>
        </is>
      </c>
      <c r="C36" s="5" t="inlineStr">
        <is>
          <t>Saudi Aramco</t>
        </is>
      </c>
      <c r="D36" s="5" t="n">
        <v>3</v>
      </c>
      <c r="E36" s="5" t="inlineStr">
        <is>
          <t>TX</t>
        </is>
      </c>
      <c r="F36" s="5" t="inlineStr">
        <is>
          <t>Port Arthur</t>
        </is>
      </c>
      <c r="G36" s="6" t="n">
        <v>639.7</v>
      </c>
      <c r="H36" s="5" t="inlineStr">
        <is>
          <t>operating</t>
        </is>
      </c>
      <c r="I36" s="17" t="n">
        <v>0.271759</v>
      </c>
      <c r="J36" s="17" t="n">
        <v>0.398699</v>
      </c>
      <c r="K36" s="17" t="n">
        <v>0.003444</v>
      </c>
      <c r="L36" s="17" t="n">
        <v>0.115527</v>
      </c>
      <c r="M36" s="17" t="n">
        <v>0.017008</v>
      </c>
      <c r="N36" s="17" t="n">
        <v>0.000361</v>
      </c>
      <c r="O36" s="17" t="n">
        <v>0.806798</v>
      </c>
    </row>
    <row r="37">
      <c r="A37" s="5" t="inlineStr">
        <is>
          <t>EXXONMOBIL_BEAUMONT</t>
        </is>
      </c>
      <c r="B37" s="5" t="inlineStr">
        <is>
          <t>ExxonMobil Beaumont</t>
        </is>
      </c>
      <c r="C37" s="5" t="inlineStr">
        <is>
          <t>ExxonMobil</t>
        </is>
      </c>
      <c r="D37" s="5" t="n">
        <v>3</v>
      </c>
      <c r="E37" s="5" t="inlineStr">
        <is>
          <t>Texas</t>
        </is>
      </c>
      <c r="F37" s="5" t="inlineStr">
        <is>
          <t>Beaumont</t>
        </is>
      </c>
      <c r="G37" s="6" t="n">
        <v>634.4</v>
      </c>
      <c r="H37" s="5" t="inlineStr">
        <is>
          <t>operating</t>
        </is>
      </c>
      <c r="I37" s="17" t="n">
        <v>0.238924</v>
      </c>
      <c r="J37" s="17" t="n">
        <v>0.384458</v>
      </c>
      <c r="K37" s="17" t="n">
        <v>0.069187</v>
      </c>
      <c r="L37" s="17" t="n">
        <v>0.204725</v>
      </c>
      <c r="M37" s="17" t="n">
        <v>0.017905</v>
      </c>
      <c r="N37" s="17" t="n">
        <v>0.017309</v>
      </c>
      <c r="O37" s="17" t="n">
        <v>0.932508</v>
      </c>
    </row>
    <row r="38">
      <c r="A38" s="5" t="inlineStr">
        <is>
          <t>MARATHON_GARYVILLE</t>
        </is>
      </c>
      <c r="B38" s="5" t="inlineStr">
        <is>
          <t>Marathon Petroleum Garyville</t>
        </is>
      </c>
      <c r="C38" s="5" t="inlineStr">
        <is>
          <t>Marathon Petroleum</t>
        </is>
      </c>
      <c r="D38" s="5" t="n">
        <v>3</v>
      </c>
      <c r="E38" s="5" t="inlineStr">
        <is>
          <t>Louisiana</t>
        </is>
      </c>
      <c r="F38" s="5" t="inlineStr">
        <is>
          <t>Garyville</t>
        </is>
      </c>
      <c r="G38" s="6" t="n">
        <v>628</v>
      </c>
      <c r="H38" s="5" t="inlineStr">
        <is>
          <t>operating</t>
        </is>
      </c>
      <c r="I38" s="17" t="n">
        <v>0.458336</v>
      </c>
      <c r="J38" s="17" t="n">
        <v>0.491212</v>
      </c>
      <c r="K38" s="17" t="n">
        <v>0.003555</v>
      </c>
      <c r="L38" s="17" t="n">
        <v>0</v>
      </c>
      <c r="M38" s="17" t="n">
        <v>0.029851</v>
      </c>
      <c r="N38" s="17" t="n">
        <v>0.001977</v>
      </c>
      <c r="O38" s="17" t="n">
        <v>0.98493</v>
      </c>
    </row>
    <row r="39">
      <c r="A39" s="5" t="inlineStr">
        <is>
          <t>XOM_BAYTOWN</t>
        </is>
      </c>
      <c r="B39" s="5" t="inlineStr">
        <is>
          <t>ExxonMobil Baytown</t>
        </is>
      </c>
      <c r="C39" s="5" t="inlineStr">
        <is>
          <t>ExxonMobil</t>
        </is>
      </c>
      <c r="D39" s="5" t="n">
        <v>3</v>
      </c>
      <c r="E39" s="5" t="inlineStr">
        <is>
          <t>TX</t>
        </is>
      </c>
      <c r="F39" s="5" t="inlineStr">
        <is>
          <t>Baytown</t>
        </is>
      </c>
      <c r="G39" s="6" t="n">
        <v>580.2</v>
      </c>
      <c r="H39" s="5" t="inlineStr">
        <is>
          <t>operating</t>
        </is>
      </c>
      <c r="I39" s="17" t="n">
        <v>0.302334</v>
      </c>
      <c r="J39" s="17" t="n">
        <v>0.5320940000000001</v>
      </c>
      <c r="K39" s="17" t="n">
        <v>0.003543</v>
      </c>
      <c r="L39" s="17" t="n">
        <v>0.052782</v>
      </c>
      <c r="M39" s="17" t="n">
        <v>0.025773</v>
      </c>
      <c r="N39" s="17" t="n">
        <v>0.005712</v>
      </c>
      <c r="O39" s="17" t="n">
        <v>0.922239</v>
      </c>
    </row>
    <row r="40">
      <c r="A40" s="5" t="inlineStr">
        <is>
          <t>EXXONMOBIL_BATON_ROUGE</t>
        </is>
      </c>
      <c r="B40" s="5" t="inlineStr">
        <is>
          <t>ExxonMobil Baton Rouge</t>
        </is>
      </c>
      <c r="C40" s="5" t="inlineStr">
        <is>
          <t>ExxonMobil</t>
        </is>
      </c>
      <c r="D40" s="5" t="n">
        <v>3</v>
      </c>
      <c r="E40" s="5" t="inlineStr">
        <is>
          <t>Louisiana</t>
        </is>
      </c>
      <c r="F40" s="5" t="inlineStr">
        <is>
          <t>Baton Rouge</t>
        </is>
      </c>
      <c r="G40" s="6" t="n">
        <v>540.2</v>
      </c>
      <c r="H40" s="5" t="inlineStr">
        <is>
          <t>operating</t>
        </is>
      </c>
      <c r="I40" s="17" t="n">
        <v>0.2846</v>
      </c>
      <c r="J40" s="17" t="n">
        <v>0.568909</v>
      </c>
      <c r="K40" s="17" t="n">
        <v>0.00356</v>
      </c>
      <c r="L40" s="17" t="n">
        <v>0.108793</v>
      </c>
      <c r="M40" s="17" t="n">
        <v>0.026229</v>
      </c>
      <c r="N40" s="17" t="n">
        <v>0.009407</v>
      </c>
      <c r="O40" s="17" t="n">
        <v>1.001498</v>
      </c>
    </row>
    <row r="41">
      <c r="A41" s="5" t="inlineStr">
        <is>
          <t>CITGO_LAKE_CHARLES</t>
        </is>
      </c>
      <c r="B41" s="5" t="inlineStr">
        <is>
          <t>Citgo Lake Charles</t>
        </is>
      </c>
      <c r="C41" s="5" t="inlineStr">
        <is>
          <t>PDVSA</t>
        </is>
      </c>
      <c r="D41" s="5" t="n">
        <v>3</v>
      </c>
      <c r="E41" s="5" t="inlineStr">
        <is>
          <t>Louisiana</t>
        </is>
      </c>
      <c r="F41" s="5" t="inlineStr">
        <is>
          <t>Lake Charles</t>
        </is>
      </c>
      <c r="G41" s="6" t="n">
        <v>483</v>
      </c>
      <c r="H41" s="5" t="inlineStr">
        <is>
          <t>operating</t>
        </is>
      </c>
      <c r="I41" s="17" t="n">
        <v>0.222284</v>
      </c>
      <c r="J41" s="17" t="n">
        <v>0.476438</v>
      </c>
      <c r="K41" s="17" t="n">
        <v>0.003516</v>
      </c>
      <c r="L41" s="17" t="n">
        <v>0.221989</v>
      </c>
      <c r="M41" s="17" t="n">
        <v>0.023067</v>
      </c>
      <c r="N41" s="17" t="n">
        <v>0.006716</v>
      </c>
      <c r="O41" s="17" t="n">
        <v>0.9540099999999999</v>
      </c>
    </row>
    <row r="42">
      <c r="A42" s="5" t="inlineStr">
        <is>
          <t>VALERO_PORT_ARTHUR</t>
        </is>
      </c>
      <c r="B42" s="5" t="inlineStr">
        <is>
          <t>Valero Port Arthur</t>
        </is>
      </c>
      <c r="C42" s="5" t="inlineStr">
        <is>
          <t>Valero</t>
        </is>
      </c>
      <c r="D42" s="5" t="n">
        <v>3</v>
      </c>
      <c r="E42" s="5" t="inlineStr">
        <is>
          <t>Texas</t>
        </is>
      </c>
      <c r="F42" s="5" t="inlineStr">
        <is>
          <t>Port Arthur</t>
        </is>
      </c>
      <c r="G42" s="6" t="n">
        <v>435</v>
      </c>
      <c r="H42" s="5" t="inlineStr">
        <is>
          <t>operating</t>
        </is>
      </c>
      <c r="I42" s="17" t="n">
        <v>0.349707</v>
      </c>
      <c r="J42" s="17" t="n">
        <v>0.428718</v>
      </c>
      <c r="K42" s="17" t="n">
        <v>0.003681</v>
      </c>
      <c r="L42" s="17" t="n">
        <v>0.130599</v>
      </c>
      <c r="M42" s="17" t="n">
        <v>0.022231</v>
      </c>
      <c r="N42" s="17" t="n">
        <v>0.016109</v>
      </c>
      <c r="O42" s="17" t="n">
        <v>0.9510460000000001</v>
      </c>
    </row>
    <row r="43">
      <c r="A43" s="5" t="inlineStr">
        <is>
          <t>CHEVRON_PASCAGOULA</t>
        </is>
      </c>
      <c r="B43" s="5" t="inlineStr">
        <is>
          <t>Chevron Pascagoula</t>
        </is>
      </c>
      <c r="C43" s="5" t="inlineStr">
        <is>
          <t>Chevron</t>
        </is>
      </c>
      <c r="D43" s="5" t="n">
        <v>3</v>
      </c>
      <c r="E43" s="5" t="inlineStr">
        <is>
          <t>Mississippi</t>
        </is>
      </c>
      <c r="F43" s="5" t="inlineStr">
        <is>
          <t>Pascagoula</t>
        </is>
      </c>
      <c r="G43" s="6" t="n">
        <v>370</v>
      </c>
      <c r="H43" s="5" t="inlineStr">
        <is>
          <t>operating</t>
        </is>
      </c>
      <c r="I43" s="17" t="n">
        <v>0.287417</v>
      </c>
      <c r="J43" s="17" t="n">
        <v>0.418473</v>
      </c>
      <c r="K43" s="17" t="n">
        <v>0.003869</v>
      </c>
      <c r="L43" s="17" t="n">
        <v>0.185057</v>
      </c>
      <c r="M43" s="17" t="n">
        <v>0.025618</v>
      </c>
      <c r="N43" s="17" t="n">
        <v>0.029496</v>
      </c>
      <c r="O43" s="17" t="n">
        <v>0.9499299999999999</v>
      </c>
    </row>
    <row r="44">
      <c r="A44" s="5" t="inlineStr">
        <is>
          <t>PEMEX_DEER_PARK</t>
        </is>
      </c>
      <c r="B44" s="5" t="inlineStr">
        <is>
          <t>PEMEX Deer Park</t>
        </is>
      </c>
      <c r="C44" s="5" t="inlineStr">
        <is>
          <t>PEMEX</t>
        </is>
      </c>
      <c r="D44" s="5" t="n">
        <v>3</v>
      </c>
      <c r="E44" s="5" t="inlineStr">
        <is>
          <t>Texas</t>
        </is>
      </c>
      <c r="F44" s="5" t="inlineStr">
        <is>
          <t>Deer Park</t>
        </is>
      </c>
      <c r="G44" s="6" t="n">
        <v>340</v>
      </c>
      <c r="H44" s="5" t="inlineStr">
        <is>
          <t>operating</t>
        </is>
      </c>
      <c r="I44" s="17" t="n">
        <v>0.306532</v>
      </c>
      <c r="J44" s="17" t="n">
        <v>0.516228</v>
      </c>
      <c r="K44" s="17" t="n">
        <v>0.003653</v>
      </c>
      <c r="L44" s="17" t="n">
        <v>0.136363</v>
      </c>
      <c r="M44" s="17" t="n">
        <v>0.021048</v>
      </c>
      <c r="N44" s="17" t="n">
        <v>0.018313</v>
      </c>
      <c r="O44" s="17" t="n">
        <v>1.002137</v>
      </c>
    </row>
    <row r="45">
      <c r="A45" s="5" t="inlineStr">
        <is>
          <t>FLINT_CORPUS_CHRISTI</t>
        </is>
      </c>
      <c r="B45" s="5" t="inlineStr">
        <is>
          <t>Flint Hills Resources Corpus Christi</t>
        </is>
      </c>
      <c r="C45" s="5" t="inlineStr">
        <is>
          <t>Koch Industries</t>
        </is>
      </c>
      <c r="D45" s="5" t="n">
        <v>3</v>
      </c>
      <c r="E45" s="5" t="inlineStr">
        <is>
          <t>Texas</t>
        </is>
      </c>
      <c r="F45" s="5" t="inlineStr">
        <is>
          <t>Corpus Christi</t>
        </is>
      </c>
      <c r="G45" s="6" t="n">
        <v>330</v>
      </c>
      <c r="H45" s="5" t="inlineStr">
        <is>
          <t>operating</t>
        </is>
      </c>
      <c r="I45" s="17" t="n">
        <v>0.278743</v>
      </c>
      <c r="J45" s="17" t="n">
        <v>0.394957</v>
      </c>
      <c r="K45" s="17" t="n">
        <v>0.003838</v>
      </c>
      <c r="L45" s="17" t="n">
        <v>0.198456</v>
      </c>
      <c r="M45" s="17" t="n">
        <v>0.026986</v>
      </c>
      <c r="N45" s="17" t="n">
        <v>0.025336</v>
      </c>
      <c r="O45" s="17" t="n">
        <v>0.9283159999999999</v>
      </c>
    </row>
    <row r="46">
      <c r="A46" s="5" t="inlineStr">
        <is>
          <t>VALERO_CORPUS_CHRISTI</t>
        </is>
      </c>
      <c r="B46" s="5" t="inlineStr">
        <is>
          <t>Valero Corpus Christi</t>
        </is>
      </c>
      <c r="C46" s="5" t="inlineStr">
        <is>
          <t>Valero</t>
        </is>
      </c>
      <c r="D46" s="5" t="n">
        <v>3</v>
      </c>
      <c r="E46" s="5" t="inlineStr">
        <is>
          <t>Texas</t>
        </is>
      </c>
      <c r="F46" s="5" t="inlineStr">
        <is>
          <t>Corpus Christi</t>
        </is>
      </c>
      <c r="G46" s="6" t="n">
        <v>290</v>
      </c>
      <c r="H46" s="5" t="inlineStr">
        <is>
          <t>operating</t>
        </is>
      </c>
      <c r="I46" s="17" t="n">
        <v>0.263274</v>
      </c>
      <c r="J46" s="17" t="n">
        <v>0.575665</v>
      </c>
      <c r="K46" s="17" t="n">
        <v>0.001007</v>
      </c>
      <c r="L46" s="17" t="n">
        <v>0.143351</v>
      </c>
      <c r="M46" s="17" t="n">
        <v>0.001649</v>
      </c>
      <c r="N46" s="17" t="n">
        <v>0.007865</v>
      </c>
      <c r="O46" s="17" t="n">
        <v>0.992811</v>
      </c>
    </row>
    <row r="47">
      <c r="A47" s="5" t="inlineStr">
        <is>
          <t>PHILLIPS_WESTLAKE</t>
        </is>
      </c>
      <c r="B47" s="5" t="inlineStr">
        <is>
          <t>Phillips 66 Co. Westlake</t>
        </is>
      </c>
      <c r="C47" s="5" t="inlineStr">
        <is>
          <t>Phillips 66 Co.</t>
        </is>
      </c>
      <c r="D47" s="5" t="n">
        <v>3</v>
      </c>
      <c r="E47" s="5" t="inlineStr">
        <is>
          <t>Louisiana</t>
        </is>
      </c>
      <c r="F47" s="5" t="inlineStr">
        <is>
          <t>Westlake</t>
        </is>
      </c>
      <c r="G47" s="6" t="n">
        <v>281</v>
      </c>
      <c r="H47" s="5" t="inlineStr">
        <is>
          <t>operating</t>
        </is>
      </c>
      <c r="I47" s="17" t="n">
        <v>0.315462</v>
      </c>
      <c r="J47" s="17" t="n">
        <v>0.367467</v>
      </c>
      <c r="K47" s="17" t="n">
        <v>0.02545</v>
      </c>
      <c r="L47" s="17" t="n">
        <v>0.16352</v>
      </c>
      <c r="M47" s="17" t="n">
        <v>0.018966</v>
      </c>
      <c r="N47" s="17" t="n">
        <v>0.008149999999999999</v>
      </c>
      <c r="O47" s="17" t="n">
        <v>0.899015</v>
      </c>
    </row>
    <row r="48">
      <c r="A48" s="5" t="inlineStr">
        <is>
          <t>PHILLIPS_SWEENY</t>
        </is>
      </c>
      <c r="B48" s="5" t="inlineStr">
        <is>
          <t>Phillips 66 Co. Sweeny</t>
        </is>
      </c>
      <c r="C48" s="5" t="inlineStr">
        <is>
          <t>Phillips 66 Co.</t>
        </is>
      </c>
      <c r="D48" s="5" t="n">
        <v>3</v>
      </c>
      <c r="E48" s="5" t="inlineStr">
        <is>
          <t>Texas</t>
        </is>
      </c>
      <c r="F48" s="5" t="inlineStr">
        <is>
          <t>Sweeny</t>
        </is>
      </c>
      <c r="G48" s="6" t="n">
        <v>277.9</v>
      </c>
      <c r="H48" s="5" t="inlineStr">
        <is>
          <t>operating</t>
        </is>
      </c>
      <c r="I48" s="17" t="n">
        <v>0.364807</v>
      </c>
      <c r="J48" s="17" t="n">
        <v>0.515578</v>
      </c>
      <c r="K48" s="17" t="n">
        <v>0.00374</v>
      </c>
      <c r="L48" s="17" t="n">
        <v>0.063764</v>
      </c>
      <c r="M48" s="17" t="n">
        <v>0.033251</v>
      </c>
      <c r="N48" s="17" t="n">
        <v>0.017331</v>
      </c>
      <c r="O48" s="17" t="n">
        <v>0.99847</v>
      </c>
    </row>
    <row r="49">
      <c r="A49" s="5" t="inlineStr">
        <is>
          <t>VALERO_TEXAS_CITY</t>
        </is>
      </c>
      <c r="B49" s="5" t="inlineStr">
        <is>
          <t>Valero Texas City</t>
        </is>
      </c>
      <c r="C49" s="5" t="inlineStr">
        <is>
          <t>Valero</t>
        </is>
      </c>
      <c r="D49" s="5" t="n">
        <v>3</v>
      </c>
      <c r="E49" s="5" t="inlineStr">
        <is>
          <t>Texas</t>
        </is>
      </c>
      <c r="F49" s="5" t="inlineStr">
        <is>
          <t>Texas City</t>
        </is>
      </c>
      <c r="G49" s="6" t="n">
        <v>260</v>
      </c>
      <c r="H49" s="5" t="inlineStr">
        <is>
          <t>operating</t>
        </is>
      </c>
      <c r="I49" s="17" t="n">
        <v>0.40265</v>
      </c>
      <c r="J49" s="17" t="n">
        <v>0.446027</v>
      </c>
      <c r="K49" s="17" t="n">
        <v>0.003848</v>
      </c>
      <c r="L49" s="17" t="n">
        <v>0.057356</v>
      </c>
      <c r="M49" s="17" t="n">
        <v>0.028643</v>
      </c>
      <c r="N49" s="17" t="n">
        <v>0.024883</v>
      </c>
      <c r="O49" s="17" t="n">
        <v>0.963408</v>
      </c>
    </row>
    <row r="50">
      <c r="A50" s="5" t="inlineStr">
        <is>
          <t>SHELL_NORCO</t>
        </is>
      </c>
      <c r="B50" s="5" t="inlineStr">
        <is>
          <t>Shell Norco</t>
        </is>
      </c>
      <c r="C50" s="5" t="inlineStr">
        <is>
          <t>Shell</t>
        </is>
      </c>
      <c r="D50" s="5" t="n">
        <v>3</v>
      </c>
      <c r="E50" s="5" t="inlineStr">
        <is>
          <t>Louisiana</t>
        </is>
      </c>
      <c r="F50" s="5" t="inlineStr">
        <is>
          <t>Norco</t>
        </is>
      </c>
      <c r="G50" s="6" t="n">
        <v>250</v>
      </c>
      <c r="H50" s="5" t="inlineStr">
        <is>
          <t>operating</t>
        </is>
      </c>
      <c r="I50" s="17" t="n">
        <v>0.369059</v>
      </c>
      <c r="J50" s="17" t="n">
        <v>0.5950719999999999</v>
      </c>
      <c r="K50" s="17" t="n">
        <v>0.003113</v>
      </c>
      <c r="L50" s="17" t="n">
        <v>0.118014</v>
      </c>
      <c r="M50" s="17" t="n">
        <v>0.008717000000000001</v>
      </c>
      <c r="N50" s="17" t="n">
        <v>0.000902</v>
      </c>
      <c r="O50" s="17" t="n">
        <v>1.094877</v>
      </c>
    </row>
    <row r="51">
      <c r="A51" s="5" t="inlineStr">
        <is>
          <t>TOTAL_PORT_ARTHUR</t>
        </is>
      </c>
      <c r="B51" s="5" t="inlineStr">
        <is>
          <t>Total Port Arthur</t>
        </is>
      </c>
      <c r="C51" s="5" t="inlineStr">
        <is>
          <t>Total</t>
        </is>
      </c>
      <c r="D51" s="5" t="n">
        <v>3</v>
      </c>
      <c r="E51" s="5" t="inlineStr">
        <is>
          <t>Texas</t>
        </is>
      </c>
      <c r="F51" s="5" t="inlineStr">
        <is>
          <t>Port Arthur</t>
        </is>
      </c>
      <c r="G51" s="6" t="n">
        <v>238</v>
      </c>
      <c r="H51" s="5" t="inlineStr">
        <is>
          <t>operating</t>
        </is>
      </c>
      <c r="I51" s="17" t="n">
        <v>0.433829</v>
      </c>
      <c r="J51" s="17" t="n">
        <v>0.496059</v>
      </c>
      <c r="K51" s="17" t="n">
        <v>0.00364</v>
      </c>
      <c r="L51" s="17" t="n">
        <v>0.07234</v>
      </c>
      <c r="M51" s="17" t="n">
        <v>0.042162</v>
      </c>
      <c r="N51" s="17" t="n">
        <v>0.00464</v>
      </c>
      <c r="O51" s="17" t="n">
        <v>1.052668</v>
      </c>
    </row>
    <row r="52">
      <c r="A52" s="5" t="inlineStr">
        <is>
          <t>VALERO_SAINT_CHARLES</t>
        </is>
      </c>
      <c r="B52" s="5" t="inlineStr">
        <is>
          <t>Valero Saint Charles</t>
        </is>
      </c>
      <c r="C52" s="5" t="inlineStr">
        <is>
          <t>Valero</t>
        </is>
      </c>
      <c r="D52" s="5" t="n">
        <v>3</v>
      </c>
      <c r="E52" s="5" t="inlineStr">
        <is>
          <t>Louisiana</t>
        </is>
      </c>
      <c r="F52" s="5" t="inlineStr">
        <is>
          <t>Saint Charles</t>
        </is>
      </c>
      <c r="G52" s="6" t="n">
        <v>215</v>
      </c>
      <c r="H52" s="5" t="inlineStr">
        <is>
          <t>operating</t>
        </is>
      </c>
      <c r="I52" s="17" t="n">
        <v>0.615668</v>
      </c>
      <c r="J52" s="17" t="n">
        <v>1.298121</v>
      </c>
      <c r="K52" s="17" t="n">
        <v>0.00316</v>
      </c>
      <c r="L52" s="17" t="n">
        <v>0</v>
      </c>
      <c r="M52" s="17" t="n">
        <v>-0.024284</v>
      </c>
      <c r="N52" s="17" t="n">
        <v>0</v>
      </c>
      <c r="O52" s="17" t="n">
        <v>1.892666</v>
      </c>
    </row>
    <row r="53">
      <c r="A53" s="5" t="inlineStr">
        <is>
          <t>VALERO_HOUSTON</t>
        </is>
      </c>
      <c r="B53" s="5" t="inlineStr">
        <is>
          <t>Valero Houston</t>
        </is>
      </c>
      <c r="C53" s="5" t="inlineStr">
        <is>
          <t>Valero</t>
        </is>
      </c>
      <c r="D53" s="5" t="n">
        <v>3</v>
      </c>
      <c r="E53" s="5" t="inlineStr">
        <is>
          <t>Texas</t>
        </is>
      </c>
      <c r="F53" s="5" t="inlineStr">
        <is>
          <t>Houston</t>
        </is>
      </c>
      <c r="G53" s="6" t="n">
        <v>205</v>
      </c>
      <c r="H53" s="5" t="inlineStr">
        <is>
          <t>operating</t>
        </is>
      </c>
      <c r="I53" s="17" t="n">
        <v>0.301428</v>
      </c>
      <c r="J53" s="17" t="n">
        <v>0.412325</v>
      </c>
      <c r="K53" s="17" t="n">
        <v>0.042713</v>
      </c>
      <c r="L53" s="17" t="n">
        <v>0.145476</v>
      </c>
      <c r="M53" s="17" t="n">
        <v>-0.012555</v>
      </c>
      <c r="N53" s="17" t="n">
        <v>0.040042</v>
      </c>
      <c r="O53" s="17" t="n">
        <v>0.92943</v>
      </c>
    </row>
    <row r="54">
      <c r="A54" s="5" t="inlineStr">
        <is>
          <t>VALERO_SUNRAY</t>
        </is>
      </c>
      <c r="B54" s="5" t="inlineStr">
        <is>
          <t>Valero Sunray</t>
        </is>
      </c>
      <c r="C54" s="5" t="inlineStr">
        <is>
          <t>Valero</t>
        </is>
      </c>
      <c r="D54" s="5" t="n">
        <v>3</v>
      </c>
      <c r="E54" s="5" t="inlineStr">
        <is>
          <t>Texas</t>
        </is>
      </c>
      <c r="F54" s="5" t="inlineStr">
        <is>
          <t>Sunray</t>
        </is>
      </c>
      <c r="G54" s="6" t="n">
        <v>195</v>
      </c>
      <c r="H54" s="5" t="inlineStr">
        <is>
          <t>operating</t>
        </is>
      </c>
      <c r="I54" s="17" t="n">
        <v>0.301291</v>
      </c>
      <c r="J54" s="17" t="n">
        <v>0.590812</v>
      </c>
      <c r="K54" s="17" t="n">
        <v>0.001658</v>
      </c>
      <c r="L54" s="17" t="n">
        <v>0.059199</v>
      </c>
      <c r="M54" s="17" t="n">
        <v>0.008832</v>
      </c>
      <c r="N54" s="17" t="n">
        <v>0</v>
      </c>
      <c r="O54" s="17" t="n">
        <v>0.9617910000000001</v>
      </c>
    </row>
    <row r="55">
      <c r="A55" s="5" t="inlineStr">
        <is>
          <t>PBF_CHALMETTE</t>
        </is>
      </c>
      <c r="B55" s="5" t="inlineStr">
        <is>
          <t>PBF Energy Company LLC Chalmette</t>
        </is>
      </c>
      <c r="C55" s="5" t="inlineStr">
        <is>
          <t>PBF Energy Company LLC</t>
        </is>
      </c>
      <c r="D55" s="5" t="n">
        <v>3</v>
      </c>
      <c r="E55" s="5" t="inlineStr">
        <is>
          <t>Louisiana</t>
        </is>
      </c>
      <c r="F55" s="5" t="inlineStr">
        <is>
          <t>Chalmette</t>
        </is>
      </c>
      <c r="G55" s="6" t="n">
        <v>185</v>
      </c>
      <c r="H55" s="5" t="inlineStr">
        <is>
          <t>operating</t>
        </is>
      </c>
      <c r="I55" s="17" t="n">
        <v>0.37363</v>
      </c>
      <c r="J55" s="17" t="n">
        <v>0.598032</v>
      </c>
      <c r="K55" s="17" t="n">
        <v>0.019126</v>
      </c>
      <c r="L55" s="17" t="n">
        <v>0</v>
      </c>
      <c r="M55" s="17" t="n">
        <v>0.019554</v>
      </c>
      <c r="N55" s="17" t="n">
        <v>0</v>
      </c>
      <c r="O55" s="17" t="n">
        <v>1.010341</v>
      </c>
    </row>
    <row r="56">
      <c r="A56" s="5" t="inlineStr">
        <is>
          <t>CITGO_CORPUS_CHRISTI</t>
        </is>
      </c>
      <c r="B56" s="5" t="inlineStr">
        <is>
          <t>Citgo Corpus Christi</t>
        </is>
      </c>
      <c r="C56" s="5" t="inlineStr">
        <is>
          <t>PDVSA</t>
        </is>
      </c>
      <c r="D56" s="5" t="n">
        <v>3</v>
      </c>
      <c r="E56" s="5" t="inlineStr">
        <is>
          <t>Texas</t>
        </is>
      </c>
      <c r="F56" s="5" t="inlineStr">
        <is>
          <t>Corpus Christi</t>
        </is>
      </c>
      <c r="G56" s="6" t="n">
        <v>175.5</v>
      </c>
      <c r="H56" s="5" t="inlineStr">
        <is>
          <t>operating</t>
        </is>
      </c>
      <c r="I56" s="17" t="n">
        <v>0.422158</v>
      </c>
      <c r="J56" s="17" t="n">
        <v>0.545632</v>
      </c>
      <c r="K56" s="17" t="n">
        <v>0.003574</v>
      </c>
      <c r="L56" s="17" t="n">
        <v>0</v>
      </c>
      <c r="M56" s="17" t="n">
        <v>0.020524</v>
      </c>
      <c r="N56" s="17" t="n">
        <v>0.01035</v>
      </c>
      <c r="O56" s="17" t="n">
        <v>1.002238</v>
      </c>
    </row>
    <row r="57">
      <c r="A57" s="5" t="inlineStr">
        <is>
          <t>WRB_BORGER</t>
        </is>
      </c>
      <c r="B57" s="5" t="inlineStr">
        <is>
          <t>WRB Refining Borger</t>
        </is>
      </c>
      <c r="C57" s="5" t="inlineStr">
        <is>
          <t>Cenovus (50%) / Phillips 66 Co. (50%)</t>
        </is>
      </c>
      <c r="D57" s="5" t="n">
        <v>3</v>
      </c>
      <c r="E57" s="5" t="inlineStr">
        <is>
          <t>Texas</t>
        </is>
      </c>
      <c r="F57" s="5" t="inlineStr">
        <is>
          <t>Borger</t>
        </is>
      </c>
      <c r="G57" s="6" t="n">
        <v>154</v>
      </c>
      <c r="H57" s="5" t="inlineStr">
        <is>
          <t>operating</t>
        </is>
      </c>
      <c r="I57" s="17" t="n">
        <v>0.162333</v>
      </c>
      <c r="J57" s="17" t="n">
        <v>0.270181</v>
      </c>
      <c r="K57" s="17" t="n">
        <v>0.020806</v>
      </c>
      <c r="L57" s="17" t="n">
        <v>0.032517</v>
      </c>
      <c r="M57" s="17" t="n">
        <v>-0.0008140000000000001</v>
      </c>
      <c r="N57" s="17" t="n">
        <v>0.001021</v>
      </c>
      <c r="O57" s="17" t="n">
        <v>0.486044</v>
      </c>
    </row>
    <row r="58">
      <c r="A58" s="5" t="inlineStr">
        <is>
          <t>MARATHON_EL_PASO</t>
        </is>
      </c>
      <c r="B58" s="5" t="inlineStr">
        <is>
          <t>Marathon Petroleum El Paso</t>
        </is>
      </c>
      <c r="C58" s="5" t="inlineStr">
        <is>
          <t>Marathon Petroleum</t>
        </is>
      </c>
      <c r="D58" s="5" t="n">
        <v>3</v>
      </c>
      <c r="E58" s="5" t="inlineStr">
        <is>
          <t>Texas</t>
        </is>
      </c>
      <c r="F58" s="5" t="inlineStr">
        <is>
          <t>El Paso</t>
        </is>
      </c>
      <c r="G58" s="6" t="n">
        <v>133</v>
      </c>
      <c r="H58" s="5" t="inlineStr">
        <is>
          <t>operating</t>
        </is>
      </c>
      <c r="I58" s="17" t="n">
        <v>0.205383</v>
      </c>
      <c r="J58" s="17" t="n">
        <v>0.469657</v>
      </c>
      <c r="K58" s="17" t="n">
        <v>0.056662</v>
      </c>
      <c r="L58" s="17" t="n">
        <v>0.186622</v>
      </c>
      <c r="M58" s="17" t="n">
        <v>-0.006245000000000001</v>
      </c>
      <c r="N58" s="17" t="n">
        <v>0.004522</v>
      </c>
      <c r="O58" s="17" t="n">
        <v>0.916601</v>
      </c>
    </row>
    <row r="59">
      <c r="A59" s="5" t="inlineStr">
        <is>
          <t>CHEVRON_PASADENA</t>
        </is>
      </c>
      <c r="B59" s="5" t="inlineStr">
        <is>
          <t>Chevron Pasadena</t>
        </is>
      </c>
      <c r="C59" s="5" t="inlineStr">
        <is>
          <t>Chevron</t>
        </is>
      </c>
      <c r="D59" s="5" t="n">
        <v>3</v>
      </c>
      <c r="E59" s="5" t="inlineStr">
        <is>
          <t>Texas</t>
        </is>
      </c>
      <c r="F59" s="5" t="inlineStr">
        <is>
          <t>Pasadena</t>
        </is>
      </c>
      <c r="G59" s="6" t="n">
        <v>125</v>
      </c>
      <c r="H59" s="5" t="inlineStr">
        <is>
          <t>operating</t>
        </is>
      </c>
      <c r="I59" s="17" t="n">
        <v>0.395379</v>
      </c>
      <c r="J59" s="17" t="n">
        <v>0.497175</v>
      </c>
      <c r="K59" s="17" t="n">
        <v>0.003382</v>
      </c>
      <c r="L59" s="17" t="n">
        <v>0</v>
      </c>
      <c r="M59" s="17" t="n">
        <v>0.002623</v>
      </c>
      <c r="N59" s="17" t="n">
        <v>0.003667</v>
      </c>
      <c r="O59" s="17" t="n">
        <v>0.902226</v>
      </c>
    </row>
    <row r="60">
      <c r="A60" s="5" t="inlineStr">
        <is>
          <t>VALERO_MERAUX</t>
        </is>
      </c>
      <c r="B60" s="5" t="inlineStr">
        <is>
          <t>Valero Meraux</t>
        </is>
      </c>
      <c r="C60" s="5" t="inlineStr">
        <is>
          <t>Valero</t>
        </is>
      </c>
      <c r="D60" s="5" t="n">
        <v>3</v>
      </c>
      <c r="E60" s="5" t="inlineStr">
        <is>
          <t>Louisiana</t>
        </is>
      </c>
      <c r="F60" s="5" t="inlineStr">
        <is>
          <t>Meraux</t>
        </is>
      </c>
      <c r="G60" s="6" t="n">
        <v>125</v>
      </c>
      <c r="H60" s="5" t="inlineStr">
        <is>
          <t>operating</t>
        </is>
      </c>
      <c r="I60" s="17" t="n">
        <v>0.406057</v>
      </c>
      <c r="J60" s="17" t="n">
        <v>0.343784</v>
      </c>
      <c r="K60" s="17" t="n">
        <v>0.075484</v>
      </c>
      <c r="L60" s="17" t="n">
        <v>0.131051</v>
      </c>
      <c r="M60" s="17" t="n">
        <v>0.013595</v>
      </c>
      <c r="N60" s="17" t="n">
        <v>0</v>
      </c>
      <c r="O60" s="17" t="n">
        <v>0.9699720000000001</v>
      </c>
    </row>
    <row r="61">
      <c r="A61" s="5" t="inlineStr">
        <is>
          <t>KINDER_HOUSTON</t>
        </is>
      </c>
      <c r="B61" s="5" t="inlineStr">
        <is>
          <t>Kinder Morgan Houston</t>
        </is>
      </c>
      <c r="C61" s="5" t="inlineStr">
        <is>
          <t>Kinder Morgan</t>
        </is>
      </c>
      <c r="D61" s="5" t="n">
        <v>3</v>
      </c>
      <c r="E61" s="5" t="inlineStr">
        <is>
          <t>Texas</t>
        </is>
      </c>
      <c r="F61" s="5" t="inlineStr">
        <is>
          <t>Houston</t>
        </is>
      </c>
      <c r="G61" s="6" t="n">
        <v>121</v>
      </c>
      <c r="H61" s="5" t="inlineStr">
        <is>
          <t>operating</t>
        </is>
      </c>
      <c r="I61" s="17" t="n">
        <v>0.257837</v>
      </c>
      <c r="J61" s="17" t="n">
        <v>0.471439</v>
      </c>
      <c r="K61" s="17" t="n">
        <v>0.010564</v>
      </c>
      <c r="L61" s="17" t="n">
        <v>0.149315</v>
      </c>
      <c r="M61" s="17" t="n">
        <v>0.009444000000000001</v>
      </c>
      <c r="N61" s="17" t="n">
        <v>0.010428</v>
      </c>
      <c r="O61" s="17" t="n">
        <v>0.9090250000000001</v>
      </c>
    </row>
    <row r="62">
      <c r="A62" s="5" t="inlineStr">
        <is>
          <t>CALCASIEU_LAKE_CHARLES</t>
        </is>
      </c>
      <c r="B62" s="5" t="inlineStr">
        <is>
          <t>Calcasieu Refining Co. Lake Charles</t>
        </is>
      </c>
      <c r="C62" s="5" t="inlineStr">
        <is>
          <t>TransWorld Oil</t>
        </is>
      </c>
      <c r="D62" s="5" t="n">
        <v>3</v>
      </c>
      <c r="E62" s="5" t="inlineStr">
        <is>
          <t>Louisiana</t>
        </is>
      </c>
      <c r="F62" s="5" t="inlineStr">
        <is>
          <t>Lake Charles</t>
        </is>
      </c>
      <c r="G62" s="6" t="n">
        <v>105</v>
      </c>
      <c r="H62" s="5" t="inlineStr">
        <is>
          <t>operating</t>
        </is>
      </c>
      <c r="I62" s="17" t="n">
        <v>0.311396</v>
      </c>
      <c r="J62" s="17" t="n">
        <v>0.121784</v>
      </c>
      <c r="K62" s="17" t="n">
        <v>0.170369</v>
      </c>
      <c r="L62" s="17" t="n">
        <v>0.294263</v>
      </c>
      <c r="M62" s="17" t="n">
        <v>0.012351</v>
      </c>
      <c r="N62" s="17" t="n">
        <v>0.088491</v>
      </c>
      <c r="O62" s="17" t="n">
        <v>0.9986539999999999</v>
      </c>
    </row>
    <row r="63">
      <c r="A63" s="5" t="inlineStr">
        <is>
          <t>HF_ARTESIA</t>
        </is>
      </c>
      <c r="B63" s="5" t="inlineStr">
        <is>
          <t>HF Sinclair Artesia</t>
        </is>
      </c>
      <c r="C63" s="5" t="inlineStr">
        <is>
          <t>HF Sinclair</t>
        </is>
      </c>
      <c r="D63" s="5" t="n">
        <v>3</v>
      </c>
      <c r="E63" s="5" t="inlineStr">
        <is>
          <t>New Mexico</t>
        </is>
      </c>
      <c r="F63" s="5" t="inlineStr">
        <is>
          <t>Artesia</t>
        </is>
      </c>
      <c r="G63" s="6" t="n">
        <v>100</v>
      </c>
      <c r="H63" s="5" t="inlineStr">
        <is>
          <t>operating</t>
        </is>
      </c>
      <c r="I63" s="17" t="n">
        <v>0.38747</v>
      </c>
      <c r="J63" s="17" t="n">
        <v>0.537395</v>
      </c>
      <c r="K63" s="17" t="n">
        <v>0.022453</v>
      </c>
      <c r="L63" s="17" t="n">
        <v>0</v>
      </c>
      <c r="M63" s="17" t="n">
        <v>0.009494000000000001</v>
      </c>
      <c r="N63" s="17" t="n">
        <v>0.010624</v>
      </c>
      <c r="O63" s="17" t="n">
        <v>0.967436</v>
      </c>
    </row>
    <row r="64">
      <c r="A64" s="5" t="inlineStr">
        <is>
          <t>VALERO_THREE_RIVERS</t>
        </is>
      </c>
      <c r="B64" s="5" t="inlineStr">
        <is>
          <t>Valero Three Rivers</t>
        </is>
      </c>
      <c r="C64" s="5" t="inlineStr">
        <is>
          <t>Valero</t>
        </is>
      </c>
      <c r="D64" s="5" t="n">
        <v>3</v>
      </c>
      <c r="E64" s="5" t="inlineStr">
        <is>
          <t>Texas</t>
        </is>
      </c>
      <c r="F64" s="5" t="inlineStr">
        <is>
          <t>Three Rivers</t>
        </is>
      </c>
      <c r="G64" s="6" t="n">
        <v>97.5</v>
      </c>
      <c r="H64" s="5" t="inlineStr">
        <is>
          <t>operating</t>
        </is>
      </c>
      <c r="I64" s="17" t="n">
        <v>0.376837</v>
      </c>
      <c r="J64" s="17" t="n">
        <v>0.556462</v>
      </c>
      <c r="K64" s="17" t="n">
        <v>0.002712</v>
      </c>
      <c r="L64" s="17" t="n">
        <v>0.07276099999999999</v>
      </c>
      <c r="M64" s="17" t="n">
        <v>0.009213000000000001</v>
      </c>
      <c r="N64" s="17" t="n">
        <v>0.003392</v>
      </c>
      <c r="O64" s="17" t="n">
        <v>1.021378</v>
      </c>
    </row>
    <row r="65">
      <c r="A65" s="5" t="inlineStr">
        <is>
          <t>VERTEX_MOBILE</t>
        </is>
      </c>
      <c r="B65" s="5" t="inlineStr">
        <is>
          <t>Vertex Energy Inc. Mobile</t>
        </is>
      </c>
      <c r="C65" s="5" t="inlineStr">
        <is>
          <t>Vertex Energy Inc.</t>
        </is>
      </c>
      <c r="D65" s="5" t="n">
        <v>3</v>
      </c>
      <c r="E65" s="5" t="inlineStr">
        <is>
          <t>Alabama</t>
        </is>
      </c>
      <c r="F65" s="5" t="inlineStr">
        <is>
          <t>Mobile</t>
        </is>
      </c>
      <c r="G65" s="6" t="n">
        <v>91.2</v>
      </c>
      <c r="H65" s="5" t="inlineStr">
        <is>
          <t>operating</t>
        </is>
      </c>
      <c r="I65" s="17" t="n">
        <v>0.177058</v>
      </c>
      <c r="J65" s="17" t="n">
        <v>0.439033</v>
      </c>
      <c r="K65" s="17" t="n">
        <v>0.153936</v>
      </c>
      <c r="L65" s="17" t="n">
        <v>0.230735</v>
      </c>
      <c r="M65" s="17" t="n">
        <v>0.006176</v>
      </c>
      <c r="N65" s="17" t="n">
        <v>0</v>
      </c>
      <c r="O65" s="17" t="n">
        <v>1.006939</v>
      </c>
    </row>
    <row r="66">
      <c r="A66" s="5" t="inlineStr">
        <is>
          <t>DELEK_EL_DORADO_AR</t>
        </is>
      </c>
      <c r="B66" s="5" t="inlineStr">
        <is>
          <t>Delek Group El Dorado (AR)</t>
        </is>
      </c>
      <c r="C66" s="5" t="inlineStr">
        <is>
          <t>Delek Group</t>
        </is>
      </c>
      <c r="D66" s="5" t="n">
        <v>3</v>
      </c>
      <c r="E66" s="5" t="inlineStr">
        <is>
          <t>Arkansas</t>
        </is>
      </c>
      <c r="F66" s="5" t="inlineStr">
        <is>
          <t>El Dorado (AR)</t>
        </is>
      </c>
      <c r="G66" s="6" t="n">
        <v>80</v>
      </c>
      <c r="H66" s="5" t="inlineStr">
        <is>
          <t>operating</t>
        </is>
      </c>
      <c r="I66" s="17" t="n">
        <v>0.4034</v>
      </c>
      <c r="J66" s="17" t="n">
        <v>0.475627</v>
      </c>
      <c r="K66" s="17" t="n">
        <v>0.007422</v>
      </c>
      <c r="L66" s="17" t="n">
        <v>0.013435</v>
      </c>
      <c r="M66" s="17" t="n">
        <v>0.007036</v>
      </c>
      <c r="N66" s="17" t="n">
        <v>0.008023000000000001</v>
      </c>
      <c r="O66" s="17" t="n">
        <v>0.914942</v>
      </c>
    </row>
    <row r="67">
      <c r="A67" s="5" t="inlineStr">
        <is>
          <t>BASF_PORT_ARTHUR</t>
        </is>
      </c>
      <c r="B67" s="5" t="inlineStr">
        <is>
          <t>BASF FINA Petrochemicals Port Arthur</t>
        </is>
      </c>
      <c r="C67" s="5" t="inlineStr">
        <is>
          <t>BASF (60%) / Total (40%)</t>
        </is>
      </c>
      <c r="D67" s="5" t="n">
        <v>3</v>
      </c>
      <c r="E67" s="5" t="inlineStr">
        <is>
          <t>Texas</t>
        </is>
      </c>
      <c r="F67" s="5" t="inlineStr">
        <is>
          <t>Port Arthur</t>
        </is>
      </c>
      <c r="G67" s="6" t="n">
        <v>75</v>
      </c>
      <c r="H67" s="5" t="inlineStr">
        <is>
          <t>operating</t>
        </is>
      </c>
      <c r="I67" s="17" t="n">
        <v>0.142189</v>
      </c>
      <c r="J67" s="17" t="n">
        <v>0.07367600000000001</v>
      </c>
      <c r="K67" s="17" t="n">
        <v>0.01051</v>
      </c>
      <c r="L67" s="17" t="n">
        <v>0.141698</v>
      </c>
      <c r="M67" s="17" t="n">
        <v>0.009918</v>
      </c>
      <c r="N67" s="17" t="n">
        <v>0.194225</v>
      </c>
      <c r="O67" s="17" t="n">
        <v>0.572215</v>
      </c>
    </row>
    <row r="68">
      <c r="A68" s="5" t="inlineStr">
        <is>
          <t>DELEK_TYLER</t>
        </is>
      </c>
      <c r="B68" s="5" t="inlineStr">
        <is>
          <t>Delek Refining Ltd. Tyler</t>
        </is>
      </c>
      <c r="C68" s="5" t="inlineStr">
        <is>
          <t>Delek Group</t>
        </is>
      </c>
      <c r="D68" s="5" t="n">
        <v>3</v>
      </c>
      <c r="E68" s="5" t="inlineStr">
        <is>
          <t>Texas</t>
        </is>
      </c>
      <c r="F68" s="5" t="inlineStr">
        <is>
          <t>Tyler</t>
        </is>
      </c>
      <c r="G68" s="6" t="n">
        <v>75</v>
      </c>
      <c r="H68" s="5" t="inlineStr">
        <is>
          <t>operating</t>
        </is>
      </c>
      <c r="I68" s="17" t="n">
        <v>0.386015</v>
      </c>
      <c r="J68" s="17" t="n">
        <v>0.423062</v>
      </c>
      <c r="K68" s="17" t="n">
        <v>0.029762</v>
      </c>
      <c r="L68" s="17" t="n">
        <v>0.07327600000000001</v>
      </c>
      <c r="M68" s="17" t="n">
        <v>0.002922</v>
      </c>
      <c r="N68" s="17" t="n">
        <v>0.001145</v>
      </c>
      <c r="O68" s="17" t="n">
        <v>0.91618</v>
      </c>
    </row>
    <row r="69">
      <c r="A69" s="5" t="inlineStr">
        <is>
          <t>PLACID_PORT_ALLEN</t>
        </is>
      </c>
      <c r="B69" s="5" t="inlineStr">
        <is>
          <t>Placid Refining Port Allen</t>
        </is>
      </c>
      <c r="C69" s="5" t="inlineStr">
        <is>
          <t>Placid Refining</t>
        </is>
      </c>
      <c r="D69" s="5" t="n">
        <v>3</v>
      </c>
      <c r="E69" s="5" t="inlineStr">
        <is>
          <t>Louisiana</t>
        </is>
      </c>
      <c r="F69" s="5" t="inlineStr">
        <is>
          <t>Port Allen</t>
        </is>
      </c>
      <c r="G69" s="6" t="n">
        <v>75</v>
      </c>
      <c r="H69" s="5" t="inlineStr">
        <is>
          <t>operating</t>
        </is>
      </c>
      <c r="I69" s="17" t="n">
        <v>0.268586</v>
      </c>
      <c r="J69" s="17" t="n">
        <v>0.444066</v>
      </c>
      <c r="K69" s="17" t="n">
        <v>0.037123</v>
      </c>
      <c r="L69" s="17" t="n">
        <v>0.17464</v>
      </c>
      <c r="M69" s="17" t="n">
        <v>0.015311</v>
      </c>
      <c r="N69" s="17" t="n">
        <v>0</v>
      </c>
      <c r="O69" s="17" t="n">
        <v>0.939727</v>
      </c>
    </row>
    <row r="70">
      <c r="A70" s="5" t="inlineStr">
        <is>
          <t>DELEK_KROTZ_SPRINGS</t>
        </is>
      </c>
      <c r="B70" s="5" t="inlineStr">
        <is>
          <t>Delek Group Krotz Springs</t>
        </is>
      </c>
      <c r="C70" s="5" t="inlineStr">
        <is>
          <t>Delek Group</t>
        </is>
      </c>
      <c r="D70" s="5" t="n">
        <v>3</v>
      </c>
      <c r="E70" s="5" t="inlineStr">
        <is>
          <t>Louisiana</t>
        </is>
      </c>
      <c r="F70" s="5" t="inlineStr">
        <is>
          <t>Krotz Springs</t>
        </is>
      </c>
      <c r="G70" s="6" t="n">
        <v>74</v>
      </c>
      <c r="H70" s="5" t="inlineStr">
        <is>
          <t>operating</t>
        </is>
      </c>
      <c r="I70" s="17" t="n">
        <v>0.213711</v>
      </c>
      <c r="J70" s="17" t="n">
        <v>0.510205</v>
      </c>
      <c r="K70" s="17" t="n">
        <v>0.003372</v>
      </c>
      <c r="L70" s="17" t="n">
        <v>0.22578</v>
      </c>
      <c r="M70" s="17" t="n">
        <v>0.000295</v>
      </c>
      <c r="N70" s="17" t="n">
        <v>0.008662</v>
      </c>
      <c r="O70" s="17" t="n">
        <v>0.962025</v>
      </c>
    </row>
    <row r="71">
      <c r="A71" s="5" t="inlineStr">
        <is>
          <t>ALON_BIG_SPRINGS</t>
        </is>
      </c>
      <c r="B71" s="5" t="inlineStr">
        <is>
          <t>Alon Big Springs</t>
        </is>
      </c>
      <c r="C71" s="5" t="inlineStr">
        <is>
          <t>Delek Group</t>
        </is>
      </c>
      <c r="D71" s="5" t="n">
        <v>3</v>
      </c>
      <c r="E71" s="5" t="inlineStr">
        <is>
          <t>Texas</t>
        </is>
      </c>
      <c r="F71" s="5" t="inlineStr">
        <is>
          <t>Big Springs</t>
        </is>
      </c>
      <c r="G71" s="6" t="n">
        <v>73</v>
      </c>
      <c r="H71" s="5" t="inlineStr">
        <is>
          <t>operating</t>
        </is>
      </c>
      <c r="I71" s="17" t="n">
        <v>0.276801</v>
      </c>
      <c r="J71" s="17" t="n">
        <v>0.561952</v>
      </c>
      <c r="K71" s="17" t="n">
        <v>0.003322</v>
      </c>
      <c r="L71" s="17" t="n">
        <v>0.11696</v>
      </c>
      <c r="M71" s="17" t="n">
        <v>0.008336</v>
      </c>
      <c r="N71" s="17" t="n">
        <v>0</v>
      </c>
      <c r="O71" s="17" t="n">
        <v>0.967371</v>
      </c>
    </row>
    <row r="72">
      <c r="A72" s="5" t="inlineStr">
        <is>
          <t>BUCKEYE_CORPUS_CHRISTI</t>
        </is>
      </c>
      <c r="B72" s="5" t="inlineStr">
        <is>
          <t>Buckeye Partners Corpus Christi</t>
        </is>
      </c>
      <c r="C72" s="5" t="inlineStr">
        <is>
          <t>Buckeye Partners (80%) / Trafigura (20%)</t>
        </is>
      </c>
      <c r="D72" s="5" t="n">
        <v>3</v>
      </c>
      <c r="E72" s="5" t="inlineStr">
        <is>
          <t>Texas</t>
        </is>
      </c>
      <c r="F72" s="5" t="inlineStr">
        <is>
          <t>Corpus Christi</t>
        </is>
      </c>
      <c r="G72" s="6" t="n">
        <v>65</v>
      </c>
      <c r="H72" s="5" t="inlineStr">
        <is>
          <t>operating</t>
        </is>
      </c>
      <c r="I72" s="17" t="n">
        <v>0.209113</v>
      </c>
      <c r="J72" s="17" t="n">
        <v>0.369389</v>
      </c>
      <c r="K72" s="17" t="n">
        <v>0.008895999999999999</v>
      </c>
      <c r="L72" s="17" t="n">
        <v>0.12579</v>
      </c>
      <c r="M72" s="17" t="n">
        <v>0.005306</v>
      </c>
      <c r="N72" s="17" t="n">
        <v>0.007039999999999999</v>
      </c>
      <c r="O72" s="17" t="n">
        <v>0.725534</v>
      </c>
    </row>
    <row r="73">
      <c r="A73" s="5" t="inlineStr">
        <is>
          <t>CALUMET_SHREVEPORT</t>
        </is>
      </c>
      <c r="B73" s="5" t="inlineStr">
        <is>
          <t>Calumet Lubricants Co. Shreveport</t>
        </is>
      </c>
      <c r="C73" s="5" t="inlineStr">
        <is>
          <t>Calumet Lubricants Co.</t>
        </is>
      </c>
      <c r="D73" s="5" t="n">
        <v>3</v>
      </c>
      <c r="E73" s="5" t="inlineStr">
        <is>
          <t>Louisiana</t>
        </is>
      </c>
      <c r="F73" s="5" t="inlineStr">
        <is>
          <t>Shreveport</t>
        </is>
      </c>
      <c r="G73" s="6" t="n">
        <v>57</v>
      </c>
      <c r="H73" s="5" t="inlineStr">
        <is>
          <t>operating</t>
        </is>
      </c>
      <c r="I73" s="17" t="n">
        <v>0.29839</v>
      </c>
      <c r="J73" s="17" t="n">
        <v>0.294843</v>
      </c>
      <c r="K73" s="17" t="n">
        <v>0</v>
      </c>
      <c r="L73" s="17" t="n">
        <v>0.030803</v>
      </c>
      <c r="M73" s="17" t="n">
        <v>-0.002215</v>
      </c>
      <c r="N73" s="17" t="n">
        <v>0</v>
      </c>
      <c r="O73" s="17" t="n">
        <v>0.621823</v>
      </c>
    </row>
    <row r="74">
      <c r="A74" s="5" t="inlineStr">
        <is>
          <t>MARATHON_TEXAS_CITY_GALVESTON_BAY</t>
        </is>
      </c>
      <c r="B74" s="5" t="inlineStr">
        <is>
          <t>Marathon Petroleum Texas City (Galveston Bay)</t>
        </is>
      </c>
      <c r="C74" s="5" t="inlineStr">
        <is>
          <t>Marathon Petroleum</t>
        </is>
      </c>
      <c r="D74" s="5" t="n">
        <v>3</v>
      </c>
      <c r="E74" s="5" t="inlineStr">
        <is>
          <t>Texas</t>
        </is>
      </c>
      <c r="F74" s="5" t="inlineStr">
        <is>
          <t>Texas City (Galveston Bay)</t>
        </is>
      </c>
      <c r="G74" s="6" t="n">
        <v>50</v>
      </c>
      <c r="H74" s="5" t="inlineStr">
        <is>
          <t>operating</t>
        </is>
      </c>
      <c r="I74" s="17" t="n">
        <v>0.462257</v>
      </c>
      <c r="J74" s="17" t="n">
        <v>0.400925</v>
      </c>
      <c r="K74" s="17" t="n">
        <v>0.028332</v>
      </c>
      <c r="L74" s="17" t="n">
        <v>0.032129</v>
      </c>
      <c r="M74" s="17" t="n">
        <v>0.015216</v>
      </c>
      <c r="N74" s="17" t="n">
        <v>0.04196399999999999</v>
      </c>
      <c r="O74" s="17" t="n">
        <v>0.980822</v>
      </c>
    </row>
    <row r="75">
      <c r="A75" s="5" t="inlineStr">
        <is>
          <t>HUNT_TUSCALOOSA</t>
        </is>
      </c>
      <c r="B75" s="5" t="inlineStr">
        <is>
          <t>Hunt Refining Consolidated Tuscaloosa</t>
        </is>
      </c>
      <c r="C75" s="5" t="inlineStr">
        <is>
          <t>Hunt Refining Consolidated</t>
        </is>
      </c>
      <c r="D75" s="5" t="n">
        <v>3</v>
      </c>
      <c r="E75" s="5" t="inlineStr">
        <is>
          <t>Alabama</t>
        </is>
      </c>
      <c r="F75" s="5" t="inlineStr">
        <is>
          <t>Tuscaloosa</t>
        </is>
      </c>
      <c r="G75" s="6" t="n">
        <v>40</v>
      </c>
      <c r="H75" s="5" t="inlineStr">
        <is>
          <t>operating</t>
        </is>
      </c>
      <c r="I75" s="17" t="n">
        <v>0.434917</v>
      </c>
      <c r="J75" s="17" t="n">
        <v>0.345385</v>
      </c>
      <c r="K75" s="17" t="n">
        <v>0.003574</v>
      </c>
      <c r="L75" s="17" t="n">
        <v>0.036317</v>
      </c>
      <c r="M75" s="17" t="n">
        <v>0.02139</v>
      </c>
      <c r="N75" s="17" t="n">
        <v>0.00308</v>
      </c>
      <c r="O75" s="17" t="n">
        <v>0.8446630000000001</v>
      </c>
    </row>
    <row r="76">
      <c r="A76" s="5" t="inlineStr">
        <is>
          <t>ERGON_VICKSBURG</t>
        </is>
      </c>
      <c r="B76" s="5" t="inlineStr">
        <is>
          <t>Ergon Vicksburg</t>
        </is>
      </c>
      <c r="C76" s="5" t="inlineStr">
        <is>
          <t>Ergon</t>
        </is>
      </c>
      <c r="D76" s="5" t="n">
        <v>3</v>
      </c>
      <c r="E76" s="5" t="inlineStr">
        <is>
          <t>Mississippi</t>
        </is>
      </c>
      <c r="F76" s="5" t="inlineStr">
        <is>
          <t>Vicksburg</t>
        </is>
      </c>
      <c r="G76" s="6" t="n">
        <v>27.3</v>
      </c>
      <c r="H76" s="5" t="inlineStr">
        <is>
          <t>operating</t>
        </is>
      </c>
      <c r="I76" s="17" t="n">
        <v>0.17077</v>
      </c>
      <c r="J76" s="17" t="n">
        <v>0.070315</v>
      </c>
      <c r="K76" s="17" t="n">
        <v>8e-06</v>
      </c>
      <c r="L76" s="17" t="n">
        <v>0.026369</v>
      </c>
      <c r="M76" s="17" t="n">
        <v>-0.012448</v>
      </c>
      <c r="N76" s="17" t="n">
        <v>0.011187</v>
      </c>
      <c r="O76" s="17" t="n">
        <v>0.266193</v>
      </c>
    </row>
    <row r="77">
      <c r="A77" s="5" t="inlineStr">
        <is>
          <t>LAZARUS_SAN_ANTONIO</t>
        </is>
      </c>
      <c r="B77" s="5" t="inlineStr">
        <is>
          <t>Lazarus Energy San Antonio</t>
        </is>
      </c>
      <c r="C77" s="5" t="inlineStr">
        <is>
          <t>Starlight Relativity Acquisition Co. LLC</t>
        </is>
      </c>
      <c r="D77" s="5" t="n">
        <v>3</v>
      </c>
      <c r="E77" s="5" t="inlineStr">
        <is>
          <t>Texas</t>
        </is>
      </c>
      <c r="F77" s="5" t="inlineStr">
        <is>
          <t>San Antonio</t>
        </is>
      </c>
      <c r="G77" s="6" t="n">
        <v>21</v>
      </c>
      <c r="H77" s="5" t="inlineStr">
        <is>
          <t>operating</t>
        </is>
      </c>
      <c r="I77" s="17" t="n">
        <v>0.304606</v>
      </c>
      <c r="J77" s="17" t="n">
        <v>0.367749</v>
      </c>
      <c r="K77" s="17" t="n">
        <v>0.036324</v>
      </c>
      <c r="L77" s="17" t="n">
        <v>0.102987</v>
      </c>
      <c r="M77" s="17" t="n">
        <v>0.014718</v>
      </c>
      <c r="N77" s="17" t="n">
        <v>0.002046</v>
      </c>
      <c r="O77" s="17" t="n">
        <v>0.82843</v>
      </c>
    </row>
    <row r="78">
      <c r="A78" s="5" t="inlineStr">
        <is>
          <t>BLUE_NIXON</t>
        </is>
      </c>
      <c r="B78" s="5" t="inlineStr">
        <is>
          <t>Blue Dolphin Energy Nixon</t>
        </is>
      </c>
      <c r="C78" s="5" t="inlineStr">
        <is>
          <t>Blue Dolphin Energy</t>
        </is>
      </c>
      <c r="D78" s="5" t="n">
        <v>3</v>
      </c>
      <c r="E78" s="5" t="inlineStr">
        <is>
          <t>Texas</t>
        </is>
      </c>
      <c r="F78" s="5" t="inlineStr">
        <is>
          <t>Nixon</t>
        </is>
      </c>
      <c r="G78" s="6" t="n">
        <v>15</v>
      </c>
      <c r="H78" s="5" t="inlineStr">
        <is>
          <t>operating</t>
        </is>
      </c>
      <c r="I78" s="17" t="n">
        <v>0.363456</v>
      </c>
      <c r="J78" s="17" t="n">
        <v>0</v>
      </c>
      <c r="K78" s="17" t="n">
        <v>0.073994</v>
      </c>
      <c r="L78" s="17" t="n">
        <v>0.18064</v>
      </c>
      <c r="M78" s="17" t="n">
        <v>0.008919</v>
      </c>
      <c r="N78" s="17" t="n">
        <v>0.076588</v>
      </c>
      <c r="O78" s="17" t="n">
        <v>0.7035980000000001</v>
      </c>
    </row>
    <row r="79">
      <c r="A79" s="5" t="inlineStr">
        <is>
          <t>CALUMET_COTTON_VALLEY</t>
        </is>
      </c>
      <c r="B79" s="5" t="inlineStr">
        <is>
          <t>Calumet Lubricants Co. Cotton Valley</t>
        </is>
      </c>
      <c r="C79" s="5" t="inlineStr">
        <is>
          <t>Calumet Lubricants Co.</t>
        </is>
      </c>
      <c r="D79" s="5" t="n">
        <v>3</v>
      </c>
      <c r="E79" s="5" t="inlineStr">
        <is>
          <t>Louisiana</t>
        </is>
      </c>
      <c r="F79" s="5" t="inlineStr">
        <is>
          <t>Cotton Valley</t>
        </is>
      </c>
      <c r="G79" s="6" t="n">
        <v>14</v>
      </c>
      <c r="H79" s="5" t="inlineStr">
        <is>
          <t>operating</t>
        </is>
      </c>
      <c r="I79" s="17" t="n">
        <v>0.453142</v>
      </c>
      <c r="J79" s="17" t="n">
        <v>0.08595999999999999</v>
      </c>
      <c r="K79" s="17" t="n">
        <v>0.025344</v>
      </c>
      <c r="L79" s="17" t="n">
        <v>0.042477</v>
      </c>
      <c r="M79" s="17" t="n">
        <v>-0.008026999999999999</v>
      </c>
      <c r="N79" s="17" t="n">
        <v>0.065992</v>
      </c>
      <c r="O79" s="17" t="n">
        <v>0.664875</v>
      </c>
    </row>
    <row r="80">
      <c r="A80" s="5" t="inlineStr">
        <is>
          <t>HUNT_SANDERSVILLE</t>
        </is>
      </c>
      <c r="B80" s="5" t="inlineStr">
        <is>
          <t>Hunt Refining Consolidated Sandersville</t>
        </is>
      </c>
      <c r="C80" s="5" t="inlineStr">
        <is>
          <t>Hunt Refining Consolidated</t>
        </is>
      </c>
      <c r="D80" s="5" t="n">
        <v>3</v>
      </c>
      <c r="E80" s="5" t="inlineStr">
        <is>
          <t>Mississippi</t>
        </is>
      </c>
      <c r="F80" s="5" t="inlineStr">
        <is>
          <t>Sandersville</t>
        </is>
      </c>
      <c r="G80" s="6" t="n">
        <v>12.5</v>
      </c>
      <c r="H80" s="5" t="inlineStr">
        <is>
          <t>operating</t>
        </is>
      </c>
      <c r="I80" s="17" t="n">
        <v>0.359598</v>
      </c>
      <c r="J80" s="17" t="n">
        <v>0.08290400000000001</v>
      </c>
      <c r="K80" s="17" t="n">
        <v>0.018897</v>
      </c>
      <c r="L80" s="17" t="n">
        <v>0.030569</v>
      </c>
      <c r="M80" s="17" t="n">
        <v>-0.010272</v>
      </c>
      <c r="N80" s="17" t="n">
        <v>0.028532</v>
      </c>
      <c r="O80" s="17" t="n">
        <v>0.510246</v>
      </c>
    </row>
    <row r="81">
      <c r="A81" s="5" t="inlineStr">
        <is>
          <t>CALUMET_PRINCETON</t>
        </is>
      </c>
      <c r="B81" s="5" t="inlineStr">
        <is>
          <t>Calumet Lubricants Co. Princeton</t>
        </is>
      </c>
      <c r="C81" s="5" t="inlineStr">
        <is>
          <t>Calumet Lubricants Co.</t>
        </is>
      </c>
      <c r="D81" s="5" t="n">
        <v>3</v>
      </c>
      <c r="E81" s="5" t="inlineStr">
        <is>
          <t>Louisiana</t>
        </is>
      </c>
      <c r="F81" s="5" t="inlineStr">
        <is>
          <t>Princeton</t>
        </is>
      </c>
      <c r="G81" s="6" t="n">
        <v>8.654999999999999</v>
      </c>
      <c r="H81" s="5" t="inlineStr">
        <is>
          <t>operating</t>
        </is>
      </c>
      <c r="I81" s="17" t="n">
        <v>0.341568</v>
      </c>
      <c r="J81" s="17" t="n">
        <v>0.08357900000000001</v>
      </c>
      <c r="K81" s="17" t="n">
        <v>0</v>
      </c>
      <c r="L81" s="17" t="n">
        <v>0.052205</v>
      </c>
      <c r="M81" s="17" t="n">
        <v>-0.015673</v>
      </c>
      <c r="N81" s="17" t="n">
        <v>0.059992</v>
      </c>
      <c r="O81" s="17" t="n">
        <v>0.5217000000000001</v>
      </c>
    </row>
    <row r="82">
      <c r="A82" s="5" t="inlineStr">
        <is>
          <t>CROSS_SMACKOVER</t>
        </is>
      </c>
      <c r="B82" s="5" t="inlineStr">
        <is>
          <t>Cross Oil and Ref.Co. Smackover</t>
        </is>
      </c>
      <c r="C82" s="5" t="inlineStr">
        <is>
          <t>Cross Oil and Ref.Co.</t>
        </is>
      </c>
      <c r="D82" s="5" t="n">
        <v>3</v>
      </c>
      <c r="E82" s="5" t="inlineStr">
        <is>
          <t>Arkansas</t>
        </is>
      </c>
      <c r="F82" s="5" t="inlineStr">
        <is>
          <t>Smackover</t>
        </is>
      </c>
      <c r="G82" s="6" t="n">
        <v>7.7</v>
      </c>
      <c r="H82" s="5" t="inlineStr">
        <is>
          <t>operating</t>
        </is>
      </c>
      <c r="I82" s="17" t="n">
        <v>0.406383</v>
      </c>
      <c r="J82" s="17" t="n">
        <v>0.076489</v>
      </c>
      <c r="K82" s="17" t="n">
        <v>0</v>
      </c>
      <c r="L82" s="17" t="n">
        <v>0.02503</v>
      </c>
      <c r="M82" s="17" t="n">
        <v>-0.009790999999999999</v>
      </c>
      <c r="N82" s="17" t="n">
        <v>0.034216</v>
      </c>
      <c r="O82" s="17" t="n">
        <v>0.532326</v>
      </c>
    </row>
    <row r="83">
      <c r="A83" s="5" t="inlineStr">
        <is>
          <t>GOODWAY_ATMORE</t>
        </is>
      </c>
      <c r="B83" s="5" t="inlineStr">
        <is>
          <t>Goodway Refining Atmore</t>
        </is>
      </c>
      <c r="C83" s="5" t="inlineStr">
        <is>
          <t>Goodway Refining</t>
        </is>
      </c>
      <c r="D83" s="5" t="n">
        <v>3</v>
      </c>
      <c r="E83" s="5" t="inlineStr">
        <is>
          <t>Alabama</t>
        </is>
      </c>
      <c r="F83" s="5" t="inlineStr">
        <is>
          <t>Atmore</t>
        </is>
      </c>
      <c r="G83" s="6" t="n">
        <v>4.1</v>
      </c>
      <c r="H83" s="5" t="inlineStr">
        <is>
          <t>operating</t>
        </is>
      </c>
      <c r="I83" s="17" t="n">
        <v>0.429329</v>
      </c>
      <c r="J83" s="17" t="n">
        <v>0.07316499999999999</v>
      </c>
      <c r="K83" s="17" t="n">
        <v>0.029337</v>
      </c>
      <c r="L83" s="17" t="n">
        <v>0.070023</v>
      </c>
      <c r="M83" s="17" t="n">
        <v>0</v>
      </c>
      <c r="N83" s="17" t="n">
        <v>0.057377</v>
      </c>
      <c r="O83" s="17" t="n">
        <v>0.659231</v>
      </c>
    </row>
    <row r="84">
      <c r="A84" s="5" t="inlineStr">
        <is>
          <t>LYONDELLBASELL_HOUSTON</t>
        </is>
      </c>
      <c r="B84" s="5" t="inlineStr">
        <is>
          <t>LyondellBasell Refining Houston</t>
        </is>
      </c>
      <c r="C84" s="5" t="inlineStr">
        <is>
          <t>Access Industries</t>
        </is>
      </c>
      <c r="D84" s="5" t="n">
        <v>3</v>
      </c>
      <c r="E84" s="5" t="inlineStr">
        <is>
          <t>Texas</t>
        </is>
      </c>
      <c r="F84" s="5" t="inlineStr">
        <is>
          <t>Houston</t>
        </is>
      </c>
      <c r="G84" s="6" t="n">
        <v>0</v>
      </c>
      <c r="H84" s="5" t="inlineStr">
        <is>
          <t>shut</t>
        </is>
      </c>
      <c r="I84" s="17" t="n">
        <v>0.336599</v>
      </c>
      <c r="J84" s="17" t="n">
        <v>0.420847</v>
      </c>
      <c r="K84" s="17" t="n">
        <v>0.020254</v>
      </c>
      <c r="L84" s="17" t="n">
        <v>0.037415</v>
      </c>
      <c r="M84" s="17" t="n">
        <v>0.023197</v>
      </c>
      <c r="N84" s="17" t="n">
        <v>0.035638</v>
      </c>
      <c r="O84" s="17" t="n">
        <v>0.873951</v>
      </c>
    </row>
    <row r="85">
      <c r="A85" s="5" t="inlineStr">
        <is>
          <t>SHELL_CONVENT</t>
        </is>
      </c>
      <c r="B85" s="5" t="inlineStr">
        <is>
          <t>Shell Convent</t>
        </is>
      </c>
      <c r="C85" s="5" t="inlineStr">
        <is>
          <t>Shell</t>
        </is>
      </c>
      <c r="D85" s="5" t="n">
        <v>3</v>
      </c>
      <c r="E85" s="5" t="inlineStr">
        <is>
          <t>Louisiana</t>
        </is>
      </c>
      <c r="F85" s="5" t="inlineStr">
        <is>
          <t>Convent</t>
        </is>
      </c>
      <c r="G85" s="6" t="n">
        <v>0</v>
      </c>
      <c r="H85" s="5" t="inlineStr">
        <is>
          <t>shut</t>
        </is>
      </c>
      <c r="I85" s="17" t="n">
        <v>0</v>
      </c>
      <c r="J85" s="17" t="n">
        <v>0</v>
      </c>
      <c r="K85" s="17" t="n">
        <v>0</v>
      </c>
      <c r="L85" s="17" t="n">
        <v>0</v>
      </c>
      <c r="M85" s="17" t="n">
        <v>0</v>
      </c>
      <c r="N85" s="17" t="n">
        <v>0</v>
      </c>
      <c r="O85" s="17" t="n">
        <v>0</v>
      </c>
    </row>
    <row r="86">
      <c r="A86" s="5" t="inlineStr">
        <is>
          <t>SHELL_SAINT_ROSE</t>
        </is>
      </c>
      <c r="B86" s="5" t="inlineStr">
        <is>
          <t>Shell Oil Co. USA Saint Rose</t>
        </is>
      </c>
      <c r="C86" s="5" t="inlineStr">
        <is>
          <t>Shell</t>
        </is>
      </c>
      <c r="D86" s="5" t="n">
        <v>3</v>
      </c>
      <c r="E86" s="5" t="inlineStr">
        <is>
          <t>Louisiana</t>
        </is>
      </c>
      <c r="F86" s="5" t="inlineStr">
        <is>
          <t>Saint Rose</t>
        </is>
      </c>
      <c r="G86" s="6" t="n">
        <v>0</v>
      </c>
      <c r="H86" s="5" t="inlineStr">
        <is>
          <t>shut</t>
        </is>
      </c>
      <c r="I86" s="17" t="n">
        <v>0.248537</v>
      </c>
      <c r="J86" s="17" t="n">
        <v>0.036875</v>
      </c>
      <c r="K86" s="17" t="n">
        <v>0.075868</v>
      </c>
      <c r="L86" s="17" t="n">
        <v>0.086676</v>
      </c>
      <c r="M86" s="17" t="n">
        <v>-0.003411</v>
      </c>
      <c r="N86" s="17" t="n">
        <v>0.001364</v>
      </c>
      <c r="O86" s="17" t="n">
        <v>0.445944</v>
      </c>
    </row>
    <row r="87">
      <c r="A87" s="5" t="inlineStr">
        <is>
          <t>SUNCOR_DENVER</t>
        </is>
      </c>
      <c r="B87" s="5" t="inlineStr">
        <is>
          <t>Suncor Denver</t>
        </is>
      </c>
      <c r="C87" s="5" t="inlineStr">
        <is>
          <t>Suncor</t>
        </is>
      </c>
      <c r="D87" s="5" t="n">
        <v>4</v>
      </c>
      <c r="E87" s="5" t="inlineStr">
        <is>
          <t>Colorado</t>
        </is>
      </c>
      <c r="F87" s="5" t="inlineStr">
        <is>
          <t>Denver</t>
        </is>
      </c>
      <c r="G87" s="6" t="n">
        <v>98</v>
      </c>
      <c r="H87" s="5" t="inlineStr">
        <is>
          <t>operating</t>
        </is>
      </c>
      <c r="I87" s="17" t="n">
        <v>0.351623</v>
      </c>
      <c r="J87" s="17" t="n">
        <v>0.464713</v>
      </c>
      <c r="K87" s="17" t="n">
        <v>0.010519</v>
      </c>
      <c r="L87" s="17" t="n">
        <v>0.114136</v>
      </c>
      <c r="M87" s="17" t="n">
        <v>-0.005588999999999999</v>
      </c>
      <c r="N87" s="17" t="n">
        <v>0.002181</v>
      </c>
      <c r="O87" s="17" t="n">
        <v>0.937585</v>
      </c>
    </row>
    <row r="88">
      <c r="A88" s="5" t="inlineStr">
        <is>
          <t>SINCLAIR_SINCLAIR</t>
        </is>
      </c>
      <c r="B88" s="5" t="inlineStr">
        <is>
          <t>Sinclair Sinclair</t>
        </is>
      </c>
      <c r="C88" s="5" t="inlineStr">
        <is>
          <t>Sinclair</t>
        </is>
      </c>
      <c r="D88" s="5" t="n">
        <v>4</v>
      </c>
      <c r="E88" s="5" t="inlineStr">
        <is>
          <t>Wyoming</t>
        </is>
      </c>
      <c r="F88" s="5" t="inlineStr">
        <is>
          <t>Sinclair</t>
        </is>
      </c>
      <c r="G88" s="6" t="n">
        <v>94</v>
      </c>
      <c r="H88" s="5" t="inlineStr">
        <is>
          <t>operating</t>
        </is>
      </c>
      <c r="I88" s="17" t="n">
        <v>0.366417</v>
      </c>
      <c r="J88" s="17" t="n">
        <v>0.531999</v>
      </c>
      <c r="K88" s="17" t="n">
        <v>0.00218</v>
      </c>
      <c r="L88" s="17" t="n">
        <v>0.097106</v>
      </c>
      <c r="M88" s="17" t="n">
        <v>-0.004258</v>
      </c>
      <c r="N88" s="17" t="n">
        <v>0.006728</v>
      </c>
      <c r="O88" s="17" t="n">
        <v>1.000171</v>
      </c>
    </row>
    <row r="89">
      <c r="A89" s="5" t="inlineStr">
        <is>
          <t>MARATHON_SALT_LAKE_CITY</t>
        </is>
      </c>
      <c r="B89" s="5" t="inlineStr">
        <is>
          <t>Marathon Petroleum Salt Lake City</t>
        </is>
      </c>
      <c r="C89" s="5" t="inlineStr">
        <is>
          <t>Marathon Petroleum</t>
        </is>
      </c>
      <c r="D89" s="5" t="n">
        <v>4</v>
      </c>
      <c r="E89" s="5" t="inlineStr">
        <is>
          <t>Utah</t>
        </is>
      </c>
      <c r="F89" s="5" t="inlineStr">
        <is>
          <t>Salt Lake City</t>
        </is>
      </c>
      <c r="G89" s="6" t="n">
        <v>72.5</v>
      </c>
      <c r="H89" s="5" t="inlineStr">
        <is>
          <t>operating</t>
        </is>
      </c>
      <c r="I89" s="17" t="n">
        <v>0.442593</v>
      </c>
      <c r="J89" s="17" t="n">
        <v>0.464356</v>
      </c>
      <c r="K89" s="17" t="n">
        <v>0.028389</v>
      </c>
      <c r="L89" s="17" t="n">
        <v>0.046315</v>
      </c>
      <c r="M89" s="17" t="n">
        <v>0.002077</v>
      </c>
      <c r="N89" s="17" t="n">
        <v>5.3e-05</v>
      </c>
      <c r="O89" s="17" t="n">
        <v>0.983782</v>
      </c>
    </row>
    <row r="90">
      <c r="A90" s="5" t="inlineStr">
        <is>
          <t>PHILLIPS_BILLINGS</t>
        </is>
      </c>
      <c r="B90" s="5" t="inlineStr">
        <is>
          <t>Phillips 66 Co. Billings</t>
        </is>
      </c>
      <c r="C90" s="5" t="inlineStr">
        <is>
          <t>Phillips 66 Co.</t>
        </is>
      </c>
      <c r="D90" s="5" t="n">
        <v>4</v>
      </c>
      <c r="E90" s="5" t="inlineStr">
        <is>
          <t>Montana</t>
        </is>
      </c>
      <c r="F90" s="5" t="inlineStr">
        <is>
          <t>Billings</t>
        </is>
      </c>
      <c r="G90" s="6" t="n">
        <v>66</v>
      </c>
      <c r="H90" s="5" t="inlineStr">
        <is>
          <t>operating</t>
        </is>
      </c>
      <c r="I90" s="17" t="n">
        <v>0.206148</v>
      </c>
      <c r="J90" s="17" t="n">
        <v>0.708599</v>
      </c>
      <c r="K90" s="17" t="n">
        <v>0.021939</v>
      </c>
      <c r="L90" s="17" t="n">
        <v>0.022072</v>
      </c>
      <c r="M90" s="17" t="n">
        <v>-0.002983</v>
      </c>
      <c r="N90" s="17" t="n">
        <v>0.002102</v>
      </c>
      <c r="O90" s="17" t="n">
        <v>0.957878</v>
      </c>
    </row>
    <row r="91">
      <c r="A91" s="5" t="inlineStr">
        <is>
          <t>PAR_BILLINGS</t>
        </is>
      </c>
      <c r="B91" s="5" t="inlineStr">
        <is>
          <t>Par Petroleum Billings</t>
        </is>
      </c>
      <c r="C91" s="5" t="inlineStr">
        <is>
          <t>Par Petroleum</t>
        </is>
      </c>
      <c r="D91" s="5" t="n">
        <v>4</v>
      </c>
      <c r="E91" s="5" t="inlineStr">
        <is>
          <t>Montana</t>
        </is>
      </c>
      <c r="F91" s="5" t="inlineStr">
        <is>
          <t>Billings</t>
        </is>
      </c>
      <c r="G91" s="6" t="n">
        <v>62.9</v>
      </c>
      <c r="H91" s="5" t="inlineStr">
        <is>
          <t>operating</t>
        </is>
      </c>
      <c r="I91" s="17" t="n">
        <v>0.290164</v>
      </c>
      <c r="J91" s="17" t="n">
        <v>0.579892</v>
      </c>
      <c r="K91" s="17" t="n">
        <v>0.001147</v>
      </c>
      <c r="L91" s="17" t="n">
        <v>0.051463</v>
      </c>
      <c r="M91" s="17" t="n">
        <v>-0.003161</v>
      </c>
      <c r="N91" s="17" t="n">
        <v>0.000607</v>
      </c>
      <c r="O91" s="17" t="n">
        <v>0.920112</v>
      </c>
    </row>
    <row r="92">
      <c r="A92" s="5" t="inlineStr">
        <is>
          <t>CHS_LAUREL</t>
        </is>
      </c>
      <c r="B92" s="5" t="inlineStr">
        <is>
          <t>CHS Laurel</t>
        </is>
      </c>
      <c r="C92" s="5" t="inlineStr">
        <is>
          <t>CHS</t>
        </is>
      </c>
      <c r="D92" s="5" t="n">
        <v>4</v>
      </c>
      <c r="E92" s="5" t="inlineStr">
        <is>
          <t>Montana</t>
        </is>
      </c>
      <c r="F92" s="5" t="inlineStr">
        <is>
          <t>Laurel</t>
        </is>
      </c>
      <c r="G92" s="6" t="n">
        <v>61.1</v>
      </c>
      <c r="H92" s="5" t="inlineStr">
        <is>
          <t>operating</t>
        </is>
      </c>
      <c r="I92" s="17" t="n">
        <v>0.252542</v>
      </c>
      <c r="J92" s="17" t="n">
        <v>0.5941960000000001</v>
      </c>
      <c r="K92" s="17" t="n">
        <v>0.031141</v>
      </c>
      <c r="L92" s="17" t="n">
        <v>0.03949</v>
      </c>
      <c r="M92" s="17" t="n">
        <v>-0.001713</v>
      </c>
      <c r="N92" s="17" t="n">
        <v>0.001502</v>
      </c>
      <c r="O92" s="17" t="n">
        <v>0.917157</v>
      </c>
    </row>
    <row r="93">
      <c r="A93" s="5" t="inlineStr">
        <is>
          <t>CHEVRON_SALT_LAKE_CITY</t>
        </is>
      </c>
      <c r="B93" s="5" t="inlineStr">
        <is>
          <t>Chevron Salt Lake City</t>
        </is>
      </c>
      <c r="C93" s="5" t="inlineStr">
        <is>
          <t>Chevron</t>
        </is>
      </c>
      <c r="D93" s="5" t="n">
        <v>4</v>
      </c>
      <c r="E93" s="5" t="inlineStr">
        <is>
          <t>Utah</t>
        </is>
      </c>
      <c r="F93" s="5" t="inlineStr">
        <is>
          <t>Salt Lake City</t>
        </is>
      </c>
      <c r="G93" s="6" t="n">
        <v>55</v>
      </c>
      <c r="H93" s="5" t="inlineStr">
        <is>
          <t>operating</t>
        </is>
      </c>
      <c r="I93" s="17" t="n">
        <v>0.397096</v>
      </c>
      <c r="J93" s="17" t="n">
        <v>0.474627</v>
      </c>
      <c r="K93" s="17" t="n">
        <v>0.036584</v>
      </c>
      <c r="L93" s="17" t="n">
        <v>0.07890999999999999</v>
      </c>
      <c r="M93" s="17" t="n">
        <v>0.000162</v>
      </c>
      <c r="N93" s="17" t="n">
        <v>0.000904</v>
      </c>
      <c r="O93" s="17" t="n">
        <v>0.988286</v>
      </c>
    </row>
    <row r="94">
      <c r="A94" s="5" t="inlineStr">
        <is>
          <t>HF_WOODS_CROSS</t>
        </is>
      </c>
      <c r="B94" s="5" t="inlineStr">
        <is>
          <t>HF Sinclair Woods Cross</t>
        </is>
      </c>
      <c r="C94" s="5" t="inlineStr">
        <is>
          <t>HF Sinclair</t>
        </is>
      </c>
      <c r="D94" s="5" t="n">
        <v>4</v>
      </c>
      <c r="E94" s="5" t="inlineStr">
        <is>
          <t>Utah</t>
        </is>
      </c>
      <c r="F94" s="5" t="inlineStr">
        <is>
          <t>Woods Cross</t>
        </is>
      </c>
      <c r="G94" s="6" t="n">
        <v>45</v>
      </c>
      <c r="H94" s="5" t="inlineStr">
        <is>
          <t>operating</t>
        </is>
      </c>
      <c r="I94" s="17" t="n">
        <v>0.401415</v>
      </c>
      <c r="J94" s="17" t="n">
        <v>0.553244</v>
      </c>
      <c r="K94" s="17" t="n">
        <v>0.025584</v>
      </c>
      <c r="L94" s="17" t="n">
        <v>0</v>
      </c>
      <c r="M94" s="17" t="n">
        <v>0.003234</v>
      </c>
      <c r="N94" s="17" t="n">
        <v>5.2e-05</v>
      </c>
      <c r="O94" s="17" t="n">
        <v>0.9835259999999999</v>
      </c>
    </row>
    <row r="95">
      <c r="A95" s="5" t="inlineStr">
        <is>
          <t>BIG_NORTH_SLATERVILLE_CANAL</t>
        </is>
      </c>
      <c r="B95" s="5" t="inlineStr">
        <is>
          <t>Big West Oil Co North Slaterville Canal</t>
        </is>
      </c>
      <c r="C95" s="5" t="inlineStr">
        <is>
          <t>Flying J</t>
        </is>
      </c>
      <c r="D95" s="5" t="n">
        <v>4</v>
      </c>
      <c r="E95" s="5" t="inlineStr">
        <is>
          <t>Utah</t>
        </is>
      </c>
      <c r="F95" s="5" t="inlineStr">
        <is>
          <t>North Slaterville Canal</t>
        </is>
      </c>
      <c r="G95" s="6" t="n">
        <v>33</v>
      </c>
      <c r="H95" s="5" t="inlineStr">
        <is>
          <t>operating</t>
        </is>
      </c>
      <c r="I95" s="17" t="n">
        <v>0.320812</v>
      </c>
      <c r="J95" s="17" t="n">
        <v>0.5379390000000001</v>
      </c>
      <c r="K95" s="17" t="n">
        <v>0.029751</v>
      </c>
      <c r="L95" s="17" t="n">
        <v>0.107187</v>
      </c>
      <c r="M95" s="17" t="n">
        <v>-0.00187</v>
      </c>
      <c r="N95" s="17" t="n">
        <v>6.4e-05</v>
      </c>
      <c r="O95" s="17" t="n">
        <v>0.993883</v>
      </c>
    </row>
    <row r="96">
      <c r="A96" s="5" t="inlineStr">
        <is>
          <t>HF_CASPER</t>
        </is>
      </c>
      <c r="B96" s="5" t="inlineStr">
        <is>
          <t>HF Sinclair Casper</t>
        </is>
      </c>
      <c r="C96" s="5" t="inlineStr">
        <is>
          <t>HF Sinclair</t>
        </is>
      </c>
      <c r="D96" s="5" t="n">
        <v>4</v>
      </c>
      <c r="E96" s="5" t="inlineStr">
        <is>
          <t>Wyoming</t>
        </is>
      </c>
      <c r="F96" s="5" t="inlineStr">
        <is>
          <t>Casper</t>
        </is>
      </c>
      <c r="G96" s="6" t="n">
        <v>30</v>
      </c>
      <c r="H96" s="5" t="inlineStr">
        <is>
          <t>operating</t>
        </is>
      </c>
      <c r="I96" s="17" t="n">
        <v>0.496774</v>
      </c>
      <c r="J96" s="17" t="n">
        <v>0.499014</v>
      </c>
      <c r="K96" s="17" t="n">
        <v>0.000712</v>
      </c>
      <c r="L96" s="17" t="n">
        <v>0.004889</v>
      </c>
      <c r="M96" s="17" t="n">
        <v>-0.005282</v>
      </c>
      <c r="N96" s="17" t="n">
        <v>0</v>
      </c>
      <c r="O96" s="17" t="n">
        <v>0.996107</v>
      </c>
    </row>
    <row r="97">
      <c r="A97" s="5" t="inlineStr">
        <is>
          <t>PAR_NEWCASTLE</t>
        </is>
      </c>
      <c r="B97" s="5" t="inlineStr">
        <is>
          <t>Par Petroleum Newcastle</t>
        </is>
      </c>
      <c r="C97" s="5" t="inlineStr">
        <is>
          <t>Par Petroleum</t>
        </is>
      </c>
      <c r="D97" s="5" t="n">
        <v>4</v>
      </c>
      <c r="E97" s="5" t="inlineStr">
        <is>
          <t>Wyoming</t>
        </is>
      </c>
      <c r="F97" s="5" t="inlineStr">
        <is>
          <t>Newcastle</t>
        </is>
      </c>
      <c r="G97" s="6" t="n">
        <v>20</v>
      </c>
      <c r="H97" s="5" t="inlineStr">
        <is>
          <t>operating</t>
        </is>
      </c>
      <c r="I97" s="17" t="n">
        <v>0.444493</v>
      </c>
      <c r="J97" s="17" t="n">
        <v>0.53644</v>
      </c>
      <c r="K97" s="17" t="n">
        <v>0.001048</v>
      </c>
      <c r="L97" s="17" t="n">
        <v>0.005358000000000001</v>
      </c>
      <c r="M97" s="17" t="n">
        <v>0.00214</v>
      </c>
      <c r="N97" s="17" t="n">
        <v>0</v>
      </c>
      <c r="O97" s="17" t="n">
        <v>0.989479</v>
      </c>
    </row>
    <row r="98">
      <c r="A98" s="5" t="inlineStr">
        <is>
          <t>MONTANA_GREAT_FALLS</t>
        </is>
      </c>
      <c r="B98" s="5" t="inlineStr">
        <is>
          <t>Montana Refining Co. Great Falls</t>
        </is>
      </c>
      <c r="C98" s="5" t="inlineStr">
        <is>
          <t>Calumet Lubricants Co.</t>
        </is>
      </c>
      <c r="D98" s="5" t="n">
        <v>4</v>
      </c>
      <c r="E98" s="5" t="inlineStr">
        <is>
          <t>Montana</t>
        </is>
      </c>
      <c r="F98" s="5" t="inlineStr">
        <is>
          <t>Great Falls</t>
        </is>
      </c>
      <c r="G98" s="6" t="n">
        <v>17</v>
      </c>
      <c r="H98" s="5" t="inlineStr">
        <is>
          <t>operating</t>
        </is>
      </c>
      <c r="I98" s="17" t="n">
        <v>0.309768</v>
      </c>
      <c r="J98" s="17" t="n">
        <v>0.428469</v>
      </c>
      <c r="K98" s="17" t="n">
        <v>0.005883</v>
      </c>
      <c r="L98" s="17" t="n">
        <v>0.049243</v>
      </c>
      <c r="M98" s="17" t="n">
        <v>-0.0006980000000000001</v>
      </c>
      <c r="N98" s="17" t="n">
        <v>-4e-06</v>
      </c>
      <c r="O98" s="17" t="n">
        <v>0.79266</v>
      </c>
    </row>
    <row r="99">
      <c r="A99" s="5" t="inlineStr">
        <is>
          <t>SILVER_WOODS_CROSS</t>
        </is>
      </c>
      <c r="B99" s="5" t="inlineStr">
        <is>
          <t>Silver Eagle Refining Woods Cross</t>
        </is>
      </c>
      <c r="C99" s="5" t="inlineStr">
        <is>
          <t>Silver Eagle Refining</t>
        </is>
      </c>
      <c r="D99" s="5" t="n">
        <v>4</v>
      </c>
      <c r="E99" s="5" t="inlineStr">
        <is>
          <t>Utah</t>
        </is>
      </c>
      <c r="F99" s="5" t="inlineStr">
        <is>
          <t>Woods Cross</t>
        </is>
      </c>
      <c r="G99" s="6" t="n">
        <v>15.7</v>
      </c>
      <c r="H99" s="5" t="inlineStr">
        <is>
          <t>operating</t>
        </is>
      </c>
      <c r="I99" s="17" t="n">
        <v>0.464598</v>
      </c>
      <c r="J99" s="17" t="n">
        <v>0.159771</v>
      </c>
      <c r="K99" s="17" t="n">
        <v>0.033965</v>
      </c>
      <c r="L99" s="17" t="n">
        <v>0</v>
      </c>
      <c r="M99" s="17" t="n">
        <v>0.001484</v>
      </c>
      <c r="N99" s="17" t="n">
        <v>0</v>
      </c>
      <c r="O99" s="17" t="n">
        <v>0.6598189999999999</v>
      </c>
    </row>
    <row r="100">
      <c r="A100" s="5" t="inlineStr">
        <is>
          <t>WYOMING_EVANSTON</t>
        </is>
      </c>
      <c r="B100" s="5" t="inlineStr">
        <is>
          <t>Wyoming Refining Evanston</t>
        </is>
      </c>
      <c r="C100" s="5" t="inlineStr">
        <is>
          <t>Silver Eagle Refining</t>
        </is>
      </c>
      <c r="D100" s="5" t="n">
        <v>4</v>
      </c>
      <c r="E100" s="5" t="inlineStr">
        <is>
          <t>Wyoming</t>
        </is>
      </c>
      <c r="F100" s="5" t="inlineStr">
        <is>
          <t>Evanston</t>
        </is>
      </c>
      <c r="G100" s="6" t="n">
        <v>3.4</v>
      </c>
      <c r="H100" s="5" t="inlineStr">
        <is>
          <t>operating</t>
        </is>
      </c>
      <c r="I100" s="17" t="n">
        <v>0.480779</v>
      </c>
      <c r="J100" s="17" t="n">
        <v>0.135541</v>
      </c>
      <c r="K100" s="17" t="n">
        <v>0.08306699999999999</v>
      </c>
      <c r="L100" s="17" t="n">
        <v>0.058593</v>
      </c>
      <c r="M100" s="17" t="n">
        <v>0</v>
      </c>
      <c r="N100" s="17" t="n">
        <v>0</v>
      </c>
      <c r="O100" s="17" t="n">
        <v>0.757981</v>
      </c>
    </row>
    <row r="101">
      <c r="A101" s="5" t="inlineStr">
        <is>
          <t>SLATE_DOUGLAS</t>
        </is>
      </c>
      <c r="B101" s="5" t="inlineStr">
        <is>
          <t>Slate Douglas</t>
        </is>
      </c>
      <c r="C101" s="5" t="inlineStr">
        <is>
          <t>Slate</t>
        </is>
      </c>
      <c r="D101" s="5" t="n">
        <v>4</v>
      </c>
      <c r="E101" s="5" t="inlineStr">
        <is>
          <t>Wyoming</t>
        </is>
      </c>
      <c r="F101" s="5" t="inlineStr">
        <is>
          <t>Douglas</t>
        </is>
      </c>
      <c r="G101" s="6" t="n">
        <v>0</v>
      </c>
      <c r="H101" s="5" t="inlineStr">
        <is>
          <t>shut</t>
        </is>
      </c>
      <c r="I101" s="17" t="n">
        <v>0.375865</v>
      </c>
      <c r="J101" s="17" t="n">
        <v>0.376853</v>
      </c>
      <c r="K101" s="17" t="n">
        <v>0.01883</v>
      </c>
      <c r="L101" s="17" t="n">
        <v>0.056385</v>
      </c>
      <c r="M101" s="17" t="n">
        <v>0</v>
      </c>
      <c r="N101" s="17" t="n">
        <v>0</v>
      </c>
      <c r="O101" s="17" t="n">
        <v>0.8279840000000001</v>
      </c>
    </row>
    <row r="102">
      <c r="A102" s="5" t="inlineStr">
        <is>
          <t>CHEVRON_EL_SEGUNDO</t>
        </is>
      </c>
      <c r="B102" s="5" t="inlineStr">
        <is>
          <t>Chevron El Segundo</t>
        </is>
      </c>
      <c r="C102" s="5" t="inlineStr">
        <is>
          <t>Chevron</t>
        </is>
      </c>
      <c r="D102" s="5" t="n">
        <v>5</v>
      </c>
      <c r="E102" s="5" t="inlineStr">
        <is>
          <t>California</t>
        </is>
      </c>
      <c r="F102" s="5" t="inlineStr">
        <is>
          <t>El Segundo</t>
        </is>
      </c>
      <c r="G102" s="6" t="n">
        <v>290.5</v>
      </c>
      <c r="H102" s="5" t="inlineStr">
        <is>
          <t>operating</t>
        </is>
      </c>
      <c r="I102" s="17" t="n">
        <v>0.192272</v>
      </c>
      <c r="J102" s="17" t="n">
        <v>0.48526</v>
      </c>
      <c r="K102" s="17" t="n">
        <v>0.082898</v>
      </c>
      <c r="L102" s="17" t="n">
        <v>0.189701</v>
      </c>
      <c r="M102" s="17" t="n">
        <v>0.002815</v>
      </c>
      <c r="N102" s="17" t="n">
        <v>0.0005899999999999999</v>
      </c>
      <c r="O102" s="17" t="n">
        <v>0.9535339999999999</v>
      </c>
    </row>
    <row r="103">
      <c r="A103" s="5" t="inlineStr">
        <is>
          <t>MARATHON_CARSON</t>
        </is>
      </c>
      <c r="B103" s="5" t="inlineStr">
        <is>
          <t>Marathon Petroleum Carson</t>
        </is>
      </c>
      <c r="C103" s="5" t="inlineStr">
        <is>
          <t>Marathon Petroleum</t>
        </is>
      </c>
      <c r="D103" s="5" t="n">
        <v>5</v>
      </c>
      <c r="E103" s="5" t="inlineStr">
        <is>
          <t>California</t>
        </is>
      </c>
      <c r="F103" s="5" t="inlineStr">
        <is>
          <t>Carson</t>
        </is>
      </c>
      <c r="G103" s="6" t="n">
        <v>281</v>
      </c>
      <c r="H103" s="5" t="inlineStr">
        <is>
          <t>operating</t>
        </is>
      </c>
      <c r="I103" s="17" t="n">
        <v>0.201981</v>
      </c>
      <c r="J103" s="17" t="n">
        <v>0.566462</v>
      </c>
      <c r="K103" s="17" t="n">
        <v>0.002984</v>
      </c>
      <c r="L103" s="17" t="n">
        <v>0.225839</v>
      </c>
      <c r="M103" s="17" t="n">
        <v>0.001472</v>
      </c>
      <c r="N103" s="17" t="n">
        <v>1e-06</v>
      </c>
      <c r="O103" s="17" t="n">
        <v>0.998739</v>
      </c>
    </row>
    <row r="104">
      <c r="A104" s="5" t="inlineStr">
        <is>
          <t>CHEVRON_RICHMOND</t>
        </is>
      </c>
      <c r="B104" s="5" t="inlineStr">
        <is>
          <t>Chevron Richmond</t>
        </is>
      </c>
      <c r="C104" s="5" t="inlineStr">
        <is>
          <t>Chevron</t>
        </is>
      </c>
      <c r="D104" s="5" t="n">
        <v>5</v>
      </c>
      <c r="E104" s="5" t="inlineStr">
        <is>
          <t>California</t>
        </is>
      </c>
      <c r="F104" s="5" t="inlineStr">
        <is>
          <t>Richmond</t>
        </is>
      </c>
      <c r="G104" s="6" t="n">
        <v>257.2</v>
      </c>
      <c r="H104" s="5" t="inlineStr">
        <is>
          <t>operating</t>
        </is>
      </c>
      <c r="I104" s="17" t="n">
        <v>0.150528</v>
      </c>
      <c r="J104" s="17" t="n">
        <v>0.550218</v>
      </c>
      <c r="K104" s="17" t="n">
        <v>0.005405999999999999</v>
      </c>
      <c r="L104" s="17" t="n">
        <v>0.25124</v>
      </c>
      <c r="M104" s="17" t="n">
        <v>-0.000156</v>
      </c>
      <c r="N104" s="17" t="n">
        <v>1.2e-05</v>
      </c>
      <c r="O104" s="17" t="n">
        <v>0.957249</v>
      </c>
    </row>
    <row r="105">
      <c r="A105" s="5" t="inlineStr">
        <is>
          <t>BP_FERNDALE</t>
        </is>
      </c>
      <c r="B105" s="5" t="inlineStr">
        <is>
          <t>BP Ferndale</t>
        </is>
      </c>
      <c r="C105" s="5" t="inlineStr">
        <is>
          <t>BP</t>
        </is>
      </c>
      <c r="D105" s="5" t="n">
        <v>5</v>
      </c>
      <c r="E105" s="5" t="inlineStr">
        <is>
          <t>Washington</t>
        </is>
      </c>
      <c r="F105" s="5" t="inlineStr">
        <is>
          <t>Ferndale</t>
        </is>
      </c>
      <c r="G105" s="6" t="n">
        <v>251</v>
      </c>
      <c r="H105" s="5" t="inlineStr">
        <is>
          <t>operating</t>
        </is>
      </c>
      <c r="I105" s="17" t="n">
        <v>0.222178</v>
      </c>
      <c r="J105" s="17" t="n">
        <v>0.436207</v>
      </c>
      <c r="K105" s="17" t="n">
        <v>0.042946</v>
      </c>
      <c r="L105" s="17" t="n">
        <v>0.280827</v>
      </c>
      <c r="M105" s="17" t="n">
        <v>0.008300999999999999</v>
      </c>
      <c r="N105" s="17" t="n">
        <v>0.001779</v>
      </c>
      <c r="O105" s="17" t="n">
        <v>0.992238</v>
      </c>
    </row>
    <row r="106">
      <c r="A106" s="5" t="inlineStr">
        <is>
          <t>PBF_TORRANCE</t>
        </is>
      </c>
      <c r="B106" s="5" t="inlineStr">
        <is>
          <t>PBF Energy Company LLC Torrance</t>
        </is>
      </c>
      <c r="C106" s="5" t="inlineStr">
        <is>
          <t>PBF Energy Company LLC</t>
        </is>
      </c>
      <c r="D106" s="5" t="n">
        <v>5</v>
      </c>
      <c r="E106" s="5" t="inlineStr">
        <is>
          <t>California</t>
        </is>
      </c>
      <c r="F106" s="5" t="inlineStr">
        <is>
          <t>Torrance</t>
        </is>
      </c>
      <c r="G106" s="6" t="n">
        <v>166.2</v>
      </c>
      <c r="H106" s="5" t="inlineStr">
        <is>
          <t>operating</t>
        </is>
      </c>
      <c r="I106" s="17" t="n">
        <v>0.118726</v>
      </c>
      <c r="J106" s="17" t="n">
        <v>0.689007</v>
      </c>
      <c r="K106" s="17" t="n">
        <v>0.017247</v>
      </c>
      <c r="L106" s="17" t="n">
        <v>0.15367</v>
      </c>
      <c r="M106" s="17" t="n">
        <v>0.023254</v>
      </c>
      <c r="N106" s="17" t="n">
        <v>0.001327</v>
      </c>
      <c r="O106" s="17" t="n">
        <v>1.003231</v>
      </c>
    </row>
    <row r="107">
      <c r="A107" s="5" t="inlineStr">
        <is>
          <t>PBF_MARTINEZ</t>
        </is>
      </c>
      <c r="B107" s="5" t="inlineStr">
        <is>
          <t>PBF Energy Company LLC Martinez</t>
        </is>
      </c>
      <c r="C107" s="5" t="inlineStr">
        <is>
          <t>PBF Energy Company LLC</t>
        </is>
      </c>
      <c r="D107" s="5" t="n">
        <v>5</v>
      </c>
      <c r="E107" s="5" t="inlineStr">
        <is>
          <t>California</t>
        </is>
      </c>
      <c r="F107" s="5" t="inlineStr">
        <is>
          <t>Martinez</t>
        </is>
      </c>
      <c r="G107" s="6" t="n">
        <v>158</v>
      </c>
      <c r="H107" s="5" t="inlineStr">
        <is>
          <t>operating</t>
        </is>
      </c>
      <c r="I107" s="17" t="n">
        <v>0.235715</v>
      </c>
      <c r="J107" s="17" t="n">
        <v>0.584921</v>
      </c>
      <c r="K107" s="17" t="n">
        <v>0.002139</v>
      </c>
      <c r="L107" s="17" t="n">
        <v>0.228967</v>
      </c>
      <c r="M107" s="17" t="n">
        <v>0.005984000000000001</v>
      </c>
      <c r="N107" s="17" t="n">
        <v>0</v>
      </c>
      <c r="O107" s="17" t="n">
        <v>1.057726</v>
      </c>
    </row>
    <row r="108">
      <c r="A108" s="5" t="inlineStr">
        <is>
          <t>HF_ANACORTES</t>
        </is>
      </c>
      <c r="B108" s="5" t="inlineStr">
        <is>
          <t>HF Sinclair Anacortes</t>
        </is>
      </c>
      <c r="C108" s="5" t="inlineStr">
        <is>
          <t>HF Sinclair</t>
        </is>
      </c>
      <c r="D108" s="5" t="n">
        <v>5</v>
      </c>
      <c r="E108" s="5" t="inlineStr">
        <is>
          <t>Washington</t>
        </is>
      </c>
      <c r="F108" s="5" t="inlineStr">
        <is>
          <t>Anacortes</t>
        </is>
      </c>
      <c r="G108" s="6" t="n">
        <v>149</v>
      </c>
      <c r="H108" s="5" t="inlineStr">
        <is>
          <t>operating</t>
        </is>
      </c>
      <c r="I108" s="17" t="n">
        <v>0.189541</v>
      </c>
      <c r="J108" s="17" t="n">
        <v>0.6463139999999999</v>
      </c>
      <c r="K108" s="17" t="n">
        <v>0.004459</v>
      </c>
      <c r="L108" s="17" t="n">
        <v>0.18885</v>
      </c>
      <c r="M108" s="17" t="n">
        <v>0.0074</v>
      </c>
      <c r="N108" s="17" t="n">
        <v>0</v>
      </c>
      <c r="O108" s="17" t="n">
        <v>1.036564</v>
      </c>
    </row>
    <row r="109">
      <c r="A109" s="5" t="inlineStr">
        <is>
          <t>MARATHON_ANACORTES</t>
        </is>
      </c>
      <c r="B109" s="5" t="inlineStr">
        <is>
          <t>Marathon Petroleum Anacortes</t>
        </is>
      </c>
      <c r="C109" s="5" t="inlineStr">
        <is>
          <t>Marathon Petroleum</t>
        </is>
      </c>
      <c r="D109" s="5" t="n">
        <v>5</v>
      </c>
      <c r="E109" s="5" t="inlineStr">
        <is>
          <t>Washington</t>
        </is>
      </c>
      <c r="F109" s="5" t="inlineStr">
        <is>
          <t>Anacortes</t>
        </is>
      </c>
      <c r="G109" s="6" t="n">
        <v>122</v>
      </c>
      <c r="H109" s="5" t="inlineStr">
        <is>
          <t>operating</t>
        </is>
      </c>
      <c r="I109" s="17" t="n">
        <v>0.144005</v>
      </c>
      <c r="J109" s="17" t="n">
        <v>0.5900030000000001</v>
      </c>
      <c r="K109" s="17" t="n">
        <v>0.06291099999999999</v>
      </c>
      <c r="L109" s="17" t="n">
        <v>0.219241</v>
      </c>
      <c r="M109" s="17" t="n">
        <v>-0.000174</v>
      </c>
      <c r="N109" s="17" t="n">
        <v>0</v>
      </c>
      <c r="O109" s="17" t="n">
        <v>1.015987</v>
      </c>
    </row>
    <row r="110">
      <c r="A110" s="5" t="inlineStr">
        <is>
          <t>PHILLIPS_FERNDALE</t>
        </is>
      </c>
      <c r="B110" s="5" t="inlineStr">
        <is>
          <t>Phillips 66 Co. Ferndale</t>
        </is>
      </c>
      <c r="C110" s="5" t="inlineStr">
        <is>
          <t>Phillips 66 Co.</t>
        </is>
      </c>
      <c r="D110" s="5" t="n">
        <v>5</v>
      </c>
      <c r="E110" s="5" t="inlineStr">
        <is>
          <t>Washington</t>
        </is>
      </c>
      <c r="F110" s="5" t="inlineStr">
        <is>
          <t>Ferndale</t>
        </is>
      </c>
      <c r="G110" s="6" t="n">
        <v>105</v>
      </c>
      <c r="H110" s="5" t="inlineStr">
        <is>
          <t>operating</t>
        </is>
      </c>
      <c r="I110" s="17" t="n">
        <v>0.256814</v>
      </c>
      <c r="J110" s="17" t="n">
        <v>0.537851</v>
      </c>
      <c r="K110" s="17" t="n">
        <v>0.04954</v>
      </c>
      <c r="L110" s="17" t="n">
        <v>0.15784</v>
      </c>
      <c r="M110" s="17" t="n">
        <v>0.004546</v>
      </c>
      <c r="N110" s="17" t="n">
        <v>0.001016</v>
      </c>
      <c r="O110" s="17" t="n">
        <v>1.007606</v>
      </c>
    </row>
    <row r="111">
      <c r="A111" s="5" t="inlineStr">
        <is>
          <t>MARATHON_LOS_ANGELES</t>
        </is>
      </c>
      <c r="B111" s="5" t="inlineStr">
        <is>
          <t>Marathon Petroleum Los Angeles</t>
        </is>
      </c>
      <c r="C111" s="5" t="inlineStr">
        <is>
          <t>Marathon Petroleum</t>
        </is>
      </c>
      <c r="D111" s="5" t="n">
        <v>5</v>
      </c>
      <c r="E111" s="5" t="inlineStr">
        <is>
          <t>California</t>
        </is>
      </c>
      <c r="F111" s="5" t="inlineStr">
        <is>
          <t>Los Angeles</t>
        </is>
      </c>
      <c r="G111" s="6" t="n">
        <v>103.5</v>
      </c>
      <c r="H111" s="5" t="inlineStr">
        <is>
          <t>operating</t>
        </is>
      </c>
      <c r="I111" s="17" t="n">
        <v>0.264219</v>
      </c>
      <c r="J111" s="17" t="n">
        <v>0.4821029999999999</v>
      </c>
      <c r="K111" s="17" t="n">
        <v>0.0048</v>
      </c>
      <c r="L111" s="17" t="n">
        <v>0.269748</v>
      </c>
      <c r="M111" s="17" t="n">
        <v>0.011184</v>
      </c>
      <c r="N111" s="17" t="n">
        <v>0.0009</v>
      </c>
      <c r="O111" s="17" t="n">
        <v>1.032953</v>
      </c>
    </row>
    <row r="112">
      <c r="A112" s="5" t="inlineStr">
        <is>
          <t>PAR_EWA_BEACH</t>
        </is>
      </c>
      <c r="B112" s="5" t="inlineStr">
        <is>
          <t>Par Petroleum Ewa Beach</t>
        </is>
      </c>
      <c r="C112" s="5" t="inlineStr">
        <is>
          <t>Par Petroleum</t>
        </is>
      </c>
      <c r="D112" s="5" t="n">
        <v>5</v>
      </c>
      <c r="E112" s="5" t="inlineStr">
        <is>
          <t>Hawaii</t>
        </is>
      </c>
      <c r="F112" s="5" t="inlineStr">
        <is>
          <t>Ewa Beach</t>
        </is>
      </c>
      <c r="G112" s="6" t="n">
        <v>94</v>
      </c>
      <c r="H112" s="5" t="inlineStr">
        <is>
          <t>operating</t>
        </is>
      </c>
      <c r="I112" s="17" t="n">
        <v>0.181748</v>
      </c>
      <c r="J112" s="17" t="n">
        <v>0.324677</v>
      </c>
      <c r="K112" s="17" t="n">
        <v>0.158243</v>
      </c>
      <c r="L112" s="17" t="n">
        <v>0.230458</v>
      </c>
      <c r="M112" s="17" t="n">
        <v>0</v>
      </c>
      <c r="N112" s="17" t="n">
        <v>0</v>
      </c>
      <c r="O112" s="17" t="n">
        <v>0.8951260000000001</v>
      </c>
    </row>
    <row r="113">
      <c r="A113" s="5" t="inlineStr">
        <is>
          <t>VALERO_LOS_ANGELES</t>
        </is>
      </c>
      <c r="B113" s="5" t="inlineStr">
        <is>
          <t>Valero Los Angeles</t>
        </is>
      </c>
      <c r="C113" s="5" t="inlineStr">
        <is>
          <t>Valero</t>
        </is>
      </c>
      <c r="D113" s="5" t="n">
        <v>5</v>
      </c>
      <c r="E113" s="5" t="inlineStr">
        <is>
          <t>California</t>
        </is>
      </c>
      <c r="F113" s="5" t="inlineStr">
        <is>
          <t>Los Angeles</t>
        </is>
      </c>
      <c r="G113" s="6" t="n">
        <v>90</v>
      </c>
      <c r="H113" s="5" t="inlineStr">
        <is>
          <t>operating</t>
        </is>
      </c>
      <c r="I113" s="17" t="n">
        <v>0.27538</v>
      </c>
      <c r="J113" s="17" t="n">
        <v>0.770338</v>
      </c>
      <c r="K113" s="17" t="n">
        <v>0.004334</v>
      </c>
      <c r="L113" s="17" t="n">
        <v>0.014074</v>
      </c>
      <c r="M113" s="17" t="n">
        <v>-0.006875</v>
      </c>
      <c r="N113" s="17" t="n">
        <v>0</v>
      </c>
      <c r="O113" s="17" t="n">
        <v>1.05725</v>
      </c>
    </row>
    <row r="114">
      <c r="A114" s="5" t="inlineStr">
        <is>
          <t>MARATHON_NIKISKI</t>
        </is>
      </c>
      <c r="B114" s="5" t="inlineStr">
        <is>
          <t>Marathon Petroleum Nikiski</t>
        </is>
      </c>
      <c r="C114" s="5" t="inlineStr">
        <is>
          <t>Marathon Petroleum</t>
        </is>
      </c>
      <c r="D114" s="5" t="n">
        <v>5</v>
      </c>
      <c r="E114" s="5" t="inlineStr">
        <is>
          <t>Alaska</t>
        </is>
      </c>
      <c r="F114" s="5" t="inlineStr">
        <is>
          <t>Nikiski</t>
        </is>
      </c>
      <c r="G114" s="6" t="n">
        <v>68</v>
      </c>
      <c r="H114" s="5" t="inlineStr">
        <is>
          <t>operating</t>
        </is>
      </c>
      <c r="I114" s="17" t="n">
        <v>0.109631</v>
      </c>
      <c r="J114" s="17" t="n">
        <v>0.354587</v>
      </c>
      <c r="K114" s="17" t="n">
        <v>0.207415</v>
      </c>
      <c r="L114" s="17" t="n">
        <v>0.35698</v>
      </c>
      <c r="M114" s="17" t="n">
        <v>0.007786</v>
      </c>
      <c r="N114" s="17" t="n">
        <v>0.002593</v>
      </c>
      <c r="O114" s="17" t="n">
        <v>1.038994</v>
      </c>
    </row>
    <row r="115">
      <c r="A115" s="5" t="inlineStr">
        <is>
          <t>PETRO_VALDEZ</t>
        </is>
      </c>
      <c r="B115" s="5" t="inlineStr">
        <is>
          <t>Petro Star Inc. Valdez</t>
        </is>
      </c>
      <c r="C115" s="5" t="inlineStr">
        <is>
          <t>Petro Star Inc.</t>
        </is>
      </c>
      <c r="D115" s="5" t="n">
        <v>5</v>
      </c>
      <c r="E115" s="5" t="inlineStr">
        <is>
          <t>Alaska</t>
        </is>
      </c>
      <c r="F115" s="5" t="inlineStr">
        <is>
          <t>Valdez</t>
        </is>
      </c>
      <c r="G115" s="6" t="n">
        <v>60</v>
      </c>
      <c r="H115" s="5" t="inlineStr">
        <is>
          <t>operating</t>
        </is>
      </c>
      <c r="I115" s="17" t="n">
        <v>0.08385099999999999</v>
      </c>
      <c r="J115" s="17" t="n">
        <v>0</v>
      </c>
      <c r="K115" s="17" t="n">
        <v>0</v>
      </c>
      <c r="L115" s="17" t="n">
        <v>0.286891</v>
      </c>
      <c r="M115" s="17" t="n">
        <v>0</v>
      </c>
      <c r="N115" s="17" t="n">
        <v>0</v>
      </c>
      <c r="O115" s="17" t="n">
        <v>0.370742</v>
      </c>
    </row>
    <row r="116">
      <c r="A116" s="5" t="inlineStr">
        <is>
          <t>PAR_TACOMA</t>
        </is>
      </c>
      <c r="B116" s="5" t="inlineStr">
        <is>
          <t>Par Petroleum Tacoma</t>
        </is>
      </c>
      <c r="C116" s="5" t="inlineStr">
        <is>
          <t>Par Petroleum</t>
        </is>
      </c>
      <c r="D116" s="5" t="n">
        <v>5</v>
      </c>
      <c r="E116" s="5" t="inlineStr">
        <is>
          <t>Washington</t>
        </is>
      </c>
      <c r="F116" s="5" t="inlineStr">
        <is>
          <t>Tacoma</t>
        </is>
      </c>
      <c r="G116" s="6" t="n">
        <v>42</v>
      </c>
      <c r="H116" s="5" t="inlineStr">
        <is>
          <t>operating</t>
        </is>
      </c>
      <c r="I116" s="17" t="n">
        <v>0.011295</v>
      </c>
      <c r="J116" s="17" t="n">
        <v>0.401806</v>
      </c>
      <c r="K116" s="17" t="n">
        <v>0.314159</v>
      </c>
      <c r="L116" s="17" t="n">
        <v>0.207682</v>
      </c>
      <c r="M116" s="17" t="n">
        <v>0.004532</v>
      </c>
      <c r="N116" s="17" t="n">
        <v>0.00111</v>
      </c>
      <c r="O116" s="17" t="n">
        <v>0.9405880000000001</v>
      </c>
    </row>
    <row r="117">
      <c r="A117" s="5" t="inlineStr">
        <is>
          <t>KERN_BAKERSFIELD</t>
        </is>
      </c>
      <c r="B117" s="5" t="inlineStr">
        <is>
          <t>Kern Oil Bakersfield</t>
        </is>
      </c>
      <c r="C117" s="5" t="inlineStr">
        <is>
          <t>Kern Oil</t>
        </is>
      </c>
      <c r="D117" s="5" t="n">
        <v>5</v>
      </c>
      <c r="E117" s="5" t="inlineStr">
        <is>
          <t>California</t>
        </is>
      </c>
      <c r="F117" s="5" t="inlineStr">
        <is>
          <t>Bakersfield</t>
        </is>
      </c>
      <c r="G117" s="6" t="n">
        <v>27</v>
      </c>
      <c r="H117" s="5" t="inlineStr">
        <is>
          <t>operating</t>
        </is>
      </c>
      <c r="I117" s="17" t="n">
        <v>0.154252</v>
      </c>
      <c r="J117" s="17" t="n">
        <v>0.233653</v>
      </c>
      <c r="K117" s="17" t="n">
        <v>0.147569</v>
      </c>
      <c r="L117" s="17" t="n">
        <v>0.198035</v>
      </c>
      <c r="M117" s="17" t="n">
        <v>-0.001804</v>
      </c>
      <c r="N117" s="17" t="n">
        <v>0</v>
      </c>
      <c r="O117" s="17" t="n">
        <v>0.7317140000000001</v>
      </c>
    </row>
    <row r="118">
      <c r="A118" s="5" t="inlineStr">
        <is>
          <t>SAN_BAKERSFIELD</t>
        </is>
      </c>
      <c r="B118" s="5" t="inlineStr">
        <is>
          <t>San Joaquin Refining Bakersfield</t>
        </is>
      </c>
      <c r="C118" s="5" t="inlineStr">
        <is>
          <t>San Joaquin Refining</t>
        </is>
      </c>
      <c r="D118" s="5" t="n">
        <v>5</v>
      </c>
      <c r="E118" s="5" t="inlineStr">
        <is>
          <t>California</t>
        </is>
      </c>
      <c r="F118" s="5" t="inlineStr">
        <is>
          <t>Bakersfield</t>
        </is>
      </c>
      <c r="G118" s="6" t="n">
        <v>25</v>
      </c>
      <c r="H118" s="5" t="inlineStr">
        <is>
          <t>operating</t>
        </is>
      </c>
      <c r="I118" s="17" t="n">
        <v>0.138155</v>
      </c>
      <c r="J118" s="17" t="n">
        <v>0.204411</v>
      </c>
      <c r="K118" s="17" t="n">
        <v>0.128041</v>
      </c>
      <c r="L118" s="17" t="n">
        <v>0.185724</v>
      </c>
      <c r="M118" s="17" t="n">
        <v>-0.004491</v>
      </c>
      <c r="N118" s="17" t="n">
        <v>0</v>
      </c>
      <c r="O118" s="17" t="n">
        <v>0.651841</v>
      </c>
    </row>
    <row r="119">
      <c r="A119" s="5" t="inlineStr">
        <is>
          <t>PETRO_NORTH_POLE</t>
        </is>
      </c>
      <c r="B119" s="5" t="inlineStr">
        <is>
          <t>Petro Star Inc. North Pole</t>
        </is>
      </c>
      <c r="C119" s="5" t="inlineStr">
        <is>
          <t>Petro Star Inc.</t>
        </is>
      </c>
      <c r="D119" s="5" t="n">
        <v>5</v>
      </c>
      <c r="E119" s="5" t="inlineStr">
        <is>
          <t>Alaska</t>
        </is>
      </c>
      <c r="F119" s="5" t="inlineStr">
        <is>
          <t>North Pole</t>
        </is>
      </c>
      <c r="G119" s="6" t="n">
        <v>22</v>
      </c>
      <c r="H119" s="5" t="inlineStr">
        <is>
          <t>operating</t>
        </is>
      </c>
      <c r="I119" s="17" t="n">
        <v>0.079803</v>
      </c>
      <c r="J119" s="17" t="n">
        <v>0</v>
      </c>
      <c r="K119" s="17" t="n">
        <v>0</v>
      </c>
      <c r="L119" s="17" t="n">
        <v>0.286199</v>
      </c>
      <c r="M119" s="17" t="n">
        <v>0</v>
      </c>
      <c r="N119" s="17" t="n">
        <v>0</v>
      </c>
      <c r="O119" s="17" t="n">
        <v>0.366002</v>
      </c>
    </row>
    <row r="120">
      <c r="A120" s="5" t="inlineStr">
        <is>
          <t>BP_PRUDHOE_BAY</t>
        </is>
      </c>
      <c r="B120" s="5" t="inlineStr">
        <is>
          <t>BP Prudhoe Bay</t>
        </is>
      </c>
      <c r="C120" s="5" t="inlineStr">
        <is>
          <t>BP</t>
        </is>
      </c>
      <c r="D120" s="5" t="n">
        <v>5</v>
      </c>
      <c r="E120" s="5" t="inlineStr">
        <is>
          <t>Alaska</t>
        </is>
      </c>
      <c r="F120" s="5" t="inlineStr">
        <is>
          <t>Prudhoe Bay</t>
        </is>
      </c>
      <c r="G120" s="6" t="n">
        <v>16</v>
      </c>
      <c r="H120" s="5" t="inlineStr">
        <is>
          <t>operating</t>
        </is>
      </c>
      <c r="I120" s="17" t="n">
        <v>0.289795</v>
      </c>
      <c r="J120" s="17" t="n">
        <v>0</v>
      </c>
      <c r="K120" s="17" t="n">
        <v>0</v>
      </c>
      <c r="L120" s="17" t="n">
        <v>0.013923</v>
      </c>
      <c r="M120" s="17" t="n">
        <v>0</v>
      </c>
      <c r="N120" s="17" t="n">
        <v>0</v>
      </c>
      <c r="O120" s="17" t="n">
        <v>0.303708</v>
      </c>
    </row>
    <row r="121">
      <c r="A121" s="5" t="inlineStr">
        <is>
          <t>CONOCOPHILLIPS_ANCHORAGE</t>
        </is>
      </c>
      <c r="B121" s="5" t="inlineStr">
        <is>
          <t>ConocoPhillips Anchorage</t>
        </is>
      </c>
      <c r="C121" s="5" t="inlineStr">
        <is>
          <t>Phillips Petroleum</t>
        </is>
      </c>
      <c r="D121" s="5" t="n">
        <v>5</v>
      </c>
      <c r="E121" s="5" t="inlineStr">
        <is>
          <t>Alaska</t>
        </is>
      </c>
      <c r="F121" s="5" t="inlineStr">
        <is>
          <t>Anchorage</t>
        </is>
      </c>
      <c r="G121" s="6" t="n">
        <v>16</v>
      </c>
      <c r="H121" s="5" t="inlineStr">
        <is>
          <t>operating</t>
        </is>
      </c>
      <c r="I121" s="17" t="n">
        <v>0.2074</v>
      </c>
      <c r="J121" s="17" t="n">
        <v>0.326149</v>
      </c>
      <c r="K121" s="17" t="n">
        <v>0.239697</v>
      </c>
      <c r="L121" s="17" t="n">
        <v>0.155583</v>
      </c>
      <c r="M121" s="17" t="n">
        <v>0.00265</v>
      </c>
      <c r="N121" s="17" t="n">
        <v>0.000244</v>
      </c>
      <c r="O121" s="17" t="n">
        <v>0.931729</v>
      </c>
    </row>
    <row r="122">
      <c r="A122" s="5" t="inlineStr">
        <is>
          <t>LUNDAYTHAGARD_SOUTH_GATE</t>
        </is>
      </c>
      <c r="B122" s="5" t="inlineStr">
        <is>
          <t>Lunday-Thagard Oil Co. South Gate</t>
        </is>
      </c>
      <c r="C122" s="5" t="inlineStr">
        <is>
          <t>Lunday-Thagard Oil Co.</t>
        </is>
      </c>
      <c r="D122" s="5" t="n">
        <v>5</v>
      </c>
      <c r="E122" s="5" t="inlineStr">
        <is>
          <t>California</t>
        </is>
      </c>
      <c r="F122" s="5" t="inlineStr">
        <is>
          <t>South Gate</t>
        </is>
      </c>
      <c r="G122" s="6" t="n">
        <v>8.5</v>
      </c>
      <c r="H122" s="5" t="inlineStr">
        <is>
          <t>operating</t>
        </is>
      </c>
      <c r="I122" s="17" t="n">
        <v>0.156687</v>
      </c>
      <c r="J122" s="17" t="n">
        <v>0.169549</v>
      </c>
      <c r="K122" s="17" t="n">
        <v>0.16339</v>
      </c>
      <c r="L122" s="17" t="n">
        <v>0.201004</v>
      </c>
      <c r="M122" s="17" t="n">
        <v>-0.005519</v>
      </c>
      <c r="N122" s="17" t="n">
        <v>0</v>
      </c>
      <c r="O122" s="17" t="n">
        <v>0.685111</v>
      </c>
    </row>
    <row r="123">
      <c r="A123" s="5" t="inlineStr">
        <is>
          <t>FORELAND_TONOPAH</t>
        </is>
      </c>
      <c r="B123" s="5" t="inlineStr">
        <is>
          <t>Foreland Corp Tonopah</t>
        </is>
      </c>
      <c r="C123" s="5" t="inlineStr">
        <is>
          <t>Energy Income Fund</t>
        </is>
      </c>
      <c r="D123" s="5" t="n">
        <v>5</v>
      </c>
      <c r="E123" s="5" t="inlineStr">
        <is>
          <t>Nevada</t>
        </is>
      </c>
      <c r="F123" s="5" t="inlineStr">
        <is>
          <t>Tonopah</t>
        </is>
      </c>
      <c r="G123" s="6" t="n">
        <v>5</v>
      </c>
      <c r="H123" s="5" t="inlineStr">
        <is>
          <t>operating</t>
        </is>
      </c>
      <c r="I123" s="17" t="n">
        <v>0.147387</v>
      </c>
      <c r="J123" s="17" t="n">
        <v>0.143284</v>
      </c>
      <c r="K123" s="17" t="n">
        <v>0.155302</v>
      </c>
      <c r="L123" s="17" t="n">
        <v>0.172063</v>
      </c>
      <c r="M123" s="17" t="n">
        <v>0</v>
      </c>
      <c r="N123" s="17" t="n">
        <v>0</v>
      </c>
      <c r="O123" s="17" t="n">
        <v>0.618035</v>
      </c>
    </row>
    <row r="124">
      <c r="A124" s="5" t="inlineStr">
        <is>
          <t>PHILLIPS_LOS_ANGELES</t>
        </is>
      </c>
      <c r="B124" s="5" t="inlineStr">
        <is>
          <t>Phillips 66 Co. Los Angeles</t>
        </is>
      </c>
      <c r="C124" s="5" t="inlineStr">
        <is>
          <t>Phillips 66 Co.</t>
        </is>
      </c>
      <c r="D124" s="5" t="n">
        <v>5</v>
      </c>
      <c r="E124" s="5" t="inlineStr">
        <is>
          <t>California</t>
        </is>
      </c>
      <c r="F124" s="5" t="inlineStr">
        <is>
          <t>Los Angeles</t>
        </is>
      </c>
      <c r="G124" s="6" t="n">
        <v>0</v>
      </c>
      <c r="H124" s="5" t="inlineStr">
        <is>
          <t>shut</t>
        </is>
      </c>
      <c r="I124" s="17" t="n">
        <v>0.236233</v>
      </c>
      <c r="J124" s="17" t="n">
        <v>0.688377</v>
      </c>
      <c r="K124" s="17" t="n">
        <v>0.004597</v>
      </c>
      <c r="L124" s="17" t="n">
        <v>0.120232</v>
      </c>
      <c r="M124" s="17" t="n">
        <v>0.007835999999999999</v>
      </c>
      <c r="N124" s="17" t="n">
        <v>0.000102</v>
      </c>
      <c r="O124" s="17" t="n">
        <v>1.057378</v>
      </c>
    </row>
    <row r="125">
      <c r="A125" s="5" t="inlineStr">
        <is>
          <t>VALERO_BENICIA</t>
        </is>
      </c>
      <c r="B125" s="5" t="inlineStr">
        <is>
          <t>Valero Benicia</t>
        </is>
      </c>
      <c r="C125" s="5" t="inlineStr">
        <is>
          <t>Valero</t>
        </is>
      </c>
      <c r="D125" s="5" t="n">
        <v>5</v>
      </c>
      <c r="E125" s="5" t="inlineStr">
        <is>
          <t>California</t>
        </is>
      </c>
      <c r="F125" s="5" t="inlineStr">
        <is>
          <t>Benicia</t>
        </is>
      </c>
      <c r="G125" s="6" t="n">
        <v>0</v>
      </c>
      <c r="H125" s="5" t="inlineStr">
        <is>
          <t>shut</t>
        </is>
      </c>
      <c r="I125" s="17" t="n">
        <v>0.227784</v>
      </c>
      <c r="J125" s="17" t="n">
        <v>0.6763429999999999</v>
      </c>
      <c r="K125" s="17" t="n">
        <v>0.012873</v>
      </c>
      <c r="L125" s="17" t="n">
        <v>0.101721</v>
      </c>
      <c r="M125" s="17" t="n">
        <v>0.004105</v>
      </c>
      <c r="N125" s="17" t="n">
        <v>0.000439</v>
      </c>
      <c r="O125" s="17" t="n">
        <v>1.023265</v>
      </c>
    </row>
  </sheetData>
  <mergeCells count="1">
    <mergeCell ref="A1: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2026-07-08T00:39:15Z</dcterms:created>
  <dcterms:modified xsi:type="dcterms:W3CDTF">2026-07-08T00:39:15Z</dcterms:modified>
</cp:coreProperties>
</file>