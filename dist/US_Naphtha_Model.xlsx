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xes" sheetId="1" state="visible" r:id="rId1"/>
    <sheet name="Assumptions" sheetId="2" state="visible" r:id="rId2"/>
    <sheet name="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9"/>
    </font>
    <font>
      <sz val="9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FCE4D6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pivotButton="0" quotePrefix="0" xfId="0"/>
    <xf numFmtId="0" fontId="0" fillId="2" borderId="0" pivotButton="0" quotePrefix="0" xfId="0"/>
    <xf numFmtId="0" fontId="2" fillId="3" borderId="1" applyAlignment="1" pivotButton="0" quotePrefix="0" xfId="0">
      <alignment vertical="center" wrapText="1"/>
    </xf>
    <xf numFmtId="0" fontId="3" fillId="0" borderId="0" pivotButton="0" quotePrefix="0" xfId="0"/>
    <xf numFmtId="0" fontId="3" fillId="0" borderId="1" pivotButton="0" quotePrefix="0" xfId="0"/>
    <xf numFmtId="1" fontId="3" fillId="3" borderId="1" pivotButton="0" quotePrefix="0" xfId="0"/>
    <xf numFmtId="164" fontId="3" fillId="5" borderId="1" pivotButton="0" quotePrefix="0" xfId="0"/>
    <xf numFmtId="164" fontId="3" fillId="3" borderId="1" pivotButton="0" quotePrefix="0" xfId="0"/>
    <xf numFmtId="10" fontId="3" fillId="3" borderId="1" pivotButton="0" quotePrefix="0" xfId="0"/>
    <xf numFmtId="165" fontId="3" fillId="3" borderId="1" pivotButton="0" quotePrefix="0" xfId="0"/>
    <xf numFmtId="0" fontId="2" fillId="0" borderId="0" pivotButton="0" quotePrefix="0" xfId="0"/>
    <xf numFmtId="0" fontId="2" fillId="6" borderId="1" pivotButton="0" quotePrefix="0" xfId="0"/>
    <xf numFmtId="165" fontId="2" fillId="6" borderId="1" pivotButton="0" quotePrefix="0" xfId="0"/>
    <xf numFmtId="1" fontId="3" fillId="4" borderId="1" pivotButton="0" quotePrefix="0" xfId="0"/>
    <xf numFmtId="164" fontId="3" fillId="4" borderId="1" pivotButton="0" quotePrefix="0" xfId="0"/>
    <xf numFmtId="9" fontId="3" fillId="4" borderId="1" pivotButton="0" quotePrefix="0" xfId="0"/>
    <xf numFmtId="1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7" customWidth="1" min="1" max="1"/>
    <col width="22" customWidth="1" min="2" max="2"/>
    <col width="5" customWidth="1" min="3" max="3"/>
    <col width="12" customWidth="1" min="4" max="4"/>
    <col width="12" customWidth="1" min="5" max="5"/>
    <col width="8" customWidth="1" min="6" max="6"/>
    <col width="8" customWidth="1" min="7" max="7"/>
    <col width="7" customWidth="1" min="8" max="8"/>
    <col width="8" customWidth="1" min="9" max="9"/>
    <col width="9" customWidth="1" min="10" max="10"/>
    <col width="8" customWidth="1" min="11" max="11"/>
    <col width="9" customWidth="1" min="12" max="12"/>
    <col width="9" customWidth="1" min="13" max="13"/>
    <col width="14" customWidth="1" min="14" max="14"/>
  </cols>
  <sheetData>
    <row r="1">
      <c r="A1" s="1" t="inlineStr">
        <is>
          <t>Refinery boxes — net naphtha = capacity x utilization x signed yields. Blue = input, orange = manual override (clear to fall back to the Assumptions sheet), grey = formula. Yield-mode rows read the Data sheet.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3" t="inlineStr">
        <is>
          <t>row</t>
        </is>
      </c>
      <c r="B2" s="3" t="inlineStr">
        <is>
          <t>refinery_id</t>
        </is>
      </c>
      <c r="C2" s="3" t="inlineStr">
        <is>
          <t>padd</t>
        </is>
      </c>
      <c r="D2" s="3" t="inlineStr">
        <is>
          <t>unit</t>
        </is>
      </c>
      <c r="E2" s="3" t="inlineStr">
        <is>
          <t>type</t>
        </is>
      </c>
      <c r="F2" s="3" t="inlineStr">
        <is>
          <t>cap kbd</t>
        </is>
      </c>
      <c r="G2" s="3" t="inlineStr">
        <is>
          <t>util ovr</t>
        </is>
      </c>
      <c r="H2" s="3" t="inlineStr">
        <is>
          <t>util</t>
        </is>
      </c>
      <c r="I2" s="3" t="inlineStr">
        <is>
          <t>LVN ovr</t>
        </is>
      </c>
      <c r="J2" s="3" t="inlineStr">
        <is>
          <t>LVN yield</t>
        </is>
      </c>
      <c r="K2" s="3" t="inlineStr">
        <is>
          <t>HVN ovr</t>
        </is>
      </c>
      <c r="L2" s="3" t="inlineStr">
        <is>
          <t>HVN yield</t>
        </is>
      </c>
      <c r="M2" s="3" t="inlineStr">
        <is>
          <t>Σ yield</t>
        </is>
      </c>
      <c r="N2" s="3" t="inlineStr">
        <is>
          <t>net naphtha kbd</t>
        </is>
      </c>
    </row>
    <row r="3">
      <c r="A3" s="1" t="inlineStr">
        <is>
          <t xml:space="preserve">  Phillips 66 Co. Linden  [PHILLIPS_LINDEN]   —   Phillips 66 Co.   —   PADD 1   —   crude 258 kbd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4" t="inlineStr">
        <is>
          <t>UNIT</t>
        </is>
      </c>
      <c r="B4" s="5" t="inlineStr">
        <is>
          <t>PHILLIPS_LINDEN</t>
        </is>
      </c>
      <c r="C4" s="5" t="n">
        <v>1</v>
      </c>
      <c r="D4" s="5" t="inlineStr">
        <is>
          <t>CRUDE-EST</t>
        </is>
      </c>
      <c r="E4" s="5" t="inlineStr">
        <is>
          <t>est. yield</t>
        </is>
      </c>
      <c r="F4" s="6">
        <f>SUMIFS(Data!$G$3:$G$125,Data!$A$3:$A$125,$B4)</f>
        <v/>
      </c>
      <c r="G4" s="7" t="n"/>
      <c r="H4" s="8">
        <f>IF($G4&lt;&gt;"",$G4,SUMIFS(Assumptions!$K$4:$K$8,Assumptions!$J$4:$J$8,$C4))</f>
        <v/>
      </c>
      <c r="I4" s="7" t="n"/>
      <c r="J4" s="9">
        <f>IF($I4&lt;&gt;"",$I4,SUMIFS(Data!$N$3:$N$125,Data!$A$3:$A$125,$B4)*Assumptions!$S$4)</f>
        <v/>
      </c>
      <c r="K4" s="7" t="n"/>
      <c r="L4" s="9">
        <f>IF($K4&lt;&gt;"",$K4,SUMIFS(Data!$N$3:$N$125,Data!$A$3:$A$125,$B4)*Assumptions!$S$5)</f>
        <v/>
      </c>
      <c r="M4" s="9">
        <f>J4+L4</f>
        <v/>
      </c>
      <c r="N4" s="10">
        <f>$F4*$H4*$M4</f>
        <v/>
      </c>
    </row>
    <row r="5">
      <c r="A5" s="11" t="inlineStr">
        <is>
          <t>TOTAL</t>
        </is>
      </c>
      <c r="B5" s="12" t="inlineStr">
        <is>
          <t>PHILLIPS_LINDEN</t>
        </is>
      </c>
      <c r="C5" s="12" t="n">
        <v>1</v>
      </c>
      <c r="D5" s="12" t="inlineStr">
        <is>
          <t>NET NAPHTHA</t>
        </is>
      </c>
      <c r="N5" s="13">
        <f>SUM(N4:N4)</f>
        <v/>
      </c>
    </row>
    <row r="7">
      <c r="A7" s="1" t="inlineStr">
        <is>
          <t xml:space="preserve">  Monroe Energy Trainer  [MONROE_TRAINER]   —   Delta Airlines   —   PADD 1   —   crude 185 kbd</t>
        </is>
      </c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4" t="inlineStr">
        <is>
          <t>UNIT</t>
        </is>
      </c>
      <c r="B8" s="5" t="inlineStr">
        <is>
          <t>MONROE_TRAINER</t>
        </is>
      </c>
      <c r="C8" s="5" t="n">
        <v>1</v>
      </c>
      <c r="D8" s="5" t="inlineStr">
        <is>
          <t>CRUDE-EST</t>
        </is>
      </c>
      <c r="E8" s="5" t="inlineStr">
        <is>
          <t>est. yield</t>
        </is>
      </c>
      <c r="F8" s="6">
        <f>SUMIFS(Data!$G$3:$G$125,Data!$A$3:$A$125,$B8)</f>
        <v/>
      </c>
      <c r="G8" s="7" t="n"/>
      <c r="H8" s="8">
        <f>IF($G8&lt;&gt;"",$G8,SUMIFS(Assumptions!$K$4:$K$8,Assumptions!$J$4:$J$8,$C8))</f>
        <v/>
      </c>
      <c r="I8" s="7" t="n"/>
      <c r="J8" s="9">
        <f>IF($I8&lt;&gt;"",$I8,SUMIFS(Data!$N$3:$N$125,Data!$A$3:$A$125,$B8)*Assumptions!$S$4)</f>
        <v/>
      </c>
      <c r="K8" s="7" t="n"/>
      <c r="L8" s="9">
        <f>IF($K8&lt;&gt;"",$K8,SUMIFS(Data!$N$3:$N$125,Data!$A$3:$A$125,$B8)*Assumptions!$S$5)</f>
        <v/>
      </c>
      <c r="M8" s="9">
        <f>J8+L8</f>
        <v/>
      </c>
      <c r="N8" s="10">
        <f>$F8*$H8*$M8</f>
        <v/>
      </c>
    </row>
    <row r="9">
      <c r="A9" s="11" t="inlineStr">
        <is>
          <t>TOTAL</t>
        </is>
      </c>
      <c r="B9" s="12" t="inlineStr">
        <is>
          <t>MONROE_TRAINER</t>
        </is>
      </c>
      <c r="C9" s="12" t="n">
        <v>1</v>
      </c>
      <c r="D9" s="12" t="inlineStr">
        <is>
          <t>NET NAPHTHA</t>
        </is>
      </c>
      <c r="N9" s="13">
        <f>SUM(N8:N8)</f>
        <v/>
      </c>
    </row>
    <row r="11">
      <c r="A11" s="1" t="inlineStr">
        <is>
          <t xml:space="preserve">  PBF Energy Company LLC Delaware City  [PBF_DELAWARE_CITY]   —   PBF Energy Company LLC   —   PADD 1   —   crude 180 kbd</t>
        </is>
      </c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</row>
    <row r="12">
      <c r="A12" s="4" t="inlineStr">
        <is>
          <t>UNIT</t>
        </is>
      </c>
      <c r="B12" s="5" t="inlineStr">
        <is>
          <t>PBF_DELAWARE_CITY</t>
        </is>
      </c>
      <c r="C12" s="5" t="n">
        <v>1</v>
      </c>
      <c r="D12" s="5" t="inlineStr">
        <is>
          <t>CRUDE-EST</t>
        </is>
      </c>
      <c r="E12" s="5" t="inlineStr">
        <is>
          <t>est. yield</t>
        </is>
      </c>
      <c r="F12" s="6">
        <f>SUMIFS(Data!$G$3:$G$125,Data!$A$3:$A$125,$B12)</f>
        <v/>
      </c>
      <c r="G12" s="7" t="n"/>
      <c r="H12" s="8">
        <f>IF($G12&lt;&gt;"",$G12,SUMIFS(Assumptions!$K$4:$K$8,Assumptions!$J$4:$J$8,$C12))</f>
        <v/>
      </c>
      <c r="I12" s="7" t="n"/>
      <c r="J12" s="9">
        <f>IF($I12&lt;&gt;"",$I12,SUMIFS(Data!$N$3:$N$125,Data!$A$3:$A$125,$B12)*Assumptions!$S$4)</f>
        <v/>
      </c>
      <c r="K12" s="7" t="n"/>
      <c r="L12" s="9">
        <f>IF($K12&lt;&gt;"",$K12,SUMIFS(Data!$N$3:$N$125,Data!$A$3:$A$125,$B12)*Assumptions!$S$5)</f>
        <v/>
      </c>
      <c r="M12" s="9">
        <f>J12+L12</f>
        <v/>
      </c>
      <c r="N12" s="10">
        <f>$F12*$H12*$M12</f>
        <v/>
      </c>
    </row>
    <row r="13">
      <c r="A13" s="11" t="inlineStr">
        <is>
          <t>TOTAL</t>
        </is>
      </c>
      <c r="B13" s="12" t="inlineStr">
        <is>
          <t>PBF_DELAWARE_CITY</t>
        </is>
      </c>
      <c r="C13" s="12" t="n">
        <v>1</v>
      </c>
      <c r="D13" s="12" t="inlineStr">
        <is>
          <t>NET NAPHTHA</t>
        </is>
      </c>
      <c r="N13" s="13">
        <f>SUM(N12:N12)</f>
        <v/>
      </c>
    </row>
    <row r="15">
      <c r="A15" s="1" t="inlineStr">
        <is>
          <t xml:space="preserve">  PBF Energy Company LLC Paulsboro  [PBF_PAULSBORO]   —   PBF Energy Company LLC   —   PADD 1   —   crude 100 kbd</t>
        </is>
      </c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</row>
    <row r="16">
      <c r="A16" s="4" t="inlineStr">
        <is>
          <t>UNIT</t>
        </is>
      </c>
      <c r="B16" s="5" t="inlineStr">
        <is>
          <t>PBF_PAULSBORO</t>
        </is>
      </c>
      <c r="C16" s="5" t="n">
        <v>1</v>
      </c>
      <c r="D16" s="5" t="inlineStr">
        <is>
          <t>CRUDE-EST</t>
        </is>
      </c>
      <c r="E16" s="5" t="inlineStr">
        <is>
          <t>est. yield</t>
        </is>
      </c>
      <c r="F16" s="6">
        <f>SUMIFS(Data!$G$3:$G$125,Data!$A$3:$A$125,$B16)</f>
        <v/>
      </c>
      <c r="G16" s="7" t="n"/>
      <c r="H16" s="8">
        <f>IF($G16&lt;&gt;"",$G16,SUMIFS(Assumptions!$K$4:$K$8,Assumptions!$J$4:$J$8,$C16))</f>
        <v/>
      </c>
      <c r="I16" s="7" t="n"/>
      <c r="J16" s="9">
        <f>IF($I16&lt;&gt;"",$I16,SUMIFS(Data!$N$3:$N$125,Data!$A$3:$A$125,$B16)*Assumptions!$S$4)</f>
        <v/>
      </c>
      <c r="K16" s="7" t="n"/>
      <c r="L16" s="9">
        <f>IF($K16&lt;&gt;"",$K16,SUMIFS(Data!$N$3:$N$125,Data!$A$3:$A$125,$B16)*Assumptions!$S$5)</f>
        <v/>
      </c>
      <c r="M16" s="9">
        <f>J16+L16</f>
        <v/>
      </c>
      <c r="N16" s="10">
        <f>$F16*$H16*$M16</f>
        <v/>
      </c>
    </row>
    <row r="17">
      <c r="A17" s="11" t="inlineStr">
        <is>
          <t>TOTAL</t>
        </is>
      </c>
      <c r="B17" s="12" t="inlineStr">
        <is>
          <t>PBF_PAULSBORO</t>
        </is>
      </c>
      <c r="C17" s="12" t="n">
        <v>1</v>
      </c>
      <c r="D17" s="12" t="inlineStr">
        <is>
          <t>NET NAPHTHA</t>
        </is>
      </c>
      <c r="N17" s="13">
        <f>SUM(N16:N16)</f>
        <v/>
      </c>
    </row>
    <row r="19">
      <c r="A19" s="1" t="inlineStr">
        <is>
          <t xml:space="preserve">  United Refining Warren  [UNITED_WARREN]   —   United Refining   —   PADD 1   —   crude 70 kbd</t>
        </is>
      </c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</row>
    <row r="20">
      <c r="A20" s="4" t="inlineStr">
        <is>
          <t>UNIT</t>
        </is>
      </c>
      <c r="B20" s="5" t="inlineStr">
        <is>
          <t>UNITED_WARREN</t>
        </is>
      </c>
      <c r="C20" s="5" t="n">
        <v>1</v>
      </c>
      <c r="D20" s="5" t="inlineStr">
        <is>
          <t>CRUDE-EST</t>
        </is>
      </c>
      <c r="E20" s="5" t="inlineStr">
        <is>
          <t>est. yield</t>
        </is>
      </c>
      <c r="F20" s="6">
        <f>SUMIFS(Data!$G$3:$G$125,Data!$A$3:$A$125,$B20)</f>
        <v/>
      </c>
      <c r="G20" s="7" t="n"/>
      <c r="H20" s="8">
        <f>IF($G20&lt;&gt;"",$G20,SUMIFS(Assumptions!$K$4:$K$8,Assumptions!$J$4:$J$8,$C20))</f>
        <v/>
      </c>
      <c r="I20" s="7" t="n"/>
      <c r="J20" s="9">
        <f>IF($I20&lt;&gt;"",$I20,SUMIFS(Data!$N$3:$N$125,Data!$A$3:$A$125,$B20)*Assumptions!$S$4)</f>
        <v/>
      </c>
      <c r="K20" s="7" t="n"/>
      <c r="L20" s="9">
        <f>IF($K20&lt;&gt;"",$K20,SUMIFS(Data!$N$3:$N$125,Data!$A$3:$A$125,$B20)*Assumptions!$S$5)</f>
        <v/>
      </c>
      <c r="M20" s="9">
        <f>J20+L20</f>
        <v/>
      </c>
      <c r="N20" s="10">
        <f>$F20*$H20*$M20</f>
        <v/>
      </c>
    </row>
    <row r="21">
      <c r="A21" s="11" t="inlineStr">
        <is>
          <t>TOTAL</t>
        </is>
      </c>
      <c r="B21" s="12" t="inlineStr">
        <is>
          <t>UNITED_WARREN</t>
        </is>
      </c>
      <c r="C21" s="12" t="n">
        <v>1</v>
      </c>
      <c r="D21" s="12" t="inlineStr">
        <is>
          <t>NET NAPHTHA</t>
        </is>
      </c>
      <c r="N21" s="13">
        <f>SUM(N20:N20)</f>
        <v/>
      </c>
    </row>
    <row r="23">
      <c r="A23" s="1" t="inlineStr">
        <is>
          <t xml:space="preserve">  Ergon Newell  [ERGON_NEWELL]   —   Ergon   —   PADD 1   —   crude 22 kbd</t>
        </is>
      </c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</row>
    <row r="24">
      <c r="A24" s="4" t="inlineStr">
        <is>
          <t>UNIT</t>
        </is>
      </c>
      <c r="B24" s="5" t="inlineStr">
        <is>
          <t>ERGON_NEWELL</t>
        </is>
      </c>
      <c r="C24" s="5" t="n">
        <v>1</v>
      </c>
      <c r="D24" s="5" t="inlineStr">
        <is>
          <t>CRUDE-EST</t>
        </is>
      </c>
      <c r="E24" s="5" t="inlineStr">
        <is>
          <t>est. yield</t>
        </is>
      </c>
      <c r="F24" s="6">
        <f>SUMIFS(Data!$G$3:$G$125,Data!$A$3:$A$125,$B24)</f>
        <v/>
      </c>
      <c r="G24" s="7" t="n"/>
      <c r="H24" s="8">
        <f>IF($G24&lt;&gt;"",$G24,SUMIFS(Assumptions!$K$4:$K$8,Assumptions!$J$4:$J$8,$C24))</f>
        <v/>
      </c>
      <c r="I24" s="7" t="n"/>
      <c r="J24" s="9">
        <f>IF($I24&lt;&gt;"",$I24,SUMIFS(Data!$N$3:$N$125,Data!$A$3:$A$125,$B24)*Assumptions!$S$4)</f>
        <v/>
      </c>
      <c r="K24" s="7" t="n"/>
      <c r="L24" s="9">
        <f>IF($K24&lt;&gt;"",$K24,SUMIFS(Data!$N$3:$N$125,Data!$A$3:$A$125,$B24)*Assumptions!$S$5)</f>
        <v/>
      </c>
      <c r="M24" s="9">
        <f>J24+L24</f>
        <v/>
      </c>
      <c r="N24" s="10">
        <f>$F24*$H24*$M24</f>
        <v/>
      </c>
    </row>
    <row r="25">
      <c r="A25" s="11" t="inlineStr">
        <is>
          <t>TOTAL</t>
        </is>
      </c>
      <c r="B25" s="12" t="inlineStr">
        <is>
          <t>ERGON_NEWELL</t>
        </is>
      </c>
      <c r="C25" s="12" t="n">
        <v>1</v>
      </c>
      <c r="D25" s="12" t="inlineStr">
        <is>
          <t>NET NAPHTHA</t>
        </is>
      </c>
      <c r="N25" s="13">
        <f>SUM(N24:N24)</f>
        <v/>
      </c>
    </row>
    <row r="27">
      <c r="A27" s="1" t="inlineStr">
        <is>
          <t xml:space="preserve">  American Refining Group Bradford  [AMERICAN_BRADFORD]   —   American Refining Group   —   PADD 1   —   crude 12 kbd</t>
        </is>
      </c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</row>
    <row r="28">
      <c r="A28" s="4" t="inlineStr">
        <is>
          <t>UNIT</t>
        </is>
      </c>
      <c r="B28" s="5" t="inlineStr">
        <is>
          <t>AMERICAN_BRADFORD</t>
        </is>
      </c>
      <c r="C28" s="5" t="n">
        <v>1</v>
      </c>
      <c r="D28" s="5" t="inlineStr">
        <is>
          <t>CRUDE-EST</t>
        </is>
      </c>
      <c r="E28" s="5" t="inlineStr">
        <is>
          <t>est. yield</t>
        </is>
      </c>
      <c r="F28" s="6">
        <f>SUMIFS(Data!$G$3:$G$125,Data!$A$3:$A$125,$B28)</f>
        <v/>
      </c>
      <c r="G28" s="7" t="n"/>
      <c r="H28" s="8">
        <f>IF($G28&lt;&gt;"",$G28,SUMIFS(Assumptions!$K$4:$K$8,Assumptions!$J$4:$J$8,$C28))</f>
        <v/>
      </c>
      <c r="I28" s="7" t="n"/>
      <c r="J28" s="9">
        <f>IF($I28&lt;&gt;"",$I28,SUMIFS(Data!$N$3:$N$125,Data!$A$3:$A$125,$B28)*Assumptions!$S$4)</f>
        <v/>
      </c>
      <c r="K28" s="7" t="n"/>
      <c r="L28" s="9">
        <f>IF($K28&lt;&gt;"",$K28,SUMIFS(Data!$N$3:$N$125,Data!$A$3:$A$125,$B28)*Assumptions!$S$5)</f>
        <v/>
      </c>
      <c r="M28" s="9">
        <f>J28+L28</f>
        <v/>
      </c>
      <c r="N28" s="10">
        <f>$F28*$H28*$M28</f>
        <v/>
      </c>
    </row>
    <row r="29">
      <c r="A29" s="11" t="inlineStr">
        <is>
          <t>TOTAL</t>
        </is>
      </c>
      <c r="B29" s="12" t="inlineStr">
        <is>
          <t>AMERICAN_BRADFORD</t>
        </is>
      </c>
      <c r="C29" s="12" t="n">
        <v>1</v>
      </c>
      <c r="D29" s="12" t="inlineStr">
        <is>
          <t>NET NAPHTHA</t>
        </is>
      </c>
      <c r="N29" s="13">
        <f>SUM(N28:N28)</f>
        <v/>
      </c>
    </row>
    <row r="31">
      <c r="A31" s="1" t="inlineStr">
        <is>
          <t xml:space="preserve">  BP Whiting  [BP_WHITING]   —   BP   —   PADD 2   —   crude 435 kbd</t>
        </is>
      </c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</row>
    <row r="32">
      <c r="A32" s="4" t="inlineStr">
        <is>
          <t>UNIT</t>
        </is>
      </c>
      <c r="B32" s="5" t="inlineStr">
        <is>
          <t>BP_WHITING</t>
        </is>
      </c>
      <c r="C32" s="5" t="n">
        <v>2</v>
      </c>
      <c r="D32" s="5" t="inlineStr">
        <is>
          <t>CRUDE-EST</t>
        </is>
      </c>
      <c r="E32" s="5" t="inlineStr">
        <is>
          <t>est. yield</t>
        </is>
      </c>
      <c r="F32" s="6">
        <f>SUMIFS(Data!$G$3:$G$125,Data!$A$3:$A$125,$B32)</f>
        <v/>
      </c>
      <c r="G32" s="7" t="n"/>
      <c r="H32" s="8">
        <f>IF($G32&lt;&gt;"",$G32,SUMIFS(Assumptions!$K$4:$K$8,Assumptions!$J$4:$J$8,$C32))</f>
        <v/>
      </c>
      <c r="I32" s="7" t="n"/>
      <c r="J32" s="9">
        <f>IF($I32&lt;&gt;"",$I32,SUMIFS(Data!$N$3:$N$125,Data!$A$3:$A$125,$B32)*Assumptions!$S$4)</f>
        <v/>
      </c>
      <c r="K32" s="7" t="n"/>
      <c r="L32" s="9">
        <f>IF($K32&lt;&gt;"",$K32,SUMIFS(Data!$N$3:$N$125,Data!$A$3:$A$125,$B32)*Assumptions!$S$5)</f>
        <v/>
      </c>
      <c r="M32" s="9">
        <f>J32+L32</f>
        <v/>
      </c>
      <c r="N32" s="10">
        <f>$F32*$H32*$M32</f>
        <v/>
      </c>
    </row>
    <row r="33">
      <c r="A33" s="11" t="inlineStr">
        <is>
          <t>TOTAL</t>
        </is>
      </c>
      <c r="B33" s="12" t="inlineStr">
        <is>
          <t>BP_WHITING</t>
        </is>
      </c>
      <c r="C33" s="12" t="n">
        <v>2</v>
      </c>
      <c r="D33" s="12" t="inlineStr">
        <is>
          <t>NET NAPHTHA</t>
        </is>
      </c>
      <c r="N33" s="13">
        <f>SUM(N32:N32)</f>
        <v/>
      </c>
    </row>
    <row r="35">
      <c r="A35" s="1" t="inlineStr">
        <is>
          <t xml:space="preserve">  Flint Hills Resources Rosemount  [FLINT_ROSEMOUNT]   —   Koch Industries   —   PADD 2   —   crude 375 kbd</t>
        </is>
      </c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</row>
    <row r="36">
      <c r="A36" s="4" t="inlineStr">
        <is>
          <t>UNIT</t>
        </is>
      </c>
      <c r="B36" s="5" t="inlineStr">
        <is>
          <t>FLINT_ROSEMOUNT</t>
        </is>
      </c>
      <c r="C36" s="5" t="n">
        <v>2</v>
      </c>
      <c r="D36" s="5" t="inlineStr">
        <is>
          <t>CRUDE-EST</t>
        </is>
      </c>
      <c r="E36" s="5" t="inlineStr">
        <is>
          <t>est. yield</t>
        </is>
      </c>
      <c r="F36" s="6">
        <f>SUMIFS(Data!$G$3:$G$125,Data!$A$3:$A$125,$B36)</f>
        <v/>
      </c>
      <c r="G36" s="7" t="n"/>
      <c r="H36" s="8">
        <f>IF($G36&lt;&gt;"",$G36,SUMIFS(Assumptions!$K$4:$K$8,Assumptions!$J$4:$J$8,$C36))</f>
        <v/>
      </c>
      <c r="I36" s="7" t="n"/>
      <c r="J36" s="9">
        <f>IF($I36&lt;&gt;"",$I36,SUMIFS(Data!$N$3:$N$125,Data!$A$3:$A$125,$B36)*Assumptions!$S$4)</f>
        <v/>
      </c>
      <c r="K36" s="7" t="n"/>
      <c r="L36" s="9">
        <f>IF($K36&lt;&gt;"",$K36,SUMIFS(Data!$N$3:$N$125,Data!$A$3:$A$125,$B36)*Assumptions!$S$5)</f>
        <v/>
      </c>
      <c r="M36" s="9">
        <f>J36+L36</f>
        <v/>
      </c>
      <c r="N36" s="10">
        <f>$F36*$H36*$M36</f>
        <v/>
      </c>
    </row>
    <row r="37">
      <c r="A37" s="11" t="inlineStr">
        <is>
          <t>TOTAL</t>
        </is>
      </c>
      <c r="B37" s="12" t="inlineStr">
        <is>
          <t>FLINT_ROSEMOUNT</t>
        </is>
      </c>
      <c r="C37" s="12" t="n">
        <v>2</v>
      </c>
      <c r="D37" s="12" t="inlineStr">
        <is>
          <t>NET NAPHTHA</t>
        </is>
      </c>
      <c r="N37" s="13">
        <f>SUM(N36:N36)</f>
        <v/>
      </c>
    </row>
    <row r="39">
      <c r="A39" s="1" t="inlineStr">
        <is>
          <t xml:space="preserve">  Cenovus Wood River  [CENOVUS_WOOD_RIVER]   —   Cenovus (50%) / Phillips 66 Co. (50%)   —   PADD 2   —   crude 356 kbd</t>
        </is>
      </c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</row>
    <row r="40">
      <c r="A40" s="4" t="inlineStr">
        <is>
          <t>UNIT</t>
        </is>
      </c>
      <c r="B40" s="5" t="inlineStr">
        <is>
          <t>CENOVUS_WOOD_RIVER</t>
        </is>
      </c>
      <c r="C40" s="5" t="n">
        <v>2</v>
      </c>
      <c r="D40" s="5" t="inlineStr">
        <is>
          <t>CRUDE-EST</t>
        </is>
      </c>
      <c r="E40" s="5" t="inlineStr">
        <is>
          <t>est. yield</t>
        </is>
      </c>
      <c r="F40" s="6">
        <f>SUMIFS(Data!$G$3:$G$125,Data!$A$3:$A$125,$B40)</f>
        <v/>
      </c>
      <c r="G40" s="7" t="n"/>
      <c r="H40" s="8">
        <f>IF($G40&lt;&gt;"",$G40,SUMIFS(Assumptions!$K$4:$K$8,Assumptions!$J$4:$J$8,$C40))</f>
        <v/>
      </c>
      <c r="I40" s="7" t="n"/>
      <c r="J40" s="9">
        <f>IF($I40&lt;&gt;"",$I40,SUMIFS(Data!$N$3:$N$125,Data!$A$3:$A$125,$B40)*Assumptions!$S$4)</f>
        <v/>
      </c>
      <c r="K40" s="7" t="n"/>
      <c r="L40" s="9">
        <f>IF($K40&lt;&gt;"",$K40,SUMIFS(Data!$N$3:$N$125,Data!$A$3:$A$125,$B40)*Assumptions!$S$5)</f>
        <v/>
      </c>
      <c r="M40" s="9">
        <f>J40+L40</f>
        <v/>
      </c>
      <c r="N40" s="10">
        <f>$F40*$H40*$M40</f>
        <v/>
      </c>
    </row>
    <row r="41">
      <c r="A41" s="11" t="inlineStr">
        <is>
          <t>TOTAL</t>
        </is>
      </c>
      <c r="B41" s="12" t="inlineStr">
        <is>
          <t>CENOVUS_WOOD_RIVER</t>
        </is>
      </c>
      <c r="C41" s="12" t="n">
        <v>2</v>
      </c>
      <c r="D41" s="12" t="inlineStr">
        <is>
          <t>NET NAPHTHA</t>
        </is>
      </c>
      <c r="N41" s="13">
        <f>SUM(N40:N40)</f>
        <v/>
      </c>
    </row>
    <row r="43">
      <c r="A43" s="1" t="inlineStr">
        <is>
          <t xml:space="preserve">  Marathon Petroleum Catlettsburg  [MARATHON_CATLETTSBURG]   —   Marathon Petroleum   —   PADD 2   —   crude 316 kbd</t>
        </is>
      </c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</row>
    <row r="44">
      <c r="A44" s="4" t="inlineStr">
        <is>
          <t>UNIT</t>
        </is>
      </c>
      <c r="B44" s="5" t="inlineStr">
        <is>
          <t>MARATHON_CATLETTSBURG</t>
        </is>
      </c>
      <c r="C44" s="5" t="n">
        <v>2</v>
      </c>
      <c r="D44" s="5" t="inlineStr">
        <is>
          <t>CRUDE-EST</t>
        </is>
      </c>
      <c r="E44" s="5" t="inlineStr">
        <is>
          <t>est. yield</t>
        </is>
      </c>
      <c r="F44" s="6">
        <f>SUMIFS(Data!$G$3:$G$125,Data!$A$3:$A$125,$B44)</f>
        <v/>
      </c>
      <c r="G44" s="7" t="n"/>
      <c r="H44" s="8">
        <f>IF($G44&lt;&gt;"",$G44,SUMIFS(Assumptions!$K$4:$K$8,Assumptions!$J$4:$J$8,$C44))</f>
        <v/>
      </c>
      <c r="I44" s="7" t="n"/>
      <c r="J44" s="9">
        <f>IF($I44&lt;&gt;"",$I44,SUMIFS(Data!$N$3:$N$125,Data!$A$3:$A$125,$B44)*Assumptions!$S$4)</f>
        <v/>
      </c>
      <c r="K44" s="7" t="n"/>
      <c r="L44" s="9">
        <f>IF($K44&lt;&gt;"",$K44,SUMIFS(Data!$N$3:$N$125,Data!$A$3:$A$125,$B44)*Assumptions!$S$5)</f>
        <v/>
      </c>
      <c r="M44" s="9">
        <f>J44+L44</f>
        <v/>
      </c>
      <c r="N44" s="10">
        <f>$F44*$H44*$M44</f>
        <v/>
      </c>
    </row>
    <row r="45">
      <c r="A45" s="11" t="inlineStr">
        <is>
          <t>TOTAL</t>
        </is>
      </c>
      <c r="B45" s="12" t="inlineStr">
        <is>
          <t>MARATHON_CATLETTSBURG</t>
        </is>
      </c>
      <c r="C45" s="12" t="n">
        <v>2</v>
      </c>
      <c r="D45" s="12" t="inlineStr">
        <is>
          <t>NET NAPHTHA</t>
        </is>
      </c>
      <c r="N45" s="13">
        <f>SUM(N44:N44)</f>
        <v/>
      </c>
    </row>
    <row r="47">
      <c r="A47" s="1" t="inlineStr">
        <is>
          <t xml:space="preserve">  Marathon Petroleum Robinson  [MARATHON_ROBINSON]   —   Marathon Petroleum   —   PADD 2   —   crude 278 kbd</t>
        </is>
      </c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</row>
    <row r="48">
      <c r="A48" s="4" t="inlineStr">
        <is>
          <t>UNIT</t>
        </is>
      </c>
      <c r="B48" s="5" t="inlineStr">
        <is>
          <t>MARATHON_ROBINSON</t>
        </is>
      </c>
      <c r="C48" s="5" t="n">
        <v>2</v>
      </c>
      <c r="D48" s="5" t="inlineStr">
        <is>
          <t>CRUDE-EST</t>
        </is>
      </c>
      <c r="E48" s="5" t="inlineStr">
        <is>
          <t>est. yield</t>
        </is>
      </c>
      <c r="F48" s="6">
        <f>SUMIFS(Data!$G$3:$G$125,Data!$A$3:$A$125,$B48)</f>
        <v/>
      </c>
      <c r="G48" s="7" t="n"/>
      <c r="H48" s="8">
        <f>IF($G48&lt;&gt;"",$G48,SUMIFS(Assumptions!$K$4:$K$8,Assumptions!$J$4:$J$8,$C48))</f>
        <v/>
      </c>
      <c r="I48" s="7" t="n"/>
      <c r="J48" s="9">
        <f>IF($I48&lt;&gt;"",$I48,SUMIFS(Data!$N$3:$N$125,Data!$A$3:$A$125,$B48)*Assumptions!$S$4)</f>
        <v/>
      </c>
      <c r="K48" s="7" t="n"/>
      <c r="L48" s="9">
        <f>IF($K48&lt;&gt;"",$K48,SUMIFS(Data!$N$3:$N$125,Data!$A$3:$A$125,$B48)*Assumptions!$S$5)</f>
        <v/>
      </c>
      <c r="M48" s="9">
        <f>J48+L48</f>
        <v/>
      </c>
      <c r="N48" s="10">
        <f>$F48*$H48*$M48</f>
        <v/>
      </c>
    </row>
    <row r="49">
      <c r="A49" s="11" t="inlineStr">
        <is>
          <t>TOTAL</t>
        </is>
      </c>
      <c r="B49" s="12" t="inlineStr">
        <is>
          <t>MARATHON_ROBINSON</t>
        </is>
      </c>
      <c r="C49" s="12" t="n">
        <v>2</v>
      </c>
      <c r="D49" s="12" t="inlineStr">
        <is>
          <t>NET NAPHTHA</t>
        </is>
      </c>
      <c r="N49" s="13">
        <f>SUM(N48:N48)</f>
        <v/>
      </c>
    </row>
    <row r="51">
      <c r="A51" s="1" t="inlineStr">
        <is>
          <t xml:space="preserve">  ExxonMobil Joliet  [EXXONMOBIL_JOLIET]   —   ExxonMobil   —   PADD 2   —   crude 252 kbd</t>
        </is>
      </c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</row>
    <row r="52">
      <c r="A52" s="4" t="inlineStr">
        <is>
          <t>UNIT</t>
        </is>
      </c>
      <c r="B52" s="5" t="inlineStr">
        <is>
          <t>EXXONMOBIL_JOLIET</t>
        </is>
      </c>
      <c r="C52" s="5" t="n">
        <v>2</v>
      </c>
      <c r="D52" s="5" t="inlineStr">
        <is>
          <t>CRUDE-EST</t>
        </is>
      </c>
      <c r="E52" s="5" t="inlineStr">
        <is>
          <t>est. yield</t>
        </is>
      </c>
      <c r="F52" s="6">
        <f>SUMIFS(Data!$G$3:$G$125,Data!$A$3:$A$125,$B52)</f>
        <v/>
      </c>
      <c r="G52" s="7" t="n"/>
      <c r="H52" s="8">
        <f>IF($G52&lt;&gt;"",$G52,SUMIFS(Assumptions!$K$4:$K$8,Assumptions!$J$4:$J$8,$C52))</f>
        <v/>
      </c>
      <c r="I52" s="7" t="n"/>
      <c r="J52" s="9">
        <f>IF($I52&lt;&gt;"",$I52,SUMIFS(Data!$N$3:$N$125,Data!$A$3:$A$125,$B52)*Assumptions!$S$4)</f>
        <v/>
      </c>
      <c r="K52" s="7" t="n"/>
      <c r="L52" s="9">
        <f>IF($K52&lt;&gt;"",$K52,SUMIFS(Data!$N$3:$N$125,Data!$A$3:$A$125,$B52)*Assumptions!$S$5)</f>
        <v/>
      </c>
      <c r="M52" s="9">
        <f>J52+L52</f>
        <v/>
      </c>
      <c r="N52" s="10">
        <f>$F52*$H52*$M52</f>
        <v/>
      </c>
    </row>
    <row r="53">
      <c r="A53" s="11" t="inlineStr">
        <is>
          <t>TOTAL</t>
        </is>
      </c>
      <c r="B53" s="12" t="inlineStr">
        <is>
          <t>EXXONMOBIL_JOLIET</t>
        </is>
      </c>
      <c r="C53" s="12" t="n">
        <v>2</v>
      </c>
      <c r="D53" s="12" t="inlineStr">
        <is>
          <t>NET NAPHTHA</t>
        </is>
      </c>
      <c r="N53" s="13">
        <f>SUM(N52:N52)</f>
        <v/>
      </c>
    </row>
    <row r="55">
      <c r="A55" s="1" t="inlineStr">
        <is>
          <t xml:space="preserve">  Phillips 66 Co. Ponca City  [PHILLIPS_PONCA_CITY]   —   Phillips 66 Co.   —   PADD 2   —   crude 225 kbd</t>
        </is>
      </c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</row>
    <row r="56">
      <c r="A56" s="4" t="inlineStr">
        <is>
          <t>UNIT</t>
        </is>
      </c>
      <c r="B56" s="5" t="inlineStr">
        <is>
          <t>PHILLIPS_PONCA_CITY</t>
        </is>
      </c>
      <c r="C56" s="5" t="n">
        <v>2</v>
      </c>
      <c r="D56" s="5" t="inlineStr">
        <is>
          <t>CRUDE-EST</t>
        </is>
      </c>
      <c r="E56" s="5" t="inlineStr">
        <is>
          <t>est. yield</t>
        </is>
      </c>
      <c r="F56" s="6">
        <f>SUMIFS(Data!$G$3:$G$125,Data!$A$3:$A$125,$B56)</f>
        <v/>
      </c>
      <c r="G56" s="7" t="n"/>
      <c r="H56" s="8">
        <f>IF($G56&lt;&gt;"",$G56,SUMIFS(Assumptions!$K$4:$K$8,Assumptions!$J$4:$J$8,$C56))</f>
        <v/>
      </c>
      <c r="I56" s="7" t="n"/>
      <c r="J56" s="9">
        <f>IF($I56&lt;&gt;"",$I56,SUMIFS(Data!$N$3:$N$125,Data!$A$3:$A$125,$B56)*Assumptions!$S$4)</f>
        <v/>
      </c>
      <c r="K56" s="7" t="n"/>
      <c r="L56" s="9">
        <f>IF($K56&lt;&gt;"",$K56,SUMIFS(Data!$N$3:$N$125,Data!$A$3:$A$125,$B56)*Assumptions!$S$5)</f>
        <v/>
      </c>
      <c r="M56" s="9">
        <f>J56+L56</f>
        <v/>
      </c>
      <c r="N56" s="10">
        <f>$F56*$H56*$M56</f>
        <v/>
      </c>
    </row>
    <row r="57">
      <c r="A57" s="11" t="inlineStr">
        <is>
          <t>TOTAL</t>
        </is>
      </c>
      <c r="B57" s="12" t="inlineStr">
        <is>
          <t>PHILLIPS_PONCA_CITY</t>
        </is>
      </c>
      <c r="C57" s="12" t="n">
        <v>2</v>
      </c>
      <c r="D57" s="12" t="inlineStr">
        <is>
          <t>NET NAPHTHA</t>
        </is>
      </c>
      <c r="N57" s="13">
        <f>SUM(N56:N56)</f>
        <v/>
      </c>
    </row>
    <row r="59">
      <c r="A59" s="1" t="inlineStr">
        <is>
          <t xml:space="preserve">  Citgo Lemont  [CITGO_LEMONT]   —   PDVSA   —   PADD 2   —   crude 194 kbd</t>
        </is>
      </c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</row>
    <row r="60">
      <c r="A60" s="4" t="inlineStr">
        <is>
          <t>UNIT</t>
        </is>
      </c>
      <c r="B60" s="5" t="inlineStr">
        <is>
          <t>CITGO_LEMONT</t>
        </is>
      </c>
      <c r="C60" s="5" t="n">
        <v>2</v>
      </c>
      <c r="D60" s="5" t="inlineStr">
        <is>
          <t>CRUDE-EST</t>
        </is>
      </c>
      <c r="E60" s="5" t="inlineStr">
        <is>
          <t>est. yield</t>
        </is>
      </c>
      <c r="F60" s="6">
        <f>SUMIFS(Data!$G$3:$G$125,Data!$A$3:$A$125,$B60)</f>
        <v/>
      </c>
      <c r="G60" s="7" t="n"/>
      <c r="H60" s="8">
        <f>IF($G60&lt;&gt;"",$G60,SUMIFS(Assumptions!$K$4:$K$8,Assumptions!$J$4:$J$8,$C60))</f>
        <v/>
      </c>
      <c r="I60" s="7" t="n"/>
      <c r="J60" s="9">
        <f>IF($I60&lt;&gt;"",$I60,SUMIFS(Data!$N$3:$N$125,Data!$A$3:$A$125,$B60)*Assumptions!$S$4)</f>
        <v/>
      </c>
      <c r="K60" s="7" t="n"/>
      <c r="L60" s="9">
        <f>IF($K60&lt;&gt;"",$K60,SUMIFS(Data!$N$3:$N$125,Data!$A$3:$A$125,$B60)*Assumptions!$S$5)</f>
        <v/>
      </c>
      <c r="M60" s="9">
        <f>J60+L60</f>
        <v/>
      </c>
      <c r="N60" s="10">
        <f>$F60*$H60*$M60</f>
        <v/>
      </c>
    </row>
    <row r="61">
      <c r="A61" s="11" t="inlineStr">
        <is>
          <t>TOTAL</t>
        </is>
      </c>
      <c r="B61" s="12" t="inlineStr">
        <is>
          <t>CITGO_LEMONT</t>
        </is>
      </c>
      <c r="C61" s="12" t="n">
        <v>2</v>
      </c>
      <c r="D61" s="12" t="inlineStr">
        <is>
          <t>NET NAPHTHA</t>
        </is>
      </c>
      <c r="N61" s="13">
        <f>SUM(N60:N60)</f>
        <v/>
      </c>
    </row>
    <row r="63">
      <c r="A63" s="1" t="inlineStr">
        <is>
          <t xml:space="preserve">  Cenovus Lima  [CENOVUS_LIMA]   —   Cenovus   —   PADD 2   —   crude 185 kbd</t>
        </is>
      </c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</row>
    <row r="64">
      <c r="A64" s="4" t="inlineStr">
        <is>
          <t>UNIT</t>
        </is>
      </c>
      <c r="B64" s="5" t="inlineStr">
        <is>
          <t>CENOVUS_LIMA</t>
        </is>
      </c>
      <c r="C64" s="5" t="n">
        <v>2</v>
      </c>
      <c r="D64" s="5" t="inlineStr">
        <is>
          <t>CRUDE-EST</t>
        </is>
      </c>
      <c r="E64" s="5" t="inlineStr">
        <is>
          <t>est. yield</t>
        </is>
      </c>
      <c r="F64" s="6">
        <f>SUMIFS(Data!$G$3:$G$125,Data!$A$3:$A$125,$B64)</f>
        <v/>
      </c>
      <c r="G64" s="7" t="n"/>
      <c r="H64" s="8">
        <f>IF($G64&lt;&gt;"",$G64,SUMIFS(Assumptions!$K$4:$K$8,Assumptions!$J$4:$J$8,$C64))</f>
        <v/>
      </c>
      <c r="I64" s="7" t="n"/>
      <c r="J64" s="9">
        <f>IF($I64&lt;&gt;"",$I64,SUMIFS(Data!$N$3:$N$125,Data!$A$3:$A$125,$B64)*Assumptions!$S$4)</f>
        <v/>
      </c>
      <c r="K64" s="7" t="n"/>
      <c r="L64" s="9">
        <f>IF($K64&lt;&gt;"",$K64,SUMIFS(Data!$N$3:$N$125,Data!$A$3:$A$125,$B64)*Assumptions!$S$5)</f>
        <v/>
      </c>
      <c r="M64" s="9">
        <f>J64+L64</f>
        <v/>
      </c>
      <c r="N64" s="10">
        <f>$F64*$H64*$M64</f>
        <v/>
      </c>
    </row>
    <row r="65">
      <c r="A65" s="11" t="inlineStr">
        <is>
          <t>TOTAL</t>
        </is>
      </c>
      <c r="B65" s="12" t="inlineStr">
        <is>
          <t>CENOVUS_LIMA</t>
        </is>
      </c>
      <c r="C65" s="12" t="n">
        <v>2</v>
      </c>
      <c r="D65" s="12" t="inlineStr">
        <is>
          <t>NET NAPHTHA</t>
        </is>
      </c>
      <c r="N65" s="13">
        <f>SUM(N64:N64)</f>
        <v/>
      </c>
    </row>
    <row r="67">
      <c r="A67" s="1" t="inlineStr">
        <is>
          <t xml:space="preserve">  PBF Energy Company LLC Toledo  [PBF_TOLEDO]   —   PBF Energy Company LLC   —   PADD 2   —   crude 180 kbd</t>
        </is>
      </c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</row>
    <row r="68">
      <c r="A68" s="4" t="inlineStr">
        <is>
          <t>UNIT</t>
        </is>
      </c>
      <c r="B68" s="5" t="inlineStr">
        <is>
          <t>PBF_TOLEDO</t>
        </is>
      </c>
      <c r="C68" s="5" t="n">
        <v>2</v>
      </c>
      <c r="D68" s="5" t="inlineStr">
        <is>
          <t>CRUDE-EST</t>
        </is>
      </c>
      <c r="E68" s="5" t="inlineStr">
        <is>
          <t>est. yield</t>
        </is>
      </c>
      <c r="F68" s="6">
        <f>SUMIFS(Data!$G$3:$G$125,Data!$A$3:$A$125,$B68)</f>
        <v/>
      </c>
      <c r="G68" s="7" t="n"/>
      <c r="H68" s="8">
        <f>IF($G68&lt;&gt;"",$G68,SUMIFS(Assumptions!$K$4:$K$8,Assumptions!$J$4:$J$8,$C68))</f>
        <v/>
      </c>
      <c r="I68" s="7" t="n"/>
      <c r="J68" s="9">
        <f>IF($I68&lt;&gt;"",$I68,SUMIFS(Data!$N$3:$N$125,Data!$A$3:$A$125,$B68)*Assumptions!$S$4)</f>
        <v/>
      </c>
      <c r="K68" s="7" t="n"/>
      <c r="L68" s="9">
        <f>IF($K68&lt;&gt;"",$K68,SUMIFS(Data!$N$3:$N$125,Data!$A$3:$A$125,$B68)*Assumptions!$S$5)</f>
        <v/>
      </c>
      <c r="M68" s="9">
        <f>J68+L68</f>
        <v/>
      </c>
      <c r="N68" s="10">
        <f>$F68*$H68*$M68</f>
        <v/>
      </c>
    </row>
    <row r="69">
      <c r="A69" s="11" t="inlineStr">
        <is>
          <t>TOTAL</t>
        </is>
      </c>
      <c r="B69" s="12" t="inlineStr">
        <is>
          <t>PBF_TOLEDO</t>
        </is>
      </c>
      <c r="C69" s="12" t="n">
        <v>2</v>
      </c>
      <c r="D69" s="12" t="inlineStr">
        <is>
          <t>NET NAPHTHA</t>
        </is>
      </c>
      <c r="N69" s="13">
        <f>SUM(N68:N68)</f>
        <v/>
      </c>
    </row>
    <row r="71">
      <c r="A71" s="1" t="inlineStr">
        <is>
          <t xml:space="preserve">  Valero Memphis  [VALERO_MEMPHIS]   —   Valero   —   PADD 2   —   crude 180 kbd</t>
        </is>
      </c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</row>
    <row r="72">
      <c r="A72" s="4" t="inlineStr">
        <is>
          <t>UNIT</t>
        </is>
      </c>
      <c r="B72" s="5" t="inlineStr">
        <is>
          <t>VALERO_MEMPHIS</t>
        </is>
      </c>
      <c r="C72" s="5" t="n">
        <v>2</v>
      </c>
      <c r="D72" s="5" t="inlineStr">
        <is>
          <t>CRUDE-EST</t>
        </is>
      </c>
      <c r="E72" s="5" t="inlineStr">
        <is>
          <t>est. yield</t>
        </is>
      </c>
      <c r="F72" s="6">
        <f>SUMIFS(Data!$G$3:$G$125,Data!$A$3:$A$125,$B72)</f>
        <v/>
      </c>
      <c r="G72" s="7" t="n"/>
      <c r="H72" s="8">
        <f>IF($G72&lt;&gt;"",$G72,SUMIFS(Assumptions!$K$4:$K$8,Assumptions!$J$4:$J$8,$C72))</f>
        <v/>
      </c>
      <c r="I72" s="7" t="n"/>
      <c r="J72" s="9">
        <f>IF($I72&lt;&gt;"",$I72,SUMIFS(Data!$N$3:$N$125,Data!$A$3:$A$125,$B72)*Assumptions!$S$4)</f>
        <v/>
      </c>
      <c r="K72" s="7" t="n"/>
      <c r="L72" s="9">
        <f>IF($K72&lt;&gt;"",$K72,SUMIFS(Data!$N$3:$N$125,Data!$A$3:$A$125,$B72)*Assumptions!$S$5)</f>
        <v/>
      </c>
      <c r="M72" s="9">
        <f>J72+L72</f>
        <v/>
      </c>
      <c r="N72" s="10">
        <f>$F72*$H72*$M72</f>
        <v/>
      </c>
    </row>
    <row r="73">
      <c r="A73" s="11" t="inlineStr">
        <is>
          <t>TOTAL</t>
        </is>
      </c>
      <c r="B73" s="12" t="inlineStr">
        <is>
          <t>VALERO_MEMPHIS</t>
        </is>
      </c>
      <c r="C73" s="12" t="n">
        <v>2</v>
      </c>
      <c r="D73" s="12" t="inlineStr">
        <is>
          <t>NET NAPHTHA</t>
        </is>
      </c>
      <c r="N73" s="13">
        <f>SUM(N72:N72)</f>
        <v/>
      </c>
    </row>
    <row r="75">
      <c r="A75" s="1" t="inlineStr">
        <is>
          <t xml:space="preserve">  Cenovus Toledo  [CENOVUS_TOLEDO]   —   Cenovus   —   PADD 2   —   crude 160 kbd</t>
        </is>
      </c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</row>
    <row r="76">
      <c r="A76" s="4" t="inlineStr">
        <is>
          <t>UNIT</t>
        </is>
      </c>
      <c r="B76" s="5" t="inlineStr">
        <is>
          <t>CENOVUS_TOLEDO</t>
        </is>
      </c>
      <c r="C76" s="5" t="n">
        <v>2</v>
      </c>
      <c r="D76" s="5" t="inlineStr">
        <is>
          <t>CRUDE-EST</t>
        </is>
      </c>
      <c r="E76" s="5" t="inlineStr">
        <is>
          <t>est. yield</t>
        </is>
      </c>
      <c r="F76" s="6">
        <f>SUMIFS(Data!$G$3:$G$125,Data!$A$3:$A$125,$B76)</f>
        <v/>
      </c>
      <c r="G76" s="7" t="n"/>
      <c r="H76" s="8">
        <f>IF($G76&lt;&gt;"",$G76,SUMIFS(Assumptions!$K$4:$K$8,Assumptions!$J$4:$J$8,$C76))</f>
        <v/>
      </c>
      <c r="I76" s="7" t="n"/>
      <c r="J76" s="9">
        <f>IF($I76&lt;&gt;"",$I76,SUMIFS(Data!$N$3:$N$125,Data!$A$3:$A$125,$B76)*Assumptions!$S$4)</f>
        <v/>
      </c>
      <c r="K76" s="7" t="n"/>
      <c r="L76" s="9">
        <f>IF($K76&lt;&gt;"",$K76,SUMIFS(Data!$N$3:$N$125,Data!$A$3:$A$125,$B76)*Assumptions!$S$5)</f>
        <v/>
      </c>
      <c r="M76" s="9">
        <f>J76+L76</f>
        <v/>
      </c>
      <c r="N76" s="10">
        <f>$F76*$H76*$M76</f>
        <v/>
      </c>
    </row>
    <row r="77">
      <c r="A77" s="11" t="inlineStr">
        <is>
          <t>TOTAL</t>
        </is>
      </c>
      <c r="B77" s="12" t="inlineStr">
        <is>
          <t>CENOVUS_TOLEDO</t>
        </is>
      </c>
      <c r="C77" s="12" t="n">
        <v>2</v>
      </c>
      <c r="D77" s="12" t="inlineStr">
        <is>
          <t>NET NAPHTHA</t>
        </is>
      </c>
      <c r="N77" s="13">
        <f>SUM(N76:N76)</f>
        <v/>
      </c>
    </row>
    <row r="79">
      <c r="A79" s="1" t="inlineStr">
        <is>
          <t xml:space="preserve">  Marathon Petroleum Detroit  [MARATHON_DETROIT]   —   Marathon Petroleum   —   PADD 2   —   crude 140 kbd</t>
        </is>
      </c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</row>
    <row r="80">
      <c r="A80" s="4" t="inlineStr">
        <is>
          <t>UNIT</t>
        </is>
      </c>
      <c r="B80" s="5" t="inlineStr">
        <is>
          <t>MARATHON_DETROIT</t>
        </is>
      </c>
      <c r="C80" s="5" t="n">
        <v>2</v>
      </c>
      <c r="D80" s="5" t="inlineStr">
        <is>
          <t>CRUDE-EST</t>
        </is>
      </c>
      <c r="E80" s="5" t="inlineStr">
        <is>
          <t>est. yield</t>
        </is>
      </c>
      <c r="F80" s="6">
        <f>SUMIFS(Data!$G$3:$G$125,Data!$A$3:$A$125,$B80)</f>
        <v/>
      </c>
      <c r="G80" s="7" t="n"/>
      <c r="H80" s="8">
        <f>IF($G80&lt;&gt;"",$G80,SUMIFS(Assumptions!$K$4:$K$8,Assumptions!$J$4:$J$8,$C80))</f>
        <v/>
      </c>
      <c r="I80" s="7" t="n"/>
      <c r="J80" s="9">
        <f>IF($I80&lt;&gt;"",$I80,SUMIFS(Data!$N$3:$N$125,Data!$A$3:$A$125,$B80)*Assumptions!$S$4)</f>
        <v/>
      </c>
      <c r="K80" s="7" t="n"/>
      <c r="L80" s="9">
        <f>IF($K80&lt;&gt;"",$K80,SUMIFS(Data!$N$3:$N$125,Data!$A$3:$A$125,$B80)*Assumptions!$S$5)</f>
        <v/>
      </c>
      <c r="M80" s="9">
        <f>J80+L80</f>
        <v/>
      </c>
      <c r="N80" s="10">
        <f>$F80*$H80*$M80</f>
        <v/>
      </c>
    </row>
    <row r="81">
      <c r="A81" s="11" t="inlineStr">
        <is>
          <t>TOTAL</t>
        </is>
      </c>
      <c r="B81" s="12" t="inlineStr">
        <is>
          <t>MARATHON_DETROIT</t>
        </is>
      </c>
      <c r="C81" s="12" t="n">
        <v>2</v>
      </c>
      <c r="D81" s="12" t="inlineStr">
        <is>
          <t>NET NAPHTHA</t>
        </is>
      </c>
      <c r="N81" s="13">
        <f>SUM(N80:N80)</f>
        <v/>
      </c>
    </row>
    <row r="83">
      <c r="A83" s="1" t="inlineStr">
        <is>
          <t xml:space="preserve">  HF Sinclair El Dorado (KS)  [HF_EL_DORADO_KS]   —   HF Sinclair   —   PADD 2   —   crude 135 kbd</t>
        </is>
      </c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</row>
    <row r="84">
      <c r="A84" s="4" t="inlineStr">
        <is>
          <t>UNIT</t>
        </is>
      </c>
      <c r="B84" s="5" t="inlineStr">
        <is>
          <t>HF_EL_DORADO_KS</t>
        </is>
      </c>
      <c r="C84" s="5" t="n">
        <v>2</v>
      </c>
      <c r="D84" s="5" t="inlineStr">
        <is>
          <t>CRUDE-EST</t>
        </is>
      </c>
      <c r="E84" s="5" t="inlineStr">
        <is>
          <t>est. yield</t>
        </is>
      </c>
      <c r="F84" s="6">
        <f>SUMIFS(Data!$G$3:$G$125,Data!$A$3:$A$125,$B84)</f>
        <v/>
      </c>
      <c r="G84" s="7" t="n"/>
      <c r="H84" s="8">
        <f>IF($G84&lt;&gt;"",$G84,SUMIFS(Assumptions!$K$4:$K$8,Assumptions!$J$4:$J$8,$C84))</f>
        <v/>
      </c>
      <c r="I84" s="7" t="n"/>
      <c r="J84" s="9">
        <f>IF($I84&lt;&gt;"",$I84,SUMIFS(Data!$N$3:$N$125,Data!$A$3:$A$125,$B84)*Assumptions!$S$4)</f>
        <v/>
      </c>
      <c r="K84" s="7" t="n"/>
      <c r="L84" s="9">
        <f>IF($K84&lt;&gt;"",$K84,SUMIFS(Data!$N$3:$N$125,Data!$A$3:$A$125,$B84)*Assumptions!$S$5)</f>
        <v/>
      </c>
      <c r="M84" s="9">
        <f>J84+L84</f>
        <v/>
      </c>
      <c r="N84" s="10">
        <f>$F84*$H84*$M84</f>
        <v/>
      </c>
    </row>
    <row r="85">
      <c r="A85" s="11" t="inlineStr">
        <is>
          <t>TOTAL</t>
        </is>
      </c>
      <c r="B85" s="12" t="inlineStr">
        <is>
          <t>HF_EL_DORADO_KS</t>
        </is>
      </c>
      <c r="C85" s="12" t="n">
        <v>2</v>
      </c>
      <c r="D85" s="12" t="inlineStr">
        <is>
          <t>NET NAPHTHA</t>
        </is>
      </c>
      <c r="N85" s="13">
        <f>SUM(N84:N84)</f>
        <v/>
      </c>
    </row>
    <row r="87">
      <c r="A87" s="1" t="inlineStr">
        <is>
          <t xml:space="preserve">  CVR Energy Coffeyville  [CVR_COFFEYVILLE]   —   Icahn Enterprises (80%) / Other Investors (20%)   —   PADD 2   —   crude 132 kbd</t>
        </is>
      </c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</row>
    <row r="88">
      <c r="A88" s="4" t="inlineStr">
        <is>
          <t>UNIT</t>
        </is>
      </c>
      <c r="B88" s="5" t="inlineStr">
        <is>
          <t>CVR_COFFEYVILLE</t>
        </is>
      </c>
      <c r="C88" s="5" t="n">
        <v>2</v>
      </c>
      <c r="D88" s="5" t="inlineStr">
        <is>
          <t>CRUDE-EST</t>
        </is>
      </c>
      <c r="E88" s="5" t="inlineStr">
        <is>
          <t>est. yield</t>
        </is>
      </c>
      <c r="F88" s="6">
        <f>SUMIFS(Data!$G$3:$G$125,Data!$A$3:$A$125,$B88)</f>
        <v/>
      </c>
      <c r="G88" s="7" t="n"/>
      <c r="H88" s="8">
        <f>IF($G88&lt;&gt;"",$G88,SUMIFS(Assumptions!$K$4:$K$8,Assumptions!$J$4:$J$8,$C88))</f>
        <v/>
      </c>
      <c r="I88" s="7" t="n"/>
      <c r="J88" s="9">
        <f>IF($I88&lt;&gt;"",$I88,SUMIFS(Data!$N$3:$N$125,Data!$A$3:$A$125,$B88)*Assumptions!$S$4)</f>
        <v/>
      </c>
      <c r="K88" s="7" t="n"/>
      <c r="L88" s="9">
        <f>IF($K88&lt;&gt;"",$K88,SUMIFS(Data!$N$3:$N$125,Data!$A$3:$A$125,$B88)*Assumptions!$S$5)</f>
        <v/>
      </c>
      <c r="M88" s="9">
        <f>J88+L88</f>
        <v/>
      </c>
      <c r="N88" s="10">
        <f>$F88*$H88*$M88</f>
        <v/>
      </c>
    </row>
    <row r="89">
      <c r="A89" s="11" t="inlineStr">
        <is>
          <t>TOTAL</t>
        </is>
      </c>
      <c r="B89" s="12" t="inlineStr">
        <is>
          <t>CVR_COFFEYVILLE</t>
        </is>
      </c>
      <c r="C89" s="12" t="n">
        <v>2</v>
      </c>
      <c r="D89" s="12" t="inlineStr">
        <is>
          <t>NET NAPHTHA</t>
        </is>
      </c>
      <c r="N89" s="13">
        <f>SUM(N88:N88)</f>
        <v/>
      </c>
    </row>
    <row r="91">
      <c r="A91" s="1" t="inlineStr">
        <is>
          <t xml:space="preserve">  HF Sinclair Tulsa  [HF_TULSA]   —   HF Sinclair   —   PADD 2   —   crude 125 kbd</t>
        </is>
      </c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</row>
    <row r="92">
      <c r="A92" s="4" t="inlineStr">
        <is>
          <t>UNIT</t>
        </is>
      </c>
      <c r="B92" s="5" t="inlineStr">
        <is>
          <t>HF_TULSA</t>
        </is>
      </c>
      <c r="C92" s="5" t="n">
        <v>2</v>
      </c>
      <c r="D92" s="5" t="inlineStr">
        <is>
          <t>CRUDE-EST</t>
        </is>
      </c>
      <c r="E92" s="5" t="inlineStr">
        <is>
          <t>est. yield</t>
        </is>
      </c>
      <c r="F92" s="6">
        <f>SUMIFS(Data!$G$3:$G$125,Data!$A$3:$A$125,$B92)</f>
        <v/>
      </c>
      <c r="G92" s="7" t="n"/>
      <c r="H92" s="8">
        <f>IF($G92&lt;&gt;"",$G92,SUMIFS(Assumptions!$K$4:$K$8,Assumptions!$J$4:$J$8,$C92))</f>
        <v/>
      </c>
      <c r="I92" s="7" t="n"/>
      <c r="J92" s="9">
        <f>IF($I92&lt;&gt;"",$I92,SUMIFS(Data!$N$3:$N$125,Data!$A$3:$A$125,$B92)*Assumptions!$S$4)</f>
        <v/>
      </c>
      <c r="K92" s="7" t="n"/>
      <c r="L92" s="9">
        <f>IF($K92&lt;&gt;"",$K92,SUMIFS(Data!$N$3:$N$125,Data!$A$3:$A$125,$B92)*Assumptions!$S$5)</f>
        <v/>
      </c>
      <c r="M92" s="9">
        <f>J92+L92</f>
        <v/>
      </c>
      <c r="N92" s="10">
        <f>$F92*$H92*$M92</f>
        <v/>
      </c>
    </row>
    <row r="93">
      <c r="A93" s="11" t="inlineStr">
        <is>
          <t>TOTAL</t>
        </is>
      </c>
      <c r="B93" s="12" t="inlineStr">
        <is>
          <t>HF_TULSA</t>
        </is>
      </c>
      <c r="C93" s="12" t="n">
        <v>2</v>
      </c>
      <c r="D93" s="12" t="inlineStr">
        <is>
          <t>NET NAPHTHA</t>
        </is>
      </c>
      <c r="N93" s="13">
        <f>SUM(N92:N92)</f>
        <v/>
      </c>
    </row>
    <row r="95">
      <c r="A95" s="1" t="inlineStr">
        <is>
          <t xml:space="preserve">  NCRA McPherson  [NCRA_MCPHERSON]   —   CHS   —   PADD 2   —   crude 117 kbd</t>
        </is>
      </c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</row>
    <row r="96">
      <c r="A96" s="4" t="inlineStr">
        <is>
          <t>UNIT</t>
        </is>
      </c>
      <c r="B96" s="5" t="inlineStr">
        <is>
          <t>NCRA_MCPHERSON</t>
        </is>
      </c>
      <c r="C96" s="5" t="n">
        <v>2</v>
      </c>
      <c r="D96" s="5" t="inlineStr">
        <is>
          <t>CRUDE-EST</t>
        </is>
      </c>
      <c r="E96" s="5" t="inlineStr">
        <is>
          <t>est. yield</t>
        </is>
      </c>
      <c r="F96" s="6">
        <f>SUMIFS(Data!$G$3:$G$125,Data!$A$3:$A$125,$B96)</f>
        <v/>
      </c>
      <c r="G96" s="7" t="n"/>
      <c r="H96" s="8">
        <f>IF($G96&lt;&gt;"",$G96,SUMIFS(Assumptions!$K$4:$K$8,Assumptions!$J$4:$J$8,$C96))</f>
        <v/>
      </c>
      <c r="I96" s="7" t="n"/>
      <c r="J96" s="9">
        <f>IF($I96&lt;&gt;"",$I96,SUMIFS(Data!$N$3:$N$125,Data!$A$3:$A$125,$B96)*Assumptions!$S$4)</f>
        <v/>
      </c>
      <c r="K96" s="7" t="n"/>
      <c r="L96" s="9">
        <f>IF($K96&lt;&gt;"",$K96,SUMIFS(Data!$N$3:$N$125,Data!$A$3:$A$125,$B96)*Assumptions!$S$5)</f>
        <v/>
      </c>
      <c r="M96" s="9">
        <f>J96+L96</f>
        <v/>
      </c>
      <c r="N96" s="10">
        <f>$F96*$H96*$M96</f>
        <v/>
      </c>
    </row>
    <row r="97">
      <c r="A97" s="11" t="inlineStr">
        <is>
          <t>TOTAL</t>
        </is>
      </c>
      <c r="B97" s="12" t="inlineStr">
        <is>
          <t>NCRA_MCPHERSON</t>
        </is>
      </c>
      <c r="C97" s="12" t="n">
        <v>2</v>
      </c>
      <c r="D97" s="12" t="inlineStr">
        <is>
          <t>NET NAPHTHA</t>
        </is>
      </c>
      <c r="N97" s="13">
        <f>SUM(N96:N96)</f>
        <v/>
      </c>
    </row>
    <row r="99">
      <c r="A99" s="1" t="inlineStr">
        <is>
          <t xml:space="preserve">  Marathon Petroleum Saint Paul Park  [MARATHON_SAINT_PAUL_PARK]   —   Marathon Petroleum   —   PADD 2   —   crude 111 kbd</t>
        </is>
      </c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</row>
    <row r="100">
      <c r="A100" s="4" t="inlineStr">
        <is>
          <t>UNIT</t>
        </is>
      </c>
      <c r="B100" s="5" t="inlineStr">
        <is>
          <t>MARATHON_SAINT_PAUL_PARK</t>
        </is>
      </c>
      <c r="C100" s="5" t="n">
        <v>2</v>
      </c>
      <c r="D100" s="5" t="inlineStr">
        <is>
          <t>CRUDE-EST</t>
        </is>
      </c>
      <c r="E100" s="5" t="inlineStr">
        <is>
          <t>est. yield</t>
        </is>
      </c>
      <c r="F100" s="6">
        <f>SUMIFS(Data!$G$3:$G$125,Data!$A$3:$A$125,$B100)</f>
        <v/>
      </c>
      <c r="G100" s="7" t="n"/>
      <c r="H100" s="8">
        <f>IF($G100&lt;&gt;"",$G100,SUMIFS(Assumptions!$K$4:$K$8,Assumptions!$J$4:$J$8,$C100))</f>
        <v/>
      </c>
      <c r="I100" s="7" t="n"/>
      <c r="J100" s="9">
        <f>IF($I100&lt;&gt;"",$I100,SUMIFS(Data!$N$3:$N$125,Data!$A$3:$A$125,$B100)*Assumptions!$S$4)</f>
        <v/>
      </c>
      <c r="K100" s="7" t="n"/>
      <c r="L100" s="9">
        <f>IF($K100&lt;&gt;"",$K100,SUMIFS(Data!$N$3:$N$125,Data!$A$3:$A$125,$B100)*Assumptions!$S$5)</f>
        <v/>
      </c>
      <c r="M100" s="9">
        <f>J100+L100</f>
        <v/>
      </c>
      <c r="N100" s="10">
        <f>$F100*$H100*$M100</f>
        <v/>
      </c>
    </row>
    <row r="101">
      <c r="A101" s="11" t="inlineStr">
        <is>
          <t>TOTAL</t>
        </is>
      </c>
      <c r="B101" s="12" t="inlineStr">
        <is>
          <t>MARATHON_SAINT_PAUL_PARK</t>
        </is>
      </c>
      <c r="C101" s="12" t="n">
        <v>2</v>
      </c>
      <c r="D101" s="12" t="inlineStr">
        <is>
          <t>NET NAPHTHA</t>
        </is>
      </c>
      <c r="N101" s="13">
        <f>SUM(N100:N100)</f>
        <v/>
      </c>
    </row>
    <row r="103">
      <c r="A103" s="1" t="inlineStr">
        <is>
          <t xml:space="preserve">  Marathon Petroleum Canton  [MARATHON_CANTON]   —   Marathon Petroleum   —   PADD 2   —   crude 100 kbd</t>
        </is>
      </c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</row>
    <row r="104">
      <c r="A104" s="4" t="inlineStr">
        <is>
          <t>UNIT</t>
        </is>
      </c>
      <c r="B104" s="5" t="inlineStr">
        <is>
          <t>MARATHON_CANTON</t>
        </is>
      </c>
      <c r="C104" s="5" t="n">
        <v>2</v>
      </c>
      <c r="D104" s="5" t="inlineStr">
        <is>
          <t>CRUDE-EST</t>
        </is>
      </c>
      <c r="E104" s="5" t="inlineStr">
        <is>
          <t>est. yield</t>
        </is>
      </c>
      <c r="F104" s="6">
        <f>SUMIFS(Data!$G$3:$G$125,Data!$A$3:$A$125,$B104)</f>
        <v/>
      </c>
      <c r="G104" s="7" t="n"/>
      <c r="H104" s="8">
        <f>IF($G104&lt;&gt;"",$G104,SUMIFS(Assumptions!$K$4:$K$8,Assumptions!$J$4:$J$8,$C104))</f>
        <v/>
      </c>
      <c r="I104" s="7" t="n"/>
      <c r="J104" s="9">
        <f>IF($I104&lt;&gt;"",$I104,SUMIFS(Data!$N$3:$N$125,Data!$A$3:$A$125,$B104)*Assumptions!$S$4)</f>
        <v/>
      </c>
      <c r="K104" s="7" t="n"/>
      <c r="L104" s="9">
        <f>IF($K104&lt;&gt;"",$K104,SUMIFS(Data!$N$3:$N$125,Data!$A$3:$A$125,$B104)*Assumptions!$S$5)</f>
        <v/>
      </c>
      <c r="M104" s="9">
        <f>J104+L104</f>
        <v/>
      </c>
      <c r="N104" s="10">
        <f>$F104*$H104*$M104</f>
        <v/>
      </c>
    </row>
    <row r="105">
      <c r="A105" s="11" t="inlineStr">
        <is>
          <t>TOTAL</t>
        </is>
      </c>
      <c r="B105" s="12" t="inlineStr">
        <is>
          <t>MARATHON_CANTON</t>
        </is>
      </c>
      <c r="C105" s="12" t="n">
        <v>2</v>
      </c>
      <c r="D105" s="12" t="inlineStr">
        <is>
          <t>NET NAPHTHA</t>
        </is>
      </c>
      <c r="N105" s="13">
        <f>SUM(N104:N104)</f>
        <v/>
      </c>
    </row>
    <row r="107">
      <c r="A107" s="1" t="inlineStr">
        <is>
          <t xml:space="preserve">  Valero Ardmore  [VALERO_ARDMORE]   —   Valero   —   PADD 2   —   crude 86 kbd</t>
        </is>
      </c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</row>
    <row r="108">
      <c r="A108" s="4" t="inlineStr">
        <is>
          <t>UNIT</t>
        </is>
      </c>
      <c r="B108" s="5" t="inlineStr">
        <is>
          <t>VALERO_ARDMORE</t>
        </is>
      </c>
      <c r="C108" s="5" t="n">
        <v>2</v>
      </c>
      <c r="D108" s="5" t="inlineStr">
        <is>
          <t>CRUDE-EST</t>
        </is>
      </c>
      <c r="E108" s="5" t="inlineStr">
        <is>
          <t>est. yield</t>
        </is>
      </c>
      <c r="F108" s="6">
        <f>SUMIFS(Data!$G$3:$G$125,Data!$A$3:$A$125,$B108)</f>
        <v/>
      </c>
      <c r="G108" s="7" t="n"/>
      <c r="H108" s="8">
        <f>IF($G108&lt;&gt;"",$G108,SUMIFS(Assumptions!$K$4:$K$8,Assumptions!$J$4:$J$8,$C108))</f>
        <v/>
      </c>
      <c r="I108" s="7" t="n"/>
      <c r="J108" s="9">
        <f>IF($I108&lt;&gt;"",$I108,SUMIFS(Data!$N$3:$N$125,Data!$A$3:$A$125,$B108)*Assumptions!$S$4)</f>
        <v/>
      </c>
      <c r="K108" s="7" t="n"/>
      <c r="L108" s="9">
        <f>IF($K108&lt;&gt;"",$K108,SUMIFS(Data!$N$3:$N$125,Data!$A$3:$A$125,$B108)*Assumptions!$S$5)</f>
        <v/>
      </c>
      <c r="M108" s="9">
        <f>J108+L108</f>
        <v/>
      </c>
      <c r="N108" s="10">
        <f>$F108*$H108*$M108</f>
        <v/>
      </c>
    </row>
    <row r="109">
      <c r="A109" s="11" t="inlineStr">
        <is>
          <t>TOTAL</t>
        </is>
      </c>
      <c r="B109" s="12" t="inlineStr">
        <is>
          <t>VALERO_ARDMORE</t>
        </is>
      </c>
      <c r="C109" s="12" t="n">
        <v>2</v>
      </c>
      <c r="D109" s="12" t="inlineStr">
        <is>
          <t>NET NAPHTHA</t>
        </is>
      </c>
      <c r="N109" s="13">
        <f>SUM(N108:N108)</f>
        <v/>
      </c>
    </row>
    <row r="111">
      <c r="A111" s="1" t="inlineStr">
        <is>
          <t xml:space="preserve">  Marathon Petroleum Mandan  [MARATHON_MANDAN]   —   Marathon Petroleum   —   PADD 2   —   crude 76 kbd</t>
        </is>
      </c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</row>
    <row r="112">
      <c r="A112" s="4" t="inlineStr">
        <is>
          <t>UNIT</t>
        </is>
      </c>
      <c r="B112" s="5" t="inlineStr">
        <is>
          <t>MARATHON_MANDAN</t>
        </is>
      </c>
      <c r="C112" s="5" t="n">
        <v>2</v>
      </c>
      <c r="D112" s="5" t="inlineStr">
        <is>
          <t>CRUDE-EST</t>
        </is>
      </c>
      <c r="E112" s="5" t="inlineStr">
        <is>
          <t>est. yield</t>
        </is>
      </c>
      <c r="F112" s="6">
        <f>SUMIFS(Data!$G$3:$G$125,Data!$A$3:$A$125,$B112)</f>
        <v/>
      </c>
      <c r="G112" s="7" t="n"/>
      <c r="H112" s="8">
        <f>IF($G112&lt;&gt;"",$G112,SUMIFS(Assumptions!$K$4:$K$8,Assumptions!$J$4:$J$8,$C112))</f>
        <v/>
      </c>
      <c r="I112" s="7" t="n"/>
      <c r="J112" s="9">
        <f>IF($I112&lt;&gt;"",$I112,SUMIFS(Data!$N$3:$N$125,Data!$A$3:$A$125,$B112)*Assumptions!$S$4)</f>
        <v/>
      </c>
      <c r="K112" s="7" t="n"/>
      <c r="L112" s="9">
        <f>IF($K112&lt;&gt;"",$K112,SUMIFS(Data!$N$3:$N$125,Data!$A$3:$A$125,$B112)*Assumptions!$S$5)</f>
        <v/>
      </c>
      <c r="M112" s="9">
        <f>J112+L112</f>
        <v/>
      </c>
      <c r="N112" s="10">
        <f>$F112*$H112*$M112</f>
        <v/>
      </c>
    </row>
    <row r="113">
      <c r="A113" s="11" t="inlineStr">
        <is>
          <t>TOTAL</t>
        </is>
      </c>
      <c r="B113" s="12" t="inlineStr">
        <is>
          <t>MARATHON_MANDAN</t>
        </is>
      </c>
      <c r="C113" s="12" t="n">
        <v>2</v>
      </c>
      <c r="D113" s="12" t="inlineStr">
        <is>
          <t>NET NAPHTHA</t>
        </is>
      </c>
      <c r="N113" s="13">
        <f>SUM(N112:N112)</f>
        <v/>
      </c>
    </row>
    <row r="115">
      <c r="A115" s="1" t="inlineStr">
        <is>
          <t xml:space="preserve">  CVR Energy Wynnewood  [CVR_WYNNEWOOD]   —   Icahn Enterprises (80%) / Other Investors (20%)   —   PADD 2   —   crude 75 kbd</t>
        </is>
      </c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</row>
    <row r="116">
      <c r="A116" s="4" t="inlineStr">
        <is>
          <t>UNIT</t>
        </is>
      </c>
      <c r="B116" s="5" t="inlineStr">
        <is>
          <t>CVR_WYNNEWOOD</t>
        </is>
      </c>
      <c r="C116" s="5" t="n">
        <v>2</v>
      </c>
      <c r="D116" s="5" t="inlineStr">
        <is>
          <t>CRUDE-EST</t>
        </is>
      </c>
      <c r="E116" s="5" t="inlineStr">
        <is>
          <t>est. yield</t>
        </is>
      </c>
      <c r="F116" s="6">
        <f>SUMIFS(Data!$G$3:$G$125,Data!$A$3:$A$125,$B116)</f>
        <v/>
      </c>
      <c r="G116" s="7" t="n"/>
      <c r="H116" s="8">
        <f>IF($G116&lt;&gt;"",$G116,SUMIFS(Assumptions!$K$4:$K$8,Assumptions!$J$4:$J$8,$C116))</f>
        <v/>
      </c>
      <c r="I116" s="7" t="n"/>
      <c r="J116" s="9">
        <f>IF($I116&lt;&gt;"",$I116,SUMIFS(Data!$N$3:$N$125,Data!$A$3:$A$125,$B116)*Assumptions!$S$4)</f>
        <v/>
      </c>
      <c r="K116" s="7" t="n"/>
      <c r="L116" s="9">
        <f>IF($K116&lt;&gt;"",$K116,SUMIFS(Data!$N$3:$N$125,Data!$A$3:$A$125,$B116)*Assumptions!$S$5)</f>
        <v/>
      </c>
      <c r="M116" s="9">
        <f>J116+L116</f>
        <v/>
      </c>
      <c r="N116" s="10">
        <f>$F116*$H116*$M116</f>
        <v/>
      </c>
    </row>
    <row r="117">
      <c r="A117" s="11" t="inlineStr">
        <is>
          <t>TOTAL</t>
        </is>
      </c>
      <c r="B117" s="12" t="inlineStr">
        <is>
          <t>CVR_WYNNEWOOD</t>
        </is>
      </c>
      <c r="C117" s="12" t="n">
        <v>2</v>
      </c>
      <c r="D117" s="12" t="inlineStr">
        <is>
          <t>NET NAPHTHA</t>
        </is>
      </c>
      <c r="N117" s="13">
        <f>SUM(N116:N116)</f>
        <v/>
      </c>
    </row>
    <row r="119">
      <c r="A119" s="1" t="inlineStr">
        <is>
          <t xml:space="preserve">  Cenovus Superior  [CENOVUS_SUPERIOR]   —   Cenovus   —   PADD 2   —   crude 50 kbd</t>
        </is>
      </c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</row>
    <row r="120">
      <c r="A120" s="4" t="inlineStr">
        <is>
          <t>UNIT</t>
        </is>
      </c>
      <c r="B120" s="5" t="inlineStr">
        <is>
          <t>CENOVUS_SUPERIOR</t>
        </is>
      </c>
      <c r="C120" s="5" t="n">
        <v>2</v>
      </c>
      <c r="D120" s="5" t="inlineStr">
        <is>
          <t>CRUDE-EST</t>
        </is>
      </c>
      <c r="E120" s="5" t="inlineStr">
        <is>
          <t>est. yield</t>
        </is>
      </c>
      <c r="F120" s="6">
        <f>SUMIFS(Data!$G$3:$G$125,Data!$A$3:$A$125,$B120)</f>
        <v/>
      </c>
      <c r="G120" s="7" t="n"/>
      <c r="H120" s="8">
        <f>IF($G120&lt;&gt;"",$G120,SUMIFS(Assumptions!$K$4:$K$8,Assumptions!$J$4:$J$8,$C120))</f>
        <v/>
      </c>
      <c r="I120" s="7" t="n"/>
      <c r="J120" s="9">
        <f>IF($I120&lt;&gt;"",$I120,SUMIFS(Data!$N$3:$N$125,Data!$A$3:$A$125,$B120)*Assumptions!$S$4)</f>
        <v/>
      </c>
      <c r="K120" s="7" t="n"/>
      <c r="L120" s="9">
        <f>IF($K120&lt;&gt;"",$K120,SUMIFS(Data!$N$3:$N$125,Data!$A$3:$A$125,$B120)*Assumptions!$S$5)</f>
        <v/>
      </c>
      <c r="M120" s="9">
        <f>J120+L120</f>
        <v/>
      </c>
      <c r="N120" s="10">
        <f>$F120*$H120*$M120</f>
        <v/>
      </c>
    </row>
    <row r="121">
      <c r="A121" s="11" t="inlineStr">
        <is>
          <t>TOTAL</t>
        </is>
      </c>
      <c r="B121" s="12" t="inlineStr">
        <is>
          <t>CENOVUS_SUPERIOR</t>
        </is>
      </c>
      <c r="C121" s="12" t="n">
        <v>2</v>
      </c>
      <c r="D121" s="12" t="inlineStr">
        <is>
          <t>NET NAPHTHA</t>
        </is>
      </c>
      <c r="N121" s="13">
        <f>SUM(N120:N120)</f>
        <v/>
      </c>
    </row>
    <row r="123">
      <c r="A123" s="1" t="inlineStr">
        <is>
          <t xml:space="preserve">  Countrymark Cooperative Inc. Mount Vernon  [COUNTRYMARK_MOUNT_VERNON]   —   Countrymark Cooperative Inc.   —   PADD 2   —   crude 31 kbd</t>
        </is>
      </c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</row>
    <row r="124">
      <c r="A124" s="4" t="inlineStr">
        <is>
          <t>UNIT</t>
        </is>
      </c>
      <c r="B124" s="5" t="inlineStr">
        <is>
          <t>COUNTRYMARK_MOUNT_VERNON</t>
        </is>
      </c>
      <c r="C124" s="5" t="n">
        <v>2</v>
      </c>
      <c r="D124" s="5" t="inlineStr">
        <is>
          <t>CRUDE-EST</t>
        </is>
      </c>
      <c r="E124" s="5" t="inlineStr">
        <is>
          <t>est. yield</t>
        </is>
      </c>
      <c r="F124" s="6">
        <f>SUMIFS(Data!$G$3:$G$125,Data!$A$3:$A$125,$B124)</f>
        <v/>
      </c>
      <c r="G124" s="7" t="n"/>
      <c r="H124" s="8">
        <f>IF($G124&lt;&gt;"",$G124,SUMIFS(Assumptions!$K$4:$K$8,Assumptions!$J$4:$J$8,$C124))</f>
        <v/>
      </c>
      <c r="I124" s="7" t="n"/>
      <c r="J124" s="9">
        <f>IF($I124&lt;&gt;"",$I124,SUMIFS(Data!$N$3:$N$125,Data!$A$3:$A$125,$B124)*Assumptions!$S$4)</f>
        <v/>
      </c>
      <c r="K124" s="7" t="n"/>
      <c r="L124" s="9">
        <f>IF($K124&lt;&gt;"",$K124,SUMIFS(Data!$N$3:$N$125,Data!$A$3:$A$125,$B124)*Assumptions!$S$5)</f>
        <v/>
      </c>
      <c r="M124" s="9">
        <f>J124+L124</f>
        <v/>
      </c>
      <c r="N124" s="10">
        <f>$F124*$H124*$M124</f>
        <v/>
      </c>
    </row>
    <row r="125">
      <c r="A125" s="11" t="inlineStr">
        <is>
          <t>TOTAL</t>
        </is>
      </c>
      <c r="B125" s="12" t="inlineStr">
        <is>
          <t>COUNTRYMARK_MOUNT_VERNON</t>
        </is>
      </c>
      <c r="C125" s="12" t="n">
        <v>2</v>
      </c>
      <c r="D125" s="12" t="inlineStr">
        <is>
          <t>NET NAPHTHA</t>
        </is>
      </c>
      <c r="N125" s="13">
        <f>SUM(N124:N124)</f>
        <v/>
      </c>
    </row>
    <row r="127">
      <c r="A127" s="1" t="inlineStr">
        <is>
          <t xml:space="preserve">  Somerset Refinery Somerset  [SOMERSET_SOMERSET]   —   Continental Refining Company   —   PADD 2   —   crude: pending capacity sheet</t>
        </is>
      </c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</row>
    <row r="128">
      <c r="A128" s="4" t="inlineStr">
        <is>
          <t>UNIT</t>
        </is>
      </c>
      <c r="B128" s="5" t="inlineStr">
        <is>
          <t>SOMERSET_SOMERSET</t>
        </is>
      </c>
      <c r="C128" s="5" t="n">
        <v>2</v>
      </c>
      <c r="D128" s="5" t="inlineStr">
        <is>
          <t>CRUDE-EST</t>
        </is>
      </c>
      <c r="E128" s="5" t="inlineStr">
        <is>
          <t>est. yield</t>
        </is>
      </c>
      <c r="F128" s="6">
        <f>SUMIFS(Data!$G$3:$G$125,Data!$A$3:$A$125,$B128)</f>
        <v/>
      </c>
      <c r="G128" s="7" t="n"/>
      <c r="H128" s="8">
        <f>IF($G128&lt;&gt;"",$G128,SUMIFS(Assumptions!$K$4:$K$8,Assumptions!$J$4:$J$8,$C128))</f>
        <v/>
      </c>
      <c r="I128" s="7" t="n"/>
      <c r="J128" s="9">
        <f>IF($I128&lt;&gt;"",$I128,SUMIFS(Data!$N$3:$N$125,Data!$A$3:$A$125,$B128)*Assumptions!$S$4)</f>
        <v/>
      </c>
      <c r="K128" s="7" t="n"/>
      <c r="L128" s="9">
        <f>IF($K128&lt;&gt;"",$K128,SUMIFS(Data!$N$3:$N$125,Data!$A$3:$A$125,$B128)*Assumptions!$S$5)</f>
        <v/>
      </c>
      <c r="M128" s="9">
        <f>J128+L128</f>
        <v/>
      </c>
      <c r="N128" s="10">
        <f>$F128*$H128*$M128</f>
        <v/>
      </c>
    </row>
    <row r="129">
      <c r="A129" s="11" t="inlineStr">
        <is>
          <t>TOTAL</t>
        </is>
      </c>
      <c r="B129" s="12" t="inlineStr">
        <is>
          <t>SOMERSET_SOMERSET</t>
        </is>
      </c>
      <c r="C129" s="12" t="n">
        <v>2</v>
      </c>
      <c r="D129" s="12" t="inlineStr">
        <is>
          <t>NET NAPHTHA</t>
        </is>
      </c>
      <c r="N129" s="13">
        <f>SUM(N128:N128)</f>
        <v/>
      </c>
    </row>
    <row r="131">
      <c r="A131" s="1" t="inlineStr">
        <is>
          <t xml:space="preserve">  Galveston Bay Refinery  [MPC_GALV_BAY]   —   Marathon Petroleum   —   PADD 3   —   crude 665 kbd</t>
        </is>
      </c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</row>
    <row r="132">
      <c r="A132" s="4" t="inlineStr">
        <is>
          <t>UNIT</t>
        </is>
      </c>
      <c r="B132" s="5" t="inlineStr">
        <is>
          <t>MPC_GALV_BAY</t>
        </is>
      </c>
      <c r="C132" s="5" t="n">
        <v>3</v>
      </c>
      <c r="D132" s="5" t="inlineStr">
        <is>
          <t>CDU</t>
        </is>
      </c>
      <c r="E132" s="5" t="inlineStr">
        <is>
          <t>CDU</t>
        </is>
      </c>
      <c r="F132" s="14" t="n">
        <v>631</v>
      </c>
      <c r="G132" s="7" t="n"/>
      <c r="H132" s="8">
        <f>IF($G132&lt;&gt;"",$G132,SUMIFS(Assumptions!$K$4:$K$8,Assumptions!$J$4:$J$8,$C132))</f>
        <v/>
      </c>
      <c r="I132" s="7" t="n"/>
      <c r="J132" s="9">
        <f>IF($I132&lt;&gt;"",$I132,SUMIFS(Assumptions!$P$4:$P$93,Assumptions!$M$4:$M$93,$C132,Assumptions!$N$4:$N$93,$E132,Assumptions!$O$4:$O$93,"LVN"))</f>
        <v/>
      </c>
      <c r="K132" s="7" t="n"/>
      <c r="L132" s="9">
        <f>IF($K132&lt;&gt;"",$K132,SUMIFS(Assumptions!$P$4:$P$93,Assumptions!$M$4:$M$93,$C132,Assumptions!$N$4:$N$93,$E132,Assumptions!$O$4:$O$93,"HVN"))</f>
        <v/>
      </c>
      <c r="M132" s="9">
        <f>J132+L132</f>
        <v/>
      </c>
      <c r="N132" s="10">
        <f>$F132*$H132*$M132</f>
        <v/>
      </c>
    </row>
    <row r="133">
      <c r="A133" s="4" t="inlineStr">
        <is>
          <t>UNIT</t>
        </is>
      </c>
      <c r="B133" s="5" t="inlineStr">
        <is>
          <t>MPC_GALV_BAY</t>
        </is>
      </c>
      <c r="C133" s="5" t="n">
        <v>3</v>
      </c>
      <c r="D133" s="5" t="inlineStr">
        <is>
          <t>VDU</t>
        </is>
      </c>
      <c r="E133" s="5" t="inlineStr">
        <is>
          <t>VDU</t>
        </is>
      </c>
      <c r="F133" s="14" t="n">
        <v>259.5</v>
      </c>
      <c r="G133" s="7" t="n"/>
      <c r="H133" s="8">
        <f>IF($G133&lt;&gt;"",$G133,SUMIFS(Assumptions!$K$4:$K$8,Assumptions!$J$4:$J$8,$C133))</f>
        <v/>
      </c>
      <c r="I133" s="7" t="n"/>
      <c r="J133" s="9">
        <f>IF($I133&lt;&gt;"",$I133,SUMIFS(Assumptions!$P$4:$P$93,Assumptions!$M$4:$M$93,$C133,Assumptions!$N$4:$N$93,$E133,Assumptions!$O$4:$O$93,"LVN"))</f>
        <v/>
      </c>
      <c r="K133" s="7" t="n"/>
      <c r="L133" s="9">
        <f>IF($K133&lt;&gt;"",$K133,SUMIFS(Assumptions!$P$4:$P$93,Assumptions!$M$4:$M$93,$C133,Assumptions!$N$4:$N$93,$E133,Assumptions!$O$4:$O$93,"HVN"))</f>
        <v/>
      </c>
      <c r="M133" s="9">
        <f>J133+L133</f>
        <v/>
      </c>
      <c r="N133" s="10">
        <f>$F133*$H133*$M133</f>
        <v/>
      </c>
    </row>
    <row r="134">
      <c r="A134" s="4" t="inlineStr">
        <is>
          <t>UNIT</t>
        </is>
      </c>
      <c r="B134" s="5" t="inlineStr">
        <is>
          <t>MPC_GALV_BAY</t>
        </is>
      </c>
      <c r="C134" s="5" t="n">
        <v>3</v>
      </c>
      <c r="D134" s="5" t="inlineStr">
        <is>
          <t>FCC</t>
        </is>
      </c>
      <c r="E134" s="5" t="inlineStr">
        <is>
          <t>FCC</t>
        </is>
      </c>
      <c r="F134" s="14" t="n">
        <v>208.6</v>
      </c>
      <c r="G134" s="7" t="n"/>
      <c r="H134" s="8">
        <f>IF($G134&lt;&gt;"",$G134,SUMIFS(Assumptions!$K$4:$K$8,Assumptions!$J$4:$J$8,$C134))</f>
        <v/>
      </c>
      <c r="I134" s="7" t="n"/>
      <c r="J134" s="9">
        <f>IF($I134&lt;&gt;"",$I134,SUMIFS(Assumptions!$P$4:$P$93,Assumptions!$M$4:$M$93,$C134,Assumptions!$N$4:$N$93,$E134,Assumptions!$O$4:$O$93,"LVN"))</f>
        <v/>
      </c>
      <c r="K134" s="7" t="n"/>
      <c r="L134" s="9">
        <f>IF($K134&lt;&gt;"",$K134,SUMIFS(Assumptions!$P$4:$P$93,Assumptions!$M$4:$M$93,$C134,Assumptions!$N$4:$N$93,$E134,Assumptions!$O$4:$O$93,"HVN"))</f>
        <v/>
      </c>
      <c r="M134" s="9">
        <f>J134+L134</f>
        <v/>
      </c>
      <c r="N134" s="10">
        <f>$F134*$H134*$M134</f>
        <v/>
      </c>
    </row>
    <row r="135">
      <c r="A135" s="4" t="inlineStr">
        <is>
          <t>UNIT</t>
        </is>
      </c>
      <c r="B135" s="5" t="inlineStr">
        <is>
          <t>MPC_GALV_BAY</t>
        </is>
      </c>
      <c r="C135" s="5" t="n">
        <v>3</v>
      </c>
      <c r="D135" s="5" t="inlineStr">
        <is>
          <t>HCU-D</t>
        </is>
      </c>
      <c r="E135" s="5" t="inlineStr">
        <is>
          <t>HYDROCRACKER</t>
        </is>
      </c>
      <c r="F135" s="14" t="n">
        <v>75.5</v>
      </c>
      <c r="G135" s="7" t="n"/>
      <c r="H135" s="8">
        <f>IF($G135&lt;&gt;"",$G135,SUMIFS(Assumptions!$K$4:$K$8,Assumptions!$J$4:$J$8,$C135))</f>
        <v/>
      </c>
      <c r="I135" s="7" t="n"/>
      <c r="J135" s="9">
        <f>IF($I135&lt;&gt;"",$I135,SUMIFS(Assumptions!$P$4:$P$93,Assumptions!$M$4:$M$93,$C135,Assumptions!$N$4:$N$93,$E135,Assumptions!$O$4:$O$93,"LVN"))</f>
        <v/>
      </c>
      <c r="K135" s="7" t="n"/>
      <c r="L135" s="9">
        <f>IF($K135&lt;&gt;"",$K135,SUMIFS(Assumptions!$P$4:$P$93,Assumptions!$M$4:$M$93,$C135,Assumptions!$N$4:$N$93,$E135,Assumptions!$O$4:$O$93,"HVN"))</f>
        <v/>
      </c>
      <c r="M135" s="9">
        <f>J135+L135</f>
        <v/>
      </c>
      <c r="N135" s="10">
        <f>$F135*$H135*$M135</f>
        <v/>
      </c>
    </row>
    <row r="136">
      <c r="A136" s="4" t="inlineStr">
        <is>
          <t>UNIT</t>
        </is>
      </c>
      <c r="B136" s="5" t="inlineStr">
        <is>
          <t>MPC_GALV_BAY</t>
        </is>
      </c>
      <c r="C136" s="5" t="n">
        <v>3</v>
      </c>
      <c r="D136" s="5" t="inlineStr">
        <is>
          <t>HCU-R</t>
        </is>
      </c>
      <c r="E136" s="5" t="inlineStr">
        <is>
          <t>HYDROCRACKER</t>
        </is>
      </c>
      <c r="F136" s="14" t="n">
        <v>82.7</v>
      </c>
      <c r="G136" s="7" t="n"/>
      <c r="H136" s="8">
        <f>IF($G136&lt;&gt;"",$G136,SUMIFS(Assumptions!$K$4:$K$8,Assumptions!$J$4:$J$8,$C136))</f>
        <v/>
      </c>
      <c r="I136" s="7" t="n"/>
      <c r="J136" s="9">
        <f>IF($I136&lt;&gt;"",$I136,SUMIFS(Assumptions!$P$4:$P$93,Assumptions!$M$4:$M$93,$C136,Assumptions!$N$4:$N$93,$E136,Assumptions!$O$4:$O$93,"LVN"))</f>
        <v/>
      </c>
      <c r="K136" s="7" t="n"/>
      <c r="L136" s="9">
        <f>IF($K136&lt;&gt;"",$K136,SUMIFS(Assumptions!$P$4:$P$93,Assumptions!$M$4:$M$93,$C136,Assumptions!$N$4:$N$93,$E136,Assumptions!$O$4:$O$93,"HVN"))</f>
        <v/>
      </c>
      <c r="M136" s="9">
        <f>J136+L136</f>
        <v/>
      </c>
      <c r="N136" s="10">
        <f>$F136*$H136*$M136</f>
        <v/>
      </c>
    </row>
    <row r="137">
      <c r="A137" s="4" t="inlineStr">
        <is>
          <t>UNIT</t>
        </is>
      </c>
      <c r="B137" s="5" t="inlineStr">
        <is>
          <t>MPC_GALV_BAY</t>
        </is>
      </c>
      <c r="C137" s="5" t="n">
        <v>3</v>
      </c>
      <c r="D137" s="5" t="inlineStr">
        <is>
          <t>COKER</t>
        </is>
      </c>
      <c r="E137" s="5" t="inlineStr">
        <is>
          <t>COKER</t>
        </is>
      </c>
      <c r="F137" s="14" t="n">
        <v>30.9</v>
      </c>
      <c r="G137" s="7" t="n"/>
      <c r="H137" s="8">
        <f>IF($G137&lt;&gt;"",$G137,SUMIFS(Assumptions!$K$4:$K$8,Assumptions!$J$4:$J$8,$C137))</f>
        <v/>
      </c>
      <c r="I137" s="7" t="n"/>
      <c r="J137" s="9">
        <f>IF($I137&lt;&gt;"",$I137,SUMIFS(Assumptions!$P$4:$P$93,Assumptions!$M$4:$M$93,$C137,Assumptions!$N$4:$N$93,$E137,Assumptions!$O$4:$O$93,"LVN"))</f>
        <v/>
      </c>
      <c r="K137" s="7" t="n"/>
      <c r="L137" s="9">
        <f>IF($K137&lt;&gt;"",$K137,SUMIFS(Assumptions!$P$4:$P$93,Assumptions!$M$4:$M$93,$C137,Assumptions!$N$4:$N$93,$E137,Assumptions!$O$4:$O$93,"HVN"))</f>
        <v/>
      </c>
      <c r="M137" s="9">
        <f>J137+L137</f>
        <v/>
      </c>
      <c r="N137" s="10">
        <f>$F137*$H137*$M137</f>
        <v/>
      </c>
    </row>
    <row r="138">
      <c r="A138" s="4" t="inlineStr">
        <is>
          <t>UNIT</t>
        </is>
      </c>
      <c r="B138" s="5" t="inlineStr">
        <is>
          <t>MPC_GALV_BAY</t>
        </is>
      </c>
      <c r="C138" s="5" t="n">
        <v>3</v>
      </c>
      <c r="D138" s="5" t="inlineStr">
        <is>
          <t>REF</t>
        </is>
      </c>
      <c r="E138" s="5" t="inlineStr">
        <is>
          <t>REFORMER</t>
        </is>
      </c>
      <c r="F138" s="14" t="n">
        <v>139.7</v>
      </c>
      <c r="G138" s="7" t="n"/>
      <c r="H138" s="8">
        <f>IF($G138&lt;&gt;"",$G138,SUMIFS(Assumptions!$K$4:$K$8,Assumptions!$J$4:$J$8,$C138))</f>
        <v/>
      </c>
      <c r="I138" s="7" t="n"/>
      <c r="J138" s="9">
        <f>IF($I138&lt;&gt;"",$I138,SUMIFS(Assumptions!$P$4:$P$93,Assumptions!$M$4:$M$93,$C138,Assumptions!$N$4:$N$93,$E138,Assumptions!$O$4:$O$93,"LVN"))</f>
        <v/>
      </c>
      <c r="K138" s="7" t="n"/>
      <c r="L138" s="9">
        <f>IF($K138&lt;&gt;"",$K138,SUMIFS(Assumptions!$P$4:$P$93,Assumptions!$M$4:$M$93,$C138,Assumptions!$N$4:$N$93,$E138,Assumptions!$O$4:$O$93,"HVN"))</f>
        <v/>
      </c>
      <c r="M138" s="9">
        <f>J138+L138</f>
        <v/>
      </c>
      <c r="N138" s="10">
        <f>$F138*$H138*$M138</f>
        <v/>
      </c>
    </row>
    <row r="139">
      <c r="A139" s="4" t="inlineStr">
        <is>
          <t>UNIT</t>
        </is>
      </c>
      <c r="B139" s="5" t="inlineStr">
        <is>
          <t>MPC_GALV_BAY</t>
        </is>
      </c>
      <c r="C139" s="5" t="n">
        <v>3</v>
      </c>
      <c r="D139" s="5" t="inlineStr">
        <is>
          <t>ALKY</t>
        </is>
      </c>
      <c r="E139" s="5" t="inlineStr">
        <is>
          <t>ALKY</t>
        </is>
      </c>
      <c r="F139" s="14" t="n">
        <v>67</v>
      </c>
      <c r="G139" s="7" t="n"/>
      <c r="H139" s="8">
        <f>IF($G139&lt;&gt;"",$G139,SUMIFS(Assumptions!$K$4:$K$8,Assumptions!$J$4:$J$8,$C139))</f>
        <v/>
      </c>
      <c r="I139" s="7" t="n"/>
      <c r="J139" s="9">
        <f>IF($I139&lt;&gt;"",$I139,SUMIFS(Assumptions!$P$4:$P$93,Assumptions!$M$4:$M$93,$C139,Assumptions!$N$4:$N$93,$E139,Assumptions!$O$4:$O$93,"LVN"))</f>
        <v/>
      </c>
      <c r="K139" s="7" t="n"/>
      <c r="L139" s="9">
        <f>IF($K139&lt;&gt;"",$K139,SUMIFS(Assumptions!$P$4:$P$93,Assumptions!$M$4:$M$93,$C139,Assumptions!$N$4:$N$93,$E139,Assumptions!$O$4:$O$93,"HVN"))</f>
        <v/>
      </c>
      <c r="M139" s="9">
        <f>J139+L139</f>
        <v/>
      </c>
      <c r="N139" s="10">
        <f>$F139*$H139*$M139</f>
        <v/>
      </c>
    </row>
    <row r="140">
      <c r="A140" s="11" t="inlineStr">
        <is>
          <t>TOTAL</t>
        </is>
      </c>
      <c r="B140" s="12" t="inlineStr">
        <is>
          <t>MPC_GALV_BAY</t>
        </is>
      </c>
      <c r="C140" s="12" t="n">
        <v>3</v>
      </c>
      <c r="D140" s="12" t="inlineStr">
        <is>
          <t>NET NAPHTHA</t>
        </is>
      </c>
      <c r="N140" s="13">
        <f>SUM(N132:N139)</f>
        <v/>
      </c>
    </row>
    <row r="142">
      <c r="A142" s="1" t="inlineStr">
        <is>
          <t xml:space="preserve">  Motiva Port Arthur  [MOTIVA_PAR]   —   Saudi Aramco   —   PADD 3   —   crude 640 kbd</t>
        </is>
      </c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</row>
    <row r="143">
      <c r="A143" s="4" t="inlineStr">
        <is>
          <t>UNIT</t>
        </is>
      </c>
      <c r="B143" s="5" t="inlineStr">
        <is>
          <t>MOTIVA_PAR</t>
        </is>
      </c>
      <c r="C143" s="5" t="n">
        <v>3</v>
      </c>
      <c r="D143" s="5" t="inlineStr">
        <is>
          <t>CDU</t>
        </is>
      </c>
      <c r="E143" s="5" t="inlineStr">
        <is>
          <t>CDU</t>
        </is>
      </c>
      <c r="F143" s="14" t="n">
        <v>656.4</v>
      </c>
      <c r="G143" s="7" t="n"/>
      <c r="H143" s="8">
        <f>IF($G143&lt;&gt;"",$G143,SUMIFS(Assumptions!$K$4:$K$8,Assumptions!$J$4:$J$8,$C143))</f>
        <v/>
      </c>
      <c r="I143" s="7" t="n"/>
      <c r="J143" s="9">
        <f>IF($I143&lt;&gt;"",$I143,SUMIFS(Assumptions!$P$4:$P$93,Assumptions!$M$4:$M$93,$C143,Assumptions!$N$4:$N$93,$E143,Assumptions!$O$4:$O$93,"LVN"))</f>
        <v/>
      </c>
      <c r="K143" s="7" t="n"/>
      <c r="L143" s="9">
        <f>IF($K143&lt;&gt;"",$K143,SUMIFS(Assumptions!$P$4:$P$93,Assumptions!$M$4:$M$93,$C143,Assumptions!$N$4:$N$93,$E143,Assumptions!$O$4:$O$93,"HVN"))</f>
        <v/>
      </c>
      <c r="M143" s="9">
        <f>J143+L143</f>
        <v/>
      </c>
      <c r="N143" s="10">
        <f>$F143*$H143*$M143</f>
        <v/>
      </c>
    </row>
    <row r="144">
      <c r="A144" s="4" t="inlineStr">
        <is>
          <t>UNIT</t>
        </is>
      </c>
      <c r="B144" s="5" t="inlineStr">
        <is>
          <t>MOTIVA_PAR</t>
        </is>
      </c>
      <c r="C144" s="5" t="n">
        <v>3</v>
      </c>
      <c r="D144" s="5" t="inlineStr">
        <is>
          <t>VDU</t>
        </is>
      </c>
      <c r="E144" s="5" t="inlineStr">
        <is>
          <t>VDU</t>
        </is>
      </c>
      <c r="F144" s="14" t="n">
        <v>336.6</v>
      </c>
      <c r="G144" s="7" t="n"/>
      <c r="H144" s="8">
        <f>IF($G144&lt;&gt;"",$G144,SUMIFS(Assumptions!$K$4:$K$8,Assumptions!$J$4:$J$8,$C144))</f>
        <v/>
      </c>
      <c r="I144" s="7" t="n"/>
      <c r="J144" s="9">
        <f>IF($I144&lt;&gt;"",$I144,SUMIFS(Assumptions!$P$4:$P$93,Assumptions!$M$4:$M$93,$C144,Assumptions!$N$4:$N$93,$E144,Assumptions!$O$4:$O$93,"LVN"))</f>
        <v/>
      </c>
      <c r="K144" s="7" t="n"/>
      <c r="L144" s="9">
        <f>IF($K144&lt;&gt;"",$K144,SUMIFS(Assumptions!$P$4:$P$93,Assumptions!$M$4:$M$93,$C144,Assumptions!$N$4:$N$93,$E144,Assumptions!$O$4:$O$93,"HVN"))</f>
        <v/>
      </c>
      <c r="M144" s="9">
        <f>J144+L144</f>
        <v/>
      </c>
      <c r="N144" s="10">
        <f>$F144*$H144*$M144</f>
        <v/>
      </c>
    </row>
    <row r="145">
      <c r="A145" s="4" t="inlineStr">
        <is>
          <t>UNIT</t>
        </is>
      </c>
      <c r="B145" s="5" t="inlineStr">
        <is>
          <t>MOTIVA_PAR</t>
        </is>
      </c>
      <c r="C145" s="5" t="n">
        <v>3</v>
      </c>
      <c r="D145" s="5" t="inlineStr">
        <is>
          <t>FCC</t>
        </is>
      </c>
      <c r="E145" s="5" t="inlineStr">
        <is>
          <t>FCC</t>
        </is>
      </c>
      <c r="F145" s="14" t="n">
        <v>89.7</v>
      </c>
      <c r="G145" s="7" t="n"/>
      <c r="H145" s="8">
        <f>IF($G145&lt;&gt;"",$G145,SUMIFS(Assumptions!$K$4:$K$8,Assumptions!$J$4:$J$8,$C145))</f>
        <v/>
      </c>
      <c r="I145" s="7" t="n"/>
      <c r="J145" s="9">
        <f>IF($I145&lt;&gt;"",$I145,SUMIFS(Assumptions!$P$4:$P$93,Assumptions!$M$4:$M$93,$C145,Assumptions!$N$4:$N$93,$E145,Assumptions!$O$4:$O$93,"LVN"))</f>
        <v/>
      </c>
      <c r="K145" s="7" t="n"/>
      <c r="L145" s="9">
        <f>IF($K145&lt;&gt;"",$K145,SUMIFS(Assumptions!$P$4:$P$93,Assumptions!$M$4:$M$93,$C145,Assumptions!$N$4:$N$93,$E145,Assumptions!$O$4:$O$93,"HVN"))</f>
        <v/>
      </c>
      <c r="M145" s="9">
        <f>J145+L145</f>
        <v/>
      </c>
      <c r="N145" s="10">
        <f>$F145*$H145*$M145</f>
        <v/>
      </c>
    </row>
    <row r="146">
      <c r="A146" s="4" t="inlineStr">
        <is>
          <t>UNIT</t>
        </is>
      </c>
      <c r="B146" s="5" t="inlineStr">
        <is>
          <t>MOTIVA_PAR</t>
        </is>
      </c>
      <c r="C146" s="5" t="n">
        <v>3</v>
      </c>
      <c r="D146" s="5" t="inlineStr">
        <is>
          <t>HCU</t>
        </is>
      </c>
      <c r="E146" s="5" t="inlineStr">
        <is>
          <t>HYDROCRACKER</t>
        </is>
      </c>
      <c r="F146" s="14" t="n">
        <v>107.3</v>
      </c>
      <c r="G146" s="7" t="n"/>
      <c r="H146" s="8">
        <f>IF($G146&lt;&gt;"",$G146,SUMIFS(Assumptions!$K$4:$K$8,Assumptions!$J$4:$J$8,$C146))</f>
        <v/>
      </c>
      <c r="I146" s="7" t="n"/>
      <c r="J146" s="9">
        <f>IF($I146&lt;&gt;"",$I146,SUMIFS(Assumptions!$P$4:$P$93,Assumptions!$M$4:$M$93,$C146,Assumptions!$N$4:$N$93,$E146,Assumptions!$O$4:$O$93,"LVN"))</f>
        <v/>
      </c>
      <c r="K146" s="7" t="n"/>
      <c r="L146" s="9">
        <f>IF($K146&lt;&gt;"",$K146,SUMIFS(Assumptions!$P$4:$P$93,Assumptions!$M$4:$M$93,$C146,Assumptions!$N$4:$N$93,$E146,Assumptions!$O$4:$O$93,"HVN"))</f>
        <v/>
      </c>
      <c r="M146" s="9">
        <f>J146+L146</f>
        <v/>
      </c>
      <c r="N146" s="10">
        <f>$F146*$H146*$M146</f>
        <v/>
      </c>
    </row>
    <row r="147">
      <c r="A147" s="4" t="inlineStr">
        <is>
          <t>UNIT</t>
        </is>
      </c>
      <c r="B147" s="5" t="inlineStr">
        <is>
          <t>MOTIVA_PAR</t>
        </is>
      </c>
      <c r="C147" s="5" t="n">
        <v>3</v>
      </c>
      <c r="D147" s="5" t="inlineStr">
        <is>
          <t>COKER</t>
        </is>
      </c>
      <c r="E147" s="5" t="inlineStr">
        <is>
          <t>COKER</t>
        </is>
      </c>
      <c r="F147" s="14" t="n">
        <v>158</v>
      </c>
      <c r="G147" s="7" t="n"/>
      <c r="H147" s="8">
        <f>IF($G147&lt;&gt;"",$G147,SUMIFS(Assumptions!$K$4:$K$8,Assumptions!$J$4:$J$8,$C147))</f>
        <v/>
      </c>
      <c r="I147" s="7" t="n"/>
      <c r="J147" s="9">
        <f>IF($I147&lt;&gt;"",$I147,SUMIFS(Assumptions!$P$4:$P$93,Assumptions!$M$4:$M$93,$C147,Assumptions!$N$4:$N$93,$E147,Assumptions!$O$4:$O$93,"LVN"))</f>
        <v/>
      </c>
      <c r="K147" s="7" t="n"/>
      <c r="L147" s="9">
        <f>IF($K147&lt;&gt;"",$K147,SUMIFS(Assumptions!$P$4:$P$93,Assumptions!$M$4:$M$93,$C147,Assumptions!$N$4:$N$93,$E147,Assumptions!$O$4:$O$93,"HVN"))</f>
        <v/>
      </c>
      <c r="M147" s="9">
        <f>J147+L147</f>
        <v/>
      </c>
      <c r="N147" s="10">
        <f>$F147*$H147*$M147</f>
        <v/>
      </c>
    </row>
    <row r="148">
      <c r="A148" s="4" t="inlineStr">
        <is>
          <t>UNIT</t>
        </is>
      </c>
      <c r="B148" s="5" t="inlineStr">
        <is>
          <t>MOTIVA_PAR</t>
        </is>
      </c>
      <c r="C148" s="5" t="n">
        <v>3</v>
      </c>
      <c r="D148" s="5" t="inlineStr">
        <is>
          <t>REF</t>
        </is>
      </c>
      <c r="E148" s="5" t="inlineStr">
        <is>
          <t>REFORMER</t>
        </is>
      </c>
      <c r="F148" s="14" t="n">
        <v>121.8</v>
      </c>
      <c r="G148" s="7" t="n"/>
      <c r="H148" s="8">
        <f>IF($G148&lt;&gt;"",$G148,SUMIFS(Assumptions!$K$4:$K$8,Assumptions!$J$4:$J$8,$C148))</f>
        <v/>
      </c>
      <c r="I148" s="7" t="n"/>
      <c r="J148" s="9">
        <f>IF($I148&lt;&gt;"",$I148,SUMIFS(Assumptions!$P$4:$P$93,Assumptions!$M$4:$M$93,$C148,Assumptions!$N$4:$N$93,$E148,Assumptions!$O$4:$O$93,"LVN"))</f>
        <v/>
      </c>
      <c r="K148" s="7" t="n"/>
      <c r="L148" s="9">
        <f>IF($K148&lt;&gt;"",$K148,SUMIFS(Assumptions!$P$4:$P$93,Assumptions!$M$4:$M$93,$C148,Assumptions!$N$4:$N$93,$E148,Assumptions!$O$4:$O$93,"HVN"))</f>
        <v/>
      </c>
      <c r="M148" s="9">
        <f>J148+L148</f>
        <v/>
      </c>
      <c r="N148" s="10">
        <f>$F148*$H148*$M148</f>
        <v/>
      </c>
    </row>
    <row r="149">
      <c r="A149" s="4" t="inlineStr">
        <is>
          <t>UNIT</t>
        </is>
      </c>
      <c r="B149" s="5" t="inlineStr">
        <is>
          <t>MOTIVA_PAR</t>
        </is>
      </c>
      <c r="C149" s="5" t="n">
        <v>3</v>
      </c>
      <c r="D149" s="5" t="inlineStr">
        <is>
          <t>ISOM</t>
        </is>
      </c>
      <c r="E149" s="5" t="inlineStr">
        <is>
          <t>ISOM</t>
        </is>
      </c>
      <c r="F149" s="14" t="n">
        <v>58.5</v>
      </c>
      <c r="G149" s="7" t="n"/>
      <c r="H149" s="8">
        <f>IF($G149&lt;&gt;"",$G149,SUMIFS(Assumptions!$K$4:$K$8,Assumptions!$J$4:$J$8,$C149))</f>
        <v/>
      </c>
      <c r="I149" s="7" t="n"/>
      <c r="J149" s="9">
        <f>IF($I149&lt;&gt;"",$I149,SUMIFS(Assumptions!$P$4:$P$93,Assumptions!$M$4:$M$93,$C149,Assumptions!$N$4:$N$93,$E149,Assumptions!$O$4:$O$93,"LVN"))</f>
        <v/>
      </c>
      <c r="K149" s="7" t="n"/>
      <c r="L149" s="9">
        <f>IF($K149&lt;&gt;"",$K149,SUMIFS(Assumptions!$P$4:$P$93,Assumptions!$M$4:$M$93,$C149,Assumptions!$N$4:$N$93,$E149,Assumptions!$O$4:$O$93,"HVN"))</f>
        <v/>
      </c>
      <c r="M149" s="9">
        <f>J149+L149</f>
        <v/>
      </c>
      <c r="N149" s="10">
        <f>$F149*$H149*$M149</f>
        <v/>
      </c>
    </row>
    <row r="150">
      <c r="A150" s="4" t="inlineStr">
        <is>
          <t>UNIT</t>
        </is>
      </c>
      <c r="B150" s="5" t="inlineStr">
        <is>
          <t>MOTIVA_PAR</t>
        </is>
      </c>
      <c r="C150" s="5" t="n">
        <v>3</v>
      </c>
      <c r="D150" s="5" t="inlineStr">
        <is>
          <t>ALKY</t>
        </is>
      </c>
      <c r="E150" s="5" t="inlineStr">
        <is>
          <t>ALKY</t>
        </is>
      </c>
      <c r="F150" s="14" t="n">
        <v>23</v>
      </c>
      <c r="G150" s="7" t="n"/>
      <c r="H150" s="8">
        <f>IF($G150&lt;&gt;"",$G150,SUMIFS(Assumptions!$K$4:$K$8,Assumptions!$J$4:$J$8,$C150))</f>
        <v/>
      </c>
      <c r="I150" s="7" t="n"/>
      <c r="J150" s="9">
        <f>IF($I150&lt;&gt;"",$I150,SUMIFS(Assumptions!$P$4:$P$93,Assumptions!$M$4:$M$93,$C150,Assumptions!$N$4:$N$93,$E150,Assumptions!$O$4:$O$93,"LVN"))</f>
        <v/>
      </c>
      <c r="K150" s="7" t="n"/>
      <c r="L150" s="9">
        <f>IF($K150&lt;&gt;"",$K150,SUMIFS(Assumptions!$P$4:$P$93,Assumptions!$M$4:$M$93,$C150,Assumptions!$N$4:$N$93,$E150,Assumptions!$O$4:$O$93,"HVN"))</f>
        <v/>
      </c>
      <c r="M150" s="9">
        <f>J150+L150</f>
        <v/>
      </c>
      <c r="N150" s="10">
        <f>$F150*$H150*$M150</f>
        <v/>
      </c>
    </row>
    <row r="151">
      <c r="A151" s="11" t="inlineStr">
        <is>
          <t>TOTAL</t>
        </is>
      </c>
      <c r="B151" s="12" t="inlineStr">
        <is>
          <t>MOTIVA_PAR</t>
        </is>
      </c>
      <c r="C151" s="12" t="n">
        <v>3</v>
      </c>
      <c r="D151" s="12" t="inlineStr">
        <is>
          <t>NET NAPHTHA</t>
        </is>
      </c>
      <c r="N151" s="13">
        <f>SUM(N143:N150)</f>
        <v/>
      </c>
    </row>
    <row r="153">
      <c r="A153" s="1" t="inlineStr">
        <is>
          <t xml:space="preserve">  ExxonMobil Beaumont  [EXXONMOBIL_BEAUMONT]   —   ExxonMobil   —   PADD 3   —   crude 634 kbd</t>
        </is>
      </c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</row>
    <row r="154">
      <c r="A154" s="4" t="inlineStr">
        <is>
          <t>UNIT</t>
        </is>
      </c>
      <c r="B154" s="5" t="inlineStr">
        <is>
          <t>EXXONMOBIL_BEAUMONT</t>
        </is>
      </c>
      <c r="C154" s="5" t="n">
        <v>3</v>
      </c>
      <c r="D154" s="5" t="inlineStr">
        <is>
          <t>CRUDE-EST</t>
        </is>
      </c>
      <c r="E154" s="5" t="inlineStr">
        <is>
          <t>est. yield</t>
        </is>
      </c>
      <c r="F154" s="6">
        <f>SUMIFS(Data!$G$3:$G$125,Data!$A$3:$A$125,$B154)</f>
        <v/>
      </c>
      <c r="G154" s="7" t="n"/>
      <c r="H154" s="8">
        <f>IF($G154&lt;&gt;"",$G154,SUMIFS(Assumptions!$K$4:$K$8,Assumptions!$J$4:$J$8,$C154))</f>
        <v/>
      </c>
      <c r="I154" s="7" t="n"/>
      <c r="J154" s="9">
        <f>IF($I154&lt;&gt;"",$I154,SUMIFS(Data!$N$3:$N$125,Data!$A$3:$A$125,$B154)*Assumptions!$S$4)</f>
        <v/>
      </c>
      <c r="K154" s="7" t="n"/>
      <c r="L154" s="9">
        <f>IF($K154&lt;&gt;"",$K154,SUMIFS(Data!$N$3:$N$125,Data!$A$3:$A$125,$B154)*Assumptions!$S$5)</f>
        <v/>
      </c>
      <c r="M154" s="9">
        <f>J154+L154</f>
        <v/>
      </c>
      <c r="N154" s="10">
        <f>$F154*$H154*$M154</f>
        <v/>
      </c>
    </row>
    <row r="155">
      <c r="A155" s="11" t="inlineStr">
        <is>
          <t>TOTAL</t>
        </is>
      </c>
      <c r="B155" s="12" t="inlineStr">
        <is>
          <t>EXXONMOBIL_BEAUMONT</t>
        </is>
      </c>
      <c r="C155" s="12" t="n">
        <v>3</v>
      </c>
      <c r="D155" s="12" t="inlineStr">
        <is>
          <t>NET NAPHTHA</t>
        </is>
      </c>
      <c r="N155" s="13">
        <f>SUM(N154:N154)</f>
        <v/>
      </c>
    </row>
    <row r="157">
      <c r="A157" s="1" t="inlineStr">
        <is>
          <t xml:space="preserve">  Marathon Petroleum Garyville  [MARATHON_GARYVILLE]   —   Marathon Petroleum   —   PADD 3   —   crude 628 kbd</t>
        </is>
      </c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</row>
    <row r="158">
      <c r="A158" s="4" t="inlineStr">
        <is>
          <t>UNIT</t>
        </is>
      </c>
      <c r="B158" s="5" t="inlineStr">
        <is>
          <t>MARATHON_GARYVILLE</t>
        </is>
      </c>
      <c r="C158" s="5" t="n">
        <v>3</v>
      </c>
      <c r="D158" s="5" t="inlineStr">
        <is>
          <t>CRUDE-EST</t>
        </is>
      </c>
      <c r="E158" s="5" t="inlineStr">
        <is>
          <t>est. yield</t>
        </is>
      </c>
      <c r="F158" s="6">
        <f>SUMIFS(Data!$G$3:$G$125,Data!$A$3:$A$125,$B158)</f>
        <v/>
      </c>
      <c r="G158" s="7" t="n"/>
      <c r="H158" s="8">
        <f>IF($G158&lt;&gt;"",$G158,SUMIFS(Assumptions!$K$4:$K$8,Assumptions!$J$4:$J$8,$C158))</f>
        <v/>
      </c>
      <c r="I158" s="7" t="n"/>
      <c r="J158" s="9">
        <f>IF($I158&lt;&gt;"",$I158,SUMIFS(Data!$N$3:$N$125,Data!$A$3:$A$125,$B158)*Assumptions!$S$4)</f>
        <v/>
      </c>
      <c r="K158" s="7" t="n"/>
      <c r="L158" s="9">
        <f>IF($K158&lt;&gt;"",$K158,SUMIFS(Data!$N$3:$N$125,Data!$A$3:$A$125,$B158)*Assumptions!$S$5)</f>
        <v/>
      </c>
      <c r="M158" s="9">
        <f>J158+L158</f>
        <v/>
      </c>
      <c r="N158" s="10">
        <f>$F158*$H158*$M158</f>
        <v/>
      </c>
    </row>
    <row r="159">
      <c r="A159" s="11" t="inlineStr">
        <is>
          <t>TOTAL</t>
        </is>
      </c>
      <c r="B159" s="12" t="inlineStr">
        <is>
          <t>MARATHON_GARYVILLE</t>
        </is>
      </c>
      <c r="C159" s="12" t="n">
        <v>3</v>
      </c>
      <c r="D159" s="12" t="inlineStr">
        <is>
          <t>NET NAPHTHA</t>
        </is>
      </c>
      <c r="N159" s="13">
        <f>SUM(N158:N158)</f>
        <v/>
      </c>
    </row>
    <row r="161">
      <c r="A161" s="1" t="inlineStr">
        <is>
          <t xml:space="preserve">  ExxonMobil Baytown  [XOM_BAYTOWN]   —   ExxonMobil   —   PADD 3   —   crude 580 kbd</t>
        </is>
      </c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</row>
    <row r="162">
      <c r="A162" s="4" t="inlineStr">
        <is>
          <t>UNIT</t>
        </is>
      </c>
      <c r="B162" s="5" t="inlineStr">
        <is>
          <t>XOM_BAYTOWN</t>
        </is>
      </c>
      <c r="C162" s="5" t="n">
        <v>3</v>
      </c>
      <c r="D162" s="5" t="inlineStr">
        <is>
          <t>CDU</t>
        </is>
      </c>
      <c r="E162" s="5" t="inlineStr">
        <is>
          <t>CDU</t>
        </is>
      </c>
      <c r="F162" s="14" t="n">
        <v>564.5</v>
      </c>
      <c r="G162" s="7" t="n"/>
      <c r="H162" s="8">
        <f>IF($G162&lt;&gt;"",$G162,SUMIFS(Assumptions!$K$4:$K$8,Assumptions!$J$4:$J$8,$C162))</f>
        <v/>
      </c>
      <c r="I162" s="7" t="n"/>
      <c r="J162" s="9">
        <f>IF($I162&lt;&gt;"",$I162,SUMIFS(Assumptions!$P$4:$P$93,Assumptions!$M$4:$M$93,$C162,Assumptions!$N$4:$N$93,$E162,Assumptions!$O$4:$O$93,"LVN"))</f>
        <v/>
      </c>
      <c r="K162" s="7" t="n"/>
      <c r="L162" s="9">
        <f>IF($K162&lt;&gt;"",$K162,SUMIFS(Assumptions!$P$4:$P$93,Assumptions!$M$4:$M$93,$C162,Assumptions!$N$4:$N$93,$E162,Assumptions!$O$4:$O$93,"HVN"))</f>
        <v/>
      </c>
      <c r="M162" s="9">
        <f>J162+L162</f>
        <v/>
      </c>
      <c r="N162" s="10">
        <f>$F162*$H162*$M162</f>
        <v/>
      </c>
    </row>
    <row r="163">
      <c r="A163" s="4" t="inlineStr">
        <is>
          <t>UNIT</t>
        </is>
      </c>
      <c r="B163" s="5" t="inlineStr">
        <is>
          <t>XOM_BAYTOWN</t>
        </is>
      </c>
      <c r="C163" s="5" t="n">
        <v>3</v>
      </c>
      <c r="D163" s="5" t="inlineStr">
        <is>
          <t>VDU</t>
        </is>
      </c>
      <c r="E163" s="5" t="inlineStr">
        <is>
          <t>VDU</t>
        </is>
      </c>
      <c r="F163" s="14" t="n">
        <v>297</v>
      </c>
      <c r="G163" s="7" t="n"/>
      <c r="H163" s="8">
        <f>IF($G163&lt;&gt;"",$G163,SUMIFS(Assumptions!$K$4:$K$8,Assumptions!$J$4:$J$8,$C163))</f>
        <v/>
      </c>
      <c r="I163" s="7" t="n"/>
      <c r="J163" s="9">
        <f>IF($I163&lt;&gt;"",$I163,SUMIFS(Assumptions!$P$4:$P$93,Assumptions!$M$4:$M$93,$C163,Assumptions!$N$4:$N$93,$E163,Assumptions!$O$4:$O$93,"LVN"))</f>
        <v/>
      </c>
      <c r="K163" s="7" t="n"/>
      <c r="L163" s="9">
        <f>IF($K163&lt;&gt;"",$K163,SUMIFS(Assumptions!$P$4:$P$93,Assumptions!$M$4:$M$93,$C163,Assumptions!$N$4:$N$93,$E163,Assumptions!$O$4:$O$93,"HVN"))</f>
        <v/>
      </c>
      <c r="M163" s="9">
        <f>J163+L163</f>
        <v/>
      </c>
      <c r="N163" s="10">
        <f>$F163*$H163*$M163</f>
        <v/>
      </c>
    </row>
    <row r="164">
      <c r="A164" s="4" t="inlineStr">
        <is>
          <t>UNIT</t>
        </is>
      </c>
      <c r="B164" s="5" t="inlineStr">
        <is>
          <t>XOM_BAYTOWN</t>
        </is>
      </c>
      <c r="C164" s="5" t="n">
        <v>3</v>
      </c>
      <c r="D164" s="5" t="inlineStr">
        <is>
          <t>FCC</t>
        </is>
      </c>
      <c r="E164" s="5" t="inlineStr">
        <is>
          <t>FCC</t>
        </is>
      </c>
      <c r="F164" s="14" t="n">
        <v>204.5</v>
      </c>
      <c r="G164" s="7" t="n"/>
      <c r="H164" s="8">
        <f>IF($G164&lt;&gt;"",$G164,SUMIFS(Assumptions!$K$4:$K$8,Assumptions!$J$4:$J$8,$C164))</f>
        <v/>
      </c>
      <c r="I164" s="7" t="n"/>
      <c r="J164" s="9">
        <f>IF($I164&lt;&gt;"",$I164,SUMIFS(Assumptions!$P$4:$P$93,Assumptions!$M$4:$M$93,$C164,Assumptions!$N$4:$N$93,$E164,Assumptions!$O$4:$O$93,"LVN"))</f>
        <v/>
      </c>
      <c r="K164" s="7" t="n"/>
      <c r="L164" s="9">
        <f>IF($K164&lt;&gt;"",$K164,SUMIFS(Assumptions!$P$4:$P$93,Assumptions!$M$4:$M$93,$C164,Assumptions!$N$4:$N$93,$E164,Assumptions!$O$4:$O$93,"HVN"))</f>
        <v/>
      </c>
      <c r="M164" s="9">
        <f>J164+L164</f>
        <v/>
      </c>
      <c r="N164" s="10">
        <f>$F164*$H164*$M164</f>
        <v/>
      </c>
    </row>
    <row r="165">
      <c r="A165" s="4" t="inlineStr">
        <is>
          <t>UNIT</t>
        </is>
      </c>
      <c r="B165" s="5" t="inlineStr">
        <is>
          <t>XOM_BAYTOWN</t>
        </is>
      </c>
      <c r="C165" s="5" t="n">
        <v>3</v>
      </c>
      <c r="D165" s="5" t="inlineStr">
        <is>
          <t>HCU</t>
        </is>
      </c>
      <c r="E165" s="5" t="inlineStr">
        <is>
          <t>HYDROCRACKER</t>
        </is>
      </c>
      <c r="F165" s="14" t="n">
        <v>27.5</v>
      </c>
      <c r="G165" s="7" t="n"/>
      <c r="H165" s="8">
        <f>IF($G165&lt;&gt;"",$G165,SUMIFS(Assumptions!$K$4:$K$8,Assumptions!$J$4:$J$8,$C165))</f>
        <v/>
      </c>
      <c r="I165" s="7" t="n"/>
      <c r="J165" s="9">
        <f>IF($I165&lt;&gt;"",$I165,SUMIFS(Assumptions!$P$4:$P$93,Assumptions!$M$4:$M$93,$C165,Assumptions!$N$4:$N$93,$E165,Assumptions!$O$4:$O$93,"LVN"))</f>
        <v/>
      </c>
      <c r="K165" s="7" t="n"/>
      <c r="L165" s="9">
        <f>IF($K165&lt;&gt;"",$K165,SUMIFS(Assumptions!$P$4:$P$93,Assumptions!$M$4:$M$93,$C165,Assumptions!$N$4:$N$93,$E165,Assumptions!$O$4:$O$93,"HVN"))</f>
        <v/>
      </c>
      <c r="M165" s="9">
        <f>J165+L165</f>
        <v/>
      </c>
      <c r="N165" s="10">
        <f>$F165*$H165*$M165</f>
        <v/>
      </c>
    </row>
    <row r="166">
      <c r="A166" s="4" t="inlineStr">
        <is>
          <t>UNIT</t>
        </is>
      </c>
      <c r="B166" s="5" t="inlineStr">
        <is>
          <t>XOM_BAYTOWN</t>
        </is>
      </c>
      <c r="C166" s="5" t="n">
        <v>3</v>
      </c>
      <c r="D166" s="5" t="inlineStr">
        <is>
          <t>COKER-D</t>
        </is>
      </c>
      <c r="E166" s="5" t="inlineStr">
        <is>
          <t>COKER</t>
        </is>
      </c>
      <c r="F166" s="14" t="n">
        <v>51.5</v>
      </c>
      <c r="G166" s="7" t="n"/>
      <c r="H166" s="8">
        <f>IF($G166&lt;&gt;"",$G166,SUMIFS(Assumptions!$K$4:$K$8,Assumptions!$J$4:$J$8,$C166))</f>
        <v/>
      </c>
      <c r="I166" s="7" t="n"/>
      <c r="J166" s="9">
        <f>IF($I166&lt;&gt;"",$I166,SUMIFS(Assumptions!$P$4:$P$93,Assumptions!$M$4:$M$93,$C166,Assumptions!$N$4:$N$93,$E166,Assumptions!$O$4:$O$93,"LVN"))</f>
        <v/>
      </c>
      <c r="K166" s="7" t="n"/>
      <c r="L166" s="9">
        <f>IF($K166&lt;&gt;"",$K166,SUMIFS(Assumptions!$P$4:$P$93,Assumptions!$M$4:$M$93,$C166,Assumptions!$N$4:$N$93,$E166,Assumptions!$O$4:$O$93,"HVN"))</f>
        <v/>
      </c>
      <c r="M166" s="9">
        <f>J166+L166</f>
        <v/>
      </c>
      <c r="N166" s="10">
        <f>$F166*$H166*$M166</f>
        <v/>
      </c>
    </row>
    <row r="167">
      <c r="A167" s="4" t="inlineStr">
        <is>
          <t>UNIT</t>
        </is>
      </c>
      <c r="B167" s="5" t="inlineStr">
        <is>
          <t>XOM_BAYTOWN</t>
        </is>
      </c>
      <c r="C167" s="5" t="n">
        <v>3</v>
      </c>
      <c r="D167" s="5" t="inlineStr">
        <is>
          <t>COKER-F</t>
        </is>
      </c>
      <c r="E167" s="5" t="inlineStr">
        <is>
          <t>COKER</t>
        </is>
      </c>
      <c r="F167" s="14" t="n">
        <v>39.8</v>
      </c>
      <c r="G167" s="7" t="n"/>
      <c r="H167" s="8">
        <f>IF($G167&lt;&gt;"",$G167,SUMIFS(Assumptions!$K$4:$K$8,Assumptions!$J$4:$J$8,$C167))</f>
        <v/>
      </c>
      <c r="I167" s="7" t="n"/>
      <c r="J167" s="9">
        <f>IF($I167&lt;&gt;"",$I167,SUMIFS(Assumptions!$P$4:$P$93,Assumptions!$M$4:$M$93,$C167,Assumptions!$N$4:$N$93,$E167,Assumptions!$O$4:$O$93,"LVN"))</f>
        <v/>
      </c>
      <c r="K167" s="7" t="n"/>
      <c r="L167" s="9">
        <f>IF($K167&lt;&gt;"",$K167,SUMIFS(Assumptions!$P$4:$P$93,Assumptions!$M$4:$M$93,$C167,Assumptions!$N$4:$N$93,$E167,Assumptions!$O$4:$O$93,"HVN"))</f>
        <v/>
      </c>
      <c r="M167" s="9">
        <f>J167+L167</f>
        <v/>
      </c>
      <c r="N167" s="10">
        <f>$F167*$H167*$M167</f>
        <v/>
      </c>
    </row>
    <row r="168">
      <c r="A168" s="4" t="inlineStr">
        <is>
          <t>UNIT</t>
        </is>
      </c>
      <c r="B168" s="5" t="inlineStr">
        <is>
          <t>XOM_BAYTOWN</t>
        </is>
      </c>
      <c r="C168" s="5" t="n">
        <v>3</v>
      </c>
      <c r="D168" s="5" t="inlineStr">
        <is>
          <t>REF</t>
        </is>
      </c>
      <c r="E168" s="5" t="inlineStr">
        <is>
          <t>REFORMER</t>
        </is>
      </c>
      <c r="F168" s="14" t="n">
        <v>122.9</v>
      </c>
      <c r="G168" s="7" t="n"/>
      <c r="H168" s="8">
        <f>IF($G168&lt;&gt;"",$G168,SUMIFS(Assumptions!$K$4:$K$8,Assumptions!$J$4:$J$8,$C168))</f>
        <v/>
      </c>
      <c r="I168" s="7" t="n"/>
      <c r="J168" s="9">
        <f>IF($I168&lt;&gt;"",$I168,SUMIFS(Assumptions!$P$4:$P$93,Assumptions!$M$4:$M$93,$C168,Assumptions!$N$4:$N$93,$E168,Assumptions!$O$4:$O$93,"LVN"))</f>
        <v/>
      </c>
      <c r="K168" s="7" t="n"/>
      <c r="L168" s="9">
        <f>IF($K168&lt;&gt;"",$K168,SUMIFS(Assumptions!$P$4:$P$93,Assumptions!$M$4:$M$93,$C168,Assumptions!$N$4:$N$93,$E168,Assumptions!$O$4:$O$93,"HVN"))</f>
        <v/>
      </c>
      <c r="M168" s="9">
        <f>J168+L168</f>
        <v/>
      </c>
      <c r="N168" s="10">
        <f>$F168*$H168*$M168</f>
        <v/>
      </c>
    </row>
    <row r="169">
      <c r="A169" s="4" t="inlineStr">
        <is>
          <t>UNIT</t>
        </is>
      </c>
      <c r="B169" s="5" t="inlineStr">
        <is>
          <t>XOM_BAYTOWN</t>
        </is>
      </c>
      <c r="C169" s="5" t="n">
        <v>3</v>
      </c>
      <c r="D169" s="5" t="inlineStr">
        <is>
          <t>ALKY</t>
        </is>
      </c>
      <c r="E169" s="5" t="inlineStr">
        <is>
          <t>ALKY</t>
        </is>
      </c>
      <c r="F169" s="14" t="n">
        <v>42.6</v>
      </c>
      <c r="G169" s="7" t="n"/>
      <c r="H169" s="8">
        <f>IF($G169&lt;&gt;"",$G169,SUMIFS(Assumptions!$K$4:$K$8,Assumptions!$J$4:$J$8,$C169))</f>
        <v/>
      </c>
      <c r="I169" s="7" t="n"/>
      <c r="J169" s="9">
        <f>IF($I169&lt;&gt;"",$I169,SUMIFS(Assumptions!$P$4:$P$93,Assumptions!$M$4:$M$93,$C169,Assumptions!$N$4:$N$93,$E169,Assumptions!$O$4:$O$93,"LVN"))</f>
        <v/>
      </c>
      <c r="K169" s="7" t="n"/>
      <c r="L169" s="9">
        <f>IF($K169&lt;&gt;"",$K169,SUMIFS(Assumptions!$P$4:$P$93,Assumptions!$M$4:$M$93,$C169,Assumptions!$N$4:$N$93,$E169,Assumptions!$O$4:$O$93,"HVN"))</f>
        <v/>
      </c>
      <c r="M169" s="9">
        <f>J169+L169</f>
        <v/>
      </c>
      <c r="N169" s="10">
        <f>$F169*$H169*$M169</f>
        <v/>
      </c>
    </row>
    <row r="170">
      <c r="A170" s="11" t="inlineStr">
        <is>
          <t>TOTAL</t>
        </is>
      </c>
      <c r="B170" s="12" t="inlineStr">
        <is>
          <t>XOM_BAYTOWN</t>
        </is>
      </c>
      <c r="C170" s="12" t="n">
        <v>3</v>
      </c>
      <c r="D170" s="12" t="inlineStr">
        <is>
          <t>NET NAPHTHA</t>
        </is>
      </c>
      <c r="N170" s="13">
        <f>SUM(N162:N169)</f>
        <v/>
      </c>
    </row>
    <row r="172">
      <c r="A172" s="1" t="inlineStr">
        <is>
          <t xml:space="preserve">  ExxonMobil Baton Rouge  [EXXONMOBIL_BATON_ROUGE]   —   ExxonMobil   —   PADD 3   —   crude 540 kbd</t>
        </is>
      </c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</row>
    <row r="173">
      <c r="A173" s="4" t="inlineStr">
        <is>
          <t>UNIT</t>
        </is>
      </c>
      <c r="B173" s="5" t="inlineStr">
        <is>
          <t>EXXONMOBIL_BATON_ROUGE</t>
        </is>
      </c>
      <c r="C173" s="5" t="n">
        <v>3</v>
      </c>
      <c r="D173" s="5" t="inlineStr">
        <is>
          <t>CRUDE-EST</t>
        </is>
      </c>
      <c r="E173" s="5" t="inlineStr">
        <is>
          <t>est. yield</t>
        </is>
      </c>
      <c r="F173" s="6">
        <f>SUMIFS(Data!$G$3:$G$125,Data!$A$3:$A$125,$B173)</f>
        <v/>
      </c>
      <c r="G173" s="7" t="n"/>
      <c r="H173" s="8">
        <f>IF($G173&lt;&gt;"",$G173,SUMIFS(Assumptions!$K$4:$K$8,Assumptions!$J$4:$J$8,$C173))</f>
        <v/>
      </c>
      <c r="I173" s="7" t="n"/>
      <c r="J173" s="9">
        <f>IF($I173&lt;&gt;"",$I173,SUMIFS(Data!$N$3:$N$125,Data!$A$3:$A$125,$B173)*Assumptions!$S$4)</f>
        <v/>
      </c>
      <c r="K173" s="7" t="n"/>
      <c r="L173" s="9">
        <f>IF($K173&lt;&gt;"",$K173,SUMIFS(Data!$N$3:$N$125,Data!$A$3:$A$125,$B173)*Assumptions!$S$5)</f>
        <v/>
      </c>
      <c r="M173" s="9">
        <f>J173+L173</f>
        <v/>
      </c>
      <c r="N173" s="10">
        <f>$F173*$H173*$M173</f>
        <v/>
      </c>
    </row>
    <row r="174">
      <c r="A174" s="11" t="inlineStr">
        <is>
          <t>TOTAL</t>
        </is>
      </c>
      <c r="B174" s="12" t="inlineStr">
        <is>
          <t>EXXONMOBIL_BATON_ROUGE</t>
        </is>
      </c>
      <c r="C174" s="12" t="n">
        <v>3</v>
      </c>
      <c r="D174" s="12" t="inlineStr">
        <is>
          <t>NET NAPHTHA</t>
        </is>
      </c>
      <c r="N174" s="13">
        <f>SUM(N173:N173)</f>
        <v/>
      </c>
    </row>
    <row r="176">
      <c r="A176" s="1" t="inlineStr">
        <is>
          <t xml:space="preserve">  Citgo Lake Charles  [CITGO_LAKE_CHARLES]   —   PDVSA   —   PADD 3   —   crude 483 kbd</t>
        </is>
      </c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</row>
    <row r="177">
      <c r="A177" s="4" t="inlineStr">
        <is>
          <t>UNIT</t>
        </is>
      </c>
      <c r="B177" s="5" t="inlineStr">
        <is>
          <t>CITGO_LAKE_CHARLES</t>
        </is>
      </c>
      <c r="C177" s="5" t="n">
        <v>3</v>
      </c>
      <c r="D177" s="5" t="inlineStr">
        <is>
          <t>CRUDE-EST</t>
        </is>
      </c>
      <c r="E177" s="5" t="inlineStr">
        <is>
          <t>est. yield</t>
        </is>
      </c>
      <c r="F177" s="6">
        <f>SUMIFS(Data!$G$3:$G$125,Data!$A$3:$A$125,$B177)</f>
        <v/>
      </c>
      <c r="G177" s="7" t="n"/>
      <c r="H177" s="8">
        <f>IF($G177&lt;&gt;"",$G177,SUMIFS(Assumptions!$K$4:$K$8,Assumptions!$J$4:$J$8,$C177))</f>
        <v/>
      </c>
      <c r="I177" s="7" t="n"/>
      <c r="J177" s="9">
        <f>IF($I177&lt;&gt;"",$I177,SUMIFS(Data!$N$3:$N$125,Data!$A$3:$A$125,$B177)*Assumptions!$S$4)</f>
        <v/>
      </c>
      <c r="K177" s="7" t="n"/>
      <c r="L177" s="9">
        <f>IF($K177&lt;&gt;"",$K177,SUMIFS(Data!$N$3:$N$125,Data!$A$3:$A$125,$B177)*Assumptions!$S$5)</f>
        <v/>
      </c>
      <c r="M177" s="9">
        <f>J177+L177</f>
        <v/>
      </c>
      <c r="N177" s="10">
        <f>$F177*$H177*$M177</f>
        <v/>
      </c>
    </row>
    <row r="178">
      <c r="A178" s="11" t="inlineStr">
        <is>
          <t>TOTAL</t>
        </is>
      </c>
      <c r="B178" s="12" t="inlineStr">
        <is>
          <t>CITGO_LAKE_CHARLES</t>
        </is>
      </c>
      <c r="C178" s="12" t="n">
        <v>3</v>
      </c>
      <c r="D178" s="12" t="inlineStr">
        <is>
          <t>NET NAPHTHA</t>
        </is>
      </c>
      <c r="N178" s="13">
        <f>SUM(N177:N177)</f>
        <v/>
      </c>
    </row>
    <row r="180">
      <c r="A180" s="1" t="inlineStr">
        <is>
          <t xml:space="preserve">  Valero Port Arthur  [VALERO_PORT_ARTHUR]   —   Valero   —   PADD 3   —   crude 435 kbd</t>
        </is>
      </c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</row>
    <row r="181">
      <c r="A181" s="4" t="inlineStr">
        <is>
          <t>UNIT</t>
        </is>
      </c>
      <c r="B181" s="5" t="inlineStr">
        <is>
          <t>VALERO_PORT_ARTHUR</t>
        </is>
      </c>
      <c r="C181" s="5" t="n">
        <v>3</v>
      </c>
      <c r="D181" s="5" t="inlineStr">
        <is>
          <t>CRUDE-EST</t>
        </is>
      </c>
      <c r="E181" s="5" t="inlineStr">
        <is>
          <t>est. yield</t>
        </is>
      </c>
      <c r="F181" s="6">
        <f>SUMIFS(Data!$G$3:$G$125,Data!$A$3:$A$125,$B181)</f>
        <v/>
      </c>
      <c r="G181" s="7" t="n"/>
      <c r="H181" s="8">
        <f>IF($G181&lt;&gt;"",$G181,SUMIFS(Assumptions!$K$4:$K$8,Assumptions!$J$4:$J$8,$C181))</f>
        <v/>
      </c>
      <c r="I181" s="7" t="n"/>
      <c r="J181" s="9">
        <f>IF($I181&lt;&gt;"",$I181,SUMIFS(Data!$N$3:$N$125,Data!$A$3:$A$125,$B181)*Assumptions!$S$4)</f>
        <v/>
      </c>
      <c r="K181" s="7" t="n"/>
      <c r="L181" s="9">
        <f>IF($K181&lt;&gt;"",$K181,SUMIFS(Data!$N$3:$N$125,Data!$A$3:$A$125,$B181)*Assumptions!$S$5)</f>
        <v/>
      </c>
      <c r="M181" s="9">
        <f>J181+L181</f>
        <v/>
      </c>
      <c r="N181" s="10">
        <f>$F181*$H181*$M181</f>
        <v/>
      </c>
    </row>
    <row r="182">
      <c r="A182" s="11" t="inlineStr">
        <is>
          <t>TOTAL</t>
        </is>
      </c>
      <c r="B182" s="12" t="inlineStr">
        <is>
          <t>VALERO_PORT_ARTHUR</t>
        </is>
      </c>
      <c r="C182" s="12" t="n">
        <v>3</v>
      </c>
      <c r="D182" s="12" t="inlineStr">
        <is>
          <t>NET NAPHTHA</t>
        </is>
      </c>
      <c r="N182" s="13">
        <f>SUM(N181:N181)</f>
        <v/>
      </c>
    </row>
    <row r="184">
      <c r="A184" s="1" t="inlineStr">
        <is>
          <t xml:space="preserve">  Chevron Pascagoula  [CHEVRON_PASCAGOULA]   —   Chevron   —   PADD 3   —   crude 370 kbd</t>
        </is>
      </c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</row>
    <row r="185">
      <c r="A185" s="4" t="inlineStr">
        <is>
          <t>UNIT</t>
        </is>
      </c>
      <c r="B185" s="5" t="inlineStr">
        <is>
          <t>CHEVRON_PASCAGOULA</t>
        </is>
      </c>
      <c r="C185" s="5" t="n">
        <v>3</v>
      </c>
      <c r="D185" s="5" t="inlineStr">
        <is>
          <t>CRUDE-EST</t>
        </is>
      </c>
      <c r="E185" s="5" t="inlineStr">
        <is>
          <t>est. yield</t>
        </is>
      </c>
      <c r="F185" s="6">
        <f>SUMIFS(Data!$G$3:$G$125,Data!$A$3:$A$125,$B185)</f>
        <v/>
      </c>
      <c r="G185" s="7" t="n"/>
      <c r="H185" s="8">
        <f>IF($G185&lt;&gt;"",$G185,SUMIFS(Assumptions!$K$4:$K$8,Assumptions!$J$4:$J$8,$C185))</f>
        <v/>
      </c>
      <c r="I185" s="7" t="n"/>
      <c r="J185" s="9">
        <f>IF($I185&lt;&gt;"",$I185,SUMIFS(Data!$N$3:$N$125,Data!$A$3:$A$125,$B185)*Assumptions!$S$4)</f>
        <v/>
      </c>
      <c r="K185" s="7" t="n"/>
      <c r="L185" s="9">
        <f>IF($K185&lt;&gt;"",$K185,SUMIFS(Data!$N$3:$N$125,Data!$A$3:$A$125,$B185)*Assumptions!$S$5)</f>
        <v/>
      </c>
      <c r="M185" s="9">
        <f>J185+L185</f>
        <v/>
      </c>
      <c r="N185" s="10">
        <f>$F185*$H185*$M185</f>
        <v/>
      </c>
    </row>
    <row r="186">
      <c r="A186" s="11" t="inlineStr">
        <is>
          <t>TOTAL</t>
        </is>
      </c>
      <c r="B186" s="12" t="inlineStr">
        <is>
          <t>CHEVRON_PASCAGOULA</t>
        </is>
      </c>
      <c r="C186" s="12" t="n">
        <v>3</v>
      </c>
      <c r="D186" s="12" t="inlineStr">
        <is>
          <t>NET NAPHTHA</t>
        </is>
      </c>
      <c r="N186" s="13">
        <f>SUM(N185:N185)</f>
        <v/>
      </c>
    </row>
    <row r="188">
      <c r="A188" s="1" t="inlineStr">
        <is>
          <t xml:space="preserve">  PEMEX Deer Park  [PEMEX_DEER_PARK]   —   PEMEX   —   PADD 3   —   crude 340 kbd</t>
        </is>
      </c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</row>
    <row r="189">
      <c r="A189" s="4" t="inlineStr">
        <is>
          <t>UNIT</t>
        </is>
      </c>
      <c r="B189" s="5" t="inlineStr">
        <is>
          <t>PEMEX_DEER_PARK</t>
        </is>
      </c>
      <c r="C189" s="5" t="n">
        <v>3</v>
      </c>
      <c r="D189" s="5" t="inlineStr">
        <is>
          <t>CRUDE-EST</t>
        </is>
      </c>
      <c r="E189" s="5" t="inlineStr">
        <is>
          <t>est. yield</t>
        </is>
      </c>
      <c r="F189" s="6">
        <f>SUMIFS(Data!$G$3:$G$125,Data!$A$3:$A$125,$B189)</f>
        <v/>
      </c>
      <c r="G189" s="7" t="n"/>
      <c r="H189" s="8">
        <f>IF($G189&lt;&gt;"",$G189,SUMIFS(Assumptions!$K$4:$K$8,Assumptions!$J$4:$J$8,$C189))</f>
        <v/>
      </c>
      <c r="I189" s="7" t="n"/>
      <c r="J189" s="9">
        <f>IF($I189&lt;&gt;"",$I189,SUMIFS(Data!$N$3:$N$125,Data!$A$3:$A$125,$B189)*Assumptions!$S$4)</f>
        <v/>
      </c>
      <c r="K189" s="7" t="n"/>
      <c r="L189" s="9">
        <f>IF($K189&lt;&gt;"",$K189,SUMIFS(Data!$N$3:$N$125,Data!$A$3:$A$125,$B189)*Assumptions!$S$5)</f>
        <v/>
      </c>
      <c r="M189" s="9">
        <f>J189+L189</f>
        <v/>
      </c>
      <c r="N189" s="10">
        <f>$F189*$H189*$M189</f>
        <v/>
      </c>
    </row>
    <row r="190">
      <c r="A190" s="11" t="inlineStr">
        <is>
          <t>TOTAL</t>
        </is>
      </c>
      <c r="B190" s="12" t="inlineStr">
        <is>
          <t>PEMEX_DEER_PARK</t>
        </is>
      </c>
      <c r="C190" s="12" t="n">
        <v>3</v>
      </c>
      <c r="D190" s="12" t="inlineStr">
        <is>
          <t>NET NAPHTHA</t>
        </is>
      </c>
      <c r="N190" s="13">
        <f>SUM(N189:N189)</f>
        <v/>
      </c>
    </row>
    <row r="192">
      <c r="A192" s="1" t="inlineStr">
        <is>
          <t xml:space="preserve">  Flint Hills Resources Corpus Christi  [FLINT_CORPUS_CHRISTI]   —   Koch Industries   —   PADD 3   —   crude 330 kbd</t>
        </is>
      </c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</row>
    <row r="193">
      <c r="A193" s="4" t="inlineStr">
        <is>
          <t>UNIT</t>
        </is>
      </c>
      <c r="B193" s="5" t="inlineStr">
        <is>
          <t>FLINT_CORPUS_CHRISTI</t>
        </is>
      </c>
      <c r="C193" s="5" t="n">
        <v>3</v>
      </c>
      <c r="D193" s="5" t="inlineStr">
        <is>
          <t>CRUDE-EST</t>
        </is>
      </c>
      <c r="E193" s="5" t="inlineStr">
        <is>
          <t>est. yield</t>
        </is>
      </c>
      <c r="F193" s="6">
        <f>SUMIFS(Data!$G$3:$G$125,Data!$A$3:$A$125,$B193)</f>
        <v/>
      </c>
      <c r="G193" s="7" t="n"/>
      <c r="H193" s="8">
        <f>IF($G193&lt;&gt;"",$G193,SUMIFS(Assumptions!$K$4:$K$8,Assumptions!$J$4:$J$8,$C193))</f>
        <v/>
      </c>
      <c r="I193" s="7" t="n"/>
      <c r="J193" s="9">
        <f>IF($I193&lt;&gt;"",$I193,SUMIFS(Data!$N$3:$N$125,Data!$A$3:$A$125,$B193)*Assumptions!$S$4)</f>
        <v/>
      </c>
      <c r="K193" s="7" t="n"/>
      <c r="L193" s="9">
        <f>IF($K193&lt;&gt;"",$K193,SUMIFS(Data!$N$3:$N$125,Data!$A$3:$A$125,$B193)*Assumptions!$S$5)</f>
        <v/>
      </c>
      <c r="M193" s="9">
        <f>J193+L193</f>
        <v/>
      </c>
      <c r="N193" s="10">
        <f>$F193*$H193*$M193</f>
        <v/>
      </c>
    </row>
    <row r="194">
      <c r="A194" s="11" t="inlineStr">
        <is>
          <t>TOTAL</t>
        </is>
      </c>
      <c r="B194" s="12" t="inlineStr">
        <is>
          <t>FLINT_CORPUS_CHRISTI</t>
        </is>
      </c>
      <c r="C194" s="12" t="n">
        <v>3</v>
      </c>
      <c r="D194" s="12" t="inlineStr">
        <is>
          <t>NET NAPHTHA</t>
        </is>
      </c>
      <c r="N194" s="13">
        <f>SUM(N193:N193)</f>
        <v/>
      </c>
    </row>
    <row r="196">
      <c r="A196" s="1" t="inlineStr">
        <is>
          <t xml:space="preserve">  Valero Corpus Christi  [VALERO_CORPUS_CHRISTI]   —   Valero   —   PADD 3   —   crude 290 kbd</t>
        </is>
      </c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</row>
    <row r="197">
      <c r="A197" s="4" t="inlineStr">
        <is>
          <t>UNIT</t>
        </is>
      </c>
      <c r="B197" s="5" t="inlineStr">
        <is>
          <t>VALERO_CORPUS_CHRISTI</t>
        </is>
      </c>
      <c r="C197" s="5" t="n">
        <v>3</v>
      </c>
      <c r="D197" s="5" t="inlineStr">
        <is>
          <t>CRUDE-EST</t>
        </is>
      </c>
      <c r="E197" s="5" t="inlineStr">
        <is>
          <t>est. yield</t>
        </is>
      </c>
      <c r="F197" s="6">
        <f>SUMIFS(Data!$G$3:$G$125,Data!$A$3:$A$125,$B197)</f>
        <v/>
      </c>
      <c r="G197" s="7" t="n"/>
      <c r="H197" s="8">
        <f>IF($G197&lt;&gt;"",$G197,SUMIFS(Assumptions!$K$4:$K$8,Assumptions!$J$4:$J$8,$C197))</f>
        <v/>
      </c>
      <c r="I197" s="7" t="n"/>
      <c r="J197" s="9">
        <f>IF($I197&lt;&gt;"",$I197,SUMIFS(Data!$N$3:$N$125,Data!$A$3:$A$125,$B197)*Assumptions!$S$4)</f>
        <v/>
      </c>
      <c r="K197" s="7" t="n"/>
      <c r="L197" s="9">
        <f>IF($K197&lt;&gt;"",$K197,SUMIFS(Data!$N$3:$N$125,Data!$A$3:$A$125,$B197)*Assumptions!$S$5)</f>
        <v/>
      </c>
      <c r="M197" s="9">
        <f>J197+L197</f>
        <v/>
      </c>
      <c r="N197" s="10">
        <f>$F197*$H197*$M197</f>
        <v/>
      </c>
    </row>
    <row r="198">
      <c r="A198" s="11" t="inlineStr">
        <is>
          <t>TOTAL</t>
        </is>
      </c>
      <c r="B198" s="12" t="inlineStr">
        <is>
          <t>VALERO_CORPUS_CHRISTI</t>
        </is>
      </c>
      <c r="C198" s="12" t="n">
        <v>3</v>
      </c>
      <c r="D198" s="12" t="inlineStr">
        <is>
          <t>NET NAPHTHA</t>
        </is>
      </c>
      <c r="N198" s="13">
        <f>SUM(N197:N197)</f>
        <v/>
      </c>
    </row>
    <row r="200">
      <c r="A200" s="1" t="inlineStr">
        <is>
          <t xml:space="preserve">  Phillips 66 Co. Westlake  [PHILLIPS_WESTLAKE]   —   Phillips 66 Co.   —   PADD 3   —   crude 281 kbd</t>
        </is>
      </c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</row>
    <row r="201">
      <c r="A201" s="4" t="inlineStr">
        <is>
          <t>UNIT</t>
        </is>
      </c>
      <c r="B201" s="5" t="inlineStr">
        <is>
          <t>PHILLIPS_WESTLAKE</t>
        </is>
      </c>
      <c r="C201" s="5" t="n">
        <v>3</v>
      </c>
      <c r="D201" s="5" t="inlineStr">
        <is>
          <t>CRUDE-EST</t>
        </is>
      </c>
      <c r="E201" s="5" t="inlineStr">
        <is>
          <t>est. yield</t>
        </is>
      </c>
      <c r="F201" s="6">
        <f>SUMIFS(Data!$G$3:$G$125,Data!$A$3:$A$125,$B201)</f>
        <v/>
      </c>
      <c r="G201" s="7" t="n"/>
      <c r="H201" s="8">
        <f>IF($G201&lt;&gt;"",$G201,SUMIFS(Assumptions!$K$4:$K$8,Assumptions!$J$4:$J$8,$C201))</f>
        <v/>
      </c>
      <c r="I201" s="7" t="n"/>
      <c r="J201" s="9">
        <f>IF($I201&lt;&gt;"",$I201,SUMIFS(Data!$N$3:$N$125,Data!$A$3:$A$125,$B201)*Assumptions!$S$4)</f>
        <v/>
      </c>
      <c r="K201" s="7" t="n"/>
      <c r="L201" s="9">
        <f>IF($K201&lt;&gt;"",$K201,SUMIFS(Data!$N$3:$N$125,Data!$A$3:$A$125,$B201)*Assumptions!$S$5)</f>
        <v/>
      </c>
      <c r="M201" s="9">
        <f>J201+L201</f>
        <v/>
      </c>
      <c r="N201" s="10">
        <f>$F201*$H201*$M201</f>
        <v/>
      </c>
    </row>
    <row r="202">
      <c r="A202" s="11" t="inlineStr">
        <is>
          <t>TOTAL</t>
        </is>
      </c>
      <c r="B202" s="12" t="inlineStr">
        <is>
          <t>PHILLIPS_WESTLAKE</t>
        </is>
      </c>
      <c r="C202" s="12" t="n">
        <v>3</v>
      </c>
      <c r="D202" s="12" t="inlineStr">
        <is>
          <t>NET NAPHTHA</t>
        </is>
      </c>
      <c r="N202" s="13">
        <f>SUM(N201:N201)</f>
        <v/>
      </c>
    </row>
    <row r="204">
      <c r="A204" s="1" t="inlineStr">
        <is>
          <t xml:space="preserve">  Phillips 66 Co. Sweeny  [PHILLIPS_SWEENY]   —   Phillips 66 Co.   —   PADD 3   —   crude 278 kbd</t>
        </is>
      </c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</row>
    <row r="205">
      <c r="A205" s="4" t="inlineStr">
        <is>
          <t>UNIT</t>
        </is>
      </c>
      <c r="B205" s="5" t="inlineStr">
        <is>
          <t>PHILLIPS_SWEENY</t>
        </is>
      </c>
      <c r="C205" s="5" t="n">
        <v>3</v>
      </c>
      <c r="D205" s="5" t="inlineStr">
        <is>
          <t>CRUDE-EST</t>
        </is>
      </c>
      <c r="E205" s="5" t="inlineStr">
        <is>
          <t>est. yield</t>
        </is>
      </c>
      <c r="F205" s="6">
        <f>SUMIFS(Data!$G$3:$G$125,Data!$A$3:$A$125,$B205)</f>
        <v/>
      </c>
      <c r="G205" s="7" t="n"/>
      <c r="H205" s="8">
        <f>IF($G205&lt;&gt;"",$G205,SUMIFS(Assumptions!$K$4:$K$8,Assumptions!$J$4:$J$8,$C205))</f>
        <v/>
      </c>
      <c r="I205" s="7" t="n"/>
      <c r="J205" s="9">
        <f>IF($I205&lt;&gt;"",$I205,SUMIFS(Data!$N$3:$N$125,Data!$A$3:$A$125,$B205)*Assumptions!$S$4)</f>
        <v/>
      </c>
      <c r="K205" s="7" t="n"/>
      <c r="L205" s="9">
        <f>IF($K205&lt;&gt;"",$K205,SUMIFS(Data!$N$3:$N$125,Data!$A$3:$A$125,$B205)*Assumptions!$S$5)</f>
        <v/>
      </c>
      <c r="M205" s="9">
        <f>J205+L205</f>
        <v/>
      </c>
      <c r="N205" s="10">
        <f>$F205*$H205*$M205</f>
        <v/>
      </c>
    </row>
    <row r="206">
      <c r="A206" s="11" t="inlineStr">
        <is>
          <t>TOTAL</t>
        </is>
      </c>
      <c r="B206" s="12" t="inlineStr">
        <is>
          <t>PHILLIPS_SWEENY</t>
        </is>
      </c>
      <c r="C206" s="12" t="n">
        <v>3</v>
      </c>
      <c r="D206" s="12" t="inlineStr">
        <is>
          <t>NET NAPHTHA</t>
        </is>
      </c>
      <c r="N206" s="13">
        <f>SUM(N205:N205)</f>
        <v/>
      </c>
    </row>
    <row r="208">
      <c r="A208" s="1" t="inlineStr">
        <is>
          <t xml:space="preserve">  Valero Texas City  [VALERO_TEXAS_CITY]   —   Valero   —   PADD 3   —   crude 260 kbd</t>
        </is>
      </c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</row>
    <row r="209">
      <c r="A209" s="4" t="inlineStr">
        <is>
          <t>UNIT</t>
        </is>
      </c>
      <c r="B209" s="5" t="inlineStr">
        <is>
          <t>VALERO_TEXAS_CITY</t>
        </is>
      </c>
      <c r="C209" s="5" t="n">
        <v>3</v>
      </c>
      <c r="D209" s="5" t="inlineStr">
        <is>
          <t>CRUDE-EST</t>
        </is>
      </c>
      <c r="E209" s="5" t="inlineStr">
        <is>
          <t>est. yield</t>
        </is>
      </c>
      <c r="F209" s="6">
        <f>SUMIFS(Data!$G$3:$G$125,Data!$A$3:$A$125,$B209)</f>
        <v/>
      </c>
      <c r="G209" s="7" t="n"/>
      <c r="H209" s="8">
        <f>IF($G209&lt;&gt;"",$G209,SUMIFS(Assumptions!$K$4:$K$8,Assumptions!$J$4:$J$8,$C209))</f>
        <v/>
      </c>
      <c r="I209" s="7" t="n"/>
      <c r="J209" s="9">
        <f>IF($I209&lt;&gt;"",$I209,SUMIFS(Data!$N$3:$N$125,Data!$A$3:$A$125,$B209)*Assumptions!$S$4)</f>
        <v/>
      </c>
      <c r="K209" s="7" t="n"/>
      <c r="L209" s="9">
        <f>IF($K209&lt;&gt;"",$K209,SUMIFS(Data!$N$3:$N$125,Data!$A$3:$A$125,$B209)*Assumptions!$S$5)</f>
        <v/>
      </c>
      <c r="M209" s="9">
        <f>J209+L209</f>
        <v/>
      </c>
      <c r="N209" s="10">
        <f>$F209*$H209*$M209</f>
        <v/>
      </c>
    </row>
    <row r="210">
      <c r="A210" s="11" t="inlineStr">
        <is>
          <t>TOTAL</t>
        </is>
      </c>
      <c r="B210" s="12" t="inlineStr">
        <is>
          <t>VALERO_TEXAS_CITY</t>
        </is>
      </c>
      <c r="C210" s="12" t="n">
        <v>3</v>
      </c>
      <c r="D210" s="12" t="inlineStr">
        <is>
          <t>NET NAPHTHA</t>
        </is>
      </c>
      <c r="N210" s="13">
        <f>SUM(N209:N209)</f>
        <v/>
      </c>
    </row>
    <row r="212">
      <c r="A212" s="1" t="inlineStr">
        <is>
          <t xml:space="preserve">  Shell Norco  [SHELL_NORCO]   —   Shell   —   PADD 3   —   crude 250 kbd</t>
        </is>
      </c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</row>
    <row r="213">
      <c r="A213" s="4" t="inlineStr">
        <is>
          <t>UNIT</t>
        </is>
      </c>
      <c r="B213" s="5" t="inlineStr">
        <is>
          <t>SHELL_NORCO</t>
        </is>
      </c>
      <c r="C213" s="5" t="n">
        <v>3</v>
      </c>
      <c r="D213" s="5" t="inlineStr">
        <is>
          <t>CRUDE-EST</t>
        </is>
      </c>
      <c r="E213" s="5" t="inlineStr">
        <is>
          <t>est. yield</t>
        </is>
      </c>
      <c r="F213" s="6">
        <f>SUMIFS(Data!$G$3:$G$125,Data!$A$3:$A$125,$B213)</f>
        <v/>
      </c>
      <c r="G213" s="7" t="n"/>
      <c r="H213" s="8">
        <f>IF($G213&lt;&gt;"",$G213,SUMIFS(Assumptions!$K$4:$K$8,Assumptions!$J$4:$J$8,$C213))</f>
        <v/>
      </c>
      <c r="I213" s="7" t="n"/>
      <c r="J213" s="9">
        <f>IF($I213&lt;&gt;"",$I213,SUMIFS(Data!$N$3:$N$125,Data!$A$3:$A$125,$B213)*Assumptions!$S$4)</f>
        <v/>
      </c>
      <c r="K213" s="7" t="n"/>
      <c r="L213" s="9">
        <f>IF($K213&lt;&gt;"",$K213,SUMIFS(Data!$N$3:$N$125,Data!$A$3:$A$125,$B213)*Assumptions!$S$5)</f>
        <v/>
      </c>
      <c r="M213" s="9">
        <f>J213+L213</f>
        <v/>
      </c>
      <c r="N213" s="10">
        <f>$F213*$H213*$M213</f>
        <v/>
      </c>
    </row>
    <row r="214">
      <c r="A214" s="11" t="inlineStr">
        <is>
          <t>TOTAL</t>
        </is>
      </c>
      <c r="B214" s="12" t="inlineStr">
        <is>
          <t>SHELL_NORCO</t>
        </is>
      </c>
      <c r="C214" s="12" t="n">
        <v>3</v>
      </c>
      <c r="D214" s="12" t="inlineStr">
        <is>
          <t>NET NAPHTHA</t>
        </is>
      </c>
      <c r="N214" s="13">
        <f>SUM(N213:N213)</f>
        <v/>
      </c>
    </row>
    <row r="216">
      <c r="A216" s="1" t="inlineStr">
        <is>
          <t xml:space="preserve">  Total Port Arthur  [TOTAL_PORT_ARTHUR]   —   Total   —   PADD 3   —   crude 238 kbd</t>
        </is>
      </c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</row>
    <row r="217">
      <c r="A217" s="4" t="inlineStr">
        <is>
          <t>UNIT</t>
        </is>
      </c>
      <c r="B217" s="5" t="inlineStr">
        <is>
          <t>TOTAL_PORT_ARTHUR</t>
        </is>
      </c>
      <c r="C217" s="5" t="n">
        <v>3</v>
      </c>
      <c r="D217" s="5" t="inlineStr">
        <is>
          <t>CRUDE-EST</t>
        </is>
      </c>
      <c r="E217" s="5" t="inlineStr">
        <is>
          <t>est. yield</t>
        </is>
      </c>
      <c r="F217" s="6">
        <f>SUMIFS(Data!$G$3:$G$125,Data!$A$3:$A$125,$B217)</f>
        <v/>
      </c>
      <c r="G217" s="7" t="n"/>
      <c r="H217" s="8">
        <f>IF($G217&lt;&gt;"",$G217,SUMIFS(Assumptions!$K$4:$K$8,Assumptions!$J$4:$J$8,$C217))</f>
        <v/>
      </c>
      <c r="I217" s="7" t="n"/>
      <c r="J217" s="9">
        <f>IF($I217&lt;&gt;"",$I217,SUMIFS(Data!$N$3:$N$125,Data!$A$3:$A$125,$B217)*Assumptions!$S$4)</f>
        <v/>
      </c>
      <c r="K217" s="7" t="n"/>
      <c r="L217" s="9">
        <f>IF($K217&lt;&gt;"",$K217,SUMIFS(Data!$N$3:$N$125,Data!$A$3:$A$125,$B217)*Assumptions!$S$5)</f>
        <v/>
      </c>
      <c r="M217" s="9">
        <f>J217+L217</f>
        <v/>
      </c>
      <c r="N217" s="10">
        <f>$F217*$H217*$M217</f>
        <v/>
      </c>
    </row>
    <row r="218">
      <c r="A218" s="11" t="inlineStr">
        <is>
          <t>TOTAL</t>
        </is>
      </c>
      <c r="B218" s="12" t="inlineStr">
        <is>
          <t>TOTAL_PORT_ARTHUR</t>
        </is>
      </c>
      <c r="C218" s="12" t="n">
        <v>3</v>
      </c>
      <c r="D218" s="12" t="inlineStr">
        <is>
          <t>NET NAPHTHA</t>
        </is>
      </c>
      <c r="N218" s="13">
        <f>SUM(N217:N217)</f>
        <v/>
      </c>
    </row>
    <row r="220">
      <c r="A220" s="1" t="inlineStr">
        <is>
          <t xml:space="preserve">  Valero Saint Charles  [VALERO_SAINT_CHARLES]   —   Valero   —   PADD 3   —   crude 215 kbd</t>
        </is>
      </c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</row>
    <row r="221">
      <c r="A221" s="4" t="inlineStr">
        <is>
          <t>UNIT</t>
        </is>
      </c>
      <c r="B221" s="5" t="inlineStr">
        <is>
          <t>VALERO_SAINT_CHARLES</t>
        </is>
      </c>
      <c r="C221" s="5" t="n">
        <v>3</v>
      </c>
      <c r="D221" s="5" t="inlineStr">
        <is>
          <t>CRUDE-EST</t>
        </is>
      </c>
      <c r="E221" s="5" t="inlineStr">
        <is>
          <t>est. yield</t>
        </is>
      </c>
      <c r="F221" s="6">
        <f>SUMIFS(Data!$G$3:$G$125,Data!$A$3:$A$125,$B221)</f>
        <v/>
      </c>
      <c r="G221" s="7" t="n"/>
      <c r="H221" s="8">
        <f>IF($G221&lt;&gt;"",$G221,SUMIFS(Assumptions!$K$4:$K$8,Assumptions!$J$4:$J$8,$C221))</f>
        <v/>
      </c>
      <c r="I221" s="7" t="n"/>
      <c r="J221" s="9">
        <f>IF($I221&lt;&gt;"",$I221,SUMIFS(Data!$N$3:$N$125,Data!$A$3:$A$125,$B221)*Assumptions!$S$4)</f>
        <v/>
      </c>
      <c r="K221" s="7" t="n"/>
      <c r="L221" s="9">
        <f>IF($K221&lt;&gt;"",$K221,SUMIFS(Data!$N$3:$N$125,Data!$A$3:$A$125,$B221)*Assumptions!$S$5)</f>
        <v/>
      </c>
      <c r="M221" s="9">
        <f>J221+L221</f>
        <v/>
      </c>
      <c r="N221" s="10">
        <f>$F221*$H221*$M221</f>
        <v/>
      </c>
    </row>
    <row r="222">
      <c r="A222" s="11" t="inlineStr">
        <is>
          <t>TOTAL</t>
        </is>
      </c>
      <c r="B222" s="12" t="inlineStr">
        <is>
          <t>VALERO_SAINT_CHARLES</t>
        </is>
      </c>
      <c r="C222" s="12" t="n">
        <v>3</v>
      </c>
      <c r="D222" s="12" t="inlineStr">
        <is>
          <t>NET NAPHTHA</t>
        </is>
      </c>
      <c r="N222" s="13">
        <f>SUM(N221:N221)</f>
        <v/>
      </c>
    </row>
    <row r="224">
      <c r="A224" s="1" t="inlineStr">
        <is>
          <t xml:space="preserve">  Valero Houston  [VALERO_HOUSTON]   —   Valero   —   PADD 3   —   crude 205 kbd</t>
        </is>
      </c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</row>
    <row r="225">
      <c r="A225" s="4" t="inlineStr">
        <is>
          <t>UNIT</t>
        </is>
      </c>
      <c r="B225" s="5" t="inlineStr">
        <is>
          <t>VALERO_HOUSTON</t>
        </is>
      </c>
      <c r="C225" s="5" t="n">
        <v>3</v>
      </c>
      <c r="D225" s="5" t="inlineStr">
        <is>
          <t>CRUDE-EST</t>
        </is>
      </c>
      <c r="E225" s="5" t="inlineStr">
        <is>
          <t>est. yield</t>
        </is>
      </c>
      <c r="F225" s="6">
        <f>SUMIFS(Data!$G$3:$G$125,Data!$A$3:$A$125,$B225)</f>
        <v/>
      </c>
      <c r="G225" s="7" t="n"/>
      <c r="H225" s="8">
        <f>IF($G225&lt;&gt;"",$G225,SUMIFS(Assumptions!$K$4:$K$8,Assumptions!$J$4:$J$8,$C225))</f>
        <v/>
      </c>
      <c r="I225" s="7" t="n"/>
      <c r="J225" s="9">
        <f>IF($I225&lt;&gt;"",$I225,SUMIFS(Data!$N$3:$N$125,Data!$A$3:$A$125,$B225)*Assumptions!$S$4)</f>
        <v/>
      </c>
      <c r="K225" s="7" t="n"/>
      <c r="L225" s="9">
        <f>IF($K225&lt;&gt;"",$K225,SUMIFS(Data!$N$3:$N$125,Data!$A$3:$A$125,$B225)*Assumptions!$S$5)</f>
        <v/>
      </c>
      <c r="M225" s="9">
        <f>J225+L225</f>
        <v/>
      </c>
      <c r="N225" s="10">
        <f>$F225*$H225*$M225</f>
        <v/>
      </c>
    </row>
    <row r="226">
      <c r="A226" s="11" t="inlineStr">
        <is>
          <t>TOTAL</t>
        </is>
      </c>
      <c r="B226" s="12" t="inlineStr">
        <is>
          <t>VALERO_HOUSTON</t>
        </is>
      </c>
      <c r="C226" s="12" t="n">
        <v>3</v>
      </c>
      <c r="D226" s="12" t="inlineStr">
        <is>
          <t>NET NAPHTHA</t>
        </is>
      </c>
      <c r="N226" s="13">
        <f>SUM(N225:N225)</f>
        <v/>
      </c>
    </row>
    <row r="228">
      <c r="A228" s="1" t="inlineStr">
        <is>
          <t xml:space="preserve">  Valero Sunray  [VALERO_SUNRAY]   —   Valero   —   PADD 3   —   crude 195 kbd</t>
        </is>
      </c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</row>
    <row r="229">
      <c r="A229" s="4" t="inlineStr">
        <is>
          <t>UNIT</t>
        </is>
      </c>
      <c r="B229" s="5" t="inlineStr">
        <is>
          <t>VALERO_SUNRAY</t>
        </is>
      </c>
      <c r="C229" s="5" t="n">
        <v>3</v>
      </c>
      <c r="D229" s="5" t="inlineStr">
        <is>
          <t>CRUDE-EST</t>
        </is>
      </c>
      <c r="E229" s="5" t="inlineStr">
        <is>
          <t>est. yield</t>
        </is>
      </c>
      <c r="F229" s="6">
        <f>SUMIFS(Data!$G$3:$G$125,Data!$A$3:$A$125,$B229)</f>
        <v/>
      </c>
      <c r="G229" s="7" t="n"/>
      <c r="H229" s="8">
        <f>IF($G229&lt;&gt;"",$G229,SUMIFS(Assumptions!$K$4:$K$8,Assumptions!$J$4:$J$8,$C229))</f>
        <v/>
      </c>
      <c r="I229" s="7" t="n"/>
      <c r="J229" s="9">
        <f>IF($I229&lt;&gt;"",$I229,SUMIFS(Data!$N$3:$N$125,Data!$A$3:$A$125,$B229)*Assumptions!$S$4)</f>
        <v/>
      </c>
      <c r="K229" s="7" t="n"/>
      <c r="L229" s="9">
        <f>IF($K229&lt;&gt;"",$K229,SUMIFS(Data!$N$3:$N$125,Data!$A$3:$A$125,$B229)*Assumptions!$S$5)</f>
        <v/>
      </c>
      <c r="M229" s="9">
        <f>J229+L229</f>
        <v/>
      </c>
      <c r="N229" s="10">
        <f>$F229*$H229*$M229</f>
        <v/>
      </c>
    </row>
    <row r="230">
      <c r="A230" s="11" t="inlineStr">
        <is>
          <t>TOTAL</t>
        </is>
      </c>
      <c r="B230" s="12" t="inlineStr">
        <is>
          <t>VALERO_SUNRAY</t>
        </is>
      </c>
      <c r="C230" s="12" t="n">
        <v>3</v>
      </c>
      <c r="D230" s="12" t="inlineStr">
        <is>
          <t>NET NAPHTHA</t>
        </is>
      </c>
      <c r="N230" s="13">
        <f>SUM(N229:N229)</f>
        <v/>
      </c>
    </row>
    <row r="232">
      <c r="A232" s="1" t="inlineStr">
        <is>
          <t xml:space="preserve">  PBF Energy Company LLC Chalmette  [PBF_CHALMETTE]   —   PBF Energy Company LLC   —   PADD 3   —   crude 185 kbd</t>
        </is>
      </c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</row>
    <row r="233">
      <c r="A233" s="4" t="inlineStr">
        <is>
          <t>UNIT</t>
        </is>
      </c>
      <c r="B233" s="5" t="inlineStr">
        <is>
          <t>PBF_CHALMETTE</t>
        </is>
      </c>
      <c r="C233" s="5" t="n">
        <v>3</v>
      </c>
      <c r="D233" s="5" t="inlineStr">
        <is>
          <t>CRUDE-EST</t>
        </is>
      </c>
      <c r="E233" s="5" t="inlineStr">
        <is>
          <t>est. yield</t>
        </is>
      </c>
      <c r="F233" s="6">
        <f>SUMIFS(Data!$G$3:$G$125,Data!$A$3:$A$125,$B233)</f>
        <v/>
      </c>
      <c r="G233" s="7" t="n"/>
      <c r="H233" s="8">
        <f>IF($G233&lt;&gt;"",$G233,SUMIFS(Assumptions!$K$4:$K$8,Assumptions!$J$4:$J$8,$C233))</f>
        <v/>
      </c>
      <c r="I233" s="7" t="n"/>
      <c r="J233" s="9">
        <f>IF($I233&lt;&gt;"",$I233,SUMIFS(Data!$N$3:$N$125,Data!$A$3:$A$125,$B233)*Assumptions!$S$4)</f>
        <v/>
      </c>
      <c r="K233" s="7" t="n"/>
      <c r="L233" s="9">
        <f>IF($K233&lt;&gt;"",$K233,SUMIFS(Data!$N$3:$N$125,Data!$A$3:$A$125,$B233)*Assumptions!$S$5)</f>
        <v/>
      </c>
      <c r="M233" s="9">
        <f>J233+L233</f>
        <v/>
      </c>
      <c r="N233" s="10">
        <f>$F233*$H233*$M233</f>
        <v/>
      </c>
    </row>
    <row r="234">
      <c r="A234" s="11" t="inlineStr">
        <is>
          <t>TOTAL</t>
        </is>
      </c>
      <c r="B234" s="12" t="inlineStr">
        <is>
          <t>PBF_CHALMETTE</t>
        </is>
      </c>
      <c r="C234" s="12" t="n">
        <v>3</v>
      </c>
      <c r="D234" s="12" t="inlineStr">
        <is>
          <t>NET NAPHTHA</t>
        </is>
      </c>
      <c r="N234" s="13">
        <f>SUM(N233:N233)</f>
        <v/>
      </c>
    </row>
    <row r="236">
      <c r="A236" s="1" t="inlineStr">
        <is>
          <t xml:space="preserve">  Citgo Corpus Christi  [CITGO_CORPUS_CHRISTI]   —   PDVSA   —   PADD 3   —   crude 176 kbd</t>
        </is>
      </c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</row>
    <row r="237">
      <c r="A237" s="4" t="inlineStr">
        <is>
          <t>UNIT</t>
        </is>
      </c>
      <c r="B237" s="5" t="inlineStr">
        <is>
          <t>CITGO_CORPUS_CHRISTI</t>
        </is>
      </c>
      <c r="C237" s="5" t="n">
        <v>3</v>
      </c>
      <c r="D237" s="5" t="inlineStr">
        <is>
          <t>CRUDE-EST</t>
        </is>
      </c>
      <c r="E237" s="5" t="inlineStr">
        <is>
          <t>est. yield</t>
        </is>
      </c>
      <c r="F237" s="6">
        <f>SUMIFS(Data!$G$3:$G$125,Data!$A$3:$A$125,$B237)</f>
        <v/>
      </c>
      <c r="G237" s="7" t="n"/>
      <c r="H237" s="8">
        <f>IF($G237&lt;&gt;"",$G237,SUMIFS(Assumptions!$K$4:$K$8,Assumptions!$J$4:$J$8,$C237))</f>
        <v/>
      </c>
      <c r="I237" s="7" t="n"/>
      <c r="J237" s="9">
        <f>IF($I237&lt;&gt;"",$I237,SUMIFS(Data!$N$3:$N$125,Data!$A$3:$A$125,$B237)*Assumptions!$S$4)</f>
        <v/>
      </c>
      <c r="K237" s="7" t="n"/>
      <c r="L237" s="9">
        <f>IF($K237&lt;&gt;"",$K237,SUMIFS(Data!$N$3:$N$125,Data!$A$3:$A$125,$B237)*Assumptions!$S$5)</f>
        <v/>
      </c>
      <c r="M237" s="9">
        <f>J237+L237</f>
        <v/>
      </c>
      <c r="N237" s="10">
        <f>$F237*$H237*$M237</f>
        <v/>
      </c>
    </row>
    <row r="238">
      <c r="A238" s="11" t="inlineStr">
        <is>
          <t>TOTAL</t>
        </is>
      </c>
      <c r="B238" s="12" t="inlineStr">
        <is>
          <t>CITGO_CORPUS_CHRISTI</t>
        </is>
      </c>
      <c r="C238" s="12" t="n">
        <v>3</v>
      </c>
      <c r="D238" s="12" t="inlineStr">
        <is>
          <t>NET NAPHTHA</t>
        </is>
      </c>
      <c r="N238" s="13">
        <f>SUM(N237:N237)</f>
        <v/>
      </c>
    </row>
    <row r="240">
      <c r="A240" s="1" t="inlineStr">
        <is>
          <t xml:space="preserve">  WRB Refining Borger  [WRB_BORGER]   —   Cenovus (50%) / Phillips 66 Co. (50%)   —   PADD 3   —   crude 154 kbd</t>
        </is>
      </c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</row>
    <row r="241">
      <c r="A241" s="4" t="inlineStr">
        <is>
          <t>UNIT</t>
        </is>
      </c>
      <c r="B241" s="5" t="inlineStr">
        <is>
          <t>WRB_BORGER</t>
        </is>
      </c>
      <c r="C241" s="5" t="n">
        <v>3</v>
      </c>
      <c r="D241" s="5" t="inlineStr">
        <is>
          <t>CRUDE-EST</t>
        </is>
      </c>
      <c r="E241" s="5" t="inlineStr">
        <is>
          <t>est. yield</t>
        </is>
      </c>
      <c r="F241" s="6">
        <f>SUMIFS(Data!$G$3:$G$125,Data!$A$3:$A$125,$B241)</f>
        <v/>
      </c>
      <c r="G241" s="7" t="n"/>
      <c r="H241" s="8">
        <f>IF($G241&lt;&gt;"",$G241,SUMIFS(Assumptions!$K$4:$K$8,Assumptions!$J$4:$J$8,$C241))</f>
        <v/>
      </c>
      <c r="I241" s="7" t="n"/>
      <c r="J241" s="9">
        <f>IF($I241&lt;&gt;"",$I241,SUMIFS(Data!$N$3:$N$125,Data!$A$3:$A$125,$B241)*Assumptions!$S$4)</f>
        <v/>
      </c>
      <c r="K241" s="7" t="n"/>
      <c r="L241" s="9">
        <f>IF($K241&lt;&gt;"",$K241,SUMIFS(Data!$N$3:$N$125,Data!$A$3:$A$125,$B241)*Assumptions!$S$5)</f>
        <v/>
      </c>
      <c r="M241" s="9">
        <f>J241+L241</f>
        <v/>
      </c>
      <c r="N241" s="10">
        <f>$F241*$H241*$M241</f>
        <v/>
      </c>
    </row>
    <row r="242">
      <c r="A242" s="11" t="inlineStr">
        <is>
          <t>TOTAL</t>
        </is>
      </c>
      <c r="B242" s="12" t="inlineStr">
        <is>
          <t>WRB_BORGER</t>
        </is>
      </c>
      <c r="C242" s="12" t="n">
        <v>3</v>
      </c>
      <c r="D242" s="12" t="inlineStr">
        <is>
          <t>NET NAPHTHA</t>
        </is>
      </c>
      <c r="N242" s="13">
        <f>SUM(N241:N241)</f>
        <v/>
      </c>
    </row>
    <row r="244">
      <c r="A244" s="1" t="inlineStr">
        <is>
          <t xml:space="preserve">  Marathon Petroleum El Paso  [MARATHON_EL_PASO]   —   Marathon Petroleum   —   PADD 3   —   crude 133 kbd</t>
        </is>
      </c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</row>
    <row r="245">
      <c r="A245" s="4" t="inlineStr">
        <is>
          <t>UNIT</t>
        </is>
      </c>
      <c r="B245" s="5" t="inlineStr">
        <is>
          <t>MARATHON_EL_PASO</t>
        </is>
      </c>
      <c r="C245" s="5" t="n">
        <v>3</v>
      </c>
      <c r="D245" s="5" t="inlineStr">
        <is>
          <t>CRUDE-EST</t>
        </is>
      </c>
      <c r="E245" s="5" t="inlineStr">
        <is>
          <t>est. yield</t>
        </is>
      </c>
      <c r="F245" s="6">
        <f>SUMIFS(Data!$G$3:$G$125,Data!$A$3:$A$125,$B245)</f>
        <v/>
      </c>
      <c r="G245" s="7" t="n"/>
      <c r="H245" s="8">
        <f>IF($G245&lt;&gt;"",$G245,SUMIFS(Assumptions!$K$4:$K$8,Assumptions!$J$4:$J$8,$C245))</f>
        <v/>
      </c>
      <c r="I245" s="7" t="n"/>
      <c r="J245" s="9">
        <f>IF($I245&lt;&gt;"",$I245,SUMIFS(Data!$N$3:$N$125,Data!$A$3:$A$125,$B245)*Assumptions!$S$4)</f>
        <v/>
      </c>
      <c r="K245" s="7" t="n"/>
      <c r="L245" s="9">
        <f>IF($K245&lt;&gt;"",$K245,SUMIFS(Data!$N$3:$N$125,Data!$A$3:$A$125,$B245)*Assumptions!$S$5)</f>
        <v/>
      </c>
      <c r="M245" s="9">
        <f>J245+L245</f>
        <v/>
      </c>
      <c r="N245" s="10">
        <f>$F245*$H245*$M245</f>
        <v/>
      </c>
    </row>
    <row r="246">
      <c r="A246" s="11" t="inlineStr">
        <is>
          <t>TOTAL</t>
        </is>
      </c>
      <c r="B246" s="12" t="inlineStr">
        <is>
          <t>MARATHON_EL_PASO</t>
        </is>
      </c>
      <c r="C246" s="12" t="n">
        <v>3</v>
      </c>
      <c r="D246" s="12" t="inlineStr">
        <is>
          <t>NET NAPHTHA</t>
        </is>
      </c>
      <c r="N246" s="13">
        <f>SUM(N245:N245)</f>
        <v/>
      </c>
    </row>
    <row r="248">
      <c r="A248" s="1" t="inlineStr">
        <is>
          <t xml:space="preserve">  Chevron Pasadena  [CHEVRON_PASADENA]   —   Chevron   —   PADD 3   —   crude 125 kbd</t>
        </is>
      </c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</row>
    <row r="249">
      <c r="A249" s="4" t="inlineStr">
        <is>
          <t>UNIT</t>
        </is>
      </c>
      <c r="B249" s="5" t="inlineStr">
        <is>
          <t>CHEVRON_PASADENA</t>
        </is>
      </c>
      <c r="C249" s="5" t="n">
        <v>3</v>
      </c>
      <c r="D249" s="5" t="inlineStr">
        <is>
          <t>CRUDE-EST</t>
        </is>
      </c>
      <c r="E249" s="5" t="inlineStr">
        <is>
          <t>est. yield</t>
        </is>
      </c>
      <c r="F249" s="6">
        <f>SUMIFS(Data!$G$3:$G$125,Data!$A$3:$A$125,$B249)</f>
        <v/>
      </c>
      <c r="G249" s="7" t="n"/>
      <c r="H249" s="8">
        <f>IF($G249&lt;&gt;"",$G249,SUMIFS(Assumptions!$K$4:$K$8,Assumptions!$J$4:$J$8,$C249))</f>
        <v/>
      </c>
      <c r="I249" s="7" t="n"/>
      <c r="J249" s="9">
        <f>IF($I249&lt;&gt;"",$I249,SUMIFS(Data!$N$3:$N$125,Data!$A$3:$A$125,$B249)*Assumptions!$S$4)</f>
        <v/>
      </c>
      <c r="K249" s="7" t="n"/>
      <c r="L249" s="9">
        <f>IF($K249&lt;&gt;"",$K249,SUMIFS(Data!$N$3:$N$125,Data!$A$3:$A$125,$B249)*Assumptions!$S$5)</f>
        <v/>
      </c>
      <c r="M249" s="9">
        <f>J249+L249</f>
        <v/>
      </c>
      <c r="N249" s="10">
        <f>$F249*$H249*$M249</f>
        <v/>
      </c>
    </row>
    <row r="250">
      <c r="A250" s="11" t="inlineStr">
        <is>
          <t>TOTAL</t>
        </is>
      </c>
      <c r="B250" s="12" t="inlineStr">
        <is>
          <t>CHEVRON_PASADENA</t>
        </is>
      </c>
      <c r="C250" s="12" t="n">
        <v>3</v>
      </c>
      <c r="D250" s="12" t="inlineStr">
        <is>
          <t>NET NAPHTHA</t>
        </is>
      </c>
      <c r="N250" s="13">
        <f>SUM(N249:N249)</f>
        <v/>
      </c>
    </row>
    <row r="252">
      <c r="A252" s="1" t="inlineStr">
        <is>
          <t xml:space="preserve">  Valero Meraux  [VALERO_MERAUX]   —   Valero   —   PADD 3   —   crude 125 kbd</t>
        </is>
      </c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</row>
    <row r="253">
      <c r="A253" s="4" t="inlineStr">
        <is>
          <t>UNIT</t>
        </is>
      </c>
      <c r="B253" s="5" t="inlineStr">
        <is>
          <t>VALERO_MERAUX</t>
        </is>
      </c>
      <c r="C253" s="5" t="n">
        <v>3</v>
      </c>
      <c r="D253" s="5" t="inlineStr">
        <is>
          <t>CRUDE-EST</t>
        </is>
      </c>
      <c r="E253" s="5" t="inlineStr">
        <is>
          <t>est. yield</t>
        </is>
      </c>
      <c r="F253" s="6">
        <f>SUMIFS(Data!$G$3:$G$125,Data!$A$3:$A$125,$B253)</f>
        <v/>
      </c>
      <c r="G253" s="7" t="n"/>
      <c r="H253" s="8">
        <f>IF($G253&lt;&gt;"",$G253,SUMIFS(Assumptions!$K$4:$K$8,Assumptions!$J$4:$J$8,$C253))</f>
        <v/>
      </c>
      <c r="I253" s="7" t="n"/>
      <c r="J253" s="9">
        <f>IF($I253&lt;&gt;"",$I253,SUMIFS(Data!$N$3:$N$125,Data!$A$3:$A$125,$B253)*Assumptions!$S$4)</f>
        <v/>
      </c>
      <c r="K253" s="7" t="n"/>
      <c r="L253" s="9">
        <f>IF($K253&lt;&gt;"",$K253,SUMIFS(Data!$N$3:$N$125,Data!$A$3:$A$125,$B253)*Assumptions!$S$5)</f>
        <v/>
      </c>
      <c r="M253" s="9">
        <f>J253+L253</f>
        <v/>
      </c>
      <c r="N253" s="10">
        <f>$F253*$H253*$M253</f>
        <v/>
      </c>
    </row>
    <row r="254">
      <c r="A254" s="11" t="inlineStr">
        <is>
          <t>TOTAL</t>
        </is>
      </c>
      <c r="B254" s="12" t="inlineStr">
        <is>
          <t>VALERO_MERAUX</t>
        </is>
      </c>
      <c r="C254" s="12" t="n">
        <v>3</v>
      </c>
      <c r="D254" s="12" t="inlineStr">
        <is>
          <t>NET NAPHTHA</t>
        </is>
      </c>
      <c r="N254" s="13">
        <f>SUM(N253:N253)</f>
        <v/>
      </c>
    </row>
    <row r="256">
      <c r="A256" s="1" t="inlineStr">
        <is>
          <t xml:space="preserve">  Kinder Morgan Houston  [KINDER_HOUSTON]   —   Kinder Morgan   —   PADD 3   —   crude 121 kbd</t>
        </is>
      </c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</row>
    <row r="257">
      <c r="A257" s="4" t="inlineStr">
        <is>
          <t>UNIT</t>
        </is>
      </c>
      <c r="B257" s="5" t="inlineStr">
        <is>
          <t>KINDER_HOUSTON</t>
        </is>
      </c>
      <c r="C257" s="5" t="n">
        <v>3</v>
      </c>
      <c r="D257" s="5" t="inlineStr">
        <is>
          <t>CRUDE-EST</t>
        </is>
      </c>
      <c r="E257" s="5" t="inlineStr">
        <is>
          <t>est. yield</t>
        </is>
      </c>
      <c r="F257" s="6">
        <f>SUMIFS(Data!$G$3:$G$125,Data!$A$3:$A$125,$B257)</f>
        <v/>
      </c>
      <c r="G257" s="7" t="n"/>
      <c r="H257" s="8">
        <f>IF($G257&lt;&gt;"",$G257,SUMIFS(Assumptions!$K$4:$K$8,Assumptions!$J$4:$J$8,$C257))</f>
        <v/>
      </c>
      <c r="I257" s="7" t="n"/>
      <c r="J257" s="9">
        <f>IF($I257&lt;&gt;"",$I257,SUMIFS(Data!$N$3:$N$125,Data!$A$3:$A$125,$B257)*Assumptions!$S$4)</f>
        <v/>
      </c>
      <c r="K257" s="7" t="n"/>
      <c r="L257" s="9">
        <f>IF($K257&lt;&gt;"",$K257,SUMIFS(Data!$N$3:$N$125,Data!$A$3:$A$125,$B257)*Assumptions!$S$5)</f>
        <v/>
      </c>
      <c r="M257" s="9">
        <f>J257+L257</f>
        <v/>
      </c>
      <c r="N257" s="10">
        <f>$F257*$H257*$M257</f>
        <v/>
      </c>
    </row>
    <row r="258">
      <c r="A258" s="11" t="inlineStr">
        <is>
          <t>TOTAL</t>
        </is>
      </c>
      <c r="B258" s="12" t="inlineStr">
        <is>
          <t>KINDER_HOUSTON</t>
        </is>
      </c>
      <c r="C258" s="12" t="n">
        <v>3</v>
      </c>
      <c r="D258" s="12" t="inlineStr">
        <is>
          <t>NET NAPHTHA</t>
        </is>
      </c>
      <c r="N258" s="13">
        <f>SUM(N257:N257)</f>
        <v/>
      </c>
    </row>
    <row r="260">
      <c r="A260" s="1" t="inlineStr">
        <is>
          <t xml:space="preserve">  Calcasieu Refining Co. Lake Charles  [CALCASIEU_LAKE_CHARLES]   —   TransWorld Oil   —   PADD 3   —   crude 105 kbd</t>
        </is>
      </c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</row>
    <row r="261">
      <c r="A261" s="4" t="inlineStr">
        <is>
          <t>UNIT</t>
        </is>
      </c>
      <c r="B261" s="5" t="inlineStr">
        <is>
          <t>CALCASIEU_LAKE_CHARLES</t>
        </is>
      </c>
      <c r="C261" s="5" t="n">
        <v>3</v>
      </c>
      <c r="D261" s="5" t="inlineStr">
        <is>
          <t>CRUDE-EST</t>
        </is>
      </c>
      <c r="E261" s="5" t="inlineStr">
        <is>
          <t>est. yield</t>
        </is>
      </c>
      <c r="F261" s="6">
        <f>SUMIFS(Data!$G$3:$G$125,Data!$A$3:$A$125,$B261)</f>
        <v/>
      </c>
      <c r="G261" s="7" t="n"/>
      <c r="H261" s="8">
        <f>IF($G261&lt;&gt;"",$G261,SUMIFS(Assumptions!$K$4:$K$8,Assumptions!$J$4:$J$8,$C261))</f>
        <v/>
      </c>
      <c r="I261" s="7" t="n"/>
      <c r="J261" s="9">
        <f>IF($I261&lt;&gt;"",$I261,SUMIFS(Data!$N$3:$N$125,Data!$A$3:$A$125,$B261)*Assumptions!$S$4)</f>
        <v/>
      </c>
      <c r="K261" s="7" t="n"/>
      <c r="L261" s="9">
        <f>IF($K261&lt;&gt;"",$K261,SUMIFS(Data!$N$3:$N$125,Data!$A$3:$A$125,$B261)*Assumptions!$S$5)</f>
        <v/>
      </c>
      <c r="M261" s="9">
        <f>J261+L261</f>
        <v/>
      </c>
      <c r="N261" s="10">
        <f>$F261*$H261*$M261</f>
        <v/>
      </c>
    </row>
    <row r="262">
      <c r="A262" s="11" t="inlineStr">
        <is>
          <t>TOTAL</t>
        </is>
      </c>
      <c r="B262" s="12" t="inlineStr">
        <is>
          <t>CALCASIEU_LAKE_CHARLES</t>
        </is>
      </c>
      <c r="C262" s="12" t="n">
        <v>3</v>
      </c>
      <c r="D262" s="12" t="inlineStr">
        <is>
          <t>NET NAPHTHA</t>
        </is>
      </c>
      <c r="N262" s="13">
        <f>SUM(N261:N261)</f>
        <v/>
      </c>
    </row>
    <row r="264">
      <c r="A264" s="1" t="inlineStr">
        <is>
          <t xml:space="preserve">  HF Sinclair Artesia  [HF_ARTESIA]   —   HF Sinclair   —   PADD 3   —   crude 100 kbd</t>
        </is>
      </c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</row>
    <row r="265">
      <c r="A265" s="4" t="inlineStr">
        <is>
          <t>UNIT</t>
        </is>
      </c>
      <c r="B265" s="5" t="inlineStr">
        <is>
          <t>HF_ARTESIA</t>
        </is>
      </c>
      <c r="C265" s="5" t="n">
        <v>3</v>
      </c>
      <c r="D265" s="5" t="inlineStr">
        <is>
          <t>CRUDE-EST</t>
        </is>
      </c>
      <c r="E265" s="5" t="inlineStr">
        <is>
          <t>est. yield</t>
        </is>
      </c>
      <c r="F265" s="6">
        <f>SUMIFS(Data!$G$3:$G$125,Data!$A$3:$A$125,$B265)</f>
        <v/>
      </c>
      <c r="G265" s="7" t="n"/>
      <c r="H265" s="8">
        <f>IF($G265&lt;&gt;"",$G265,SUMIFS(Assumptions!$K$4:$K$8,Assumptions!$J$4:$J$8,$C265))</f>
        <v/>
      </c>
      <c r="I265" s="7" t="n"/>
      <c r="J265" s="9">
        <f>IF($I265&lt;&gt;"",$I265,SUMIFS(Data!$N$3:$N$125,Data!$A$3:$A$125,$B265)*Assumptions!$S$4)</f>
        <v/>
      </c>
      <c r="K265" s="7" t="n"/>
      <c r="L265" s="9">
        <f>IF($K265&lt;&gt;"",$K265,SUMIFS(Data!$N$3:$N$125,Data!$A$3:$A$125,$B265)*Assumptions!$S$5)</f>
        <v/>
      </c>
      <c r="M265" s="9">
        <f>J265+L265</f>
        <v/>
      </c>
      <c r="N265" s="10">
        <f>$F265*$H265*$M265</f>
        <v/>
      </c>
    </row>
    <row r="266">
      <c r="A266" s="11" t="inlineStr">
        <is>
          <t>TOTAL</t>
        </is>
      </c>
      <c r="B266" s="12" t="inlineStr">
        <is>
          <t>HF_ARTESIA</t>
        </is>
      </c>
      <c r="C266" s="12" t="n">
        <v>3</v>
      </c>
      <c r="D266" s="12" t="inlineStr">
        <is>
          <t>NET NAPHTHA</t>
        </is>
      </c>
      <c r="N266" s="13">
        <f>SUM(N265:N265)</f>
        <v/>
      </c>
    </row>
    <row r="268">
      <c r="A268" s="1" t="inlineStr">
        <is>
          <t xml:space="preserve">  Valero Three Rivers  [VALERO_THREE_RIVERS]   —   Valero   —   PADD 3   —   crude 98 kbd</t>
        </is>
      </c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</row>
    <row r="269">
      <c r="A269" s="4" t="inlineStr">
        <is>
          <t>UNIT</t>
        </is>
      </c>
      <c r="B269" s="5" t="inlineStr">
        <is>
          <t>VALERO_THREE_RIVERS</t>
        </is>
      </c>
      <c r="C269" s="5" t="n">
        <v>3</v>
      </c>
      <c r="D269" s="5" t="inlineStr">
        <is>
          <t>CRUDE-EST</t>
        </is>
      </c>
      <c r="E269" s="5" t="inlineStr">
        <is>
          <t>est. yield</t>
        </is>
      </c>
      <c r="F269" s="6">
        <f>SUMIFS(Data!$G$3:$G$125,Data!$A$3:$A$125,$B269)</f>
        <v/>
      </c>
      <c r="G269" s="7" t="n"/>
      <c r="H269" s="8">
        <f>IF($G269&lt;&gt;"",$G269,SUMIFS(Assumptions!$K$4:$K$8,Assumptions!$J$4:$J$8,$C269))</f>
        <v/>
      </c>
      <c r="I269" s="7" t="n"/>
      <c r="J269" s="9">
        <f>IF($I269&lt;&gt;"",$I269,SUMIFS(Data!$N$3:$N$125,Data!$A$3:$A$125,$B269)*Assumptions!$S$4)</f>
        <v/>
      </c>
      <c r="K269" s="7" t="n"/>
      <c r="L269" s="9">
        <f>IF($K269&lt;&gt;"",$K269,SUMIFS(Data!$N$3:$N$125,Data!$A$3:$A$125,$B269)*Assumptions!$S$5)</f>
        <v/>
      </c>
      <c r="M269" s="9">
        <f>J269+L269</f>
        <v/>
      </c>
      <c r="N269" s="10">
        <f>$F269*$H269*$M269</f>
        <v/>
      </c>
    </row>
    <row r="270">
      <c r="A270" s="11" t="inlineStr">
        <is>
          <t>TOTAL</t>
        </is>
      </c>
      <c r="B270" s="12" t="inlineStr">
        <is>
          <t>VALERO_THREE_RIVERS</t>
        </is>
      </c>
      <c r="C270" s="12" t="n">
        <v>3</v>
      </c>
      <c r="D270" s="12" t="inlineStr">
        <is>
          <t>NET NAPHTHA</t>
        </is>
      </c>
      <c r="N270" s="13">
        <f>SUM(N269:N269)</f>
        <v/>
      </c>
    </row>
    <row r="272">
      <c r="A272" s="1" t="inlineStr">
        <is>
          <t xml:space="preserve">  Vertex Energy Inc. Mobile  [VERTEX_MOBILE]   —   Vertex Energy Inc.   —   PADD 3   —   crude 91 kbd</t>
        </is>
      </c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</row>
    <row r="273">
      <c r="A273" s="4" t="inlineStr">
        <is>
          <t>UNIT</t>
        </is>
      </c>
      <c r="B273" s="5" t="inlineStr">
        <is>
          <t>VERTEX_MOBILE</t>
        </is>
      </c>
      <c r="C273" s="5" t="n">
        <v>3</v>
      </c>
      <c r="D273" s="5" t="inlineStr">
        <is>
          <t>CRUDE-EST</t>
        </is>
      </c>
      <c r="E273" s="5" t="inlineStr">
        <is>
          <t>est. yield</t>
        </is>
      </c>
      <c r="F273" s="6">
        <f>SUMIFS(Data!$G$3:$G$125,Data!$A$3:$A$125,$B273)</f>
        <v/>
      </c>
      <c r="G273" s="7" t="n"/>
      <c r="H273" s="8">
        <f>IF($G273&lt;&gt;"",$G273,SUMIFS(Assumptions!$K$4:$K$8,Assumptions!$J$4:$J$8,$C273))</f>
        <v/>
      </c>
      <c r="I273" s="7" t="n"/>
      <c r="J273" s="9">
        <f>IF($I273&lt;&gt;"",$I273,SUMIFS(Data!$N$3:$N$125,Data!$A$3:$A$125,$B273)*Assumptions!$S$4)</f>
        <v/>
      </c>
      <c r="K273" s="7" t="n"/>
      <c r="L273" s="9">
        <f>IF($K273&lt;&gt;"",$K273,SUMIFS(Data!$N$3:$N$125,Data!$A$3:$A$125,$B273)*Assumptions!$S$5)</f>
        <v/>
      </c>
      <c r="M273" s="9">
        <f>J273+L273</f>
        <v/>
      </c>
      <c r="N273" s="10">
        <f>$F273*$H273*$M273</f>
        <v/>
      </c>
    </row>
    <row r="274">
      <c r="A274" s="11" t="inlineStr">
        <is>
          <t>TOTAL</t>
        </is>
      </c>
      <c r="B274" s="12" t="inlineStr">
        <is>
          <t>VERTEX_MOBILE</t>
        </is>
      </c>
      <c r="C274" s="12" t="n">
        <v>3</v>
      </c>
      <c r="D274" s="12" t="inlineStr">
        <is>
          <t>NET NAPHTHA</t>
        </is>
      </c>
      <c r="N274" s="13">
        <f>SUM(N273:N273)</f>
        <v/>
      </c>
    </row>
    <row r="276">
      <c r="A276" s="1" t="inlineStr">
        <is>
          <t xml:space="preserve">  Delek Group El Dorado (AR)  [DELEK_EL_DORADO_AR]   —   Delek Group   —   PADD 3   —   crude 80 kbd</t>
        </is>
      </c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</row>
    <row r="277">
      <c r="A277" s="4" t="inlineStr">
        <is>
          <t>UNIT</t>
        </is>
      </c>
      <c r="B277" s="5" t="inlineStr">
        <is>
          <t>DELEK_EL_DORADO_AR</t>
        </is>
      </c>
      <c r="C277" s="5" t="n">
        <v>3</v>
      </c>
      <c r="D277" s="5" t="inlineStr">
        <is>
          <t>CRUDE-EST</t>
        </is>
      </c>
      <c r="E277" s="5" t="inlineStr">
        <is>
          <t>est. yield</t>
        </is>
      </c>
      <c r="F277" s="6">
        <f>SUMIFS(Data!$G$3:$G$125,Data!$A$3:$A$125,$B277)</f>
        <v/>
      </c>
      <c r="G277" s="7" t="n"/>
      <c r="H277" s="8">
        <f>IF($G277&lt;&gt;"",$G277,SUMIFS(Assumptions!$K$4:$K$8,Assumptions!$J$4:$J$8,$C277))</f>
        <v/>
      </c>
      <c r="I277" s="7" t="n"/>
      <c r="J277" s="9">
        <f>IF($I277&lt;&gt;"",$I277,SUMIFS(Data!$N$3:$N$125,Data!$A$3:$A$125,$B277)*Assumptions!$S$4)</f>
        <v/>
      </c>
      <c r="K277" s="7" t="n"/>
      <c r="L277" s="9">
        <f>IF($K277&lt;&gt;"",$K277,SUMIFS(Data!$N$3:$N$125,Data!$A$3:$A$125,$B277)*Assumptions!$S$5)</f>
        <v/>
      </c>
      <c r="M277" s="9">
        <f>J277+L277</f>
        <v/>
      </c>
      <c r="N277" s="10">
        <f>$F277*$H277*$M277</f>
        <v/>
      </c>
    </row>
    <row r="278">
      <c r="A278" s="11" t="inlineStr">
        <is>
          <t>TOTAL</t>
        </is>
      </c>
      <c r="B278" s="12" t="inlineStr">
        <is>
          <t>DELEK_EL_DORADO_AR</t>
        </is>
      </c>
      <c r="C278" s="12" t="n">
        <v>3</v>
      </c>
      <c r="D278" s="12" t="inlineStr">
        <is>
          <t>NET NAPHTHA</t>
        </is>
      </c>
      <c r="N278" s="13">
        <f>SUM(N277:N277)</f>
        <v/>
      </c>
    </row>
    <row r="280">
      <c r="A280" s="1" t="inlineStr">
        <is>
          <t xml:space="preserve">  BASF FINA Petrochemicals Port Arthur  [BASF_PORT_ARTHUR]   —   BASF (60%) / Total (40%)   —   PADD 3   —   crude 75 kbd</t>
        </is>
      </c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</row>
    <row r="281">
      <c r="A281" s="4" t="inlineStr">
        <is>
          <t>UNIT</t>
        </is>
      </c>
      <c r="B281" s="5" t="inlineStr">
        <is>
          <t>BASF_PORT_ARTHUR</t>
        </is>
      </c>
      <c r="C281" s="5" t="n">
        <v>3</v>
      </c>
      <c r="D281" s="5" t="inlineStr">
        <is>
          <t>CRUDE-EST</t>
        </is>
      </c>
      <c r="E281" s="5" t="inlineStr">
        <is>
          <t>est. yield</t>
        </is>
      </c>
      <c r="F281" s="6">
        <f>SUMIFS(Data!$G$3:$G$125,Data!$A$3:$A$125,$B281)</f>
        <v/>
      </c>
      <c r="G281" s="7" t="n"/>
      <c r="H281" s="8">
        <f>IF($G281&lt;&gt;"",$G281,SUMIFS(Assumptions!$K$4:$K$8,Assumptions!$J$4:$J$8,$C281))</f>
        <v/>
      </c>
      <c r="I281" s="7" t="n"/>
      <c r="J281" s="9">
        <f>IF($I281&lt;&gt;"",$I281,SUMIFS(Data!$N$3:$N$125,Data!$A$3:$A$125,$B281)*Assumptions!$S$4)</f>
        <v/>
      </c>
      <c r="K281" s="7" t="n"/>
      <c r="L281" s="9">
        <f>IF($K281&lt;&gt;"",$K281,SUMIFS(Data!$N$3:$N$125,Data!$A$3:$A$125,$B281)*Assumptions!$S$5)</f>
        <v/>
      </c>
      <c r="M281" s="9">
        <f>J281+L281</f>
        <v/>
      </c>
      <c r="N281" s="10">
        <f>$F281*$H281*$M281</f>
        <v/>
      </c>
    </row>
    <row r="282">
      <c r="A282" s="11" t="inlineStr">
        <is>
          <t>TOTAL</t>
        </is>
      </c>
      <c r="B282" s="12" t="inlineStr">
        <is>
          <t>BASF_PORT_ARTHUR</t>
        </is>
      </c>
      <c r="C282" s="12" t="n">
        <v>3</v>
      </c>
      <c r="D282" s="12" t="inlineStr">
        <is>
          <t>NET NAPHTHA</t>
        </is>
      </c>
      <c r="N282" s="13">
        <f>SUM(N281:N281)</f>
        <v/>
      </c>
    </row>
    <row r="284">
      <c r="A284" s="1" t="inlineStr">
        <is>
          <t xml:space="preserve">  Delek Refining Ltd. Tyler  [DELEK_TYLER]   —   Delek Group   —   PADD 3   —   crude 75 kbd</t>
        </is>
      </c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</row>
    <row r="285">
      <c r="A285" s="4" t="inlineStr">
        <is>
          <t>UNIT</t>
        </is>
      </c>
      <c r="B285" s="5" t="inlineStr">
        <is>
          <t>DELEK_TYLER</t>
        </is>
      </c>
      <c r="C285" s="5" t="n">
        <v>3</v>
      </c>
      <c r="D285" s="5" t="inlineStr">
        <is>
          <t>CRUDE-EST</t>
        </is>
      </c>
      <c r="E285" s="5" t="inlineStr">
        <is>
          <t>est. yield</t>
        </is>
      </c>
      <c r="F285" s="6">
        <f>SUMIFS(Data!$G$3:$G$125,Data!$A$3:$A$125,$B285)</f>
        <v/>
      </c>
      <c r="G285" s="7" t="n"/>
      <c r="H285" s="8">
        <f>IF($G285&lt;&gt;"",$G285,SUMIFS(Assumptions!$K$4:$K$8,Assumptions!$J$4:$J$8,$C285))</f>
        <v/>
      </c>
      <c r="I285" s="7" t="n"/>
      <c r="J285" s="9">
        <f>IF($I285&lt;&gt;"",$I285,SUMIFS(Data!$N$3:$N$125,Data!$A$3:$A$125,$B285)*Assumptions!$S$4)</f>
        <v/>
      </c>
      <c r="K285" s="7" t="n"/>
      <c r="L285" s="9">
        <f>IF($K285&lt;&gt;"",$K285,SUMIFS(Data!$N$3:$N$125,Data!$A$3:$A$125,$B285)*Assumptions!$S$5)</f>
        <v/>
      </c>
      <c r="M285" s="9">
        <f>J285+L285</f>
        <v/>
      </c>
      <c r="N285" s="10">
        <f>$F285*$H285*$M285</f>
        <v/>
      </c>
    </row>
    <row r="286">
      <c r="A286" s="11" t="inlineStr">
        <is>
          <t>TOTAL</t>
        </is>
      </c>
      <c r="B286" s="12" t="inlineStr">
        <is>
          <t>DELEK_TYLER</t>
        </is>
      </c>
      <c r="C286" s="12" t="n">
        <v>3</v>
      </c>
      <c r="D286" s="12" t="inlineStr">
        <is>
          <t>NET NAPHTHA</t>
        </is>
      </c>
      <c r="N286" s="13">
        <f>SUM(N285:N285)</f>
        <v/>
      </c>
    </row>
    <row r="288">
      <c r="A288" s="1" t="inlineStr">
        <is>
          <t xml:space="preserve">  Placid Refining Port Allen  [PLACID_PORT_ALLEN]   —   Placid Refining   —   PADD 3   —   crude 75 kbd</t>
        </is>
      </c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</row>
    <row r="289">
      <c r="A289" s="4" t="inlineStr">
        <is>
          <t>UNIT</t>
        </is>
      </c>
      <c r="B289" s="5" t="inlineStr">
        <is>
          <t>PLACID_PORT_ALLEN</t>
        </is>
      </c>
      <c r="C289" s="5" t="n">
        <v>3</v>
      </c>
      <c r="D289" s="5" t="inlineStr">
        <is>
          <t>CRUDE-EST</t>
        </is>
      </c>
      <c r="E289" s="5" t="inlineStr">
        <is>
          <t>est. yield</t>
        </is>
      </c>
      <c r="F289" s="6">
        <f>SUMIFS(Data!$G$3:$G$125,Data!$A$3:$A$125,$B289)</f>
        <v/>
      </c>
      <c r="G289" s="7" t="n"/>
      <c r="H289" s="8">
        <f>IF($G289&lt;&gt;"",$G289,SUMIFS(Assumptions!$K$4:$K$8,Assumptions!$J$4:$J$8,$C289))</f>
        <v/>
      </c>
      <c r="I289" s="7" t="n"/>
      <c r="J289" s="9">
        <f>IF($I289&lt;&gt;"",$I289,SUMIFS(Data!$N$3:$N$125,Data!$A$3:$A$125,$B289)*Assumptions!$S$4)</f>
        <v/>
      </c>
      <c r="K289" s="7" t="n"/>
      <c r="L289" s="9">
        <f>IF($K289&lt;&gt;"",$K289,SUMIFS(Data!$N$3:$N$125,Data!$A$3:$A$125,$B289)*Assumptions!$S$5)</f>
        <v/>
      </c>
      <c r="M289" s="9">
        <f>J289+L289</f>
        <v/>
      </c>
      <c r="N289" s="10">
        <f>$F289*$H289*$M289</f>
        <v/>
      </c>
    </row>
    <row r="290">
      <c r="A290" s="11" t="inlineStr">
        <is>
          <t>TOTAL</t>
        </is>
      </c>
      <c r="B290" s="12" t="inlineStr">
        <is>
          <t>PLACID_PORT_ALLEN</t>
        </is>
      </c>
      <c r="C290" s="12" t="n">
        <v>3</v>
      </c>
      <c r="D290" s="12" t="inlineStr">
        <is>
          <t>NET NAPHTHA</t>
        </is>
      </c>
      <c r="N290" s="13">
        <f>SUM(N289:N289)</f>
        <v/>
      </c>
    </row>
    <row r="292">
      <c r="A292" s="1" t="inlineStr">
        <is>
          <t xml:space="preserve">  Delek Group Krotz Springs  [DELEK_KROTZ_SPRINGS]   —   Delek Group   —   PADD 3   —   crude 74 kbd</t>
        </is>
      </c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</row>
    <row r="293">
      <c r="A293" s="4" t="inlineStr">
        <is>
          <t>UNIT</t>
        </is>
      </c>
      <c r="B293" s="5" t="inlineStr">
        <is>
          <t>DELEK_KROTZ_SPRINGS</t>
        </is>
      </c>
      <c r="C293" s="5" t="n">
        <v>3</v>
      </c>
      <c r="D293" s="5" t="inlineStr">
        <is>
          <t>CRUDE-EST</t>
        </is>
      </c>
      <c r="E293" s="5" t="inlineStr">
        <is>
          <t>est. yield</t>
        </is>
      </c>
      <c r="F293" s="6">
        <f>SUMIFS(Data!$G$3:$G$125,Data!$A$3:$A$125,$B293)</f>
        <v/>
      </c>
      <c r="G293" s="7" t="n"/>
      <c r="H293" s="8">
        <f>IF($G293&lt;&gt;"",$G293,SUMIFS(Assumptions!$K$4:$K$8,Assumptions!$J$4:$J$8,$C293))</f>
        <v/>
      </c>
      <c r="I293" s="7" t="n"/>
      <c r="J293" s="9">
        <f>IF($I293&lt;&gt;"",$I293,SUMIFS(Data!$N$3:$N$125,Data!$A$3:$A$125,$B293)*Assumptions!$S$4)</f>
        <v/>
      </c>
      <c r="K293" s="7" t="n"/>
      <c r="L293" s="9">
        <f>IF($K293&lt;&gt;"",$K293,SUMIFS(Data!$N$3:$N$125,Data!$A$3:$A$125,$B293)*Assumptions!$S$5)</f>
        <v/>
      </c>
      <c r="M293" s="9">
        <f>J293+L293</f>
        <v/>
      </c>
      <c r="N293" s="10">
        <f>$F293*$H293*$M293</f>
        <v/>
      </c>
    </row>
    <row r="294">
      <c r="A294" s="11" t="inlineStr">
        <is>
          <t>TOTAL</t>
        </is>
      </c>
      <c r="B294" s="12" t="inlineStr">
        <is>
          <t>DELEK_KROTZ_SPRINGS</t>
        </is>
      </c>
      <c r="C294" s="12" t="n">
        <v>3</v>
      </c>
      <c r="D294" s="12" t="inlineStr">
        <is>
          <t>NET NAPHTHA</t>
        </is>
      </c>
      <c r="N294" s="13">
        <f>SUM(N293:N293)</f>
        <v/>
      </c>
    </row>
    <row r="296">
      <c r="A296" s="1" t="inlineStr">
        <is>
          <t xml:space="preserve">  Alon Big Springs  [ALON_BIG_SPRINGS]   —   Delek Group   —   PADD 3   —   crude 73 kbd</t>
        </is>
      </c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</row>
    <row r="297">
      <c r="A297" s="4" t="inlineStr">
        <is>
          <t>UNIT</t>
        </is>
      </c>
      <c r="B297" s="5" t="inlineStr">
        <is>
          <t>ALON_BIG_SPRINGS</t>
        </is>
      </c>
      <c r="C297" s="5" t="n">
        <v>3</v>
      </c>
      <c r="D297" s="5" t="inlineStr">
        <is>
          <t>CRUDE-EST</t>
        </is>
      </c>
      <c r="E297" s="5" t="inlineStr">
        <is>
          <t>est. yield</t>
        </is>
      </c>
      <c r="F297" s="6">
        <f>SUMIFS(Data!$G$3:$G$125,Data!$A$3:$A$125,$B297)</f>
        <v/>
      </c>
      <c r="G297" s="7" t="n"/>
      <c r="H297" s="8">
        <f>IF($G297&lt;&gt;"",$G297,SUMIFS(Assumptions!$K$4:$K$8,Assumptions!$J$4:$J$8,$C297))</f>
        <v/>
      </c>
      <c r="I297" s="7" t="n"/>
      <c r="J297" s="9">
        <f>IF($I297&lt;&gt;"",$I297,SUMIFS(Data!$N$3:$N$125,Data!$A$3:$A$125,$B297)*Assumptions!$S$4)</f>
        <v/>
      </c>
      <c r="K297" s="7" t="n"/>
      <c r="L297" s="9">
        <f>IF($K297&lt;&gt;"",$K297,SUMIFS(Data!$N$3:$N$125,Data!$A$3:$A$125,$B297)*Assumptions!$S$5)</f>
        <v/>
      </c>
      <c r="M297" s="9">
        <f>J297+L297</f>
        <v/>
      </c>
      <c r="N297" s="10">
        <f>$F297*$H297*$M297</f>
        <v/>
      </c>
    </row>
    <row r="298">
      <c r="A298" s="11" t="inlineStr">
        <is>
          <t>TOTAL</t>
        </is>
      </c>
      <c r="B298" s="12" t="inlineStr">
        <is>
          <t>ALON_BIG_SPRINGS</t>
        </is>
      </c>
      <c r="C298" s="12" t="n">
        <v>3</v>
      </c>
      <c r="D298" s="12" t="inlineStr">
        <is>
          <t>NET NAPHTHA</t>
        </is>
      </c>
      <c r="N298" s="13">
        <f>SUM(N297:N297)</f>
        <v/>
      </c>
    </row>
    <row r="300">
      <c r="A300" s="1" t="inlineStr">
        <is>
          <t xml:space="preserve">  Buckeye Partners Corpus Christi  [BUCKEYE_CORPUS_CHRISTI]   —   Buckeye Partners (80%) / Trafigura (20%)   —   PADD 3   —   crude 65 kbd</t>
        </is>
      </c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</row>
    <row r="301">
      <c r="A301" s="4" t="inlineStr">
        <is>
          <t>UNIT</t>
        </is>
      </c>
      <c r="B301" s="5" t="inlineStr">
        <is>
          <t>BUCKEYE_CORPUS_CHRISTI</t>
        </is>
      </c>
      <c r="C301" s="5" t="n">
        <v>3</v>
      </c>
      <c r="D301" s="5" t="inlineStr">
        <is>
          <t>CRUDE-EST</t>
        </is>
      </c>
      <c r="E301" s="5" t="inlineStr">
        <is>
          <t>est. yield</t>
        </is>
      </c>
      <c r="F301" s="6">
        <f>SUMIFS(Data!$G$3:$G$125,Data!$A$3:$A$125,$B301)</f>
        <v/>
      </c>
      <c r="G301" s="7" t="n"/>
      <c r="H301" s="8">
        <f>IF($G301&lt;&gt;"",$G301,SUMIFS(Assumptions!$K$4:$K$8,Assumptions!$J$4:$J$8,$C301))</f>
        <v/>
      </c>
      <c r="I301" s="7" t="n"/>
      <c r="J301" s="9">
        <f>IF($I301&lt;&gt;"",$I301,SUMIFS(Data!$N$3:$N$125,Data!$A$3:$A$125,$B301)*Assumptions!$S$4)</f>
        <v/>
      </c>
      <c r="K301" s="7" t="n"/>
      <c r="L301" s="9">
        <f>IF($K301&lt;&gt;"",$K301,SUMIFS(Data!$N$3:$N$125,Data!$A$3:$A$125,$B301)*Assumptions!$S$5)</f>
        <v/>
      </c>
      <c r="M301" s="9">
        <f>J301+L301</f>
        <v/>
      </c>
      <c r="N301" s="10">
        <f>$F301*$H301*$M301</f>
        <v/>
      </c>
    </row>
    <row r="302">
      <c r="A302" s="11" t="inlineStr">
        <is>
          <t>TOTAL</t>
        </is>
      </c>
      <c r="B302" s="12" t="inlineStr">
        <is>
          <t>BUCKEYE_CORPUS_CHRISTI</t>
        </is>
      </c>
      <c r="C302" s="12" t="n">
        <v>3</v>
      </c>
      <c r="D302" s="12" t="inlineStr">
        <is>
          <t>NET NAPHTHA</t>
        </is>
      </c>
      <c r="N302" s="13">
        <f>SUM(N301:N301)</f>
        <v/>
      </c>
    </row>
    <row r="304">
      <c r="A304" s="1" t="inlineStr">
        <is>
          <t xml:space="preserve">  Calumet Lubricants Co. Shreveport  [CALUMET_SHREVEPORT]   —   Calumet Lubricants Co.   —   PADD 3   —   crude 57 kbd</t>
        </is>
      </c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</row>
    <row r="305">
      <c r="A305" s="4" t="inlineStr">
        <is>
          <t>UNIT</t>
        </is>
      </c>
      <c r="B305" s="5" t="inlineStr">
        <is>
          <t>CALUMET_SHREVEPORT</t>
        </is>
      </c>
      <c r="C305" s="5" t="n">
        <v>3</v>
      </c>
      <c r="D305" s="5" t="inlineStr">
        <is>
          <t>CRUDE-EST</t>
        </is>
      </c>
      <c r="E305" s="5" t="inlineStr">
        <is>
          <t>est. yield</t>
        </is>
      </c>
      <c r="F305" s="6">
        <f>SUMIFS(Data!$G$3:$G$125,Data!$A$3:$A$125,$B305)</f>
        <v/>
      </c>
      <c r="G305" s="7" t="n"/>
      <c r="H305" s="8">
        <f>IF($G305&lt;&gt;"",$G305,SUMIFS(Assumptions!$K$4:$K$8,Assumptions!$J$4:$J$8,$C305))</f>
        <v/>
      </c>
      <c r="I305" s="7" t="n"/>
      <c r="J305" s="9">
        <f>IF($I305&lt;&gt;"",$I305,SUMIFS(Data!$N$3:$N$125,Data!$A$3:$A$125,$B305)*Assumptions!$S$4)</f>
        <v/>
      </c>
      <c r="K305" s="7" t="n"/>
      <c r="L305" s="9">
        <f>IF($K305&lt;&gt;"",$K305,SUMIFS(Data!$N$3:$N$125,Data!$A$3:$A$125,$B305)*Assumptions!$S$5)</f>
        <v/>
      </c>
      <c r="M305" s="9">
        <f>J305+L305</f>
        <v/>
      </c>
      <c r="N305" s="10">
        <f>$F305*$H305*$M305</f>
        <v/>
      </c>
    </row>
    <row r="306">
      <c r="A306" s="11" t="inlineStr">
        <is>
          <t>TOTAL</t>
        </is>
      </c>
      <c r="B306" s="12" t="inlineStr">
        <is>
          <t>CALUMET_SHREVEPORT</t>
        </is>
      </c>
      <c r="C306" s="12" t="n">
        <v>3</v>
      </c>
      <c r="D306" s="12" t="inlineStr">
        <is>
          <t>NET NAPHTHA</t>
        </is>
      </c>
      <c r="N306" s="13">
        <f>SUM(N305:N305)</f>
        <v/>
      </c>
    </row>
    <row r="308">
      <c r="A308" s="1" t="inlineStr">
        <is>
          <t xml:space="preserve">  Marathon Petroleum Texas City (Galveston Bay)  [MARATHON_TEXAS_CITY_GALVESTON_BAY]   —   Marathon Petroleum   —   PADD 3   —   crude 50 kbd</t>
        </is>
      </c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</row>
    <row r="309">
      <c r="A309" s="4" t="inlineStr">
        <is>
          <t>UNIT</t>
        </is>
      </c>
      <c r="B309" s="5" t="inlineStr">
        <is>
          <t>MARATHON_TEXAS_CITY_GALVESTON_BAY</t>
        </is>
      </c>
      <c r="C309" s="5" t="n">
        <v>3</v>
      </c>
      <c r="D309" s="5" t="inlineStr">
        <is>
          <t>CRUDE-EST</t>
        </is>
      </c>
      <c r="E309" s="5" t="inlineStr">
        <is>
          <t>est. yield</t>
        </is>
      </c>
      <c r="F309" s="6">
        <f>SUMIFS(Data!$G$3:$G$125,Data!$A$3:$A$125,$B309)</f>
        <v/>
      </c>
      <c r="G309" s="7" t="n"/>
      <c r="H309" s="8">
        <f>IF($G309&lt;&gt;"",$G309,SUMIFS(Assumptions!$K$4:$K$8,Assumptions!$J$4:$J$8,$C309))</f>
        <v/>
      </c>
      <c r="I309" s="7" t="n"/>
      <c r="J309" s="9">
        <f>IF($I309&lt;&gt;"",$I309,SUMIFS(Data!$N$3:$N$125,Data!$A$3:$A$125,$B309)*Assumptions!$S$4)</f>
        <v/>
      </c>
      <c r="K309" s="7" t="n"/>
      <c r="L309" s="9">
        <f>IF($K309&lt;&gt;"",$K309,SUMIFS(Data!$N$3:$N$125,Data!$A$3:$A$125,$B309)*Assumptions!$S$5)</f>
        <v/>
      </c>
      <c r="M309" s="9">
        <f>J309+L309</f>
        <v/>
      </c>
      <c r="N309" s="10">
        <f>$F309*$H309*$M309</f>
        <v/>
      </c>
    </row>
    <row r="310">
      <c r="A310" s="11" t="inlineStr">
        <is>
          <t>TOTAL</t>
        </is>
      </c>
      <c r="B310" s="12" t="inlineStr">
        <is>
          <t>MARATHON_TEXAS_CITY_GALVESTON_BAY</t>
        </is>
      </c>
      <c r="C310" s="12" t="n">
        <v>3</v>
      </c>
      <c r="D310" s="12" t="inlineStr">
        <is>
          <t>NET NAPHTHA</t>
        </is>
      </c>
      <c r="N310" s="13">
        <f>SUM(N309:N309)</f>
        <v/>
      </c>
    </row>
    <row r="312">
      <c r="A312" s="1" t="inlineStr">
        <is>
          <t xml:space="preserve">  Hunt Refining Consolidated Tuscaloosa  [HUNT_TUSCALOOSA]   —   Hunt Refining Consolidated   —   PADD 3   —   crude 40 kbd</t>
        </is>
      </c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</row>
    <row r="313">
      <c r="A313" s="4" t="inlineStr">
        <is>
          <t>UNIT</t>
        </is>
      </c>
      <c r="B313" s="5" t="inlineStr">
        <is>
          <t>HUNT_TUSCALOOSA</t>
        </is>
      </c>
      <c r="C313" s="5" t="n">
        <v>3</v>
      </c>
      <c r="D313" s="5" t="inlineStr">
        <is>
          <t>CRUDE-EST</t>
        </is>
      </c>
      <c r="E313" s="5" t="inlineStr">
        <is>
          <t>est. yield</t>
        </is>
      </c>
      <c r="F313" s="6">
        <f>SUMIFS(Data!$G$3:$G$125,Data!$A$3:$A$125,$B313)</f>
        <v/>
      </c>
      <c r="G313" s="7" t="n"/>
      <c r="H313" s="8">
        <f>IF($G313&lt;&gt;"",$G313,SUMIFS(Assumptions!$K$4:$K$8,Assumptions!$J$4:$J$8,$C313))</f>
        <v/>
      </c>
      <c r="I313" s="7" t="n"/>
      <c r="J313" s="9">
        <f>IF($I313&lt;&gt;"",$I313,SUMIFS(Data!$N$3:$N$125,Data!$A$3:$A$125,$B313)*Assumptions!$S$4)</f>
        <v/>
      </c>
      <c r="K313" s="7" t="n"/>
      <c r="L313" s="9">
        <f>IF($K313&lt;&gt;"",$K313,SUMIFS(Data!$N$3:$N$125,Data!$A$3:$A$125,$B313)*Assumptions!$S$5)</f>
        <v/>
      </c>
      <c r="M313" s="9">
        <f>J313+L313</f>
        <v/>
      </c>
      <c r="N313" s="10">
        <f>$F313*$H313*$M313</f>
        <v/>
      </c>
    </row>
    <row r="314">
      <c r="A314" s="11" t="inlineStr">
        <is>
          <t>TOTAL</t>
        </is>
      </c>
      <c r="B314" s="12" t="inlineStr">
        <is>
          <t>HUNT_TUSCALOOSA</t>
        </is>
      </c>
      <c r="C314" s="12" t="n">
        <v>3</v>
      </c>
      <c r="D314" s="12" t="inlineStr">
        <is>
          <t>NET NAPHTHA</t>
        </is>
      </c>
      <c r="N314" s="13">
        <f>SUM(N313:N313)</f>
        <v/>
      </c>
    </row>
    <row r="316">
      <c r="A316" s="1" t="inlineStr">
        <is>
          <t xml:space="preserve">  Ergon Vicksburg  [ERGON_VICKSBURG]   —   Ergon   —   PADD 3   —   crude 27 kbd</t>
        </is>
      </c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</row>
    <row r="317">
      <c r="A317" s="4" t="inlineStr">
        <is>
          <t>UNIT</t>
        </is>
      </c>
      <c r="B317" s="5" t="inlineStr">
        <is>
          <t>ERGON_VICKSBURG</t>
        </is>
      </c>
      <c r="C317" s="5" t="n">
        <v>3</v>
      </c>
      <c r="D317" s="5" t="inlineStr">
        <is>
          <t>CRUDE-EST</t>
        </is>
      </c>
      <c r="E317" s="5" t="inlineStr">
        <is>
          <t>est. yield</t>
        </is>
      </c>
      <c r="F317" s="6">
        <f>SUMIFS(Data!$G$3:$G$125,Data!$A$3:$A$125,$B317)</f>
        <v/>
      </c>
      <c r="G317" s="7" t="n"/>
      <c r="H317" s="8">
        <f>IF($G317&lt;&gt;"",$G317,SUMIFS(Assumptions!$K$4:$K$8,Assumptions!$J$4:$J$8,$C317))</f>
        <v/>
      </c>
      <c r="I317" s="7" t="n"/>
      <c r="J317" s="9">
        <f>IF($I317&lt;&gt;"",$I317,SUMIFS(Data!$N$3:$N$125,Data!$A$3:$A$125,$B317)*Assumptions!$S$4)</f>
        <v/>
      </c>
      <c r="K317" s="7" t="n"/>
      <c r="L317" s="9">
        <f>IF($K317&lt;&gt;"",$K317,SUMIFS(Data!$N$3:$N$125,Data!$A$3:$A$125,$B317)*Assumptions!$S$5)</f>
        <v/>
      </c>
      <c r="M317" s="9">
        <f>J317+L317</f>
        <v/>
      </c>
      <c r="N317" s="10">
        <f>$F317*$H317*$M317</f>
        <v/>
      </c>
    </row>
    <row r="318">
      <c r="A318" s="11" t="inlineStr">
        <is>
          <t>TOTAL</t>
        </is>
      </c>
      <c r="B318" s="12" t="inlineStr">
        <is>
          <t>ERGON_VICKSBURG</t>
        </is>
      </c>
      <c r="C318" s="12" t="n">
        <v>3</v>
      </c>
      <c r="D318" s="12" t="inlineStr">
        <is>
          <t>NET NAPHTHA</t>
        </is>
      </c>
      <c r="N318" s="13">
        <f>SUM(N317:N317)</f>
        <v/>
      </c>
    </row>
    <row r="320">
      <c r="A320" s="1" t="inlineStr">
        <is>
          <t xml:space="preserve">  Lazarus Energy San Antonio  [LAZARUS_SAN_ANTONIO]   —   Starlight Relativity Acquisition Co. LLC   —   PADD 3   —   crude 21 kbd</t>
        </is>
      </c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</row>
    <row r="321">
      <c r="A321" s="4" t="inlineStr">
        <is>
          <t>UNIT</t>
        </is>
      </c>
      <c r="B321" s="5" t="inlineStr">
        <is>
          <t>LAZARUS_SAN_ANTONIO</t>
        </is>
      </c>
      <c r="C321" s="5" t="n">
        <v>3</v>
      </c>
      <c r="D321" s="5" t="inlineStr">
        <is>
          <t>CRUDE-EST</t>
        </is>
      </c>
      <c r="E321" s="5" t="inlineStr">
        <is>
          <t>est. yield</t>
        </is>
      </c>
      <c r="F321" s="6">
        <f>SUMIFS(Data!$G$3:$G$125,Data!$A$3:$A$125,$B321)</f>
        <v/>
      </c>
      <c r="G321" s="7" t="n"/>
      <c r="H321" s="8">
        <f>IF($G321&lt;&gt;"",$G321,SUMIFS(Assumptions!$K$4:$K$8,Assumptions!$J$4:$J$8,$C321))</f>
        <v/>
      </c>
      <c r="I321" s="7" t="n"/>
      <c r="J321" s="9">
        <f>IF($I321&lt;&gt;"",$I321,SUMIFS(Data!$N$3:$N$125,Data!$A$3:$A$125,$B321)*Assumptions!$S$4)</f>
        <v/>
      </c>
      <c r="K321" s="7" t="n"/>
      <c r="L321" s="9">
        <f>IF($K321&lt;&gt;"",$K321,SUMIFS(Data!$N$3:$N$125,Data!$A$3:$A$125,$B321)*Assumptions!$S$5)</f>
        <v/>
      </c>
      <c r="M321" s="9">
        <f>J321+L321</f>
        <v/>
      </c>
      <c r="N321" s="10">
        <f>$F321*$H321*$M321</f>
        <v/>
      </c>
    </row>
    <row r="322">
      <c r="A322" s="11" t="inlineStr">
        <is>
          <t>TOTAL</t>
        </is>
      </c>
      <c r="B322" s="12" t="inlineStr">
        <is>
          <t>LAZARUS_SAN_ANTONIO</t>
        </is>
      </c>
      <c r="C322" s="12" t="n">
        <v>3</v>
      </c>
      <c r="D322" s="12" t="inlineStr">
        <is>
          <t>NET NAPHTHA</t>
        </is>
      </c>
      <c r="N322" s="13">
        <f>SUM(N321:N321)</f>
        <v/>
      </c>
    </row>
    <row r="324">
      <c r="A324" s="1" t="inlineStr">
        <is>
          <t xml:space="preserve">  Blue Dolphin Energy Nixon  [BLUE_NIXON]   —   Blue Dolphin Energy   —   PADD 3   —   crude 15 kbd</t>
        </is>
      </c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</row>
    <row r="325">
      <c r="A325" s="4" t="inlineStr">
        <is>
          <t>UNIT</t>
        </is>
      </c>
      <c r="B325" s="5" t="inlineStr">
        <is>
          <t>BLUE_NIXON</t>
        </is>
      </c>
      <c r="C325" s="5" t="n">
        <v>3</v>
      </c>
      <c r="D325" s="5" t="inlineStr">
        <is>
          <t>CRUDE-EST</t>
        </is>
      </c>
      <c r="E325" s="5" t="inlineStr">
        <is>
          <t>est. yield</t>
        </is>
      </c>
      <c r="F325" s="6">
        <f>SUMIFS(Data!$G$3:$G$125,Data!$A$3:$A$125,$B325)</f>
        <v/>
      </c>
      <c r="G325" s="7" t="n"/>
      <c r="H325" s="8">
        <f>IF($G325&lt;&gt;"",$G325,SUMIFS(Assumptions!$K$4:$K$8,Assumptions!$J$4:$J$8,$C325))</f>
        <v/>
      </c>
      <c r="I325" s="7" t="n"/>
      <c r="J325" s="9">
        <f>IF($I325&lt;&gt;"",$I325,SUMIFS(Data!$N$3:$N$125,Data!$A$3:$A$125,$B325)*Assumptions!$S$4)</f>
        <v/>
      </c>
      <c r="K325" s="7" t="n"/>
      <c r="L325" s="9">
        <f>IF($K325&lt;&gt;"",$K325,SUMIFS(Data!$N$3:$N$125,Data!$A$3:$A$125,$B325)*Assumptions!$S$5)</f>
        <v/>
      </c>
      <c r="M325" s="9">
        <f>J325+L325</f>
        <v/>
      </c>
      <c r="N325" s="10">
        <f>$F325*$H325*$M325</f>
        <v/>
      </c>
    </row>
    <row r="326">
      <c r="A326" s="11" t="inlineStr">
        <is>
          <t>TOTAL</t>
        </is>
      </c>
      <c r="B326" s="12" t="inlineStr">
        <is>
          <t>BLUE_NIXON</t>
        </is>
      </c>
      <c r="C326" s="12" t="n">
        <v>3</v>
      </c>
      <c r="D326" s="12" t="inlineStr">
        <is>
          <t>NET NAPHTHA</t>
        </is>
      </c>
      <c r="N326" s="13">
        <f>SUM(N325:N325)</f>
        <v/>
      </c>
    </row>
    <row r="328">
      <c r="A328" s="1" t="inlineStr">
        <is>
          <t xml:space="preserve">  Calumet Lubricants Co. Cotton Valley  [CALUMET_COTTON_VALLEY]   —   Calumet Lubricants Co.   —   PADD 3   —   crude 14 kbd</t>
        </is>
      </c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</row>
    <row r="329">
      <c r="A329" s="4" t="inlineStr">
        <is>
          <t>UNIT</t>
        </is>
      </c>
      <c r="B329" s="5" t="inlineStr">
        <is>
          <t>CALUMET_COTTON_VALLEY</t>
        </is>
      </c>
      <c r="C329" s="5" t="n">
        <v>3</v>
      </c>
      <c r="D329" s="5" t="inlineStr">
        <is>
          <t>CRUDE-EST</t>
        </is>
      </c>
      <c r="E329" s="5" t="inlineStr">
        <is>
          <t>est. yield</t>
        </is>
      </c>
      <c r="F329" s="6">
        <f>SUMIFS(Data!$G$3:$G$125,Data!$A$3:$A$125,$B329)</f>
        <v/>
      </c>
      <c r="G329" s="7" t="n"/>
      <c r="H329" s="8">
        <f>IF($G329&lt;&gt;"",$G329,SUMIFS(Assumptions!$K$4:$K$8,Assumptions!$J$4:$J$8,$C329))</f>
        <v/>
      </c>
      <c r="I329" s="7" t="n"/>
      <c r="J329" s="9">
        <f>IF($I329&lt;&gt;"",$I329,SUMIFS(Data!$N$3:$N$125,Data!$A$3:$A$125,$B329)*Assumptions!$S$4)</f>
        <v/>
      </c>
      <c r="K329" s="7" t="n"/>
      <c r="L329" s="9">
        <f>IF($K329&lt;&gt;"",$K329,SUMIFS(Data!$N$3:$N$125,Data!$A$3:$A$125,$B329)*Assumptions!$S$5)</f>
        <v/>
      </c>
      <c r="M329" s="9">
        <f>J329+L329</f>
        <v/>
      </c>
      <c r="N329" s="10">
        <f>$F329*$H329*$M329</f>
        <v/>
      </c>
    </row>
    <row r="330">
      <c r="A330" s="11" t="inlineStr">
        <is>
          <t>TOTAL</t>
        </is>
      </c>
      <c r="B330" s="12" t="inlineStr">
        <is>
          <t>CALUMET_COTTON_VALLEY</t>
        </is>
      </c>
      <c r="C330" s="12" t="n">
        <v>3</v>
      </c>
      <c r="D330" s="12" t="inlineStr">
        <is>
          <t>NET NAPHTHA</t>
        </is>
      </c>
      <c r="N330" s="13">
        <f>SUM(N329:N329)</f>
        <v/>
      </c>
    </row>
    <row r="332">
      <c r="A332" s="1" t="inlineStr">
        <is>
          <t xml:space="preserve">  Hunt Refining Consolidated Sandersville  [HUNT_SANDERSVILLE]   —   Hunt Refining Consolidated   —   PADD 3   —   crude 12 kbd</t>
        </is>
      </c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</row>
    <row r="333">
      <c r="A333" s="4" t="inlineStr">
        <is>
          <t>UNIT</t>
        </is>
      </c>
      <c r="B333" s="5" t="inlineStr">
        <is>
          <t>HUNT_SANDERSVILLE</t>
        </is>
      </c>
      <c r="C333" s="5" t="n">
        <v>3</v>
      </c>
      <c r="D333" s="5" t="inlineStr">
        <is>
          <t>CRUDE-EST</t>
        </is>
      </c>
      <c r="E333" s="5" t="inlineStr">
        <is>
          <t>est. yield</t>
        </is>
      </c>
      <c r="F333" s="6">
        <f>SUMIFS(Data!$G$3:$G$125,Data!$A$3:$A$125,$B333)</f>
        <v/>
      </c>
      <c r="G333" s="7" t="n"/>
      <c r="H333" s="8">
        <f>IF($G333&lt;&gt;"",$G333,SUMIFS(Assumptions!$K$4:$K$8,Assumptions!$J$4:$J$8,$C333))</f>
        <v/>
      </c>
      <c r="I333" s="7" t="n"/>
      <c r="J333" s="9">
        <f>IF($I333&lt;&gt;"",$I333,SUMIFS(Data!$N$3:$N$125,Data!$A$3:$A$125,$B333)*Assumptions!$S$4)</f>
        <v/>
      </c>
      <c r="K333" s="7" t="n"/>
      <c r="L333" s="9">
        <f>IF($K333&lt;&gt;"",$K333,SUMIFS(Data!$N$3:$N$125,Data!$A$3:$A$125,$B333)*Assumptions!$S$5)</f>
        <v/>
      </c>
      <c r="M333" s="9">
        <f>J333+L333</f>
        <v/>
      </c>
      <c r="N333" s="10">
        <f>$F333*$H333*$M333</f>
        <v/>
      </c>
    </row>
    <row r="334">
      <c r="A334" s="11" t="inlineStr">
        <is>
          <t>TOTAL</t>
        </is>
      </c>
      <c r="B334" s="12" t="inlineStr">
        <is>
          <t>HUNT_SANDERSVILLE</t>
        </is>
      </c>
      <c r="C334" s="12" t="n">
        <v>3</v>
      </c>
      <c r="D334" s="12" t="inlineStr">
        <is>
          <t>NET NAPHTHA</t>
        </is>
      </c>
      <c r="N334" s="13">
        <f>SUM(N333:N333)</f>
        <v/>
      </c>
    </row>
    <row r="336">
      <c r="A336" s="1" t="inlineStr">
        <is>
          <t xml:space="preserve">  Calumet Lubricants Co. Princeton  [CALUMET_PRINCETON]   —   Calumet Lubricants Co.   —   PADD 3   —   crude 9 kbd</t>
        </is>
      </c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</row>
    <row r="337">
      <c r="A337" s="4" t="inlineStr">
        <is>
          <t>UNIT</t>
        </is>
      </c>
      <c r="B337" s="5" t="inlineStr">
        <is>
          <t>CALUMET_PRINCETON</t>
        </is>
      </c>
      <c r="C337" s="5" t="n">
        <v>3</v>
      </c>
      <c r="D337" s="5" t="inlineStr">
        <is>
          <t>CRUDE-EST</t>
        </is>
      </c>
      <c r="E337" s="5" t="inlineStr">
        <is>
          <t>est. yield</t>
        </is>
      </c>
      <c r="F337" s="6">
        <f>SUMIFS(Data!$G$3:$G$125,Data!$A$3:$A$125,$B337)</f>
        <v/>
      </c>
      <c r="G337" s="7" t="n"/>
      <c r="H337" s="8">
        <f>IF($G337&lt;&gt;"",$G337,SUMIFS(Assumptions!$K$4:$K$8,Assumptions!$J$4:$J$8,$C337))</f>
        <v/>
      </c>
      <c r="I337" s="7" t="n"/>
      <c r="J337" s="9">
        <f>IF($I337&lt;&gt;"",$I337,SUMIFS(Data!$N$3:$N$125,Data!$A$3:$A$125,$B337)*Assumptions!$S$4)</f>
        <v/>
      </c>
      <c r="K337" s="7" t="n"/>
      <c r="L337" s="9">
        <f>IF($K337&lt;&gt;"",$K337,SUMIFS(Data!$N$3:$N$125,Data!$A$3:$A$125,$B337)*Assumptions!$S$5)</f>
        <v/>
      </c>
      <c r="M337" s="9">
        <f>J337+L337</f>
        <v/>
      </c>
      <c r="N337" s="10">
        <f>$F337*$H337*$M337</f>
        <v/>
      </c>
    </row>
    <row r="338">
      <c r="A338" s="11" t="inlineStr">
        <is>
          <t>TOTAL</t>
        </is>
      </c>
      <c r="B338" s="12" t="inlineStr">
        <is>
          <t>CALUMET_PRINCETON</t>
        </is>
      </c>
      <c r="C338" s="12" t="n">
        <v>3</v>
      </c>
      <c r="D338" s="12" t="inlineStr">
        <is>
          <t>NET NAPHTHA</t>
        </is>
      </c>
      <c r="N338" s="13">
        <f>SUM(N337:N337)</f>
        <v/>
      </c>
    </row>
    <row r="340">
      <c r="A340" s="1" t="inlineStr">
        <is>
          <t xml:space="preserve">  Cross Oil and Ref.Co. Smackover  [CROSS_SMACKOVER]   —   Cross Oil and Ref.Co.   —   PADD 3   —   crude 8 kbd</t>
        </is>
      </c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</row>
    <row r="341">
      <c r="A341" s="4" t="inlineStr">
        <is>
          <t>UNIT</t>
        </is>
      </c>
      <c r="B341" s="5" t="inlineStr">
        <is>
          <t>CROSS_SMACKOVER</t>
        </is>
      </c>
      <c r="C341" s="5" t="n">
        <v>3</v>
      </c>
      <c r="D341" s="5" t="inlineStr">
        <is>
          <t>CRUDE-EST</t>
        </is>
      </c>
      <c r="E341" s="5" t="inlineStr">
        <is>
          <t>est. yield</t>
        </is>
      </c>
      <c r="F341" s="6">
        <f>SUMIFS(Data!$G$3:$G$125,Data!$A$3:$A$125,$B341)</f>
        <v/>
      </c>
      <c r="G341" s="7" t="n"/>
      <c r="H341" s="8">
        <f>IF($G341&lt;&gt;"",$G341,SUMIFS(Assumptions!$K$4:$K$8,Assumptions!$J$4:$J$8,$C341))</f>
        <v/>
      </c>
      <c r="I341" s="7" t="n"/>
      <c r="J341" s="9">
        <f>IF($I341&lt;&gt;"",$I341,SUMIFS(Data!$N$3:$N$125,Data!$A$3:$A$125,$B341)*Assumptions!$S$4)</f>
        <v/>
      </c>
      <c r="K341" s="7" t="n"/>
      <c r="L341" s="9">
        <f>IF($K341&lt;&gt;"",$K341,SUMIFS(Data!$N$3:$N$125,Data!$A$3:$A$125,$B341)*Assumptions!$S$5)</f>
        <v/>
      </c>
      <c r="M341" s="9">
        <f>J341+L341</f>
        <v/>
      </c>
      <c r="N341" s="10">
        <f>$F341*$H341*$M341</f>
        <v/>
      </c>
    </row>
    <row r="342">
      <c r="A342" s="11" t="inlineStr">
        <is>
          <t>TOTAL</t>
        </is>
      </c>
      <c r="B342" s="12" t="inlineStr">
        <is>
          <t>CROSS_SMACKOVER</t>
        </is>
      </c>
      <c r="C342" s="12" t="n">
        <v>3</v>
      </c>
      <c r="D342" s="12" t="inlineStr">
        <is>
          <t>NET NAPHTHA</t>
        </is>
      </c>
      <c r="N342" s="13">
        <f>SUM(N341:N341)</f>
        <v/>
      </c>
    </row>
    <row r="344">
      <c r="A344" s="1" t="inlineStr">
        <is>
          <t xml:space="preserve">  Goodway Refining Atmore  [GOODWAY_ATMORE]   —   Goodway Refining   —   PADD 3   —   crude 4 kbd</t>
        </is>
      </c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</row>
    <row r="345">
      <c r="A345" s="4" t="inlineStr">
        <is>
          <t>UNIT</t>
        </is>
      </c>
      <c r="B345" s="5" t="inlineStr">
        <is>
          <t>GOODWAY_ATMORE</t>
        </is>
      </c>
      <c r="C345" s="5" t="n">
        <v>3</v>
      </c>
      <c r="D345" s="5" t="inlineStr">
        <is>
          <t>CRUDE-EST</t>
        </is>
      </c>
      <c r="E345" s="5" t="inlineStr">
        <is>
          <t>est. yield</t>
        </is>
      </c>
      <c r="F345" s="6">
        <f>SUMIFS(Data!$G$3:$G$125,Data!$A$3:$A$125,$B345)</f>
        <v/>
      </c>
      <c r="G345" s="7" t="n"/>
      <c r="H345" s="8">
        <f>IF($G345&lt;&gt;"",$G345,SUMIFS(Assumptions!$K$4:$K$8,Assumptions!$J$4:$J$8,$C345))</f>
        <v/>
      </c>
      <c r="I345" s="7" t="n"/>
      <c r="J345" s="9">
        <f>IF($I345&lt;&gt;"",$I345,SUMIFS(Data!$N$3:$N$125,Data!$A$3:$A$125,$B345)*Assumptions!$S$4)</f>
        <v/>
      </c>
      <c r="K345" s="7" t="n"/>
      <c r="L345" s="9">
        <f>IF($K345&lt;&gt;"",$K345,SUMIFS(Data!$N$3:$N$125,Data!$A$3:$A$125,$B345)*Assumptions!$S$5)</f>
        <v/>
      </c>
      <c r="M345" s="9">
        <f>J345+L345</f>
        <v/>
      </c>
      <c r="N345" s="10">
        <f>$F345*$H345*$M345</f>
        <v/>
      </c>
    </row>
    <row r="346">
      <c r="A346" s="11" t="inlineStr">
        <is>
          <t>TOTAL</t>
        </is>
      </c>
      <c r="B346" s="12" t="inlineStr">
        <is>
          <t>GOODWAY_ATMORE</t>
        </is>
      </c>
      <c r="C346" s="12" t="n">
        <v>3</v>
      </c>
      <c r="D346" s="12" t="inlineStr">
        <is>
          <t>NET NAPHTHA</t>
        </is>
      </c>
      <c r="N346" s="13">
        <f>SUM(N345:N345)</f>
        <v/>
      </c>
    </row>
    <row r="348">
      <c r="A348" s="1" t="inlineStr">
        <is>
          <t xml:space="preserve">  LyondellBasell Refining Houston  [LYONDELLBASELL_HOUSTON]   —   Access Industries   —   PADD 3   —   crude: pending capacity sheet</t>
        </is>
      </c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</row>
    <row r="349">
      <c r="A349" s="4" t="inlineStr">
        <is>
          <t>UNIT</t>
        </is>
      </c>
      <c r="B349" s="5" t="inlineStr">
        <is>
          <t>LYONDELLBASELL_HOUSTON</t>
        </is>
      </c>
      <c r="C349" s="5" t="n">
        <v>3</v>
      </c>
      <c r="D349" s="5" t="inlineStr">
        <is>
          <t>CRUDE-EST</t>
        </is>
      </c>
      <c r="E349" s="5" t="inlineStr">
        <is>
          <t>est. yield</t>
        </is>
      </c>
      <c r="F349" s="6">
        <f>SUMIFS(Data!$G$3:$G$125,Data!$A$3:$A$125,$B349)</f>
        <v/>
      </c>
      <c r="G349" s="7" t="n"/>
      <c r="H349" s="8">
        <f>IF($G349&lt;&gt;"",$G349,SUMIFS(Assumptions!$K$4:$K$8,Assumptions!$J$4:$J$8,$C349))</f>
        <v/>
      </c>
      <c r="I349" s="7" t="n"/>
      <c r="J349" s="9">
        <f>IF($I349&lt;&gt;"",$I349,SUMIFS(Data!$N$3:$N$125,Data!$A$3:$A$125,$B349)*Assumptions!$S$4)</f>
        <v/>
      </c>
      <c r="K349" s="7" t="n"/>
      <c r="L349" s="9">
        <f>IF($K349&lt;&gt;"",$K349,SUMIFS(Data!$N$3:$N$125,Data!$A$3:$A$125,$B349)*Assumptions!$S$5)</f>
        <v/>
      </c>
      <c r="M349" s="9">
        <f>J349+L349</f>
        <v/>
      </c>
      <c r="N349" s="10">
        <f>$F349*$H349*$M349</f>
        <v/>
      </c>
    </row>
    <row r="350">
      <c r="A350" s="11" t="inlineStr">
        <is>
          <t>TOTAL</t>
        </is>
      </c>
      <c r="B350" s="12" t="inlineStr">
        <is>
          <t>LYONDELLBASELL_HOUSTON</t>
        </is>
      </c>
      <c r="C350" s="12" t="n">
        <v>3</v>
      </c>
      <c r="D350" s="12" t="inlineStr">
        <is>
          <t>NET NAPHTHA</t>
        </is>
      </c>
      <c r="N350" s="13">
        <f>SUM(N349:N349)</f>
        <v/>
      </c>
    </row>
    <row r="352">
      <c r="A352" s="1" t="inlineStr">
        <is>
          <t xml:space="preserve">  Shell Convent  [SHELL_CONVENT]   —   Shell   —   PADD 3   —   crude: pending capacity sheet</t>
        </is>
      </c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</row>
    <row r="353">
      <c r="A353" s="4" t="inlineStr">
        <is>
          <t>UNIT</t>
        </is>
      </c>
      <c r="B353" s="5" t="inlineStr">
        <is>
          <t>SHELL_CONVENT</t>
        </is>
      </c>
      <c r="C353" s="5" t="n">
        <v>3</v>
      </c>
      <c r="D353" s="5" t="inlineStr">
        <is>
          <t>CRUDE-EST</t>
        </is>
      </c>
      <c r="E353" s="5" t="inlineStr">
        <is>
          <t>est. yield</t>
        </is>
      </c>
      <c r="F353" s="6">
        <f>SUMIFS(Data!$G$3:$G$125,Data!$A$3:$A$125,$B353)</f>
        <v/>
      </c>
      <c r="G353" s="7" t="n"/>
      <c r="H353" s="8">
        <f>IF($G353&lt;&gt;"",$G353,SUMIFS(Assumptions!$K$4:$K$8,Assumptions!$J$4:$J$8,$C353))</f>
        <v/>
      </c>
      <c r="I353" s="7" t="n"/>
      <c r="J353" s="9">
        <f>IF($I353&lt;&gt;"",$I353,SUMIFS(Data!$N$3:$N$125,Data!$A$3:$A$125,$B353)*Assumptions!$S$4)</f>
        <v/>
      </c>
      <c r="K353" s="7" t="n"/>
      <c r="L353" s="9">
        <f>IF($K353&lt;&gt;"",$K353,SUMIFS(Data!$N$3:$N$125,Data!$A$3:$A$125,$B353)*Assumptions!$S$5)</f>
        <v/>
      </c>
      <c r="M353" s="9">
        <f>J353+L353</f>
        <v/>
      </c>
      <c r="N353" s="10">
        <f>$F353*$H353*$M353</f>
        <v/>
      </c>
    </row>
    <row r="354">
      <c r="A354" s="11" t="inlineStr">
        <is>
          <t>TOTAL</t>
        </is>
      </c>
      <c r="B354" s="12" t="inlineStr">
        <is>
          <t>SHELL_CONVENT</t>
        </is>
      </c>
      <c r="C354" s="12" t="n">
        <v>3</v>
      </c>
      <c r="D354" s="12" t="inlineStr">
        <is>
          <t>NET NAPHTHA</t>
        </is>
      </c>
      <c r="N354" s="13">
        <f>SUM(N353:N353)</f>
        <v/>
      </c>
    </row>
    <row r="356">
      <c r="A356" s="1" t="inlineStr">
        <is>
          <t xml:space="preserve">  Shell Oil Co. USA Saint Rose  [SHELL_SAINT_ROSE]   —   Shell   —   PADD 3   —   crude: pending capacity sheet</t>
        </is>
      </c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</row>
    <row r="357">
      <c r="A357" s="4" t="inlineStr">
        <is>
          <t>UNIT</t>
        </is>
      </c>
      <c r="B357" s="5" t="inlineStr">
        <is>
          <t>SHELL_SAINT_ROSE</t>
        </is>
      </c>
      <c r="C357" s="5" t="n">
        <v>3</v>
      </c>
      <c r="D357" s="5" t="inlineStr">
        <is>
          <t>CRUDE-EST</t>
        </is>
      </c>
      <c r="E357" s="5" t="inlineStr">
        <is>
          <t>est. yield</t>
        </is>
      </c>
      <c r="F357" s="6">
        <f>SUMIFS(Data!$G$3:$G$125,Data!$A$3:$A$125,$B357)</f>
        <v/>
      </c>
      <c r="G357" s="7" t="n"/>
      <c r="H357" s="8">
        <f>IF($G357&lt;&gt;"",$G357,SUMIFS(Assumptions!$K$4:$K$8,Assumptions!$J$4:$J$8,$C357))</f>
        <v/>
      </c>
      <c r="I357" s="7" t="n"/>
      <c r="J357" s="9">
        <f>IF($I357&lt;&gt;"",$I357,SUMIFS(Data!$N$3:$N$125,Data!$A$3:$A$125,$B357)*Assumptions!$S$4)</f>
        <v/>
      </c>
      <c r="K357" s="7" t="n"/>
      <c r="L357" s="9">
        <f>IF($K357&lt;&gt;"",$K357,SUMIFS(Data!$N$3:$N$125,Data!$A$3:$A$125,$B357)*Assumptions!$S$5)</f>
        <v/>
      </c>
      <c r="M357" s="9">
        <f>J357+L357</f>
        <v/>
      </c>
      <c r="N357" s="10">
        <f>$F357*$H357*$M357</f>
        <v/>
      </c>
    </row>
    <row r="358">
      <c r="A358" s="11" t="inlineStr">
        <is>
          <t>TOTAL</t>
        </is>
      </c>
      <c r="B358" s="12" t="inlineStr">
        <is>
          <t>SHELL_SAINT_ROSE</t>
        </is>
      </c>
      <c r="C358" s="12" t="n">
        <v>3</v>
      </c>
      <c r="D358" s="12" t="inlineStr">
        <is>
          <t>NET NAPHTHA</t>
        </is>
      </c>
      <c r="N358" s="13">
        <f>SUM(N357:N357)</f>
        <v/>
      </c>
    </row>
    <row r="360">
      <c r="A360" s="1" t="inlineStr">
        <is>
          <t xml:space="preserve">  Suncor Denver  [SUNCOR_DENVER]   —   Suncor   —   PADD 4   —   crude 98 kbd</t>
        </is>
      </c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</row>
    <row r="361">
      <c r="A361" s="4" t="inlineStr">
        <is>
          <t>UNIT</t>
        </is>
      </c>
      <c r="B361" s="5" t="inlineStr">
        <is>
          <t>SUNCOR_DENVER</t>
        </is>
      </c>
      <c r="C361" s="5" t="n">
        <v>4</v>
      </c>
      <c r="D361" s="5" t="inlineStr">
        <is>
          <t>CRUDE-EST</t>
        </is>
      </c>
      <c r="E361" s="5" t="inlineStr">
        <is>
          <t>est. yield</t>
        </is>
      </c>
      <c r="F361" s="6">
        <f>SUMIFS(Data!$G$3:$G$125,Data!$A$3:$A$125,$B361)</f>
        <v/>
      </c>
      <c r="G361" s="7" t="n"/>
      <c r="H361" s="8">
        <f>IF($G361&lt;&gt;"",$G361,SUMIFS(Assumptions!$K$4:$K$8,Assumptions!$J$4:$J$8,$C361))</f>
        <v/>
      </c>
      <c r="I361" s="7" t="n"/>
      <c r="J361" s="9">
        <f>IF($I361&lt;&gt;"",$I361,SUMIFS(Data!$N$3:$N$125,Data!$A$3:$A$125,$B361)*Assumptions!$S$4)</f>
        <v/>
      </c>
      <c r="K361" s="7" t="n"/>
      <c r="L361" s="9">
        <f>IF($K361&lt;&gt;"",$K361,SUMIFS(Data!$N$3:$N$125,Data!$A$3:$A$125,$B361)*Assumptions!$S$5)</f>
        <v/>
      </c>
      <c r="M361" s="9">
        <f>J361+L361</f>
        <v/>
      </c>
      <c r="N361" s="10">
        <f>$F361*$H361*$M361</f>
        <v/>
      </c>
    </row>
    <row r="362">
      <c r="A362" s="11" t="inlineStr">
        <is>
          <t>TOTAL</t>
        </is>
      </c>
      <c r="B362" s="12" t="inlineStr">
        <is>
          <t>SUNCOR_DENVER</t>
        </is>
      </c>
      <c r="C362" s="12" t="n">
        <v>4</v>
      </c>
      <c r="D362" s="12" t="inlineStr">
        <is>
          <t>NET NAPHTHA</t>
        </is>
      </c>
      <c r="N362" s="13">
        <f>SUM(N361:N361)</f>
        <v/>
      </c>
    </row>
    <row r="364">
      <c r="A364" s="1" t="inlineStr">
        <is>
          <t xml:space="preserve">  Sinclair Sinclair  [SINCLAIR_SINCLAIR]   —   Sinclair   —   PADD 4   —   crude 94 kbd</t>
        </is>
      </c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</row>
    <row r="365">
      <c r="A365" s="4" t="inlineStr">
        <is>
          <t>UNIT</t>
        </is>
      </c>
      <c r="B365" s="5" t="inlineStr">
        <is>
          <t>SINCLAIR_SINCLAIR</t>
        </is>
      </c>
      <c r="C365" s="5" t="n">
        <v>4</v>
      </c>
      <c r="D365" s="5" t="inlineStr">
        <is>
          <t>CRUDE-EST</t>
        </is>
      </c>
      <c r="E365" s="5" t="inlineStr">
        <is>
          <t>est. yield</t>
        </is>
      </c>
      <c r="F365" s="6">
        <f>SUMIFS(Data!$G$3:$G$125,Data!$A$3:$A$125,$B365)</f>
        <v/>
      </c>
      <c r="G365" s="7" t="n"/>
      <c r="H365" s="8">
        <f>IF($G365&lt;&gt;"",$G365,SUMIFS(Assumptions!$K$4:$K$8,Assumptions!$J$4:$J$8,$C365))</f>
        <v/>
      </c>
      <c r="I365" s="7" t="n"/>
      <c r="J365" s="9">
        <f>IF($I365&lt;&gt;"",$I365,SUMIFS(Data!$N$3:$N$125,Data!$A$3:$A$125,$B365)*Assumptions!$S$4)</f>
        <v/>
      </c>
      <c r="K365" s="7" t="n"/>
      <c r="L365" s="9">
        <f>IF($K365&lt;&gt;"",$K365,SUMIFS(Data!$N$3:$N$125,Data!$A$3:$A$125,$B365)*Assumptions!$S$5)</f>
        <v/>
      </c>
      <c r="M365" s="9">
        <f>J365+L365</f>
        <v/>
      </c>
      <c r="N365" s="10">
        <f>$F365*$H365*$M365</f>
        <v/>
      </c>
    </row>
    <row r="366">
      <c r="A366" s="11" t="inlineStr">
        <is>
          <t>TOTAL</t>
        </is>
      </c>
      <c r="B366" s="12" t="inlineStr">
        <is>
          <t>SINCLAIR_SINCLAIR</t>
        </is>
      </c>
      <c r="C366" s="12" t="n">
        <v>4</v>
      </c>
      <c r="D366" s="12" t="inlineStr">
        <is>
          <t>NET NAPHTHA</t>
        </is>
      </c>
      <c r="N366" s="13">
        <f>SUM(N365:N365)</f>
        <v/>
      </c>
    </row>
    <row r="368">
      <c r="A368" s="1" t="inlineStr">
        <is>
          <t xml:space="preserve">  Marathon Petroleum Salt Lake City  [MARATHON_SALT_LAKE_CITY]   —   Marathon Petroleum   —   PADD 4   —   crude 72 kbd</t>
        </is>
      </c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</row>
    <row r="369">
      <c r="A369" s="4" t="inlineStr">
        <is>
          <t>UNIT</t>
        </is>
      </c>
      <c r="B369" s="5" t="inlineStr">
        <is>
          <t>MARATHON_SALT_LAKE_CITY</t>
        </is>
      </c>
      <c r="C369" s="5" t="n">
        <v>4</v>
      </c>
      <c r="D369" s="5" t="inlineStr">
        <is>
          <t>CRUDE-EST</t>
        </is>
      </c>
      <c r="E369" s="5" t="inlineStr">
        <is>
          <t>est. yield</t>
        </is>
      </c>
      <c r="F369" s="6">
        <f>SUMIFS(Data!$G$3:$G$125,Data!$A$3:$A$125,$B369)</f>
        <v/>
      </c>
      <c r="G369" s="7" t="n"/>
      <c r="H369" s="8">
        <f>IF($G369&lt;&gt;"",$G369,SUMIFS(Assumptions!$K$4:$K$8,Assumptions!$J$4:$J$8,$C369))</f>
        <v/>
      </c>
      <c r="I369" s="7" t="n"/>
      <c r="J369" s="9">
        <f>IF($I369&lt;&gt;"",$I369,SUMIFS(Data!$N$3:$N$125,Data!$A$3:$A$125,$B369)*Assumptions!$S$4)</f>
        <v/>
      </c>
      <c r="K369" s="7" t="n"/>
      <c r="L369" s="9">
        <f>IF($K369&lt;&gt;"",$K369,SUMIFS(Data!$N$3:$N$125,Data!$A$3:$A$125,$B369)*Assumptions!$S$5)</f>
        <v/>
      </c>
      <c r="M369" s="9">
        <f>J369+L369</f>
        <v/>
      </c>
      <c r="N369" s="10">
        <f>$F369*$H369*$M369</f>
        <v/>
      </c>
    </row>
    <row r="370">
      <c r="A370" s="11" t="inlineStr">
        <is>
          <t>TOTAL</t>
        </is>
      </c>
      <c r="B370" s="12" t="inlineStr">
        <is>
          <t>MARATHON_SALT_LAKE_CITY</t>
        </is>
      </c>
      <c r="C370" s="12" t="n">
        <v>4</v>
      </c>
      <c r="D370" s="12" t="inlineStr">
        <is>
          <t>NET NAPHTHA</t>
        </is>
      </c>
      <c r="N370" s="13">
        <f>SUM(N369:N369)</f>
        <v/>
      </c>
    </row>
    <row r="372">
      <c r="A372" s="1" t="inlineStr">
        <is>
          <t xml:space="preserve">  Phillips 66 Co. Billings  [PHILLIPS_BILLINGS]   —   Phillips 66 Co.   —   PADD 4   —   crude 66 kbd</t>
        </is>
      </c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</row>
    <row r="373">
      <c r="A373" s="4" t="inlineStr">
        <is>
          <t>UNIT</t>
        </is>
      </c>
      <c r="B373" s="5" t="inlineStr">
        <is>
          <t>PHILLIPS_BILLINGS</t>
        </is>
      </c>
      <c r="C373" s="5" t="n">
        <v>4</v>
      </c>
      <c r="D373" s="5" t="inlineStr">
        <is>
          <t>CRUDE-EST</t>
        </is>
      </c>
      <c r="E373" s="5" t="inlineStr">
        <is>
          <t>est. yield</t>
        </is>
      </c>
      <c r="F373" s="6">
        <f>SUMIFS(Data!$G$3:$G$125,Data!$A$3:$A$125,$B373)</f>
        <v/>
      </c>
      <c r="G373" s="7" t="n"/>
      <c r="H373" s="8">
        <f>IF($G373&lt;&gt;"",$G373,SUMIFS(Assumptions!$K$4:$K$8,Assumptions!$J$4:$J$8,$C373))</f>
        <v/>
      </c>
      <c r="I373" s="7" t="n"/>
      <c r="J373" s="9">
        <f>IF($I373&lt;&gt;"",$I373,SUMIFS(Data!$N$3:$N$125,Data!$A$3:$A$125,$B373)*Assumptions!$S$4)</f>
        <v/>
      </c>
      <c r="K373" s="7" t="n"/>
      <c r="L373" s="9">
        <f>IF($K373&lt;&gt;"",$K373,SUMIFS(Data!$N$3:$N$125,Data!$A$3:$A$125,$B373)*Assumptions!$S$5)</f>
        <v/>
      </c>
      <c r="M373" s="9">
        <f>J373+L373</f>
        <v/>
      </c>
      <c r="N373" s="10">
        <f>$F373*$H373*$M373</f>
        <v/>
      </c>
    </row>
    <row r="374">
      <c r="A374" s="11" t="inlineStr">
        <is>
          <t>TOTAL</t>
        </is>
      </c>
      <c r="B374" s="12" t="inlineStr">
        <is>
          <t>PHILLIPS_BILLINGS</t>
        </is>
      </c>
      <c r="C374" s="12" t="n">
        <v>4</v>
      </c>
      <c r="D374" s="12" t="inlineStr">
        <is>
          <t>NET NAPHTHA</t>
        </is>
      </c>
      <c r="N374" s="13">
        <f>SUM(N373:N373)</f>
        <v/>
      </c>
    </row>
    <row r="376">
      <c r="A376" s="1" t="inlineStr">
        <is>
          <t xml:space="preserve">  Par Petroleum Billings  [PAR_BILLINGS]   —   Par Petroleum   —   PADD 4   —   crude 63 kbd</t>
        </is>
      </c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</row>
    <row r="377">
      <c r="A377" s="4" t="inlineStr">
        <is>
          <t>UNIT</t>
        </is>
      </c>
      <c r="B377" s="5" t="inlineStr">
        <is>
          <t>PAR_BILLINGS</t>
        </is>
      </c>
      <c r="C377" s="5" t="n">
        <v>4</v>
      </c>
      <c r="D377" s="5" t="inlineStr">
        <is>
          <t>CRUDE-EST</t>
        </is>
      </c>
      <c r="E377" s="5" t="inlineStr">
        <is>
          <t>est. yield</t>
        </is>
      </c>
      <c r="F377" s="6">
        <f>SUMIFS(Data!$G$3:$G$125,Data!$A$3:$A$125,$B377)</f>
        <v/>
      </c>
      <c r="G377" s="7" t="n"/>
      <c r="H377" s="8">
        <f>IF($G377&lt;&gt;"",$G377,SUMIFS(Assumptions!$K$4:$K$8,Assumptions!$J$4:$J$8,$C377))</f>
        <v/>
      </c>
      <c r="I377" s="7" t="n"/>
      <c r="J377" s="9">
        <f>IF($I377&lt;&gt;"",$I377,SUMIFS(Data!$N$3:$N$125,Data!$A$3:$A$125,$B377)*Assumptions!$S$4)</f>
        <v/>
      </c>
      <c r="K377" s="7" t="n"/>
      <c r="L377" s="9">
        <f>IF($K377&lt;&gt;"",$K377,SUMIFS(Data!$N$3:$N$125,Data!$A$3:$A$125,$B377)*Assumptions!$S$5)</f>
        <v/>
      </c>
      <c r="M377" s="9">
        <f>J377+L377</f>
        <v/>
      </c>
      <c r="N377" s="10">
        <f>$F377*$H377*$M377</f>
        <v/>
      </c>
    </row>
    <row r="378">
      <c r="A378" s="11" t="inlineStr">
        <is>
          <t>TOTAL</t>
        </is>
      </c>
      <c r="B378" s="12" t="inlineStr">
        <is>
          <t>PAR_BILLINGS</t>
        </is>
      </c>
      <c r="C378" s="12" t="n">
        <v>4</v>
      </c>
      <c r="D378" s="12" t="inlineStr">
        <is>
          <t>NET NAPHTHA</t>
        </is>
      </c>
      <c r="N378" s="13">
        <f>SUM(N377:N377)</f>
        <v/>
      </c>
    </row>
    <row r="380">
      <c r="A380" s="1" t="inlineStr">
        <is>
          <t xml:space="preserve">  CHS Laurel  [CHS_LAUREL]   —   CHS   —   PADD 4   —   crude 61 kbd</t>
        </is>
      </c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</row>
    <row r="381">
      <c r="A381" s="4" t="inlineStr">
        <is>
          <t>UNIT</t>
        </is>
      </c>
      <c r="B381" s="5" t="inlineStr">
        <is>
          <t>CHS_LAUREL</t>
        </is>
      </c>
      <c r="C381" s="5" t="n">
        <v>4</v>
      </c>
      <c r="D381" s="5" t="inlineStr">
        <is>
          <t>CRUDE-EST</t>
        </is>
      </c>
      <c r="E381" s="5" t="inlineStr">
        <is>
          <t>est. yield</t>
        </is>
      </c>
      <c r="F381" s="6">
        <f>SUMIFS(Data!$G$3:$G$125,Data!$A$3:$A$125,$B381)</f>
        <v/>
      </c>
      <c r="G381" s="7" t="n"/>
      <c r="H381" s="8">
        <f>IF($G381&lt;&gt;"",$G381,SUMIFS(Assumptions!$K$4:$K$8,Assumptions!$J$4:$J$8,$C381))</f>
        <v/>
      </c>
      <c r="I381" s="7" t="n"/>
      <c r="J381" s="9">
        <f>IF($I381&lt;&gt;"",$I381,SUMIFS(Data!$N$3:$N$125,Data!$A$3:$A$125,$B381)*Assumptions!$S$4)</f>
        <v/>
      </c>
      <c r="K381" s="7" t="n"/>
      <c r="L381" s="9">
        <f>IF($K381&lt;&gt;"",$K381,SUMIFS(Data!$N$3:$N$125,Data!$A$3:$A$125,$B381)*Assumptions!$S$5)</f>
        <v/>
      </c>
      <c r="M381" s="9">
        <f>J381+L381</f>
        <v/>
      </c>
      <c r="N381" s="10">
        <f>$F381*$H381*$M381</f>
        <v/>
      </c>
    </row>
    <row r="382">
      <c r="A382" s="11" t="inlineStr">
        <is>
          <t>TOTAL</t>
        </is>
      </c>
      <c r="B382" s="12" t="inlineStr">
        <is>
          <t>CHS_LAUREL</t>
        </is>
      </c>
      <c r="C382" s="12" t="n">
        <v>4</v>
      </c>
      <c r="D382" s="12" t="inlineStr">
        <is>
          <t>NET NAPHTHA</t>
        </is>
      </c>
      <c r="N382" s="13">
        <f>SUM(N381:N381)</f>
        <v/>
      </c>
    </row>
    <row r="384">
      <c r="A384" s="1" t="inlineStr">
        <is>
          <t xml:space="preserve">  Chevron Salt Lake City  [CHEVRON_SALT_LAKE_CITY]   —   Chevron   —   PADD 4   —   crude 55 kbd</t>
        </is>
      </c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</row>
    <row r="385">
      <c r="A385" s="4" t="inlineStr">
        <is>
          <t>UNIT</t>
        </is>
      </c>
      <c r="B385" s="5" t="inlineStr">
        <is>
          <t>CHEVRON_SALT_LAKE_CITY</t>
        </is>
      </c>
      <c r="C385" s="5" t="n">
        <v>4</v>
      </c>
      <c r="D385" s="5" t="inlineStr">
        <is>
          <t>CRUDE-EST</t>
        </is>
      </c>
      <c r="E385" s="5" t="inlineStr">
        <is>
          <t>est. yield</t>
        </is>
      </c>
      <c r="F385" s="6">
        <f>SUMIFS(Data!$G$3:$G$125,Data!$A$3:$A$125,$B385)</f>
        <v/>
      </c>
      <c r="G385" s="7" t="n"/>
      <c r="H385" s="8">
        <f>IF($G385&lt;&gt;"",$G385,SUMIFS(Assumptions!$K$4:$K$8,Assumptions!$J$4:$J$8,$C385))</f>
        <v/>
      </c>
      <c r="I385" s="7" t="n"/>
      <c r="J385" s="9">
        <f>IF($I385&lt;&gt;"",$I385,SUMIFS(Data!$N$3:$N$125,Data!$A$3:$A$125,$B385)*Assumptions!$S$4)</f>
        <v/>
      </c>
      <c r="K385" s="7" t="n"/>
      <c r="L385" s="9">
        <f>IF($K385&lt;&gt;"",$K385,SUMIFS(Data!$N$3:$N$125,Data!$A$3:$A$125,$B385)*Assumptions!$S$5)</f>
        <v/>
      </c>
      <c r="M385" s="9">
        <f>J385+L385</f>
        <v/>
      </c>
      <c r="N385" s="10">
        <f>$F385*$H385*$M385</f>
        <v/>
      </c>
    </row>
    <row r="386">
      <c r="A386" s="11" t="inlineStr">
        <is>
          <t>TOTAL</t>
        </is>
      </c>
      <c r="B386" s="12" t="inlineStr">
        <is>
          <t>CHEVRON_SALT_LAKE_CITY</t>
        </is>
      </c>
      <c r="C386" s="12" t="n">
        <v>4</v>
      </c>
      <c r="D386" s="12" t="inlineStr">
        <is>
          <t>NET NAPHTHA</t>
        </is>
      </c>
      <c r="N386" s="13">
        <f>SUM(N385:N385)</f>
        <v/>
      </c>
    </row>
    <row r="388">
      <c r="A388" s="1" t="inlineStr">
        <is>
          <t xml:space="preserve">  HF Sinclair Woods Cross  [HF_WOODS_CROSS]   —   HF Sinclair   —   PADD 4   —   crude 45 kbd</t>
        </is>
      </c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</row>
    <row r="389">
      <c r="A389" s="4" t="inlineStr">
        <is>
          <t>UNIT</t>
        </is>
      </c>
      <c r="B389" s="5" t="inlineStr">
        <is>
          <t>HF_WOODS_CROSS</t>
        </is>
      </c>
      <c r="C389" s="5" t="n">
        <v>4</v>
      </c>
      <c r="D389" s="5" t="inlineStr">
        <is>
          <t>CRUDE-EST</t>
        </is>
      </c>
      <c r="E389" s="5" t="inlineStr">
        <is>
          <t>est. yield</t>
        </is>
      </c>
      <c r="F389" s="6">
        <f>SUMIFS(Data!$G$3:$G$125,Data!$A$3:$A$125,$B389)</f>
        <v/>
      </c>
      <c r="G389" s="7" t="n"/>
      <c r="H389" s="8">
        <f>IF($G389&lt;&gt;"",$G389,SUMIFS(Assumptions!$K$4:$K$8,Assumptions!$J$4:$J$8,$C389))</f>
        <v/>
      </c>
      <c r="I389" s="7" t="n"/>
      <c r="J389" s="9">
        <f>IF($I389&lt;&gt;"",$I389,SUMIFS(Data!$N$3:$N$125,Data!$A$3:$A$125,$B389)*Assumptions!$S$4)</f>
        <v/>
      </c>
      <c r="K389" s="7" t="n"/>
      <c r="L389" s="9">
        <f>IF($K389&lt;&gt;"",$K389,SUMIFS(Data!$N$3:$N$125,Data!$A$3:$A$125,$B389)*Assumptions!$S$5)</f>
        <v/>
      </c>
      <c r="M389" s="9">
        <f>J389+L389</f>
        <v/>
      </c>
      <c r="N389" s="10">
        <f>$F389*$H389*$M389</f>
        <v/>
      </c>
    </row>
    <row r="390">
      <c r="A390" s="11" t="inlineStr">
        <is>
          <t>TOTAL</t>
        </is>
      </c>
      <c r="B390" s="12" t="inlineStr">
        <is>
          <t>HF_WOODS_CROSS</t>
        </is>
      </c>
      <c r="C390" s="12" t="n">
        <v>4</v>
      </c>
      <c r="D390" s="12" t="inlineStr">
        <is>
          <t>NET NAPHTHA</t>
        </is>
      </c>
      <c r="N390" s="13">
        <f>SUM(N389:N389)</f>
        <v/>
      </c>
    </row>
    <row r="392">
      <c r="A392" s="1" t="inlineStr">
        <is>
          <t xml:space="preserve">  Big West Oil Co North Slaterville Canal  [BIG_NORTH_SLATERVILLE_CANAL]   —   Flying J   —   PADD 4   —   crude 33 kbd</t>
        </is>
      </c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</row>
    <row r="393">
      <c r="A393" s="4" t="inlineStr">
        <is>
          <t>UNIT</t>
        </is>
      </c>
      <c r="B393" s="5" t="inlineStr">
        <is>
          <t>BIG_NORTH_SLATERVILLE_CANAL</t>
        </is>
      </c>
      <c r="C393" s="5" t="n">
        <v>4</v>
      </c>
      <c r="D393" s="5" t="inlineStr">
        <is>
          <t>CRUDE-EST</t>
        </is>
      </c>
      <c r="E393" s="5" t="inlineStr">
        <is>
          <t>est. yield</t>
        </is>
      </c>
      <c r="F393" s="6">
        <f>SUMIFS(Data!$G$3:$G$125,Data!$A$3:$A$125,$B393)</f>
        <v/>
      </c>
      <c r="G393" s="7" t="n"/>
      <c r="H393" s="8">
        <f>IF($G393&lt;&gt;"",$G393,SUMIFS(Assumptions!$K$4:$K$8,Assumptions!$J$4:$J$8,$C393))</f>
        <v/>
      </c>
      <c r="I393" s="7" t="n"/>
      <c r="J393" s="9">
        <f>IF($I393&lt;&gt;"",$I393,SUMIFS(Data!$N$3:$N$125,Data!$A$3:$A$125,$B393)*Assumptions!$S$4)</f>
        <v/>
      </c>
      <c r="K393" s="7" t="n"/>
      <c r="L393" s="9">
        <f>IF($K393&lt;&gt;"",$K393,SUMIFS(Data!$N$3:$N$125,Data!$A$3:$A$125,$B393)*Assumptions!$S$5)</f>
        <v/>
      </c>
      <c r="M393" s="9">
        <f>J393+L393</f>
        <v/>
      </c>
      <c r="N393" s="10">
        <f>$F393*$H393*$M393</f>
        <v/>
      </c>
    </row>
    <row r="394">
      <c r="A394" s="11" t="inlineStr">
        <is>
          <t>TOTAL</t>
        </is>
      </c>
      <c r="B394" s="12" t="inlineStr">
        <is>
          <t>BIG_NORTH_SLATERVILLE_CANAL</t>
        </is>
      </c>
      <c r="C394" s="12" t="n">
        <v>4</v>
      </c>
      <c r="D394" s="12" t="inlineStr">
        <is>
          <t>NET NAPHTHA</t>
        </is>
      </c>
      <c r="N394" s="13">
        <f>SUM(N393:N393)</f>
        <v/>
      </c>
    </row>
    <row r="396">
      <c r="A396" s="1" t="inlineStr">
        <is>
          <t xml:space="preserve">  HF Sinclair Casper  [HF_CASPER]   —   HF Sinclair   —   PADD 4   —   crude 30 kbd</t>
        </is>
      </c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</row>
    <row r="397">
      <c r="A397" s="4" t="inlineStr">
        <is>
          <t>UNIT</t>
        </is>
      </c>
      <c r="B397" s="5" t="inlineStr">
        <is>
          <t>HF_CASPER</t>
        </is>
      </c>
      <c r="C397" s="5" t="n">
        <v>4</v>
      </c>
      <c r="D397" s="5" t="inlineStr">
        <is>
          <t>CRUDE-EST</t>
        </is>
      </c>
      <c r="E397" s="5" t="inlineStr">
        <is>
          <t>est. yield</t>
        </is>
      </c>
      <c r="F397" s="6">
        <f>SUMIFS(Data!$G$3:$G$125,Data!$A$3:$A$125,$B397)</f>
        <v/>
      </c>
      <c r="G397" s="7" t="n"/>
      <c r="H397" s="8">
        <f>IF($G397&lt;&gt;"",$G397,SUMIFS(Assumptions!$K$4:$K$8,Assumptions!$J$4:$J$8,$C397))</f>
        <v/>
      </c>
      <c r="I397" s="7" t="n"/>
      <c r="J397" s="9">
        <f>IF($I397&lt;&gt;"",$I397,SUMIFS(Data!$N$3:$N$125,Data!$A$3:$A$125,$B397)*Assumptions!$S$4)</f>
        <v/>
      </c>
      <c r="K397" s="7" t="n"/>
      <c r="L397" s="9">
        <f>IF($K397&lt;&gt;"",$K397,SUMIFS(Data!$N$3:$N$125,Data!$A$3:$A$125,$B397)*Assumptions!$S$5)</f>
        <v/>
      </c>
      <c r="M397" s="9">
        <f>J397+L397</f>
        <v/>
      </c>
      <c r="N397" s="10">
        <f>$F397*$H397*$M397</f>
        <v/>
      </c>
    </row>
    <row r="398">
      <c r="A398" s="11" t="inlineStr">
        <is>
          <t>TOTAL</t>
        </is>
      </c>
      <c r="B398" s="12" t="inlineStr">
        <is>
          <t>HF_CASPER</t>
        </is>
      </c>
      <c r="C398" s="12" t="n">
        <v>4</v>
      </c>
      <c r="D398" s="12" t="inlineStr">
        <is>
          <t>NET NAPHTHA</t>
        </is>
      </c>
      <c r="N398" s="13">
        <f>SUM(N397:N397)</f>
        <v/>
      </c>
    </row>
    <row r="400">
      <c r="A400" s="1" t="inlineStr">
        <is>
          <t xml:space="preserve">  Par Petroleum Newcastle  [PAR_NEWCASTLE]   —   Par Petroleum   —   PADD 4   —   crude 20 kbd</t>
        </is>
      </c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</row>
    <row r="401">
      <c r="A401" s="4" t="inlineStr">
        <is>
          <t>UNIT</t>
        </is>
      </c>
      <c r="B401" s="5" t="inlineStr">
        <is>
          <t>PAR_NEWCASTLE</t>
        </is>
      </c>
      <c r="C401" s="5" t="n">
        <v>4</v>
      </c>
      <c r="D401" s="5" t="inlineStr">
        <is>
          <t>CRUDE-EST</t>
        </is>
      </c>
      <c r="E401" s="5" t="inlineStr">
        <is>
          <t>est. yield</t>
        </is>
      </c>
      <c r="F401" s="6">
        <f>SUMIFS(Data!$G$3:$G$125,Data!$A$3:$A$125,$B401)</f>
        <v/>
      </c>
      <c r="G401" s="7" t="n"/>
      <c r="H401" s="8">
        <f>IF($G401&lt;&gt;"",$G401,SUMIFS(Assumptions!$K$4:$K$8,Assumptions!$J$4:$J$8,$C401))</f>
        <v/>
      </c>
      <c r="I401" s="7" t="n"/>
      <c r="J401" s="9">
        <f>IF($I401&lt;&gt;"",$I401,SUMIFS(Data!$N$3:$N$125,Data!$A$3:$A$125,$B401)*Assumptions!$S$4)</f>
        <v/>
      </c>
      <c r="K401" s="7" t="n"/>
      <c r="L401" s="9">
        <f>IF($K401&lt;&gt;"",$K401,SUMIFS(Data!$N$3:$N$125,Data!$A$3:$A$125,$B401)*Assumptions!$S$5)</f>
        <v/>
      </c>
      <c r="M401" s="9">
        <f>J401+L401</f>
        <v/>
      </c>
      <c r="N401" s="10">
        <f>$F401*$H401*$M401</f>
        <v/>
      </c>
    </row>
    <row r="402">
      <c r="A402" s="11" t="inlineStr">
        <is>
          <t>TOTAL</t>
        </is>
      </c>
      <c r="B402" s="12" t="inlineStr">
        <is>
          <t>PAR_NEWCASTLE</t>
        </is>
      </c>
      <c r="C402" s="12" t="n">
        <v>4</v>
      </c>
      <c r="D402" s="12" t="inlineStr">
        <is>
          <t>NET NAPHTHA</t>
        </is>
      </c>
      <c r="N402" s="13">
        <f>SUM(N401:N401)</f>
        <v/>
      </c>
    </row>
    <row r="404">
      <c r="A404" s="1" t="inlineStr">
        <is>
          <t xml:space="preserve">  Montana Refining Co. Great Falls  [MONTANA_GREAT_FALLS]   —   Calumet Lubricants Co.   —   PADD 4   —   crude 17 kbd</t>
        </is>
      </c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</row>
    <row r="405">
      <c r="A405" s="4" t="inlineStr">
        <is>
          <t>UNIT</t>
        </is>
      </c>
      <c r="B405" s="5" t="inlineStr">
        <is>
          <t>MONTANA_GREAT_FALLS</t>
        </is>
      </c>
      <c r="C405" s="5" t="n">
        <v>4</v>
      </c>
      <c r="D405" s="5" t="inlineStr">
        <is>
          <t>CRUDE-EST</t>
        </is>
      </c>
      <c r="E405" s="5" t="inlineStr">
        <is>
          <t>est. yield</t>
        </is>
      </c>
      <c r="F405" s="6">
        <f>SUMIFS(Data!$G$3:$G$125,Data!$A$3:$A$125,$B405)</f>
        <v/>
      </c>
      <c r="G405" s="7" t="n"/>
      <c r="H405" s="8">
        <f>IF($G405&lt;&gt;"",$G405,SUMIFS(Assumptions!$K$4:$K$8,Assumptions!$J$4:$J$8,$C405))</f>
        <v/>
      </c>
      <c r="I405" s="7" t="n"/>
      <c r="J405" s="9">
        <f>IF($I405&lt;&gt;"",$I405,SUMIFS(Data!$N$3:$N$125,Data!$A$3:$A$125,$B405)*Assumptions!$S$4)</f>
        <v/>
      </c>
      <c r="K405" s="7" t="n"/>
      <c r="L405" s="9">
        <f>IF($K405&lt;&gt;"",$K405,SUMIFS(Data!$N$3:$N$125,Data!$A$3:$A$125,$B405)*Assumptions!$S$5)</f>
        <v/>
      </c>
      <c r="M405" s="9">
        <f>J405+L405</f>
        <v/>
      </c>
      <c r="N405" s="10">
        <f>$F405*$H405*$M405</f>
        <v/>
      </c>
    </row>
    <row r="406">
      <c r="A406" s="11" t="inlineStr">
        <is>
          <t>TOTAL</t>
        </is>
      </c>
      <c r="B406" s="12" t="inlineStr">
        <is>
          <t>MONTANA_GREAT_FALLS</t>
        </is>
      </c>
      <c r="C406" s="12" t="n">
        <v>4</v>
      </c>
      <c r="D406" s="12" t="inlineStr">
        <is>
          <t>NET NAPHTHA</t>
        </is>
      </c>
      <c r="N406" s="13">
        <f>SUM(N405:N405)</f>
        <v/>
      </c>
    </row>
    <row r="408">
      <c r="A408" s="1" t="inlineStr">
        <is>
          <t xml:space="preserve">  Silver Eagle Refining Woods Cross  [SILVER_WOODS_CROSS]   —   Silver Eagle Refining   —   PADD 4   —   crude 16 kbd</t>
        </is>
      </c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</row>
    <row r="409">
      <c r="A409" s="4" t="inlineStr">
        <is>
          <t>UNIT</t>
        </is>
      </c>
      <c r="B409" s="5" t="inlineStr">
        <is>
          <t>SILVER_WOODS_CROSS</t>
        </is>
      </c>
      <c r="C409" s="5" t="n">
        <v>4</v>
      </c>
      <c r="D409" s="5" t="inlineStr">
        <is>
          <t>CRUDE-EST</t>
        </is>
      </c>
      <c r="E409" s="5" t="inlineStr">
        <is>
          <t>est. yield</t>
        </is>
      </c>
      <c r="F409" s="6">
        <f>SUMIFS(Data!$G$3:$G$125,Data!$A$3:$A$125,$B409)</f>
        <v/>
      </c>
      <c r="G409" s="7" t="n"/>
      <c r="H409" s="8">
        <f>IF($G409&lt;&gt;"",$G409,SUMIFS(Assumptions!$K$4:$K$8,Assumptions!$J$4:$J$8,$C409))</f>
        <v/>
      </c>
      <c r="I409" s="7" t="n"/>
      <c r="J409" s="9">
        <f>IF($I409&lt;&gt;"",$I409,SUMIFS(Data!$N$3:$N$125,Data!$A$3:$A$125,$B409)*Assumptions!$S$4)</f>
        <v/>
      </c>
      <c r="K409" s="7" t="n"/>
      <c r="L409" s="9">
        <f>IF($K409&lt;&gt;"",$K409,SUMIFS(Data!$N$3:$N$125,Data!$A$3:$A$125,$B409)*Assumptions!$S$5)</f>
        <v/>
      </c>
      <c r="M409" s="9">
        <f>J409+L409</f>
        <v/>
      </c>
      <c r="N409" s="10">
        <f>$F409*$H409*$M409</f>
        <v/>
      </c>
    </row>
    <row r="410">
      <c r="A410" s="11" t="inlineStr">
        <is>
          <t>TOTAL</t>
        </is>
      </c>
      <c r="B410" s="12" t="inlineStr">
        <is>
          <t>SILVER_WOODS_CROSS</t>
        </is>
      </c>
      <c r="C410" s="12" t="n">
        <v>4</v>
      </c>
      <c r="D410" s="12" t="inlineStr">
        <is>
          <t>NET NAPHTHA</t>
        </is>
      </c>
      <c r="N410" s="13">
        <f>SUM(N409:N409)</f>
        <v/>
      </c>
    </row>
    <row r="412">
      <c r="A412" s="1" t="inlineStr">
        <is>
          <t xml:space="preserve">  Wyoming Refining Evanston  [WYOMING_EVANSTON]   —   Silver Eagle Refining   —   PADD 4   —   crude 3 kbd</t>
        </is>
      </c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</row>
    <row r="413">
      <c r="A413" s="4" t="inlineStr">
        <is>
          <t>UNIT</t>
        </is>
      </c>
      <c r="B413" s="5" t="inlineStr">
        <is>
          <t>WYOMING_EVANSTON</t>
        </is>
      </c>
      <c r="C413" s="5" t="n">
        <v>4</v>
      </c>
      <c r="D413" s="5" t="inlineStr">
        <is>
          <t>CRUDE-EST</t>
        </is>
      </c>
      <c r="E413" s="5" t="inlineStr">
        <is>
          <t>est. yield</t>
        </is>
      </c>
      <c r="F413" s="6">
        <f>SUMIFS(Data!$G$3:$G$125,Data!$A$3:$A$125,$B413)</f>
        <v/>
      </c>
      <c r="G413" s="7" t="n"/>
      <c r="H413" s="8">
        <f>IF($G413&lt;&gt;"",$G413,SUMIFS(Assumptions!$K$4:$K$8,Assumptions!$J$4:$J$8,$C413))</f>
        <v/>
      </c>
      <c r="I413" s="7" t="n"/>
      <c r="J413" s="9">
        <f>IF($I413&lt;&gt;"",$I413,SUMIFS(Data!$N$3:$N$125,Data!$A$3:$A$125,$B413)*Assumptions!$S$4)</f>
        <v/>
      </c>
      <c r="K413" s="7" t="n"/>
      <c r="L413" s="9">
        <f>IF($K413&lt;&gt;"",$K413,SUMIFS(Data!$N$3:$N$125,Data!$A$3:$A$125,$B413)*Assumptions!$S$5)</f>
        <v/>
      </c>
      <c r="M413" s="9">
        <f>J413+L413</f>
        <v/>
      </c>
      <c r="N413" s="10">
        <f>$F413*$H413*$M413</f>
        <v/>
      </c>
    </row>
    <row r="414">
      <c r="A414" s="11" t="inlineStr">
        <is>
          <t>TOTAL</t>
        </is>
      </c>
      <c r="B414" s="12" t="inlineStr">
        <is>
          <t>WYOMING_EVANSTON</t>
        </is>
      </c>
      <c r="C414" s="12" t="n">
        <v>4</v>
      </c>
      <c r="D414" s="12" t="inlineStr">
        <is>
          <t>NET NAPHTHA</t>
        </is>
      </c>
      <c r="N414" s="13">
        <f>SUM(N413:N413)</f>
        <v/>
      </c>
    </row>
    <row r="416">
      <c r="A416" s="1" t="inlineStr">
        <is>
          <t xml:space="preserve">  Slate Douglas  [SLATE_DOUGLAS]   —   Slate   —   PADD 4   —   crude: pending capacity sheet</t>
        </is>
      </c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</row>
    <row r="417">
      <c r="A417" s="4" t="inlineStr">
        <is>
          <t>UNIT</t>
        </is>
      </c>
      <c r="B417" s="5" t="inlineStr">
        <is>
          <t>SLATE_DOUGLAS</t>
        </is>
      </c>
      <c r="C417" s="5" t="n">
        <v>4</v>
      </c>
      <c r="D417" s="5" t="inlineStr">
        <is>
          <t>CRUDE-EST</t>
        </is>
      </c>
      <c r="E417" s="5" t="inlineStr">
        <is>
          <t>est. yield</t>
        </is>
      </c>
      <c r="F417" s="6">
        <f>SUMIFS(Data!$G$3:$G$125,Data!$A$3:$A$125,$B417)</f>
        <v/>
      </c>
      <c r="G417" s="7" t="n"/>
      <c r="H417" s="8">
        <f>IF($G417&lt;&gt;"",$G417,SUMIFS(Assumptions!$K$4:$K$8,Assumptions!$J$4:$J$8,$C417))</f>
        <v/>
      </c>
      <c r="I417" s="7" t="n"/>
      <c r="J417" s="9">
        <f>IF($I417&lt;&gt;"",$I417,SUMIFS(Data!$N$3:$N$125,Data!$A$3:$A$125,$B417)*Assumptions!$S$4)</f>
        <v/>
      </c>
      <c r="K417" s="7" t="n"/>
      <c r="L417" s="9">
        <f>IF($K417&lt;&gt;"",$K417,SUMIFS(Data!$N$3:$N$125,Data!$A$3:$A$125,$B417)*Assumptions!$S$5)</f>
        <v/>
      </c>
      <c r="M417" s="9">
        <f>J417+L417</f>
        <v/>
      </c>
      <c r="N417" s="10">
        <f>$F417*$H417*$M417</f>
        <v/>
      </c>
    </row>
    <row r="418">
      <c r="A418" s="11" t="inlineStr">
        <is>
          <t>TOTAL</t>
        </is>
      </c>
      <c r="B418" s="12" t="inlineStr">
        <is>
          <t>SLATE_DOUGLAS</t>
        </is>
      </c>
      <c r="C418" s="12" t="n">
        <v>4</v>
      </c>
      <c r="D418" s="12" t="inlineStr">
        <is>
          <t>NET NAPHTHA</t>
        </is>
      </c>
      <c r="N418" s="13">
        <f>SUM(N417:N417)</f>
        <v/>
      </c>
    </row>
    <row r="420">
      <c r="A420" s="1" t="inlineStr">
        <is>
          <t xml:space="preserve">  Chevron El Segundo  [CHEVRON_EL_SEGUNDO]   —   Chevron   —   PADD 5   —   crude 290 kbd</t>
        </is>
      </c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</row>
    <row r="421">
      <c r="A421" s="4" t="inlineStr">
        <is>
          <t>UNIT</t>
        </is>
      </c>
      <c r="B421" s="5" t="inlineStr">
        <is>
          <t>CHEVRON_EL_SEGUNDO</t>
        </is>
      </c>
      <c r="C421" s="5" t="n">
        <v>5</v>
      </c>
      <c r="D421" s="5" t="inlineStr">
        <is>
          <t>CRUDE-EST</t>
        </is>
      </c>
      <c r="E421" s="5" t="inlineStr">
        <is>
          <t>est. yield</t>
        </is>
      </c>
      <c r="F421" s="6">
        <f>SUMIFS(Data!$G$3:$G$125,Data!$A$3:$A$125,$B421)</f>
        <v/>
      </c>
      <c r="G421" s="7" t="n"/>
      <c r="H421" s="8">
        <f>IF($G421&lt;&gt;"",$G421,SUMIFS(Assumptions!$K$4:$K$8,Assumptions!$J$4:$J$8,$C421))</f>
        <v/>
      </c>
      <c r="I421" s="7" t="n"/>
      <c r="J421" s="9">
        <f>IF($I421&lt;&gt;"",$I421,SUMIFS(Data!$N$3:$N$125,Data!$A$3:$A$125,$B421)*Assumptions!$S$4)</f>
        <v/>
      </c>
      <c r="K421" s="7" t="n"/>
      <c r="L421" s="9">
        <f>IF($K421&lt;&gt;"",$K421,SUMIFS(Data!$N$3:$N$125,Data!$A$3:$A$125,$B421)*Assumptions!$S$5)</f>
        <v/>
      </c>
      <c r="M421" s="9">
        <f>J421+L421</f>
        <v/>
      </c>
      <c r="N421" s="10">
        <f>$F421*$H421*$M421</f>
        <v/>
      </c>
    </row>
    <row r="422">
      <c r="A422" s="11" t="inlineStr">
        <is>
          <t>TOTAL</t>
        </is>
      </c>
      <c r="B422" s="12" t="inlineStr">
        <is>
          <t>CHEVRON_EL_SEGUNDO</t>
        </is>
      </c>
      <c r="C422" s="12" t="n">
        <v>5</v>
      </c>
      <c r="D422" s="12" t="inlineStr">
        <is>
          <t>NET NAPHTHA</t>
        </is>
      </c>
      <c r="N422" s="13">
        <f>SUM(N421:N421)</f>
        <v/>
      </c>
    </row>
    <row r="424">
      <c r="A424" s="1" t="inlineStr">
        <is>
          <t xml:space="preserve">  Marathon Petroleum Carson  [MARATHON_CARSON]   —   Marathon Petroleum   —   PADD 5   —   crude 281 kbd</t>
        </is>
      </c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</row>
    <row r="425">
      <c r="A425" s="4" t="inlineStr">
        <is>
          <t>UNIT</t>
        </is>
      </c>
      <c r="B425" s="5" t="inlineStr">
        <is>
          <t>MARATHON_CARSON</t>
        </is>
      </c>
      <c r="C425" s="5" t="n">
        <v>5</v>
      </c>
      <c r="D425" s="5" t="inlineStr">
        <is>
          <t>CRUDE-EST</t>
        </is>
      </c>
      <c r="E425" s="5" t="inlineStr">
        <is>
          <t>est. yield</t>
        </is>
      </c>
      <c r="F425" s="6">
        <f>SUMIFS(Data!$G$3:$G$125,Data!$A$3:$A$125,$B425)</f>
        <v/>
      </c>
      <c r="G425" s="7" t="n"/>
      <c r="H425" s="8">
        <f>IF($G425&lt;&gt;"",$G425,SUMIFS(Assumptions!$K$4:$K$8,Assumptions!$J$4:$J$8,$C425))</f>
        <v/>
      </c>
      <c r="I425" s="7" t="n"/>
      <c r="J425" s="9">
        <f>IF($I425&lt;&gt;"",$I425,SUMIFS(Data!$N$3:$N$125,Data!$A$3:$A$125,$B425)*Assumptions!$S$4)</f>
        <v/>
      </c>
      <c r="K425" s="7" t="n"/>
      <c r="L425" s="9">
        <f>IF($K425&lt;&gt;"",$K425,SUMIFS(Data!$N$3:$N$125,Data!$A$3:$A$125,$B425)*Assumptions!$S$5)</f>
        <v/>
      </c>
      <c r="M425" s="9">
        <f>J425+L425</f>
        <v/>
      </c>
      <c r="N425" s="10">
        <f>$F425*$H425*$M425</f>
        <v/>
      </c>
    </row>
    <row r="426">
      <c r="A426" s="11" t="inlineStr">
        <is>
          <t>TOTAL</t>
        </is>
      </c>
      <c r="B426" s="12" t="inlineStr">
        <is>
          <t>MARATHON_CARSON</t>
        </is>
      </c>
      <c r="C426" s="12" t="n">
        <v>5</v>
      </c>
      <c r="D426" s="12" t="inlineStr">
        <is>
          <t>NET NAPHTHA</t>
        </is>
      </c>
      <c r="N426" s="13">
        <f>SUM(N425:N425)</f>
        <v/>
      </c>
    </row>
    <row r="428">
      <c r="A428" s="1" t="inlineStr">
        <is>
          <t xml:space="preserve">  Chevron Richmond  [CHEVRON_RICHMOND]   —   Chevron   —   PADD 5   —   crude 257 kbd</t>
        </is>
      </c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</row>
    <row r="429">
      <c r="A429" s="4" t="inlineStr">
        <is>
          <t>UNIT</t>
        </is>
      </c>
      <c r="B429" s="5" t="inlineStr">
        <is>
          <t>CHEVRON_RICHMOND</t>
        </is>
      </c>
      <c r="C429" s="5" t="n">
        <v>5</v>
      </c>
      <c r="D429" s="5" t="inlineStr">
        <is>
          <t>CRUDE-EST</t>
        </is>
      </c>
      <c r="E429" s="5" t="inlineStr">
        <is>
          <t>est. yield</t>
        </is>
      </c>
      <c r="F429" s="6">
        <f>SUMIFS(Data!$G$3:$G$125,Data!$A$3:$A$125,$B429)</f>
        <v/>
      </c>
      <c r="G429" s="7" t="n"/>
      <c r="H429" s="8">
        <f>IF($G429&lt;&gt;"",$G429,SUMIFS(Assumptions!$K$4:$K$8,Assumptions!$J$4:$J$8,$C429))</f>
        <v/>
      </c>
      <c r="I429" s="7" t="n"/>
      <c r="J429" s="9">
        <f>IF($I429&lt;&gt;"",$I429,SUMIFS(Data!$N$3:$N$125,Data!$A$3:$A$125,$B429)*Assumptions!$S$4)</f>
        <v/>
      </c>
      <c r="K429" s="7" t="n"/>
      <c r="L429" s="9">
        <f>IF($K429&lt;&gt;"",$K429,SUMIFS(Data!$N$3:$N$125,Data!$A$3:$A$125,$B429)*Assumptions!$S$5)</f>
        <v/>
      </c>
      <c r="M429" s="9">
        <f>J429+L429</f>
        <v/>
      </c>
      <c r="N429" s="10">
        <f>$F429*$H429*$M429</f>
        <v/>
      </c>
    </row>
    <row r="430">
      <c r="A430" s="11" t="inlineStr">
        <is>
          <t>TOTAL</t>
        </is>
      </c>
      <c r="B430" s="12" t="inlineStr">
        <is>
          <t>CHEVRON_RICHMOND</t>
        </is>
      </c>
      <c r="C430" s="12" t="n">
        <v>5</v>
      </c>
      <c r="D430" s="12" t="inlineStr">
        <is>
          <t>NET NAPHTHA</t>
        </is>
      </c>
      <c r="N430" s="13">
        <f>SUM(N429:N429)</f>
        <v/>
      </c>
    </row>
    <row r="432">
      <c r="A432" s="1" t="inlineStr">
        <is>
          <t xml:space="preserve">  BP Ferndale  [BP_FERNDALE]   —   BP   —   PADD 5   —   crude 251 kbd</t>
        </is>
      </c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</row>
    <row r="433">
      <c r="A433" s="4" t="inlineStr">
        <is>
          <t>UNIT</t>
        </is>
      </c>
      <c r="B433" s="5" t="inlineStr">
        <is>
          <t>BP_FERNDALE</t>
        </is>
      </c>
      <c r="C433" s="5" t="n">
        <v>5</v>
      </c>
      <c r="D433" s="5" t="inlineStr">
        <is>
          <t>CRUDE-EST</t>
        </is>
      </c>
      <c r="E433" s="5" t="inlineStr">
        <is>
          <t>est. yield</t>
        </is>
      </c>
      <c r="F433" s="6">
        <f>SUMIFS(Data!$G$3:$G$125,Data!$A$3:$A$125,$B433)</f>
        <v/>
      </c>
      <c r="G433" s="7" t="n"/>
      <c r="H433" s="8">
        <f>IF($G433&lt;&gt;"",$G433,SUMIFS(Assumptions!$K$4:$K$8,Assumptions!$J$4:$J$8,$C433))</f>
        <v/>
      </c>
      <c r="I433" s="7" t="n"/>
      <c r="J433" s="9">
        <f>IF($I433&lt;&gt;"",$I433,SUMIFS(Data!$N$3:$N$125,Data!$A$3:$A$125,$B433)*Assumptions!$S$4)</f>
        <v/>
      </c>
      <c r="K433" s="7" t="n"/>
      <c r="L433" s="9">
        <f>IF($K433&lt;&gt;"",$K433,SUMIFS(Data!$N$3:$N$125,Data!$A$3:$A$125,$B433)*Assumptions!$S$5)</f>
        <v/>
      </c>
      <c r="M433" s="9">
        <f>J433+L433</f>
        <v/>
      </c>
      <c r="N433" s="10">
        <f>$F433*$H433*$M433</f>
        <v/>
      </c>
    </row>
    <row r="434">
      <c r="A434" s="11" t="inlineStr">
        <is>
          <t>TOTAL</t>
        </is>
      </c>
      <c r="B434" s="12" t="inlineStr">
        <is>
          <t>BP_FERNDALE</t>
        </is>
      </c>
      <c r="C434" s="12" t="n">
        <v>5</v>
      </c>
      <c r="D434" s="12" t="inlineStr">
        <is>
          <t>NET NAPHTHA</t>
        </is>
      </c>
      <c r="N434" s="13">
        <f>SUM(N433:N433)</f>
        <v/>
      </c>
    </row>
    <row r="436">
      <c r="A436" s="1" t="inlineStr">
        <is>
          <t xml:space="preserve">  PBF Energy Company LLC Torrance  [PBF_TORRANCE]   —   PBF Energy Company LLC   —   PADD 5   —   crude 166 kbd</t>
        </is>
      </c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</row>
    <row r="437">
      <c r="A437" s="4" t="inlineStr">
        <is>
          <t>UNIT</t>
        </is>
      </c>
      <c r="B437" s="5" t="inlineStr">
        <is>
          <t>PBF_TORRANCE</t>
        </is>
      </c>
      <c r="C437" s="5" t="n">
        <v>5</v>
      </c>
      <c r="D437" s="5" t="inlineStr">
        <is>
          <t>CRUDE-EST</t>
        </is>
      </c>
      <c r="E437" s="5" t="inlineStr">
        <is>
          <t>est. yield</t>
        </is>
      </c>
      <c r="F437" s="6">
        <f>SUMIFS(Data!$G$3:$G$125,Data!$A$3:$A$125,$B437)</f>
        <v/>
      </c>
      <c r="G437" s="7" t="n"/>
      <c r="H437" s="8">
        <f>IF($G437&lt;&gt;"",$G437,SUMIFS(Assumptions!$K$4:$K$8,Assumptions!$J$4:$J$8,$C437))</f>
        <v/>
      </c>
      <c r="I437" s="7" t="n"/>
      <c r="J437" s="9">
        <f>IF($I437&lt;&gt;"",$I437,SUMIFS(Data!$N$3:$N$125,Data!$A$3:$A$125,$B437)*Assumptions!$S$4)</f>
        <v/>
      </c>
      <c r="K437" s="7" t="n"/>
      <c r="L437" s="9">
        <f>IF($K437&lt;&gt;"",$K437,SUMIFS(Data!$N$3:$N$125,Data!$A$3:$A$125,$B437)*Assumptions!$S$5)</f>
        <v/>
      </c>
      <c r="M437" s="9">
        <f>J437+L437</f>
        <v/>
      </c>
      <c r="N437" s="10">
        <f>$F437*$H437*$M437</f>
        <v/>
      </c>
    </row>
    <row r="438">
      <c r="A438" s="11" t="inlineStr">
        <is>
          <t>TOTAL</t>
        </is>
      </c>
      <c r="B438" s="12" t="inlineStr">
        <is>
          <t>PBF_TORRANCE</t>
        </is>
      </c>
      <c r="C438" s="12" t="n">
        <v>5</v>
      </c>
      <c r="D438" s="12" t="inlineStr">
        <is>
          <t>NET NAPHTHA</t>
        </is>
      </c>
      <c r="N438" s="13">
        <f>SUM(N437:N437)</f>
        <v/>
      </c>
    </row>
    <row r="440">
      <c r="A440" s="1" t="inlineStr">
        <is>
          <t xml:space="preserve">  PBF Energy Company LLC Martinez  [PBF_MARTINEZ]   —   PBF Energy Company LLC   —   PADD 5   —   crude 158 kbd</t>
        </is>
      </c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</row>
    <row r="441">
      <c r="A441" s="4" t="inlineStr">
        <is>
          <t>UNIT</t>
        </is>
      </c>
      <c r="B441" s="5" t="inlineStr">
        <is>
          <t>PBF_MARTINEZ</t>
        </is>
      </c>
      <c r="C441" s="5" t="n">
        <v>5</v>
      </c>
      <c r="D441" s="5" t="inlineStr">
        <is>
          <t>CRUDE-EST</t>
        </is>
      </c>
      <c r="E441" s="5" t="inlineStr">
        <is>
          <t>est. yield</t>
        </is>
      </c>
      <c r="F441" s="6">
        <f>SUMIFS(Data!$G$3:$G$125,Data!$A$3:$A$125,$B441)</f>
        <v/>
      </c>
      <c r="G441" s="7" t="n"/>
      <c r="H441" s="8">
        <f>IF($G441&lt;&gt;"",$G441,SUMIFS(Assumptions!$K$4:$K$8,Assumptions!$J$4:$J$8,$C441))</f>
        <v/>
      </c>
      <c r="I441" s="7" t="n"/>
      <c r="J441" s="9">
        <f>IF($I441&lt;&gt;"",$I441,SUMIFS(Data!$N$3:$N$125,Data!$A$3:$A$125,$B441)*Assumptions!$S$4)</f>
        <v/>
      </c>
      <c r="K441" s="7" t="n"/>
      <c r="L441" s="9">
        <f>IF($K441&lt;&gt;"",$K441,SUMIFS(Data!$N$3:$N$125,Data!$A$3:$A$125,$B441)*Assumptions!$S$5)</f>
        <v/>
      </c>
      <c r="M441" s="9">
        <f>J441+L441</f>
        <v/>
      </c>
      <c r="N441" s="10">
        <f>$F441*$H441*$M441</f>
        <v/>
      </c>
    </row>
    <row r="442">
      <c r="A442" s="11" t="inlineStr">
        <is>
          <t>TOTAL</t>
        </is>
      </c>
      <c r="B442" s="12" t="inlineStr">
        <is>
          <t>PBF_MARTINEZ</t>
        </is>
      </c>
      <c r="C442" s="12" t="n">
        <v>5</v>
      </c>
      <c r="D442" s="12" t="inlineStr">
        <is>
          <t>NET NAPHTHA</t>
        </is>
      </c>
      <c r="N442" s="13">
        <f>SUM(N441:N441)</f>
        <v/>
      </c>
    </row>
    <row r="444">
      <c r="A444" s="1" t="inlineStr">
        <is>
          <t xml:space="preserve">  HF Sinclair Anacortes  [HF_ANACORTES]   —   HF Sinclair   —   PADD 5   —   crude 149 kbd</t>
        </is>
      </c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</row>
    <row r="445">
      <c r="A445" s="4" t="inlineStr">
        <is>
          <t>UNIT</t>
        </is>
      </c>
      <c r="B445" s="5" t="inlineStr">
        <is>
          <t>HF_ANACORTES</t>
        </is>
      </c>
      <c r="C445" s="5" t="n">
        <v>5</v>
      </c>
      <c r="D445" s="5" t="inlineStr">
        <is>
          <t>CRUDE-EST</t>
        </is>
      </c>
      <c r="E445" s="5" t="inlineStr">
        <is>
          <t>est. yield</t>
        </is>
      </c>
      <c r="F445" s="6">
        <f>SUMIFS(Data!$G$3:$G$125,Data!$A$3:$A$125,$B445)</f>
        <v/>
      </c>
      <c r="G445" s="7" t="n"/>
      <c r="H445" s="8">
        <f>IF($G445&lt;&gt;"",$G445,SUMIFS(Assumptions!$K$4:$K$8,Assumptions!$J$4:$J$8,$C445))</f>
        <v/>
      </c>
      <c r="I445" s="7" t="n"/>
      <c r="J445" s="9">
        <f>IF($I445&lt;&gt;"",$I445,SUMIFS(Data!$N$3:$N$125,Data!$A$3:$A$125,$B445)*Assumptions!$S$4)</f>
        <v/>
      </c>
      <c r="K445" s="7" t="n"/>
      <c r="L445" s="9">
        <f>IF($K445&lt;&gt;"",$K445,SUMIFS(Data!$N$3:$N$125,Data!$A$3:$A$125,$B445)*Assumptions!$S$5)</f>
        <v/>
      </c>
      <c r="M445" s="9">
        <f>J445+L445</f>
        <v/>
      </c>
      <c r="N445" s="10">
        <f>$F445*$H445*$M445</f>
        <v/>
      </c>
    </row>
    <row r="446">
      <c r="A446" s="11" t="inlineStr">
        <is>
          <t>TOTAL</t>
        </is>
      </c>
      <c r="B446" s="12" t="inlineStr">
        <is>
          <t>HF_ANACORTES</t>
        </is>
      </c>
      <c r="C446" s="12" t="n">
        <v>5</v>
      </c>
      <c r="D446" s="12" t="inlineStr">
        <is>
          <t>NET NAPHTHA</t>
        </is>
      </c>
      <c r="N446" s="13">
        <f>SUM(N445:N445)</f>
        <v/>
      </c>
    </row>
    <row r="448">
      <c r="A448" s="1" t="inlineStr">
        <is>
          <t xml:space="preserve">  Marathon Petroleum Anacortes  [MARATHON_ANACORTES]   —   Marathon Petroleum   —   PADD 5   —   crude 122 kbd</t>
        </is>
      </c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</row>
    <row r="449">
      <c r="A449" s="4" t="inlineStr">
        <is>
          <t>UNIT</t>
        </is>
      </c>
      <c r="B449" s="5" t="inlineStr">
        <is>
          <t>MARATHON_ANACORTES</t>
        </is>
      </c>
      <c r="C449" s="5" t="n">
        <v>5</v>
      </c>
      <c r="D449" s="5" t="inlineStr">
        <is>
          <t>CRUDE-EST</t>
        </is>
      </c>
      <c r="E449" s="5" t="inlineStr">
        <is>
          <t>est. yield</t>
        </is>
      </c>
      <c r="F449" s="6">
        <f>SUMIFS(Data!$G$3:$G$125,Data!$A$3:$A$125,$B449)</f>
        <v/>
      </c>
      <c r="G449" s="7" t="n"/>
      <c r="H449" s="8">
        <f>IF($G449&lt;&gt;"",$G449,SUMIFS(Assumptions!$K$4:$K$8,Assumptions!$J$4:$J$8,$C449))</f>
        <v/>
      </c>
      <c r="I449" s="7" t="n"/>
      <c r="J449" s="9">
        <f>IF($I449&lt;&gt;"",$I449,SUMIFS(Data!$N$3:$N$125,Data!$A$3:$A$125,$B449)*Assumptions!$S$4)</f>
        <v/>
      </c>
      <c r="K449" s="7" t="n"/>
      <c r="L449" s="9">
        <f>IF($K449&lt;&gt;"",$K449,SUMIFS(Data!$N$3:$N$125,Data!$A$3:$A$125,$B449)*Assumptions!$S$5)</f>
        <v/>
      </c>
      <c r="M449" s="9">
        <f>J449+L449</f>
        <v/>
      </c>
      <c r="N449" s="10">
        <f>$F449*$H449*$M449</f>
        <v/>
      </c>
    </row>
    <row r="450">
      <c r="A450" s="11" t="inlineStr">
        <is>
          <t>TOTAL</t>
        </is>
      </c>
      <c r="B450" s="12" t="inlineStr">
        <is>
          <t>MARATHON_ANACORTES</t>
        </is>
      </c>
      <c r="C450" s="12" t="n">
        <v>5</v>
      </c>
      <c r="D450" s="12" t="inlineStr">
        <is>
          <t>NET NAPHTHA</t>
        </is>
      </c>
      <c r="N450" s="13">
        <f>SUM(N449:N449)</f>
        <v/>
      </c>
    </row>
    <row r="452">
      <c r="A452" s="1" t="inlineStr">
        <is>
          <t xml:space="preserve">  Phillips 66 Co. Ferndale  [PHILLIPS_FERNDALE]   —   Phillips 66 Co.   —   PADD 5   —   crude 105 kbd</t>
        </is>
      </c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</row>
    <row r="453">
      <c r="A453" s="4" t="inlineStr">
        <is>
          <t>UNIT</t>
        </is>
      </c>
      <c r="B453" s="5" t="inlineStr">
        <is>
          <t>PHILLIPS_FERNDALE</t>
        </is>
      </c>
      <c r="C453" s="5" t="n">
        <v>5</v>
      </c>
      <c r="D453" s="5" t="inlineStr">
        <is>
          <t>CRUDE-EST</t>
        </is>
      </c>
      <c r="E453" s="5" t="inlineStr">
        <is>
          <t>est. yield</t>
        </is>
      </c>
      <c r="F453" s="6">
        <f>SUMIFS(Data!$G$3:$G$125,Data!$A$3:$A$125,$B453)</f>
        <v/>
      </c>
      <c r="G453" s="7" t="n"/>
      <c r="H453" s="8">
        <f>IF($G453&lt;&gt;"",$G453,SUMIFS(Assumptions!$K$4:$K$8,Assumptions!$J$4:$J$8,$C453))</f>
        <v/>
      </c>
      <c r="I453" s="7" t="n"/>
      <c r="J453" s="9">
        <f>IF($I453&lt;&gt;"",$I453,SUMIFS(Data!$N$3:$N$125,Data!$A$3:$A$125,$B453)*Assumptions!$S$4)</f>
        <v/>
      </c>
      <c r="K453" s="7" t="n"/>
      <c r="L453" s="9">
        <f>IF($K453&lt;&gt;"",$K453,SUMIFS(Data!$N$3:$N$125,Data!$A$3:$A$125,$B453)*Assumptions!$S$5)</f>
        <v/>
      </c>
      <c r="M453" s="9">
        <f>J453+L453</f>
        <v/>
      </c>
      <c r="N453" s="10">
        <f>$F453*$H453*$M453</f>
        <v/>
      </c>
    </row>
    <row r="454">
      <c r="A454" s="11" t="inlineStr">
        <is>
          <t>TOTAL</t>
        </is>
      </c>
      <c r="B454" s="12" t="inlineStr">
        <is>
          <t>PHILLIPS_FERNDALE</t>
        </is>
      </c>
      <c r="C454" s="12" t="n">
        <v>5</v>
      </c>
      <c r="D454" s="12" t="inlineStr">
        <is>
          <t>NET NAPHTHA</t>
        </is>
      </c>
      <c r="N454" s="13">
        <f>SUM(N453:N453)</f>
        <v/>
      </c>
    </row>
    <row r="456">
      <c r="A456" s="1" t="inlineStr">
        <is>
          <t xml:space="preserve">  Marathon Petroleum Los Angeles  [MARATHON_LOS_ANGELES]   —   Marathon Petroleum   —   PADD 5   —   crude 104 kbd</t>
        </is>
      </c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</row>
    <row r="457">
      <c r="A457" s="4" t="inlineStr">
        <is>
          <t>UNIT</t>
        </is>
      </c>
      <c r="B457" s="5" t="inlineStr">
        <is>
          <t>MARATHON_LOS_ANGELES</t>
        </is>
      </c>
      <c r="C457" s="5" t="n">
        <v>5</v>
      </c>
      <c r="D457" s="5" t="inlineStr">
        <is>
          <t>CRUDE-EST</t>
        </is>
      </c>
      <c r="E457" s="5" t="inlineStr">
        <is>
          <t>est. yield</t>
        </is>
      </c>
      <c r="F457" s="6">
        <f>SUMIFS(Data!$G$3:$G$125,Data!$A$3:$A$125,$B457)</f>
        <v/>
      </c>
      <c r="G457" s="7" t="n"/>
      <c r="H457" s="8">
        <f>IF($G457&lt;&gt;"",$G457,SUMIFS(Assumptions!$K$4:$K$8,Assumptions!$J$4:$J$8,$C457))</f>
        <v/>
      </c>
      <c r="I457" s="7" t="n"/>
      <c r="J457" s="9">
        <f>IF($I457&lt;&gt;"",$I457,SUMIFS(Data!$N$3:$N$125,Data!$A$3:$A$125,$B457)*Assumptions!$S$4)</f>
        <v/>
      </c>
      <c r="K457" s="7" t="n"/>
      <c r="L457" s="9">
        <f>IF($K457&lt;&gt;"",$K457,SUMIFS(Data!$N$3:$N$125,Data!$A$3:$A$125,$B457)*Assumptions!$S$5)</f>
        <v/>
      </c>
      <c r="M457" s="9">
        <f>J457+L457</f>
        <v/>
      </c>
      <c r="N457" s="10">
        <f>$F457*$H457*$M457</f>
        <v/>
      </c>
    </row>
    <row r="458">
      <c r="A458" s="11" t="inlineStr">
        <is>
          <t>TOTAL</t>
        </is>
      </c>
      <c r="B458" s="12" t="inlineStr">
        <is>
          <t>MARATHON_LOS_ANGELES</t>
        </is>
      </c>
      <c r="C458" s="12" t="n">
        <v>5</v>
      </c>
      <c r="D458" s="12" t="inlineStr">
        <is>
          <t>NET NAPHTHA</t>
        </is>
      </c>
      <c r="N458" s="13">
        <f>SUM(N457:N457)</f>
        <v/>
      </c>
    </row>
    <row r="460">
      <c r="A460" s="1" t="inlineStr">
        <is>
          <t xml:space="preserve">  Par Petroleum Ewa Beach  [PAR_EWA_BEACH]   —   Par Petroleum   —   PADD 5   —   crude 94 kbd</t>
        </is>
      </c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</row>
    <row r="461">
      <c r="A461" s="4" t="inlineStr">
        <is>
          <t>UNIT</t>
        </is>
      </c>
      <c r="B461" s="5" t="inlineStr">
        <is>
          <t>PAR_EWA_BEACH</t>
        </is>
      </c>
      <c r="C461" s="5" t="n">
        <v>5</v>
      </c>
      <c r="D461" s="5" t="inlineStr">
        <is>
          <t>CRUDE-EST</t>
        </is>
      </c>
      <c r="E461" s="5" t="inlineStr">
        <is>
          <t>est. yield</t>
        </is>
      </c>
      <c r="F461" s="6">
        <f>SUMIFS(Data!$G$3:$G$125,Data!$A$3:$A$125,$B461)</f>
        <v/>
      </c>
      <c r="G461" s="7" t="n"/>
      <c r="H461" s="8">
        <f>IF($G461&lt;&gt;"",$G461,SUMIFS(Assumptions!$K$4:$K$8,Assumptions!$J$4:$J$8,$C461))</f>
        <v/>
      </c>
      <c r="I461" s="7" t="n"/>
      <c r="J461" s="9">
        <f>IF($I461&lt;&gt;"",$I461,SUMIFS(Data!$N$3:$N$125,Data!$A$3:$A$125,$B461)*Assumptions!$S$4)</f>
        <v/>
      </c>
      <c r="K461" s="7" t="n"/>
      <c r="L461" s="9">
        <f>IF($K461&lt;&gt;"",$K461,SUMIFS(Data!$N$3:$N$125,Data!$A$3:$A$125,$B461)*Assumptions!$S$5)</f>
        <v/>
      </c>
      <c r="M461" s="9">
        <f>J461+L461</f>
        <v/>
      </c>
      <c r="N461" s="10">
        <f>$F461*$H461*$M461</f>
        <v/>
      </c>
    </row>
    <row r="462">
      <c r="A462" s="11" t="inlineStr">
        <is>
          <t>TOTAL</t>
        </is>
      </c>
      <c r="B462" s="12" t="inlineStr">
        <is>
          <t>PAR_EWA_BEACH</t>
        </is>
      </c>
      <c r="C462" s="12" t="n">
        <v>5</v>
      </c>
      <c r="D462" s="12" t="inlineStr">
        <is>
          <t>NET NAPHTHA</t>
        </is>
      </c>
      <c r="N462" s="13">
        <f>SUM(N461:N461)</f>
        <v/>
      </c>
    </row>
    <row r="464">
      <c r="A464" s="1" t="inlineStr">
        <is>
          <t xml:space="preserve">  Valero Los Angeles  [VALERO_LOS_ANGELES]   —   Valero   —   PADD 5   —   crude 90 kbd</t>
        </is>
      </c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</row>
    <row r="465">
      <c r="A465" s="4" t="inlineStr">
        <is>
          <t>UNIT</t>
        </is>
      </c>
      <c r="B465" s="5" t="inlineStr">
        <is>
          <t>VALERO_LOS_ANGELES</t>
        </is>
      </c>
      <c r="C465" s="5" t="n">
        <v>5</v>
      </c>
      <c r="D465" s="5" t="inlineStr">
        <is>
          <t>CRUDE-EST</t>
        </is>
      </c>
      <c r="E465" s="5" t="inlineStr">
        <is>
          <t>est. yield</t>
        </is>
      </c>
      <c r="F465" s="6">
        <f>SUMIFS(Data!$G$3:$G$125,Data!$A$3:$A$125,$B465)</f>
        <v/>
      </c>
      <c r="G465" s="7" t="n"/>
      <c r="H465" s="8">
        <f>IF($G465&lt;&gt;"",$G465,SUMIFS(Assumptions!$K$4:$K$8,Assumptions!$J$4:$J$8,$C465))</f>
        <v/>
      </c>
      <c r="I465" s="7" t="n"/>
      <c r="J465" s="9">
        <f>IF($I465&lt;&gt;"",$I465,SUMIFS(Data!$N$3:$N$125,Data!$A$3:$A$125,$B465)*Assumptions!$S$4)</f>
        <v/>
      </c>
      <c r="K465" s="7" t="n"/>
      <c r="L465" s="9">
        <f>IF($K465&lt;&gt;"",$K465,SUMIFS(Data!$N$3:$N$125,Data!$A$3:$A$125,$B465)*Assumptions!$S$5)</f>
        <v/>
      </c>
      <c r="M465" s="9">
        <f>J465+L465</f>
        <v/>
      </c>
      <c r="N465" s="10">
        <f>$F465*$H465*$M465</f>
        <v/>
      </c>
    </row>
    <row r="466">
      <c r="A466" s="11" t="inlineStr">
        <is>
          <t>TOTAL</t>
        </is>
      </c>
      <c r="B466" s="12" t="inlineStr">
        <is>
          <t>VALERO_LOS_ANGELES</t>
        </is>
      </c>
      <c r="C466" s="12" t="n">
        <v>5</v>
      </c>
      <c r="D466" s="12" t="inlineStr">
        <is>
          <t>NET NAPHTHA</t>
        </is>
      </c>
      <c r="N466" s="13">
        <f>SUM(N465:N465)</f>
        <v/>
      </c>
    </row>
    <row r="468">
      <c r="A468" s="1" t="inlineStr">
        <is>
          <t xml:space="preserve">  Marathon Petroleum Nikiski  [MARATHON_NIKISKI]   —   Marathon Petroleum   —   PADD 5   —   crude 68 kbd</t>
        </is>
      </c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</row>
    <row r="469">
      <c r="A469" s="4" t="inlineStr">
        <is>
          <t>UNIT</t>
        </is>
      </c>
      <c r="B469" s="5" t="inlineStr">
        <is>
          <t>MARATHON_NIKISKI</t>
        </is>
      </c>
      <c r="C469" s="5" t="n">
        <v>5</v>
      </c>
      <c r="D469" s="5" t="inlineStr">
        <is>
          <t>CRUDE-EST</t>
        </is>
      </c>
      <c r="E469" s="5" t="inlineStr">
        <is>
          <t>est. yield</t>
        </is>
      </c>
      <c r="F469" s="6">
        <f>SUMIFS(Data!$G$3:$G$125,Data!$A$3:$A$125,$B469)</f>
        <v/>
      </c>
      <c r="G469" s="7" t="n"/>
      <c r="H469" s="8">
        <f>IF($G469&lt;&gt;"",$G469,SUMIFS(Assumptions!$K$4:$K$8,Assumptions!$J$4:$J$8,$C469))</f>
        <v/>
      </c>
      <c r="I469" s="7" t="n"/>
      <c r="J469" s="9">
        <f>IF($I469&lt;&gt;"",$I469,SUMIFS(Data!$N$3:$N$125,Data!$A$3:$A$125,$B469)*Assumptions!$S$4)</f>
        <v/>
      </c>
      <c r="K469" s="7" t="n"/>
      <c r="L469" s="9">
        <f>IF($K469&lt;&gt;"",$K469,SUMIFS(Data!$N$3:$N$125,Data!$A$3:$A$125,$B469)*Assumptions!$S$5)</f>
        <v/>
      </c>
      <c r="M469" s="9">
        <f>J469+L469</f>
        <v/>
      </c>
      <c r="N469" s="10">
        <f>$F469*$H469*$M469</f>
        <v/>
      </c>
    </row>
    <row r="470">
      <c r="A470" s="11" t="inlineStr">
        <is>
          <t>TOTAL</t>
        </is>
      </c>
      <c r="B470" s="12" t="inlineStr">
        <is>
          <t>MARATHON_NIKISKI</t>
        </is>
      </c>
      <c r="C470" s="12" t="n">
        <v>5</v>
      </c>
      <c r="D470" s="12" t="inlineStr">
        <is>
          <t>NET NAPHTHA</t>
        </is>
      </c>
      <c r="N470" s="13">
        <f>SUM(N469:N469)</f>
        <v/>
      </c>
    </row>
    <row r="472">
      <c r="A472" s="1" t="inlineStr">
        <is>
          <t xml:space="preserve">  Petro Star Inc. Valdez  [PETRO_VALDEZ]   —   Petro Star Inc.   —   PADD 5   —   crude 60 kbd</t>
        </is>
      </c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</row>
    <row r="473">
      <c r="A473" s="4" t="inlineStr">
        <is>
          <t>UNIT</t>
        </is>
      </c>
      <c r="B473" s="5" t="inlineStr">
        <is>
          <t>PETRO_VALDEZ</t>
        </is>
      </c>
      <c r="C473" s="5" t="n">
        <v>5</v>
      </c>
      <c r="D473" s="5" t="inlineStr">
        <is>
          <t>CRUDE-EST</t>
        </is>
      </c>
      <c r="E473" s="5" t="inlineStr">
        <is>
          <t>est. yield</t>
        </is>
      </c>
      <c r="F473" s="6">
        <f>SUMIFS(Data!$G$3:$G$125,Data!$A$3:$A$125,$B473)</f>
        <v/>
      </c>
      <c r="G473" s="7" t="n"/>
      <c r="H473" s="8">
        <f>IF($G473&lt;&gt;"",$G473,SUMIFS(Assumptions!$K$4:$K$8,Assumptions!$J$4:$J$8,$C473))</f>
        <v/>
      </c>
      <c r="I473" s="7" t="n"/>
      <c r="J473" s="9">
        <f>IF($I473&lt;&gt;"",$I473,SUMIFS(Data!$N$3:$N$125,Data!$A$3:$A$125,$B473)*Assumptions!$S$4)</f>
        <v/>
      </c>
      <c r="K473" s="7" t="n"/>
      <c r="L473" s="9">
        <f>IF($K473&lt;&gt;"",$K473,SUMIFS(Data!$N$3:$N$125,Data!$A$3:$A$125,$B473)*Assumptions!$S$5)</f>
        <v/>
      </c>
      <c r="M473" s="9">
        <f>J473+L473</f>
        <v/>
      </c>
      <c r="N473" s="10">
        <f>$F473*$H473*$M473</f>
        <v/>
      </c>
    </row>
    <row r="474">
      <c r="A474" s="11" t="inlineStr">
        <is>
          <t>TOTAL</t>
        </is>
      </c>
      <c r="B474" s="12" t="inlineStr">
        <is>
          <t>PETRO_VALDEZ</t>
        </is>
      </c>
      <c r="C474" s="12" t="n">
        <v>5</v>
      </c>
      <c r="D474" s="12" t="inlineStr">
        <is>
          <t>NET NAPHTHA</t>
        </is>
      </c>
      <c r="N474" s="13">
        <f>SUM(N473:N473)</f>
        <v/>
      </c>
    </row>
    <row r="476">
      <c r="A476" s="1" t="inlineStr">
        <is>
          <t xml:space="preserve">  Par Petroleum Tacoma  [PAR_TACOMA]   —   Par Petroleum   —   PADD 5   —   crude 42 kbd</t>
        </is>
      </c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</row>
    <row r="477">
      <c r="A477" s="4" t="inlineStr">
        <is>
          <t>UNIT</t>
        </is>
      </c>
      <c r="B477" s="5" t="inlineStr">
        <is>
          <t>PAR_TACOMA</t>
        </is>
      </c>
      <c r="C477" s="5" t="n">
        <v>5</v>
      </c>
      <c r="D477" s="5" t="inlineStr">
        <is>
          <t>CRUDE-EST</t>
        </is>
      </c>
      <c r="E477" s="5" t="inlineStr">
        <is>
          <t>est. yield</t>
        </is>
      </c>
      <c r="F477" s="6">
        <f>SUMIFS(Data!$G$3:$G$125,Data!$A$3:$A$125,$B477)</f>
        <v/>
      </c>
      <c r="G477" s="7" t="n"/>
      <c r="H477" s="8">
        <f>IF($G477&lt;&gt;"",$G477,SUMIFS(Assumptions!$K$4:$K$8,Assumptions!$J$4:$J$8,$C477))</f>
        <v/>
      </c>
      <c r="I477" s="7" t="n"/>
      <c r="J477" s="9">
        <f>IF($I477&lt;&gt;"",$I477,SUMIFS(Data!$N$3:$N$125,Data!$A$3:$A$125,$B477)*Assumptions!$S$4)</f>
        <v/>
      </c>
      <c r="K477" s="7" t="n"/>
      <c r="L477" s="9">
        <f>IF($K477&lt;&gt;"",$K477,SUMIFS(Data!$N$3:$N$125,Data!$A$3:$A$125,$B477)*Assumptions!$S$5)</f>
        <v/>
      </c>
      <c r="M477" s="9">
        <f>J477+L477</f>
        <v/>
      </c>
      <c r="N477" s="10">
        <f>$F477*$H477*$M477</f>
        <v/>
      </c>
    </row>
    <row r="478">
      <c r="A478" s="11" t="inlineStr">
        <is>
          <t>TOTAL</t>
        </is>
      </c>
      <c r="B478" s="12" t="inlineStr">
        <is>
          <t>PAR_TACOMA</t>
        </is>
      </c>
      <c r="C478" s="12" t="n">
        <v>5</v>
      </c>
      <c r="D478" s="12" t="inlineStr">
        <is>
          <t>NET NAPHTHA</t>
        </is>
      </c>
      <c r="N478" s="13">
        <f>SUM(N477:N477)</f>
        <v/>
      </c>
    </row>
    <row r="480">
      <c r="A480" s="1" t="inlineStr">
        <is>
          <t xml:space="preserve">  Kern Oil Bakersfield  [KERN_BAKERSFIELD]   —   Kern Oil   —   PADD 5   —   crude 27 kbd</t>
        </is>
      </c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</row>
    <row r="481">
      <c r="A481" s="4" t="inlineStr">
        <is>
          <t>UNIT</t>
        </is>
      </c>
      <c r="B481" s="5" t="inlineStr">
        <is>
          <t>KERN_BAKERSFIELD</t>
        </is>
      </c>
      <c r="C481" s="5" t="n">
        <v>5</v>
      </c>
      <c r="D481" s="5" t="inlineStr">
        <is>
          <t>CRUDE-EST</t>
        </is>
      </c>
      <c r="E481" s="5" t="inlineStr">
        <is>
          <t>est. yield</t>
        </is>
      </c>
      <c r="F481" s="6">
        <f>SUMIFS(Data!$G$3:$G$125,Data!$A$3:$A$125,$B481)</f>
        <v/>
      </c>
      <c r="G481" s="7" t="n"/>
      <c r="H481" s="8">
        <f>IF($G481&lt;&gt;"",$G481,SUMIFS(Assumptions!$K$4:$K$8,Assumptions!$J$4:$J$8,$C481))</f>
        <v/>
      </c>
      <c r="I481" s="7" t="n"/>
      <c r="J481" s="9">
        <f>IF($I481&lt;&gt;"",$I481,SUMIFS(Data!$N$3:$N$125,Data!$A$3:$A$125,$B481)*Assumptions!$S$4)</f>
        <v/>
      </c>
      <c r="K481" s="7" t="n"/>
      <c r="L481" s="9">
        <f>IF($K481&lt;&gt;"",$K481,SUMIFS(Data!$N$3:$N$125,Data!$A$3:$A$125,$B481)*Assumptions!$S$5)</f>
        <v/>
      </c>
      <c r="M481" s="9">
        <f>J481+L481</f>
        <v/>
      </c>
      <c r="N481" s="10">
        <f>$F481*$H481*$M481</f>
        <v/>
      </c>
    </row>
    <row r="482">
      <c r="A482" s="11" t="inlineStr">
        <is>
          <t>TOTAL</t>
        </is>
      </c>
      <c r="B482" s="12" t="inlineStr">
        <is>
          <t>KERN_BAKERSFIELD</t>
        </is>
      </c>
      <c r="C482" s="12" t="n">
        <v>5</v>
      </c>
      <c r="D482" s="12" t="inlineStr">
        <is>
          <t>NET NAPHTHA</t>
        </is>
      </c>
      <c r="N482" s="13">
        <f>SUM(N481:N481)</f>
        <v/>
      </c>
    </row>
    <row r="484">
      <c r="A484" s="1" t="inlineStr">
        <is>
          <t xml:space="preserve">  San Joaquin Refining Bakersfield  [SAN_BAKERSFIELD]   —   San Joaquin Refining   —   PADD 5   —   crude 25 kbd</t>
        </is>
      </c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</row>
    <row r="485">
      <c r="A485" s="4" t="inlineStr">
        <is>
          <t>UNIT</t>
        </is>
      </c>
      <c r="B485" s="5" t="inlineStr">
        <is>
          <t>SAN_BAKERSFIELD</t>
        </is>
      </c>
      <c r="C485" s="5" t="n">
        <v>5</v>
      </c>
      <c r="D485" s="5" t="inlineStr">
        <is>
          <t>CRUDE-EST</t>
        </is>
      </c>
      <c r="E485" s="5" t="inlineStr">
        <is>
          <t>est. yield</t>
        </is>
      </c>
      <c r="F485" s="6">
        <f>SUMIFS(Data!$G$3:$G$125,Data!$A$3:$A$125,$B485)</f>
        <v/>
      </c>
      <c r="G485" s="7" t="n"/>
      <c r="H485" s="8">
        <f>IF($G485&lt;&gt;"",$G485,SUMIFS(Assumptions!$K$4:$K$8,Assumptions!$J$4:$J$8,$C485))</f>
        <v/>
      </c>
      <c r="I485" s="7" t="n"/>
      <c r="J485" s="9">
        <f>IF($I485&lt;&gt;"",$I485,SUMIFS(Data!$N$3:$N$125,Data!$A$3:$A$125,$B485)*Assumptions!$S$4)</f>
        <v/>
      </c>
      <c r="K485" s="7" t="n"/>
      <c r="L485" s="9">
        <f>IF($K485&lt;&gt;"",$K485,SUMIFS(Data!$N$3:$N$125,Data!$A$3:$A$125,$B485)*Assumptions!$S$5)</f>
        <v/>
      </c>
      <c r="M485" s="9">
        <f>J485+L485</f>
        <v/>
      </c>
      <c r="N485" s="10">
        <f>$F485*$H485*$M485</f>
        <v/>
      </c>
    </row>
    <row r="486">
      <c r="A486" s="11" t="inlineStr">
        <is>
          <t>TOTAL</t>
        </is>
      </c>
      <c r="B486" s="12" t="inlineStr">
        <is>
          <t>SAN_BAKERSFIELD</t>
        </is>
      </c>
      <c r="C486" s="12" t="n">
        <v>5</v>
      </c>
      <c r="D486" s="12" t="inlineStr">
        <is>
          <t>NET NAPHTHA</t>
        </is>
      </c>
      <c r="N486" s="13">
        <f>SUM(N485:N485)</f>
        <v/>
      </c>
    </row>
    <row r="488">
      <c r="A488" s="1" t="inlineStr">
        <is>
          <t xml:space="preserve">  Petro Star Inc. North Pole  [PETRO_NORTH_POLE]   —   Petro Star Inc.   —   PADD 5   —   crude 22 kbd</t>
        </is>
      </c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</row>
    <row r="489">
      <c r="A489" s="4" t="inlineStr">
        <is>
          <t>UNIT</t>
        </is>
      </c>
      <c r="B489" s="5" t="inlineStr">
        <is>
          <t>PETRO_NORTH_POLE</t>
        </is>
      </c>
      <c r="C489" s="5" t="n">
        <v>5</v>
      </c>
      <c r="D489" s="5" t="inlineStr">
        <is>
          <t>CRUDE-EST</t>
        </is>
      </c>
      <c r="E489" s="5" t="inlineStr">
        <is>
          <t>est. yield</t>
        </is>
      </c>
      <c r="F489" s="6">
        <f>SUMIFS(Data!$G$3:$G$125,Data!$A$3:$A$125,$B489)</f>
        <v/>
      </c>
      <c r="G489" s="7" t="n"/>
      <c r="H489" s="8">
        <f>IF($G489&lt;&gt;"",$G489,SUMIFS(Assumptions!$K$4:$K$8,Assumptions!$J$4:$J$8,$C489))</f>
        <v/>
      </c>
      <c r="I489" s="7" t="n"/>
      <c r="J489" s="9">
        <f>IF($I489&lt;&gt;"",$I489,SUMIFS(Data!$N$3:$N$125,Data!$A$3:$A$125,$B489)*Assumptions!$S$4)</f>
        <v/>
      </c>
      <c r="K489" s="7" t="n"/>
      <c r="L489" s="9">
        <f>IF($K489&lt;&gt;"",$K489,SUMIFS(Data!$N$3:$N$125,Data!$A$3:$A$125,$B489)*Assumptions!$S$5)</f>
        <v/>
      </c>
      <c r="M489" s="9">
        <f>J489+L489</f>
        <v/>
      </c>
      <c r="N489" s="10">
        <f>$F489*$H489*$M489</f>
        <v/>
      </c>
    </row>
    <row r="490">
      <c r="A490" s="11" t="inlineStr">
        <is>
          <t>TOTAL</t>
        </is>
      </c>
      <c r="B490" s="12" t="inlineStr">
        <is>
          <t>PETRO_NORTH_POLE</t>
        </is>
      </c>
      <c r="C490" s="12" t="n">
        <v>5</v>
      </c>
      <c r="D490" s="12" t="inlineStr">
        <is>
          <t>NET NAPHTHA</t>
        </is>
      </c>
      <c r="N490" s="13">
        <f>SUM(N489:N489)</f>
        <v/>
      </c>
    </row>
    <row r="492">
      <c r="A492" s="1" t="inlineStr">
        <is>
          <t xml:space="preserve">  BP Prudhoe Bay  [BP_PRUDHOE_BAY]   —   BP   —   PADD 5   —   crude 16 kbd</t>
        </is>
      </c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</row>
    <row r="493">
      <c r="A493" s="4" t="inlineStr">
        <is>
          <t>UNIT</t>
        </is>
      </c>
      <c r="B493" s="5" t="inlineStr">
        <is>
          <t>BP_PRUDHOE_BAY</t>
        </is>
      </c>
      <c r="C493" s="5" t="n">
        <v>5</v>
      </c>
      <c r="D493" s="5" t="inlineStr">
        <is>
          <t>CRUDE-EST</t>
        </is>
      </c>
      <c r="E493" s="5" t="inlineStr">
        <is>
          <t>est. yield</t>
        </is>
      </c>
      <c r="F493" s="6">
        <f>SUMIFS(Data!$G$3:$G$125,Data!$A$3:$A$125,$B493)</f>
        <v/>
      </c>
      <c r="G493" s="7" t="n"/>
      <c r="H493" s="8">
        <f>IF($G493&lt;&gt;"",$G493,SUMIFS(Assumptions!$K$4:$K$8,Assumptions!$J$4:$J$8,$C493))</f>
        <v/>
      </c>
      <c r="I493" s="7" t="n"/>
      <c r="J493" s="9">
        <f>IF($I493&lt;&gt;"",$I493,SUMIFS(Data!$N$3:$N$125,Data!$A$3:$A$125,$B493)*Assumptions!$S$4)</f>
        <v/>
      </c>
      <c r="K493" s="7" t="n"/>
      <c r="L493" s="9">
        <f>IF($K493&lt;&gt;"",$K493,SUMIFS(Data!$N$3:$N$125,Data!$A$3:$A$125,$B493)*Assumptions!$S$5)</f>
        <v/>
      </c>
      <c r="M493" s="9">
        <f>J493+L493</f>
        <v/>
      </c>
      <c r="N493" s="10">
        <f>$F493*$H493*$M493</f>
        <v/>
      </c>
    </row>
    <row r="494">
      <c r="A494" s="11" t="inlineStr">
        <is>
          <t>TOTAL</t>
        </is>
      </c>
      <c r="B494" s="12" t="inlineStr">
        <is>
          <t>BP_PRUDHOE_BAY</t>
        </is>
      </c>
      <c r="C494" s="12" t="n">
        <v>5</v>
      </c>
      <c r="D494" s="12" t="inlineStr">
        <is>
          <t>NET NAPHTHA</t>
        </is>
      </c>
      <c r="N494" s="13">
        <f>SUM(N493:N493)</f>
        <v/>
      </c>
    </row>
    <row r="496">
      <c r="A496" s="1" t="inlineStr">
        <is>
          <t xml:space="preserve">  ConocoPhillips Anchorage  [CONOCOPHILLIPS_ANCHORAGE]   —   Phillips Petroleum   —   PADD 5   —   crude 16 kbd</t>
        </is>
      </c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</row>
    <row r="497">
      <c r="A497" s="4" t="inlineStr">
        <is>
          <t>UNIT</t>
        </is>
      </c>
      <c r="B497" s="5" t="inlineStr">
        <is>
          <t>CONOCOPHILLIPS_ANCHORAGE</t>
        </is>
      </c>
      <c r="C497" s="5" t="n">
        <v>5</v>
      </c>
      <c r="D497" s="5" t="inlineStr">
        <is>
          <t>CRUDE-EST</t>
        </is>
      </c>
      <c r="E497" s="5" t="inlineStr">
        <is>
          <t>est. yield</t>
        </is>
      </c>
      <c r="F497" s="6">
        <f>SUMIFS(Data!$G$3:$G$125,Data!$A$3:$A$125,$B497)</f>
        <v/>
      </c>
      <c r="G497" s="7" t="n"/>
      <c r="H497" s="8">
        <f>IF($G497&lt;&gt;"",$G497,SUMIFS(Assumptions!$K$4:$K$8,Assumptions!$J$4:$J$8,$C497))</f>
        <v/>
      </c>
      <c r="I497" s="7" t="n"/>
      <c r="J497" s="9">
        <f>IF($I497&lt;&gt;"",$I497,SUMIFS(Data!$N$3:$N$125,Data!$A$3:$A$125,$B497)*Assumptions!$S$4)</f>
        <v/>
      </c>
      <c r="K497" s="7" t="n"/>
      <c r="L497" s="9">
        <f>IF($K497&lt;&gt;"",$K497,SUMIFS(Data!$N$3:$N$125,Data!$A$3:$A$125,$B497)*Assumptions!$S$5)</f>
        <v/>
      </c>
      <c r="M497" s="9">
        <f>J497+L497</f>
        <v/>
      </c>
      <c r="N497" s="10">
        <f>$F497*$H497*$M497</f>
        <v/>
      </c>
    </row>
    <row r="498">
      <c r="A498" s="11" t="inlineStr">
        <is>
          <t>TOTAL</t>
        </is>
      </c>
      <c r="B498" s="12" t="inlineStr">
        <is>
          <t>CONOCOPHILLIPS_ANCHORAGE</t>
        </is>
      </c>
      <c r="C498" s="12" t="n">
        <v>5</v>
      </c>
      <c r="D498" s="12" t="inlineStr">
        <is>
          <t>NET NAPHTHA</t>
        </is>
      </c>
      <c r="N498" s="13">
        <f>SUM(N497:N497)</f>
        <v/>
      </c>
    </row>
    <row r="500">
      <c r="A500" s="1" t="inlineStr">
        <is>
          <t xml:space="preserve">  Lunday-Thagard Oil Co. South Gate  [LUNDAYTHAGARD_SOUTH_GATE]   —   Lunday-Thagard Oil Co.   —   PADD 5   —   crude 8 kbd</t>
        </is>
      </c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</row>
    <row r="501">
      <c r="A501" s="4" t="inlineStr">
        <is>
          <t>UNIT</t>
        </is>
      </c>
      <c r="B501" s="5" t="inlineStr">
        <is>
          <t>LUNDAYTHAGARD_SOUTH_GATE</t>
        </is>
      </c>
      <c r="C501" s="5" t="n">
        <v>5</v>
      </c>
      <c r="D501" s="5" t="inlineStr">
        <is>
          <t>CRUDE-EST</t>
        </is>
      </c>
      <c r="E501" s="5" t="inlineStr">
        <is>
          <t>est. yield</t>
        </is>
      </c>
      <c r="F501" s="6">
        <f>SUMIFS(Data!$G$3:$G$125,Data!$A$3:$A$125,$B501)</f>
        <v/>
      </c>
      <c r="G501" s="7" t="n"/>
      <c r="H501" s="8">
        <f>IF($G501&lt;&gt;"",$G501,SUMIFS(Assumptions!$K$4:$K$8,Assumptions!$J$4:$J$8,$C501))</f>
        <v/>
      </c>
      <c r="I501" s="7" t="n"/>
      <c r="J501" s="9">
        <f>IF($I501&lt;&gt;"",$I501,SUMIFS(Data!$N$3:$N$125,Data!$A$3:$A$125,$B501)*Assumptions!$S$4)</f>
        <v/>
      </c>
      <c r="K501" s="7" t="n"/>
      <c r="L501" s="9">
        <f>IF($K501&lt;&gt;"",$K501,SUMIFS(Data!$N$3:$N$125,Data!$A$3:$A$125,$B501)*Assumptions!$S$5)</f>
        <v/>
      </c>
      <c r="M501" s="9">
        <f>J501+L501</f>
        <v/>
      </c>
      <c r="N501" s="10">
        <f>$F501*$H501*$M501</f>
        <v/>
      </c>
    </row>
    <row r="502">
      <c r="A502" s="11" t="inlineStr">
        <is>
          <t>TOTAL</t>
        </is>
      </c>
      <c r="B502" s="12" t="inlineStr">
        <is>
          <t>LUNDAYTHAGARD_SOUTH_GATE</t>
        </is>
      </c>
      <c r="C502" s="12" t="n">
        <v>5</v>
      </c>
      <c r="D502" s="12" t="inlineStr">
        <is>
          <t>NET NAPHTHA</t>
        </is>
      </c>
      <c r="N502" s="13">
        <f>SUM(N501:N501)</f>
        <v/>
      </c>
    </row>
    <row r="504">
      <c r="A504" s="1" t="inlineStr">
        <is>
          <t xml:space="preserve">  Foreland Corp Tonopah  [FORELAND_TONOPAH]   —   Energy Income Fund   —   PADD 5   —   crude 5 kbd</t>
        </is>
      </c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</row>
    <row r="505">
      <c r="A505" s="4" t="inlineStr">
        <is>
          <t>UNIT</t>
        </is>
      </c>
      <c r="B505" s="5" t="inlineStr">
        <is>
          <t>FORELAND_TONOPAH</t>
        </is>
      </c>
      <c r="C505" s="5" t="n">
        <v>5</v>
      </c>
      <c r="D505" s="5" t="inlineStr">
        <is>
          <t>CRUDE-EST</t>
        </is>
      </c>
      <c r="E505" s="5" t="inlineStr">
        <is>
          <t>est. yield</t>
        </is>
      </c>
      <c r="F505" s="6">
        <f>SUMIFS(Data!$G$3:$G$125,Data!$A$3:$A$125,$B505)</f>
        <v/>
      </c>
      <c r="G505" s="7" t="n"/>
      <c r="H505" s="8">
        <f>IF($G505&lt;&gt;"",$G505,SUMIFS(Assumptions!$K$4:$K$8,Assumptions!$J$4:$J$8,$C505))</f>
        <v/>
      </c>
      <c r="I505" s="7" t="n"/>
      <c r="J505" s="9">
        <f>IF($I505&lt;&gt;"",$I505,SUMIFS(Data!$N$3:$N$125,Data!$A$3:$A$125,$B505)*Assumptions!$S$4)</f>
        <v/>
      </c>
      <c r="K505" s="7" t="n"/>
      <c r="L505" s="9">
        <f>IF($K505&lt;&gt;"",$K505,SUMIFS(Data!$N$3:$N$125,Data!$A$3:$A$125,$B505)*Assumptions!$S$5)</f>
        <v/>
      </c>
      <c r="M505" s="9">
        <f>J505+L505</f>
        <v/>
      </c>
      <c r="N505" s="10">
        <f>$F505*$H505*$M505</f>
        <v/>
      </c>
    </row>
    <row r="506">
      <c r="A506" s="11" t="inlineStr">
        <is>
          <t>TOTAL</t>
        </is>
      </c>
      <c r="B506" s="12" t="inlineStr">
        <is>
          <t>FORELAND_TONOPAH</t>
        </is>
      </c>
      <c r="C506" s="12" t="n">
        <v>5</v>
      </c>
      <c r="D506" s="12" t="inlineStr">
        <is>
          <t>NET NAPHTHA</t>
        </is>
      </c>
      <c r="N506" s="13">
        <f>SUM(N505:N505)</f>
        <v/>
      </c>
    </row>
    <row r="508">
      <c r="A508" s="1" t="inlineStr">
        <is>
          <t xml:space="preserve">  Phillips 66 Co. Los Angeles  [PHILLIPS_LOS_ANGELES]   —   Phillips 66 Co.   —   PADD 5   —   crude: pending capacity sheet</t>
        </is>
      </c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</row>
    <row r="509">
      <c r="A509" s="4" t="inlineStr">
        <is>
          <t>UNIT</t>
        </is>
      </c>
      <c r="B509" s="5" t="inlineStr">
        <is>
          <t>PHILLIPS_LOS_ANGELES</t>
        </is>
      </c>
      <c r="C509" s="5" t="n">
        <v>5</v>
      </c>
      <c r="D509" s="5" t="inlineStr">
        <is>
          <t>CRUDE-EST</t>
        </is>
      </c>
      <c r="E509" s="5" t="inlineStr">
        <is>
          <t>est. yield</t>
        </is>
      </c>
      <c r="F509" s="6">
        <f>SUMIFS(Data!$G$3:$G$125,Data!$A$3:$A$125,$B509)</f>
        <v/>
      </c>
      <c r="G509" s="7" t="n"/>
      <c r="H509" s="8">
        <f>IF($G509&lt;&gt;"",$G509,SUMIFS(Assumptions!$K$4:$K$8,Assumptions!$J$4:$J$8,$C509))</f>
        <v/>
      </c>
      <c r="I509" s="7" t="n"/>
      <c r="J509" s="9">
        <f>IF($I509&lt;&gt;"",$I509,SUMIFS(Data!$N$3:$N$125,Data!$A$3:$A$125,$B509)*Assumptions!$S$4)</f>
        <v/>
      </c>
      <c r="K509" s="7" t="n"/>
      <c r="L509" s="9">
        <f>IF($K509&lt;&gt;"",$K509,SUMIFS(Data!$N$3:$N$125,Data!$A$3:$A$125,$B509)*Assumptions!$S$5)</f>
        <v/>
      </c>
      <c r="M509" s="9">
        <f>J509+L509</f>
        <v/>
      </c>
      <c r="N509" s="10">
        <f>$F509*$H509*$M509</f>
        <v/>
      </c>
    </row>
    <row r="510">
      <c r="A510" s="11" t="inlineStr">
        <is>
          <t>TOTAL</t>
        </is>
      </c>
      <c r="B510" s="12" t="inlineStr">
        <is>
          <t>PHILLIPS_LOS_ANGELES</t>
        </is>
      </c>
      <c r="C510" s="12" t="n">
        <v>5</v>
      </c>
      <c r="D510" s="12" t="inlineStr">
        <is>
          <t>NET NAPHTHA</t>
        </is>
      </c>
      <c r="N510" s="13">
        <f>SUM(N509:N509)</f>
        <v/>
      </c>
    </row>
    <row r="512">
      <c r="A512" s="1" t="inlineStr">
        <is>
          <t xml:space="preserve">  Valero Benicia  [VALERO_BENICIA]   —   Valero   —   PADD 5   —   crude: pending capacity sheet</t>
        </is>
      </c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</row>
    <row r="513">
      <c r="A513" s="4" t="inlineStr">
        <is>
          <t>UNIT</t>
        </is>
      </c>
      <c r="B513" s="5" t="inlineStr">
        <is>
          <t>VALERO_BENICIA</t>
        </is>
      </c>
      <c r="C513" s="5" t="n">
        <v>5</v>
      </c>
      <c r="D513" s="5" t="inlineStr">
        <is>
          <t>CRUDE-EST</t>
        </is>
      </c>
      <c r="E513" s="5" t="inlineStr">
        <is>
          <t>est. yield</t>
        </is>
      </c>
      <c r="F513" s="6">
        <f>SUMIFS(Data!$G$3:$G$125,Data!$A$3:$A$125,$B513)</f>
        <v/>
      </c>
      <c r="G513" s="7" t="n"/>
      <c r="H513" s="8">
        <f>IF($G513&lt;&gt;"",$G513,SUMIFS(Assumptions!$K$4:$K$8,Assumptions!$J$4:$J$8,$C513))</f>
        <v/>
      </c>
      <c r="I513" s="7" t="n"/>
      <c r="J513" s="9">
        <f>IF($I513&lt;&gt;"",$I513,SUMIFS(Data!$N$3:$N$125,Data!$A$3:$A$125,$B513)*Assumptions!$S$4)</f>
        <v/>
      </c>
      <c r="K513" s="7" t="n"/>
      <c r="L513" s="9">
        <f>IF($K513&lt;&gt;"",$K513,SUMIFS(Data!$N$3:$N$125,Data!$A$3:$A$125,$B513)*Assumptions!$S$5)</f>
        <v/>
      </c>
      <c r="M513" s="9">
        <f>J513+L513</f>
        <v/>
      </c>
      <c r="N513" s="10">
        <f>$F513*$H513*$M513</f>
        <v/>
      </c>
    </row>
    <row r="514">
      <c r="A514" s="11" t="inlineStr">
        <is>
          <t>TOTAL</t>
        </is>
      </c>
      <c r="B514" s="12" t="inlineStr">
        <is>
          <t>VALERO_BENICIA</t>
        </is>
      </c>
      <c r="C514" s="12" t="n">
        <v>5</v>
      </c>
      <c r="D514" s="12" t="inlineStr">
        <is>
          <t>NET NAPHTHA</t>
        </is>
      </c>
      <c r="N514" s="13">
        <f>SUM(N513:N513)</f>
        <v/>
      </c>
    </row>
  </sheetData>
  <mergeCells count="124">
    <mergeCell ref="A39:N39"/>
    <mergeCell ref="A232:N232"/>
    <mergeCell ref="A59:N59"/>
    <mergeCell ref="A142:N142"/>
    <mergeCell ref="A11:N11"/>
    <mergeCell ref="A103:N103"/>
    <mergeCell ref="A216:N216"/>
    <mergeCell ref="A452:N452"/>
    <mergeCell ref="A296:N296"/>
    <mergeCell ref="A79:N79"/>
    <mergeCell ref="A87:N87"/>
    <mergeCell ref="A153:N153"/>
    <mergeCell ref="A316:N316"/>
    <mergeCell ref="A364:N364"/>
    <mergeCell ref="A208:N208"/>
    <mergeCell ref="A444:N444"/>
    <mergeCell ref="A484:N484"/>
    <mergeCell ref="A192:N192"/>
    <mergeCell ref="A376:N376"/>
    <mergeCell ref="A428:N428"/>
    <mergeCell ref="A272:N272"/>
    <mergeCell ref="A468:N468"/>
    <mergeCell ref="A71:N71"/>
    <mergeCell ref="A23:N23"/>
    <mergeCell ref="A91:N91"/>
    <mergeCell ref="A184:N184"/>
    <mergeCell ref="A131:N131"/>
    <mergeCell ref="A244:N244"/>
    <mergeCell ref="A460:N460"/>
    <mergeCell ref="A336:N336"/>
    <mergeCell ref="A180:N180"/>
    <mergeCell ref="A63:N63"/>
    <mergeCell ref="A416:N416"/>
    <mergeCell ref="A115:N115"/>
    <mergeCell ref="A308:N308"/>
    <mergeCell ref="A220:N220"/>
    <mergeCell ref="A344:N344"/>
    <mergeCell ref="A400:N400"/>
    <mergeCell ref="A352:N352"/>
    <mergeCell ref="A83:N83"/>
    <mergeCell ref="A480:N480"/>
    <mergeCell ref="A276:N276"/>
    <mergeCell ref="A157:N157"/>
    <mergeCell ref="A328:N328"/>
    <mergeCell ref="A284:N284"/>
    <mergeCell ref="A368:N368"/>
    <mergeCell ref="A496:N496"/>
    <mergeCell ref="A300:N300"/>
    <mergeCell ref="A119:N119"/>
    <mergeCell ref="A1:N1"/>
    <mergeCell ref="A256:N256"/>
    <mergeCell ref="A75:N75"/>
    <mergeCell ref="A264:N264"/>
    <mergeCell ref="A3:N3"/>
    <mergeCell ref="A356:N356"/>
    <mergeCell ref="A55:N55"/>
    <mergeCell ref="A248:N248"/>
    <mergeCell ref="A508:N508"/>
    <mergeCell ref="A312:N312"/>
    <mergeCell ref="A404:N404"/>
    <mergeCell ref="A200:N200"/>
    <mergeCell ref="A380:N380"/>
    <mergeCell ref="A436:N436"/>
    <mergeCell ref="A280:N280"/>
    <mergeCell ref="A161:N161"/>
    <mergeCell ref="A43:N43"/>
    <mergeCell ref="A332:N332"/>
    <mergeCell ref="A372:N372"/>
    <mergeCell ref="A432:N432"/>
    <mergeCell ref="A500:N500"/>
    <mergeCell ref="A67:N67"/>
    <mergeCell ref="A260:N260"/>
    <mergeCell ref="A340:N340"/>
    <mergeCell ref="A123:N123"/>
    <mergeCell ref="A492:N492"/>
    <mergeCell ref="A408:N408"/>
    <mergeCell ref="A360:N360"/>
    <mergeCell ref="A488:N488"/>
    <mergeCell ref="A172:N172"/>
    <mergeCell ref="A252:N252"/>
    <mergeCell ref="A196:N196"/>
    <mergeCell ref="A472:N472"/>
    <mergeCell ref="A236:N236"/>
    <mergeCell ref="A384:N384"/>
    <mergeCell ref="A95:N95"/>
    <mergeCell ref="A47:N47"/>
    <mergeCell ref="A464:N464"/>
    <mergeCell ref="A420:N420"/>
    <mergeCell ref="A224:N224"/>
    <mergeCell ref="A348:N348"/>
    <mergeCell ref="A288:N288"/>
    <mergeCell ref="A127:N127"/>
    <mergeCell ref="A320:N320"/>
    <mergeCell ref="A31:N31"/>
    <mergeCell ref="A176:N176"/>
    <mergeCell ref="A412:N412"/>
    <mergeCell ref="A304:N304"/>
    <mergeCell ref="A15:N15"/>
    <mergeCell ref="A51:N51"/>
    <mergeCell ref="A107:N107"/>
    <mergeCell ref="A396:N396"/>
    <mergeCell ref="A476:N476"/>
    <mergeCell ref="A228:N228"/>
    <mergeCell ref="A7:N7"/>
    <mergeCell ref="A212:N212"/>
    <mergeCell ref="A268:N268"/>
    <mergeCell ref="A388:N388"/>
    <mergeCell ref="A99:N99"/>
    <mergeCell ref="A448:N448"/>
    <mergeCell ref="A292:N292"/>
    <mergeCell ref="A27:N27"/>
    <mergeCell ref="A456:N456"/>
    <mergeCell ref="A512:N512"/>
    <mergeCell ref="A204:N204"/>
    <mergeCell ref="A440:N440"/>
    <mergeCell ref="A188:N188"/>
    <mergeCell ref="A424:N424"/>
    <mergeCell ref="A324:N324"/>
    <mergeCell ref="A35:N35"/>
    <mergeCell ref="A240:N240"/>
    <mergeCell ref="A504:N504"/>
    <mergeCell ref="A19:N19"/>
    <mergeCell ref="A392:N392"/>
    <mergeCell ref="A111:N1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</cols>
  <sheetData>
    <row r="1">
      <c r="A1" s="1" t="inlineStr">
        <is>
          <t>Assumptions — blue cells are inputs. Yields are % of unit throughput; consumers (reformer/isom) are NEGATIVE. Edits flow straight into the Boxes sheet.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3">
      <c r="A3" s="1" t="inlineStr">
        <is>
          <t>PADD 1 — East Coast</t>
        </is>
      </c>
      <c r="B3" s="2" t="n"/>
      <c r="C3" s="2" t="n"/>
      <c r="D3" s="2" t="n"/>
      <c r="E3" s="2" t="n"/>
      <c r="F3" s="2" t="n"/>
      <c r="G3" s="2" t="n"/>
      <c r="H3" s="2" t="n"/>
      <c r="J3" s="3" t="inlineStr">
        <is>
          <t>padd</t>
        </is>
      </c>
      <c r="K3" s="3" t="inlineStr">
        <is>
          <t>util</t>
        </is>
      </c>
      <c r="M3" s="3" t="inlineStr">
        <is>
          <t>padd</t>
        </is>
      </c>
      <c r="N3" s="3" t="inlineStr">
        <is>
          <t>unit_type</t>
        </is>
      </c>
      <c r="O3" s="3" t="inlineStr">
        <is>
          <t>cut</t>
        </is>
      </c>
      <c r="P3" s="3" t="inlineStr">
        <is>
          <t>yield</t>
        </is>
      </c>
      <c r="R3" s="3" t="inlineStr">
        <is>
          <t>Yield-mode cut split</t>
        </is>
      </c>
      <c r="S3" s="3" t="inlineStr">
        <is>
          <t>share</t>
        </is>
      </c>
    </row>
    <row r="4">
      <c r="A4" s="11" t="inlineStr">
        <is>
          <t>Utilization</t>
        </is>
      </c>
      <c r="B4" s="15" t="n">
        <v>0.9</v>
      </c>
      <c r="J4" t="n">
        <v>1</v>
      </c>
      <c r="K4">
        <f>B4</f>
        <v/>
      </c>
      <c r="M4" t="n">
        <v>1</v>
      </c>
      <c r="N4" t="inlineStr">
        <is>
          <t>CDU</t>
        </is>
      </c>
      <c r="O4" t="inlineStr">
        <is>
          <t>LVN</t>
        </is>
      </c>
      <c r="P4">
        <f>B7</f>
        <v/>
      </c>
      <c r="R4" s="4" t="inlineStr">
        <is>
          <t>LVN</t>
        </is>
      </c>
      <c r="S4" s="16" t="n">
        <v>0.35</v>
      </c>
    </row>
    <row r="5">
      <c r="J5" t="n">
        <v>2</v>
      </c>
      <c r="K5">
        <f>B19</f>
        <v/>
      </c>
      <c r="M5" t="n">
        <v>1</v>
      </c>
      <c r="N5" t="inlineStr">
        <is>
          <t>CDU</t>
        </is>
      </c>
      <c r="O5" t="inlineStr">
        <is>
          <t>HVN</t>
        </is>
      </c>
      <c r="P5">
        <f>C7</f>
        <v/>
      </c>
      <c r="R5" s="4" t="inlineStr">
        <is>
          <t>HVN</t>
        </is>
      </c>
      <c r="S5" s="16" t="n">
        <v>0.65</v>
      </c>
    </row>
    <row r="6">
      <c r="A6" s="3" t="inlineStr">
        <is>
          <t>Unit type</t>
        </is>
      </c>
      <c r="B6" s="3" t="inlineStr">
        <is>
          <t>LVN</t>
        </is>
      </c>
      <c r="C6" s="3" t="inlineStr">
        <is>
          <t>HVN</t>
        </is>
      </c>
      <c r="J6" t="n">
        <v>3</v>
      </c>
      <c r="K6">
        <f>B34</f>
        <v/>
      </c>
      <c r="M6" t="n">
        <v>1</v>
      </c>
      <c r="N6" t="inlineStr">
        <is>
          <t>VDU</t>
        </is>
      </c>
      <c r="O6" t="inlineStr">
        <is>
          <t>LVN</t>
        </is>
      </c>
      <c r="P6">
        <f>B8</f>
        <v/>
      </c>
    </row>
    <row r="7">
      <c r="A7" s="4" t="inlineStr">
        <is>
          <t>CDU</t>
        </is>
      </c>
      <c r="B7" s="15" t="n">
        <v>0.05</v>
      </c>
      <c r="C7" s="15" t="n">
        <v>0.13</v>
      </c>
      <c r="J7" t="n">
        <v>4</v>
      </c>
      <c r="K7">
        <f>B49</f>
        <v/>
      </c>
      <c r="M7" t="n">
        <v>1</v>
      </c>
      <c r="N7" t="inlineStr">
        <is>
          <t>VDU</t>
        </is>
      </c>
      <c r="O7" t="inlineStr">
        <is>
          <t>HVN</t>
        </is>
      </c>
      <c r="P7">
        <f>C8</f>
        <v/>
      </c>
      <c r="R7" s="4" t="inlineStr">
        <is>
          <t>how a yield-mode refinery's 2024 net yield splits across cuts</t>
        </is>
      </c>
    </row>
    <row r="8">
      <c r="A8" s="4" t="inlineStr">
        <is>
          <t>VDU</t>
        </is>
      </c>
      <c r="B8" s="15" t="n">
        <v>0</v>
      </c>
      <c r="C8" s="15" t="n">
        <v>0.01</v>
      </c>
      <c r="J8" t="n">
        <v>5</v>
      </c>
      <c r="K8">
        <f>B64</f>
        <v/>
      </c>
      <c r="M8" t="n">
        <v>1</v>
      </c>
      <c r="N8" t="inlineStr">
        <is>
          <t>FCC</t>
        </is>
      </c>
      <c r="O8" t="inlineStr">
        <is>
          <t>LVN</t>
        </is>
      </c>
      <c r="P8">
        <f>B9</f>
        <v/>
      </c>
    </row>
    <row r="9">
      <c r="A9" s="4" t="inlineStr">
        <is>
          <t>FCC</t>
        </is>
      </c>
      <c r="B9" s="15" t="n">
        <v>0.02</v>
      </c>
      <c r="C9" s="15" t="n">
        <v>0.04</v>
      </c>
      <c r="M9" t="n">
        <v>1</v>
      </c>
      <c r="N9" t="inlineStr">
        <is>
          <t>FCC</t>
        </is>
      </c>
      <c r="O9" t="inlineStr">
        <is>
          <t>HVN</t>
        </is>
      </c>
      <c r="P9">
        <f>C9</f>
        <v/>
      </c>
    </row>
    <row r="10">
      <c r="A10" s="4" t="inlineStr">
        <is>
          <t>COKER</t>
        </is>
      </c>
      <c r="B10" s="15" t="n">
        <v>0.02</v>
      </c>
      <c r="C10" s="15" t="n">
        <v>0.08</v>
      </c>
      <c r="M10" t="n">
        <v>1</v>
      </c>
      <c r="N10" t="inlineStr">
        <is>
          <t>COKER</t>
        </is>
      </c>
      <c r="O10" t="inlineStr">
        <is>
          <t>LVN</t>
        </is>
      </c>
      <c r="P10">
        <f>B10</f>
        <v/>
      </c>
    </row>
    <row r="11">
      <c r="A11" s="4" t="inlineStr">
        <is>
          <t>HYDROCRACKER</t>
        </is>
      </c>
      <c r="B11" s="15" t="n">
        <v>0.05</v>
      </c>
      <c r="C11" s="15" t="n">
        <v>0.15</v>
      </c>
      <c r="M11" t="n">
        <v>1</v>
      </c>
      <c r="N11" t="inlineStr">
        <is>
          <t>COKER</t>
        </is>
      </c>
      <c r="O11" t="inlineStr">
        <is>
          <t>HVN</t>
        </is>
      </c>
      <c r="P11">
        <f>C10</f>
        <v/>
      </c>
    </row>
    <row r="12">
      <c r="A12" s="4" t="inlineStr">
        <is>
          <t>REFORMER</t>
        </is>
      </c>
      <c r="B12" s="15" t="n">
        <v>0</v>
      </c>
      <c r="C12" s="15" t="n">
        <v>-1</v>
      </c>
      <c r="M12" t="n">
        <v>1</v>
      </c>
      <c r="N12" t="inlineStr">
        <is>
          <t>HYDROCRACKER</t>
        </is>
      </c>
      <c r="O12" t="inlineStr">
        <is>
          <t>LVN</t>
        </is>
      </c>
      <c r="P12">
        <f>B11</f>
        <v/>
      </c>
    </row>
    <row r="13">
      <c r="A13" s="4" t="inlineStr">
        <is>
          <t>ISOM</t>
        </is>
      </c>
      <c r="B13" s="15" t="n">
        <v>-1</v>
      </c>
      <c r="C13" s="15" t="n">
        <v>0</v>
      </c>
      <c r="M13" t="n">
        <v>1</v>
      </c>
      <c r="N13" t="inlineStr">
        <is>
          <t>HYDROCRACKER</t>
        </is>
      </c>
      <c r="O13" t="inlineStr">
        <is>
          <t>HVN</t>
        </is>
      </c>
      <c r="P13">
        <f>C11</f>
        <v/>
      </c>
    </row>
    <row r="14">
      <c r="A14" s="4" t="inlineStr">
        <is>
          <t>ALKY</t>
        </is>
      </c>
      <c r="B14" s="15" t="n">
        <v>0</v>
      </c>
      <c r="C14" s="15" t="n">
        <v>0</v>
      </c>
      <c r="M14" t="n">
        <v>1</v>
      </c>
      <c r="N14" t="inlineStr">
        <is>
          <t>REFORMER</t>
        </is>
      </c>
      <c r="O14" t="inlineStr">
        <is>
          <t>LVN</t>
        </is>
      </c>
      <c r="P14">
        <f>B12</f>
        <v/>
      </c>
    </row>
    <row r="15">
      <c r="A15" s="4" t="inlineStr">
        <is>
          <t>SPLITTER</t>
        </is>
      </c>
      <c r="B15" s="15" t="n">
        <v>0.25</v>
      </c>
      <c r="C15" s="15" t="n">
        <v>0.35</v>
      </c>
      <c r="M15" t="n">
        <v>1</v>
      </c>
      <c r="N15" t="inlineStr">
        <is>
          <t>REFORMER</t>
        </is>
      </c>
      <c r="O15" t="inlineStr">
        <is>
          <t>HVN</t>
        </is>
      </c>
      <c r="P15">
        <f>C12</f>
        <v/>
      </c>
    </row>
    <row r="16">
      <c r="M16" t="n">
        <v>1</v>
      </c>
      <c r="N16" t="inlineStr">
        <is>
          <t>ISOM</t>
        </is>
      </c>
      <c r="O16" t="inlineStr">
        <is>
          <t>LVN</t>
        </is>
      </c>
      <c r="P16">
        <f>B13</f>
        <v/>
      </c>
    </row>
    <row r="17">
      <c r="M17" t="n">
        <v>1</v>
      </c>
      <c r="N17" t="inlineStr">
        <is>
          <t>ISOM</t>
        </is>
      </c>
      <c r="O17" t="inlineStr">
        <is>
          <t>HVN</t>
        </is>
      </c>
      <c r="P17">
        <f>C13</f>
        <v/>
      </c>
    </row>
    <row r="18">
      <c r="A18" s="1" t="inlineStr">
        <is>
          <t>PADD 2 — Midwest</t>
        </is>
      </c>
      <c r="B18" s="2" t="n"/>
      <c r="C18" s="2" t="n"/>
      <c r="D18" s="2" t="n"/>
      <c r="E18" s="2" t="n"/>
      <c r="F18" s="2" t="n"/>
      <c r="G18" s="2" t="n"/>
      <c r="H18" s="2" t="n"/>
      <c r="M18" t="n">
        <v>1</v>
      </c>
      <c r="N18" t="inlineStr">
        <is>
          <t>ALKY</t>
        </is>
      </c>
      <c r="O18" t="inlineStr">
        <is>
          <t>LVN</t>
        </is>
      </c>
      <c r="P18">
        <f>B14</f>
        <v/>
      </c>
    </row>
    <row r="19">
      <c r="A19" s="11" t="inlineStr">
        <is>
          <t>Utilization</t>
        </is>
      </c>
      <c r="B19" s="15" t="n">
        <v>0.9</v>
      </c>
      <c r="M19" t="n">
        <v>1</v>
      </c>
      <c r="N19" t="inlineStr">
        <is>
          <t>ALKY</t>
        </is>
      </c>
      <c r="O19" t="inlineStr">
        <is>
          <t>HVN</t>
        </is>
      </c>
      <c r="P19">
        <f>C14</f>
        <v/>
      </c>
    </row>
    <row r="20">
      <c r="M20" t="n">
        <v>1</v>
      </c>
      <c r="N20" t="inlineStr">
        <is>
          <t>SPLITTER</t>
        </is>
      </c>
      <c r="O20" t="inlineStr">
        <is>
          <t>LVN</t>
        </is>
      </c>
      <c r="P20">
        <f>B15</f>
        <v/>
      </c>
    </row>
    <row r="21">
      <c r="A21" s="3" t="inlineStr">
        <is>
          <t>Unit type</t>
        </is>
      </c>
      <c r="B21" s="3" t="inlineStr">
        <is>
          <t>LVN</t>
        </is>
      </c>
      <c r="C21" s="3" t="inlineStr">
        <is>
          <t>HVN</t>
        </is>
      </c>
      <c r="M21" t="n">
        <v>1</v>
      </c>
      <c r="N21" t="inlineStr">
        <is>
          <t>SPLITTER</t>
        </is>
      </c>
      <c r="O21" t="inlineStr">
        <is>
          <t>HVN</t>
        </is>
      </c>
      <c r="P21">
        <f>C15</f>
        <v/>
      </c>
    </row>
    <row r="22">
      <c r="A22" s="4" t="inlineStr">
        <is>
          <t>CDU</t>
        </is>
      </c>
      <c r="B22" s="15" t="n">
        <v>0.05</v>
      </c>
      <c r="C22" s="15" t="n">
        <v>0.13</v>
      </c>
      <c r="M22" t="n">
        <v>2</v>
      </c>
      <c r="N22" t="inlineStr">
        <is>
          <t>CDU</t>
        </is>
      </c>
      <c r="O22" t="inlineStr">
        <is>
          <t>LVN</t>
        </is>
      </c>
      <c r="P22">
        <f>B22</f>
        <v/>
      </c>
    </row>
    <row r="23">
      <c r="A23" s="4" t="inlineStr">
        <is>
          <t>VDU</t>
        </is>
      </c>
      <c r="B23" s="15" t="n">
        <v>0</v>
      </c>
      <c r="C23" s="15" t="n">
        <v>0.01</v>
      </c>
      <c r="M23" t="n">
        <v>2</v>
      </c>
      <c r="N23" t="inlineStr">
        <is>
          <t>CDU</t>
        </is>
      </c>
      <c r="O23" t="inlineStr">
        <is>
          <t>HVN</t>
        </is>
      </c>
      <c r="P23">
        <f>C22</f>
        <v/>
      </c>
    </row>
    <row r="24">
      <c r="A24" s="4" t="inlineStr">
        <is>
          <t>FCC</t>
        </is>
      </c>
      <c r="B24" s="15" t="n">
        <v>0.02</v>
      </c>
      <c r="C24" s="15" t="n">
        <v>0.04</v>
      </c>
      <c r="M24" t="n">
        <v>2</v>
      </c>
      <c r="N24" t="inlineStr">
        <is>
          <t>VDU</t>
        </is>
      </c>
      <c r="O24" t="inlineStr">
        <is>
          <t>LVN</t>
        </is>
      </c>
      <c r="P24">
        <f>B23</f>
        <v/>
      </c>
    </row>
    <row r="25">
      <c r="A25" s="4" t="inlineStr">
        <is>
          <t>COKER</t>
        </is>
      </c>
      <c r="B25" s="15" t="n">
        <v>0.02</v>
      </c>
      <c r="C25" s="15" t="n">
        <v>0.08</v>
      </c>
      <c r="M25" t="n">
        <v>2</v>
      </c>
      <c r="N25" t="inlineStr">
        <is>
          <t>VDU</t>
        </is>
      </c>
      <c r="O25" t="inlineStr">
        <is>
          <t>HVN</t>
        </is>
      </c>
      <c r="P25">
        <f>C23</f>
        <v/>
      </c>
    </row>
    <row r="26">
      <c r="A26" s="4" t="inlineStr">
        <is>
          <t>HYDROCRACKER</t>
        </is>
      </c>
      <c r="B26" s="15" t="n">
        <v>0.05</v>
      </c>
      <c r="C26" s="15" t="n">
        <v>0.15</v>
      </c>
      <c r="M26" t="n">
        <v>2</v>
      </c>
      <c r="N26" t="inlineStr">
        <is>
          <t>FCC</t>
        </is>
      </c>
      <c r="O26" t="inlineStr">
        <is>
          <t>LVN</t>
        </is>
      </c>
      <c r="P26">
        <f>B24</f>
        <v/>
      </c>
    </row>
    <row r="27">
      <c r="A27" s="4" t="inlineStr">
        <is>
          <t>REFORMER</t>
        </is>
      </c>
      <c r="B27" s="15" t="n">
        <v>0</v>
      </c>
      <c r="C27" s="15" t="n">
        <v>-1</v>
      </c>
      <c r="M27" t="n">
        <v>2</v>
      </c>
      <c r="N27" t="inlineStr">
        <is>
          <t>FCC</t>
        </is>
      </c>
      <c r="O27" t="inlineStr">
        <is>
          <t>HVN</t>
        </is>
      </c>
      <c r="P27">
        <f>C24</f>
        <v/>
      </c>
    </row>
    <row r="28">
      <c r="A28" s="4" t="inlineStr">
        <is>
          <t>ISOM</t>
        </is>
      </c>
      <c r="B28" s="15" t="n">
        <v>-1</v>
      </c>
      <c r="C28" s="15" t="n">
        <v>0</v>
      </c>
      <c r="M28" t="n">
        <v>2</v>
      </c>
      <c r="N28" t="inlineStr">
        <is>
          <t>COKER</t>
        </is>
      </c>
      <c r="O28" t="inlineStr">
        <is>
          <t>LVN</t>
        </is>
      </c>
      <c r="P28">
        <f>B25</f>
        <v/>
      </c>
    </row>
    <row r="29">
      <c r="A29" s="4" t="inlineStr">
        <is>
          <t>ALKY</t>
        </is>
      </c>
      <c r="B29" s="15" t="n">
        <v>0</v>
      </c>
      <c r="C29" s="15" t="n">
        <v>0</v>
      </c>
      <c r="M29" t="n">
        <v>2</v>
      </c>
      <c r="N29" t="inlineStr">
        <is>
          <t>COKER</t>
        </is>
      </c>
      <c r="O29" t="inlineStr">
        <is>
          <t>HVN</t>
        </is>
      </c>
      <c r="P29">
        <f>C25</f>
        <v/>
      </c>
    </row>
    <row r="30">
      <c r="A30" s="4" t="inlineStr">
        <is>
          <t>SPLITTER</t>
        </is>
      </c>
      <c r="B30" s="15" t="n">
        <v>0.25</v>
      </c>
      <c r="C30" s="15" t="n">
        <v>0.35</v>
      </c>
      <c r="M30" t="n">
        <v>2</v>
      </c>
      <c r="N30" t="inlineStr">
        <is>
          <t>HYDROCRACKER</t>
        </is>
      </c>
      <c r="O30" t="inlineStr">
        <is>
          <t>LVN</t>
        </is>
      </c>
      <c r="P30">
        <f>B26</f>
        <v/>
      </c>
    </row>
    <row r="31">
      <c r="M31" t="n">
        <v>2</v>
      </c>
      <c r="N31" t="inlineStr">
        <is>
          <t>HYDROCRACKER</t>
        </is>
      </c>
      <c r="O31" t="inlineStr">
        <is>
          <t>HVN</t>
        </is>
      </c>
      <c r="P31">
        <f>C26</f>
        <v/>
      </c>
    </row>
    <row r="32">
      <c r="M32" t="n">
        <v>2</v>
      </c>
      <c r="N32" t="inlineStr">
        <is>
          <t>REFORMER</t>
        </is>
      </c>
      <c r="O32" t="inlineStr">
        <is>
          <t>LVN</t>
        </is>
      </c>
      <c r="P32">
        <f>B27</f>
        <v/>
      </c>
    </row>
    <row r="33">
      <c r="A33" s="1" t="inlineStr">
        <is>
          <t>PADD 3 — Gulf Coast</t>
        </is>
      </c>
      <c r="B33" s="2" t="n"/>
      <c r="C33" s="2" t="n"/>
      <c r="D33" s="2" t="n"/>
      <c r="E33" s="2" t="n"/>
      <c r="F33" s="2" t="n"/>
      <c r="G33" s="2" t="n"/>
      <c r="H33" s="2" t="n"/>
      <c r="M33" t="n">
        <v>2</v>
      </c>
      <c r="N33" t="inlineStr">
        <is>
          <t>REFORMER</t>
        </is>
      </c>
      <c r="O33" t="inlineStr">
        <is>
          <t>HVN</t>
        </is>
      </c>
      <c r="P33">
        <f>C27</f>
        <v/>
      </c>
    </row>
    <row r="34">
      <c r="A34" s="11" t="inlineStr">
        <is>
          <t>Utilization</t>
        </is>
      </c>
      <c r="B34" s="15" t="n">
        <v>0.93</v>
      </c>
      <c r="M34" t="n">
        <v>2</v>
      </c>
      <c r="N34" t="inlineStr">
        <is>
          <t>ISOM</t>
        </is>
      </c>
      <c r="O34" t="inlineStr">
        <is>
          <t>LVN</t>
        </is>
      </c>
      <c r="P34">
        <f>B28</f>
        <v/>
      </c>
    </row>
    <row r="35">
      <c r="M35" t="n">
        <v>2</v>
      </c>
      <c r="N35" t="inlineStr">
        <is>
          <t>ISOM</t>
        </is>
      </c>
      <c r="O35" t="inlineStr">
        <is>
          <t>HVN</t>
        </is>
      </c>
      <c r="P35">
        <f>C28</f>
        <v/>
      </c>
    </row>
    <row r="36">
      <c r="A36" s="3" t="inlineStr">
        <is>
          <t>Unit type</t>
        </is>
      </c>
      <c r="B36" s="3" t="inlineStr">
        <is>
          <t>LVN</t>
        </is>
      </c>
      <c r="C36" s="3" t="inlineStr">
        <is>
          <t>HVN</t>
        </is>
      </c>
      <c r="M36" t="n">
        <v>2</v>
      </c>
      <c r="N36" t="inlineStr">
        <is>
          <t>ALKY</t>
        </is>
      </c>
      <c r="O36" t="inlineStr">
        <is>
          <t>LVN</t>
        </is>
      </c>
      <c r="P36">
        <f>B29</f>
        <v/>
      </c>
    </row>
    <row r="37">
      <c r="A37" s="4" t="inlineStr">
        <is>
          <t>CDU</t>
        </is>
      </c>
      <c r="B37" s="15" t="n">
        <v>0.055</v>
      </c>
      <c r="C37" s="15" t="n">
        <v>0.135</v>
      </c>
      <c r="M37" t="n">
        <v>2</v>
      </c>
      <c r="N37" t="inlineStr">
        <is>
          <t>ALKY</t>
        </is>
      </c>
      <c r="O37" t="inlineStr">
        <is>
          <t>HVN</t>
        </is>
      </c>
      <c r="P37">
        <f>C29</f>
        <v/>
      </c>
    </row>
    <row r="38">
      <c r="A38" s="4" t="inlineStr">
        <is>
          <t>VDU</t>
        </is>
      </c>
      <c r="B38" s="15" t="n">
        <v>0</v>
      </c>
      <c r="C38" s="15" t="n">
        <v>0.01</v>
      </c>
      <c r="M38" t="n">
        <v>2</v>
      </c>
      <c r="N38" t="inlineStr">
        <is>
          <t>SPLITTER</t>
        </is>
      </c>
      <c r="O38" t="inlineStr">
        <is>
          <t>LVN</t>
        </is>
      </c>
      <c r="P38">
        <f>B30</f>
        <v/>
      </c>
    </row>
    <row r="39">
      <c r="A39" s="4" t="inlineStr">
        <is>
          <t>FCC</t>
        </is>
      </c>
      <c r="B39" s="15" t="n">
        <v>0.02</v>
      </c>
      <c r="C39" s="15" t="n">
        <v>0.04</v>
      </c>
      <c r="M39" t="n">
        <v>2</v>
      </c>
      <c r="N39" t="inlineStr">
        <is>
          <t>SPLITTER</t>
        </is>
      </c>
      <c r="O39" t="inlineStr">
        <is>
          <t>HVN</t>
        </is>
      </c>
      <c r="P39">
        <f>C30</f>
        <v/>
      </c>
    </row>
    <row r="40">
      <c r="A40" s="4" t="inlineStr">
        <is>
          <t>COKER</t>
        </is>
      </c>
      <c r="B40" s="15" t="n">
        <v>0.02</v>
      </c>
      <c r="C40" s="15" t="n">
        <v>0.08</v>
      </c>
      <c r="M40" t="n">
        <v>3</v>
      </c>
      <c r="N40" t="inlineStr">
        <is>
          <t>CDU</t>
        </is>
      </c>
      <c r="O40" t="inlineStr">
        <is>
          <t>LVN</t>
        </is>
      </c>
      <c r="P40">
        <f>B37</f>
        <v/>
      </c>
    </row>
    <row r="41">
      <c r="A41" s="4" t="inlineStr">
        <is>
          <t>HYDROCRACKER</t>
        </is>
      </c>
      <c r="B41" s="15" t="n">
        <v>0.05</v>
      </c>
      <c r="C41" s="15" t="n">
        <v>0.15</v>
      </c>
      <c r="M41" t="n">
        <v>3</v>
      </c>
      <c r="N41" t="inlineStr">
        <is>
          <t>CDU</t>
        </is>
      </c>
      <c r="O41" t="inlineStr">
        <is>
          <t>HVN</t>
        </is>
      </c>
      <c r="P41">
        <f>C37</f>
        <v/>
      </c>
    </row>
    <row r="42">
      <c r="A42" s="4" t="inlineStr">
        <is>
          <t>REFORMER</t>
        </is>
      </c>
      <c r="B42" s="15" t="n">
        <v>0</v>
      </c>
      <c r="C42" s="15" t="n">
        <v>-1</v>
      </c>
      <c r="M42" t="n">
        <v>3</v>
      </c>
      <c r="N42" t="inlineStr">
        <is>
          <t>VDU</t>
        </is>
      </c>
      <c r="O42" t="inlineStr">
        <is>
          <t>LVN</t>
        </is>
      </c>
      <c r="P42">
        <f>B38</f>
        <v/>
      </c>
    </row>
    <row r="43">
      <c r="A43" s="4" t="inlineStr">
        <is>
          <t>ISOM</t>
        </is>
      </c>
      <c r="B43" s="15" t="n">
        <v>-1</v>
      </c>
      <c r="C43" s="15" t="n">
        <v>0</v>
      </c>
      <c r="M43" t="n">
        <v>3</v>
      </c>
      <c r="N43" t="inlineStr">
        <is>
          <t>VDU</t>
        </is>
      </c>
      <c r="O43" t="inlineStr">
        <is>
          <t>HVN</t>
        </is>
      </c>
      <c r="P43">
        <f>C38</f>
        <v/>
      </c>
    </row>
    <row r="44">
      <c r="A44" s="4" t="inlineStr">
        <is>
          <t>ALKY</t>
        </is>
      </c>
      <c r="B44" s="15" t="n">
        <v>0</v>
      </c>
      <c r="C44" s="15" t="n">
        <v>0</v>
      </c>
      <c r="M44" t="n">
        <v>3</v>
      </c>
      <c r="N44" t="inlineStr">
        <is>
          <t>FCC</t>
        </is>
      </c>
      <c r="O44" t="inlineStr">
        <is>
          <t>LVN</t>
        </is>
      </c>
      <c r="P44">
        <f>B39</f>
        <v/>
      </c>
    </row>
    <row r="45">
      <c r="A45" s="4" t="inlineStr">
        <is>
          <t>SPLITTER</t>
        </is>
      </c>
      <c r="B45" s="15" t="n">
        <v>0.25</v>
      </c>
      <c r="C45" s="15" t="n">
        <v>0.35</v>
      </c>
      <c r="M45" t="n">
        <v>3</v>
      </c>
      <c r="N45" t="inlineStr">
        <is>
          <t>FCC</t>
        </is>
      </c>
      <c r="O45" t="inlineStr">
        <is>
          <t>HVN</t>
        </is>
      </c>
      <c r="P45">
        <f>C39</f>
        <v/>
      </c>
    </row>
    <row r="46">
      <c r="M46" t="n">
        <v>3</v>
      </c>
      <c r="N46" t="inlineStr">
        <is>
          <t>COKER</t>
        </is>
      </c>
      <c r="O46" t="inlineStr">
        <is>
          <t>LVN</t>
        </is>
      </c>
      <c r="P46">
        <f>B40</f>
        <v/>
      </c>
    </row>
    <row r="47">
      <c r="M47" t="n">
        <v>3</v>
      </c>
      <c r="N47" t="inlineStr">
        <is>
          <t>COKER</t>
        </is>
      </c>
      <c r="O47" t="inlineStr">
        <is>
          <t>HVN</t>
        </is>
      </c>
      <c r="P47">
        <f>C40</f>
        <v/>
      </c>
    </row>
    <row r="48">
      <c r="A48" s="1" t="inlineStr">
        <is>
          <t>PADD 4 — Rocky Mountains</t>
        </is>
      </c>
      <c r="B48" s="2" t="n"/>
      <c r="C48" s="2" t="n"/>
      <c r="D48" s="2" t="n"/>
      <c r="E48" s="2" t="n"/>
      <c r="F48" s="2" t="n"/>
      <c r="G48" s="2" t="n"/>
      <c r="H48" s="2" t="n"/>
      <c r="M48" t="n">
        <v>3</v>
      </c>
      <c r="N48" t="inlineStr">
        <is>
          <t>HYDROCRACKER</t>
        </is>
      </c>
      <c r="O48" t="inlineStr">
        <is>
          <t>LVN</t>
        </is>
      </c>
      <c r="P48">
        <f>B41</f>
        <v/>
      </c>
    </row>
    <row r="49">
      <c r="A49" s="11" t="inlineStr">
        <is>
          <t>Utilization</t>
        </is>
      </c>
      <c r="B49" s="15" t="n">
        <v>0.9</v>
      </c>
      <c r="M49" t="n">
        <v>3</v>
      </c>
      <c r="N49" t="inlineStr">
        <is>
          <t>HYDROCRACKER</t>
        </is>
      </c>
      <c r="O49" t="inlineStr">
        <is>
          <t>HVN</t>
        </is>
      </c>
      <c r="P49">
        <f>C41</f>
        <v/>
      </c>
    </row>
    <row r="50">
      <c r="M50" t="n">
        <v>3</v>
      </c>
      <c r="N50" t="inlineStr">
        <is>
          <t>REFORMER</t>
        </is>
      </c>
      <c r="O50" t="inlineStr">
        <is>
          <t>LVN</t>
        </is>
      </c>
      <c r="P50">
        <f>B42</f>
        <v/>
      </c>
    </row>
    <row r="51">
      <c r="A51" s="3" t="inlineStr">
        <is>
          <t>Unit type</t>
        </is>
      </c>
      <c r="B51" s="3" t="inlineStr">
        <is>
          <t>LVN</t>
        </is>
      </c>
      <c r="C51" s="3" t="inlineStr">
        <is>
          <t>HVN</t>
        </is>
      </c>
      <c r="M51" t="n">
        <v>3</v>
      </c>
      <c r="N51" t="inlineStr">
        <is>
          <t>REFORMER</t>
        </is>
      </c>
      <c r="O51" t="inlineStr">
        <is>
          <t>HVN</t>
        </is>
      </c>
      <c r="P51">
        <f>C42</f>
        <v/>
      </c>
    </row>
    <row r="52">
      <c r="A52" s="4" t="inlineStr">
        <is>
          <t>CDU</t>
        </is>
      </c>
      <c r="B52" s="15" t="n">
        <v>0.05</v>
      </c>
      <c r="C52" s="15" t="n">
        <v>0.13</v>
      </c>
      <c r="M52" t="n">
        <v>3</v>
      </c>
      <c r="N52" t="inlineStr">
        <is>
          <t>ISOM</t>
        </is>
      </c>
      <c r="O52" t="inlineStr">
        <is>
          <t>LVN</t>
        </is>
      </c>
      <c r="P52">
        <f>B43</f>
        <v/>
      </c>
    </row>
    <row r="53">
      <c r="A53" s="4" t="inlineStr">
        <is>
          <t>VDU</t>
        </is>
      </c>
      <c r="B53" s="15" t="n">
        <v>0</v>
      </c>
      <c r="C53" s="15" t="n">
        <v>0.01</v>
      </c>
      <c r="M53" t="n">
        <v>3</v>
      </c>
      <c r="N53" t="inlineStr">
        <is>
          <t>ISOM</t>
        </is>
      </c>
      <c r="O53" t="inlineStr">
        <is>
          <t>HVN</t>
        </is>
      </c>
      <c r="P53">
        <f>C43</f>
        <v/>
      </c>
    </row>
    <row r="54">
      <c r="A54" s="4" t="inlineStr">
        <is>
          <t>FCC</t>
        </is>
      </c>
      <c r="B54" s="15" t="n">
        <v>0.02</v>
      </c>
      <c r="C54" s="15" t="n">
        <v>0.04</v>
      </c>
      <c r="M54" t="n">
        <v>3</v>
      </c>
      <c r="N54" t="inlineStr">
        <is>
          <t>ALKY</t>
        </is>
      </c>
      <c r="O54" t="inlineStr">
        <is>
          <t>LVN</t>
        </is>
      </c>
      <c r="P54">
        <f>B44</f>
        <v/>
      </c>
    </row>
    <row r="55">
      <c r="A55" s="4" t="inlineStr">
        <is>
          <t>COKER</t>
        </is>
      </c>
      <c r="B55" s="15" t="n">
        <v>0.02</v>
      </c>
      <c r="C55" s="15" t="n">
        <v>0.08</v>
      </c>
      <c r="M55" t="n">
        <v>3</v>
      </c>
      <c r="N55" t="inlineStr">
        <is>
          <t>ALKY</t>
        </is>
      </c>
      <c r="O55" t="inlineStr">
        <is>
          <t>HVN</t>
        </is>
      </c>
      <c r="P55">
        <f>C44</f>
        <v/>
      </c>
    </row>
    <row r="56">
      <c r="A56" s="4" t="inlineStr">
        <is>
          <t>HYDROCRACKER</t>
        </is>
      </c>
      <c r="B56" s="15" t="n">
        <v>0.05</v>
      </c>
      <c r="C56" s="15" t="n">
        <v>0.15</v>
      </c>
      <c r="M56" t="n">
        <v>3</v>
      </c>
      <c r="N56" t="inlineStr">
        <is>
          <t>SPLITTER</t>
        </is>
      </c>
      <c r="O56" t="inlineStr">
        <is>
          <t>LVN</t>
        </is>
      </c>
      <c r="P56">
        <f>B45</f>
        <v/>
      </c>
    </row>
    <row r="57">
      <c r="A57" s="4" t="inlineStr">
        <is>
          <t>REFORMER</t>
        </is>
      </c>
      <c r="B57" s="15" t="n">
        <v>0</v>
      </c>
      <c r="C57" s="15" t="n">
        <v>-1</v>
      </c>
      <c r="M57" t="n">
        <v>3</v>
      </c>
      <c r="N57" t="inlineStr">
        <is>
          <t>SPLITTER</t>
        </is>
      </c>
      <c r="O57" t="inlineStr">
        <is>
          <t>HVN</t>
        </is>
      </c>
      <c r="P57">
        <f>C45</f>
        <v/>
      </c>
    </row>
    <row r="58">
      <c r="A58" s="4" t="inlineStr">
        <is>
          <t>ISOM</t>
        </is>
      </c>
      <c r="B58" s="15" t="n">
        <v>-1</v>
      </c>
      <c r="C58" s="15" t="n">
        <v>0</v>
      </c>
      <c r="M58" t="n">
        <v>4</v>
      </c>
      <c r="N58" t="inlineStr">
        <is>
          <t>CDU</t>
        </is>
      </c>
      <c r="O58" t="inlineStr">
        <is>
          <t>LVN</t>
        </is>
      </c>
      <c r="P58">
        <f>B52</f>
        <v/>
      </c>
    </row>
    <row r="59">
      <c r="A59" s="4" t="inlineStr">
        <is>
          <t>ALKY</t>
        </is>
      </c>
      <c r="B59" s="15" t="n">
        <v>0</v>
      </c>
      <c r="C59" s="15" t="n">
        <v>0</v>
      </c>
      <c r="M59" t="n">
        <v>4</v>
      </c>
      <c r="N59" t="inlineStr">
        <is>
          <t>CDU</t>
        </is>
      </c>
      <c r="O59" t="inlineStr">
        <is>
          <t>HVN</t>
        </is>
      </c>
      <c r="P59">
        <f>C52</f>
        <v/>
      </c>
    </row>
    <row r="60">
      <c r="A60" s="4" t="inlineStr">
        <is>
          <t>SPLITTER</t>
        </is>
      </c>
      <c r="B60" s="15" t="n">
        <v>0.25</v>
      </c>
      <c r="C60" s="15" t="n">
        <v>0.35</v>
      </c>
      <c r="M60" t="n">
        <v>4</v>
      </c>
      <c r="N60" t="inlineStr">
        <is>
          <t>VDU</t>
        </is>
      </c>
      <c r="O60" t="inlineStr">
        <is>
          <t>LVN</t>
        </is>
      </c>
      <c r="P60">
        <f>B53</f>
        <v/>
      </c>
    </row>
    <row r="61">
      <c r="M61" t="n">
        <v>4</v>
      </c>
      <c r="N61" t="inlineStr">
        <is>
          <t>VDU</t>
        </is>
      </c>
      <c r="O61" t="inlineStr">
        <is>
          <t>HVN</t>
        </is>
      </c>
      <c r="P61">
        <f>C53</f>
        <v/>
      </c>
    </row>
    <row r="62">
      <c r="M62" t="n">
        <v>4</v>
      </c>
      <c r="N62" t="inlineStr">
        <is>
          <t>FCC</t>
        </is>
      </c>
      <c r="O62" t="inlineStr">
        <is>
          <t>LVN</t>
        </is>
      </c>
      <c r="P62">
        <f>B54</f>
        <v/>
      </c>
    </row>
    <row r="63">
      <c r="A63" s="1" t="inlineStr">
        <is>
          <t>PADD 5 — West Coast</t>
        </is>
      </c>
      <c r="B63" s="2" t="n"/>
      <c r="C63" s="2" t="n"/>
      <c r="D63" s="2" t="n"/>
      <c r="E63" s="2" t="n"/>
      <c r="F63" s="2" t="n"/>
      <c r="G63" s="2" t="n"/>
      <c r="H63" s="2" t="n"/>
      <c r="M63" t="n">
        <v>4</v>
      </c>
      <c r="N63" t="inlineStr">
        <is>
          <t>FCC</t>
        </is>
      </c>
      <c r="O63" t="inlineStr">
        <is>
          <t>HVN</t>
        </is>
      </c>
      <c r="P63">
        <f>C54</f>
        <v/>
      </c>
    </row>
    <row r="64">
      <c r="A64" s="11" t="inlineStr">
        <is>
          <t>Utilization</t>
        </is>
      </c>
      <c r="B64" s="15" t="n">
        <v>0.9</v>
      </c>
      <c r="M64" t="n">
        <v>4</v>
      </c>
      <c r="N64" t="inlineStr">
        <is>
          <t>COKER</t>
        </is>
      </c>
      <c r="O64" t="inlineStr">
        <is>
          <t>LVN</t>
        </is>
      </c>
      <c r="P64">
        <f>B55</f>
        <v/>
      </c>
    </row>
    <row r="65">
      <c r="M65" t="n">
        <v>4</v>
      </c>
      <c r="N65" t="inlineStr">
        <is>
          <t>COKER</t>
        </is>
      </c>
      <c r="O65" t="inlineStr">
        <is>
          <t>HVN</t>
        </is>
      </c>
      <c r="P65">
        <f>C55</f>
        <v/>
      </c>
    </row>
    <row r="66">
      <c r="A66" s="3" t="inlineStr">
        <is>
          <t>Unit type</t>
        </is>
      </c>
      <c r="B66" s="3" t="inlineStr">
        <is>
          <t>LVN</t>
        </is>
      </c>
      <c r="C66" s="3" t="inlineStr">
        <is>
          <t>HVN</t>
        </is>
      </c>
      <c r="M66" t="n">
        <v>4</v>
      </c>
      <c r="N66" t="inlineStr">
        <is>
          <t>HYDROCRACKER</t>
        </is>
      </c>
      <c r="O66" t="inlineStr">
        <is>
          <t>LVN</t>
        </is>
      </c>
      <c r="P66">
        <f>B56</f>
        <v/>
      </c>
    </row>
    <row r="67">
      <c r="A67" s="4" t="inlineStr">
        <is>
          <t>CDU</t>
        </is>
      </c>
      <c r="B67" s="15" t="n">
        <v>0.05</v>
      </c>
      <c r="C67" s="15" t="n">
        <v>0.13</v>
      </c>
      <c r="M67" t="n">
        <v>4</v>
      </c>
      <c r="N67" t="inlineStr">
        <is>
          <t>HYDROCRACKER</t>
        </is>
      </c>
      <c r="O67" t="inlineStr">
        <is>
          <t>HVN</t>
        </is>
      </c>
      <c r="P67">
        <f>C56</f>
        <v/>
      </c>
    </row>
    <row r="68">
      <c r="A68" s="4" t="inlineStr">
        <is>
          <t>VDU</t>
        </is>
      </c>
      <c r="B68" s="15" t="n">
        <v>0</v>
      </c>
      <c r="C68" s="15" t="n">
        <v>0.01</v>
      </c>
      <c r="M68" t="n">
        <v>4</v>
      </c>
      <c r="N68" t="inlineStr">
        <is>
          <t>REFORMER</t>
        </is>
      </c>
      <c r="O68" t="inlineStr">
        <is>
          <t>LVN</t>
        </is>
      </c>
      <c r="P68">
        <f>B57</f>
        <v/>
      </c>
    </row>
    <row r="69">
      <c r="A69" s="4" t="inlineStr">
        <is>
          <t>FCC</t>
        </is>
      </c>
      <c r="B69" s="15" t="n">
        <v>0.02</v>
      </c>
      <c r="C69" s="15" t="n">
        <v>0.04</v>
      </c>
      <c r="M69" t="n">
        <v>4</v>
      </c>
      <c r="N69" t="inlineStr">
        <is>
          <t>REFORMER</t>
        </is>
      </c>
      <c r="O69" t="inlineStr">
        <is>
          <t>HVN</t>
        </is>
      </c>
      <c r="P69">
        <f>C57</f>
        <v/>
      </c>
    </row>
    <row r="70">
      <c r="A70" s="4" t="inlineStr">
        <is>
          <t>COKER</t>
        </is>
      </c>
      <c r="B70" s="15" t="n">
        <v>0.02</v>
      </c>
      <c r="C70" s="15" t="n">
        <v>0.08</v>
      </c>
      <c r="M70" t="n">
        <v>4</v>
      </c>
      <c r="N70" t="inlineStr">
        <is>
          <t>ISOM</t>
        </is>
      </c>
      <c r="O70" t="inlineStr">
        <is>
          <t>LVN</t>
        </is>
      </c>
      <c r="P70">
        <f>B58</f>
        <v/>
      </c>
    </row>
    <row r="71">
      <c r="A71" s="4" t="inlineStr">
        <is>
          <t>HYDROCRACKER</t>
        </is>
      </c>
      <c r="B71" s="15" t="n">
        <v>0.05</v>
      </c>
      <c r="C71" s="15" t="n">
        <v>0.15</v>
      </c>
      <c r="M71" t="n">
        <v>4</v>
      </c>
      <c r="N71" t="inlineStr">
        <is>
          <t>ISOM</t>
        </is>
      </c>
      <c r="O71" t="inlineStr">
        <is>
          <t>HVN</t>
        </is>
      </c>
      <c r="P71">
        <f>C58</f>
        <v/>
      </c>
    </row>
    <row r="72">
      <c r="A72" s="4" t="inlineStr">
        <is>
          <t>REFORMER</t>
        </is>
      </c>
      <c r="B72" s="15" t="n">
        <v>0</v>
      </c>
      <c r="C72" s="15" t="n">
        <v>-1</v>
      </c>
      <c r="M72" t="n">
        <v>4</v>
      </c>
      <c r="N72" t="inlineStr">
        <is>
          <t>ALKY</t>
        </is>
      </c>
      <c r="O72" t="inlineStr">
        <is>
          <t>LVN</t>
        </is>
      </c>
      <c r="P72">
        <f>B59</f>
        <v/>
      </c>
    </row>
    <row r="73">
      <c r="A73" s="4" t="inlineStr">
        <is>
          <t>ISOM</t>
        </is>
      </c>
      <c r="B73" s="15" t="n">
        <v>-1</v>
      </c>
      <c r="C73" s="15" t="n">
        <v>0</v>
      </c>
      <c r="M73" t="n">
        <v>4</v>
      </c>
      <c r="N73" t="inlineStr">
        <is>
          <t>ALKY</t>
        </is>
      </c>
      <c r="O73" t="inlineStr">
        <is>
          <t>HVN</t>
        </is>
      </c>
      <c r="P73">
        <f>C59</f>
        <v/>
      </c>
    </row>
    <row r="74">
      <c r="A74" s="4" t="inlineStr">
        <is>
          <t>ALKY</t>
        </is>
      </c>
      <c r="B74" s="15" t="n">
        <v>0</v>
      </c>
      <c r="C74" s="15" t="n">
        <v>0</v>
      </c>
      <c r="M74" t="n">
        <v>4</v>
      </c>
      <c r="N74" t="inlineStr">
        <is>
          <t>SPLITTER</t>
        </is>
      </c>
      <c r="O74" t="inlineStr">
        <is>
          <t>LVN</t>
        </is>
      </c>
      <c r="P74">
        <f>B60</f>
        <v/>
      </c>
    </row>
    <row r="75">
      <c r="A75" s="4" t="inlineStr">
        <is>
          <t>SPLITTER</t>
        </is>
      </c>
      <c r="B75" s="15" t="n">
        <v>0.25</v>
      </c>
      <c r="C75" s="15" t="n">
        <v>0.35</v>
      </c>
      <c r="M75" t="n">
        <v>4</v>
      </c>
      <c r="N75" t="inlineStr">
        <is>
          <t>SPLITTER</t>
        </is>
      </c>
      <c r="O75" t="inlineStr">
        <is>
          <t>HVN</t>
        </is>
      </c>
      <c r="P75">
        <f>C60</f>
        <v/>
      </c>
    </row>
    <row r="76">
      <c r="M76" t="n">
        <v>5</v>
      </c>
      <c r="N76" t="inlineStr">
        <is>
          <t>CDU</t>
        </is>
      </c>
      <c r="O76" t="inlineStr">
        <is>
          <t>LVN</t>
        </is>
      </c>
      <c r="P76">
        <f>B67</f>
        <v/>
      </c>
    </row>
    <row r="77">
      <c r="M77" t="n">
        <v>5</v>
      </c>
      <c r="N77" t="inlineStr">
        <is>
          <t>CDU</t>
        </is>
      </c>
      <c r="O77" t="inlineStr">
        <is>
          <t>HVN</t>
        </is>
      </c>
      <c r="P77">
        <f>C67</f>
        <v/>
      </c>
    </row>
    <row r="78">
      <c r="M78" t="n">
        <v>5</v>
      </c>
      <c r="N78" t="inlineStr">
        <is>
          <t>VDU</t>
        </is>
      </c>
      <c r="O78" t="inlineStr">
        <is>
          <t>LVN</t>
        </is>
      </c>
      <c r="P78">
        <f>B68</f>
        <v/>
      </c>
    </row>
    <row r="79">
      <c r="M79" t="n">
        <v>5</v>
      </c>
      <c r="N79" t="inlineStr">
        <is>
          <t>VDU</t>
        </is>
      </c>
      <c r="O79" t="inlineStr">
        <is>
          <t>HVN</t>
        </is>
      </c>
      <c r="P79">
        <f>C68</f>
        <v/>
      </c>
    </row>
    <row r="80">
      <c r="M80" t="n">
        <v>5</v>
      </c>
      <c r="N80" t="inlineStr">
        <is>
          <t>FCC</t>
        </is>
      </c>
      <c r="O80" t="inlineStr">
        <is>
          <t>LVN</t>
        </is>
      </c>
      <c r="P80">
        <f>B69</f>
        <v/>
      </c>
    </row>
    <row r="81">
      <c r="M81" t="n">
        <v>5</v>
      </c>
      <c r="N81" t="inlineStr">
        <is>
          <t>FCC</t>
        </is>
      </c>
      <c r="O81" t="inlineStr">
        <is>
          <t>HVN</t>
        </is>
      </c>
      <c r="P81">
        <f>C69</f>
        <v/>
      </c>
    </row>
    <row r="82">
      <c r="M82" t="n">
        <v>5</v>
      </c>
      <c r="N82" t="inlineStr">
        <is>
          <t>COKER</t>
        </is>
      </c>
      <c r="O82" t="inlineStr">
        <is>
          <t>LVN</t>
        </is>
      </c>
      <c r="P82">
        <f>B70</f>
        <v/>
      </c>
    </row>
    <row r="83">
      <c r="M83" t="n">
        <v>5</v>
      </c>
      <c r="N83" t="inlineStr">
        <is>
          <t>COKER</t>
        </is>
      </c>
      <c r="O83" t="inlineStr">
        <is>
          <t>HVN</t>
        </is>
      </c>
      <c r="P83">
        <f>C70</f>
        <v/>
      </c>
    </row>
    <row r="84">
      <c r="M84" t="n">
        <v>5</v>
      </c>
      <c r="N84" t="inlineStr">
        <is>
          <t>HYDROCRACKER</t>
        </is>
      </c>
      <c r="O84" t="inlineStr">
        <is>
          <t>LVN</t>
        </is>
      </c>
      <c r="P84">
        <f>B71</f>
        <v/>
      </c>
    </row>
    <row r="85">
      <c r="M85" t="n">
        <v>5</v>
      </c>
      <c r="N85" t="inlineStr">
        <is>
          <t>HYDROCRACKER</t>
        </is>
      </c>
      <c r="O85" t="inlineStr">
        <is>
          <t>HVN</t>
        </is>
      </c>
      <c r="P85">
        <f>C71</f>
        <v/>
      </c>
    </row>
    <row r="86">
      <c r="M86" t="n">
        <v>5</v>
      </c>
      <c r="N86" t="inlineStr">
        <is>
          <t>REFORMER</t>
        </is>
      </c>
      <c r="O86" t="inlineStr">
        <is>
          <t>LVN</t>
        </is>
      </c>
      <c r="P86">
        <f>B72</f>
        <v/>
      </c>
    </row>
    <row r="87">
      <c r="M87" t="n">
        <v>5</v>
      </c>
      <c r="N87" t="inlineStr">
        <is>
          <t>REFORMER</t>
        </is>
      </c>
      <c r="O87" t="inlineStr">
        <is>
          <t>HVN</t>
        </is>
      </c>
      <c r="P87">
        <f>C72</f>
        <v/>
      </c>
    </row>
    <row r="88">
      <c r="M88" t="n">
        <v>5</v>
      </c>
      <c r="N88" t="inlineStr">
        <is>
          <t>ISOM</t>
        </is>
      </c>
      <c r="O88" t="inlineStr">
        <is>
          <t>LVN</t>
        </is>
      </c>
      <c r="P88">
        <f>B73</f>
        <v/>
      </c>
    </row>
    <row r="89">
      <c r="M89" t="n">
        <v>5</v>
      </c>
      <c r="N89" t="inlineStr">
        <is>
          <t>ISOM</t>
        </is>
      </c>
      <c r="O89" t="inlineStr">
        <is>
          <t>HVN</t>
        </is>
      </c>
      <c r="P89">
        <f>C73</f>
        <v/>
      </c>
    </row>
    <row r="90">
      <c r="M90" t="n">
        <v>5</v>
      </c>
      <c r="N90" t="inlineStr">
        <is>
          <t>ALKY</t>
        </is>
      </c>
      <c r="O90" t="inlineStr">
        <is>
          <t>LVN</t>
        </is>
      </c>
      <c r="P90">
        <f>B74</f>
        <v/>
      </c>
    </row>
    <row r="91">
      <c r="M91" t="n">
        <v>5</v>
      </c>
      <c r="N91" t="inlineStr">
        <is>
          <t>ALKY</t>
        </is>
      </c>
      <c r="O91" t="inlineStr">
        <is>
          <t>HVN</t>
        </is>
      </c>
      <c r="P91">
        <f>C74</f>
        <v/>
      </c>
    </row>
    <row r="92">
      <c r="M92" t="n">
        <v>5</v>
      </c>
      <c r="N92" t="inlineStr">
        <is>
          <t>SPLITTER</t>
        </is>
      </c>
      <c r="O92" t="inlineStr">
        <is>
          <t>LVN</t>
        </is>
      </c>
      <c r="P92">
        <f>B75</f>
        <v/>
      </c>
    </row>
    <row r="93">
      <c r="M93" t="n">
        <v>5</v>
      </c>
      <c r="N93" t="inlineStr">
        <is>
          <t>SPLITTER</t>
        </is>
      </c>
      <c r="O93" t="inlineStr">
        <is>
          <t>HVN</t>
        </is>
      </c>
      <c r="P93">
        <f>C75</f>
        <v/>
      </c>
    </row>
  </sheetData>
  <mergeCells count="6">
    <mergeCell ref="A18:H18"/>
    <mergeCell ref="A48:H48"/>
    <mergeCell ref="A3:H3"/>
    <mergeCell ref="A1:P1"/>
    <mergeCell ref="A63:H63"/>
    <mergeCell ref="A33:H3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2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30" customWidth="1" min="3" max="3"/>
    <col width="6" customWidth="1" min="4" max="4"/>
    <col width="13" customWidth="1" min="5" max="5"/>
    <col width="15" customWidth="1" min="6" max="6"/>
    <col width="10" customWidth="1" min="7" max="7"/>
    <col width="9" customWidth="1" min="8" max="8"/>
    <col width="12" customWidth="1" min="9" max="9"/>
    <col width="9" customWidth="1" min="10" max="10"/>
    <col width="8" customWidth="1" min="11" max="11"/>
    <col width="9" customWidth="1" min="12" max="12"/>
    <col width="8" customWidth="1" min="13" max="13"/>
    <col width="9" customWidth="1" min="14" max="14"/>
    <col width="8" customWidth="1" min="15" max="15"/>
  </cols>
  <sheetData>
    <row r="1">
      <c r="A1" s="1" t="inlineStr">
        <is>
          <t>Imported data — refinery registry + 2024 net yields (% of crude). Type a crude capacity (blue) and that refinery's box lights up. Re-import: python -m naphtha_model ingest-yields &lt;file&gt;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>
      <c r="A2" s="3" t="inlineStr">
        <is>
          <t>refinery_id</t>
        </is>
      </c>
      <c r="B2" s="3" t="inlineStr">
        <is>
          <t>name</t>
        </is>
      </c>
      <c r="C2" s="3" t="inlineStr">
        <is>
          <t>owner</t>
        </is>
      </c>
      <c r="D2" s="3" t="inlineStr">
        <is>
          <t>padd</t>
        </is>
      </c>
      <c r="E2" s="3" t="inlineStr">
        <is>
          <t>state</t>
        </is>
      </c>
      <c r="F2" s="3" t="inlineStr">
        <is>
          <t>city</t>
        </is>
      </c>
      <c r="G2" s="3" t="inlineStr">
        <is>
          <t>crude_capacity_kbd</t>
        </is>
      </c>
      <c r="H2" s="3" t="inlineStr">
        <is>
          <t>status</t>
        </is>
      </c>
      <c r="I2" s="3" t="inlineStr">
        <is>
          <t>gasoil_diesel</t>
        </is>
      </c>
      <c r="J2" s="3" t="inlineStr">
        <is>
          <t>gasoline</t>
        </is>
      </c>
      <c r="K2" s="3" t="inlineStr">
        <is>
          <t>hfo</t>
        </is>
      </c>
      <c r="L2" s="3" t="inlineStr">
        <is>
          <t>kero_jet</t>
        </is>
      </c>
      <c r="M2" s="3" t="inlineStr">
        <is>
          <t>lpg</t>
        </is>
      </c>
      <c r="N2" s="3" t="inlineStr">
        <is>
          <t>naphtha</t>
        </is>
      </c>
      <c r="O2" s="3" t="inlineStr">
        <is>
          <t>total</t>
        </is>
      </c>
    </row>
    <row r="3">
      <c r="A3" s="5" t="inlineStr">
        <is>
          <t>PHILLIPS_LINDEN</t>
        </is>
      </c>
      <c r="B3" s="5" t="inlineStr">
        <is>
          <t>Phillips 66 Co. Linden</t>
        </is>
      </c>
      <c r="C3" s="5" t="inlineStr">
        <is>
          <t>Phillips 66 Co.</t>
        </is>
      </c>
      <c r="D3" s="5" t="n">
        <v>1</v>
      </c>
      <c r="E3" s="5" t="inlineStr">
        <is>
          <t>New Jersey</t>
        </is>
      </c>
      <c r="F3" s="5" t="inlineStr">
        <is>
          <t>Linden</t>
        </is>
      </c>
      <c r="G3" s="14" t="n">
        <v>258</v>
      </c>
      <c r="H3" s="5" t="inlineStr">
        <is>
          <t>operating</t>
        </is>
      </c>
      <c r="I3" s="17" t="n">
        <v>0.320086</v>
      </c>
      <c r="J3" s="17" t="n">
        <v>0.513787</v>
      </c>
      <c r="K3" s="17" t="n">
        <v>0.001038</v>
      </c>
      <c r="L3" s="17" t="n">
        <v>0.09799200000000001</v>
      </c>
      <c r="M3" s="17" t="n">
        <v>0.024308</v>
      </c>
      <c r="N3" s="17" t="n">
        <v>0</v>
      </c>
      <c r="O3" s="17" t="n">
        <v>0.95721</v>
      </c>
    </row>
    <row r="4">
      <c r="A4" s="5" t="inlineStr">
        <is>
          <t>MONROE_TRAINER</t>
        </is>
      </c>
      <c r="B4" s="5" t="inlineStr">
        <is>
          <t>Monroe Energy Trainer</t>
        </is>
      </c>
      <c r="C4" s="5" t="inlineStr">
        <is>
          <t>Delta Airlines</t>
        </is>
      </c>
      <c r="D4" s="5" t="n">
        <v>1</v>
      </c>
      <c r="E4" s="5" t="inlineStr">
        <is>
          <t>Pennsylvania</t>
        </is>
      </c>
      <c r="F4" s="5" t="inlineStr">
        <is>
          <t>Trainer</t>
        </is>
      </c>
      <c r="G4" s="14" t="n">
        <v>185</v>
      </c>
      <c r="H4" s="5" t="inlineStr">
        <is>
          <t>operating</t>
        </is>
      </c>
      <c r="I4" s="17" t="n">
        <v>0.19063</v>
      </c>
      <c r="J4" s="17" t="n">
        <v>0.5729529999999999</v>
      </c>
      <c r="K4" s="17" t="n">
        <v>0.012446</v>
      </c>
      <c r="L4" s="17" t="n">
        <v>0.196579</v>
      </c>
      <c r="M4" s="17" t="n">
        <v>0.014049</v>
      </c>
      <c r="N4" s="17" t="n">
        <v>0</v>
      </c>
      <c r="O4" s="17" t="n">
        <v>0.986657</v>
      </c>
    </row>
    <row r="5">
      <c r="A5" s="5" t="inlineStr">
        <is>
          <t>PBF_DELAWARE_CITY</t>
        </is>
      </c>
      <c r="B5" s="5" t="inlineStr">
        <is>
          <t>PBF Energy Company LLC Delaware City</t>
        </is>
      </c>
      <c r="C5" s="5" t="inlineStr">
        <is>
          <t>PBF Energy Company LLC</t>
        </is>
      </c>
      <c r="D5" s="5" t="n">
        <v>1</v>
      </c>
      <c r="E5" s="5" t="inlineStr">
        <is>
          <t>Delaware</t>
        </is>
      </c>
      <c r="F5" s="5" t="inlineStr">
        <is>
          <t>Delaware City</t>
        </is>
      </c>
      <c r="G5" s="14" t="n">
        <v>180</v>
      </c>
      <c r="H5" s="5" t="inlineStr">
        <is>
          <t>operating</t>
        </is>
      </c>
      <c r="I5" s="17" t="n">
        <v>0.288664</v>
      </c>
      <c r="J5" s="17" t="n">
        <v>0.626601</v>
      </c>
      <c r="K5" s="17" t="n">
        <v>0.006595999999999999</v>
      </c>
      <c r="L5" s="17" t="n">
        <v>0.118778</v>
      </c>
      <c r="M5" s="17" t="n">
        <v>0.027567</v>
      </c>
      <c r="N5" s="17" t="n">
        <v>0</v>
      </c>
      <c r="O5" s="17" t="n">
        <v>1.068205</v>
      </c>
    </row>
    <row r="6">
      <c r="A6" s="5" t="inlineStr">
        <is>
          <t>PBF_PAULSBORO</t>
        </is>
      </c>
      <c r="B6" s="5" t="inlineStr">
        <is>
          <t>PBF Energy Company LLC Paulsboro</t>
        </is>
      </c>
      <c r="C6" s="5" t="inlineStr">
        <is>
          <t>PBF Energy Company LLC</t>
        </is>
      </c>
      <c r="D6" s="5" t="n">
        <v>1</v>
      </c>
      <c r="E6" s="5" t="inlineStr">
        <is>
          <t>New Jersey</t>
        </is>
      </c>
      <c r="F6" s="5" t="inlineStr">
        <is>
          <t>Paulsboro</t>
        </is>
      </c>
      <c r="G6" s="14" t="n">
        <v>100</v>
      </c>
      <c r="H6" s="5" t="inlineStr">
        <is>
          <t>operating</t>
        </is>
      </c>
      <c r="I6" s="17" t="n">
        <v>0.373933</v>
      </c>
      <c r="J6" s="17" t="n">
        <v>0.272644</v>
      </c>
      <c r="K6" s="17" t="n">
        <v>0.024194</v>
      </c>
      <c r="L6" s="17" t="n">
        <v>0.199112</v>
      </c>
      <c r="M6" s="17" t="n">
        <v>0.009816</v>
      </c>
      <c r="N6" s="17" t="n">
        <v>0</v>
      </c>
      <c r="O6" s="17" t="n">
        <v>0.8796980000000001</v>
      </c>
    </row>
    <row r="7">
      <c r="A7" s="5" t="inlineStr">
        <is>
          <t>UNITED_WARREN</t>
        </is>
      </c>
      <c r="B7" s="5" t="inlineStr">
        <is>
          <t>United Refining Warren</t>
        </is>
      </c>
      <c r="C7" s="5" t="inlineStr">
        <is>
          <t>United Refining</t>
        </is>
      </c>
      <c r="D7" s="5" t="n">
        <v>1</v>
      </c>
      <c r="E7" s="5" t="inlineStr">
        <is>
          <t>Pennsylvania</t>
        </is>
      </c>
      <c r="F7" s="5" t="inlineStr">
        <is>
          <t>Warren</t>
        </is>
      </c>
      <c r="G7" s="14" t="n">
        <v>70</v>
      </c>
      <c r="H7" s="5" t="inlineStr">
        <is>
          <t>operating</t>
        </is>
      </c>
      <c r="I7" s="17" t="n">
        <v>0.174032</v>
      </c>
      <c r="J7" s="17" t="n">
        <v>0.450898</v>
      </c>
      <c r="K7" s="17" t="n">
        <v>0.001753</v>
      </c>
      <c r="L7" s="17" t="n">
        <v>0</v>
      </c>
      <c r="M7" s="17" t="n">
        <v>0.0007560000000000001</v>
      </c>
      <c r="N7" s="17" t="n">
        <v>0</v>
      </c>
      <c r="O7" s="17" t="n">
        <v>0.627437</v>
      </c>
    </row>
    <row r="8">
      <c r="A8" s="5" t="inlineStr">
        <is>
          <t>ERGON_NEWELL</t>
        </is>
      </c>
      <c r="B8" s="5" t="inlineStr">
        <is>
          <t>Ergon Newell</t>
        </is>
      </c>
      <c r="C8" s="5" t="inlineStr">
        <is>
          <t>Ergon</t>
        </is>
      </c>
      <c r="D8" s="5" t="n">
        <v>1</v>
      </c>
      <c r="E8" s="5" t="inlineStr">
        <is>
          <t>West Virginia</t>
        </is>
      </c>
      <c r="F8" s="5" t="inlineStr">
        <is>
          <t>Newell</t>
        </is>
      </c>
      <c r="G8" s="14" t="n">
        <v>22.3</v>
      </c>
      <c r="H8" s="5" t="inlineStr">
        <is>
          <t>operating</t>
        </is>
      </c>
      <c r="I8" s="17" t="n">
        <v>0.276305</v>
      </c>
      <c r="J8" s="17" t="n">
        <v>0.340546</v>
      </c>
      <c r="K8" s="17" t="n">
        <v>0</v>
      </c>
      <c r="L8" s="17" t="n">
        <v>0</v>
      </c>
      <c r="M8" s="17" t="n">
        <v>0.001903</v>
      </c>
      <c r="N8" s="17" t="n">
        <v>0</v>
      </c>
      <c r="O8" s="17" t="n">
        <v>0.618754</v>
      </c>
    </row>
    <row r="9">
      <c r="A9" s="5" t="inlineStr">
        <is>
          <t>AMERICAN_BRADFORD</t>
        </is>
      </c>
      <c r="B9" s="5" t="inlineStr">
        <is>
          <t>American Refining Group Bradford</t>
        </is>
      </c>
      <c r="C9" s="5" t="inlineStr">
        <is>
          <t>American Refining Group</t>
        </is>
      </c>
      <c r="D9" s="5" t="n">
        <v>1</v>
      </c>
      <c r="E9" s="5" t="inlineStr">
        <is>
          <t>Pennsylvania</t>
        </is>
      </c>
      <c r="F9" s="5" t="inlineStr">
        <is>
          <t>Bradford</t>
        </is>
      </c>
      <c r="G9" s="14" t="n">
        <v>11.8</v>
      </c>
      <c r="H9" s="5" t="inlineStr">
        <is>
          <t>operating</t>
        </is>
      </c>
      <c r="I9" s="17" t="n">
        <v>0.240976</v>
      </c>
      <c r="J9" s="17" t="n">
        <v>0.368069</v>
      </c>
      <c r="K9" s="17" t="n">
        <v>0</v>
      </c>
      <c r="L9" s="17" t="n">
        <v>0</v>
      </c>
      <c r="M9" s="17" t="n">
        <v>0.00557</v>
      </c>
      <c r="N9" s="17" t="n">
        <v>0</v>
      </c>
      <c r="O9" s="17" t="n">
        <v>0.614615</v>
      </c>
    </row>
    <row r="10">
      <c r="A10" s="5" t="inlineStr">
        <is>
          <t>BP_WHITING</t>
        </is>
      </c>
      <c r="B10" s="5" t="inlineStr">
        <is>
          <t>BP Whiting</t>
        </is>
      </c>
      <c r="C10" s="5" t="inlineStr">
        <is>
          <t>BP</t>
        </is>
      </c>
      <c r="D10" s="5" t="n">
        <v>2</v>
      </c>
      <c r="E10" s="5" t="inlineStr">
        <is>
          <t>Indiana</t>
        </is>
      </c>
      <c r="F10" s="5" t="inlineStr">
        <is>
          <t>Whiting</t>
        </is>
      </c>
      <c r="G10" s="14" t="n">
        <v>435</v>
      </c>
      <c r="H10" s="5" t="inlineStr">
        <is>
          <t>operating</t>
        </is>
      </c>
      <c r="I10" s="17" t="n">
        <v>0.232409</v>
      </c>
      <c r="J10" s="17" t="n">
        <v>0.573591</v>
      </c>
      <c r="K10" s="17" t="n">
        <v>0.010617</v>
      </c>
      <c r="L10" s="17" t="n">
        <v>0.069983</v>
      </c>
      <c r="M10" s="17" t="n">
        <v>0.018035</v>
      </c>
      <c r="N10" s="17" t="n">
        <v>0.00217</v>
      </c>
      <c r="O10" s="17" t="n">
        <v>0.9068040000000001</v>
      </c>
    </row>
    <row r="11">
      <c r="A11" s="5" t="inlineStr">
        <is>
          <t>FLINT_ROSEMOUNT</t>
        </is>
      </c>
      <c r="B11" s="5" t="inlineStr">
        <is>
          <t>Flint Hills Resources Rosemount</t>
        </is>
      </c>
      <c r="C11" s="5" t="inlineStr">
        <is>
          <t>Koch Industries</t>
        </is>
      </c>
      <c r="D11" s="5" t="n">
        <v>2</v>
      </c>
      <c r="E11" s="5" t="inlineStr">
        <is>
          <t>Minnesota</t>
        </is>
      </c>
      <c r="F11" s="5" t="inlineStr">
        <is>
          <t>Rosemount</t>
        </is>
      </c>
      <c r="G11" s="14" t="n">
        <v>375</v>
      </c>
      <c r="H11" s="5" t="inlineStr">
        <is>
          <t>operating</t>
        </is>
      </c>
      <c r="I11" s="17" t="n">
        <v>0.115114</v>
      </c>
      <c r="J11" s="17" t="n">
        <v>0.666609</v>
      </c>
      <c r="K11" s="17" t="n">
        <v>0.022427</v>
      </c>
      <c r="L11" s="17" t="n">
        <v>0.112758</v>
      </c>
      <c r="M11" s="17" t="n">
        <v>0.014163</v>
      </c>
      <c r="N11" s="17" t="n">
        <v>0.010141</v>
      </c>
      <c r="O11" s="17" t="n">
        <v>0.941212</v>
      </c>
    </row>
    <row r="12">
      <c r="A12" s="5" t="inlineStr">
        <is>
          <t>CENOVUS_WOOD_RIVER</t>
        </is>
      </c>
      <c r="B12" s="5" t="inlineStr">
        <is>
          <t>Cenovus Wood River</t>
        </is>
      </c>
      <c r="C12" s="5" t="inlineStr">
        <is>
          <t>Cenovus (50%) / Phillips 66 Co. (50%)</t>
        </is>
      </c>
      <c r="D12" s="5" t="n">
        <v>2</v>
      </c>
      <c r="E12" s="5" t="inlineStr">
        <is>
          <t>Illinois</t>
        </is>
      </c>
      <c r="F12" s="5" t="inlineStr">
        <is>
          <t>Wood River</t>
        </is>
      </c>
      <c r="G12" s="14" t="n">
        <v>356</v>
      </c>
      <c r="H12" s="5" t="inlineStr">
        <is>
          <t>operating</t>
        </is>
      </c>
      <c r="I12" s="17" t="n">
        <v>0.06430799999999999</v>
      </c>
      <c r="J12" s="17" t="n">
        <v>0.361823</v>
      </c>
      <c r="K12" s="17" t="n">
        <v>0.010296</v>
      </c>
      <c r="L12" s="17" t="n">
        <v>0.034763</v>
      </c>
      <c r="M12" s="17" t="n">
        <v>0.003792</v>
      </c>
      <c r="N12" s="17" t="n">
        <v>0.001431</v>
      </c>
      <c r="O12" s="17" t="n">
        <v>0.476413</v>
      </c>
    </row>
    <row r="13">
      <c r="A13" s="5" t="inlineStr">
        <is>
          <t>MARATHON_CATLETTSBURG</t>
        </is>
      </c>
      <c r="B13" s="5" t="inlineStr">
        <is>
          <t>Marathon Petroleum Catlettsburg</t>
        </is>
      </c>
      <c r="C13" s="5" t="inlineStr">
        <is>
          <t>Marathon Petroleum</t>
        </is>
      </c>
      <c r="D13" s="5" t="n">
        <v>2</v>
      </c>
      <c r="E13" s="5" t="inlineStr">
        <is>
          <t>Kentucky</t>
        </is>
      </c>
      <c r="F13" s="5" t="inlineStr">
        <is>
          <t>Catlettsburg</t>
        </is>
      </c>
      <c r="G13" s="14" t="n">
        <v>316</v>
      </c>
      <c r="H13" s="5" t="inlineStr">
        <is>
          <t>operating</t>
        </is>
      </c>
      <c r="I13" s="17" t="n">
        <v>0.478289</v>
      </c>
      <c r="J13" s="17" t="n">
        <v>0.4347570000000001</v>
      </c>
      <c r="K13" s="17" t="n">
        <v>0.001486</v>
      </c>
      <c r="L13" s="17" t="n">
        <v>0.020455</v>
      </c>
      <c r="M13" s="17" t="n">
        <v>0.009075999999999999</v>
      </c>
      <c r="N13" s="17" t="n">
        <v>0.001714</v>
      </c>
      <c r="O13" s="17" t="n">
        <v>0.945778</v>
      </c>
    </row>
    <row r="14">
      <c r="A14" s="5" t="inlineStr">
        <is>
          <t>MARATHON_ROBINSON</t>
        </is>
      </c>
      <c r="B14" s="5" t="inlineStr">
        <is>
          <t>Marathon Petroleum Robinson</t>
        </is>
      </c>
      <c r="C14" s="5" t="inlineStr">
        <is>
          <t>Marathon Petroleum</t>
        </is>
      </c>
      <c r="D14" s="5" t="n">
        <v>2</v>
      </c>
      <c r="E14" s="5" t="inlineStr">
        <is>
          <t>Illinois</t>
        </is>
      </c>
      <c r="F14" s="5" t="inlineStr">
        <is>
          <t>Robinson</t>
        </is>
      </c>
      <c r="G14" s="14" t="n">
        <v>278</v>
      </c>
      <c r="H14" s="5" t="inlineStr">
        <is>
          <t>operating</t>
        </is>
      </c>
      <c r="I14" s="17" t="n">
        <v>0.395003</v>
      </c>
      <c r="J14" s="17" t="n">
        <v>0.5376069999999999</v>
      </c>
      <c r="K14" s="17" t="n">
        <v>0.010142</v>
      </c>
      <c r="L14" s="17" t="n">
        <v>0.021377</v>
      </c>
      <c r="M14" s="17" t="n">
        <v>0.005884</v>
      </c>
      <c r="N14" s="17" t="n">
        <v>0.00261</v>
      </c>
      <c r="O14" s="17" t="n">
        <v>0.972624</v>
      </c>
    </row>
    <row r="15">
      <c r="A15" s="5" t="inlineStr">
        <is>
          <t>EXXONMOBIL_JOLIET</t>
        </is>
      </c>
      <c r="B15" s="5" t="inlineStr">
        <is>
          <t>ExxonMobil Joliet</t>
        </is>
      </c>
      <c r="C15" s="5" t="inlineStr">
        <is>
          <t>ExxonMobil</t>
        </is>
      </c>
      <c r="D15" s="5" t="n">
        <v>2</v>
      </c>
      <c r="E15" s="5" t="inlineStr">
        <is>
          <t>Illinois</t>
        </is>
      </c>
      <c r="F15" s="5" t="inlineStr">
        <is>
          <t>Joliet</t>
        </is>
      </c>
      <c r="G15" s="14" t="n">
        <v>252</v>
      </c>
      <c r="H15" s="5" t="inlineStr">
        <is>
          <t>operating</t>
        </is>
      </c>
      <c r="I15" s="17" t="n">
        <v>0.277571</v>
      </c>
      <c r="J15" s="17" t="n">
        <v>0.571539</v>
      </c>
      <c r="K15" s="17" t="n">
        <v>0.002654</v>
      </c>
      <c r="L15" s="17" t="n">
        <v>0.066733</v>
      </c>
      <c r="M15" s="17" t="n">
        <v>0.003918</v>
      </c>
      <c r="N15" s="17" t="n">
        <v>0.001772</v>
      </c>
      <c r="O15" s="17" t="n">
        <v>0.924187</v>
      </c>
    </row>
    <row r="16">
      <c r="A16" s="5" t="inlineStr">
        <is>
          <t>PHILLIPS_PONCA_CITY</t>
        </is>
      </c>
      <c r="B16" s="5" t="inlineStr">
        <is>
          <t>Phillips 66 Co. Ponca City</t>
        </is>
      </c>
      <c r="C16" s="5" t="inlineStr">
        <is>
          <t>Phillips 66 Co.</t>
        </is>
      </c>
      <c r="D16" s="5" t="n">
        <v>2</v>
      </c>
      <c r="E16" s="5" t="inlineStr">
        <is>
          <t>Oklahoma</t>
        </is>
      </c>
      <c r="F16" s="5" t="inlineStr">
        <is>
          <t>Ponca City</t>
        </is>
      </c>
      <c r="G16" s="14" t="n">
        <v>225</v>
      </c>
      <c r="H16" s="5" t="inlineStr">
        <is>
          <t>operating</t>
        </is>
      </c>
      <c r="I16" s="17" t="n">
        <v>0.366507</v>
      </c>
      <c r="J16" s="17" t="n">
        <v>0.485868</v>
      </c>
      <c r="K16" s="17" t="n">
        <v>0.006726999999999999</v>
      </c>
      <c r="L16" s="17" t="n">
        <v>0.081784</v>
      </c>
      <c r="M16" s="17" t="n">
        <v>0.002253</v>
      </c>
      <c r="N16" s="17" t="n">
        <v>0.001036</v>
      </c>
      <c r="O16" s="17" t="n">
        <v>0.9441759999999999</v>
      </c>
    </row>
    <row r="17">
      <c r="A17" s="5" t="inlineStr">
        <is>
          <t>CITGO_LEMONT</t>
        </is>
      </c>
      <c r="B17" s="5" t="inlineStr">
        <is>
          <t>Citgo Lemont</t>
        </is>
      </c>
      <c r="C17" s="5" t="inlineStr">
        <is>
          <t>PDVSA</t>
        </is>
      </c>
      <c r="D17" s="5" t="n">
        <v>2</v>
      </c>
      <c r="E17" s="5" t="inlineStr">
        <is>
          <t>Illinois</t>
        </is>
      </c>
      <c r="F17" s="5" t="inlineStr">
        <is>
          <t>Lemont</t>
        </is>
      </c>
      <c r="G17" s="14" t="n">
        <v>194.12</v>
      </c>
      <c r="H17" s="5" t="inlineStr">
        <is>
          <t>operating</t>
        </is>
      </c>
      <c r="I17" s="17" t="n">
        <v>0.299464</v>
      </c>
      <c r="J17" s="17" t="n">
        <v>0.5076160000000001</v>
      </c>
      <c r="K17" s="17" t="n">
        <v>0.0008100000000000001</v>
      </c>
      <c r="L17" s="17" t="n">
        <v>0.130942</v>
      </c>
      <c r="M17" s="17" t="n">
        <v>0.002889</v>
      </c>
      <c r="N17" s="17" t="n">
        <v>0.00595</v>
      </c>
      <c r="O17" s="17" t="n">
        <v>0.9476720000000001</v>
      </c>
    </row>
    <row r="18">
      <c r="A18" s="5" t="inlineStr">
        <is>
          <t>CENOVUS_LIMA</t>
        </is>
      </c>
      <c r="B18" s="5" t="inlineStr">
        <is>
          <t>Cenovus Lima</t>
        </is>
      </c>
      <c r="C18" s="5" t="inlineStr">
        <is>
          <t>Cenovus</t>
        </is>
      </c>
      <c r="D18" s="5" t="n">
        <v>2</v>
      </c>
      <c r="E18" s="5" t="inlineStr">
        <is>
          <t>Ohio</t>
        </is>
      </c>
      <c r="F18" s="5" t="inlineStr">
        <is>
          <t>Lima</t>
        </is>
      </c>
      <c r="G18" s="14" t="n">
        <v>185</v>
      </c>
      <c r="H18" s="5" t="inlineStr">
        <is>
          <t>operating</t>
        </is>
      </c>
      <c r="I18" s="17" t="n">
        <v>0.208956</v>
      </c>
      <c r="J18" s="17" t="n">
        <v>0.567905</v>
      </c>
      <c r="K18" s="17" t="n">
        <v>0.001856</v>
      </c>
      <c r="L18" s="17" t="n">
        <v>0.167952</v>
      </c>
      <c r="M18" s="17" t="n">
        <v>0.007396000000000001</v>
      </c>
      <c r="N18" s="17" t="n">
        <v>0.005404</v>
      </c>
      <c r="O18" s="17" t="n">
        <v>0.959469</v>
      </c>
    </row>
    <row r="19">
      <c r="A19" s="5" t="inlineStr">
        <is>
          <t>PBF_TOLEDO</t>
        </is>
      </c>
      <c r="B19" s="5" t="inlineStr">
        <is>
          <t>PBF Energy Company LLC Toledo</t>
        </is>
      </c>
      <c r="C19" s="5" t="inlineStr">
        <is>
          <t>PBF Energy Company LLC</t>
        </is>
      </c>
      <c r="D19" s="5" t="n">
        <v>2</v>
      </c>
      <c r="E19" s="5" t="inlineStr">
        <is>
          <t>Ohio</t>
        </is>
      </c>
      <c r="F19" s="5" t="inlineStr">
        <is>
          <t>Toledo</t>
        </is>
      </c>
      <c r="G19" s="14" t="n">
        <v>180</v>
      </c>
      <c r="H19" s="5" t="inlineStr">
        <is>
          <t>operating</t>
        </is>
      </c>
      <c r="I19" s="17" t="n">
        <v>0.227272</v>
      </c>
      <c r="J19" s="17" t="n">
        <v>0.554835</v>
      </c>
      <c r="K19" s="17" t="n">
        <v>0.003474</v>
      </c>
      <c r="L19" s="17" t="n">
        <v>0.181237</v>
      </c>
      <c r="M19" s="17" t="n">
        <v>0.008708</v>
      </c>
      <c r="N19" s="17" t="n">
        <v>0.003831</v>
      </c>
      <c r="O19" s="17" t="n">
        <v>0.9793569999999999</v>
      </c>
    </row>
    <row r="20">
      <c r="A20" s="5" t="inlineStr">
        <is>
          <t>VALERO_MEMPHIS</t>
        </is>
      </c>
      <c r="B20" s="5" t="inlineStr">
        <is>
          <t>Valero Memphis</t>
        </is>
      </c>
      <c r="C20" s="5" t="inlineStr">
        <is>
          <t>Valero</t>
        </is>
      </c>
      <c r="D20" s="5" t="n">
        <v>2</v>
      </c>
      <c r="E20" s="5" t="inlineStr">
        <is>
          <t>Tennessee</t>
        </is>
      </c>
      <c r="F20" s="5" t="inlineStr">
        <is>
          <t>Memphis</t>
        </is>
      </c>
      <c r="G20" s="14" t="n">
        <v>180</v>
      </c>
      <c r="H20" s="5" t="inlineStr">
        <is>
          <t>operating</t>
        </is>
      </c>
      <c r="I20" s="17" t="n">
        <v>0.5403629999999999</v>
      </c>
      <c r="J20" s="17" t="n">
        <v>0.426441</v>
      </c>
      <c r="K20" s="17" t="n">
        <v>0.000731</v>
      </c>
      <c r="L20" s="17" t="n">
        <v>0</v>
      </c>
      <c r="M20" s="17" t="n">
        <v>0.00437</v>
      </c>
      <c r="N20" s="17" t="n">
        <v>0.003239</v>
      </c>
      <c r="O20" s="17" t="n">
        <v>0.9751430000000001</v>
      </c>
    </row>
    <row r="21">
      <c r="A21" s="5" t="inlineStr">
        <is>
          <t>CENOVUS_TOLEDO</t>
        </is>
      </c>
      <c r="B21" s="5" t="inlineStr">
        <is>
          <t>Cenovus Toledo</t>
        </is>
      </c>
      <c r="C21" s="5" t="inlineStr">
        <is>
          <t>Cenovus</t>
        </is>
      </c>
      <c r="D21" s="5" t="n">
        <v>2</v>
      </c>
      <c r="E21" s="5" t="inlineStr">
        <is>
          <t>Ohio</t>
        </is>
      </c>
      <c r="F21" s="5" t="inlineStr">
        <is>
          <t>Toledo</t>
        </is>
      </c>
      <c r="G21" s="14" t="n">
        <v>160</v>
      </c>
      <c r="H21" s="5" t="inlineStr">
        <is>
          <t>operating</t>
        </is>
      </c>
      <c r="I21" s="17" t="n">
        <v>0.037569</v>
      </c>
      <c r="J21" s="17" t="n">
        <v>0.75274</v>
      </c>
      <c r="K21" s="17" t="n">
        <v>0.016172</v>
      </c>
      <c r="L21" s="17" t="n">
        <v>0.107308</v>
      </c>
      <c r="M21" s="17" t="n">
        <v>0.008028</v>
      </c>
      <c r="N21" s="17" t="n">
        <v>0.002121</v>
      </c>
      <c r="O21" s="17" t="n">
        <v>0.9239360000000001</v>
      </c>
    </row>
    <row r="22">
      <c r="A22" s="5" t="inlineStr">
        <is>
          <t>MARATHON_DETROIT</t>
        </is>
      </c>
      <c r="B22" s="5" t="inlineStr">
        <is>
          <t>Marathon Petroleum Detroit</t>
        </is>
      </c>
      <c r="C22" s="5" t="inlineStr">
        <is>
          <t>Marathon Petroleum</t>
        </is>
      </c>
      <c r="D22" s="5" t="n">
        <v>2</v>
      </c>
      <c r="E22" s="5" t="inlineStr">
        <is>
          <t>Michigan</t>
        </is>
      </c>
      <c r="F22" s="5" t="inlineStr">
        <is>
          <t>Detroit</t>
        </is>
      </c>
      <c r="G22" s="14" t="n">
        <v>140</v>
      </c>
      <c r="H22" s="5" t="inlineStr">
        <is>
          <t>operating</t>
        </is>
      </c>
      <c r="I22" s="17" t="n">
        <v>0.340967</v>
      </c>
      <c r="J22" s="17" t="n">
        <v>0.490704</v>
      </c>
      <c r="K22" s="17" t="n">
        <v>0.007616</v>
      </c>
      <c r="L22" s="17" t="n">
        <v>0.010936</v>
      </c>
      <c r="M22" s="17" t="n">
        <v>0.011926</v>
      </c>
      <c r="N22" s="17" t="n">
        <v>0.001459</v>
      </c>
      <c r="O22" s="17" t="n">
        <v>0.86361</v>
      </c>
    </row>
    <row r="23">
      <c r="A23" s="5" t="inlineStr">
        <is>
          <t>HF_EL_DORADO_KS</t>
        </is>
      </c>
      <c r="B23" s="5" t="inlineStr">
        <is>
          <t>HF Sinclair El Dorado (KS)</t>
        </is>
      </c>
      <c r="C23" s="5" t="inlineStr">
        <is>
          <t>HF Sinclair</t>
        </is>
      </c>
      <c r="D23" s="5" t="n">
        <v>2</v>
      </c>
      <c r="E23" s="5" t="inlineStr">
        <is>
          <t>Kansas</t>
        </is>
      </c>
      <c r="F23" s="5" t="inlineStr">
        <is>
          <t>El Dorado (KS)</t>
        </is>
      </c>
      <c r="G23" s="14" t="n">
        <v>135</v>
      </c>
      <c r="H23" s="5" t="inlineStr">
        <is>
          <t>operating</t>
        </is>
      </c>
      <c r="I23" s="17" t="n">
        <v>0.212953</v>
      </c>
      <c r="J23" s="17" t="n">
        <v>0.673224</v>
      </c>
      <c r="K23" s="17" t="n">
        <v>0.01426</v>
      </c>
      <c r="L23" s="17" t="n">
        <v>0.048543</v>
      </c>
      <c r="M23" s="17" t="n">
        <v>0.006962</v>
      </c>
      <c r="N23" s="17" t="n">
        <v>0.003144</v>
      </c>
      <c r="O23" s="17" t="n">
        <v>0.9590879999999999</v>
      </c>
    </row>
    <row r="24">
      <c r="A24" s="5" t="inlineStr">
        <is>
          <t>CVR_COFFEYVILLE</t>
        </is>
      </c>
      <c r="B24" s="5" t="inlineStr">
        <is>
          <t>CVR Energy Coffeyville</t>
        </is>
      </c>
      <c r="C24" s="5" t="inlineStr">
        <is>
          <t>Icahn Enterprises (80%) / Other Investors (20%)</t>
        </is>
      </c>
      <c r="D24" s="5" t="n">
        <v>2</v>
      </c>
      <c r="E24" s="5" t="inlineStr">
        <is>
          <t>Kansas</t>
        </is>
      </c>
      <c r="F24" s="5" t="inlineStr">
        <is>
          <t>Coffeyville</t>
        </is>
      </c>
      <c r="G24" s="14" t="n">
        <v>132</v>
      </c>
      <c r="H24" s="5" t="inlineStr">
        <is>
          <t>operating</t>
        </is>
      </c>
      <c r="I24" s="17" t="n">
        <v>0.315972</v>
      </c>
      <c r="J24" s="17" t="n">
        <v>0.379308</v>
      </c>
      <c r="K24" s="17" t="n">
        <v>0.001787</v>
      </c>
      <c r="L24" s="17" t="n">
        <v>0.06864099999999999</v>
      </c>
      <c r="M24" s="17" t="n">
        <v>0.003074</v>
      </c>
      <c r="N24" s="17" t="n">
        <v>0.001004</v>
      </c>
      <c r="O24" s="17" t="n">
        <v>0.769787</v>
      </c>
    </row>
    <row r="25">
      <c r="A25" s="5" t="inlineStr">
        <is>
          <t>HF_TULSA</t>
        </is>
      </c>
      <c r="B25" s="5" t="inlineStr">
        <is>
          <t>HF Sinclair Tulsa</t>
        </is>
      </c>
      <c r="C25" s="5" t="inlineStr">
        <is>
          <t>HF Sinclair</t>
        </is>
      </c>
      <c r="D25" s="5" t="n">
        <v>2</v>
      </c>
      <c r="E25" s="5" t="inlineStr">
        <is>
          <t>Oklahoma</t>
        </is>
      </c>
      <c r="F25" s="5" t="inlineStr">
        <is>
          <t>Tulsa</t>
        </is>
      </c>
      <c r="G25" s="14" t="n">
        <v>125</v>
      </c>
      <c r="H25" s="5" t="inlineStr">
        <is>
          <t>operating</t>
        </is>
      </c>
      <c r="I25" s="17" t="n">
        <v>0.509566</v>
      </c>
      <c r="J25" s="17" t="n">
        <v>0.302954</v>
      </c>
      <c r="K25" s="17" t="n">
        <v>0.003985</v>
      </c>
      <c r="L25" s="17" t="n">
        <v>0.056125</v>
      </c>
      <c r="M25" s="17" t="n">
        <v>0.004819</v>
      </c>
      <c r="N25" s="17" t="n">
        <v>0.014038</v>
      </c>
      <c r="O25" s="17" t="n">
        <v>0.891486</v>
      </c>
    </row>
    <row r="26">
      <c r="A26" s="5" t="inlineStr">
        <is>
          <t>NCRA_MCPHERSON</t>
        </is>
      </c>
      <c r="B26" s="5" t="inlineStr">
        <is>
          <t>NCRA McPherson</t>
        </is>
      </c>
      <c r="C26" s="5" t="inlineStr">
        <is>
          <t>CHS</t>
        </is>
      </c>
      <c r="D26" s="5" t="n">
        <v>2</v>
      </c>
      <c r="E26" s="5" t="inlineStr">
        <is>
          <t>Kansas</t>
        </is>
      </c>
      <c r="F26" s="5" t="inlineStr">
        <is>
          <t>McPherson</t>
        </is>
      </c>
      <c r="G26" s="14" t="n">
        <v>117.1</v>
      </c>
      <c r="H26" s="5" t="inlineStr">
        <is>
          <t>operating</t>
        </is>
      </c>
      <c r="I26" s="17" t="n">
        <v>0.266878</v>
      </c>
      <c r="J26" s="17" t="n">
        <v>0.567835</v>
      </c>
      <c r="K26" s="17" t="n">
        <v>0.004981999999999999</v>
      </c>
      <c r="L26" s="17" t="n">
        <v>0.121657</v>
      </c>
      <c r="M26" s="17" t="n">
        <v>0.004316</v>
      </c>
      <c r="N26" s="17" t="n">
        <v>0.002883</v>
      </c>
      <c r="O26" s="17" t="n">
        <v>0.968549</v>
      </c>
    </row>
    <row r="27">
      <c r="A27" s="5" t="inlineStr">
        <is>
          <t>MARATHON_SAINT_PAUL_PARK</t>
        </is>
      </c>
      <c r="B27" s="5" t="inlineStr">
        <is>
          <t>Marathon Petroleum Saint Paul Park</t>
        </is>
      </c>
      <c r="C27" s="5" t="inlineStr">
        <is>
          <t>Marathon Petroleum</t>
        </is>
      </c>
      <c r="D27" s="5" t="n">
        <v>2</v>
      </c>
      <c r="E27" s="5" t="inlineStr">
        <is>
          <t>Minnesota</t>
        </is>
      </c>
      <c r="F27" s="5" t="inlineStr">
        <is>
          <t>Saint Paul Park</t>
        </is>
      </c>
      <c r="G27" s="14" t="n">
        <v>111</v>
      </c>
      <c r="H27" s="5" t="inlineStr">
        <is>
          <t>operating</t>
        </is>
      </c>
      <c r="I27" s="17" t="n">
        <v>0.2093</v>
      </c>
      <c r="J27" s="17" t="n">
        <v>0.545693</v>
      </c>
      <c r="K27" s="17" t="n">
        <v>0.011134</v>
      </c>
      <c r="L27" s="17" t="n">
        <v>0.127933</v>
      </c>
      <c r="M27" s="17" t="n">
        <v>0.007335</v>
      </c>
      <c r="N27" s="17" t="n">
        <v>0.000164</v>
      </c>
      <c r="O27" s="17" t="n">
        <v>0.90156</v>
      </c>
    </row>
    <row r="28">
      <c r="A28" s="5" t="inlineStr">
        <is>
          <t>MARATHON_CANTON</t>
        </is>
      </c>
      <c r="B28" s="5" t="inlineStr">
        <is>
          <t>Marathon Petroleum Canton</t>
        </is>
      </c>
      <c r="C28" s="5" t="inlineStr">
        <is>
          <t>Marathon Petroleum</t>
        </is>
      </c>
      <c r="D28" s="5" t="n">
        <v>2</v>
      </c>
      <c r="E28" s="5" t="inlineStr">
        <is>
          <t>Ohio</t>
        </is>
      </c>
      <c r="F28" s="5" t="inlineStr">
        <is>
          <t>Canton</t>
        </is>
      </c>
      <c r="G28" s="14" t="n">
        <v>100</v>
      </c>
      <c r="H28" s="5" t="inlineStr">
        <is>
          <t>operating</t>
        </is>
      </c>
      <c r="I28" s="17" t="n">
        <v>0.473389</v>
      </c>
      <c r="J28" s="17" t="n">
        <v>0.40001</v>
      </c>
      <c r="K28" s="17" t="n">
        <v>0.001688</v>
      </c>
      <c r="L28" s="17" t="n">
        <v>0.020935</v>
      </c>
      <c r="M28" s="17" t="n">
        <v>0.002659</v>
      </c>
      <c r="N28" s="17" t="n">
        <v>0.004758</v>
      </c>
      <c r="O28" s="17" t="n">
        <v>0.9034399999999999</v>
      </c>
    </row>
    <row r="29">
      <c r="A29" s="5" t="inlineStr">
        <is>
          <t>VALERO_ARDMORE</t>
        </is>
      </c>
      <c r="B29" s="5" t="inlineStr">
        <is>
          <t>Valero Ardmore</t>
        </is>
      </c>
      <c r="C29" s="5" t="inlineStr">
        <is>
          <t>Valero</t>
        </is>
      </c>
      <c r="D29" s="5" t="n">
        <v>2</v>
      </c>
      <c r="E29" s="5" t="inlineStr">
        <is>
          <t>Oklahoma</t>
        </is>
      </c>
      <c r="F29" s="5" t="inlineStr">
        <is>
          <t>Ardmore</t>
        </is>
      </c>
      <c r="G29" s="14" t="n">
        <v>86</v>
      </c>
      <c r="H29" s="5" t="inlineStr">
        <is>
          <t>operating</t>
        </is>
      </c>
      <c r="I29" s="17" t="n">
        <v>0.492831</v>
      </c>
      <c r="J29" s="17" t="n">
        <v>0.421308</v>
      </c>
      <c r="K29" s="17" t="n">
        <v>0.006997</v>
      </c>
      <c r="L29" s="17" t="n">
        <v>0</v>
      </c>
      <c r="M29" s="17" t="n">
        <v>9.8e-05</v>
      </c>
      <c r="N29" s="17" t="n">
        <v>0.000158</v>
      </c>
      <c r="O29" s="17" t="n">
        <v>0.921392</v>
      </c>
    </row>
    <row r="30">
      <c r="A30" s="5" t="inlineStr">
        <is>
          <t>MARATHON_MANDAN</t>
        </is>
      </c>
      <c r="B30" s="5" t="inlineStr">
        <is>
          <t>Marathon Petroleum Mandan</t>
        </is>
      </c>
      <c r="C30" s="5" t="inlineStr">
        <is>
          <t>Marathon Petroleum</t>
        </is>
      </c>
      <c r="D30" s="5" t="n">
        <v>2</v>
      </c>
      <c r="E30" s="5" t="inlineStr">
        <is>
          <t>North Dakota</t>
        </is>
      </c>
      <c r="F30" s="5" t="inlineStr">
        <is>
          <t>Mandan</t>
        </is>
      </c>
      <c r="G30" s="14" t="n">
        <v>75.5</v>
      </c>
      <c r="H30" s="5" t="inlineStr">
        <is>
          <t>operating</t>
        </is>
      </c>
      <c r="I30" s="17" t="n">
        <v>0.439423</v>
      </c>
      <c r="J30" s="17" t="n">
        <v>0.42772</v>
      </c>
      <c r="K30" s="17" t="n">
        <v>0.011106</v>
      </c>
      <c r="L30" s="17" t="n">
        <v>0.070643</v>
      </c>
      <c r="M30" s="17" t="n">
        <v>0.003674</v>
      </c>
      <c r="N30" s="17" t="n">
        <v>0.00416</v>
      </c>
      <c r="O30" s="17" t="n">
        <v>0.9567260000000001</v>
      </c>
    </row>
    <row r="31">
      <c r="A31" s="5" t="inlineStr">
        <is>
          <t>CVR_WYNNEWOOD</t>
        </is>
      </c>
      <c r="B31" s="5" t="inlineStr">
        <is>
          <t>CVR Energy Wynnewood</t>
        </is>
      </c>
      <c r="C31" s="5" t="inlineStr">
        <is>
          <t>Icahn Enterprises (80%) / Other Investors (20%)</t>
        </is>
      </c>
      <c r="D31" s="5" t="n">
        <v>2</v>
      </c>
      <c r="E31" s="5" t="inlineStr">
        <is>
          <t>Oklahoma</t>
        </is>
      </c>
      <c r="F31" s="5" t="inlineStr">
        <is>
          <t>Wynnewood</t>
        </is>
      </c>
      <c r="G31" s="14" t="n">
        <v>75</v>
      </c>
      <c r="H31" s="5" t="inlineStr">
        <is>
          <t>operating</t>
        </is>
      </c>
      <c r="I31" s="17" t="n">
        <v>0.17764</v>
      </c>
      <c r="J31" s="17" t="n">
        <v>0.415458</v>
      </c>
      <c r="K31" s="17" t="n">
        <v>0.003776</v>
      </c>
      <c r="L31" s="17" t="n">
        <v>0.150803</v>
      </c>
      <c r="M31" s="17" t="n">
        <v>0.004015</v>
      </c>
      <c r="N31" s="17" t="n">
        <v>0.002848</v>
      </c>
      <c r="O31" s="17" t="n">
        <v>0.75454</v>
      </c>
    </row>
    <row r="32">
      <c r="A32" s="5" t="inlineStr">
        <is>
          <t>CENOVUS_SUPERIOR</t>
        </is>
      </c>
      <c r="B32" s="5" t="inlineStr">
        <is>
          <t>Cenovus Superior</t>
        </is>
      </c>
      <c r="C32" s="5" t="inlineStr">
        <is>
          <t>Cenovus</t>
        </is>
      </c>
      <c r="D32" s="5" t="n">
        <v>2</v>
      </c>
      <c r="E32" s="5" t="inlineStr">
        <is>
          <t>Wisconsin</t>
        </is>
      </c>
      <c r="F32" s="5" t="inlineStr">
        <is>
          <t>Superior</t>
        </is>
      </c>
      <c r="G32" s="14" t="n">
        <v>50</v>
      </c>
      <c r="H32" s="5" t="inlineStr">
        <is>
          <t>operating</t>
        </is>
      </c>
      <c r="I32" s="17" t="n">
        <v>0.258986</v>
      </c>
      <c r="J32" s="17" t="n">
        <v>0.389313</v>
      </c>
      <c r="K32" s="17" t="n">
        <v>0.007497</v>
      </c>
      <c r="L32" s="17" t="n">
        <v>0.148205</v>
      </c>
      <c r="M32" s="17" t="n">
        <v>0.006697999999999999</v>
      </c>
      <c r="N32" s="17" t="n">
        <v>0.002883</v>
      </c>
      <c r="O32" s="17" t="n">
        <v>0.8135819999999999</v>
      </c>
    </row>
    <row r="33">
      <c r="A33" s="5" t="inlineStr">
        <is>
          <t>COUNTRYMARK_MOUNT_VERNON</t>
        </is>
      </c>
      <c r="B33" s="5" t="inlineStr">
        <is>
          <t>Countrymark Cooperative Inc. Mount Vernon</t>
        </is>
      </c>
      <c r="C33" s="5" t="inlineStr">
        <is>
          <t>Countrymark Cooperative Inc.</t>
        </is>
      </c>
      <c r="D33" s="5" t="n">
        <v>2</v>
      </c>
      <c r="E33" s="5" t="inlineStr">
        <is>
          <t>Indiana</t>
        </is>
      </c>
      <c r="F33" s="5" t="inlineStr">
        <is>
          <t>Mount Vernon</t>
        </is>
      </c>
      <c r="G33" s="14" t="n">
        <v>30.8</v>
      </c>
      <c r="H33" s="5" t="inlineStr">
        <is>
          <t>operating</t>
        </is>
      </c>
      <c r="I33" s="17" t="n">
        <v>0.275814</v>
      </c>
      <c r="J33" s="17" t="n">
        <v>0.469008</v>
      </c>
      <c r="K33" s="17" t="n">
        <v>0.001351</v>
      </c>
      <c r="L33" s="17" t="n">
        <v>0.150118</v>
      </c>
      <c r="M33" s="17" t="n">
        <v>0.002167</v>
      </c>
      <c r="N33" s="17" t="n">
        <v>0.000118</v>
      </c>
      <c r="O33" s="17" t="n">
        <v>0.898573</v>
      </c>
    </row>
    <row r="34">
      <c r="A34" s="5" t="inlineStr">
        <is>
          <t>SOMERSET_SOMERSET</t>
        </is>
      </c>
      <c r="B34" s="5" t="inlineStr">
        <is>
          <t>Somerset Refinery Somerset</t>
        </is>
      </c>
      <c r="C34" s="5" t="inlineStr">
        <is>
          <t>Continental Refining Company</t>
        </is>
      </c>
      <c r="D34" s="5" t="n">
        <v>2</v>
      </c>
      <c r="E34" s="5" t="inlineStr">
        <is>
          <t>Kentucky</t>
        </is>
      </c>
      <c r="F34" s="5" t="inlineStr">
        <is>
          <t>Somerset</t>
        </is>
      </c>
      <c r="G34" s="14" t="n">
        <v>0</v>
      </c>
      <c r="H34" s="5" t="inlineStr">
        <is>
          <t>shut</t>
        </is>
      </c>
      <c r="I34" s="17" t="n">
        <v>0.349199</v>
      </c>
      <c r="J34" s="17" t="n">
        <v>0.451466</v>
      </c>
      <c r="K34" s="17" t="n">
        <v>0.025532</v>
      </c>
      <c r="L34" s="17" t="n">
        <v>0.083103</v>
      </c>
      <c r="M34" s="17" t="n">
        <v>0.007549</v>
      </c>
      <c r="N34" s="17" t="n">
        <v>0.002096</v>
      </c>
      <c r="O34" s="17" t="n">
        <v>0.9189449999999999</v>
      </c>
    </row>
    <row r="35">
      <c r="A35" s="5" t="inlineStr">
        <is>
          <t>MPC_GALV_BAY</t>
        </is>
      </c>
      <c r="B35" s="5" t="inlineStr">
        <is>
          <t>Galveston Bay Refinery</t>
        </is>
      </c>
      <c r="C35" s="5" t="inlineStr">
        <is>
          <t>Marathon Petroleum</t>
        </is>
      </c>
      <c r="D35" s="5" t="n">
        <v>3</v>
      </c>
      <c r="E35" s="5" t="inlineStr">
        <is>
          <t>TX</t>
        </is>
      </c>
      <c r="F35" s="5" t="inlineStr">
        <is>
          <t>Texas City</t>
        </is>
      </c>
      <c r="G35" s="14" t="n">
        <v>665</v>
      </c>
      <c r="H35" s="5" t="inlineStr">
        <is>
          <t>operating</t>
        </is>
      </c>
      <c r="I35" s="17" t="n">
        <v>0.221018</v>
      </c>
      <c r="J35" s="17" t="n">
        <v>0.588114</v>
      </c>
      <c r="K35" s="17" t="n">
        <v>0.017278</v>
      </c>
      <c r="L35" s="17" t="n">
        <v>0.09565</v>
      </c>
      <c r="M35" s="17" t="n">
        <v>-0.012318</v>
      </c>
      <c r="N35" s="17" t="n">
        <v>0.003629</v>
      </c>
      <c r="O35" s="17" t="n">
        <v>0.913371</v>
      </c>
    </row>
    <row r="36">
      <c r="A36" s="5" t="inlineStr">
        <is>
          <t>MOTIVA_PAR</t>
        </is>
      </c>
      <c r="B36" s="5" t="inlineStr">
        <is>
          <t>Motiva Port Arthur</t>
        </is>
      </c>
      <c r="C36" s="5" t="inlineStr">
        <is>
          <t>Saudi Aramco</t>
        </is>
      </c>
      <c r="D36" s="5" t="n">
        <v>3</v>
      </c>
      <c r="E36" s="5" t="inlineStr">
        <is>
          <t>TX</t>
        </is>
      </c>
      <c r="F36" s="5" t="inlineStr">
        <is>
          <t>Port Arthur</t>
        </is>
      </c>
      <c r="G36" s="14" t="n">
        <v>639.7</v>
      </c>
      <c r="H36" s="5" t="inlineStr">
        <is>
          <t>operating</t>
        </is>
      </c>
      <c r="I36" s="17" t="n">
        <v>0.271759</v>
      </c>
      <c r="J36" s="17" t="n">
        <v>0.398699</v>
      </c>
      <c r="K36" s="17" t="n">
        <v>0.003444</v>
      </c>
      <c r="L36" s="17" t="n">
        <v>0.115527</v>
      </c>
      <c r="M36" s="17" t="n">
        <v>0.017008</v>
      </c>
      <c r="N36" s="17" t="n">
        <v>0.000361</v>
      </c>
      <c r="O36" s="17" t="n">
        <v>0.806798</v>
      </c>
    </row>
    <row r="37">
      <c r="A37" s="5" t="inlineStr">
        <is>
          <t>EXXONMOBIL_BEAUMONT</t>
        </is>
      </c>
      <c r="B37" s="5" t="inlineStr">
        <is>
          <t>ExxonMobil Beaumont</t>
        </is>
      </c>
      <c r="C37" s="5" t="inlineStr">
        <is>
          <t>ExxonMobil</t>
        </is>
      </c>
      <c r="D37" s="5" t="n">
        <v>3</v>
      </c>
      <c r="E37" s="5" t="inlineStr">
        <is>
          <t>Texas</t>
        </is>
      </c>
      <c r="F37" s="5" t="inlineStr">
        <is>
          <t>Beaumont</t>
        </is>
      </c>
      <c r="G37" s="14" t="n">
        <v>634.4</v>
      </c>
      <c r="H37" s="5" t="inlineStr">
        <is>
          <t>operating</t>
        </is>
      </c>
      <c r="I37" s="17" t="n">
        <v>0.238924</v>
      </c>
      <c r="J37" s="17" t="n">
        <v>0.384458</v>
      </c>
      <c r="K37" s="17" t="n">
        <v>0.069187</v>
      </c>
      <c r="L37" s="17" t="n">
        <v>0.204725</v>
      </c>
      <c r="M37" s="17" t="n">
        <v>0.017905</v>
      </c>
      <c r="N37" s="17" t="n">
        <v>0.017309</v>
      </c>
      <c r="O37" s="17" t="n">
        <v>0.932508</v>
      </c>
    </row>
    <row r="38">
      <c r="A38" s="5" t="inlineStr">
        <is>
          <t>MARATHON_GARYVILLE</t>
        </is>
      </c>
      <c r="B38" s="5" t="inlineStr">
        <is>
          <t>Marathon Petroleum Garyville</t>
        </is>
      </c>
      <c r="C38" s="5" t="inlineStr">
        <is>
          <t>Marathon Petroleum</t>
        </is>
      </c>
      <c r="D38" s="5" t="n">
        <v>3</v>
      </c>
      <c r="E38" s="5" t="inlineStr">
        <is>
          <t>Louisiana</t>
        </is>
      </c>
      <c r="F38" s="5" t="inlineStr">
        <is>
          <t>Garyville</t>
        </is>
      </c>
      <c r="G38" s="14" t="n">
        <v>628</v>
      </c>
      <c r="H38" s="5" t="inlineStr">
        <is>
          <t>operating</t>
        </is>
      </c>
      <c r="I38" s="17" t="n">
        <v>0.458336</v>
      </c>
      <c r="J38" s="17" t="n">
        <v>0.491212</v>
      </c>
      <c r="K38" s="17" t="n">
        <v>0.003555</v>
      </c>
      <c r="L38" s="17" t="n">
        <v>0</v>
      </c>
      <c r="M38" s="17" t="n">
        <v>0.029851</v>
      </c>
      <c r="N38" s="17" t="n">
        <v>0.001977</v>
      </c>
      <c r="O38" s="17" t="n">
        <v>0.98493</v>
      </c>
    </row>
    <row r="39">
      <c r="A39" s="5" t="inlineStr">
        <is>
          <t>XOM_BAYTOWN</t>
        </is>
      </c>
      <c r="B39" s="5" t="inlineStr">
        <is>
          <t>ExxonMobil Baytown</t>
        </is>
      </c>
      <c r="C39" s="5" t="inlineStr">
        <is>
          <t>ExxonMobil</t>
        </is>
      </c>
      <c r="D39" s="5" t="n">
        <v>3</v>
      </c>
      <c r="E39" s="5" t="inlineStr">
        <is>
          <t>TX</t>
        </is>
      </c>
      <c r="F39" s="5" t="inlineStr">
        <is>
          <t>Baytown</t>
        </is>
      </c>
      <c r="G39" s="14" t="n">
        <v>580.2</v>
      </c>
      <c r="H39" s="5" t="inlineStr">
        <is>
          <t>operating</t>
        </is>
      </c>
      <c r="I39" s="17" t="n">
        <v>0.302334</v>
      </c>
      <c r="J39" s="17" t="n">
        <v>0.5320940000000001</v>
      </c>
      <c r="K39" s="17" t="n">
        <v>0.003543</v>
      </c>
      <c r="L39" s="17" t="n">
        <v>0.052782</v>
      </c>
      <c r="M39" s="17" t="n">
        <v>0.025773</v>
      </c>
      <c r="N39" s="17" t="n">
        <v>0.005712</v>
      </c>
      <c r="O39" s="17" t="n">
        <v>0.922239</v>
      </c>
    </row>
    <row r="40">
      <c r="A40" s="5" t="inlineStr">
        <is>
          <t>EXXONMOBIL_BATON_ROUGE</t>
        </is>
      </c>
      <c r="B40" s="5" t="inlineStr">
        <is>
          <t>ExxonMobil Baton Rouge</t>
        </is>
      </c>
      <c r="C40" s="5" t="inlineStr">
        <is>
          <t>ExxonMobil</t>
        </is>
      </c>
      <c r="D40" s="5" t="n">
        <v>3</v>
      </c>
      <c r="E40" s="5" t="inlineStr">
        <is>
          <t>Louisiana</t>
        </is>
      </c>
      <c r="F40" s="5" t="inlineStr">
        <is>
          <t>Baton Rouge</t>
        </is>
      </c>
      <c r="G40" s="14" t="n">
        <v>540.2</v>
      </c>
      <c r="H40" s="5" t="inlineStr">
        <is>
          <t>operating</t>
        </is>
      </c>
      <c r="I40" s="17" t="n">
        <v>0.2846</v>
      </c>
      <c r="J40" s="17" t="n">
        <v>0.568909</v>
      </c>
      <c r="K40" s="17" t="n">
        <v>0.00356</v>
      </c>
      <c r="L40" s="17" t="n">
        <v>0.108793</v>
      </c>
      <c r="M40" s="17" t="n">
        <v>0.026229</v>
      </c>
      <c r="N40" s="17" t="n">
        <v>0.009407</v>
      </c>
      <c r="O40" s="17" t="n">
        <v>1.001498</v>
      </c>
    </row>
    <row r="41">
      <c r="A41" s="5" t="inlineStr">
        <is>
          <t>CITGO_LAKE_CHARLES</t>
        </is>
      </c>
      <c r="B41" s="5" t="inlineStr">
        <is>
          <t>Citgo Lake Charles</t>
        </is>
      </c>
      <c r="C41" s="5" t="inlineStr">
        <is>
          <t>PDVSA</t>
        </is>
      </c>
      <c r="D41" s="5" t="n">
        <v>3</v>
      </c>
      <c r="E41" s="5" t="inlineStr">
        <is>
          <t>Louisiana</t>
        </is>
      </c>
      <c r="F41" s="5" t="inlineStr">
        <is>
          <t>Lake Charles</t>
        </is>
      </c>
      <c r="G41" s="14" t="n">
        <v>483</v>
      </c>
      <c r="H41" s="5" t="inlineStr">
        <is>
          <t>operating</t>
        </is>
      </c>
      <c r="I41" s="17" t="n">
        <v>0.222284</v>
      </c>
      <c r="J41" s="17" t="n">
        <v>0.476438</v>
      </c>
      <c r="K41" s="17" t="n">
        <v>0.003516</v>
      </c>
      <c r="L41" s="17" t="n">
        <v>0.221989</v>
      </c>
      <c r="M41" s="17" t="n">
        <v>0.023067</v>
      </c>
      <c r="N41" s="17" t="n">
        <v>0.006716</v>
      </c>
      <c r="O41" s="17" t="n">
        <v>0.9540099999999999</v>
      </c>
    </row>
    <row r="42">
      <c r="A42" s="5" t="inlineStr">
        <is>
          <t>VALERO_PORT_ARTHUR</t>
        </is>
      </c>
      <c r="B42" s="5" t="inlineStr">
        <is>
          <t>Valero Port Arthur</t>
        </is>
      </c>
      <c r="C42" s="5" t="inlineStr">
        <is>
          <t>Valero</t>
        </is>
      </c>
      <c r="D42" s="5" t="n">
        <v>3</v>
      </c>
      <c r="E42" s="5" t="inlineStr">
        <is>
          <t>Texas</t>
        </is>
      </c>
      <c r="F42" s="5" t="inlineStr">
        <is>
          <t>Port Arthur</t>
        </is>
      </c>
      <c r="G42" s="14" t="n">
        <v>435</v>
      </c>
      <c r="H42" s="5" t="inlineStr">
        <is>
          <t>operating</t>
        </is>
      </c>
      <c r="I42" s="17" t="n">
        <v>0.349707</v>
      </c>
      <c r="J42" s="17" t="n">
        <v>0.428718</v>
      </c>
      <c r="K42" s="17" t="n">
        <v>0.003681</v>
      </c>
      <c r="L42" s="17" t="n">
        <v>0.130599</v>
      </c>
      <c r="M42" s="17" t="n">
        <v>0.022231</v>
      </c>
      <c r="N42" s="17" t="n">
        <v>0.016109</v>
      </c>
      <c r="O42" s="17" t="n">
        <v>0.9510460000000001</v>
      </c>
    </row>
    <row r="43">
      <c r="A43" s="5" t="inlineStr">
        <is>
          <t>CHEVRON_PASCAGOULA</t>
        </is>
      </c>
      <c r="B43" s="5" t="inlineStr">
        <is>
          <t>Chevron Pascagoula</t>
        </is>
      </c>
      <c r="C43" s="5" t="inlineStr">
        <is>
          <t>Chevron</t>
        </is>
      </c>
      <c r="D43" s="5" t="n">
        <v>3</v>
      </c>
      <c r="E43" s="5" t="inlineStr">
        <is>
          <t>Mississippi</t>
        </is>
      </c>
      <c r="F43" s="5" t="inlineStr">
        <is>
          <t>Pascagoula</t>
        </is>
      </c>
      <c r="G43" s="14" t="n">
        <v>370</v>
      </c>
      <c r="H43" s="5" t="inlineStr">
        <is>
          <t>operating</t>
        </is>
      </c>
      <c r="I43" s="17" t="n">
        <v>0.287417</v>
      </c>
      <c r="J43" s="17" t="n">
        <v>0.418473</v>
      </c>
      <c r="K43" s="17" t="n">
        <v>0.003869</v>
      </c>
      <c r="L43" s="17" t="n">
        <v>0.185057</v>
      </c>
      <c r="M43" s="17" t="n">
        <v>0.025618</v>
      </c>
      <c r="N43" s="17" t="n">
        <v>0.029496</v>
      </c>
      <c r="O43" s="17" t="n">
        <v>0.9499299999999999</v>
      </c>
    </row>
    <row r="44">
      <c r="A44" s="5" t="inlineStr">
        <is>
          <t>PEMEX_DEER_PARK</t>
        </is>
      </c>
      <c r="B44" s="5" t="inlineStr">
        <is>
          <t>PEMEX Deer Park</t>
        </is>
      </c>
      <c r="C44" s="5" t="inlineStr">
        <is>
          <t>PEMEX</t>
        </is>
      </c>
      <c r="D44" s="5" t="n">
        <v>3</v>
      </c>
      <c r="E44" s="5" t="inlineStr">
        <is>
          <t>Texas</t>
        </is>
      </c>
      <c r="F44" s="5" t="inlineStr">
        <is>
          <t>Deer Park</t>
        </is>
      </c>
      <c r="G44" s="14" t="n">
        <v>340</v>
      </c>
      <c r="H44" s="5" t="inlineStr">
        <is>
          <t>operating</t>
        </is>
      </c>
      <c r="I44" s="17" t="n">
        <v>0.306532</v>
      </c>
      <c r="J44" s="17" t="n">
        <v>0.516228</v>
      </c>
      <c r="K44" s="17" t="n">
        <v>0.003653</v>
      </c>
      <c r="L44" s="17" t="n">
        <v>0.136363</v>
      </c>
      <c r="M44" s="17" t="n">
        <v>0.021048</v>
      </c>
      <c r="N44" s="17" t="n">
        <v>0.018313</v>
      </c>
      <c r="O44" s="17" t="n">
        <v>1.002137</v>
      </c>
    </row>
    <row r="45">
      <c r="A45" s="5" t="inlineStr">
        <is>
          <t>FLINT_CORPUS_CHRISTI</t>
        </is>
      </c>
      <c r="B45" s="5" t="inlineStr">
        <is>
          <t>Flint Hills Resources Corpus Christi</t>
        </is>
      </c>
      <c r="C45" s="5" t="inlineStr">
        <is>
          <t>Koch Industries</t>
        </is>
      </c>
      <c r="D45" s="5" t="n">
        <v>3</v>
      </c>
      <c r="E45" s="5" t="inlineStr">
        <is>
          <t>Texas</t>
        </is>
      </c>
      <c r="F45" s="5" t="inlineStr">
        <is>
          <t>Corpus Christi</t>
        </is>
      </c>
      <c r="G45" s="14" t="n">
        <v>330</v>
      </c>
      <c r="H45" s="5" t="inlineStr">
        <is>
          <t>operating</t>
        </is>
      </c>
      <c r="I45" s="17" t="n">
        <v>0.278743</v>
      </c>
      <c r="J45" s="17" t="n">
        <v>0.394957</v>
      </c>
      <c r="K45" s="17" t="n">
        <v>0.003838</v>
      </c>
      <c r="L45" s="17" t="n">
        <v>0.198456</v>
      </c>
      <c r="M45" s="17" t="n">
        <v>0.026986</v>
      </c>
      <c r="N45" s="17" t="n">
        <v>0.025336</v>
      </c>
      <c r="O45" s="17" t="n">
        <v>0.9283159999999999</v>
      </c>
    </row>
    <row r="46">
      <c r="A46" s="5" t="inlineStr">
        <is>
          <t>VALERO_CORPUS_CHRISTI</t>
        </is>
      </c>
      <c r="B46" s="5" t="inlineStr">
        <is>
          <t>Valero Corpus Christi</t>
        </is>
      </c>
      <c r="C46" s="5" t="inlineStr">
        <is>
          <t>Valero</t>
        </is>
      </c>
      <c r="D46" s="5" t="n">
        <v>3</v>
      </c>
      <c r="E46" s="5" t="inlineStr">
        <is>
          <t>Texas</t>
        </is>
      </c>
      <c r="F46" s="5" t="inlineStr">
        <is>
          <t>Corpus Christi</t>
        </is>
      </c>
      <c r="G46" s="14" t="n">
        <v>290</v>
      </c>
      <c r="H46" s="5" t="inlineStr">
        <is>
          <t>operating</t>
        </is>
      </c>
      <c r="I46" s="17" t="n">
        <v>0.263274</v>
      </c>
      <c r="J46" s="17" t="n">
        <v>0.575665</v>
      </c>
      <c r="K46" s="17" t="n">
        <v>0.001007</v>
      </c>
      <c r="L46" s="17" t="n">
        <v>0.143351</v>
      </c>
      <c r="M46" s="17" t="n">
        <v>0.001649</v>
      </c>
      <c r="N46" s="17" t="n">
        <v>0.007865</v>
      </c>
      <c r="O46" s="17" t="n">
        <v>0.992811</v>
      </c>
    </row>
    <row r="47">
      <c r="A47" s="5" t="inlineStr">
        <is>
          <t>PHILLIPS_WESTLAKE</t>
        </is>
      </c>
      <c r="B47" s="5" t="inlineStr">
        <is>
          <t>Phillips 66 Co. Westlake</t>
        </is>
      </c>
      <c r="C47" s="5" t="inlineStr">
        <is>
          <t>Phillips 66 Co.</t>
        </is>
      </c>
      <c r="D47" s="5" t="n">
        <v>3</v>
      </c>
      <c r="E47" s="5" t="inlineStr">
        <is>
          <t>Louisiana</t>
        </is>
      </c>
      <c r="F47" s="5" t="inlineStr">
        <is>
          <t>Westlake</t>
        </is>
      </c>
      <c r="G47" s="14" t="n">
        <v>281</v>
      </c>
      <c r="H47" s="5" t="inlineStr">
        <is>
          <t>operating</t>
        </is>
      </c>
      <c r="I47" s="17" t="n">
        <v>0.315462</v>
      </c>
      <c r="J47" s="17" t="n">
        <v>0.367467</v>
      </c>
      <c r="K47" s="17" t="n">
        <v>0.02545</v>
      </c>
      <c r="L47" s="17" t="n">
        <v>0.16352</v>
      </c>
      <c r="M47" s="17" t="n">
        <v>0.018966</v>
      </c>
      <c r="N47" s="17" t="n">
        <v>0.008149999999999999</v>
      </c>
      <c r="O47" s="17" t="n">
        <v>0.899015</v>
      </c>
    </row>
    <row r="48">
      <c r="A48" s="5" t="inlineStr">
        <is>
          <t>PHILLIPS_SWEENY</t>
        </is>
      </c>
      <c r="B48" s="5" t="inlineStr">
        <is>
          <t>Phillips 66 Co. Sweeny</t>
        </is>
      </c>
      <c r="C48" s="5" t="inlineStr">
        <is>
          <t>Phillips 66 Co.</t>
        </is>
      </c>
      <c r="D48" s="5" t="n">
        <v>3</v>
      </c>
      <c r="E48" s="5" t="inlineStr">
        <is>
          <t>Texas</t>
        </is>
      </c>
      <c r="F48" s="5" t="inlineStr">
        <is>
          <t>Sweeny</t>
        </is>
      </c>
      <c r="G48" s="14" t="n">
        <v>277.9</v>
      </c>
      <c r="H48" s="5" t="inlineStr">
        <is>
          <t>operating</t>
        </is>
      </c>
      <c r="I48" s="17" t="n">
        <v>0.364807</v>
      </c>
      <c r="J48" s="17" t="n">
        <v>0.515578</v>
      </c>
      <c r="K48" s="17" t="n">
        <v>0.00374</v>
      </c>
      <c r="L48" s="17" t="n">
        <v>0.063764</v>
      </c>
      <c r="M48" s="17" t="n">
        <v>0.033251</v>
      </c>
      <c r="N48" s="17" t="n">
        <v>0.017331</v>
      </c>
      <c r="O48" s="17" t="n">
        <v>0.99847</v>
      </c>
    </row>
    <row r="49">
      <c r="A49" s="5" t="inlineStr">
        <is>
          <t>VALERO_TEXAS_CITY</t>
        </is>
      </c>
      <c r="B49" s="5" t="inlineStr">
        <is>
          <t>Valero Texas City</t>
        </is>
      </c>
      <c r="C49" s="5" t="inlineStr">
        <is>
          <t>Valero</t>
        </is>
      </c>
      <c r="D49" s="5" t="n">
        <v>3</v>
      </c>
      <c r="E49" s="5" t="inlineStr">
        <is>
          <t>Texas</t>
        </is>
      </c>
      <c r="F49" s="5" t="inlineStr">
        <is>
          <t>Texas City</t>
        </is>
      </c>
      <c r="G49" s="14" t="n">
        <v>260</v>
      </c>
      <c r="H49" s="5" t="inlineStr">
        <is>
          <t>operating</t>
        </is>
      </c>
      <c r="I49" s="17" t="n">
        <v>0.40265</v>
      </c>
      <c r="J49" s="17" t="n">
        <v>0.446027</v>
      </c>
      <c r="K49" s="17" t="n">
        <v>0.003848</v>
      </c>
      <c r="L49" s="17" t="n">
        <v>0.057356</v>
      </c>
      <c r="M49" s="17" t="n">
        <v>0.028643</v>
      </c>
      <c r="N49" s="17" t="n">
        <v>0.024883</v>
      </c>
      <c r="O49" s="17" t="n">
        <v>0.963408</v>
      </c>
    </row>
    <row r="50">
      <c r="A50" s="5" t="inlineStr">
        <is>
          <t>SHELL_NORCO</t>
        </is>
      </c>
      <c r="B50" s="5" t="inlineStr">
        <is>
          <t>Shell Norco</t>
        </is>
      </c>
      <c r="C50" s="5" t="inlineStr">
        <is>
          <t>Shell</t>
        </is>
      </c>
      <c r="D50" s="5" t="n">
        <v>3</v>
      </c>
      <c r="E50" s="5" t="inlineStr">
        <is>
          <t>Louisiana</t>
        </is>
      </c>
      <c r="F50" s="5" t="inlineStr">
        <is>
          <t>Norco</t>
        </is>
      </c>
      <c r="G50" s="14" t="n">
        <v>250</v>
      </c>
      <c r="H50" s="5" t="inlineStr">
        <is>
          <t>operating</t>
        </is>
      </c>
      <c r="I50" s="17" t="n">
        <v>0.369059</v>
      </c>
      <c r="J50" s="17" t="n">
        <v>0.5950719999999999</v>
      </c>
      <c r="K50" s="17" t="n">
        <v>0.003113</v>
      </c>
      <c r="L50" s="17" t="n">
        <v>0.118014</v>
      </c>
      <c r="M50" s="17" t="n">
        <v>0.008717000000000001</v>
      </c>
      <c r="N50" s="17" t="n">
        <v>0.000902</v>
      </c>
      <c r="O50" s="17" t="n">
        <v>1.094877</v>
      </c>
    </row>
    <row r="51">
      <c r="A51" s="5" t="inlineStr">
        <is>
          <t>TOTAL_PORT_ARTHUR</t>
        </is>
      </c>
      <c r="B51" s="5" t="inlineStr">
        <is>
          <t>Total Port Arthur</t>
        </is>
      </c>
      <c r="C51" s="5" t="inlineStr">
        <is>
          <t>Total</t>
        </is>
      </c>
      <c r="D51" s="5" t="n">
        <v>3</v>
      </c>
      <c r="E51" s="5" t="inlineStr">
        <is>
          <t>Texas</t>
        </is>
      </c>
      <c r="F51" s="5" t="inlineStr">
        <is>
          <t>Port Arthur</t>
        </is>
      </c>
      <c r="G51" s="14" t="n">
        <v>238</v>
      </c>
      <c r="H51" s="5" t="inlineStr">
        <is>
          <t>operating</t>
        </is>
      </c>
      <c r="I51" s="17" t="n">
        <v>0.433829</v>
      </c>
      <c r="J51" s="17" t="n">
        <v>0.496059</v>
      </c>
      <c r="K51" s="17" t="n">
        <v>0.00364</v>
      </c>
      <c r="L51" s="17" t="n">
        <v>0.07234</v>
      </c>
      <c r="M51" s="17" t="n">
        <v>0.042162</v>
      </c>
      <c r="N51" s="17" t="n">
        <v>0.00464</v>
      </c>
      <c r="O51" s="17" t="n">
        <v>1.052668</v>
      </c>
    </row>
    <row r="52">
      <c r="A52" s="5" t="inlineStr">
        <is>
          <t>VALERO_SAINT_CHARLES</t>
        </is>
      </c>
      <c r="B52" s="5" t="inlineStr">
        <is>
          <t>Valero Saint Charles</t>
        </is>
      </c>
      <c r="C52" s="5" t="inlineStr">
        <is>
          <t>Valero</t>
        </is>
      </c>
      <c r="D52" s="5" t="n">
        <v>3</v>
      </c>
      <c r="E52" s="5" t="inlineStr">
        <is>
          <t>Louisiana</t>
        </is>
      </c>
      <c r="F52" s="5" t="inlineStr">
        <is>
          <t>Saint Charles</t>
        </is>
      </c>
      <c r="G52" s="14" t="n">
        <v>215</v>
      </c>
      <c r="H52" s="5" t="inlineStr">
        <is>
          <t>operating</t>
        </is>
      </c>
      <c r="I52" s="17" t="n">
        <v>0.615668</v>
      </c>
      <c r="J52" s="17" t="n">
        <v>1.298121</v>
      </c>
      <c r="K52" s="17" t="n">
        <v>0.00316</v>
      </c>
      <c r="L52" s="17" t="n">
        <v>0</v>
      </c>
      <c r="M52" s="17" t="n">
        <v>-0.024284</v>
      </c>
      <c r="N52" s="17" t="n">
        <v>0</v>
      </c>
      <c r="O52" s="17" t="n">
        <v>1.892666</v>
      </c>
    </row>
    <row r="53">
      <c r="A53" s="5" t="inlineStr">
        <is>
          <t>VALERO_HOUSTON</t>
        </is>
      </c>
      <c r="B53" s="5" t="inlineStr">
        <is>
          <t>Valero Houston</t>
        </is>
      </c>
      <c r="C53" s="5" t="inlineStr">
        <is>
          <t>Valero</t>
        </is>
      </c>
      <c r="D53" s="5" t="n">
        <v>3</v>
      </c>
      <c r="E53" s="5" t="inlineStr">
        <is>
          <t>Texas</t>
        </is>
      </c>
      <c r="F53" s="5" t="inlineStr">
        <is>
          <t>Houston</t>
        </is>
      </c>
      <c r="G53" s="14" t="n">
        <v>205</v>
      </c>
      <c r="H53" s="5" t="inlineStr">
        <is>
          <t>operating</t>
        </is>
      </c>
      <c r="I53" s="17" t="n">
        <v>0.301428</v>
      </c>
      <c r="J53" s="17" t="n">
        <v>0.412325</v>
      </c>
      <c r="K53" s="17" t="n">
        <v>0.042713</v>
      </c>
      <c r="L53" s="17" t="n">
        <v>0.145476</v>
      </c>
      <c r="M53" s="17" t="n">
        <v>-0.012555</v>
      </c>
      <c r="N53" s="17" t="n">
        <v>0.040042</v>
      </c>
      <c r="O53" s="17" t="n">
        <v>0.92943</v>
      </c>
    </row>
    <row r="54">
      <c r="A54" s="5" t="inlineStr">
        <is>
          <t>VALERO_SUNRAY</t>
        </is>
      </c>
      <c r="B54" s="5" t="inlineStr">
        <is>
          <t>Valero Sunray</t>
        </is>
      </c>
      <c r="C54" s="5" t="inlineStr">
        <is>
          <t>Valero</t>
        </is>
      </c>
      <c r="D54" s="5" t="n">
        <v>3</v>
      </c>
      <c r="E54" s="5" t="inlineStr">
        <is>
          <t>Texas</t>
        </is>
      </c>
      <c r="F54" s="5" t="inlineStr">
        <is>
          <t>Sunray</t>
        </is>
      </c>
      <c r="G54" s="14" t="n">
        <v>195</v>
      </c>
      <c r="H54" s="5" t="inlineStr">
        <is>
          <t>operating</t>
        </is>
      </c>
      <c r="I54" s="17" t="n">
        <v>0.301291</v>
      </c>
      <c r="J54" s="17" t="n">
        <v>0.590812</v>
      </c>
      <c r="K54" s="17" t="n">
        <v>0.001658</v>
      </c>
      <c r="L54" s="17" t="n">
        <v>0.059199</v>
      </c>
      <c r="M54" s="17" t="n">
        <v>0.008832</v>
      </c>
      <c r="N54" s="17" t="n">
        <v>0</v>
      </c>
      <c r="O54" s="17" t="n">
        <v>0.9617910000000001</v>
      </c>
    </row>
    <row r="55">
      <c r="A55" s="5" t="inlineStr">
        <is>
          <t>PBF_CHALMETTE</t>
        </is>
      </c>
      <c r="B55" s="5" t="inlineStr">
        <is>
          <t>PBF Energy Company LLC Chalmette</t>
        </is>
      </c>
      <c r="C55" s="5" t="inlineStr">
        <is>
          <t>PBF Energy Company LLC</t>
        </is>
      </c>
      <c r="D55" s="5" t="n">
        <v>3</v>
      </c>
      <c r="E55" s="5" t="inlineStr">
        <is>
          <t>Louisiana</t>
        </is>
      </c>
      <c r="F55" s="5" t="inlineStr">
        <is>
          <t>Chalmette</t>
        </is>
      </c>
      <c r="G55" s="14" t="n">
        <v>185</v>
      </c>
      <c r="H55" s="5" t="inlineStr">
        <is>
          <t>operating</t>
        </is>
      </c>
      <c r="I55" s="17" t="n">
        <v>0.37363</v>
      </c>
      <c r="J55" s="17" t="n">
        <v>0.598032</v>
      </c>
      <c r="K55" s="17" t="n">
        <v>0.019126</v>
      </c>
      <c r="L55" s="17" t="n">
        <v>0</v>
      </c>
      <c r="M55" s="17" t="n">
        <v>0.019554</v>
      </c>
      <c r="N55" s="17" t="n">
        <v>0</v>
      </c>
      <c r="O55" s="17" t="n">
        <v>1.010341</v>
      </c>
    </row>
    <row r="56">
      <c r="A56" s="5" t="inlineStr">
        <is>
          <t>CITGO_CORPUS_CHRISTI</t>
        </is>
      </c>
      <c r="B56" s="5" t="inlineStr">
        <is>
          <t>Citgo Corpus Christi</t>
        </is>
      </c>
      <c r="C56" s="5" t="inlineStr">
        <is>
          <t>PDVSA</t>
        </is>
      </c>
      <c r="D56" s="5" t="n">
        <v>3</v>
      </c>
      <c r="E56" s="5" t="inlineStr">
        <is>
          <t>Texas</t>
        </is>
      </c>
      <c r="F56" s="5" t="inlineStr">
        <is>
          <t>Corpus Christi</t>
        </is>
      </c>
      <c r="G56" s="14" t="n">
        <v>175.5</v>
      </c>
      <c r="H56" s="5" t="inlineStr">
        <is>
          <t>operating</t>
        </is>
      </c>
      <c r="I56" s="17" t="n">
        <v>0.422158</v>
      </c>
      <c r="J56" s="17" t="n">
        <v>0.545632</v>
      </c>
      <c r="K56" s="17" t="n">
        <v>0.003574</v>
      </c>
      <c r="L56" s="17" t="n">
        <v>0</v>
      </c>
      <c r="M56" s="17" t="n">
        <v>0.020524</v>
      </c>
      <c r="N56" s="17" t="n">
        <v>0.01035</v>
      </c>
      <c r="O56" s="17" t="n">
        <v>1.002238</v>
      </c>
    </row>
    <row r="57">
      <c r="A57" s="5" t="inlineStr">
        <is>
          <t>WRB_BORGER</t>
        </is>
      </c>
      <c r="B57" s="5" t="inlineStr">
        <is>
          <t>WRB Refining Borger</t>
        </is>
      </c>
      <c r="C57" s="5" t="inlineStr">
        <is>
          <t>Cenovus (50%) / Phillips 66 Co. (50%)</t>
        </is>
      </c>
      <c r="D57" s="5" t="n">
        <v>3</v>
      </c>
      <c r="E57" s="5" t="inlineStr">
        <is>
          <t>Texas</t>
        </is>
      </c>
      <c r="F57" s="5" t="inlineStr">
        <is>
          <t>Borger</t>
        </is>
      </c>
      <c r="G57" s="14" t="n">
        <v>154</v>
      </c>
      <c r="H57" s="5" t="inlineStr">
        <is>
          <t>operating</t>
        </is>
      </c>
      <c r="I57" s="17" t="n">
        <v>0.162333</v>
      </c>
      <c r="J57" s="17" t="n">
        <v>0.270181</v>
      </c>
      <c r="K57" s="17" t="n">
        <v>0.020806</v>
      </c>
      <c r="L57" s="17" t="n">
        <v>0.032517</v>
      </c>
      <c r="M57" s="17" t="n">
        <v>-0.0008140000000000001</v>
      </c>
      <c r="N57" s="17" t="n">
        <v>0.001021</v>
      </c>
      <c r="O57" s="17" t="n">
        <v>0.486044</v>
      </c>
    </row>
    <row r="58">
      <c r="A58" s="5" t="inlineStr">
        <is>
          <t>MARATHON_EL_PASO</t>
        </is>
      </c>
      <c r="B58" s="5" t="inlineStr">
        <is>
          <t>Marathon Petroleum El Paso</t>
        </is>
      </c>
      <c r="C58" s="5" t="inlineStr">
        <is>
          <t>Marathon Petroleum</t>
        </is>
      </c>
      <c r="D58" s="5" t="n">
        <v>3</v>
      </c>
      <c r="E58" s="5" t="inlineStr">
        <is>
          <t>Texas</t>
        </is>
      </c>
      <c r="F58" s="5" t="inlineStr">
        <is>
          <t>El Paso</t>
        </is>
      </c>
      <c r="G58" s="14" t="n">
        <v>133</v>
      </c>
      <c r="H58" s="5" t="inlineStr">
        <is>
          <t>operating</t>
        </is>
      </c>
      <c r="I58" s="17" t="n">
        <v>0.205383</v>
      </c>
      <c r="J58" s="17" t="n">
        <v>0.469657</v>
      </c>
      <c r="K58" s="17" t="n">
        <v>0.056662</v>
      </c>
      <c r="L58" s="17" t="n">
        <v>0.186622</v>
      </c>
      <c r="M58" s="17" t="n">
        <v>-0.006245000000000001</v>
      </c>
      <c r="N58" s="17" t="n">
        <v>0.004522</v>
      </c>
      <c r="O58" s="17" t="n">
        <v>0.916601</v>
      </c>
    </row>
    <row r="59">
      <c r="A59" s="5" t="inlineStr">
        <is>
          <t>CHEVRON_PASADENA</t>
        </is>
      </c>
      <c r="B59" s="5" t="inlineStr">
        <is>
          <t>Chevron Pasadena</t>
        </is>
      </c>
      <c r="C59" s="5" t="inlineStr">
        <is>
          <t>Chevron</t>
        </is>
      </c>
      <c r="D59" s="5" t="n">
        <v>3</v>
      </c>
      <c r="E59" s="5" t="inlineStr">
        <is>
          <t>Texas</t>
        </is>
      </c>
      <c r="F59" s="5" t="inlineStr">
        <is>
          <t>Pasadena</t>
        </is>
      </c>
      <c r="G59" s="14" t="n">
        <v>125</v>
      </c>
      <c r="H59" s="5" t="inlineStr">
        <is>
          <t>operating</t>
        </is>
      </c>
      <c r="I59" s="17" t="n">
        <v>0.395379</v>
      </c>
      <c r="J59" s="17" t="n">
        <v>0.497175</v>
      </c>
      <c r="K59" s="17" t="n">
        <v>0.003382</v>
      </c>
      <c r="L59" s="17" t="n">
        <v>0</v>
      </c>
      <c r="M59" s="17" t="n">
        <v>0.002623</v>
      </c>
      <c r="N59" s="17" t="n">
        <v>0.003667</v>
      </c>
      <c r="O59" s="17" t="n">
        <v>0.902226</v>
      </c>
    </row>
    <row r="60">
      <c r="A60" s="5" t="inlineStr">
        <is>
          <t>VALERO_MERAUX</t>
        </is>
      </c>
      <c r="B60" s="5" t="inlineStr">
        <is>
          <t>Valero Meraux</t>
        </is>
      </c>
      <c r="C60" s="5" t="inlineStr">
        <is>
          <t>Valero</t>
        </is>
      </c>
      <c r="D60" s="5" t="n">
        <v>3</v>
      </c>
      <c r="E60" s="5" t="inlineStr">
        <is>
          <t>Louisiana</t>
        </is>
      </c>
      <c r="F60" s="5" t="inlineStr">
        <is>
          <t>Meraux</t>
        </is>
      </c>
      <c r="G60" s="14" t="n">
        <v>125</v>
      </c>
      <c r="H60" s="5" t="inlineStr">
        <is>
          <t>operating</t>
        </is>
      </c>
      <c r="I60" s="17" t="n">
        <v>0.406057</v>
      </c>
      <c r="J60" s="17" t="n">
        <v>0.343784</v>
      </c>
      <c r="K60" s="17" t="n">
        <v>0.075484</v>
      </c>
      <c r="L60" s="17" t="n">
        <v>0.131051</v>
      </c>
      <c r="M60" s="17" t="n">
        <v>0.013595</v>
      </c>
      <c r="N60" s="17" t="n">
        <v>0</v>
      </c>
      <c r="O60" s="17" t="n">
        <v>0.9699720000000001</v>
      </c>
    </row>
    <row r="61">
      <c r="A61" s="5" t="inlineStr">
        <is>
          <t>KINDER_HOUSTON</t>
        </is>
      </c>
      <c r="B61" s="5" t="inlineStr">
        <is>
          <t>Kinder Morgan Houston</t>
        </is>
      </c>
      <c r="C61" s="5" t="inlineStr">
        <is>
          <t>Kinder Morgan</t>
        </is>
      </c>
      <c r="D61" s="5" t="n">
        <v>3</v>
      </c>
      <c r="E61" s="5" t="inlineStr">
        <is>
          <t>Texas</t>
        </is>
      </c>
      <c r="F61" s="5" t="inlineStr">
        <is>
          <t>Houston</t>
        </is>
      </c>
      <c r="G61" s="14" t="n">
        <v>121</v>
      </c>
      <c r="H61" s="5" t="inlineStr">
        <is>
          <t>operating</t>
        </is>
      </c>
      <c r="I61" s="17" t="n">
        <v>0.257837</v>
      </c>
      <c r="J61" s="17" t="n">
        <v>0.471439</v>
      </c>
      <c r="K61" s="17" t="n">
        <v>0.010564</v>
      </c>
      <c r="L61" s="17" t="n">
        <v>0.149315</v>
      </c>
      <c r="M61" s="17" t="n">
        <v>0.009444000000000001</v>
      </c>
      <c r="N61" s="17" t="n">
        <v>0.010428</v>
      </c>
      <c r="O61" s="17" t="n">
        <v>0.9090250000000001</v>
      </c>
    </row>
    <row r="62">
      <c r="A62" s="5" t="inlineStr">
        <is>
          <t>CALCASIEU_LAKE_CHARLES</t>
        </is>
      </c>
      <c r="B62" s="5" t="inlineStr">
        <is>
          <t>Calcasieu Refining Co. Lake Charles</t>
        </is>
      </c>
      <c r="C62" s="5" t="inlineStr">
        <is>
          <t>TransWorld Oil</t>
        </is>
      </c>
      <c r="D62" s="5" t="n">
        <v>3</v>
      </c>
      <c r="E62" s="5" t="inlineStr">
        <is>
          <t>Louisiana</t>
        </is>
      </c>
      <c r="F62" s="5" t="inlineStr">
        <is>
          <t>Lake Charles</t>
        </is>
      </c>
      <c r="G62" s="14" t="n">
        <v>105</v>
      </c>
      <c r="H62" s="5" t="inlineStr">
        <is>
          <t>operating</t>
        </is>
      </c>
      <c r="I62" s="17" t="n">
        <v>0.311396</v>
      </c>
      <c r="J62" s="17" t="n">
        <v>0.121784</v>
      </c>
      <c r="K62" s="17" t="n">
        <v>0.170369</v>
      </c>
      <c r="L62" s="17" t="n">
        <v>0.294263</v>
      </c>
      <c r="M62" s="17" t="n">
        <v>0.012351</v>
      </c>
      <c r="N62" s="17" t="n">
        <v>0.088491</v>
      </c>
      <c r="O62" s="17" t="n">
        <v>0.9986539999999999</v>
      </c>
    </row>
    <row r="63">
      <c r="A63" s="5" t="inlineStr">
        <is>
          <t>HF_ARTESIA</t>
        </is>
      </c>
      <c r="B63" s="5" t="inlineStr">
        <is>
          <t>HF Sinclair Artesia</t>
        </is>
      </c>
      <c r="C63" s="5" t="inlineStr">
        <is>
          <t>HF Sinclair</t>
        </is>
      </c>
      <c r="D63" s="5" t="n">
        <v>3</v>
      </c>
      <c r="E63" s="5" t="inlineStr">
        <is>
          <t>New Mexico</t>
        </is>
      </c>
      <c r="F63" s="5" t="inlineStr">
        <is>
          <t>Artesia</t>
        </is>
      </c>
      <c r="G63" s="14" t="n">
        <v>100</v>
      </c>
      <c r="H63" s="5" t="inlineStr">
        <is>
          <t>operating</t>
        </is>
      </c>
      <c r="I63" s="17" t="n">
        <v>0.38747</v>
      </c>
      <c r="J63" s="17" t="n">
        <v>0.537395</v>
      </c>
      <c r="K63" s="17" t="n">
        <v>0.022453</v>
      </c>
      <c r="L63" s="17" t="n">
        <v>0</v>
      </c>
      <c r="M63" s="17" t="n">
        <v>0.009494000000000001</v>
      </c>
      <c r="N63" s="17" t="n">
        <v>0.010624</v>
      </c>
      <c r="O63" s="17" t="n">
        <v>0.967436</v>
      </c>
    </row>
    <row r="64">
      <c r="A64" s="5" t="inlineStr">
        <is>
          <t>VALERO_THREE_RIVERS</t>
        </is>
      </c>
      <c r="B64" s="5" t="inlineStr">
        <is>
          <t>Valero Three Rivers</t>
        </is>
      </c>
      <c r="C64" s="5" t="inlineStr">
        <is>
          <t>Valero</t>
        </is>
      </c>
      <c r="D64" s="5" t="n">
        <v>3</v>
      </c>
      <c r="E64" s="5" t="inlineStr">
        <is>
          <t>Texas</t>
        </is>
      </c>
      <c r="F64" s="5" t="inlineStr">
        <is>
          <t>Three Rivers</t>
        </is>
      </c>
      <c r="G64" s="14" t="n">
        <v>97.5</v>
      </c>
      <c r="H64" s="5" t="inlineStr">
        <is>
          <t>operating</t>
        </is>
      </c>
      <c r="I64" s="17" t="n">
        <v>0.376837</v>
      </c>
      <c r="J64" s="17" t="n">
        <v>0.556462</v>
      </c>
      <c r="K64" s="17" t="n">
        <v>0.002712</v>
      </c>
      <c r="L64" s="17" t="n">
        <v>0.07276099999999999</v>
      </c>
      <c r="M64" s="17" t="n">
        <v>0.009213000000000001</v>
      </c>
      <c r="N64" s="17" t="n">
        <v>0.003392</v>
      </c>
      <c r="O64" s="17" t="n">
        <v>1.021378</v>
      </c>
    </row>
    <row r="65">
      <c r="A65" s="5" t="inlineStr">
        <is>
          <t>VERTEX_MOBILE</t>
        </is>
      </c>
      <c r="B65" s="5" t="inlineStr">
        <is>
          <t>Vertex Energy Inc. Mobile</t>
        </is>
      </c>
      <c r="C65" s="5" t="inlineStr">
        <is>
          <t>Vertex Energy Inc.</t>
        </is>
      </c>
      <c r="D65" s="5" t="n">
        <v>3</v>
      </c>
      <c r="E65" s="5" t="inlineStr">
        <is>
          <t>Alabama</t>
        </is>
      </c>
      <c r="F65" s="5" t="inlineStr">
        <is>
          <t>Mobile</t>
        </is>
      </c>
      <c r="G65" s="14" t="n">
        <v>91.2</v>
      </c>
      <c r="H65" s="5" t="inlineStr">
        <is>
          <t>operating</t>
        </is>
      </c>
      <c r="I65" s="17" t="n">
        <v>0.177058</v>
      </c>
      <c r="J65" s="17" t="n">
        <v>0.439033</v>
      </c>
      <c r="K65" s="17" t="n">
        <v>0.153936</v>
      </c>
      <c r="L65" s="17" t="n">
        <v>0.230735</v>
      </c>
      <c r="M65" s="17" t="n">
        <v>0.006176</v>
      </c>
      <c r="N65" s="17" t="n">
        <v>0</v>
      </c>
      <c r="O65" s="17" t="n">
        <v>1.006939</v>
      </c>
    </row>
    <row r="66">
      <c r="A66" s="5" t="inlineStr">
        <is>
          <t>DELEK_EL_DORADO_AR</t>
        </is>
      </c>
      <c r="B66" s="5" t="inlineStr">
        <is>
          <t>Delek Group El Dorado (AR)</t>
        </is>
      </c>
      <c r="C66" s="5" t="inlineStr">
        <is>
          <t>Delek Group</t>
        </is>
      </c>
      <c r="D66" s="5" t="n">
        <v>3</v>
      </c>
      <c r="E66" s="5" t="inlineStr">
        <is>
          <t>Arkansas</t>
        </is>
      </c>
      <c r="F66" s="5" t="inlineStr">
        <is>
          <t>El Dorado (AR)</t>
        </is>
      </c>
      <c r="G66" s="14" t="n">
        <v>80</v>
      </c>
      <c r="H66" s="5" t="inlineStr">
        <is>
          <t>operating</t>
        </is>
      </c>
      <c r="I66" s="17" t="n">
        <v>0.4034</v>
      </c>
      <c r="J66" s="17" t="n">
        <v>0.475627</v>
      </c>
      <c r="K66" s="17" t="n">
        <v>0.007422</v>
      </c>
      <c r="L66" s="17" t="n">
        <v>0.013435</v>
      </c>
      <c r="M66" s="17" t="n">
        <v>0.007036</v>
      </c>
      <c r="N66" s="17" t="n">
        <v>0.008023000000000001</v>
      </c>
      <c r="O66" s="17" t="n">
        <v>0.914942</v>
      </c>
    </row>
    <row r="67">
      <c r="A67" s="5" t="inlineStr">
        <is>
          <t>BASF_PORT_ARTHUR</t>
        </is>
      </c>
      <c r="B67" s="5" t="inlineStr">
        <is>
          <t>BASF FINA Petrochemicals Port Arthur</t>
        </is>
      </c>
      <c r="C67" s="5" t="inlineStr">
        <is>
          <t>BASF (60%) / Total (40%)</t>
        </is>
      </c>
      <c r="D67" s="5" t="n">
        <v>3</v>
      </c>
      <c r="E67" s="5" t="inlineStr">
        <is>
          <t>Texas</t>
        </is>
      </c>
      <c r="F67" s="5" t="inlineStr">
        <is>
          <t>Port Arthur</t>
        </is>
      </c>
      <c r="G67" s="14" t="n">
        <v>75</v>
      </c>
      <c r="H67" s="5" t="inlineStr">
        <is>
          <t>operating</t>
        </is>
      </c>
      <c r="I67" s="17" t="n">
        <v>0.142189</v>
      </c>
      <c r="J67" s="17" t="n">
        <v>0.07367600000000001</v>
      </c>
      <c r="K67" s="17" t="n">
        <v>0.01051</v>
      </c>
      <c r="L67" s="17" t="n">
        <v>0.141698</v>
      </c>
      <c r="M67" s="17" t="n">
        <v>0.009918</v>
      </c>
      <c r="N67" s="17" t="n">
        <v>0.194225</v>
      </c>
      <c r="O67" s="17" t="n">
        <v>0.572215</v>
      </c>
    </row>
    <row r="68">
      <c r="A68" s="5" t="inlineStr">
        <is>
          <t>DELEK_TYLER</t>
        </is>
      </c>
      <c r="B68" s="5" t="inlineStr">
        <is>
          <t>Delek Refining Ltd. Tyler</t>
        </is>
      </c>
      <c r="C68" s="5" t="inlineStr">
        <is>
          <t>Delek Group</t>
        </is>
      </c>
      <c r="D68" s="5" t="n">
        <v>3</v>
      </c>
      <c r="E68" s="5" t="inlineStr">
        <is>
          <t>Texas</t>
        </is>
      </c>
      <c r="F68" s="5" t="inlineStr">
        <is>
          <t>Tyler</t>
        </is>
      </c>
      <c r="G68" s="14" t="n">
        <v>75</v>
      </c>
      <c r="H68" s="5" t="inlineStr">
        <is>
          <t>operating</t>
        </is>
      </c>
      <c r="I68" s="17" t="n">
        <v>0.386015</v>
      </c>
      <c r="J68" s="17" t="n">
        <v>0.423062</v>
      </c>
      <c r="K68" s="17" t="n">
        <v>0.029762</v>
      </c>
      <c r="L68" s="17" t="n">
        <v>0.07327600000000001</v>
      </c>
      <c r="M68" s="17" t="n">
        <v>0.002922</v>
      </c>
      <c r="N68" s="17" t="n">
        <v>0.001145</v>
      </c>
      <c r="O68" s="17" t="n">
        <v>0.91618</v>
      </c>
    </row>
    <row r="69">
      <c r="A69" s="5" t="inlineStr">
        <is>
          <t>PLACID_PORT_ALLEN</t>
        </is>
      </c>
      <c r="B69" s="5" t="inlineStr">
        <is>
          <t>Placid Refining Port Allen</t>
        </is>
      </c>
      <c r="C69" s="5" t="inlineStr">
        <is>
          <t>Placid Refining</t>
        </is>
      </c>
      <c r="D69" s="5" t="n">
        <v>3</v>
      </c>
      <c r="E69" s="5" t="inlineStr">
        <is>
          <t>Louisiana</t>
        </is>
      </c>
      <c r="F69" s="5" t="inlineStr">
        <is>
          <t>Port Allen</t>
        </is>
      </c>
      <c r="G69" s="14" t="n">
        <v>75</v>
      </c>
      <c r="H69" s="5" t="inlineStr">
        <is>
          <t>operating</t>
        </is>
      </c>
      <c r="I69" s="17" t="n">
        <v>0.268586</v>
      </c>
      <c r="J69" s="17" t="n">
        <v>0.444066</v>
      </c>
      <c r="K69" s="17" t="n">
        <v>0.037123</v>
      </c>
      <c r="L69" s="17" t="n">
        <v>0.17464</v>
      </c>
      <c r="M69" s="17" t="n">
        <v>0.015311</v>
      </c>
      <c r="N69" s="17" t="n">
        <v>0</v>
      </c>
      <c r="O69" s="17" t="n">
        <v>0.939727</v>
      </c>
    </row>
    <row r="70">
      <c r="A70" s="5" t="inlineStr">
        <is>
          <t>DELEK_KROTZ_SPRINGS</t>
        </is>
      </c>
      <c r="B70" s="5" t="inlineStr">
        <is>
          <t>Delek Group Krotz Springs</t>
        </is>
      </c>
      <c r="C70" s="5" t="inlineStr">
        <is>
          <t>Delek Group</t>
        </is>
      </c>
      <c r="D70" s="5" t="n">
        <v>3</v>
      </c>
      <c r="E70" s="5" t="inlineStr">
        <is>
          <t>Louisiana</t>
        </is>
      </c>
      <c r="F70" s="5" t="inlineStr">
        <is>
          <t>Krotz Springs</t>
        </is>
      </c>
      <c r="G70" s="14" t="n">
        <v>74</v>
      </c>
      <c r="H70" s="5" t="inlineStr">
        <is>
          <t>operating</t>
        </is>
      </c>
      <c r="I70" s="17" t="n">
        <v>0.213711</v>
      </c>
      <c r="J70" s="17" t="n">
        <v>0.510205</v>
      </c>
      <c r="K70" s="17" t="n">
        <v>0.003372</v>
      </c>
      <c r="L70" s="17" t="n">
        <v>0.22578</v>
      </c>
      <c r="M70" s="17" t="n">
        <v>0.000295</v>
      </c>
      <c r="N70" s="17" t="n">
        <v>0.008662</v>
      </c>
      <c r="O70" s="17" t="n">
        <v>0.962025</v>
      </c>
    </row>
    <row r="71">
      <c r="A71" s="5" t="inlineStr">
        <is>
          <t>ALON_BIG_SPRINGS</t>
        </is>
      </c>
      <c r="B71" s="5" t="inlineStr">
        <is>
          <t>Alon Big Springs</t>
        </is>
      </c>
      <c r="C71" s="5" t="inlineStr">
        <is>
          <t>Delek Group</t>
        </is>
      </c>
      <c r="D71" s="5" t="n">
        <v>3</v>
      </c>
      <c r="E71" s="5" t="inlineStr">
        <is>
          <t>Texas</t>
        </is>
      </c>
      <c r="F71" s="5" t="inlineStr">
        <is>
          <t>Big Springs</t>
        </is>
      </c>
      <c r="G71" s="14" t="n">
        <v>73</v>
      </c>
      <c r="H71" s="5" t="inlineStr">
        <is>
          <t>operating</t>
        </is>
      </c>
      <c r="I71" s="17" t="n">
        <v>0.276801</v>
      </c>
      <c r="J71" s="17" t="n">
        <v>0.561952</v>
      </c>
      <c r="K71" s="17" t="n">
        <v>0.003322</v>
      </c>
      <c r="L71" s="17" t="n">
        <v>0.11696</v>
      </c>
      <c r="M71" s="17" t="n">
        <v>0.008336</v>
      </c>
      <c r="N71" s="17" t="n">
        <v>0</v>
      </c>
      <c r="O71" s="17" t="n">
        <v>0.967371</v>
      </c>
    </row>
    <row r="72">
      <c r="A72" s="5" t="inlineStr">
        <is>
          <t>BUCKEYE_CORPUS_CHRISTI</t>
        </is>
      </c>
      <c r="B72" s="5" t="inlineStr">
        <is>
          <t>Buckeye Partners Corpus Christi</t>
        </is>
      </c>
      <c r="C72" s="5" t="inlineStr">
        <is>
          <t>Buckeye Partners (80%) / Trafigura (20%)</t>
        </is>
      </c>
      <c r="D72" s="5" t="n">
        <v>3</v>
      </c>
      <c r="E72" s="5" t="inlineStr">
        <is>
          <t>Texas</t>
        </is>
      </c>
      <c r="F72" s="5" t="inlineStr">
        <is>
          <t>Corpus Christi</t>
        </is>
      </c>
      <c r="G72" s="14" t="n">
        <v>65</v>
      </c>
      <c r="H72" s="5" t="inlineStr">
        <is>
          <t>operating</t>
        </is>
      </c>
      <c r="I72" s="17" t="n">
        <v>0.209113</v>
      </c>
      <c r="J72" s="17" t="n">
        <v>0.369389</v>
      </c>
      <c r="K72" s="17" t="n">
        <v>0.008895999999999999</v>
      </c>
      <c r="L72" s="17" t="n">
        <v>0.12579</v>
      </c>
      <c r="M72" s="17" t="n">
        <v>0.005306</v>
      </c>
      <c r="N72" s="17" t="n">
        <v>0.007039999999999999</v>
      </c>
      <c r="O72" s="17" t="n">
        <v>0.725534</v>
      </c>
    </row>
    <row r="73">
      <c r="A73" s="5" t="inlineStr">
        <is>
          <t>CALUMET_SHREVEPORT</t>
        </is>
      </c>
      <c r="B73" s="5" t="inlineStr">
        <is>
          <t>Calumet Lubricants Co. Shreveport</t>
        </is>
      </c>
      <c r="C73" s="5" t="inlineStr">
        <is>
          <t>Calumet Lubricants Co.</t>
        </is>
      </c>
      <c r="D73" s="5" t="n">
        <v>3</v>
      </c>
      <c r="E73" s="5" t="inlineStr">
        <is>
          <t>Louisiana</t>
        </is>
      </c>
      <c r="F73" s="5" t="inlineStr">
        <is>
          <t>Shreveport</t>
        </is>
      </c>
      <c r="G73" s="14" t="n">
        <v>57</v>
      </c>
      <c r="H73" s="5" t="inlineStr">
        <is>
          <t>operating</t>
        </is>
      </c>
      <c r="I73" s="17" t="n">
        <v>0.29839</v>
      </c>
      <c r="J73" s="17" t="n">
        <v>0.294843</v>
      </c>
      <c r="K73" s="17" t="n">
        <v>0</v>
      </c>
      <c r="L73" s="17" t="n">
        <v>0.030803</v>
      </c>
      <c r="M73" s="17" t="n">
        <v>-0.002215</v>
      </c>
      <c r="N73" s="17" t="n">
        <v>0</v>
      </c>
      <c r="O73" s="17" t="n">
        <v>0.621823</v>
      </c>
    </row>
    <row r="74">
      <c r="A74" s="5" t="inlineStr">
        <is>
          <t>MARATHON_TEXAS_CITY_GALVESTON_BAY</t>
        </is>
      </c>
      <c r="B74" s="5" t="inlineStr">
        <is>
          <t>Marathon Petroleum Texas City (Galveston Bay)</t>
        </is>
      </c>
      <c r="C74" s="5" t="inlineStr">
        <is>
          <t>Marathon Petroleum</t>
        </is>
      </c>
      <c r="D74" s="5" t="n">
        <v>3</v>
      </c>
      <c r="E74" s="5" t="inlineStr">
        <is>
          <t>Texas</t>
        </is>
      </c>
      <c r="F74" s="5" t="inlineStr">
        <is>
          <t>Texas City (Galveston Bay)</t>
        </is>
      </c>
      <c r="G74" s="14" t="n">
        <v>50</v>
      </c>
      <c r="H74" s="5" t="inlineStr">
        <is>
          <t>operating</t>
        </is>
      </c>
      <c r="I74" s="17" t="n">
        <v>0.462257</v>
      </c>
      <c r="J74" s="17" t="n">
        <v>0.400925</v>
      </c>
      <c r="K74" s="17" t="n">
        <v>0.028332</v>
      </c>
      <c r="L74" s="17" t="n">
        <v>0.032129</v>
      </c>
      <c r="M74" s="17" t="n">
        <v>0.015216</v>
      </c>
      <c r="N74" s="17" t="n">
        <v>0.04196399999999999</v>
      </c>
      <c r="O74" s="17" t="n">
        <v>0.980822</v>
      </c>
    </row>
    <row r="75">
      <c r="A75" s="5" t="inlineStr">
        <is>
          <t>HUNT_TUSCALOOSA</t>
        </is>
      </c>
      <c r="B75" s="5" t="inlineStr">
        <is>
          <t>Hunt Refining Consolidated Tuscaloosa</t>
        </is>
      </c>
      <c r="C75" s="5" t="inlineStr">
        <is>
          <t>Hunt Refining Consolidated</t>
        </is>
      </c>
      <c r="D75" s="5" t="n">
        <v>3</v>
      </c>
      <c r="E75" s="5" t="inlineStr">
        <is>
          <t>Alabama</t>
        </is>
      </c>
      <c r="F75" s="5" t="inlineStr">
        <is>
          <t>Tuscaloosa</t>
        </is>
      </c>
      <c r="G75" s="14" t="n">
        <v>40</v>
      </c>
      <c r="H75" s="5" t="inlineStr">
        <is>
          <t>operating</t>
        </is>
      </c>
      <c r="I75" s="17" t="n">
        <v>0.434917</v>
      </c>
      <c r="J75" s="17" t="n">
        <v>0.345385</v>
      </c>
      <c r="K75" s="17" t="n">
        <v>0.003574</v>
      </c>
      <c r="L75" s="17" t="n">
        <v>0.036317</v>
      </c>
      <c r="M75" s="17" t="n">
        <v>0.02139</v>
      </c>
      <c r="N75" s="17" t="n">
        <v>0.00308</v>
      </c>
      <c r="O75" s="17" t="n">
        <v>0.8446630000000001</v>
      </c>
    </row>
    <row r="76">
      <c r="A76" s="5" t="inlineStr">
        <is>
          <t>ERGON_VICKSBURG</t>
        </is>
      </c>
      <c r="B76" s="5" t="inlineStr">
        <is>
          <t>Ergon Vicksburg</t>
        </is>
      </c>
      <c r="C76" s="5" t="inlineStr">
        <is>
          <t>Ergon</t>
        </is>
      </c>
      <c r="D76" s="5" t="n">
        <v>3</v>
      </c>
      <c r="E76" s="5" t="inlineStr">
        <is>
          <t>Mississippi</t>
        </is>
      </c>
      <c r="F76" s="5" t="inlineStr">
        <is>
          <t>Vicksburg</t>
        </is>
      </c>
      <c r="G76" s="14" t="n">
        <v>27.3</v>
      </c>
      <c r="H76" s="5" t="inlineStr">
        <is>
          <t>operating</t>
        </is>
      </c>
      <c r="I76" s="17" t="n">
        <v>0.17077</v>
      </c>
      <c r="J76" s="17" t="n">
        <v>0.070315</v>
      </c>
      <c r="K76" s="17" t="n">
        <v>8e-06</v>
      </c>
      <c r="L76" s="17" t="n">
        <v>0.026369</v>
      </c>
      <c r="M76" s="17" t="n">
        <v>-0.012448</v>
      </c>
      <c r="N76" s="17" t="n">
        <v>0.011187</v>
      </c>
      <c r="O76" s="17" t="n">
        <v>0.266193</v>
      </c>
    </row>
    <row r="77">
      <c r="A77" s="5" t="inlineStr">
        <is>
          <t>LAZARUS_SAN_ANTONIO</t>
        </is>
      </c>
      <c r="B77" s="5" t="inlineStr">
        <is>
          <t>Lazarus Energy San Antonio</t>
        </is>
      </c>
      <c r="C77" s="5" t="inlineStr">
        <is>
          <t>Starlight Relativity Acquisition Co. LLC</t>
        </is>
      </c>
      <c r="D77" s="5" t="n">
        <v>3</v>
      </c>
      <c r="E77" s="5" t="inlineStr">
        <is>
          <t>Texas</t>
        </is>
      </c>
      <c r="F77" s="5" t="inlineStr">
        <is>
          <t>San Antonio</t>
        </is>
      </c>
      <c r="G77" s="14" t="n">
        <v>21</v>
      </c>
      <c r="H77" s="5" t="inlineStr">
        <is>
          <t>operating</t>
        </is>
      </c>
      <c r="I77" s="17" t="n">
        <v>0.304606</v>
      </c>
      <c r="J77" s="17" t="n">
        <v>0.367749</v>
      </c>
      <c r="K77" s="17" t="n">
        <v>0.036324</v>
      </c>
      <c r="L77" s="17" t="n">
        <v>0.102987</v>
      </c>
      <c r="M77" s="17" t="n">
        <v>0.014718</v>
      </c>
      <c r="N77" s="17" t="n">
        <v>0.002046</v>
      </c>
      <c r="O77" s="17" t="n">
        <v>0.82843</v>
      </c>
    </row>
    <row r="78">
      <c r="A78" s="5" t="inlineStr">
        <is>
          <t>BLUE_NIXON</t>
        </is>
      </c>
      <c r="B78" s="5" t="inlineStr">
        <is>
          <t>Blue Dolphin Energy Nixon</t>
        </is>
      </c>
      <c r="C78" s="5" t="inlineStr">
        <is>
          <t>Blue Dolphin Energy</t>
        </is>
      </c>
      <c r="D78" s="5" t="n">
        <v>3</v>
      </c>
      <c r="E78" s="5" t="inlineStr">
        <is>
          <t>Texas</t>
        </is>
      </c>
      <c r="F78" s="5" t="inlineStr">
        <is>
          <t>Nixon</t>
        </is>
      </c>
      <c r="G78" s="14" t="n">
        <v>15</v>
      </c>
      <c r="H78" s="5" t="inlineStr">
        <is>
          <t>operating</t>
        </is>
      </c>
      <c r="I78" s="17" t="n">
        <v>0.363456</v>
      </c>
      <c r="J78" s="17" t="n">
        <v>0</v>
      </c>
      <c r="K78" s="17" t="n">
        <v>0.073994</v>
      </c>
      <c r="L78" s="17" t="n">
        <v>0.18064</v>
      </c>
      <c r="M78" s="17" t="n">
        <v>0.008919</v>
      </c>
      <c r="N78" s="17" t="n">
        <v>0.076588</v>
      </c>
      <c r="O78" s="17" t="n">
        <v>0.7035980000000001</v>
      </c>
    </row>
    <row r="79">
      <c r="A79" s="5" t="inlineStr">
        <is>
          <t>CALUMET_COTTON_VALLEY</t>
        </is>
      </c>
      <c r="B79" s="5" t="inlineStr">
        <is>
          <t>Calumet Lubricants Co. Cotton Valley</t>
        </is>
      </c>
      <c r="C79" s="5" t="inlineStr">
        <is>
          <t>Calumet Lubricants Co.</t>
        </is>
      </c>
      <c r="D79" s="5" t="n">
        <v>3</v>
      </c>
      <c r="E79" s="5" t="inlineStr">
        <is>
          <t>Louisiana</t>
        </is>
      </c>
      <c r="F79" s="5" t="inlineStr">
        <is>
          <t>Cotton Valley</t>
        </is>
      </c>
      <c r="G79" s="14" t="n">
        <v>14</v>
      </c>
      <c r="H79" s="5" t="inlineStr">
        <is>
          <t>operating</t>
        </is>
      </c>
      <c r="I79" s="17" t="n">
        <v>0.453142</v>
      </c>
      <c r="J79" s="17" t="n">
        <v>0.08595999999999999</v>
      </c>
      <c r="K79" s="17" t="n">
        <v>0.025344</v>
      </c>
      <c r="L79" s="17" t="n">
        <v>0.042477</v>
      </c>
      <c r="M79" s="17" t="n">
        <v>-0.008026999999999999</v>
      </c>
      <c r="N79" s="17" t="n">
        <v>0.065992</v>
      </c>
      <c r="O79" s="17" t="n">
        <v>0.664875</v>
      </c>
    </row>
    <row r="80">
      <c r="A80" s="5" t="inlineStr">
        <is>
          <t>HUNT_SANDERSVILLE</t>
        </is>
      </c>
      <c r="B80" s="5" t="inlineStr">
        <is>
          <t>Hunt Refining Consolidated Sandersville</t>
        </is>
      </c>
      <c r="C80" s="5" t="inlineStr">
        <is>
          <t>Hunt Refining Consolidated</t>
        </is>
      </c>
      <c r="D80" s="5" t="n">
        <v>3</v>
      </c>
      <c r="E80" s="5" t="inlineStr">
        <is>
          <t>Mississippi</t>
        </is>
      </c>
      <c r="F80" s="5" t="inlineStr">
        <is>
          <t>Sandersville</t>
        </is>
      </c>
      <c r="G80" s="14" t="n">
        <v>12.5</v>
      </c>
      <c r="H80" s="5" t="inlineStr">
        <is>
          <t>operating</t>
        </is>
      </c>
      <c r="I80" s="17" t="n">
        <v>0.359598</v>
      </c>
      <c r="J80" s="17" t="n">
        <v>0.08290400000000001</v>
      </c>
      <c r="K80" s="17" t="n">
        <v>0.018897</v>
      </c>
      <c r="L80" s="17" t="n">
        <v>0.030569</v>
      </c>
      <c r="M80" s="17" t="n">
        <v>-0.010272</v>
      </c>
      <c r="N80" s="17" t="n">
        <v>0.028532</v>
      </c>
      <c r="O80" s="17" t="n">
        <v>0.510246</v>
      </c>
    </row>
    <row r="81">
      <c r="A81" s="5" t="inlineStr">
        <is>
          <t>CALUMET_PRINCETON</t>
        </is>
      </c>
      <c r="B81" s="5" t="inlineStr">
        <is>
          <t>Calumet Lubricants Co. Princeton</t>
        </is>
      </c>
      <c r="C81" s="5" t="inlineStr">
        <is>
          <t>Calumet Lubricants Co.</t>
        </is>
      </c>
      <c r="D81" s="5" t="n">
        <v>3</v>
      </c>
      <c r="E81" s="5" t="inlineStr">
        <is>
          <t>Louisiana</t>
        </is>
      </c>
      <c r="F81" s="5" t="inlineStr">
        <is>
          <t>Princeton</t>
        </is>
      </c>
      <c r="G81" s="14" t="n">
        <v>8.654999999999999</v>
      </c>
      <c r="H81" s="5" t="inlineStr">
        <is>
          <t>operating</t>
        </is>
      </c>
      <c r="I81" s="17" t="n">
        <v>0.341568</v>
      </c>
      <c r="J81" s="17" t="n">
        <v>0.08357900000000001</v>
      </c>
      <c r="K81" s="17" t="n">
        <v>0</v>
      </c>
      <c r="L81" s="17" t="n">
        <v>0.052205</v>
      </c>
      <c r="M81" s="17" t="n">
        <v>-0.015673</v>
      </c>
      <c r="N81" s="17" t="n">
        <v>0.059992</v>
      </c>
      <c r="O81" s="17" t="n">
        <v>0.5217000000000001</v>
      </c>
    </row>
    <row r="82">
      <c r="A82" s="5" t="inlineStr">
        <is>
          <t>CROSS_SMACKOVER</t>
        </is>
      </c>
      <c r="B82" s="5" t="inlineStr">
        <is>
          <t>Cross Oil and Ref.Co. Smackover</t>
        </is>
      </c>
      <c r="C82" s="5" t="inlineStr">
        <is>
          <t>Cross Oil and Ref.Co.</t>
        </is>
      </c>
      <c r="D82" s="5" t="n">
        <v>3</v>
      </c>
      <c r="E82" s="5" t="inlineStr">
        <is>
          <t>Arkansas</t>
        </is>
      </c>
      <c r="F82" s="5" t="inlineStr">
        <is>
          <t>Smackover</t>
        </is>
      </c>
      <c r="G82" s="14" t="n">
        <v>7.7</v>
      </c>
      <c r="H82" s="5" t="inlineStr">
        <is>
          <t>operating</t>
        </is>
      </c>
      <c r="I82" s="17" t="n">
        <v>0.406383</v>
      </c>
      <c r="J82" s="17" t="n">
        <v>0.076489</v>
      </c>
      <c r="K82" s="17" t="n">
        <v>0</v>
      </c>
      <c r="L82" s="17" t="n">
        <v>0.02503</v>
      </c>
      <c r="M82" s="17" t="n">
        <v>-0.009790999999999999</v>
      </c>
      <c r="N82" s="17" t="n">
        <v>0.034216</v>
      </c>
      <c r="O82" s="17" t="n">
        <v>0.532326</v>
      </c>
    </row>
    <row r="83">
      <c r="A83" s="5" t="inlineStr">
        <is>
          <t>GOODWAY_ATMORE</t>
        </is>
      </c>
      <c r="B83" s="5" t="inlineStr">
        <is>
          <t>Goodway Refining Atmore</t>
        </is>
      </c>
      <c r="C83" s="5" t="inlineStr">
        <is>
          <t>Goodway Refining</t>
        </is>
      </c>
      <c r="D83" s="5" t="n">
        <v>3</v>
      </c>
      <c r="E83" s="5" t="inlineStr">
        <is>
          <t>Alabama</t>
        </is>
      </c>
      <c r="F83" s="5" t="inlineStr">
        <is>
          <t>Atmore</t>
        </is>
      </c>
      <c r="G83" s="14" t="n">
        <v>4.1</v>
      </c>
      <c r="H83" s="5" t="inlineStr">
        <is>
          <t>operating</t>
        </is>
      </c>
      <c r="I83" s="17" t="n">
        <v>0.429329</v>
      </c>
      <c r="J83" s="17" t="n">
        <v>0.07316499999999999</v>
      </c>
      <c r="K83" s="17" t="n">
        <v>0.029337</v>
      </c>
      <c r="L83" s="17" t="n">
        <v>0.070023</v>
      </c>
      <c r="M83" s="17" t="n">
        <v>0</v>
      </c>
      <c r="N83" s="17" t="n">
        <v>0.057377</v>
      </c>
      <c r="O83" s="17" t="n">
        <v>0.659231</v>
      </c>
    </row>
    <row r="84">
      <c r="A84" s="5" t="inlineStr">
        <is>
          <t>LYONDELLBASELL_HOUSTON</t>
        </is>
      </c>
      <c r="B84" s="5" t="inlineStr">
        <is>
          <t>LyondellBasell Refining Houston</t>
        </is>
      </c>
      <c r="C84" s="5" t="inlineStr">
        <is>
          <t>Access Industries</t>
        </is>
      </c>
      <c r="D84" s="5" t="n">
        <v>3</v>
      </c>
      <c r="E84" s="5" t="inlineStr">
        <is>
          <t>Texas</t>
        </is>
      </c>
      <c r="F84" s="5" t="inlineStr">
        <is>
          <t>Houston</t>
        </is>
      </c>
      <c r="G84" s="14" t="n">
        <v>0</v>
      </c>
      <c r="H84" s="5" t="inlineStr">
        <is>
          <t>shut</t>
        </is>
      </c>
      <c r="I84" s="17" t="n">
        <v>0.336599</v>
      </c>
      <c r="J84" s="17" t="n">
        <v>0.420847</v>
      </c>
      <c r="K84" s="17" t="n">
        <v>0.020254</v>
      </c>
      <c r="L84" s="17" t="n">
        <v>0.037415</v>
      </c>
      <c r="M84" s="17" t="n">
        <v>0.023197</v>
      </c>
      <c r="N84" s="17" t="n">
        <v>0.035638</v>
      </c>
      <c r="O84" s="17" t="n">
        <v>0.873951</v>
      </c>
    </row>
    <row r="85">
      <c r="A85" s="5" t="inlineStr">
        <is>
          <t>SHELL_CONVENT</t>
        </is>
      </c>
      <c r="B85" s="5" t="inlineStr">
        <is>
          <t>Shell Convent</t>
        </is>
      </c>
      <c r="C85" s="5" t="inlineStr">
        <is>
          <t>Shell</t>
        </is>
      </c>
      <c r="D85" s="5" t="n">
        <v>3</v>
      </c>
      <c r="E85" s="5" t="inlineStr">
        <is>
          <t>Louisiana</t>
        </is>
      </c>
      <c r="F85" s="5" t="inlineStr">
        <is>
          <t>Convent</t>
        </is>
      </c>
      <c r="G85" s="14" t="n">
        <v>0</v>
      </c>
      <c r="H85" s="5" t="inlineStr">
        <is>
          <t>shut</t>
        </is>
      </c>
      <c r="I85" s="17" t="n">
        <v>0</v>
      </c>
      <c r="J85" s="17" t="n">
        <v>0</v>
      </c>
      <c r="K85" s="17" t="n">
        <v>0</v>
      </c>
      <c r="L85" s="17" t="n">
        <v>0</v>
      </c>
      <c r="M85" s="17" t="n">
        <v>0</v>
      </c>
      <c r="N85" s="17" t="n">
        <v>0</v>
      </c>
      <c r="O85" s="17" t="n">
        <v>0</v>
      </c>
    </row>
    <row r="86">
      <c r="A86" s="5" t="inlineStr">
        <is>
          <t>SHELL_SAINT_ROSE</t>
        </is>
      </c>
      <c r="B86" s="5" t="inlineStr">
        <is>
          <t>Shell Oil Co. USA Saint Rose</t>
        </is>
      </c>
      <c r="C86" s="5" t="inlineStr">
        <is>
          <t>Shell</t>
        </is>
      </c>
      <c r="D86" s="5" t="n">
        <v>3</v>
      </c>
      <c r="E86" s="5" t="inlineStr">
        <is>
          <t>Louisiana</t>
        </is>
      </c>
      <c r="F86" s="5" t="inlineStr">
        <is>
          <t>Saint Rose</t>
        </is>
      </c>
      <c r="G86" s="14" t="n">
        <v>0</v>
      </c>
      <c r="H86" s="5" t="inlineStr">
        <is>
          <t>shut</t>
        </is>
      </c>
      <c r="I86" s="17" t="n">
        <v>0.248537</v>
      </c>
      <c r="J86" s="17" t="n">
        <v>0.036875</v>
      </c>
      <c r="K86" s="17" t="n">
        <v>0.075868</v>
      </c>
      <c r="L86" s="17" t="n">
        <v>0.086676</v>
      </c>
      <c r="M86" s="17" t="n">
        <v>-0.003411</v>
      </c>
      <c r="N86" s="17" t="n">
        <v>0.001364</v>
      </c>
      <c r="O86" s="17" t="n">
        <v>0.445944</v>
      </c>
    </row>
    <row r="87">
      <c r="A87" s="5" t="inlineStr">
        <is>
          <t>SUNCOR_DENVER</t>
        </is>
      </c>
      <c r="B87" s="5" t="inlineStr">
        <is>
          <t>Suncor Denver</t>
        </is>
      </c>
      <c r="C87" s="5" t="inlineStr">
        <is>
          <t>Suncor</t>
        </is>
      </c>
      <c r="D87" s="5" t="n">
        <v>4</v>
      </c>
      <c r="E87" s="5" t="inlineStr">
        <is>
          <t>Colorado</t>
        </is>
      </c>
      <c r="F87" s="5" t="inlineStr">
        <is>
          <t>Denver</t>
        </is>
      </c>
      <c r="G87" s="14" t="n">
        <v>98</v>
      </c>
      <c r="H87" s="5" t="inlineStr">
        <is>
          <t>operating</t>
        </is>
      </c>
      <c r="I87" s="17" t="n">
        <v>0.351623</v>
      </c>
      <c r="J87" s="17" t="n">
        <v>0.464713</v>
      </c>
      <c r="K87" s="17" t="n">
        <v>0.010519</v>
      </c>
      <c r="L87" s="17" t="n">
        <v>0.114136</v>
      </c>
      <c r="M87" s="17" t="n">
        <v>-0.005588999999999999</v>
      </c>
      <c r="N87" s="17" t="n">
        <v>0.002181</v>
      </c>
      <c r="O87" s="17" t="n">
        <v>0.937585</v>
      </c>
    </row>
    <row r="88">
      <c r="A88" s="5" t="inlineStr">
        <is>
          <t>SINCLAIR_SINCLAIR</t>
        </is>
      </c>
      <c r="B88" s="5" t="inlineStr">
        <is>
          <t>Sinclair Sinclair</t>
        </is>
      </c>
      <c r="C88" s="5" t="inlineStr">
        <is>
          <t>Sinclair</t>
        </is>
      </c>
      <c r="D88" s="5" t="n">
        <v>4</v>
      </c>
      <c r="E88" s="5" t="inlineStr">
        <is>
          <t>Wyoming</t>
        </is>
      </c>
      <c r="F88" s="5" t="inlineStr">
        <is>
          <t>Sinclair</t>
        </is>
      </c>
      <c r="G88" s="14" t="n">
        <v>94</v>
      </c>
      <c r="H88" s="5" t="inlineStr">
        <is>
          <t>operating</t>
        </is>
      </c>
      <c r="I88" s="17" t="n">
        <v>0.366417</v>
      </c>
      <c r="J88" s="17" t="n">
        <v>0.531999</v>
      </c>
      <c r="K88" s="17" t="n">
        <v>0.00218</v>
      </c>
      <c r="L88" s="17" t="n">
        <v>0.097106</v>
      </c>
      <c r="M88" s="17" t="n">
        <v>-0.004258</v>
      </c>
      <c r="N88" s="17" t="n">
        <v>0.006728</v>
      </c>
      <c r="O88" s="17" t="n">
        <v>1.000171</v>
      </c>
    </row>
    <row r="89">
      <c r="A89" s="5" t="inlineStr">
        <is>
          <t>MARATHON_SALT_LAKE_CITY</t>
        </is>
      </c>
      <c r="B89" s="5" t="inlineStr">
        <is>
          <t>Marathon Petroleum Salt Lake City</t>
        </is>
      </c>
      <c r="C89" s="5" t="inlineStr">
        <is>
          <t>Marathon Petroleum</t>
        </is>
      </c>
      <c r="D89" s="5" t="n">
        <v>4</v>
      </c>
      <c r="E89" s="5" t="inlineStr">
        <is>
          <t>Utah</t>
        </is>
      </c>
      <c r="F89" s="5" t="inlineStr">
        <is>
          <t>Salt Lake City</t>
        </is>
      </c>
      <c r="G89" s="14" t="n">
        <v>72.5</v>
      </c>
      <c r="H89" s="5" t="inlineStr">
        <is>
          <t>operating</t>
        </is>
      </c>
      <c r="I89" s="17" t="n">
        <v>0.442593</v>
      </c>
      <c r="J89" s="17" t="n">
        <v>0.464356</v>
      </c>
      <c r="K89" s="17" t="n">
        <v>0.028389</v>
      </c>
      <c r="L89" s="17" t="n">
        <v>0.046315</v>
      </c>
      <c r="M89" s="17" t="n">
        <v>0.002077</v>
      </c>
      <c r="N89" s="17" t="n">
        <v>5.3e-05</v>
      </c>
      <c r="O89" s="17" t="n">
        <v>0.983782</v>
      </c>
    </row>
    <row r="90">
      <c r="A90" s="5" t="inlineStr">
        <is>
          <t>PHILLIPS_BILLINGS</t>
        </is>
      </c>
      <c r="B90" s="5" t="inlineStr">
        <is>
          <t>Phillips 66 Co. Billings</t>
        </is>
      </c>
      <c r="C90" s="5" t="inlineStr">
        <is>
          <t>Phillips 66 Co.</t>
        </is>
      </c>
      <c r="D90" s="5" t="n">
        <v>4</v>
      </c>
      <c r="E90" s="5" t="inlineStr">
        <is>
          <t>Montana</t>
        </is>
      </c>
      <c r="F90" s="5" t="inlineStr">
        <is>
          <t>Billings</t>
        </is>
      </c>
      <c r="G90" s="14" t="n">
        <v>66</v>
      </c>
      <c r="H90" s="5" t="inlineStr">
        <is>
          <t>operating</t>
        </is>
      </c>
      <c r="I90" s="17" t="n">
        <v>0.206148</v>
      </c>
      <c r="J90" s="17" t="n">
        <v>0.708599</v>
      </c>
      <c r="K90" s="17" t="n">
        <v>0.021939</v>
      </c>
      <c r="L90" s="17" t="n">
        <v>0.022072</v>
      </c>
      <c r="M90" s="17" t="n">
        <v>-0.002983</v>
      </c>
      <c r="N90" s="17" t="n">
        <v>0.002102</v>
      </c>
      <c r="O90" s="17" t="n">
        <v>0.957878</v>
      </c>
    </row>
    <row r="91">
      <c r="A91" s="5" t="inlineStr">
        <is>
          <t>PAR_BILLINGS</t>
        </is>
      </c>
      <c r="B91" s="5" t="inlineStr">
        <is>
          <t>Par Petroleum Billings</t>
        </is>
      </c>
      <c r="C91" s="5" t="inlineStr">
        <is>
          <t>Par Petroleum</t>
        </is>
      </c>
      <c r="D91" s="5" t="n">
        <v>4</v>
      </c>
      <c r="E91" s="5" t="inlineStr">
        <is>
          <t>Montana</t>
        </is>
      </c>
      <c r="F91" s="5" t="inlineStr">
        <is>
          <t>Billings</t>
        </is>
      </c>
      <c r="G91" s="14" t="n">
        <v>62.9</v>
      </c>
      <c r="H91" s="5" t="inlineStr">
        <is>
          <t>operating</t>
        </is>
      </c>
      <c r="I91" s="17" t="n">
        <v>0.290164</v>
      </c>
      <c r="J91" s="17" t="n">
        <v>0.579892</v>
      </c>
      <c r="K91" s="17" t="n">
        <v>0.001147</v>
      </c>
      <c r="L91" s="17" t="n">
        <v>0.051463</v>
      </c>
      <c r="M91" s="17" t="n">
        <v>-0.003161</v>
      </c>
      <c r="N91" s="17" t="n">
        <v>0.000607</v>
      </c>
      <c r="O91" s="17" t="n">
        <v>0.920112</v>
      </c>
    </row>
    <row r="92">
      <c r="A92" s="5" t="inlineStr">
        <is>
          <t>CHS_LAUREL</t>
        </is>
      </c>
      <c r="B92" s="5" t="inlineStr">
        <is>
          <t>CHS Laurel</t>
        </is>
      </c>
      <c r="C92" s="5" t="inlineStr">
        <is>
          <t>CHS</t>
        </is>
      </c>
      <c r="D92" s="5" t="n">
        <v>4</v>
      </c>
      <c r="E92" s="5" t="inlineStr">
        <is>
          <t>Montana</t>
        </is>
      </c>
      <c r="F92" s="5" t="inlineStr">
        <is>
          <t>Laurel</t>
        </is>
      </c>
      <c r="G92" s="14" t="n">
        <v>61.1</v>
      </c>
      <c r="H92" s="5" t="inlineStr">
        <is>
          <t>operating</t>
        </is>
      </c>
      <c r="I92" s="17" t="n">
        <v>0.252542</v>
      </c>
      <c r="J92" s="17" t="n">
        <v>0.5941960000000001</v>
      </c>
      <c r="K92" s="17" t="n">
        <v>0.031141</v>
      </c>
      <c r="L92" s="17" t="n">
        <v>0.03949</v>
      </c>
      <c r="M92" s="17" t="n">
        <v>-0.001713</v>
      </c>
      <c r="N92" s="17" t="n">
        <v>0.001502</v>
      </c>
      <c r="O92" s="17" t="n">
        <v>0.917157</v>
      </c>
    </row>
    <row r="93">
      <c r="A93" s="5" t="inlineStr">
        <is>
          <t>CHEVRON_SALT_LAKE_CITY</t>
        </is>
      </c>
      <c r="B93" s="5" t="inlineStr">
        <is>
          <t>Chevron Salt Lake City</t>
        </is>
      </c>
      <c r="C93" s="5" t="inlineStr">
        <is>
          <t>Chevron</t>
        </is>
      </c>
      <c r="D93" s="5" t="n">
        <v>4</v>
      </c>
      <c r="E93" s="5" t="inlineStr">
        <is>
          <t>Utah</t>
        </is>
      </c>
      <c r="F93" s="5" t="inlineStr">
        <is>
          <t>Salt Lake City</t>
        </is>
      </c>
      <c r="G93" s="14" t="n">
        <v>55</v>
      </c>
      <c r="H93" s="5" t="inlineStr">
        <is>
          <t>operating</t>
        </is>
      </c>
      <c r="I93" s="17" t="n">
        <v>0.397096</v>
      </c>
      <c r="J93" s="17" t="n">
        <v>0.474627</v>
      </c>
      <c r="K93" s="17" t="n">
        <v>0.036584</v>
      </c>
      <c r="L93" s="17" t="n">
        <v>0.07890999999999999</v>
      </c>
      <c r="M93" s="17" t="n">
        <v>0.000162</v>
      </c>
      <c r="N93" s="17" t="n">
        <v>0.000904</v>
      </c>
      <c r="O93" s="17" t="n">
        <v>0.988286</v>
      </c>
    </row>
    <row r="94">
      <c r="A94" s="5" t="inlineStr">
        <is>
          <t>HF_WOODS_CROSS</t>
        </is>
      </c>
      <c r="B94" s="5" t="inlineStr">
        <is>
          <t>HF Sinclair Woods Cross</t>
        </is>
      </c>
      <c r="C94" s="5" t="inlineStr">
        <is>
          <t>HF Sinclair</t>
        </is>
      </c>
      <c r="D94" s="5" t="n">
        <v>4</v>
      </c>
      <c r="E94" s="5" t="inlineStr">
        <is>
          <t>Utah</t>
        </is>
      </c>
      <c r="F94" s="5" t="inlineStr">
        <is>
          <t>Woods Cross</t>
        </is>
      </c>
      <c r="G94" s="14" t="n">
        <v>45</v>
      </c>
      <c r="H94" s="5" t="inlineStr">
        <is>
          <t>operating</t>
        </is>
      </c>
      <c r="I94" s="17" t="n">
        <v>0.401415</v>
      </c>
      <c r="J94" s="17" t="n">
        <v>0.553244</v>
      </c>
      <c r="K94" s="17" t="n">
        <v>0.025584</v>
      </c>
      <c r="L94" s="17" t="n">
        <v>0</v>
      </c>
      <c r="M94" s="17" t="n">
        <v>0.003234</v>
      </c>
      <c r="N94" s="17" t="n">
        <v>5.2e-05</v>
      </c>
      <c r="O94" s="17" t="n">
        <v>0.9835259999999999</v>
      </c>
    </row>
    <row r="95">
      <c r="A95" s="5" t="inlineStr">
        <is>
          <t>BIG_NORTH_SLATERVILLE_CANAL</t>
        </is>
      </c>
      <c r="B95" s="5" t="inlineStr">
        <is>
          <t>Big West Oil Co North Slaterville Canal</t>
        </is>
      </c>
      <c r="C95" s="5" t="inlineStr">
        <is>
          <t>Flying J</t>
        </is>
      </c>
      <c r="D95" s="5" t="n">
        <v>4</v>
      </c>
      <c r="E95" s="5" t="inlineStr">
        <is>
          <t>Utah</t>
        </is>
      </c>
      <c r="F95" s="5" t="inlineStr">
        <is>
          <t>North Slaterville Canal</t>
        </is>
      </c>
      <c r="G95" s="14" t="n">
        <v>33</v>
      </c>
      <c r="H95" s="5" t="inlineStr">
        <is>
          <t>operating</t>
        </is>
      </c>
      <c r="I95" s="17" t="n">
        <v>0.320812</v>
      </c>
      <c r="J95" s="17" t="n">
        <v>0.5379390000000001</v>
      </c>
      <c r="K95" s="17" t="n">
        <v>0.029751</v>
      </c>
      <c r="L95" s="17" t="n">
        <v>0.107187</v>
      </c>
      <c r="M95" s="17" t="n">
        <v>-0.00187</v>
      </c>
      <c r="N95" s="17" t="n">
        <v>6.4e-05</v>
      </c>
      <c r="O95" s="17" t="n">
        <v>0.993883</v>
      </c>
    </row>
    <row r="96">
      <c r="A96" s="5" t="inlineStr">
        <is>
          <t>HF_CASPER</t>
        </is>
      </c>
      <c r="B96" s="5" t="inlineStr">
        <is>
          <t>HF Sinclair Casper</t>
        </is>
      </c>
      <c r="C96" s="5" t="inlineStr">
        <is>
          <t>HF Sinclair</t>
        </is>
      </c>
      <c r="D96" s="5" t="n">
        <v>4</v>
      </c>
      <c r="E96" s="5" t="inlineStr">
        <is>
          <t>Wyoming</t>
        </is>
      </c>
      <c r="F96" s="5" t="inlineStr">
        <is>
          <t>Casper</t>
        </is>
      </c>
      <c r="G96" s="14" t="n">
        <v>30</v>
      </c>
      <c r="H96" s="5" t="inlineStr">
        <is>
          <t>operating</t>
        </is>
      </c>
      <c r="I96" s="17" t="n">
        <v>0.496774</v>
      </c>
      <c r="J96" s="17" t="n">
        <v>0.499014</v>
      </c>
      <c r="K96" s="17" t="n">
        <v>0.000712</v>
      </c>
      <c r="L96" s="17" t="n">
        <v>0.004889</v>
      </c>
      <c r="M96" s="17" t="n">
        <v>-0.005282</v>
      </c>
      <c r="N96" s="17" t="n">
        <v>0</v>
      </c>
      <c r="O96" s="17" t="n">
        <v>0.996107</v>
      </c>
    </row>
    <row r="97">
      <c r="A97" s="5" t="inlineStr">
        <is>
          <t>PAR_NEWCASTLE</t>
        </is>
      </c>
      <c r="B97" s="5" t="inlineStr">
        <is>
          <t>Par Petroleum Newcastle</t>
        </is>
      </c>
      <c r="C97" s="5" t="inlineStr">
        <is>
          <t>Par Petroleum</t>
        </is>
      </c>
      <c r="D97" s="5" t="n">
        <v>4</v>
      </c>
      <c r="E97" s="5" t="inlineStr">
        <is>
          <t>Wyoming</t>
        </is>
      </c>
      <c r="F97" s="5" t="inlineStr">
        <is>
          <t>Newcastle</t>
        </is>
      </c>
      <c r="G97" s="14" t="n">
        <v>20</v>
      </c>
      <c r="H97" s="5" t="inlineStr">
        <is>
          <t>operating</t>
        </is>
      </c>
      <c r="I97" s="17" t="n">
        <v>0.444493</v>
      </c>
      <c r="J97" s="17" t="n">
        <v>0.53644</v>
      </c>
      <c r="K97" s="17" t="n">
        <v>0.001048</v>
      </c>
      <c r="L97" s="17" t="n">
        <v>0.005358000000000001</v>
      </c>
      <c r="M97" s="17" t="n">
        <v>0.00214</v>
      </c>
      <c r="N97" s="17" t="n">
        <v>0</v>
      </c>
      <c r="O97" s="17" t="n">
        <v>0.989479</v>
      </c>
    </row>
    <row r="98">
      <c r="A98" s="5" t="inlineStr">
        <is>
          <t>MONTANA_GREAT_FALLS</t>
        </is>
      </c>
      <c r="B98" s="5" t="inlineStr">
        <is>
          <t>Montana Refining Co. Great Falls</t>
        </is>
      </c>
      <c r="C98" s="5" t="inlineStr">
        <is>
          <t>Calumet Lubricants Co.</t>
        </is>
      </c>
      <c r="D98" s="5" t="n">
        <v>4</v>
      </c>
      <c r="E98" s="5" t="inlineStr">
        <is>
          <t>Montana</t>
        </is>
      </c>
      <c r="F98" s="5" t="inlineStr">
        <is>
          <t>Great Falls</t>
        </is>
      </c>
      <c r="G98" s="14" t="n">
        <v>17</v>
      </c>
      <c r="H98" s="5" t="inlineStr">
        <is>
          <t>operating</t>
        </is>
      </c>
      <c r="I98" s="17" t="n">
        <v>0.309768</v>
      </c>
      <c r="J98" s="17" t="n">
        <v>0.428469</v>
      </c>
      <c r="K98" s="17" t="n">
        <v>0.005883</v>
      </c>
      <c r="L98" s="17" t="n">
        <v>0.049243</v>
      </c>
      <c r="M98" s="17" t="n">
        <v>-0.0006980000000000001</v>
      </c>
      <c r="N98" s="17" t="n">
        <v>-4e-06</v>
      </c>
      <c r="O98" s="17" t="n">
        <v>0.79266</v>
      </c>
    </row>
    <row r="99">
      <c r="A99" s="5" t="inlineStr">
        <is>
          <t>SILVER_WOODS_CROSS</t>
        </is>
      </c>
      <c r="B99" s="5" t="inlineStr">
        <is>
          <t>Silver Eagle Refining Woods Cross</t>
        </is>
      </c>
      <c r="C99" s="5" t="inlineStr">
        <is>
          <t>Silver Eagle Refining</t>
        </is>
      </c>
      <c r="D99" s="5" t="n">
        <v>4</v>
      </c>
      <c r="E99" s="5" t="inlineStr">
        <is>
          <t>Utah</t>
        </is>
      </c>
      <c r="F99" s="5" t="inlineStr">
        <is>
          <t>Woods Cross</t>
        </is>
      </c>
      <c r="G99" s="14" t="n">
        <v>15.7</v>
      </c>
      <c r="H99" s="5" t="inlineStr">
        <is>
          <t>operating</t>
        </is>
      </c>
      <c r="I99" s="17" t="n">
        <v>0.464598</v>
      </c>
      <c r="J99" s="17" t="n">
        <v>0.159771</v>
      </c>
      <c r="K99" s="17" t="n">
        <v>0.033965</v>
      </c>
      <c r="L99" s="17" t="n">
        <v>0</v>
      </c>
      <c r="M99" s="17" t="n">
        <v>0.001484</v>
      </c>
      <c r="N99" s="17" t="n">
        <v>0</v>
      </c>
      <c r="O99" s="17" t="n">
        <v>0.6598189999999999</v>
      </c>
    </row>
    <row r="100">
      <c r="A100" s="5" t="inlineStr">
        <is>
          <t>WYOMING_EVANSTON</t>
        </is>
      </c>
      <c r="B100" s="5" t="inlineStr">
        <is>
          <t>Wyoming Refining Evanston</t>
        </is>
      </c>
      <c r="C100" s="5" t="inlineStr">
        <is>
          <t>Silver Eagle Refining</t>
        </is>
      </c>
      <c r="D100" s="5" t="n">
        <v>4</v>
      </c>
      <c r="E100" s="5" t="inlineStr">
        <is>
          <t>Wyoming</t>
        </is>
      </c>
      <c r="F100" s="5" t="inlineStr">
        <is>
          <t>Evanston</t>
        </is>
      </c>
      <c r="G100" s="14" t="n">
        <v>3.4</v>
      </c>
      <c r="H100" s="5" t="inlineStr">
        <is>
          <t>operating</t>
        </is>
      </c>
      <c r="I100" s="17" t="n">
        <v>0.480779</v>
      </c>
      <c r="J100" s="17" t="n">
        <v>0.135541</v>
      </c>
      <c r="K100" s="17" t="n">
        <v>0.08306699999999999</v>
      </c>
      <c r="L100" s="17" t="n">
        <v>0.058593</v>
      </c>
      <c r="M100" s="17" t="n">
        <v>0</v>
      </c>
      <c r="N100" s="17" t="n">
        <v>0</v>
      </c>
      <c r="O100" s="17" t="n">
        <v>0.757981</v>
      </c>
    </row>
    <row r="101">
      <c r="A101" s="5" t="inlineStr">
        <is>
          <t>SLATE_DOUGLAS</t>
        </is>
      </c>
      <c r="B101" s="5" t="inlineStr">
        <is>
          <t>Slate Douglas</t>
        </is>
      </c>
      <c r="C101" s="5" t="inlineStr">
        <is>
          <t>Slate</t>
        </is>
      </c>
      <c r="D101" s="5" t="n">
        <v>4</v>
      </c>
      <c r="E101" s="5" t="inlineStr">
        <is>
          <t>Wyoming</t>
        </is>
      </c>
      <c r="F101" s="5" t="inlineStr">
        <is>
          <t>Douglas</t>
        </is>
      </c>
      <c r="G101" s="14" t="n">
        <v>0</v>
      </c>
      <c r="H101" s="5" t="inlineStr">
        <is>
          <t>shut</t>
        </is>
      </c>
      <c r="I101" s="17" t="n">
        <v>0.375865</v>
      </c>
      <c r="J101" s="17" t="n">
        <v>0.376853</v>
      </c>
      <c r="K101" s="17" t="n">
        <v>0.01883</v>
      </c>
      <c r="L101" s="17" t="n">
        <v>0.056385</v>
      </c>
      <c r="M101" s="17" t="n">
        <v>0</v>
      </c>
      <c r="N101" s="17" t="n">
        <v>0</v>
      </c>
      <c r="O101" s="17" t="n">
        <v>0.8279840000000001</v>
      </c>
    </row>
    <row r="102">
      <c r="A102" s="5" t="inlineStr">
        <is>
          <t>CHEVRON_EL_SEGUNDO</t>
        </is>
      </c>
      <c r="B102" s="5" t="inlineStr">
        <is>
          <t>Chevron El Segundo</t>
        </is>
      </c>
      <c r="C102" s="5" t="inlineStr">
        <is>
          <t>Chevron</t>
        </is>
      </c>
      <c r="D102" s="5" t="n">
        <v>5</v>
      </c>
      <c r="E102" s="5" t="inlineStr">
        <is>
          <t>California</t>
        </is>
      </c>
      <c r="F102" s="5" t="inlineStr">
        <is>
          <t>El Segundo</t>
        </is>
      </c>
      <c r="G102" s="14" t="n">
        <v>290.5</v>
      </c>
      <c r="H102" s="5" t="inlineStr">
        <is>
          <t>operating</t>
        </is>
      </c>
      <c r="I102" s="17" t="n">
        <v>0.192272</v>
      </c>
      <c r="J102" s="17" t="n">
        <v>0.48526</v>
      </c>
      <c r="K102" s="17" t="n">
        <v>0.082898</v>
      </c>
      <c r="L102" s="17" t="n">
        <v>0.189701</v>
      </c>
      <c r="M102" s="17" t="n">
        <v>0.002815</v>
      </c>
      <c r="N102" s="17" t="n">
        <v>0.0005899999999999999</v>
      </c>
      <c r="O102" s="17" t="n">
        <v>0.9535339999999999</v>
      </c>
    </row>
    <row r="103">
      <c r="A103" s="5" t="inlineStr">
        <is>
          <t>MARATHON_CARSON</t>
        </is>
      </c>
      <c r="B103" s="5" t="inlineStr">
        <is>
          <t>Marathon Petroleum Carson</t>
        </is>
      </c>
      <c r="C103" s="5" t="inlineStr">
        <is>
          <t>Marathon Petroleum</t>
        </is>
      </c>
      <c r="D103" s="5" t="n">
        <v>5</v>
      </c>
      <c r="E103" s="5" t="inlineStr">
        <is>
          <t>California</t>
        </is>
      </c>
      <c r="F103" s="5" t="inlineStr">
        <is>
          <t>Carson</t>
        </is>
      </c>
      <c r="G103" s="14" t="n">
        <v>281</v>
      </c>
      <c r="H103" s="5" t="inlineStr">
        <is>
          <t>operating</t>
        </is>
      </c>
      <c r="I103" s="17" t="n">
        <v>0.201981</v>
      </c>
      <c r="J103" s="17" t="n">
        <v>0.566462</v>
      </c>
      <c r="K103" s="17" t="n">
        <v>0.002984</v>
      </c>
      <c r="L103" s="17" t="n">
        <v>0.225839</v>
      </c>
      <c r="M103" s="17" t="n">
        <v>0.001472</v>
      </c>
      <c r="N103" s="17" t="n">
        <v>1e-06</v>
      </c>
      <c r="O103" s="17" t="n">
        <v>0.998739</v>
      </c>
    </row>
    <row r="104">
      <c r="A104" s="5" t="inlineStr">
        <is>
          <t>CHEVRON_RICHMOND</t>
        </is>
      </c>
      <c r="B104" s="5" t="inlineStr">
        <is>
          <t>Chevron Richmond</t>
        </is>
      </c>
      <c r="C104" s="5" t="inlineStr">
        <is>
          <t>Chevron</t>
        </is>
      </c>
      <c r="D104" s="5" t="n">
        <v>5</v>
      </c>
      <c r="E104" s="5" t="inlineStr">
        <is>
          <t>California</t>
        </is>
      </c>
      <c r="F104" s="5" t="inlineStr">
        <is>
          <t>Richmond</t>
        </is>
      </c>
      <c r="G104" s="14" t="n">
        <v>257.2</v>
      </c>
      <c r="H104" s="5" t="inlineStr">
        <is>
          <t>operating</t>
        </is>
      </c>
      <c r="I104" s="17" t="n">
        <v>0.150528</v>
      </c>
      <c r="J104" s="17" t="n">
        <v>0.550218</v>
      </c>
      <c r="K104" s="17" t="n">
        <v>0.005405999999999999</v>
      </c>
      <c r="L104" s="17" t="n">
        <v>0.25124</v>
      </c>
      <c r="M104" s="17" t="n">
        <v>-0.000156</v>
      </c>
      <c r="N104" s="17" t="n">
        <v>1.2e-05</v>
      </c>
      <c r="O104" s="17" t="n">
        <v>0.957249</v>
      </c>
    </row>
    <row r="105">
      <c r="A105" s="5" t="inlineStr">
        <is>
          <t>BP_FERNDALE</t>
        </is>
      </c>
      <c r="B105" s="5" t="inlineStr">
        <is>
          <t>BP Ferndale</t>
        </is>
      </c>
      <c r="C105" s="5" t="inlineStr">
        <is>
          <t>BP</t>
        </is>
      </c>
      <c r="D105" s="5" t="n">
        <v>5</v>
      </c>
      <c r="E105" s="5" t="inlineStr">
        <is>
          <t>Washington</t>
        </is>
      </c>
      <c r="F105" s="5" t="inlineStr">
        <is>
          <t>Ferndale</t>
        </is>
      </c>
      <c r="G105" s="14" t="n">
        <v>251</v>
      </c>
      <c r="H105" s="5" t="inlineStr">
        <is>
          <t>operating</t>
        </is>
      </c>
      <c r="I105" s="17" t="n">
        <v>0.222178</v>
      </c>
      <c r="J105" s="17" t="n">
        <v>0.436207</v>
      </c>
      <c r="K105" s="17" t="n">
        <v>0.042946</v>
      </c>
      <c r="L105" s="17" t="n">
        <v>0.280827</v>
      </c>
      <c r="M105" s="17" t="n">
        <v>0.008300999999999999</v>
      </c>
      <c r="N105" s="17" t="n">
        <v>0.001779</v>
      </c>
      <c r="O105" s="17" t="n">
        <v>0.992238</v>
      </c>
    </row>
    <row r="106">
      <c r="A106" s="5" t="inlineStr">
        <is>
          <t>PBF_TORRANCE</t>
        </is>
      </c>
      <c r="B106" s="5" t="inlineStr">
        <is>
          <t>PBF Energy Company LLC Torrance</t>
        </is>
      </c>
      <c r="C106" s="5" t="inlineStr">
        <is>
          <t>PBF Energy Company LLC</t>
        </is>
      </c>
      <c r="D106" s="5" t="n">
        <v>5</v>
      </c>
      <c r="E106" s="5" t="inlineStr">
        <is>
          <t>California</t>
        </is>
      </c>
      <c r="F106" s="5" t="inlineStr">
        <is>
          <t>Torrance</t>
        </is>
      </c>
      <c r="G106" s="14" t="n">
        <v>166.2</v>
      </c>
      <c r="H106" s="5" t="inlineStr">
        <is>
          <t>operating</t>
        </is>
      </c>
      <c r="I106" s="17" t="n">
        <v>0.118726</v>
      </c>
      <c r="J106" s="17" t="n">
        <v>0.689007</v>
      </c>
      <c r="K106" s="17" t="n">
        <v>0.017247</v>
      </c>
      <c r="L106" s="17" t="n">
        <v>0.15367</v>
      </c>
      <c r="M106" s="17" t="n">
        <v>0.023254</v>
      </c>
      <c r="N106" s="17" t="n">
        <v>0.001327</v>
      </c>
      <c r="O106" s="17" t="n">
        <v>1.003231</v>
      </c>
    </row>
    <row r="107">
      <c r="A107" s="5" t="inlineStr">
        <is>
          <t>PBF_MARTINEZ</t>
        </is>
      </c>
      <c r="B107" s="5" t="inlineStr">
        <is>
          <t>PBF Energy Company LLC Martinez</t>
        </is>
      </c>
      <c r="C107" s="5" t="inlineStr">
        <is>
          <t>PBF Energy Company LLC</t>
        </is>
      </c>
      <c r="D107" s="5" t="n">
        <v>5</v>
      </c>
      <c r="E107" s="5" t="inlineStr">
        <is>
          <t>California</t>
        </is>
      </c>
      <c r="F107" s="5" t="inlineStr">
        <is>
          <t>Martinez</t>
        </is>
      </c>
      <c r="G107" s="14" t="n">
        <v>158</v>
      </c>
      <c r="H107" s="5" t="inlineStr">
        <is>
          <t>operating</t>
        </is>
      </c>
      <c r="I107" s="17" t="n">
        <v>0.235715</v>
      </c>
      <c r="J107" s="17" t="n">
        <v>0.584921</v>
      </c>
      <c r="K107" s="17" t="n">
        <v>0.002139</v>
      </c>
      <c r="L107" s="17" t="n">
        <v>0.228967</v>
      </c>
      <c r="M107" s="17" t="n">
        <v>0.005984000000000001</v>
      </c>
      <c r="N107" s="17" t="n">
        <v>0</v>
      </c>
      <c r="O107" s="17" t="n">
        <v>1.057726</v>
      </c>
    </row>
    <row r="108">
      <c r="A108" s="5" t="inlineStr">
        <is>
          <t>HF_ANACORTES</t>
        </is>
      </c>
      <c r="B108" s="5" t="inlineStr">
        <is>
          <t>HF Sinclair Anacortes</t>
        </is>
      </c>
      <c r="C108" s="5" t="inlineStr">
        <is>
          <t>HF Sinclair</t>
        </is>
      </c>
      <c r="D108" s="5" t="n">
        <v>5</v>
      </c>
      <c r="E108" s="5" t="inlineStr">
        <is>
          <t>Washington</t>
        </is>
      </c>
      <c r="F108" s="5" t="inlineStr">
        <is>
          <t>Anacortes</t>
        </is>
      </c>
      <c r="G108" s="14" t="n">
        <v>149</v>
      </c>
      <c r="H108" s="5" t="inlineStr">
        <is>
          <t>operating</t>
        </is>
      </c>
      <c r="I108" s="17" t="n">
        <v>0.189541</v>
      </c>
      <c r="J108" s="17" t="n">
        <v>0.6463139999999999</v>
      </c>
      <c r="K108" s="17" t="n">
        <v>0.004459</v>
      </c>
      <c r="L108" s="17" t="n">
        <v>0.18885</v>
      </c>
      <c r="M108" s="17" t="n">
        <v>0.0074</v>
      </c>
      <c r="N108" s="17" t="n">
        <v>0</v>
      </c>
      <c r="O108" s="17" t="n">
        <v>1.036564</v>
      </c>
    </row>
    <row r="109">
      <c r="A109" s="5" t="inlineStr">
        <is>
          <t>MARATHON_ANACORTES</t>
        </is>
      </c>
      <c r="B109" s="5" t="inlineStr">
        <is>
          <t>Marathon Petroleum Anacortes</t>
        </is>
      </c>
      <c r="C109" s="5" t="inlineStr">
        <is>
          <t>Marathon Petroleum</t>
        </is>
      </c>
      <c r="D109" s="5" t="n">
        <v>5</v>
      </c>
      <c r="E109" s="5" t="inlineStr">
        <is>
          <t>Washington</t>
        </is>
      </c>
      <c r="F109" s="5" t="inlineStr">
        <is>
          <t>Anacortes</t>
        </is>
      </c>
      <c r="G109" s="14" t="n">
        <v>122</v>
      </c>
      <c r="H109" s="5" t="inlineStr">
        <is>
          <t>operating</t>
        </is>
      </c>
      <c r="I109" s="17" t="n">
        <v>0.144005</v>
      </c>
      <c r="J109" s="17" t="n">
        <v>0.5900030000000001</v>
      </c>
      <c r="K109" s="17" t="n">
        <v>0.06291099999999999</v>
      </c>
      <c r="L109" s="17" t="n">
        <v>0.219241</v>
      </c>
      <c r="M109" s="17" t="n">
        <v>-0.000174</v>
      </c>
      <c r="N109" s="17" t="n">
        <v>0</v>
      </c>
      <c r="O109" s="17" t="n">
        <v>1.015987</v>
      </c>
    </row>
    <row r="110">
      <c r="A110" s="5" t="inlineStr">
        <is>
          <t>PHILLIPS_FERNDALE</t>
        </is>
      </c>
      <c r="B110" s="5" t="inlineStr">
        <is>
          <t>Phillips 66 Co. Ferndale</t>
        </is>
      </c>
      <c r="C110" s="5" t="inlineStr">
        <is>
          <t>Phillips 66 Co.</t>
        </is>
      </c>
      <c r="D110" s="5" t="n">
        <v>5</v>
      </c>
      <c r="E110" s="5" t="inlineStr">
        <is>
          <t>Washington</t>
        </is>
      </c>
      <c r="F110" s="5" t="inlineStr">
        <is>
          <t>Ferndale</t>
        </is>
      </c>
      <c r="G110" s="14" t="n">
        <v>105</v>
      </c>
      <c r="H110" s="5" t="inlineStr">
        <is>
          <t>operating</t>
        </is>
      </c>
      <c r="I110" s="17" t="n">
        <v>0.256814</v>
      </c>
      <c r="J110" s="17" t="n">
        <v>0.537851</v>
      </c>
      <c r="K110" s="17" t="n">
        <v>0.04954</v>
      </c>
      <c r="L110" s="17" t="n">
        <v>0.15784</v>
      </c>
      <c r="M110" s="17" t="n">
        <v>0.004546</v>
      </c>
      <c r="N110" s="17" t="n">
        <v>0.001016</v>
      </c>
      <c r="O110" s="17" t="n">
        <v>1.007606</v>
      </c>
    </row>
    <row r="111">
      <c r="A111" s="5" t="inlineStr">
        <is>
          <t>MARATHON_LOS_ANGELES</t>
        </is>
      </c>
      <c r="B111" s="5" t="inlineStr">
        <is>
          <t>Marathon Petroleum Los Angeles</t>
        </is>
      </c>
      <c r="C111" s="5" t="inlineStr">
        <is>
          <t>Marathon Petroleum</t>
        </is>
      </c>
      <c r="D111" s="5" t="n">
        <v>5</v>
      </c>
      <c r="E111" s="5" t="inlineStr">
        <is>
          <t>California</t>
        </is>
      </c>
      <c r="F111" s="5" t="inlineStr">
        <is>
          <t>Los Angeles</t>
        </is>
      </c>
      <c r="G111" s="14" t="n">
        <v>103.5</v>
      </c>
      <c r="H111" s="5" t="inlineStr">
        <is>
          <t>operating</t>
        </is>
      </c>
      <c r="I111" s="17" t="n">
        <v>0.264219</v>
      </c>
      <c r="J111" s="17" t="n">
        <v>0.4821029999999999</v>
      </c>
      <c r="K111" s="17" t="n">
        <v>0.0048</v>
      </c>
      <c r="L111" s="17" t="n">
        <v>0.269748</v>
      </c>
      <c r="M111" s="17" t="n">
        <v>0.011184</v>
      </c>
      <c r="N111" s="17" t="n">
        <v>0.0009</v>
      </c>
      <c r="O111" s="17" t="n">
        <v>1.032953</v>
      </c>
    </row>
    <row r="112">
      <c r="A112" s="5" t="inlineStr">
        <is>
          <t>PAR_EWA_BEACH</t>
        </is>
      </c>
      <c r="B112" s="5" t="inlineStr">
        <is>
          <t>Par Petroleum Ewa Beach</t>
        </is>
      </c>
      <c r="C112" s="5" t="inlineStr">
        <is>
          <t>Par Petroleum</t>
        </is>
      </c>
      <c r="D112" s="5" t="n">
        <v>5</v>
      </c>
      <c r="E112" s="5" t="inlineStr">
        <is>
          <t>Hawaii</t>
        </is>
      </c>
      <c r="F112" s="5" t="inlineStr">
        <is>
          <t>Ewa Beach</t>
        </is>
      </c>
      <c r="G112" s="14" t="n">
        <v>94</v>
      </c>
      <c r="H112" s="5" t="inlineStr">
        <is>
          <t>operating</t>
        </is>
      </c>
      <c r="I112" s="17" t="n">
        <v>0.181748</v>
      </c>
      <c r="J112" s="17" t="n">
        <v>0.324677</v>
      </c>
      <c r="K112" s="17" t="n">
        <v>0.158243</v>
      </c>
      <c r="L112" s="17" t="n">
        <v>0.230458</v>
      </c>
      <c r="M112" s="17" t="n">
        <v>0</v>
      </c>
      <c r="N112" s="17" t="n">
        <v>0</v>
      </c>
      <c r="O112" s="17" t="n">
        <v>0.8951260000000001</v>
      </c>
    </row>
    <row r="113">
      <c r="A113" s="5" t="inlineStr">
        <is>
          <t>VALERO_LOS_ANGELES</t>
        </is>
      </c>
      <c r="B113" s="5" t="inlineStr">
        <is>
          <t>Valero Los Angeles</t>
        </is>
      </c>
      <c r="C113" s="5" t="inlineStr">
        <is>
          <t>Valero</t>
        </is>
      </c>
      <c r="D113" s="5" t="n">
        <v>5</v>
      </c>
      <c r="E113" s="5" t="inlineStr">
        <is>
          <t>California</t>
        </is>
      </c>
      <c r="F113" s="5" t="inlineStr">
        <is>
          <t>Los Angeles</t>
        </is>
      </c>
      <c r="G113" s="14" t="n">
        <v>90</v>
      </c>
      <c r="H113" s="5" t="inlineStr">
        <is>
          <t>operating</t>
        </is>
      </c>
      <c r="I113" s="17" t="n">
        <v>0.27538</v>
      </c>
      <c r="J113" s="17" t="n">
        <v>0.770338</v>
      </c>
      <c r="K113" s="17" t="n">
        <v>0.004334</v>
      </c>
      <c r="L113" s="17" t="n">
        <v>0.014074</v>
      </c>
      <c r="M113" s="17" t="n">
        <v>-0.006875</v>
      </c>
      <c r="N113" s="17" t="n">
        <v>0</v>
      </c>
      <c r="O113" s="17" t="n">
        <v>1.05725</v>
      </c>
    </row>
    <row r="114">
      <c r="A114" s="5" t="inlineStr">
        <is>
          <t>MARATHON_NIKISKI</t>
        </is>
      </c>
      <c r="B114" s="5" t="inlineStr">
        <is>
          <t>Marathon Petroleum Nikiski</t>
        </is>
      </c>
      <c r="C114" s="5" t="inlineStr">
        <is>
          <t>Marathon Petroleum</t>
        </is>
      </c>
      <c r="D114" s="5" t="n">
        <v>5</v>
      </c>
      <c r="E114" s="5" t="inlineStr">
        <is>
          <t>Alaska</t>
        </is>
      </c>
      <c r="F114" s="5" t="inlineStr">
        <is>
          <t>Nikiski</t>
        </is>
      </c>
      <c r="G114" s="14" t="n">
        <v>68</v>
      </c>
      <c r="H114" s="5" t="inlineStr">
        <is>
          <t>operating</t>
        </is>
      </c>
      <c r="I114" s="17" t="n">
        <v>0.109631</v>
      </c>
      <c r="J114" s="17" t="n">
        <v>0.354587</v>
      </c>
      <c r="K114" s="17" t="n">
        <v>0.207415</v>
      </c>
      <c r="L114" s="17" t="n">
        <v>0.35698</v>
      </c>
      <c r="M114" s="17" t="n">
        <v>0.007786</v>
      </c>
      <c r="N114" s="17" t="n">
        <v>0.002593</v>
      </c>
      <c r="O114" s="17" t="n">
        <v>1.038994</v>
      </c>
    </row>
    <row r="115">
      <c r="A115" s="5" t="inlineStr">
        <is>
          <t>PETRO_VALDEZ</t>
        </is>
      </c>
      <c r="B115" s="5" t="inlineStr">
        <is>
          <t>Petro Star Inc. Valdez</t>
        </is>
      </c>
      <c r="C115" s="5" t="inlineStr">
        <is>
          <t>Petro Star Inc.</t>
        </is>
      </c>
      <c r="D115" s="5" t="n">
        <v>5</v>
      </c>
      <c r="E115" s="5" t="inlineStr">
        <is>
          <t>Alaska</t>
        </is>
      </c>
      <c r="F115" s="5" t="inlineStr">
        <is>
          <t>Valdez</t>
        </is>
      </c>
      <c r="G115" s="14" t="n">
        <v>60</v>
      </c>
      <c r="H115" s="5" t="inlineStr">
        <is>
          <t>operating</t>
        </is>
      </c>
      <c r="I115" s="17" t="n">
        <v>0.08385099999999999</v>
      </c>
      <c r="J115" s="17" t="n">
        <v>0</v>
      </c>
      <c r="K115" s="17" t="n">
        <v>0</v>
      </c>
      <c r="L115" s="17" t="n">
        <v>0.286891</v>
      </c>
      <c r="M115" s="17" t="n">
        <v>0</v>
      </c>
      <c r="N115" s="17" t="n">
        <v>0</v>
      </c>
      <c r="O115" s="17" t="n">
        <v>0.370742</v>
      </c>
    </row>
    <row r="116">
      <c r="A116" s="5" t="inlineStr">
        <is>
          <t>PAR_TACOMA</t>
        </is>
      </c>
      <c r="B116" s="5" t="inlineStr">
        <is>
          <t>Par Petroleum Tacoma</t>
        </is>
      </c>
      <c r="C116" s="5" t="inlineStr">
        <is>
          <t>Par Petroleum</t>
        </is>
      </c>
      <c r="D116" s="5" t="n">
        <v>5</v>
      </c>
      <c r="E116" s="5" t="inlineStr">
        <is>
          <t>Washington</t>
        </is>
      </c>
      <c r="F116" s="5" t="inlineStr">
        <is>
          <t>Tacoma</t>
        </is>
      </c>
      <c r="G116" s="14" t="n">
        <v>42</v>
      </c>
      <c r="H116" s="5" t="inlineStr">
        <is>
          <t>operating</t>
        </is>
      </c>
      <c r="I116" s="17" t="n">
        <v>0.011295</v>
      </c>
      <c r="J116" s="17" t="n">
        <v>0.401806</v>
      </c>
      <c r="K116" s="17" t="n">
        <v>0.314159</v>
      </c>
      <c r="L116" s="17" t="n">
        <v>0.207682</v>
      </c>
      <c r="M116" s="17" t="n">
        <v>0.004532</v>
      </c>
      <c r="N116" s="17" t="n">
        <v>0.00111</v>
      </c>
      <c r="O116" s="17" t="n">
        <v>0.9405880000000001</v>
      </c>
    </row>
    <row r="117">
      <c r="A117" s="5" t="inlineStr">
        <is>
          <t>KERN_BAKERSFIELD</t>
        </is>
      </c>
      <c r="B117" s="5" t="inlineStr">
        <is>
          <t>Kern Oil Bakersfield</t>
        </is>
      </c>
      <c r="C117" s="5" t="inlineStr">
        <is>
          <t>Kern Oil</t>
        </is>
      </c>
      <c r="D117" s="5" t="n">
        <v>5</v>
      </c>
      <c r="E117" s="5" t="inlineStr">
        <is>
          <t>California</t>
        </is>
      </c>
      <c r="F117" s="5" t="inlineStr">
        <is>
          <t>Bakersfield</t>
        </is>
      </c>
      <c r="G117" s="14" t="n">
        <v>27</v>
      </c>
      <c r="H117" s="5" t="inlineStr">
        <is>
          <t>operating</t>
        </is>
      </c>
      <c r="I117" s="17" t="n">
        <v>0.154252</v>
      </c>
      <c r="J117" s="17" t="n">
        <v>0.233653</v>
      </c>
      <c r="K117" s="17" t="n">
        <v>0.147569</v>
      </c>
      <c r="L117" s="17" t="n">
        <v>0.198035</v>
      </c>
      <c r="M117" s="17" t="n">
        <v>-0.001804</v>
      </c>
      <c r="N117" s="17" t="n">
        <v>0</v>
      </c>
      <c r="O117" s="17" t="n">
        <v>0.7317140000000001</v>
      </c>
    </row>
    <row r="118">
      <c r="A118" s="5" t="inlineStr">
        <is>
          <t>SAN_BAKERSFIELD</t>
        </is>
      </c>
      <c r="B118" s="5" t="inlineStr">
        <is>
          <t>San Joaquin Refining Bakersfield</t>
        </is>
      </c>
      <c r="C118" s="5" t="inlineStr">
        <is>
          <t>San Joaquin Refining</t>
        </is>
      </c>
      <c r="D118" s="5" t="n">
        <v>5</v>
      </c>
      <c r="E118" s="5" t="inlineStr">
        <is>
          <t>California</t>
        </is>
      </c>
      <c r="F118" s="5" t="inlineStr">
        <is>
          <t>Bakersfield</t>
        </is>
      </c>
      <c r="G118" s="14" t="n">
        <v>25</v>
      </c>
      <c r="H118" s="5" t="inlineStr">
        <is>
          <t>operating</t>
        </is>
      </c>
      <c r="I118" s="17" t="n">
        <v>0.138155</v>
      </c>
      <c r="J118" s="17" t="n">
        <v>0.204411</v>
      </c>
      <c r="K118" s="17" t="n">
        <v>0.128041</v>
      </c>
      <c r="L118" s="17" t="n">
        <v>0.185724</v>
      </c>
      <c r="M118" s="17" t="n">
        <v>-0.004491</v>
      </c>
      <c r="N118" s="17" t="n">
        <v>0</v>
      </c>
      <c r="O118" s="17" t="n">
        <v>0.651841</v>
      </c>
    </row>
    <row r="119">
      <c r="A119" s="5" t="inlineStr">
        <is>
          <t>PETRO_NORTH_POLE</t>
        </is>
      </c>
      <c r="B119" s="5" t="inlineStr">
        <is>
          <t>Petro Star Inc. North Pole</t>
        </is>
      </c>
      <c r="C119" s="5" t="inlineStr">
        <is>
          <t>Petro Star Inc.</t>
        </is>
      </c>
      <c r="D119" s="5" t="n">
        <v>5</v>
      </c>
      <c r="E119" s="5" t="inlineStr">
        <is>
          <t>Alaska</t>
        </is>
      </c>
      <c r="F119" s="5" t="inlineStr">
        <is>
          <t>North Pole</t>
        </is>
      </c>
      <c r="G119" s="14" t="n">
        <v>22</v>
      </c>
      <c r="H119" s="5" t="inlineStr">
        <is>
          <t>operating</t>
        </is>
      </c>
      <c r="I119" s="17" t="n">
        <v>0.079803</v>
      </c>
      <c r="J119" s="17" t="n">
        <v>0</v>
      </c>
      <c r="K119" s="17" t="n">
        <v>0</v>
      </c>
      <c r="L119" s="17" t="n">
        <v>0.286199</v>
      </c>
      <c r="M119" s="17" t="n">
        <v>0</v>
      </c>
      <c r="N119" s="17" t="n">
        <v>0</v>
      </c>
      <c r="O119" s="17" t="n">
        <v>0.366002</v>
      </c>
    </row>
    <row r="120">
      <c r="A120" s="5" t="inlineStr">
        <is>
          <t>BP_PRUDHOE_BAY</t>
        </is>
      </c>
      <c r="B120" s="5" t="inlineStr">
        <is>
          <t>BP Prudhoe Bay</t>
        </is>
      </c>
      <c r="C120" s="5" t="inlineStr">
        <is>
          <t>BP</t>
        </is>
      </c>
      <c r="D120" s="5" t="n">
        <v>5</v>
      </c>
      <c r="E120" s="5" t="inlineStr">
        <is>
          <t>Alaska</t>
        </is>
      </c>
      <c r="F120" s="5" t="inlineStr">
        <is>
          <t>Prudhoe Bay</t>
        </is>
      </c>
      <c r="G120" s="14" t="n">
        <v>16</v>
      </c>
      <c r="H120" s="5" t="inlineStr">
        <is>
          <t>operating</t>
        </is>
      </c>
      <c r="I120" s="17" t="n">
        <v>0.289795</v>
      </c>
      <c r="J120" s="17" t="n">
        <v>0</v>
      </c>
      <c r="K120" s="17" t="n">
        <v>0</v>
      </c>
      <c r="L120" s="17" t="n">
        <v>0.013923</v>
      </c>
      <c r="M120" s="17" t="n">
        <v>0</v>
      </c>
      <c r="N120" s="17" t="n">
        <v>0</v>
      </c>
      <c r="O120" s="17" t="n">
        <v>0.303708</v>
      </c>
    </row>
    <row r="121">
      <c r="A121" s="5" t="inlineStr">
        <is>
          <t>CONOCOPHILLIPS_ANCHORAGE</t>
        </is>
      </c>
      <c r="B121" s="5" t="inlineStr">
        <is>
          <t>ConocoPhillips Anchorage</t>
        </is>
      </c>
      <c r="C121" s="5" t="inlineStr">
        <is>
          <t>Phillips Petroleum</t>
        </is>
      </c>
      <c r="D121" s="5" t="n">
        <v>5</v>
      </c>
      <c r="E121" s="5" t="inlineStr">
        <is>
          <t>Alaska</t>
        </is>
      </c>
      <c r="F121" s="5" t="inlineStr">
        <is>
          <t>Anchorage</t>
        </is>
      </c>
      <c r="G121" s="14" t="n">
        <v>16</v>
      </c>
      <c r="H121" s="5" t="inlineStr">
        <is>
          <t>operating</t>
        </is>
      </c>
      <c r="I121" s="17" t="n">
        <v>0.2074</v>
      </c>
      <c r="J121" s="17" t="n">
        <v>0.326149</v>
      </c>
      <c r="K121" s="17" t="n">
        <v>0.239697</v>
      </c>
      <c r="L121" s="17" t="n">
        <v>0.155583</v>
      </c>
      <c r="M121" s="17" t="n">
        <v>0.00265</v>
      </c>
      <c r="N121" s="17" t="n">
        <v>0.000244</v>
      </c>
      <c r="O121" s="17" t="n">
        <v>0.931729</v>
      </c>
    </row>
    <row r="122">
      <c r="A122" s="5" t="inlineStr">
        <is>
          <t>LUNDAYTHAGARD_SOUTH_GATE</t>
        </is>
      </c>
      <c r="B122" s="5" t="inlineStr">
        <is>
          <t>Lunday-Thagard Oil Co. South Gate</t>
        </is>
      </c>
      <c r="C122" s="5" t="inlineStr">
        <is>
          <t>Lunday-Thagard Oil Co.</t>
        </is>
      </c>
      <c r="D122" s="5" t="n">
        <v>5</v>
      </c>
      <c r="E122" s="5" t="inlineStr">
        <is>
          <t>California</t>
        </is>
      </c>
      <c r="F122" s="5" t="inlineStr">
        <is>
          <t>South Gate</t>
        </is>
      </c>
      <c r="G122" s="14" t="n">
        <v>8.5</v>
      </c>
      <c r="H122" s="5" t="inlineStr">
        <is>
          <t>operating</t>
        </is>
      </c>
      <c r="I122" s="17" t="n">
        <v>0.156687</v>
      </c>
      <c r="J122" s="17" t="n">
        <v>0.169549</v>
      </c>
      <c r="K122" s="17" t="n">
        <v>0.16339</v>
      </c>
      <c r="L122" s="17" t="n">
        <v>0.201004</v>
      </c>
      <c r="M122" s="17" t="n">
        <v>-0.005519</v>
      </c>
      <c r="N122" s="17" t="n">
        <v>0</v>
      </c>
      <c r="O122" s="17" t="n">
        <v>0.685111</v>
      </c>
    </row>
    <row r="123">
      <c r="A123" s="5" t="inlineStr">
        <is>
          <t>FORELAND_TONOPAH</t>
        </is>
      </c>
      <c r="B123" s="5" t="inlineStr">
        <is>
          <t>Foreland Corp Tonopah</t>
        </is>
      </c>
      <c r="C123" s="5" t="inlineStr">
        <is>
          <t>Energy Income Fund</t>
        </is>
      </c>
      <c r="D123" s="5" t="n">
        <v>5</v>
      </c>
      <c r="E123" s="5" t="inlineStr">
        <is>
          <t>Nevada</t>
        </is>
      </c>
      <c r="F123" s="5" t="inlineStr">
        <is>
          <t>Tonopah</t>
        </is>
      </c>
      <c r="G123" s="14" t="n">
        <v>5</v>
      </c>
      <c r="H123" s="5" t="inlineStr">
        <is>
          <t>operating</t>
        </is>
      </c>
      <c r="I123" s="17" t="n">
        <v>0.147387</v>
      </c>
      <c r="J123" s="17" t="n">
        <v>0.143284</v>
      </c>
      <c r="K123" s="17" t="n">
        <v>0.155302</v>
      </c>
      <c r="L123" s="17" t="n">
        <v>0.172063</v>
      </c>
      <c r="M123" s="17" t="n">
        <v>0</v>
      </c>
      <c r="N123" s="17" t="n">
        <v>0</v>
      </c>
      <c r="O123" s="17" t="n">
        <v>0.618035</v>
      </c>
    </row>
    <row r="124">
      <c r="A124" s="5" t="inlineStr">
        <is>
          <t>PHILLIPS_LOS_ANGELES</t>
        </is>
      </c>
      <c r="B124" s="5" t="inlineStr">
        <is>
          <t>Phillips 66 Co. Los Angeles</t>
        </is>
      </c>
      <c r="C124" s="5" t="inlineStr">
        <is>
          <t>Phillips 66 Co.</t>
        </is>
      </c>
      <c r="D124" s="5" t="n">
        <v>5</v>
      </c>
      <c r="E124" s="5" t="inlineStr">
        <is>
          <t>California</t>
        </is>
      </c>
      <c r="F124" s="5" t="inlineStr">
        <is>
          <t>Los Angeles</t>
        </is>
      </c>
      <c r="G124" s="14" t="n">
        <v>0</v>
      </c>
      <c r="H124" s="5" t="inlineStr">
        <is>
          <t>shut</t>
        </is>
      </c>
      <c r="I124" s="17" t="n">
        <v>0.236233</v>
      </c>
      <c r="J124" s="17" t="n">
        <v>0.688377</v>
      </c>
      <c r="K124" s="17" t="n">
        <v>0.004597</v>
      </c>
      <c r="L124" s="17" t="n">
        <v>0.120232</v>
      </c>
      <c r="M124" s="17" t="n">
        <v>0.007835999999999999</v>
      </c>
      <c r="N124" s="17" t="n">
        <v>0.000102</v>
      </c>
      <c r="O124" s="17" t="n">
        <v>1.057378</v>
      </c>
    </row>
    <row r="125">
      <c r="A125" s="5" t="inlineStr">
        <is>
          <t>VALERO_BENICIA</t>
        </is>
      </c>
      <c r="B125" s="5" t="inlineStr">
        <is>
          <t>Valero Benicia</t>
        </is>
      </c>
      <c r="C125" s="5" t="inlineStr">
        <is>
          <t>Valero</t>
        </is>
      </c>
      <c r="D125" s="5" t="n">
        <v>5</v>
      </c>
      <c r="E125" s="5" t="inlineStr">
        <is>
          <t>California</t>
        </is>
      </c>
      <c r="F125" s="5" t="inlineStr">
        <is>
          <t>Benicia</t>
        </is>
      </c>
      <c r="G125" s="14" t="n">
        <v>0</v>
      </c>
      <c r="H125" s="5" t="inlineStr">
        <is>
          <t>shut</t>
        </is>
      </c>
      <c r="I125" s="17" t="n">
        <v>0.227784</v>
      </c>
      <c r="J125" s="17" t="n">
        <v>0.6763429999999999</v>
      </c>
      <c r="K125" s="17" t="n">
        <v>0.012873</v>
      </c>
      <c r="L125" s="17" t="n">
        <v>0.101721</v>
      </c>
      <c r="M125" s="17" t="n">
        <v>0.004105</v>
      </c>
      <c r="N125" s="17" t="n">
        <v>0.000439</v>
      </c>
      <c r="O125" s="17" t="n">
        <v>1.023265</v>
      </c>
    </row>
  </sheetData>
  <mergeCells count="1">
    <mergeCell ref="A1:O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2026-07-07T15:55:35Z</dcterms:created>
  <dcterms:modified xsi:type="dcterms:W3CDTF">2026-07-07T15:55:35Z</dcterms:modified>
</cp:coreProperties>
</file>