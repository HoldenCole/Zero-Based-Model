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Individual Refineries" sheetId="3" state="visible" r:id="rId3"/>
    <sheet name="Outages" sheetId="4" state="visible" r:id="rId4"/>
    <sheet name="CrudeSlate" sheetId="5" state="visible" r:id="rId5"/>
    <sheet name="BlendEcon" sheetId="6" state="visible" r:id="rId6"/>
    <sheet name="KitWalk" sheetId="7" state="visible" r:id="rId7"/>
    <sheet name="Nameplate" sheetId="8" state="visible" r:id="rId8"/>
    <sheet name="Effective" sheetId="9" state="visible" r:id="rId9"/>
    <sheet name="Data" sheetId="10" state="visible" r:id="rId10"/>
  </sheets>
  <definedNames>
    <definedName name="_xlnm._FilterDatabase" localSheetId="3" hidden="1">'Outages'!$A$12:$M$244</definedName>
    <definedName name="_xlnm._FilterDatabase" localSheetId="6" hidden="1">'KitWalk'!$A$2:$O$113</definedName>
    <definedName name="_xlnm._FilterDatabase" localSheetId="7" hidden="1">'Nameplate'!$A$2:$R$125</definedName>
    <definedName name="_xlnm._FilterDatabase" localSheetId="8" hidden="1">'Effective'!$A$2:$T$125</definedName>
    <definedName name="_xlnm._FilterDatabase" localSheetId="9" hidden="1">'Data'!$A$2:$O$125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0.0"/>
    <numFmt numFmtId="166" formatCode="m/d"/>
    <numFmt numFmtId="167" formatCode="yyyy-mm-dd"/>
    <numFmt numFmtId="168" formatCode="#,##0.0"/>
    <numFmt numFmtId="169" formatCode="+0.00;-0.00"/>
    <numFmt numFmtId="170" formatCode="+0.0;-0.0"/>
    <numFmt numFmtId="171" formatCode="+0.00%;-0.00%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color rgb="001F5AA8"/>
      <sz val="9"/>
      <u val="single"/>
    </font>
    <font>
      <name val="Calibri"/>
      <b val="1"/>
      <color rgb="00FFFFFF"/>
      <sz val="20"/>
    </font>
    <font>
      <name val="Calibri"/>
      <color rgb="00C9A227"/>
      <sz val="10"/>
    </font>
    <font>
      <name val="Calibri"/>
      <b val="1"/>
      <color rgb="0016243D"/>
      <sz val="18"/>
    </font>
    <font>
      <name val="Calibri"/>
      <color rgb="007A8699"/>
      <sz val="7"/>
    </font>
    <font>
      <color rgb="00AAAAAA"/>
      <sz val="8"/>
    </font>
    <font>
      <name val="Calibri"/>
      <b val="1"/>
      <color rgb="001F5AA8"/>
      <sz val="9"/>
      <u val="single"/>
    </font>
    <font>
      <name val="Calibri"/>
      <i val="1"/>
      <color rgb="0055617A"/>
      <sz val="9"/>
    </font>
    <font>
      <name val="Calibri"/>
      <b val="1"/>
      <color rgb="0016243D"/>
      <sz val="10"/>
    </font>
    <font>
      <name val="Calibri"/>
      <color rgb="001F5AA8"/>
      <sz val="10"/>
      <u val="single"/>
    </font>
  </fonts>
  <fills count="9">
    <fill>
      <patternFill/>
    </fill>
    <fill>
      <patternFill patternType="gray125"/>
    </fill>
    <fill>
      <patternFill patternType="solid">
        <fgColor rgb="0016243D"/>
      </patternFill>
    </fill>
    <fill>
      <patternFill patternType="solid">
        <fgColor rgb="0027406B"/>
      </patternFill>
    </fill>
    <fill>
      <patternFill patternType="solid">
        <fgColor rgb="00DCE9F7"/>
      </patternFill>
    </fill>
    <fill>
      <patternFill patternType="solid">
        <fgColor rgb="00F4F6FA"/>
      </patternFill>
    </fill>
    <fill>
      <patternFill patternType="solid">
        <fgColor rgb="00FCE4D6"/>
      </patternFill>
    </fill>
    <fill>
      <patternFill patternType="solid">
        <fgColor rgb="00F3E8C8"/>
      </patternFill>
    </fill>
    <fill>
      <patternFill patternType="solid">
        <fgColor rgb="00C9A227"/>
      </patternFill>
    </fill>
  </fills>
  <borders count="4">
    <border>
      <left/>
      <right/>
      <top/>
      <bottom/>
      <diagonal/>
    </border>
    <border>
      <bottom style="medium">
        <color rgb="00C9A227"/>
      </bottom>
    </border>
    <border>
      <left style="thin">
        <color rgb="00D5DAE3"/>
      </left>
      <right style="thin">
        <color rgb="00D5DAE3"/>
      </right>
      <top style="thin">
        <color rgb="00D5DAE3"/>
      </top>
      <bottom style="thin">
        <color rgb="00D5DAE3"/>
      </bottom>
    </border>
    <border>
      <top style="medium">
        <color rgb="00C9A227"/>
      </top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6" fillId="2" borderId="0" pivotButton="0" quotePrefix="0" xfId="0"/>
    <xf numFmtId="0" fontId="7" fillId="2" borderId="0" pivotButton="0" quotePrefix="0" xfId="0"/>
    <xf numFmtId="0" fontId="0" fillId="8" borderId="0" pivotButton="0" quotePrefix="0" xfId="0"/>
    <xf numFmtId="3" fontId="8" fillId="0" borderId="3" pivotButton="0" quotePrefix="0" xfId="0"/>
    <xf numFmtId="9" fontId="8" fillId="0" borderId="3" pivotButton="0" quotePrefix="0" xfId="0"/>
    <xf numFmtId="0" fontId="9" fillId="0" borderId="0" pivotButton="0" quotePrefix="0" xfId="0"/>
    <xf numFmtId="0" fontId="1" fillId="2" borderId="1" applyAlignment="1" pivotButton="0" quotePrefix="0" xfId="0">
      <alignment vertical="center"/>
    </xf>
    <xf numFmtId="0" fontId="0" fillId="2" borderId="1" pivotButton="0" quotePrefix="0" xfId="0"/>
    <xf numFmtId="0" fontId="11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0" fillId="4" borderId="2" pivotButton="0" quotePrefix="0" xfId="0"/>
    <xf numFmtId="0" fontId="0" fillId="6" borderId="2" pivotButton="0" quotePrefix="0" xfId="0"/>
    <xf numFmtId="0" fontId="0" fillId="5" borderId="2" pivotButton="0" quotePrefix="0" xfId="0"/>
    <xf numFmtId="0" fontId="12" fillId="0" borderId="0" pivotButton="0" quotePrefix="0" xfId="0"/>
    <xf numFmtId="0" fontId="3" fillId="4" borderId="2" pivotButton="0" quotePrefix="0" xfId="0"/>
    <xf numFmtId="0" fontId="14" fillId="0" borderId="0" pivotButton="0" quotePrefix="0" xfId="0"/>
    <xf numFmtId="0" fontId="13" fillId="0" borderId="0" pivotButton="0" quotePrefix="0" xfId="0"/>
    <xf numFmtId="3" fontId="13" fillId="0" borderId="0" pivotButton="0" quotePrefix="0" xfId="0"/>
    <xf numFmtId="165" fontId="13" fillId="0" borderId="0" pivotButton="0" quotePrefix="0" xfId="0"/>
    <xf numFmtId="10" fontId="13" fillId="0" borderId="0" pivotButton="0" quotePrefix="0" xfId="0"/>
    <xf numFmtId="0" fontId="2" fillId="3" borderId="2" applyAlignment="1" pivotButton="0" quotePrefix="0" xfId="0">
      <alignment horizontal="center" vertical="center" wrapText="1"/>
    </xf>
    <xf numFmtId="0" fontId="2" fillId="0" borderId="0" pivotButton="0" quotePrefix="0" xfId="0"/>
    <xf numFmtId="164" fontId="3" fillId="4" borderId="2" pivotButton="0" quotePrefix="0" xfId="0"/>
    <xf numFmtId="9" fontId="3" fillId="4" borderId="2" pivotButton="0" quotePrefix="0" xfId="0"/>
    <xf numFmtId="2" fontId="3" fillId="4" borderId="2" pivotButton="0" quotePrefix="0" xfId="0"/>
    <xf numFmtId="0" fontId="3" fillId="0" borderId="2" pivotButton="0" quotePrefix="0" xfId="0"/>
    <xf numFmtId="3" fontId="3" fillId="4" borderId="2" pivotButton="0" quotePrefix="0" xfId="0"/>
    <xf numFmtId="3" fontId="3" fillId="5" borderId="2" pivotButton="0" quotePrefix="0" xfId="0"/>
    <xf numFmtId="9" fontId="3" fillId="6" borderId="2" pivotButton="0" quotePrefix="0" xfId="0"/>
    <xf numFmtId="164" fontId="3" fillId="6" borderId="2" pivotButton="0" quotePrefix="0" xfId="0"/>
    <xf numFmtId="164" fontId="3" fillId="5" borderId="2" pivotButton="0" quotePrefix="0" xfId="0"/>
    <xf numFmtId="10" fontId="3" fillId="5" borderId="2" pivotButton="0" quotePrefix="0" xfId="0"/>
    <xf numFmtId="165" fontId="3" fillId="5" borderId="2" pivotButton="0" quotePrefix="0" xfId="0"/>
    <xf numFmtId="0" fontId="4" fillId="7" borderId="2" pivotButton="0" quotePrefix="0" xfId="0"/>
    <xf numFmtId="165" fontId="4" fillId="7" borderId="2" pivotButton="0" quotePrefix="0" xfId="0"/>
    <xf numFmtId="166" fontId="2" fillId="3" borderId="2" pivotButton="0" quotePrefix="0" xfId="0"/>
    <xf numFmtId="0" fontId="4" fillId="5" borderId="2" pivotButton="0" quotePrefix="0" xfId="0"/>
    <xf numFmtId="0" fontId="5" fillId="0" borderId="2" pivotButton="0" quotePrefix="0" xfId="0"/>
    <xf numFmtId="167" fontId="3" fillId="0" borderId="2" pivotButton="0" quotePrefix="0" xfId="0"/>
    <xf numFmtId="1" fontId="3" fillId="0" borderId="2" pivotButton="0" quotePrefix="0" xfId="0"/>
    <xf numFmtId="168" fontId="3" fillId="0" borderId="2" pivotButton="0" quotePrefix="0" xfId="0"/>
    <xf numFmtId="9" fontId="3" fillId="0" borderId="2" pivotButton="0" quotePrefix="0" xfId="0"/>
    <xf numFmtId="164" fontId="3" fillId="0" borderId="2" pivotButton="0" quotePrefix="0" xfId="0"/>
    <xf numFmtId="165" fontId="3" fillId="0" borderId="2" pivotButton="0" quotePrefix="0" xfId="0"/>
    <xf numFmtId="2" fontId="3" fillId="5" borderId="2" pivotButton="0" quotePrefix="0" xfId="0"/>
    <xf numFmtId="169" fontId="3" fillId="5" borderId="2" pivotButton="0" quotePrefix="0" xfId="0"/>
    <xf numFmtId="0" fontId="3" fillId="5" borderId="2" pivotButton="0" quotePrefix="0" xfId="0"/>
    <xf numFmtId="0" fontId="4" fillId="0" borderId="2" pivotButton="0" quotePrefix="0" xfId="0"/>
    <xf numFmtId="170" fontId="3" fillId="5" borderId="2" pivotButton="0" quotePrefix="0" xfId="0"/>
    <xf numFmtId="9" fontId="3" fillId="5" borderId="2" pivotButton="0" quotePrefix="0" xfId="0"/>
    <xf numFmtId="171" fontId="3" fillId="5" borderId="2" pivotButton="0" quotePrefix="0" xfId="0"/>
    <xf numFmtId="1" fontId="4" fillId="7" borderId="2" pivotButton="0" quotePrefix="0" xfId="0"/>
    <xf numFmtId="3" fontId="4" fillId="7" borderId="2" pivotButton="0" quotePrefix="0" xfId="0"/>
    <xf numFmtId="10" fontId="3" fillId="4" borderId="2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naphtha by PADD (kbd)</a:t>
            </a:r>
          </a:p>
        </rich>
      </tx>
    </title>
    <plotArea>
      <barChart>
        <barDir val="col"/>
        <grouping val="clustered"/>
        <ser>
          <idx val="0"/>
          <order val="0"/>
          <tx>
            <v>net naphtha</v>
          </tx>
          <spPr>
            <a:solidFill>
              <a:srgbClr val="C9A227"/>
            </a:solidFill>
            <a:ln>
              <a:prstDash val="solid"/>
            </a:ln>
          </spPr>
          <cat>
            <numRef>
              <f>'Cover'!$P$40:$P$44</f>
            </numRef>
          </cat>
          <val>
            <numRef>
              <f>'Cover'!$Q$40:$Q$44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CDU capacity by PADD: nameplate vs effective vs running (kbd)</a:t>
            </a:r>
          </a:p>
        </rich>
      </tx>
    </title>
    <plotArea>
      <barChart>
        <barDir val="col"/>
        <grouping val="clustered"/>
        <ser>
          <idx val="0"/>
          <order val="0"/>
          <tx>
            <v>nameplate</v>
          </tx>
          <spPr>
            <a:solidFill>
              <a:srgbClr val="16243D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'Effective'!$B$129:$B$133</f>
            </numRef>
          </val>
        </ser>
        <ser>
          <idx val="1"/>
          <order val="1"/>
          <tx>
            <v>effective</v>
          </tx>
          <spPr>
            <a:solidFill>
              <a:srgbClr val="5B7BA8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'Effective'!$C$129:$C$133</f>
            </numRef>
          </val>
        </ser>
        <ser>
          <idx val="2"/>
          <order val="2"/>
          <tx>
            <v>running</v>
          </tx>
          <spPr>
            <a:solidFill>
              <a:srgbClr val="C9A227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'Effective'!$D$129:$D$133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CDU capacity offline by week (kbd)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B03A2E"/>
            </a:solidFill>
            <a:ln>
              <a:prstDash val="solid"/>
            </a:ln>
          </spPr>
          <cat>
            <numRef>
              <f>'Outages'!$B$4:$N$4</f>
            </numRef>
          </cat>
          <val>
            <numRef>
              <f>'Outages'!$B$5:$N$5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11</row>
      <rowOff>0</rowOff>
    </from>
    <ext cx="37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45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79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Data!A1" TargetMode="External" Id="rId1" /><Relationship Type="http://schemas.openxmlformats.org/officeDocument/2006/relationships/hyperlink" Target="#Individual Refineries!A1" TargetMode="External" Id="rId2" /><Relationship Type="http://schemas.openxmlformats.org/officeDocument/2006/relationships/hyperlink" Target="#Assumptions!A1" TargetMode="External" Id="rId3" /><Relationship Type="http://schemas.openxmlformats.org/officeDocument/2006/relationships/hyperlink" Target="#Nameplate!A1" TargetMode="External" Id="rId4" /><Relationship Type="http://schemas.openxmlformats.org/officeDocument/2006/relationships/hyperlink" Target="#Effective!A1" TargetMode="External" Id="rId5" /><Relationship Type="http://schemas.openxmlformats.org/officeDocument/2006/relationships/hyperlink" Target="#CrudeSlate!A1" TargetMode="External" Id="rId6" /><Relationship Type="http://schemas.openxmlformats.org/officeDocument/2006/relationships/hyperlink" Target="#BlendEcon!A1" TargetMode="External" Id="rId7" /><Relationship Type="http://schemas.openxmlformats.org/officeDocument/2006/relationships/hyperlink" Target="#KitWalk!A1" TargetMode="External" Id="rId8" /><Relationship Type="http://schemas.openxmlformats.org/officeDocument/2006/relationships/drawing" Target="/xl/drawings/drawing1.xml" Id="rId9" /></Relationships>
</file>

<file path=xl/worksheets/_rels/sheet4.xml.rels><Relationships xmlns="http://schemas.openxmlformats.org/package/2006/relationships"><Relationship Type="http://schemas.openxmlformats.org/officeDocument/2006/relationships/hyperlink" Target="#'Individual Refineries'!A47" TargetMode="External" Id="rId1" /><Relationship Type="http://schemas.openxmlformats.org/officeDocument/2006/relationships/hyperlink" Target="#'Individual Refineries'!A540" TargetMode="External" Id="rId2" /><Relationship Type="http://schemas.openxmlformats.org/officeDocument/2006/relationships/hyperlink" Target="#'Individual Refineries'!A994" TargetMode="External" Id="rId3" /><Relationship Type="http://schemas.openxmlformats.org/officeDocument/2006/relationships/hyperlink" Target="#'Individual Refineries'!A994" TargetMode="External" Id="rId4" /><Relationship Type="http://schemas.openxmlformats.org/officeDocument/2006/relationships/hyperlink" Target="#'Individual Refineries'!A994" TargetMode="External" Id="rId5" /><Relationship Type="http://schemas.openxmlformats.org/officeDocument/2006/relationships/hyperlink" Target="#'Individual Refineries'!A994" TargetMode="External" Id="rId6" /><Relationship Type="http://schemas.openxmlformats.org/officeDocument/2006/relationships/hyperlink" Target="#'Individual Refineries'!A994" TargetMode="External" Id="rId7" /><Relationship Type="http://schemas.openxmlformats.org/officeDocument/2006/relationships/hyperlink" Target="#'Individual Refineries'!A994" TargetMode="External" Id="rId8" /><Relationship Type="http://schemas.openxmlformats.org/officeDocument/2006/relationships/hyperlink" Target="#'Individual Refineries'!A12" TargetMode="External" Id="rId9" /><Relationship Type="http://schemas.openxmlformats.org/officeDocument/2006/relationships/hyperlink" Target="#'Individual Refineries'!A12" TargetMode="External" Id="rId10" /><Relationship Type="http://schemas.openxmlformats.org/officeDocument/2006/relationships/hyperlink" Target="#'Individual Refineries'!A12" TargetMode="External" Id="rId11" /><Relationship Type="http://schemas.openxmlformats.org/officeDocument/2006/relationships/hyperlink" Target="#'Individual Refineries'!A12" TargetMode="External" Id="rId12" /><Relationship Type="http://schemas.openxmlformats.org/officeDocument/2006/relationships/hyperlink" Target="#'Individual Refineries'!A440" TargetMode="External" Id="rId13" /><Relationship Type="http://schemas.openxmlformats.org/officeDocument/2006/relationships/hyperlink" Target="#'Individual Refineries'!A440" TargetMode="External" Id="rId14" /><Relationship Type="http://schemas.openxmlformats.org/officeDocument/2006/relationships/hyperlink" Target="#'Individual Refineries'!A332" TargetMode="External" Id="rId15" /><Relationship Type="http://schemas.openxmlformats.org/officeDocument/2006/relationships/hyperlink" Target="#'Individual Refineries'!A630" TargetMode="External" Id="rId16" /><Relationship Type="http://schemas.openxmlformats.org/officeDocument/2006/relationships/hyperlink" Target="#'Individual Refineries'!A630" TargetMode="External" Id="rId17" /><Relationship Type="http://schemas.openxmlformats.org/officeDocument/2006/relationships/hyperlink" Target="#'Individual Refineries'!A630" TargetMode="External" Id="rId18" /><Relationship Type="http://schemas.openxmlformats.org/officeDocument/2006/relationships/hyperlink" Target="#'Individual Refineries'!A630" TargetMode="External" Id="rId19" /><Relationship Type="http://schemas.openxmlformats.org/officeDocument/2006/relationships/hyperlink" Target="#'Individual Refineries'!A529" TargetMode="External" Id="rId20" /><Relationship Type="http://schemas.openxmlformats.org/officeDocument/2006/relationships/hyperlink" Target="#'Individual Refineries'!A487" TargetMode="External" Id="rId21" /><Relationship Type="http://schemas.openxmlformats.org/officeDocument/2006/relationships/hyperlink" Target="#'Individual Refineries'!A901" TargetMode="External" Id="rId22" /><Relationship Type="http://schemas.openxmlformats.org/officeDocument/2006/relationships/hyperlink" Target="#'Individual Refineries'!A344" TargetMode="External" Id="rId23" /><Relationship Type="http://schemas.openxmlformats.org/officeDocument/2006/relationships/hyperlink" Target="#'Individual Refineries'!A949" TargetMode="External" Id="rId24" /><Relationship Type="http://schemas.openxmlformats.org/officeDocument/2006/relationships/hyperlink" Target="#'Individual Refineries'!A949" TargetMode="External" Id="rId25" /><Relationship Type="http://schemas.openxmlformats.org/officeDocument/2006/relationships/hyperlink" Target="#'Individual Refineries'!A949" TargetMode="External" Id="rId26" /><Relationship Type="http://schemas.openxmlformats.org/officeDocument/2006/relationships/hyperlink" Target="#'Individual Refineries'!A540" TargetMode="External" Id="rId27" /><Relationship Type="http://schemas.openxmlformats.org/officeDocument/2006/relationships/hyperlink" Target="#'Individual Refineries'!A540" TargetMode="External" Id="rId28" /><Relationship Type="http://schemas.openxmlformats.org/officeDocument/2006/relationships/hyperlink" Target="#'Individual Refineries'!A122" TargetMode="External" Id="rId29" /><Relationship Type="http://schemas.openxmlformats.org/officeDocument/2006/relationships/hyperlink" Target="#'Individual Refineries'!A122" TargetMode="External" Id="rId30" /><Relationship Type="http://schemas.openxmlformats.org/officeDocument/2006/relationships/hyperlink" Target="#'Individual Refineries'!A122" TargetMode="External" Id="rId31" /><Relationship Type="http://schemas.openxmlformats.org/officeDocument/2006/relationships/hyperlink" Target="#'Individual Refineries'!A122" TargetMode="External" Id="rId32" /><Relationship Type="http://schemas.openxmlformats.org/officeDocument/2006/relationships/hyperlink" Target="#'Individual Refineries'!A162" TargetMode="External" Id="rId33" /><Relationship Type="http://schemas.openxmlformats.org/officeDocument/2006/relationships/hyperlink" Target="#'Individual Refineries'!A368" TargetMode="External" Id="rId34" /><Relationship Type="http://schemas.openxmlformats.org/officeDocument/2006/relationships/hyperlink" Target="#'Individual Refineries'!A368" TargetMode="External" Id="rId35" /><Relationship Type="http://schemas.openxmlformats.org/officeDocument/2006/relationships/hyperlink" Target="#'Individual Refineries'!A12" TargetMode="External" Id="rId36" /><Relationship Type="http://schemas.openxmlformats.org/officeDocument/2006/relationships/hyperlink" Target="#'Individual Refineries'!A308" TargetMode="External" Id="rId37" /><Relationship Type="http://schemas.openxmlformats.org/officeDocument/2006/relationships/hyperlink" Target="#'Individual Refineries'!A26" TargetMode="External" Id="rId38" /><Relationship Type="http://schemas.openxmlformats.org/officeDocument/2006/relationships/hyperlink" Target="#'Individual Refineries'!A26" TargetMode="External" Id="rId39" /><Relationship Type="http://schemas.openxmlformats.org/officeDocument/2006/relationships/hyperlink" Target="#'Individual Refineries'!A142" TargetMode="External" Id="rId40" /><Relationship Type="http://schemas.openxmlformats.org/officeDocument/2006/relationships/hyperlink" Target="#'Individual Refineries'!A142" TargetMode="External" Id="rId41" /><Relationship Type="http://schemas.openxmlformats.org/officeDocument/2006/relationships/hyperlink" Target="#'Individual Refineries'!A142" TargetMode="External" Id="rId42" /><Relationship Type="http://schemas.openxmlformats.org/officeDocument/2006/relationships/hyperlink" Target="#'Individual Refineries'!A142" TargetMode="External" Id="rId43" /><Relationship Type="http://schemas.openxmlformats.org/officeDocument/2006/relationships/hyperlink" Target="#'Individual Refineries'!A142" TargetMode="External" Id="rId44" /><Relationship Type="http://schemas.openxmlformats.org/officeDocument/2006/relationships/hyperlink" Target="#'Individual Refineries'!A142" TargetMode="External" Id="rId45" /><Relationship Type="http://schemas.openxmlformats.org/officeDocument/2006/relationships/hyperlink" Target="#'Individual Refineries'!A142" TargetMode="External" Id="rId46" /><Relationship Type="http://schemas.openxmlformats.org/officeDocument/2006/relationships/hyperlink" Target="#'Individual Refineries'!A552" TargetMode="External" Id="rId47" /><Relationship Type="http://schemas.openxmlformats.org/officeDocument/2006/relationships/hyperlink" Target="#'Individual Refineries'!A552" TargetMode="External" Id="rId48" /><Relationship Type="http://schemas.openxmlformats.org/officeDocument/2006/relationships/hyperlink" Target="#'Individual Refineries'!A990" TargetMode="External" Id="rId49" /><Relationship Type="http://schemas.openxmlformats.org/officeDocument/2006/relationships/hyperlink" Target="#'Individual Refineries'!A990" TargetMode="External" Id="rId50" /><Relationship Type="http://schemas.openxmlformats.org/officeDocument/2006/relationships/hyperlink" Target="#'Individual Refineries'!A990" TargetMode="External" Id="rId51" /><Relationship Type="http://schemas.openxmlformats.org/officeDocument/2006/relationships/hyperlink" Target="#'Individual Refineries'!A415" TargetMode="External" Id="rId52" /><Relationship Type="http://schemas.openxmlformats.org/officeDocument/2006/relationships/hyperlink" Target="#'Individual Refineries'!A891" TargetMode="External" Id="rId53" /><Relationship Type="http://schemas.openxmlformats.org/officeDocument/2006/relationships/hyperlink" Target="#'Individual Refineries'!A891" TargetMode="External" Id="rId54" /><Relationship Type="http://schemas.openxmlformats.org/officeDocument/2006/relationships/hyperlink" Target="#'Individual Refineries'!A891" TargetMode="External" Id="rId55" /><Relationship Type="http://schemas.openxmlformats.org/officeDocument/2006/relationships/hyperlink" Target="#'Individual Refineries'!A891" TargetMode="External" Id="rId56" /><Relationship Type="http://schemas.openxmlformats.org/officeDocument/2006/relationships/hyperlink" Target="#'Individual Refineries'!A901" TargetMode="External" Id="rId57" /><Relationship Type="http://schemas.openxmlformats.org/officeDocument/2006/relationships/hyperlink" Target="#'Individual Refineries'!A754" TargetMode="External" Id="rId58" /><Relationship Type="http://schemas.openxmlformats.org/officeDocument/2006/relationships/hyperlink" Target="#'Individual Refineries'!A938" TargetMode="External" Id="rId59" /><Relationship Type="http://schemas.openxmlformats.org/officeDocument/2006/relationships/hyperlink" Target="#'Individual Refineries'!A415" TargetMode="External" Id="rId60" /><Relationship Type="http://schemas.openxmlformats.org/officeDocument/2006/relationships/hyperlink" Target="#'Individual Refineries'!A664" TargetMode="External" Id="rId61" /><Relationship Type="http://schemas.openxmlformats.org/officeDocument/2006/relationships/hyperlink" Target="#'Individual Refineries'!A54" TargetMode="External" Id="rId62" /><Relationship Type="http://schemas.openxmlformats.org/officeDocument/2006/relationships/hyperlink" Target="#'Individual Refineries'!A744" TargetMode="External" Id="rId63" /><Relationship Type="http://schemas.openxmlformats.org/officeDocument/2006/relationships/hyperlink" Target="#'Individual Refineries'!A744" TargetMode="External" Id="rId64" /><Relationship Type="http://schemas.openxmlformats.org/officeDocument/2006/relationships/hyperlink" Target="#'Individual Refineries'!A744" TargetMode="External" Id="rId65" /><Relationship Type="http://schemas.openxmlformats.org/officeDocument/2006/relationships/hyperlink" Target="#'Individual Refineries'!A917" TargetMode="External" Id="rId66" /><Relationship Type="http://schemas.openxmlformats.org/officeDocument/2006/relationships/hyperlink" Target="#'Individual Refineries'!A917" TargetMode="External" Id="rId67" /><Relationship Type="http://schemas.openxmlformats.org/officeDocument/2006/relationships/hyperlink" Target="#'Individual Refineries'!A454" TargetMode="External" Id="rId68" /><Relationship Type="http://schemas.openxmlformats.org/officeDocument/2006/relationships/hyperlink" Target="#'Individual Refineries'!A454" TargetMode="External" Id="rId69" /><Relationship Type="http://schemas.openxmlformats.org/officeDocument/2006/relationships/hyperlink" Target="#'Individual Refineries'!A884" TargetMode="External" Id="rId70" /><Relationship Type="http://schemas.openxmlformats.org/officeDocument/2006/relationships/hyperlink" Target="#'Individual Refineries'!A884" TargetMode="External" Id="rId71" /><Relationship Type="http://schemas.openxmlformats.org/officeDocument/2006/relationships/hyperlink" Target="#'Individual Refineries'!A884" TargetMode="External" Id="rId72" /><Relationship Type="http://schemas.openxmlformats.org/officeDocument/2006/relationships/hyperlink" Target="#'Individual Refineries'!A884" TargetMode="External" Id="rId73" /><Relationship Type="http://schemas.openxmlformats.org/officeDocument/2006/relationships/hyperlink" Target="#'Individual Refineries'!A884" TargetMode="External" Id="rId74" /><Relationship Type="http://schemas.openxmlformats.org/officeDocument/2006/relationships/hyperlink" Target="#'Individual Refineries'!A884" TargetMode="External" Id="rId75" /><Relationship Type="http://schemas.openxmlformats.org/officeDocument/2006/relationships/hyperlink" Target="#'Individual Refineries'!A192" TargetMode="External" Id="rId76" /><Relationship Type="http://schemas.openxmlformats.org/officeDocument/2006/relationships/hyperlink" Target="#'Individual Refineries'!A192" TargetMode="External" Id="rId77" /><Relationship Type="http://schemas.openxmlformats.org/officeDocument/2006/relationships/hyperlink" Target="#'Individual Refineries'!A192" TargetMode="External" Id="rId78" /><Relationship Type="http://schemas.openxmlformats.org/officeDocument/2006/relationships/hyperlink" Target="#'Individual Refineries'!A192" TargetMode="External" Id="rId79" /><Relationship Type="http://schemas.openxmlformats.org/officeDocument/2006/relationships/hyperlink" Target="#'Individual Refineries'!A192" TargetMode="External" Id="rId80" /><Relationship Type="http://schemas.openxmlformats.org/officeDocument/2006/relationships/hyperlink" Target="#'Individual Refineries'!A192" TargetMode="External" Id="rId81" /><Relationship Type="http://schemas.openxmlformats.org/officeDocument/2006/relationships/hyperlink" Target="#'Individual Refineries'!A192" TargetMode="External" Id="rId82" /><Relationship Type="http://schemas.openxmlformats.org/officeDocument/2006/relationships/hyperlink" Target="#'Individual Refineries'!A938" TargetMode="External" Id="rId83" /><Relationship Type="http://schemas.openxmlformats.org/officeDocument/2006/relationships/hyperlink" Target="#'Individual Refineries'!A938" TargetMode="External" Id="rId84" /><Relationship Type="http://schemas.openxmlformats.org/officeDocument/2006/relationships/hyperlink" Target="#'Individual Refineries'!A901" TargetMode="External" Id="rId85" /><Relationship Type="http://schemas.openxmlformats.org/officeDocument/2006/relationships/hyperlink" Target="#'Individual Refineries'!A901" TargetMode="External" Id="rId86" /><Relationship Type="http://schemas.openxmlformats.org/officeDocument/2006/relationships/hyperlink" Target="#'Individual Refineries'!A552" TargetMode="External" Id="rId87" /><Relationship Type="http://schemas.openxmlformats.org/officeDocument/2006/relationships/hyperlink" Target="#'Individual Refineries'!A552" TargetMode="External" Id="rId88" /><Relationship Type="http://schemas.openxmlformats.org/officeDocument/2006/relationships/hyperlink" Target="#'Individual Refineries'!A308" TargetMode="External" Id="rId89" /><Relationship Type="http://schemas.openxmlformats.org/officeDocument/2006/relationships/hyperlink" Target="#'Individual Refineries'!A308" TargetMode="External" Id="rId90" /><Relationship Type="http://schemas.openxmlformats.org/officeDocument/2006/relationships/hyperlink" Target="#'Individual Refineries'!A392" TargetMode="External" Id="rId91" /><Relationship Type="http://schemas.openxmlformats.org/officeDocument/2006/relationships/hyperlink" Target="#'Individual Refineries'!A392" TargetMode="External" Id="rId92" /><Relationship Type="http://schemas.openxmlformats.org/officeDocument/2006/relationships/hyperlink" Target="#'Individual Refineries'!A913" TargetMode="External" Id="rId93" /><Relationship Type="http://schemas.openxmlformats.org/officeDocument/2006/relationships/hyperlink" Target="#'Individual Refineries'!A913" TargetMode="External" Id="rId94" /><Relationship Type="http://schemas.openxmlformats.org/officeDocument/2006/relationships/hyperlink" Target="#'Individual Refineries'!A619" TargetMode="External" Id="rId95" /><Relationship Type="http://schemas.openxmlformats.org/officeDocument/2006/relationships/hyperlink" Target="#'Individual Refineries'!A619" TargetMode="External" Id="rId96" /><Relationship Type="http://schemas.openxmlformats.org/officeDocument/2006/relationships/hyperlink" Target="#'Individual Refineries'!A619" TargetMode="External" Id="rId97" /><Relationship Type="http://schemas.openxmlformats.org/officeDocument/2006/relationships/hyperlink" Target="#'Individual Refineries'!A403" TargetMode="External" Id="rId98" /><Relationship Type="http://schemas.openxmlformats.org/officeDocument/2006/relationships/hyperlink" Target="#'Individual Refineries'!A403" TargetMode="External" Id="rId99" /><Relationship Type="http://schemas.openxmlformats.org/officeDocument/2006/relationships/hyperlink" Target="#'Individual Refineries'!A619" TargetMode="External" Id="rId100" /><Relationship Type="http://schemas.openxmlformats.org/officeDocument/2006/relationships/hyperlink" Target="#'Individual Refineries'!A619" TargetMode="External" Id="rId101" /><Relationship Type="http://schemas.openxmlformats.org/officeDocument/2006/relationships/hyperlink" Target="#'Individual Refineries'!A344" TargetMode="External" Id="rId102" /><Relationship Type="http://schemas.openxmlformats.org/officeDocument/2006/relationships/hyperlink" Target="#'Individual Refineries'!A949" TargetMode="External" Id="rId103" /><Relationship Type="http://schemas.openxmlformats.org/officeDocument/2006/relationships/hyperlink" Target="#'Individual Refineries'!A949" TargetMode="External" Id="rId104" /><Relationship Type="http://schemas.openxmlformats.org/officeDocument/2006/relationships/hyperlink" Target="#'Individual Refineries'!A949" TargetMode="External" Id="rId105" /><Relationship Type="http://schemas.openxmlformats.org/officeDocument/2006/relationships/hyperlink" Target="#'Individual Refineries'!A949" TargetMode="External" Id="rId106" /><Relationship Type="http://schemas.openxmlformats.org/officeDocument/2006/relationships/hyperlink" Target="#'Individual Refineries'!A949" TargetMode="External" Id="rId107" /><Relationship Type="http://schemas.openxmlformats.org/officeDocument/2006/relationships/hyperlink" Target="#'Individual Refineries'!A949" TargetMode="External" Id="rId108" /><Relationship Type="http://schemas.openxmlformats.org/officeDocument/2006/relationships/hyperlink" Target="#'Individual Refineries'!A465" TargetMode="External" Id="rId109" /><Relationship Type="http://schemas.openxmlformats.org/officeDocument/2006/relationships/hyperlink" Target="#'Individual Refineries'!A1043" TargetMode="External" Id="rId110" /><Relationship Type="http://schemas.openxmlformats.org/officeDocument/2006/relationships/hyperlink" Target="#'Individual Refineries'!A1043" TargetMode="External" Id="rId111" /><Relationship Type="http://schemas.openxmlformats.org/officeDocument/2006/relationships/hyperlink" Target="#'Individual Refineries'!A440" TargetMode="External" Id="rId112" /><Relationship Type="http://schemas.openxmlformats.org/officeDocument/2006/relationships/hyperlink" Target="#'Individual Refineries'!A440" TargetMode="External" Id="rId113" /><Relationship Type="http://schemas.openxmlformats.org/officeDocument/2006/relationships/hyperlink" Target="#'Individual Refineries'!A789" TargetMode="External" Id="rId114" /><Relationship Type="http://schemas.openxmlformats.org/officeDocument/2006/relationships/hyperlink" Target="#'Individual Refineries'!A789" TargetMode="External" Id="rId115" /><Relationship Type="http://schemas.openxmlformats.org/officeDocument/2006/relationships/hyperlink" Target="#'Individual Refineries'!A789" TargetMode="External" Id="rId116" /><Relationship Type="http://schemas.openxmlformats.org/officeDocument/2006/relationships/hyperlink" Target="#'Individual Refineries'!A789" TargetMode="External" Id="rId117" /><Relationship Type="http://schemas.openxmlformats.org/officeDocument/2006/relationships/hyperlink" Target="#'Individual Refineries'!A789" TargetMode="External" Id="rId118" /><Relationship Type="http://schemas.openxmlformats.org/officeDocument/2006/relationships/hyperlink" Target="#'Individual Refineries'!A638" TargetMode="External" Id="rId119" /><Relationship Type="http://schemas.openxmlformats.org/officeDocument/2006/relationships/hyperlink" Target="#'Individual Refineries'!A638" TargetMode="External" Id="rId120" /><Relationship Type="http://schemas.openxmlformats.org/officeDocument/2006/relationships/hyperlink" Target="#'Individual Refineries'!A638" TargetMode="External" Id="rId121" /><Relationship Type="http://schemas.openxmlformats.org/officeDocument/2006/relationships/hyperlink" Target="#'Individual Refineries'!A638" TargetMode="External" Id="rId122" /><Relationship Type="http://schemas.openxmlformats.org/officeDocument/2006/relationships/hyperlink" Target="#'Individual Refineries'!A638" TargetMode="External" Id="rId123" /><Relationship Type="http://schemas.openxmlformats.org/officeDocument/2006/relationships/hyperlink" Target="#'Individual Refineries'!A638" TargetMode="External" Id="rId124" /><Relationship Type="http://schemas.openxmlformats.org/officeDocument/2006/relationships/hyperlink" Target="#'Individual Refineries'!A638" TargetMode="External" Id="rId125" /><Relationship Type="http://schemas.openxmlformats.org/officeDocument/2006/relationships/hyperlink" Target="#'Individual Refineries'!A332" TargetMode="External" Id="rId126" /><Relationship Type="http://schemas.openxmlformats.org/officeDocument/2006/relationships/hyperlink" Target="#'Individual Refineries'!A215" TargetMode="External" Id="rId127" /><Relationship Type="http://schemas.openxmlformats.org/officeDocument/2006/relationships/hyperlink" Target="#'Individual Refineries'!A215" TargetMode="External" Id="rId128" /><Relationship Type="http://schemas.openxmlformats.org/officeDocument/2006/relationships/hyperlink" Target="#'Individual Refineries'!A215" TargetMode="External" Id="rId129" /><Relationship Type="http://schemas.openxmlformats.org/officeDocument/2006/relationships/hyperlink" Target="#'Individual Refineries'!A153" TargetMode="External" Id="rId130" /><Relationship Type="http://schemas.openxmlformats.org/officeDocument/2006/relationships/hyperlink" Target="#'Individual Refineries'!A153" TargetMode="External" Id="rId131" /><Relationship Type="http://schemas.openxmlformats.org/officeDocument/2006/relationships/hyperlink" Target="#'Individual Refineries'!A520" TargetMode="External" Id="rId132" /><Relationship Type="http://schemas.openxmlformats.org/officeDocument/2006/relationships/hyperlink" Target="#'Individual Refineries'!A356" TargetMode="External" Id="rId133" /><Relationship Type="http://schemas.openxmlformats.org/officeDocument/2006/relationships/hyperlink" Target="#'Individual Refineries'!A215" TargetMode="External" Id="rId134" /><Relationship Type="http://schemas.openxmlformats.org/officeDocument/2006/relationships/hyperlink" Target="#'Individual Refineries'!A403" TargetMode="External" Id="rId135" /><Relationship Type="http://schemas.openxmlformats.org/officeDocument/2006/relationships/hyperlink" Target="#'Individual Refineries'!A403" TargetMode="External" Id="rId136" /><Relationship Type="http://schemas.openxmlformats.org/officeDocument/2006/relationships/hyperlink" Target="#'Individual Refineries'!A739" TargetMode="External" Id="rId137" /><Relationship Type="http://schemas.openxmlformats.org/officeDocument/2006/relationships/hyperlink" Target="#'Individual Refineries'!A739" TargetMode="External" Id="rId138" /><Relationship Type="http://schemas.openxmlformats.org/officeDocument/2006/relationships/hyperlink" Target="#'Individual Refineries'!A275" TargetMode="External" Id="rId139" /><Relationship Type="http://schemas.openxmlformats.org/officeDocument/2006/relationships/hyperlink" Target="#'Individual Refineries'!A275" TargetMode="External" Id="rId140" /><Relationship Type="http://schemas.openxmlformats.org/officeDocument/2006/relationships/hyperlink" Target="#'Individual Refineries'!A275" TargetMode="External" Id="rId141" /><Relationship Type="http://schemas.openxmlformats.org/officeDocument/2006/relationships/hyperlink" Target="#'Individual Refineries'!A275" TargetMode="External" Id="rId142" /><Relationship Type="http://schemas.openxmlformats.org/officeDocument/2006/relationships/hyperlink" Target="#'Individual Refineries'!A275" TargetMode="External" Id="rId143" /><Relationship Type="http://schemas.openxmlformats.org/officeDocument/2006/relationships/hyperlink" Target="#'Individual Refineries'!A275" TargetMode="External" Id="rId144" /><Relationship Type="http://schemas.openxmlformats.org/officeDocument/2006/relationships/hyperlink" Target="#'Individual Refineries'!A275" TargetMode="External" Id="rId145" /><Relationship Type="http://schemas.openxmlformats.org/officeDocument/2006/relationships/hyperlink" Target="#'Individual Refineries'!A275" TargetMode="External" Id="rId146" /><Relationship Type="http://schemas.openxmlformats.org/officeDocument/2006/relationships/hyperlink" Target="#'Individual Refineries'!A603" TargetMode="External" Id="rId147" /><Relationship Type="http://schemas.openxmlformats.org/officeDocument/2006/relationships/hyperlink" Target="#'Individual Refineries'!A603" TargetMode="External" Id="rId148" /><Relationship Type="http://schemas.openxmlformats.org/officeDocument/2006/relationships/hyperlink" Target="#'Individual Refineries'!A603" TargetMode="External" Id="rId149" /><Relationship Type="http://schemas.openxmlformats.org/officeDocument/2006/relationships/hyperlink" Target="#'Individual Refineries'!A901" TargetMode="External" Id="rId150" /><Relationship Type="http://schemas.openxmlformats.org/officeDocument/2006/relationships/hyperlink" Target="#'Individual Refineries'!A901" TargetMode="External" Id="rId151" /><Relationship Type="http://schemas.openxmlformats.org/officeDocument/2006/relationships/hyperlink" Target="#'Individual Refineries'!A858" TargetMode="External" Id="rId152" /><Relationship Type="http://schemas.openxmlformats.org/officeDocument/2006/relationships/hyperlink" Target="#'Individual Refineries'!A858" TargetMode="External" Id="rId153" /><Relationship Type="http://schemas.openxmlformats.org/officeDocument/2006/relationships/hyperlink" Target="#'Individual Refineries'!A858" TargetMode="External" Id="rId154" /><Relationship Type="http://schemas.openxmlformats.org/officeDocument/2006/relationships/hyperlink" Target="#'Individual Refineries'!A858" TargetMode="External" Id="rId155" /><Relationship Type="http://schemas.openxmlformats.org/officeDocument/2006/relationships/hyperlink" Target="#'Individual Refineries'!A858" TargetMode="External" Id="rId156" /><Relationship Type="http://schemas.openxmlformats.org/officeDocument/2006/relationships/hyperlink" Target="#'Individual Refineries'!A487" TargetMode="External" Id="rId157" /><Relationship Type="http://schemas.openxmlformats.org/officeDocument/2006/relationships/hyperlink" Target="#'Individual Refineries'!A487" TargetMode="External" Id="rId158" /><Relationship Type="http://schemas.openxmlformats.org/officeDocument/2006/relationships/hyperlink" Target="#'Individual Refineries'!A487" TargetMode="External" Id="rId159" /><Relationship Type="http://schemas.openxmlformats.org/officeDocument/2006/relationships/hyperlink" Target="#'Individual Refineries'!A487" TargetMode="External" Id="rId160" /><Relationship Type="http://schemas.openxmlformats.org/officeDocument/2006/relationships/hyperlink" Target="#'Individual Refineries'!A162" TargetMode="External" Id="rId161" /><Relationship Type="http://schemas.openxmlformats.org/officeDocument/2006/relationships/hyperlink" Target="#'Individual Refineries'!A162" TargetMode="External" Id="rId162" /><Relationship Type="http://schemas.openxmlformats.org/officeDocument/2006/relationships/hyperlink" Target="#'Individual Refineries'!A162" TargetMode="External" Id="rId163" /><Relationship Type="http://schemas.openxmlformats.org/officeDocument/2006/relationships/hyperlink" Target="#'Individual Refineries'!A78" TargetMode="External" Id="rId164" /><Relationship Type="http://schemas.openxmlformats.org/officeDocument/2006/relationships/hyperlink" Target="#'Individual Refineries'!A78" TargetMode="External" Id="rId165" /><Relationship Type="http://schemas.openxmlformats.org/officeDocument/2006/relationships/hyperlink" Target="#'Individual Refineries'!A552" TargetMode="External" Id="rId166" /><Relationship Type="http://schemas.openxmlformats.org/officeDocument/2006/relationships/hyperlink" Target="#'Individual Refineries'!A608" TargetMode="External" Id="rId167" /><Relationship Type="http://schemas.openxmlformats.org/officeDocument/2006/relationships/hyperlink" Target="#'Individual Refineries'!A608" TargetMode="External" Id="rId168" /><Relationship Type="http://schemas.openxmlformats.org/officeDocument/2006/relationships/hyperlink" Target="#'Individual Refineries'!A608" TargetMode="External" Id="rId169" /><Relationship Type="http://schemas.openxmlformats.org/officeDocument/2006/relationships/hyperlink" Target="#'Individual Refineries'!A608" TargetMode="External" Id="rId170" /><Relationship Type="http://schemas.openxmlformats.org/officeDocument/2006/relationships/hyperlink" Target="#'Individual Refineries'!A608" TargetMode="External" Id="rId171" /><Relationship Type="http://schemas.openxmlformats.org/officeDocument/2006/relationships/hyperlink" Target="#'Individual Refineries'!A608" TargetMode="External" Id="rId172" /><Relationship Type="http://schemas.openxmlformats.org/officeDocument/2006/relationships/hyperlink" Target="#'Individual Refineries'!A608" TargetMode="External" Id="rId173" /><Relationship Type="http://schemas.openxmlformats.org/officeDocument/2006/relationships/hyperlink" Target="#'Individual Refineries'!A608" TargetMode="External" Id="rId174" /><Relationship Type="http://schemas.openxmlformats.org/officeDocument/2006/relationships/hyperlink" Target="#'Individual Refineries'!A608" TargetMode="External" Id="rId175" /><Relationship Type="http://schemas.openxmlformats.org/officeDocument/2006/relationships/hyperlink" Target="#'Individual Refineries'!A608" TargetMode="External" Id="rId176" /><Relationship Type="http://schemas.openxmlformats.org/officeDocument/2006/relationships/hyperlink" Target="#'Individual Refineries'!A865" TargetMode="External" Id="rId177" /><Relationship Type="http://schemas.openxmlformats.org/officeDocument/2006/relationships/hyperlink" Target="#'Individual Refineries'!A865" TargetMode="External" Id="rId178" /><Relationship Type="http://schemas.openxmlformats.org/officeDocument/2006/relationships/hyperlink" Target="#'Individual Refineries'!A865" TargetMode="External" Id="rId179" /><Relationship Type="http://schemas.openxmlformats.org/officeDocument/2006/relationships/hyperlink" Target="#'Individual Refineries'!A865" TargetMode="External" Id="rId180" /><Relationship Type="http://schemas.openxmlformats.org/officeDocument/2006/relationships/hyperlink" Target="#'Individual Refineries'!A865" TargetMode="External" Id="rId181" /><Relationship Type="http://schemas.openxmlformats.org/officeDocument/2006/relationships/hyperlink" Target="#'Individual Refineries'!A865" TargetMode="External" Id="rId182" /><Relationship Type="http://schemas.openxmlformats.org/officeDocument/2006/relationships/hyperlink" Target="#'Individual Refineries'!A26" TargetMode="External" Id="rId183" /><Relationship Type="http://schemas.openxmlformats.org/officeDocument/2006/relationships/hyperlink" Target="#'Individual Refineries'!A26" TargetMode="External" Id="rId184" /><Relationship Type="http://schemas.openxmlformats.org/officeDocument/2006/relationships/hyperlink" Target="#'Individual Refineries'!A465" TargetMode="External" Id="rId185" /><Relationship Type="http://schemas.openxmlformats.org/officeDocument/2006/relationships/hyperlink" Target="#'Individual Refineries'!A465" TargetMode="External" Id="rId186" /><Relationship Type="http://schemas.openxmlformats.org/officeDocument/2006/relationships/hyperlink" Target="#'Individual Refineries'!A454" TargetMode="External" Id="rId187" /><Relationship Type="http://schemas.openxmlformats.org/officeDocument/2006/relationships/hyperlink" Target="#'Individual Refineries'!A454" TargetMode="External" Id="rId188" /><Relationship Type="http://schemas.openxmlformats.org/officeDocument/2006/relationships/hyperlink" Target="#'Individual Refineries'!A30" TargetMode="External" Id="rId189" /><Relationship Type="http://schemas.openxmlformats.org/officeDocument/2006/relationships/hyperlink" Target="#'Individual Refineries'!A30" TargetMode="External" Id="rId190" /><Relationship Type="http://schemas.openxmlformats.org/officeDocument/2006/relationships/hyperlink" Target="#'Individual Refineries'!A30" TargetMode="External" Id="rId191" /><Relationship Type="http://schemas.openxmlformats.org/officeDocument/2006/relationships/hyperlink" Target="#'Individual Refineries'!A30" TargetMode="External" Id="rId192" /><Relationship Type="http://schemas.openxmlformats.org/officeDocument/2006/relationships/hyperlink" Target="#'Individual Refineries'!A30" TargetMode="External" Id="rId193" /><Relationship Type="http://schemas.openxmlformats.org/officeDocument/2006/relationships/hyperlink" Target="#'Individual Refineries'!A30" TargetMode="External" Id="rId194" /><Relationship Type="http://schemas.openxmlformats.org/officeDocument/2006/relationships/hyperlink" Target="#'Individual Refineries'!A30" TargetMode="External" Id="rId195" /><Relationship Type="http://schemas.openxmlformats.org/officeDocument/2006/relationships/hyperlink" Target="#'Individual Refineries'!A591" TargetMode="External" Id="rId196" /><Relationship Type="http://schemas.openxmlformats.org/officeDocument/2006/relationships/hyperlink" Target="#'Individual Refineries'!A562" TargetMode="External" Id="rId197" /><Relationship Type="http://schemas.openxmlformats.org/officeDocument/2006/relationships/hyperlink" Target="#'Individual Refineries'!A928" TargetMode="External" Id="rId198" /><Relationship Type="http://schemas.openxmlformats.org/officeDocument/2006/relationships/hyperlink" Target="#'Individual Refineries'!A78" TargetMode="External" Id="rId199" /><Relationship Type="http://schemas.openxmlformats.org/officeDocument/2006/relationships/hyperlink" Target="#'Individual Refineries'!A100" TargetMode="External" Id="rId200" /><Relationship Type="http://schemas.openxmlformats.org/officeDocument/2006/relationships/hyperlink" Target="#'Individual Refineries'!A1060" TargetMode="External" Id="rId201" /><Relationship Type="http://schemas.openxmlformats.org/officeDocument/2006/relationships/hyperlink" Target="#'Individual Refineries'!A1060" TargetMode="External" Id="rId202" /><Relationship Type="http://schemas.openxmlformats.org/officeDocument/2006/relationships/hyperlink" Target="#'Individual Refineries'!A112" TargetMode="External" Id="rId203" /><Relationship Type="http://schemas.openxmlformats.org/officeDocument/2006/relationships/hyperlink" Target="#'Individual Refineries'!A112" TargetMode="External" Id="rId204" /><Relationship Type="http://schemas.openxmlformats.org/officeDocument/2006/relationships/hyperlink" Target="#'Individual Refineries'!A112" TargetMode="External" Id="rId205" /><Relationship Type="http://schemas.openxmlformats.org/officeDocument/2006/relationships/hyperlink" Target="#'Individual Refineries'!A112" TargetMode="External" Id="rId206" /><Relationship Type="http://schemas.openxmlformats.org/officeDocument/2006/relationships/hyperlink" Target="#'Individual Refineries'!A112" TargetMode="External" Id="rId207" /><Relationship Type="http://schemas.openxmlformats.org/officeDocument/2006/relationships/hyperlink" Target="#'Individual Refineries'!A132" TargetMode="External" Id="rId208" /><Relationship Type="http://schemas.openxmlformats.org/officeDocument/2006/relationships/hyperlink" Target="#'Individual Refineries'!A132" TargetMode="External" Id="rId209" /><Relationship Type="http://schemas.openxmlformats.org/officeDocument/2006/relationships/hyperlink" Target="#'Individual Refineries'!A132" TargetMode="External" Id="rId210" /><Relationship Type="http://schemas.openxmlformats.org/officeDocument/2006/relationships/hyperlink" Target="#'Individual Refineries'!A797" TargetMode="External" Id="rId211" /><Relationship Type="http://schemas.openxmlformats.org/officeDocument/2006/relationships/hyperlink" Target="#'Individual Refineries'!A797" TargetMode="External" Id="rId212" /><Relationship Type="http://schemas.openxmlformats.org/officeDocument/2006/relationships/hyperlink" Target="#'Individual Refineries'!A797" TargetMode="External" Id="rId213" /><Relationship Type="http://schemas.openxmlformats.org/officeDocument/2006/relationships/hyperlink" Target="#'Individual Refineries'!A797" TargetMode="External" Id="rId214" /><Relationship Type="http://schemas.openxmlformats.org/officeDocument/2006/relationships/hyperlink" Target="#'Individual Refineries'!A797" TargetMode="External" Id="rId215" /><Relationship Type="http://schemas.openxmlformats.org/officeDocument/2006/relationships/hyperlink" Target="#'Individual Refineries'!A797" TargetMode="External" Id="rId216" /><Relationship Type="http://schemas.openxmlformats.org/officeDocument/2006/relationships/hyperlink" Target="#'Individual Refineries'!A797" TargetMode="External" Id="rId217" /><Relationship Type="http://schemas.openxmlformats.org/officeDocument/2006/relationships/hyperlink" Target="#'Individual Refineries'!A797" TargetMode="External" Id="rId218" /><Relationship Type="http://schemas.openxmlformats.org/officeDocument/2006/relationships/hyperlink" Target="#'Individual Refineries'!A797" TargetMode="External" Id="rId219" /><Relationship Type="http://schemas.openxmlformats.org/officeDocument/2006/relationships/hyperlink" Target="#'Individual Refineries'!A770" TargetMode="External" Id="rId220" /><Relationship Type="http://schemas.openxmlformats.org/officeDocument/2006/relationships/hyperlink" Target="#'Individual Refineries'!A770" TargetMode="External" Id="rId221" /><Relationship Type="http://schemas.openxmlformats.org/officeDocument/2006/relationships/hyperlink" Target="#'Individual Refineries'!A770" TargetMode="External" Id="rId222" /><Relationship Type="http://schemas.openxmlformats.org/officeDocument/2006/relationships/hyperlink" Target="#'Individual Refineries'!A770" TargetMode="External" Id="rId223" /><Relationship Type="http://schemas.openxmlformats.org/officeDocument/2006/relationships/hyperlink" Target="#'Individual Refineries'!A770" TargetMode="External" Id="rId224" /><Relationship Type="http://schemas.openxmlformats.org/officeDocument/2006/relationships/hyperlink" Target="#'Individual Refineries'!A1024" TargetMode="External" Id="rId225" /><Relationship Type="http://schemas.openxmlformats.org/officeDocument/2006/relationships/hyperlink" Target="#'Individual Refineries'!A891" TargetMode="External" Id="rId226" /><Relationship Type="http://schemas.openxmlformats.org/officeDocument/2006/relationships/hyperlink" Target="#'Individual Refineries'!A891" TargetMode="External" Id="rId227" /><Relationship Type="http://schemas.openxmlformats.org/officeDocument/2006/relationships/hyperlink" Target="#'Individual Refineries'!A891" TargetMode="External" Id="rId228" /><Relationship Type="http://schemas.openxmlformats.org/officeDocument/2006/relationships/hyperlink" Target="#'Individual Refineries'!A891" TargetMode="External" Id="rId229" /><Relationship Type="http://schemas.openxmlformats.org/officeDocument/2006/relationships/hyperlink" Target="#'Individual Refineries'!A1048" TargetMode="External" Id="rId230" /><Relationship Type="http://schemas.openxmlformats.org/officeDocument/2006/relationships/hyperlink" Target="#'Individual Refineries'!A540" TargetMode="External" Id="rId231" /><Relationship Type="http://schemas.openxmlformats.org/officeDocument/2006/relationships/hyperlink" Target="#'Individual Refineries'!A540" TargetMode="External" Id="rId232" /><Relationship Type="http://schemas.openxmlformats.org/officeDocument/2006/relationships/drawing" Target="/xl/drawings/drawing2.xml" Id="rId233" /></Relationships>
</file>

<file path=xl/worksheets/_rels/sheet7.xml.rels><Relationships xmlns="http://schemas.openxmlformats.org/package/2006/relationships"><Relationship Type="http://schemas.openxmlformats.org/officeDocument/2006/relationships/hyperlink" Target="#'Individual Refineries'!A3" TargetMode="External" Id="rId1" /><Relationship Type="http://schemas.openxmlformats.org/officeDocument/2006/relationships/hyperlink" Target="#'Individual Refineries'!A12" TargetMode="External" Id="rId2" /><Relationship Type="http://schemas.openxmlformats.org/officeDocument/2006/relationships/hyperlink" Target="#'Individual Refineries'!A30" TargetMode="External" Id="rId3" /><Relationship Type="http://schemas.openxmlformats.org/officeDocument/2006/relationships/hyperlink" Target="#'Individual Refineries'!A40" TargetMode="External" Id="rId4" /><Relationship Type="http://schemas.openxmlformats.org/officeDocument/2006/relationships/hyperlink" Target="#'Individual Refineries'!A47" TargetMode="External" Id="rId5" /><Relationship Type="http://schemas.openxmlformats.org/officeDocument/2006/relationships/hyperlink" Target="#'Individual Refineries'!A54" TargetMode="External" Id="rId6" /><Relationship Type="http://schemas.openxmlformats.org/officeDocument/2006/relationships/hyperlink" Target="#'Individual Refineries'!A65" TargetMode="External" Id="rId7" /><Relationship Type="http://schemas.openxmlformats.org/officeDocument/2006/relationships/hyperlink" Target="#'Individual Refineries'!A78" TargetMode="External" Id="rId8" /><Relationship Type="http://schemas.openxmlformats.org/officeDocument/2006/relationships/hyperlink" Target="#'Individual Refineries'!A89" TargetMode="External" Id="rId9" /><Relationship Type="http://schemas.openxmlformats.org/officeDocument/2006/relationships/hyperlink" Target="#'Individual Refineries'!A100" TargetMode="External" Id="rId10" /><Relationship Type="http://schemas.openxmlformats.org/officeDocument/2006/relationships/hyperlink" Target="#'Individual Refineries'!A112" TargetMode="External" Id="rId11" /><Relationship Type="http://schemas.openxmlformats.org/officeDocument/2006/relationships/hyperlink" Target="#'Individual Refineries'!A122" TargetMode="External" Id="rId12" /><Relationship Type="http://schemas.openxmlformats.org/officeDocument/2006/relationships/hyperlink" Target="#'Individual Refineries'!A132" TargetMode="External" Id="rId13" /><Relationship Type="http://schemas.openxmlformats.org/officeDocument/2006/relationships/hyperlink" Target="#'Individual Refineries'!A142" TargetMode="External" Id="rId14" /><Relationship Type="http://schemas.openxmlformats.org/officeDocument/2006/relationships/hyperlink" Target="#'Individual Refineries'!A153" TargetMode="External" Id="rId15" /><Relationship Type="http://schemas.openxmlformats.org/officeDocument/2006/relationships/hyperlink" Target="#'Individual Refineries'!A162" TargetMode="External" Id="rId16" /><Relationship Type="http://schemas.openxmlformats.org/officeDocument/2006/relationships/hyperlink" Target="#'Individual Refineries'!A171" TargetMode="External" Id="rId17" /><Relationship Type="http://schemas.openxmlformats.org/officeDocument/2006/relationships/hyperlink" Target="#'Individual Refineries'!A182" TargetMode="External" Id="rId18" /><Relationship Type="http://schemas.openxmlformats.org/officeDocument/2006/relationships/hyperlink" Target="#'Individual Refineries'!A192" TargetMode="External" Id="rId19" /><Relationship Type="http://schemas.openxmlformats.org/officeDocument/2006/relationships/hyperlink" Target="#'Individual Refineries'!A205" TargetMode="External" Id="rId20" /><Relationship Type="http://schemas.openxmlformats.org/officeDocument/2006/relationships/hyperlink" Target="#'Individual Refineries'!A215" TargetMode="External" Id="rId21" /><Relationship Type="http://schemas.openxmlformats.org/officeDocument/2006/relationships/hyperlink" Target="#'Individual Refineries'!A226" TargetMode="External" Id="rId22" /><Relationship Type="http://schemas.openxmlformats.org/officeDocument/2006/relationships/hyperlink" Target="#'Individual Refineries'!A238" TargetMode="External" Id="rId23" /><Relationship Type="http://schemas.openxmlformats.org/officeDocument/2006/relationships/hyperlink" Target="#'Individual Refineries'!A248" TargetMode="External" Id="rId24" /><Relationship Type="http://schemas.openxmlformats.org/officeDocument/2006/relationships/hyperlink" Target="#'Individual Refineries'!A257" TargetMode="External" Id="rId25" /><Relationship Type="http://schemas.openxmlformats.org/officeDocument/2006/relationships/hyperlink" Target="#'Individual Refineries'!A267" TargetMode="External" Id="rId26" /><Relationship Type="http://schemas.openxmlformats.org/officeDocument/2006/relationships/hyperlink" Target="#'Individual Refineries'!A275" TargetMode="External" Id="rId27" /><Relationship Type="http://schemas.openxmlformats.org/officeDocument/2006/relationships/hyperlink" Target="#'Individual Refineries'!A285" TargetMode="External" Id="rId28" /><Relationship Type="http://schemas.openxmlformats.org/officeDocument/2006/relationships/hyperlink" Target="#'Individual Refineries'!A294" TargetMode="External" Id="rId29" /><Relationship Type="http://schemas.openxmlformats.org/officeDocument/2006/relationships/hyperlink" Target="#'Individual Refineries'!A308" TargetMode="External" Id="rId30" /><Relationship Type="http://schemas.openxmlformats.org/officeDocument/2006/relationships/hyperlink" Target="#'Individual Refineries'!A320" TargetMode="External" Id="rId31" /><Relationship Type="http://schemas.openxmlformats.org/officeDocument/2006/relationships/hyperlink" Target="#'Individual Refineries'!A332" TargetMode="External" Id="rId32" /><Relationship Type="http://schemas.openxmlformats.org/officeDocument/2006/relationships/hyperlink" Target="#'Individual Refineries'!A344" TargetMode="External" Id="rId33" /><Relationship Type="http://schemas.openxmlformats.org/officeDocument/2006/relationships/hyperlink" Target="#'Individual Refineries'!A356" TargetMode="External" Id="rId34" /><Relationship Type="http://schemas.openxmlformats.org/officeDocument/2006/relationships/hyperlink" Target="#'Individual Refineries'!A368" TargetMode="External" Id="rId35" /><Relationship Type="http://schemas.openxmlformats.org/officeDocument/2006/relationships/hyperlink" Target="#'Individual Refineries'!A379" TargetMode="External" Id="rId36" /><Relationship Type="http://schemas.openxmlformats.org/officeDocument/2006/relationships/hyperlink" Target="#'Individual Refineries'!A392" TargetMode="External" Id="rId37" /><Relationship Type="http://schemas.openxmlformats.org/officeDocument/2006/relationships/hyperlink" Target="#'Individual Refineries'!A403" TargetMode="External" Id="rId38" /><Relationship Type="http://schemas.openxmlformats.org/officeDocument/2006/relationships/hyperlink" Target="#'Individual Refineries'!A415" TargetMode="External" Id="rId39" /><Relationship Type="http://schemas.openxmlformats.org/officeDocument/2006/relationships/hyperlink" Target="#'Individual Refineries'!A427" TargetMode="External" Id="rId40" /><Relationship Type="http://schemas.openxmlformats.org/officeDocument/2006/relationships/hyperlink" Target="#'Individual Refineries'!A440" TargetMode="External" Id="rId41" /><Relationship Type="http://schemas.openxmlformats.org/officeDocument/2006/relationships/hyperlink" Target="#'Individual Refineries'!A454" TargetMode="External" Id="rId42" /><Relationship Type="http://schemas.openxmlformats.org/officeDocument/2006/relationships/hyperlink" Target="#'Individual Refineries'!A465" TargetMode="External" Id="rId43" /><Relationship Type="http://schemas.openxmlformats.org/officeDocument/2006/relationships/hyperlink" Target="#'Individual Refineries'!A476" TargetMode="External" Id="rId44" /><Relationship Type="http://schemas.openxmlformats.org/officeDocument/2006/relationships/hyperlink" Target="#'Individual Refineries'!A487" TargetMode="External" Id="rId45" /><Relationship Type="http://schemas.openxmlformats.org/officeDocument/2006/relationships/hyperlink" Target="#'Individual Refineries'!A498" TargetMode="External" Id="rId46" /><Relationship Type="http://schemas.openxmlformats.org/officeDocument/2006/relationships/hyperlink" Target="#'Individual Refineries'!A509" TargetMode="External" Id="rId47" /><Relationship Type="http://schemas.openxmlformats.org/officeDocument/2006/relationships/hyperlink" Target="#'Individual Refineries'!A520" TargetMode="External" Id="rId48" /><Relationship Type="http://schemas.openxmlformats.org/officeDocument/2006/relationships/hyperlink" Target="#'Individual Refineries'!A529" TargetMode="External" Id="rId49" /><Relationship Type="http://schemas.openxmlformats.org/officeDocument/2006/relationships/hyperlink" Target="#'Individual Refineries'!A540" TargetMode="External" Id="rId50" /><Relationship Type="http://schemas.openxmlformats.org/officeDocument/2006/relationships/hyperlink" Target="#'Individual Refineries'!A552" TargetMode="External" Id="rId51" /><Relationship Type="http://schemas.openxmlformats.org/officeDocument/2006/relationships/hyperlink" Target="#'Individual Refineries'!A562" TargetMode="External" Id="rId52" /><Relationship Type="http://schemas.openxmlformats.org/officeDocument/2006/relationships/hyperlink" Target="#'Individual Refineries'!A573" TargetMode="External" Id="rId53" /><Relationship Type="http://schemas.openxmlformats.org/officeDocument/2006/relationships/hyperlink" Target="#'Individual Refineries'!A582" TargetMode="External" Id="rId54" /><Relationship Type="http://schemas.openxmlformats.org/officeDocument/2006/relationships/hyperlink" Target="#'Individual Refineries'!A591" TargetMode="External" Id="rId55" /><Relationship Type="http://schemas.openxmlformats.org/officeDocument/2006/relationships/hyperlink" Target="#'Individual Refineries'!A599" TargetMode="External" Id="rId56" /><Relationship Type="http://schemas.openxmlformats.org/officeDocument/2006/relationships/hyperlink" Target="#'Individual Refineries'!A603" TargetMode="External" Id="rId57" /><Relationship Type="http://schemas.openxmlformats.org/officeDocument/2006/relationships/hyperlink" Target="#'Individual Refineries'!A608" TargetMode="External" Id="rId58" /><Relationship Type="http://schemas.openxmlformats.org/officeDocument/2006/relationships/hyperlink" Target="#'Individual Refineries'!A619" TargetMode="External" Id="rId59" /><Relationship Type="http://schemas.openxmlformats.org/officeDocument/2006/relationships/hyperlink" Target="#'Individual Refineries'!A630" TargetMode="External" Id="rId60" /><Relationship Type="http://schemas.openxmlformats.org/officeDocument/2006/relationships/hyperlink" Target="#'Individual Refineries'!A638" TargetMode="External" Id="rId61" /><Relationship Type="http://schemas.openxmlformats.org/officeDocument/2006/relationships/hyperlink" Target="#'Individual Refineries'!A652" TargetMode="External" Id="rId62" /><Relationship Type="http://schemas.openxmlformats.org/officeDocument/2006/relationships/hyperlink" Target="#'Individual Refineries'!A664" TargetMode="External" Id="rId63" /><Relationship Type="http://schemas.openxmlformats.org/officeDocument/2006/relationships/hyperlink" Target="#'Individual Refineries'!A673" TargetMode="External" Id="rId64" /><Relationship Type="http://schemas.openxmlformats.org/officeDocument/2006/relationships/hyperlink" Target="#'Individual Refineries'!A683" TargetMode="External" Id="rId65" /><Relationship Type="http://schemas.openxmlformats.org/officeDocument/2006/relationships/hyperlink" Target="#'Individual Refineries'!A692" TargetMode="External" Id="rId66" /><Relationship Type="http://schemas.openxmlformats.org/officeDocument/2006/relationships/hyperlink" Target="#'Individual Refineries'!A696" TargetMode="External" Id="rId67" /><Relationship Type="http://schemas.openxmlformats.org/officeDocument/2006/relationships/hyperlink" Target="#'Individual Refineries'!A707" TargetMode="External" Id="rId68" /><Relationship Type="http://schemas.openxmlformats.org/officeDocument/2006/relationships/hyperlink" Target="#'Individual Refineries'!A717" TargetMode="External" Id="rId69" /><Relationship Type="http://schemas.openxmlformats.org/officeDocument/2006/relationships/hyperlink" Target="#'Individual Refineries'!A723" TargetMode="External" Id="rId70" /><Relationship Type="http://schemas.openxmlformats.org/officeDocument/2006/relationships/hyperlink" Target="#'Individual Refineries'!A729" TargetMode="External" Id="rId71" /><Relationship Type="http://schemas.openxmlformats.org/officeDocument/2006/relationships/hyperlink" Target="#'Individual Refineries'!A733" TargetMode="External" Id="rId72" /><Relationship Type="http://schemas.openxmlformats.org/officeDocument/2006/relationships/hyperlink" Target="#'Individual Refineries'!A739" TargetMode="External" Id="rId73" /><Relationship Type="http://schemas.openxmlformats.org/officeDocument/2006/relationships/hyperlink" Target="#'Individual Refineries'!A744" TargetMode="External" Id="rId74" /><Relationship Type="http://schemas.openxmlformats.org/officeDocument/2006/relationships/hyperlink" Target="#'Individual Refineries'!A749" TargetMode="External" Id="rId75" /><Relationship Type="http://schemas.openxmlformats.org/officeDocument/2006/relationships/hyperlink" Target="#'Individual Refineries'!A754" TargetMode="External" Id="rId76" /><Relationship Type="http://schemas.openxmlformats.org/officeDocument/2006/relationships/hyperlink" Target="#'Individual Refineries'!A770" TargetMode="External" Id="rId77" /><Relationship Type="http://schemas.openxmlformats.org/officeDocument/2006/relationships/hyperlink" Target="#'Individual Refineries'!A778" TargetMode="External" Id="rId78" /><Relationship Type="http://schemas.openxmlformats.org/officeDocument/2006/relationships/hyperlink" Target="#'Individual Refineries'!A789" TargetMode="External" Id="rId79" /><Relationship Type="http://schemas.openxmlformats.org/officeDocument/2006/relationships/hyperlink" Target="#'Individual Refineries'!A797" TargetMode="External" Id="rId80" /><Relationship Type="http://schemas.openxmlformats.org/officeDocument/2006/relationships/hyperlink" Target="#'Individual Refineries'!A807" TargetMode="External" Id="rId81" /><Relationship Type="http://schemas.openxmlformats.org/officeDocument/2006/relationships/hyperlink" Target="#'Individual Refineries'!A818" TargetMode="External" Id="rId82" /><Relationship Type="http://schemas.openxmlformats.org/officeDocument/2006/relationships/hyperlink" Target="#'Individual Refineries'!A829" TargetMode="External" Id="rId83" /><Relationship Type="http://schemas.openxmlformats.org/officeDocument/2006/relationships/hyperlink" Target="#'Individual Refineries'!A839" TargetMode="External" Id="rId84" /><Relationship Type="http://schemas.openxmlformats.org/officeDocument/2006/relationships/hyperlink" Target="#'Individual Refineries'!A849" TargetMode="External" Id="rId85" /><Relationship Type="http://schemas.openxmlformats.org/officeDocument/2006/relationships/hyperlink" Target="#'Individual Refineries'!A858" TargetMode="External" Id="rId86" /><Relationship Type="http://schemas.openxmlformats.org/officeDocument/2006/relationships/hyperlink" Target="#'Individual Refineries'!A865" TargetMode="External" Id="rId87" /><Relationship Type="http://schemas.openxmlformats.org/officeDocument/2006/relationships/hyperlink" Target="#'Individual Refineries'!A874" TargetMode="External" Id="rId88" /><Relationship Type="http://schemas.openxmlformats.org/officeDocument/2006/relationships/hyperlink" Target="#'Individual Refineries'!A884" TargetMode="External" Id="rId89" /><Relationship Type="http://schemas.openxmlformats.org/officeDocument/2006/relationships/hyperlink" Target="#'Individual Refineries'!A891" TargetMode="External" Id="rId90" /><Relationship Type="http://schemas.openxmlformats.org/officeDocument/2006/relationships/hyperlink" Target="#'Individual Refineries'!A901" TargetMode="External" Id="rId91" /><Relationship Type="http://schemas.openxmlformats.org/officeDocument/2006/relationships/hyperlink" Target="#'Individual Refineries'!A917" TargetMode="External" Id="rId92" /><Relationship Type="http://schemas.openxmlformats.org/officeDocument/2006/relationships/hyperlink" Target="#'Individual Refineries'!A928" TargetMode="External" Id="rId93" /><Relationship Type="http://schemas.openxmlformats.org/officeDocument/2006/relationships/hyperlink" Target="#'Individual Refineries'!A938" TargetMode="External" Id="rId94" /><Relationship Type="http://schemas.openxmlformats.org/officeDocument/2006/relationships/hyperlink" Target="#'Individual Refineries'!A949" TargetMode="External" Id="rId95" /><Relationship Type="http://schemas.openxmlformats.org/officeDocument/2006/relationships/hyperlink" Target="#'Individual Refineries'!A962" TargetMode="External" Id="rId96" /><Relationship Type="http://schemas.openxmlformats.org/officeDocument/2006/relationships/hyperlink" Target="#'Individual Refineries'!A972" TargetMode="External" Id="rId97" /><Relationship Type="http://schemas.openxmlformats.org/officeDocument/2006/relationships/hyperlink" Target="#'Individual Refineries'!A981" TargetMode="External" Id="rId98" /><Relationship Type="http://schemas.openxmlformats.org/officeDocument/2006/relationships/hyperlink" Target="#'Individual Refineries'!A994" TargetMode="External" Id="rId99" /><Relationship Type="http://schemas.openxmlformats.org/officeDocument/2006/relationships/hyperlink" Target="#'Individual Refineries'!A1004" TargetMode="External" Id="rId100" /><Relationship Type="http://schemas.openxmlformats.org/officeDocument/2006/relationships/hyperlink" Target="#'Individual Refineries'!A1014" TargetMode="External" Id="rId101" /><Relationship Type="http://schemas.openxmlformats.org/officeDocument/2006/relationships/hyperlink" Target="#'Individual Refineries'!A1024" TargetMode="External" Id="rId102" /><Relationship Type="http://schemas.openxmlformats.org/officeDocument/2006/relationships/hyperlink" Target="#'Individual Refineries'!A1028" TargetMode="External" Id="rId103" /><Relationship Type="http://schemas.openxmlformats.org/officeDocument/2006/relationships/hyperlink" Target="#'Individual Refineries'!A1036" TargetMode="External" Id="rId104" /><Relationship Type="http://schemas.openxmlformats.org/officeDocument/2006/relationships/hyperlink" Target="#'Individual Refineries'!A1043" TargetMode="External" Id="rId105" /><Relationship Type="http://schemas.openxmlformats.org/officeDocument/2006/relationships/hyperlink" Target="#'Individual Refineries'!A1048" TargetMode="External" Id="rId106" /><Relationship Type="http://schemas.openxmlformats.org/officeDocument/2006/relationships/hyperlink" Target="#'Individual Refineries'!A1052" TargetMode="External" Id="rId107" /><Relationship Type="http://schemas.openxmlformats.org/officeDocument/2006/relationships/hyperlink" Target="#'Individual Refineries'!A1056" TargetMode="External" Id="rId108" /><Relationship Type="http://schemas.openxmlformats.org/officeDocument/2006/relationships/hyperlink" Target="#'Individual Refineries'!A1060" TargetMode="External" Id="rId109" /><Relationship Type="http://schemas.openxmlformats.org/officeDocument/2006/relationships/hyperlink" Target="#'Individual Refineries'!A1065" TargetMode="External" Id="rId110" /><Relationship Type="http://schemas.openxmlformats.org/officeDocument/2006/relationships/hyperlink" Target="#'Individual Refineries'!A1074" TargetMode="External" Id="rId111" /></Relationships>
</file>

<file path=xl/worksheets/_rels/sheet8.xml.rels><Relationships xmlns="http://schemas.openxmlformats.org/package/2006/relationships"><Relationship Type="http://schemas.openxmlformats.org/officeDocument/2006/relationships/hyperlink" Target="#'Individual Refineries'!A3" TargetMode="External" Id="rId1" /><Relationship Type="http://schemas.openxmlformats.org/officeDocument/2006/relationships/hyperlink" Target="#'Individual Refineries'!A12" TargetMode="External" Id="rId2" /><Relationship Type="http://schemas.openxmlformats.org/officeDocument/2006/relationships/hyperlink" Target="#'Individual Refineries'!A22" TargetMode="External" Id="rId3" /><Relationship Type="http://schemas.openxmlformats.org/officeDocument/2006/relationships/hyperlink" Target="#'Individual Refineries'!A26" TargetMode="External" Id="rId4" /><Relationship Type="http://schemas.openxmlformats.org/officeDocument/2006/relationships/hyperlink" Target="#'Individual Refineries'!A30" TargetMode="External" Id="rId5" /><Relationship Type="http://schemas.openxmlformats.org/officeDocument/2006/relationships/hyperlink" Target="#'Individual Refineries'!A40" TargetMode="External" Id="rId6" /><Relationship Type="http://schemas.openxmlformats.org/officeDocument/2006/relationships/hyperlink" Target="#'Individual Refineries'!A47" TargetMode="External" Id="rId7" /><Relationship Type="http://schemas.openxmlformats.org/officeDocument/2006/relationships/hyperlink" Target="#'Individual Refineries'!A54" TargetMode="External" Id="rId8" /><Relationship Type="http://schemas.openxmlformats.org/officeDocument/2006/relationships/hyperlink" Target="#'Individual Refineries'!A65" TargetMode="External" Id="rId9" /><Relationship Type="http://schemas.openxmlformats.org/officeDocument/2006/relationships/hyperlink" Target="#'Individual Refineries'!A78" TargetMode="External" Id="rId10" /><Relationship Type="http://schemas.openxmlformats.org/officeDocument/2006/relationships/hyperlink" Target="#'Individual Refineries'!A89" TargetMode="External" Id="rId11" /><Relationship Type="http://schemas.openxmlformats.org/officeDocument/2006/relationships/hyperlink" Target="#'Individual Refineries'!A100" TargetMode="External" Id="rId12" /><Relationship Type="http://schemas.openxmlformats.org/officeDocument/2006/relationships/hyperlink" Target="#'Individual Refineries'!A112" TargetMode="External" Id="rId13" /><Relationship Type="http://schemas.openxmlformats.org/officeDocument/2006/relationships/hyperlink" Target="#'Individual Refineries'!A122" TargetMode="External" Id="rId14" /><Relationship Type="http://schemas.openxmlformats.org/officeDocument/2006/relationships/hyperlink" Target="#'Individual Refineries'!A132" TargetMode="External" Id="rId15" /><Relationship Type="http://schemas.openxmlformats.org/officeDocument/2006/relationships/hyperlink" Target="#'Individual Refineries'!A142" TargetMode="External" Id="rId16" /><Relationship Type="http://schemas.openxmlformats.org/officeDocument/2006/relationships/hyperlink" Target="#'Individual Refineries'!A153" TargetMode="External" Id="rId17" /><Relationship Type="http://schemas.openxmlformats.org/officeDocument/2006/relationships/hyperlink" Target="#'Individual Refineries'!A162" TargetMode="External" Id="rId18" /><Relationship Type="http://schemas.openxmlformats.org/officeDocument/2006/relationships/hyperlink" Target="#'Individual Refineries'!A171" TargetMode="External" Id="rId19" /><Relationship Type="http://schemas.openxmlformats.org/officeDocument/2006/relationships/hyperlink" Target="#'Individual Refineries'!A182" TargetMode="External" Id="rId20" /><Relationship Type="http://schemas.openxmlformats.org/officeDocument/2006/relationships/hyperlink" Target="#'Individual Refineries'!A192" TargetMode="External" Id="rId21" /><Relationship Type="http://schemas.openxmlformats.org/officeDocument/2006/relationships/hyperlink" Target="#'Individual Refineries'!A205" TargetMode="External" Id="rId22" /><Relationship Type="http://schemas.openxmlformats.org/officeDocument/2006/relationships/hyperlink" Target="#'Individual Refineries'!A215" TargetMode="External" Id="rId23" /><Relationship Type="http://schemas.openxmlformats.org/officeDocument/2006/relationships/hyperlink" Target="#'Individual Refineries'!A226" TargetMode="External" Id="rId24" /><Relationship Type="http://schemas.openxmlformats.org/officeDocument/2006/relationships/hyperlink" Target="#'Individual Refineries'!A238" TargetMode="External" Id="rId25" /><Relationship Type="http://schemas.openxmlformats.org/officeDocument/2006/relationships/hyperlink" Target="#'Individual Refineries'!A248" TargetMode="External" Id="rId26" /><Relationship Type="http://schemas.openxmlformats.org/officeDocument/2006/relationships/hyperlink" Target="#'Individual Refineries'!A257" TargetMode="External" Id="rId27" /><Relationship Type="http://schemas.openxmlformats.org/officeDocument/2006/relationships/hyperlink" Target="#'Individual Refineries'!A267" TargetMode="External" Id="rId28" /><Relationship Type="http://schemas.openxmlformats.org/officeDocument/2006/relationships/hyperlink" Target="#'Individual Refineries'!A275" TargetMode="External" Id="rId29" /><Relationship Type="http://schemas.openxmlformats.org/officeDocument/2006/relationships/hyperlink" Target="#'Individual Refineries'!A285" TargetMode="External" Id="rId30" /><Relationship Type="http://schemas.openxmlformats.org/officeDocument/2006/relationships/hyperlink" Target="#'Individual Refineries'!A294" TargetMode="External" Id="rId31" /><Relationship Type="http://schemas.openxmlformats.org/officeDocument/2006/relationships/hyperlink" Target="#'Individual Refineries'!A304" TargetMode="External" Id="rId32" /><Relationship Type="http://schemas.openxmlformats.org/officeDocument/2006/relationships/hyperlink" Target="#'Individual Refineries'!A308" TargetMode="External" Id="rId33" /><Relationship Type="http://schemas.openxmlformats.org/officeDocument/2006/relationships/hyperlink" Target="#'Individual Refineries'!A320" TargetMode="External" Id="rId34" /><Relationship Type="http://schemas.openxmlformats.org/officeDocument/2006/relationships/hyperlink" Target="#'Individual Refineries'!A332" TargetMode="External" Id="rId35" /><Relationship Type="http://schemas.openxmlformats.org/officeDocument/2006/relationships/hyperlink" Target="#'Individual Refineries'!A344" TargetMode="External" Id="rId36" /><Relationship Type="http://schemas.openxmlformats.org/officeDocument/2006/relationships/hyperlink" Target="#'Individual Refineries'!A356" TargetMode="External" Id="rId37" /><Relationship Type="http://schemas.openxmlformats.org/officeDocument/2006/relationships/hyperlink" Target="#'Individual Refineries'!A368" TargetMode="External" Id="rId38" /><Relationship Type="http://schemas.openxmlformats.org/officeDocument/2006/relationships/hyperlink" Target="#'Individual Refineries'!A379" TargetMode="External" Id="rId39" /><Relationship Type="http://schemas.openxmlformats.org/officeDocument/2006/relationships/hyperlink" Target="#'Individual Refineries'!A392" TargetMode="External" Id="rId40" /><Relationship Type="http://schemas.openxmlformats.org/officeDocument/2006/relationships/hyperlink" Target="#'Individual Refineries'!A403" TargetMode="External" Id="rId41" /><Relationship Type="http://schemas.openxmlformats.org/officeDocument/2006/relationships/hyperlink" Target="#'Individual Refineries'!A415" TargetMode="External" Id="rId42" /><Relationship Type="http://schemas.openxmlformats.org/officeDocument/2006/relationships/hyperlink" Target="#'Individual Refineries'!A427" TargetMode="External" Id="rId43" /><Relationship Type="http://schemas.openxmlformats.org/officeDocument/2006/relationships/hyperlink" Target="#'Individual Refineries'!A440" TargetMode="External" Id="rId44" /><Relationship Type="http://schemas.openxmlformats.org/officeDocument/2006/relationships/hyperlink" Target="#'Individual Refineries'!A454" TargetMode="External" Id="rId45" /><Relationship Type="http://schemas.openxmlformats.org/officeDocument/2006/relationships/hyperlink" Target="#'Individual Refineries'!A465" TargetMode="External" Id="rId46" /><Relationship Type="http://schemas.openxmlformats.org/officeDocument/2006/relationships/hyperlink" Target="#'Individual Refineries'!A476" TargetMode="External" Id="rId47" /><Relationship Type="http://schemas.openxmlformats.org/officeDocument/2006/relationships/hyperlink" Target="#'Individual Refineries'!A487" TargetMode="External" Id="rId48" /><Relationship Type="http://schemas.openxmlformats.org/officeDocument/2006/relationships/hyperlink" Target="#'Individual Refineries'!A498" TargetMode="External" Id="rId49" /><Relationship Type="http://schemas.openxmlformats.org/officeDocument/2006/relationships/hyperlink" Target="#'Individual Refineries'!A509" TargetMode="External" Id="rId50" /><Relationship Type="http://schemas.openxmlformats.org/officeDocument/2006/relationships/hyperlink" Target="#'Individual Refineries'!A520" TargetMode="External" Id="rId51" /><Relationship Type="http://schemas.openxmlformats.org/officeDocument/2006/relationships/hyperlink" Target="#'Individual Refineries'!A529" TargetMode="External" Id="rId52" /><Relationship Type="http://schemas.openxmlformats.org/officeDocument/2006/relationships/hyperlink" Target="#'Individual Refineries'!A540" TargetMode="External" Id="rId53" /><Relationship Type="http://schemas.openxmlformats.org/officeDocument/2006/relationships/hyperlink" Target="#'Individual Refineries'!A552" TargetMode="External" Id="rId54" /><Relationship Type="http://schemas.openxmlformats.org/officeDocument/2006/relationships/hyperlink" Target="#'Individual Refineries'!A562" TargetMode="External" Id="rId55" /><Relationship Type="http://schemas.openxmlformats.org/officeDocument/2006/relationships/hyperlink" Target="#'Individual Refineries'!A573" TargetMode="External" Id="rId56" /><Relationship Type="http://schemas.openxmlformats.org/officeDocument/2006/relationships/hyperlink" Target="#'Individual Refineries'!A582" TargetMode="External" Id="rId57" /><Relationship Type="http://schemas.openxmlformats.org/officeDocument/2006/relationships/hyperlink" Target="#'Individual Refineries'!A591" TargetMode="External" Id="rId58" /><Relationship Type="http://schemas.openxmlformats.org/officeDocument/2006/relationships/hyperlink" Target="#'Individual Refineries'!A599" TargetMode="External" Id="rId59" /><Relationship Type="http://schemas.openxmlformats.org/officeDocument/2006/relationships/hyperlink" Target="#'Individual Refineries'!A603" TargetMode="External" Id="rId60" /><Relationship Type="http://schemas.openxmlformats.org/officeDocument/2006/relationships/hyperlink" Target="#'Individual Refineries'!A608" TargetMode="External" Id="rId61" /><Relationship Type="http://schemas.openxmlformats.org/officeDocument/2006/relationships/hyperlink" Target="#'Individual Refineries'!A619" TargetMode="External" Id="rId62" /><Relationship Type="http://schemas.openxmlformats.org/officeDocument/2006/relationships/hyperlink" Target="#'Individual Refineries'!A630" TargetMode="External" Id="rId63" /><Relationship Type="http://schemas.openxmlformats.org/officeDocument/2006/relationships/hyperlink" Target="#'Individual Refineries'!A638" TargetMode="External" Id="rId64" /><Relationship Type="http://schemas.openxmlformats.org/officeDocument/2006/relationships/hyperlink" Target="#'Individual Refineries'!A648" TargetMode="External" Id="rId65" /><Relationship Type="http://schemas.openxmlformats.org/officeDocument/2006/relationships/hyperlink" Target="#'Individual Refineries'!A652" TargetMode="External" Id="rId66" /><Relationship Type="http://schemas.openxmlformats.org/officeDocument/2006/relationships/hyperlink" Target="#'Individual Refineries'!A664" TargetMode="External" Id="rId67" /><Relationship Type="http://schemas.openxmlformats.org/officeDocument/2006/relationships/hyperlink" Target="#'Individual Refineries'!A673" TargetMode="External" Id="rId68" /><Relationship Type="http://schemas.openxmlformats.org/officeDocument/2006/relationships/hyperlink" Target="#'Individual Refineries'!A683" TargetMode="External" Id="rId69" /><Relationship Type="http://schemas.openxmlformats.org/officeDocument/2006/relationships/hyperlink" Target="#'Individual Refineries'!A692" TargetMode="External" Id="rId70" /><Relationship Type="http://schemas.openxmlformats.org/officeDocument/2006/relationships/hyperlink" Target="#'Individual Refineries'!A696" TargetMode="External" Id="rId71" /><Relationship Type="http://schemas.openxmlformats.org/officeDocument/2006/relationships/hyperlink" Target="#'Individual Refineries'!A703" TargetMode="External" Id="rId72" /><Relationship Type="http://schemas.openxmlformats.org/officeDocument/2006/relationships/hyperlink" Target="#'Individual Refineries'!A707" TargetMode="External" Id="rId73" /><Relationship Type="http://schemas.openxmlformats.org/officeDocument/2006/relationships/hyperlink" Target="#'Individual Refineries'!A717" TargetMode="External" Id="rId74" /><Relationship Type="http://schemas.openxmlformats.org/officeDocument/2006/relationships/hyperlink" Target="#'Individual Refineries'!A723" TargetMode="External" Id="rId75" /><Relationship Type="http://schemas.openxmlformats.org/officeDocument/2006/relationships/hyperlink" Target="#'Individual Refineries'!A729" TargetMode="External" Id="rId76" /><Relationship Type="http://schemas.openxmlformats.org/officeDocument/2006/relationships/hyperlink" Target="#'Individual Refineries'!A733" TargetMode="External" Id="rId77" /><Relationship Type="http://schemas.openxmlformats.org/officeDocument/2006/relationships/hyperlink" Target="#'Individual Refineries'!A739" TargetMode="External" Id="rId78" /><Relationship Type="http://schemas.openxmlformats.org/officeDocument/2006/relationships/hyperlink" Target="#'Individual Refineries'!A744" TargetMode="External" Id="rId79" /><Relationship Type="http://schemas.openxmlformats.org/officeDocument/2006/relationships/hyperlink" Target="#'Individual Refineries'!A749" TargetMode="External" Id="rId80" /><Relationship Type="http://schemas.openxmlformats.org/officeDocument/2006/relationships/hyperlink" Target="#'Individual Refineries'!A754" TargetMode="External" Id="rId81" /><Relationship Type="http://schemas.openxmlformats.org/officeDocument/2006/relationships/hyperlink" Target="#'Individual Refineries'!A758" TargetMode="External" Id="rId82" /><Relationship Type="http://schemas.openxmlformats.org/officeDocument/2006/relationships/hyperlink" Target="#'Individual Refineries'!A762" TargetMode="External" Id="rId83" /><Relationship Type="http://schemas.openxmlformats.org/officeDocument/2006/relationships/hyperlink" Target="#'Individual Refineries'!A766" TargetMode="External" Id="rId84" /><Relationship Type="http://schemas.openxmlformats.org/officeDocument/2006/relationships/hyperlink" Target="#'Individual Refineries'!A770" TargetMode="External" Id="rId85" /><Relationship Type="http://schemas.openxmlformats.org/officeDocument/2006/relationships/hyperlink" Target="#'Individual Refineries'!A778" TargetMode="External" Id="rId86" /><Relationship Type="http://schemas.openxmlformats.org/officeDocument/2006/relationships/hyperlink" Target="#'Individual Refineries'!A789" TargetMode="External" Id="rId87" /><Relationship Type="http://schemas.openxmlformats.org/officeDocument/2006/relationships/hyperlink" Target="#'Individual Refineries'!A797" TargetMode="External" Id="rId88" /><Relationship Type="http://schemas.openxmlformats.org/officeDocument/2006/relationships/hyperlink" Target="#'Individual Refineries'!A807" TargetMode="External" Id="rId89" /><Relationship Type="http://schemas.openxmlformats.org/officeDocument/2006/relationships/hyperlink" Target="#'Individual Refineries'!A818" TargetMode="External" Id="rId90" /><Relationship Type="http://schemas.openxmlformats.org/officeDocument/2006/relationships/hyperlink" Target="#'Individual Refineries'!A829" TargetMode="External" Id="rId91" /><Relationship Type="http://schemas.openxmlformats.org/officeDocument/2006/relationships/hyperlink" Target="#'Individual Refineries'!A839" TargetMode="External" Id="rId92" /><Relationship Type="http://schemas.openxmlformats.org/officeDocument/2006/relationships/hyperlink" Target="#'Individual Refineries'!A849" TargetMode="External" Id="rId93" /><Relationship Type="http://schemas.openxmlformats.org/officeDocument/2006/relationships/hyperlink" Target="#'Individual Refineries'!A858" TargetMode="External" Id="rId94" /><Relationship Type="http://schemas.openxmlformats.org/officeDocument/2006/relationships/hyperlink" Target="#'Individual Refineries'!A865" TargetMode="External" Id="rId95" /><Relationship Type="http://schemas.openxmlformats.org/officeDocument/2006/relationships/hyperlink" Target="#'Individual Refineries'!A874" TargetMode="External" Id="rId96" /><Relationship Type="http://schemas.openxmlformats.org/officeDocument/2006/relationships/hyperlink" Target="#'Individual Refineries'!A884" TargetMode="External" Id="rId97" /><Relationship Type="http://schemas.openxmlformats.org/officeDocument/2006/relationships/hyperlink" Target="#'Individual Refineries'!A891" TargetMode="External" Id="rId98" /><Relationship Type="http://schemas.openxmlformats.org/officeDocument/2006/relationships/hyperlink" Target="#'Individual Refineries'!A897" TargetMode="External" Id="rId99" /><Relationship Type="http://schemas.openxmlformats.org/officeDocument/2006/relationships/hyperlink" Target="#'Individual Refineries'!A901" TargetMode="External" Id="rId100" /><Relationship Type="http://schemas.openxmlformats.org/officeDocument/2006/relationships/hyperlink" Target="#'Individual Refineries'!A913" TargetMode="External" Id="rId101" /><Relationship Type="http://schemas.openxmlformats.org/officeDocument/2006/relationships/hyperlink" Target="#'Individual Refineries'!A917" TargetMode="External" Id="rId102" /><Relationship Type="http://schemas.openxmlformats.org/officeDocument/2006/relationships/hyperlink" Target="#'Individual Refineries'!A928" TargetMode="External" Id="rId103" /><Relationship Type="http://schemas.openxmlformats.org/officeDocument/2006/relationships/hyperlink" Target="#'Individual Refineries'!A938" TargetMode="External" Id="rId104" /><Relationship Type="http://schemas.openxmlformats.org/officeDocument/2006/relationships/hyperlink" Target="#'Individual Refineries'!A949" TargetMode="External" Id="rId105" /><Relationship Type="http://schemas.openxmlformats.org/officeDocument/2006/relationships/hyperlink" Target="#'Individual Refineries'!A962" TargetMode="External" Id="rId106" /><Relationship Type="http://schemas.openxmlformats.org/officeDocument/2006/relationships/hyperlink" Target="#'Individual Refineries'!A972" TargetMode="External" Id="rId107" /><Relationship Type="http://schemas.openxmlformats.org/officeDocument/2006/relationships/hyperlink" Target="#'Individual Refineries'!A981" TargetMode="External" Id="rId108" /><Relationship Type="http://schemas.openxmlformats.org/officeDocument/2006/relationships/hyperlink" Target="#'Individual Refineries'!A990" TargetMode="External" Id="rId109" /><Relationship Type="http://schemas.openxmlformats.org/officeDocument/2006/relationships/hyperlink" Target="#'Individual Refineries'!A994" TargetMode="External" Id="rId110" /><Relationship Type="http://schemas.openxmlformats.org/officeDocument/2006/relationships/hyperlink" Target="#'Individual Refineries'!A1004" TargetMode="External" Id="rId111" /><Relationship Type="http://schemas.openxmlformats.org/officeDocument/2006/relationships/hyperlink" Target="#'Individual Refineries'!A1014" TargetMode="External" Id="rId112" /><Relationship Type="http://schemas.openxmlformats.org/officeDocument/2006/relationships/hyperlink" Target="#'Individual Refineries'!A1024" TargetMode="External" Id="rId113" /><Relationship Type="http://schemas.openxmlformats.org/officeDocument/2006/relationships/hyperlink" Target="#'Individual Refineries'!A1028" TargetMode="External" Id="rId114" /><Relationship Type="http://schemas.openxmlformats.org/officeDocument/2006/relationships/hyperlink" Target="#'Individual Refineries'!A1036" TargetMode="External" Id="rId115" /><Relationship Type="http://schemas.openxmlformats.org/officeDocument/2006/relationships/hyperlink" Target="#'Individual Refineries'!A1043" TargetMode="External" Id="rId116" /><Relationship Type="http://schemas.openxmlformats.org/officeDocument/2006/relationships/hyperlink" Target="#'Individual Refineries'!A1048" TargetMode="External" Id="rId117" /><Relationship Type="http://schemas.openxmlformats.org/officeDocument/2006/relationships/hyperlink" Target="#'Individual Refineries'!A1052" TargetMode="External" Id="rId118" /><Relationship Type="http://schemas.openxmlformats.org/officeDocument/2006/relationships/hyperlink" Target="#'Individual Refineries'!A1056" TargetMode="External" Id="rId119" /><Relationship Type="http://schemas.openxmlformats.org/officeDocument/2006/relationships/hyperlink" Target="#'Individual Refineries'!A1060" TargetMode="External" Id="rId120" /><Relationship Type="http://schemas.openxmlformats.org/officeDocument/2006/relationships/hyperlink" Target="#'Individual Refineries'!A1065" TargetMode="External" Id="rId121" /><Relationship Type="http://schemas.openxmlformats.org/officeDocument/2006/relationships/hyperlink" Target="#'Individual Refineries'!A1070" TargetMode="External" Id="rId122" /><Relationship Type="http://schemas.openxmlformats.org/officeDocument/2006/relationships/hyperlink" Target="#'Individual Refineries'!A1074" TargetMode="External" Id="rId123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2:Q56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2"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>
      <c r="B3" s="1" t="n"/>
      <c r="C3" s="2" t="inlineStr">
        <is>
          <t>US NAPHTHA — ZERO-BASED REFINERY MODEL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</row>
    <row r="4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</row>
    <row r="5">
      <c r="B5" s="1" t="n"/>
      <c r="C5" s="3" t="inlineStr">
        <is>
          <t>123 refineries · unit-level build · PADD 1–5 · generated 09 Jul 2026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</row>
    <row r="6"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</row>
    <row r="7" ht="4" customHeight="1"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9">
      <c r="C9" s="5">
        <f>SUMPRODUCT(('Individual Refineries'!$A$3:$A$1084="TOTAL")*'Individual Refineries'!$Q$3:$Q$1084)</f>
        <v/>
      </c>
      <c r="E9" s="6">
        <f>SUMPRODUCT(('Individual Refineries'!$A$3:$A$1084="TOTAL")*('Individual Refineries'!$C$3:$C$1084=3)*'Individual Refineries'!$Q$3:$Q$1084)/SUMPRODUCT(('Individual Refineries'!$A$3:$A$1084="TOTAL")*'Individual Refineries'!$Q$3:$Q$1084)</f>
        <v/>
      </c>
      <c r="G9" s="5">
        <f>SUMPRODUCT((('Individual Refineries'!$D$3:$D$1084="CDU")+('Individual Refineries'!$D$3:$D$1084="CRUDE-EST"))*'Individual Refineries'!$F$3:$F$1084*'Individual Refineries'!$K$3:$K$1084)</f>
        <v/>
      </c>
      <c r="I9" s="5">
        <f>SUMPRODUCT(('Individual Refineries'!$D$3:$D$1084="CDU")*'Individual Refineries'!$F$3:$F$1084)</f>
        <v/>
      </c>
      <c r="K9" s="5">
        <f>SUMPRODUCT(('Individual Refineries'!$A$3:$A$1084="UNIT")*1)</f>
        <v/>
      </c>
    </row>
    <row r="10">
      <c r="C10" s="7" t="inlineStr">
        <is>
          <t>US NET NAPHTHA (KBD)</t>
        </is>
      </c>
      <c r="E10" s="7" t="inlineStr">
        <is>
          <t>PADD 3 SHARE</t>
        </is>
      </c>
      <c r="G10" s="7" t="inlineStr">
        <is>
          <t>US CRUDE RUNS (KBD)</t>
        </is>
      </c>
      <c r="I10" s="7" t="inlineStr">
        <is>
          <t>CDU NAMEPLATE (KBD)</t>
        </is>
      </c>
      <c r="K10" s="7" t="inlineStr">
        <is>
          <t>UNITS MODELLED</t>
        </is>
      </c>
    </row>
    <row r="28" ht="20" customHeight="1">
      <c r="A28" s="8" t="inlineStr">
        <is>
          <t xml:space="preserve">  MODEL MAP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</row>
    <row r="30">
      <c r="C30" s="10" t="inlineStr">
        <is>
          <t>Data</t>
        </is>
      </c>
      <c r="E30" s="11" t="inlineStr">
        <is>
          <t>imported registry, 2024 net yields, crude capacities (inputs)</t>
        </is>
      </c>
    </row>
    <row r="31">
      <c r="C31" s="10" t="inlineStr">
        <is>
          <t>Individual Refineries</t>
        </is>
      </c>
      <c r="E31" s="11" t="inlineStr">
        <is>
          <t>the engine — every refinery unit by unit; net naphtha per site</t>
        </is>
      </c>
    </row>
    <row r="32">
      <c r="C32" s="10" t="inlineStr">
        <is>
          <t>Assumptions</t>
        </is>
      </c>
      <c r="E32" s="11" t="inlineStr">
        <is>
          <t>PADD yields &amp; utilization, cut split, master dials, prices, freight</t>
        </is>
      </c>
    </row>
    <row r="33">
      <c r="C33" s="10" t="inlineStr">
        <is>
          <t>Nameplate</t>
        </is>
      </c>
      <c r="E33" s="11" t="inlineStr">
        <is>
          <t>stated unit capacities, refinery × unit, PADD totals</t>
        </is>
      </c>
    </row>
    <row r="34">
      <c r="C34" s="10" t="inlineStr">
        <is>
          <t>Effective</t>
        </is>
      </c>
      <c r="E34" s="11" t="inlineStr">
        <is>
          <t>demonstrated capacities (2017–24 max) vs nameplate vs running</t>
        </is>
      </c>
    </row>
    <row r="35">
      <c r="C35" s="10" t="inlineStr">
        <is>
          <t>CrudeSlate</t>
        </is>
      </c>
      <c r="E35" s="11" t="inlineStr">
        <is>
          <t>actual crude diet per refinery; merchant naphtha buyers flagged</t>
        </is>
      </c>
    </row>
    <row r="36">
      <c r="C36" s="10" t="inlineStr">
        <is>
          <t>BlendEcon</t>
        </is>
      </c>
      <c r="E36" s="11" t="inlineStr">
        <is>
          <t>spreads, arbs, max-light vs max-heavy — fill prices to activate</t>
        </is>
      </c>
    </row>
    <row r="37">
      <c r="C37" s="10" t="inlineStr">
        <is>
          <t>KitWalk</t>
        </is>
      </c>
      <c r="E37" s="11" t="inlineStr">
        <is>
          <t>CDU → SR naphtha → NHT → reformer → net, vs 2024 actuals</t>
        </is>
      </c>
    </row>
    <row r="40" ht="20" customHeight="1">
      <c r="A40" s="8" t="inlineStr">
        <is>
          <t xml:space="preserve">  HOW TO DRIVE IT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P40" s="12" t="inlineStr">
        <is>
          <t>PADD 1</t>
        </is>
      </c>
      <c r="Q40" s="12">
        <f>SUMPRODUCT(('Individual Refineries'!$A$3:$A$1084="TOTAL")*('Individual Refineries'!$C$3:$C$1084=1)*'Individual Refineries'!$Q$3:$Q$1084)</f>
        <v/>
      </c>
    </row>
    <row r="41">
      <c r="P41" s="12" t="inlineStr">
        <is>
          <t>PADD 2</t>
        </is>
      </c>
      <c r="Q41" s="12">
        <f>SUMPRODUCT(('Individual Refineries'!$A$3:$A$1084="TOTAL")*('Individual Refineries'!$C$3:$C$1084=2)*'Individual Refineries'!$Q$3:$Q$1084)</f>
        <v/>
      </c>
    </row>
    <row r="42">
      <c r="C42" s="13" t="n"/>
      <c r="D42" s="11" t="inlineStr">
        <is>
          <t>blue — input: type here</t>
        </is>
      </c>
      <c r="P42" s="12" t="inlineStr">
        <is>
          <t>PADD 3</t>
        </is>
      </c>
      <c r="Q42" s="12">
        <f>SUMPRODUCT(('Individual Refineries'!$A$3:$A$1084="TOTAL")*('Individual Refineries'!$C$3:$C$1084=3)*'Individual Refineries'!$Q$3:$Q$1084)</f>
        <v/>
      </c>
    </row>
    <row r="43">
      <c r="C43" s="14" t="n"/>
      <c r="D43" s="11" t="inlineStr">
        <is>
          <t>orange — manual override: applies when MODE = override; flip the MODE dropdown (per unit, or per refinery on the NET NAPHTHA row) to switch back to assumptions</t>
        </is>
      </c>
      <c r="P43" s="12" t="inlineStr">
        <is>
          <t>PADD 4</t>
        </is>
      </c>
      <c r="Q43" s="12">
        <f>SUMPRODUCT(('Individual Refineries'!$A$3:$A$1084="TOTAL")*('Individual Refineries'!$C$3:$C$1084=4)*'Individual Refineries'!$Q$3:$Q$1084)</f>
        <v/>
      </c>
    </row>
    <row r="44">
      <c r="C44" s="15" t="n"/>
      <c r="D44" s="11" t="inlineStr">
        <is>
          <t>grey — live formula: don't type</t>
        </is>
      </c>
      <c r="P44" s="12" t="inlineStr">
        <is>
          <t>PADD 5</t>
        </is>
      </c>
      <c r="Q44" s="12">
        <f>SUMPRODUCT(('Individual Refineries'!$A$3:$A$1084="TOTAL")*('Individual Refineries'!$C$3:$C$1084=5)*'Individual Refineries'!$Q$3:$Q$1084)</f>
        <v/>
      </c>
    </row>
    <row r="46">
      <c r="C46" s="16" t="inlineStr">
        <is>
          <t>Everything is live: edit any input or assumption and the boxes, capacity views, KitWalk and BlendEcon re-price instantly.</t>
        </is>
      </c>
    </row>
    <row r="48" ht="20" customHeight="1">
      <c r="A48" s="8" t="inlineStr">
        <is>
          <t xml:space="preserve">  REFINERY FINDER</t>
        </is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</row>
    <row r="50">
      <c r="C50" s="17" t="inlineStr">
        <is>
          <t>MOTIVA_PAR</t>
        </is>
      </c>
      <c r="E50" s="18">
        <f>HYPERLINK("#'Individual Refineries'!A"&amp;MATCH($C$50,'Individual Refineries'!$B$1:$B$3000,0)-1,"→ open this refinery's box")</f>
        <v/>
      </c>
    </row>
    <row r="52">
      <c r="C52" s="11" t="inlineStr">
        <is>
          <t>name</t>
        </is>
      </c>
      <c r="E52" s="19">
        <f>IFERROR(INDEX(Data!$B$3:$B$125,MATCH($C$50,Data!$A$3:$A$125,0)),"")</f>
        <v/>
      </c>
    </row>
    <row r="53">
      <c r="C53" s="11" t="inlineStr">
        <is>
          <t>PADD</t>
        </is>
      </c>
      <c r="E53" s="19">
        <f>IFERROR(INDEX(Data!$D$3:$D$125,MATCH($C$50,Data!$A$3:$A$125,0)),"")</f>
        <v/>
      </c>
    </row>
    <row r="54">
      <c r="C54" s="11" t="inlineStr">
        <is>
          <t>crude kbd</t>
        </is>
      </c>
      <c r="E54" s="20">
        <f>SUMIFS(Data!$G$3:$G$125,Data!$A$3:$A$125,$C$50)</f>
        <v/>
      </c>
    </row>
    <row r="55">
      <c r="C55" s="11" t="inlineStr">
        <is>
          <t>net naphtha kbd</t>
        </is>
      </c>
      <c r="E55" s="21">
        <f>SUMPRODUCT(('Individual Refineries'!$A$3:$A$1084="TOTAL")*('Individual Refineries'!$B$3:$B$1084=$C$50)*'Individual Refineries'!$Q$3:$Q$1084)</f>
        <v/>
      </c>
    </row>
    <row r="56">
      <c r="C56" s="11" t="inlineStr">
        <is>
          <t>2024 actual naphtha %</t>
        </is>
      </c>
      <c r="E56" s="22">
        <f>SUMIFS(Data!$N$3:$N$125,Data!$A$3:$A$125,$C$50)</f>
        <v/>
      </c>
    </row>
  </sheetData>
  <mergeCells count="3">
    <mergeCell ref="A48:M48"/>
    <mergeCell ref="A40:M40"/>
    <mergeCell ref="A28:M28"/>
  </mergeCells>
  <dataValidations count="1">
    <dataValidation sqref="C50" showDropDown="0" showInputMessage="0" showErrorMessage="0" allowBlank="1" type="list">
      <formula1>=Data!$A$3:$A$125</formula1>
    </dataValidation>
  </dataValidations>
  <hyperlinks>
    <hyperlink xmlns:r="http://schemas.openxmlformats.org/officeDocument/2006/relationships" ref="C30" r:id="rId1"/>
    <hyperlink xmlns:r="http://schemas.openxmlformats.org/officeDocument/2006/relationships" ref="C31" r:id="rId2"/>
    <hyperlink xmlns:r="http://schemas.openxmlformats.org/officeDocument/2006/relationships" ref="C32" r:id="rId3"/>
    <hyperlink xmlns:r="http://schemas.openxmlformats.org/officeDocument/2006/relationships" ref="C33" r:id="rId4"/>
    <hyperlink xmlns:r="http://schemas.openxmlformats.org/officeDocument/2006/relationships" ref="C34" r:id="rId5"/>
    <hyperlink xmlns:r="http://schemas.openxmlformats.org/officeDocument/2006/relationships" ref="C35" r:id="rId6"/>
    <hyperlink xmlns:r="http://schemas.openxmlformats.org/officeDocument/2006/relationships" ref="C36" r:id="rId7"/>
    <hyperlink xmlns:r="http://schemas.openxmlformats.org/officeDocument/2006/relationships" ref="C37" r:id="rId8"/>
  </hyperlinks>
  <pageMargins left="0.75" right="0.75" top="1" bottom="1" header="0.5" footer="0.5"/>
  <pageSetup orientation="landscape" fitToHeight="0" fitToWidth="1"/>
  <drawing xmlns:r="http://schemas.openxmlformats.org/officeDocument/2006/relationships" r:id="rId9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U103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18" max="18"/>
    <col width="12" customWidth="1" min="19" max="19"/>
    <col width="14" customWidth="1" min="20" max="20"/>
    <col width="26" customWidth="1" min="21" max="21"/>
  </cols>
  <sheetData>
    <row r="1" ht="20" customHeight="1">
      <c r="A1" s="8" t="inlineStr">
        <is>
          <t>Assumptions — blue cells are inputs. Yields are % of unit throughput; consumers (reformer/isom) are NEGATIVE. Edits flow straight into the Individual Refineries sheet.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</row>
    <row r="3" ht="20" customHeight="1">
      <c r="A3" s="8" t="inlineStr">
        <is>
          <t>PADD 1 — East Coast</t>
        </is>
      </c>
      <c r="B3" s="9" t="n"/>
      <c r="C3" s="9" t="n"/>
      <c r="D3" s="9" t="n"/>
      <c r="E3" s="9" t="n"/>
      <c r="F3" s="9" t="n"/>
      <c r="G3" s="9" t="n"/>
      <c r="H3" s="9" t="n"/>
      <c r="J3" s="23" t="inlineStr">
        <is>
          <t>padd</t>
        </is>
      </c>
      <c r="K3" s="23" t="inlineStr">
        <is>
          <t>util</t>
        </is>
      </c>
      <c r="M3" s="23" t="inlineStr">
        <is>
          <t>padd</t>
        </is>
      </c>
      <c r="N3" s="23" t="inlineStr">
        <is>
          <t>unit_type</t>
        </is>
      </c>
      <c r="O3" s="23" t="inlineStr">
        <is>
          <t>cut</t>
        </is>
      </c>
      <c r="P3" s="23" t="inlineStr">
        <is>
          <t>yield</t>
        </is>
      </c>
      <c r="R3" s="23" t="inlineStr">
        <is>
          <t>Yield-mode cut split</t>
        </is>
      </c>
      <c r="S3" s="23" t="inlineStr">
        <is>
          <t>share</t>
        </is>
      </c>
    </row>
    <row r="4">
      <c r="A4" s="24" t="inlineStr">
        <is>
          <t>Utilization</t>
        </is>
      </c>
      <c r="B4" s="25" t="n">
        <v>0.9</v>
      </c>
      <c r="J4" t="n">
        <v>1</v>
      </c>
      <c r="K4">
        <f>B4</f>
        <v/>
      </c>
      <c r="M4" t="n">
        <v>1</v>
      </c>
      <c r="N4" t="inlineStr">
        <is>
          <t>CDU</t>
        </is>
      </c>
      <c r="O4" t="inlineStr">
        <is>
          <t>LVN</t>
        </is>
      </c>
      <c r="P4">
        <f>B7</f>
        <v/>
      </c>
      <c r="R4" s="11" t="inlineStr">
        <is>
          <t>LVN</t>
        </is>
      </c>
      <c r="S4" s="26" t="n">
        <v>0.35</v>
      </c>
    </row>
    <row r="5">
      <c r="J5" t="n">
        <v>2</v>
      </c>
      <c r="K5">
        <f>B20</f>
        <v/>
      </c>
      <c r="M5" t="n">
        <v>1</v>
      </c>
      <c r="N5" t="inlineStr">
        <is>
          <t>CDU</t>
        </is>
      </c>
      <c r="O5" t="inlineStr">
        <is>
          <t>HVN</t>
        </is>
      </c>
      <c r="P5">
        <f>C7</f>
        <v/>
      </c>
      <c r="R5" s="11" t="inlineStr">
        <is>
          <t>HVN</t>
        </is>
      </c>
      <c r="S5" s="26" t="n">
        <v>0.65</v>
      </c>
    </row>
    <row r="6">
      <c r="A6" s="23" t="inlineStr">
        <is>
          <t>Unit type</t>
        </is>
      </c>
      <c r="B6" s="23" t="inlineStr">
        <is>
          <t>LVN</t>
        </is>
      </c>
      <c r="C6" s="23" t="inlineStr">
        <is>
          <t>HVN</t>
        </is>
      </c>
      <c r="J6" t="n">
        <v>3</v>
      </c>
      <c r="K6">
        <f>B36</f>
        <v/>
      </c>
      <c r="M6" t="n">
        <v>1</v>
      </c>
      <c r="N6" t="inlineStr">
        <is>
          <t>VDU</t>
        </is>
      </c>
      <c r="O6" t="inlineStr">
        <is>
          <t>LVN</t>
        </is>
      </c>
      <c r="P6">
        <f>B8</f>
        <v/>
      </c>
    </row>
    <row r="7">
      <c r="A7" s="11" t="inlineStr">
        <is>
          <t>CDU</t>
        </is>
      </c>
      <c r="B7" s="25" t="n">
        <v>0.05</v>
      </c>
      <c r="C7" s="25" t="n">
        <v>0.13</v>
      </c>
      <c r="J7" t="n">
        <v>4</v>
      </c>
      <c r="K7">
        <f>B52</f>
        <v/>
      </c>
      <c r="M7" t="n">
        <v>1</v>
      </c>
      <c r="N7" t="inlineStr">
        <is>
          <t>VDU</t>
        </is>
      </c>
      <c r="O7" t="inlineStr">
        <is>
          <t>HVN</t>
        </is>
      </c>
      <c r="P7">
        <f>C8</f>
        <v/>
      </c>
      <c r="R7" s="11" t="inlineStr">
        <is>
          <t>how a yield-mode refinery's 2024 net yield splits across cuts</t>
        </is>
      </c>
    </row>
    <row r="8">
      <c r="A8" s="11" t="inlineStr">
        <is>
          <t>VDU</t>
        </is>
      </c>
      <c r="B8" s="25" t="n">
        <v>0</v>
      </c>
      <c r="C8" s="25" t="n">
        <v>0.01</v>
      </c>
      <c r="J8" t="n">
        <v>5</v>
      </c>
      <c r="K8">
        <f>B68</f>
        <v/>
      </c>
      <c r="M8" t="n">
        <v>1</v>
      </c>
      <c r="N8" t="inlineStr">
        <is>
          <t>FCC</t>
        </is>
      </c>
      <c r="O8" t="inlineStr">
        <is>
          <t>LVN</t>
        </is>
      </c>
      <c r="P8">
        <f>B9</f>
        <v/>
      </c>
    </row>
    <row r="9">
      <c r="A9" s="11" t="inlineStr">
        <is>
          <t>FCC</t>
        </is>
      </c>
      <c r="B9" s="25" t="n">
        <v>0.02</v>
      </c>
      <c r="C9" s="25" t="n">
        <v>0.04</v>
      </c>
      <c r="M9" t="n">
        <v>1</v>
      </c>
      <c r="N9" t="inlineStr">
        <is>
          <t>FCC</t>
        </is>
      </c>
      <c r="O9" t="inlineStr">
        <is>
          <t>HVN</t>
        </is>
      </c>
      <c r="P9">
        <f>C9</f>
        <v/>
      </c>
      <c r="R9" s="23" t="inlineStr">
        <is>
          <t>MASTER DIALS — one cell flexes the whole model</t>
        </is>
      </c>
      <c r="S9" s="23" t="inlineStr">
        <is>
          <t>x</t>
        </is>
      </c>
    </row>
    <row r="10">
      <c r="A10" s="11" t="inlineStr">
        <is>
          <t>COKER</t>
        </is>
      </c>
      <c r="B10" s="25" t="n">
        <v>0.02</v>
      </c>
      <c r="C10" s="25" t="n">
        <v>0.08</v>
      </c>
      <c r="M10" t="n">
        <v>1</v>
      </c>
      <c r="N10" t="inlineStr">
        <is>
          <t>COKER</t>
        </is>
      </c>
      <c r="O10" t="inlineStr">
        <is>
          <t>LVN</t>
        </is>
      </c>
      <c r="P10">
        <f>B10</f>
        <v/>
      </c>
      <c r="R10" s="11" t="inlineStr">
        <is>
          <t>Utilization scaler (100% = as-is)</t>
        </is>
      </c>
      <c r="S10" s="26" t="n">
        <v>1</v>
      </c>
    </row>
    <row r="11">
      <c r="A11" s="11" t="inlineStr">
        <is>
          <t>HYDROCRACKER</t>
        </is>
      </c>
      <c r="B11" s="25" t="n">
        <v>0.05</v>
      </c>
      <c r="C11" s="25" t="n">
        <v>0.15</v>
      </c>
      <c r="M11" t="n">
        <v>1</v>
      </c>
      <c r="N11" t="inlineStr">
        <is>
          <t>COKER</t>
        </is>
      </c>
      <c r="O11" t="inlineStr">
        <is>
          <t>HVN</t>
        </is>
      </c>
      <c r="P11">
        <f>C10</f>
        <v/>
      </c>
      <c r="R11" s="11" t="inlineStr">
        <is>
          <t>Naphtha yield scaler (100% = as-is)</t>
        </is>
      </c>
      <c r="S11" s="26" t="n">
        <v>1</v>
      </c>
    </row>
    <row r="12">
      <c r="A12" s="11" t="inlineStr">
        <is>
          <t>REFORMER</t>
        </is>
      </c>
      <c r="B12" s="25" t="n">
        <v>0</v>
      </c>
      <c r="C12" s="25" t="n">
        <v>-1</v>
      </c>
      <c r="M12" t="n">
        <v>1</v>
      </c>
      <c r="N12" t="inlineStr">
        <is>
          <t>HYDROCRACKER</t>
        </is>
      </c>
      <c r="O12" t="inlineStr">
        <is>
          <t>LVN</t>
        </is>
      </c>
      <c r="P12">
        <f>B11</f>
        <v/>
      </c>
    </row>
    <row r="13">
      <c r="A13" s="11" t="inlineStr">
        <is>
          <t>ISOM</t>
        </is>
      </c>
      <c r="B13" s="25" t="n">
        <v>-1</v>
      </c>
      <c r="C13" s="25" t="n">
        <v>0</v>
      </c>
      <c r="M13" t="n">
        <v>1</v>
      </c>
      <c r="N13" t="inlineStr">
        <is>
          <t>HYDROCRACKER</t>
        </is>
      </c>
      <c r="O13" t="inlineStr">
        <is>
          <t>HVN</t>
        </is>
      </c>
      <c r="P13">
        <f>C11</f>
        <v/>
      </c>
      <c r="R13" s="23" t="inlineStr">
        <is>
          <t>Prices — live via Bloomberg BDP (needs terminal)</t>
        </is>
      </c>
      <c r="S13" s="23" t="inlineStr">
        <is>
          <t>PX_LAST</t>
        </is>
      </c>
      <c r="T13" s="23" t="inlineStr">
        <is>
          <t>BBG Codes</t>
        </is>
      </c>
    </row>
    <row r="14">
      <c r="A14" s="11" t="inlineStr">
        <is>
          <t>ALKY</t>
        </is>
      </c>
      <c r="B14" s="25" t="n">
        <v>0</v>
      </c>
      <c r="C14" s="25" t="n">
        <v>0</v>
      </c>
      <c r="M14" t="n">
        <v>1</v>
      </c>
      <c r="N14" t="inlineStr">
        <is>
          <t>REFORMER</t>
        </is>
      </c>
      <c r="O14" t="inlineStr">
        <is>
          <t>LVN</t>
        </is>
      </c>
      <c r="P14">
        <f>B12</f>
        <v/>
      </c>
      <c r="R14" s="11" t="inlineStr">
        <is>
          <t>RBOB</t>
        </is>
      </c>
      <c r="S14" s="27">
        <f>_xll.BDP($T$14, $S$13)</f>
        <v/>
      </c>
      <c r="T14" s="17" t="inlineStr">
        <is>
          <t>XBA Comdty</t>
        </is>
      </c>
    </row>
    <row r="15">
      <c r="A15" s="11" t="inlineStr">
        <is>
          <t>SPLITTER</t>
        </is>
      </c>
      <c r="B15" s="25" t="n">
        <v>0.25</v>
      </c>
      <c r="C15" s="25" t="n">
        <v>0.35</v>
      </c>
      <c r="M15" t="n">
        <v>1</v>
      </c>
      <c r="N15" t="inlineStr">
        <is>
          <t>REFORMER</t>
        </is>
      </c>
      <c r="O15" t="inlineStr">
        <is>
          <t>HVN</t>
        </is>
      </c>
      <c r="P15">
        <f>C12</f>
        <v/>
      </c>
      <c r="R15" s="11" t="inlineStr">
        <is>
          <t>BBG FV ARA Naphtha CIF Cargo Month Index</t>
        </is>
      </c>
      <c r="S15" s="27">
        <f>_xll.BDP($T$15, $S$13)</f>
        <v/>
      </c>
      <c r="T15" s="17" t="inlineStr">
        <is>
          <t>FSNNM1 Index</t>
        </is>
      </c>
      <c r="U15" s="11" t="inlineStr">
        <is>
          <t>Need a non BBG FV code</t>
        </is>
      </c>
    </row>
    <row r="16">
      <c r="A16" s="11" t="inlineStr">
        <is>
          <t>NHT</t>
        </is>
      </c>
      <c r="B16" s="25" t="n">
        <v>0</v>
      </c>
      <c r="C16" s="25" t="n">
        <v>0</v>
      </c>
      <c r="M16" t="n">
        <v>1</v>
      </c>
      <c r="N16" t="inlineStr">
        <is>
          <t>ISOM</t>
        </is>
      </c>
      <c r="O16" t="inlineStr">
        <is>
          <t>LVN</t>
        </is>
      </c>
      <c r="P16">
        <f>B13</f>
        <v/>
      </c>
      <c r="R16" s="11" t="inlineStr">
        <is>
          <t>MB Naphtha</t>
        </is>
      </c>
      <c r="S16" s="27">
        <f>_xll.BDP($T$16, $S$13)</f>
        <v/>
      </c>
      <c r="T16" s="17" t="inlineStr">
        <is>
          <t>MBGLM1 Index</t>
        </is>
      </c>
    </row>
    <row r="17">
      <c r="M17" t="n">
        <v>1</v>
      </c>
      <c r="N17" t="inlineStr">
        <is>
          <t>ISOM</t>
        </is>
      </c>
      <c r="O17" t="inlineStr">
        <is>
          <t>HVN</t>
        </is>
      </c>
      <c r="P17">
        <f>C13</f>
        <v/>
      </c>
      <c r="R17" s="11" t="inlineStr">
        <is>
          <t>Naphtha NWE (CIF)</t>
        </is>
      </c>
      <c r="S17" s="27">
        <f>_xll.BDP($T$17, $S$13)</f>
        <v/>
      </c>
      <c r="T17" s="17" t="inlineStr">
        <is>
          <t>BCAN26 Comdty</t>
        </is>
      </c>
    </row>
    <row r="18">
      <c r="M18" t="n">
        <v>1</v>
      </c>
      <c r="N18" t="inlineStr">
        <is>
          <t>ALKY</t>
        </is>
      </c>
      <c r="O18" t="inlineStr">
        <is>
          <t>LVN</t>
        </is>
      </c>
      <c r="P18">
        <f>B14</f>
        <v/>
      </c>
      <c r="R18" s="11" t="inlineStr">
        <is>
          <t>Naphtha Asia (C+F Japan)</t>
        </is>
      </c>
      <c r="S18" s="27">
        <f>_xll.BDP($T$18, $S$13)</f>
        <v/>
      </c>
      <c r="T18" s="17" t="inlineStr">
        <is>
          <t>BBWN26 Comdty</t>
        </is>
      </c>
    </row>
    <row r="19" ht="20" customHeight="1">
      <c r="A19" s="8" t="inlineStr">
        <is>
          <t>PADD 2 — Midwest</t>
        </is>
      </c>
      <c r="B19" s="9" t="n"/>
      <c r="C19" s="9" t="n"/>
      <c r="D19" s="9" t="n"/>
      <c r="E19" s="9" t="n"/>
      <c r="F19" s="9" t="n"/>
      <c r="G19" s="9" t="n"/>
      <c r="H19" s="9" t="n"/>
      <c r="M19" t="n">
        <v>1</v>
      </c>
      <c r="N19" t="inlineStr">
        <is>
          <t>ALKY</t>
        </is>
      </c>
      <c r="O19" t="inlineStr">
        <is>
          <t>HVN</t>
        </is>
      </c>
      <c r="P19">
        <f>C14</f>
        <v/>
      </c>
      <c r="R19" s="11" t="inlineStr">
        <is>
          <t>Reformate</t>
        </is>
      </c>
      <c r="S19" s="27">
        <f>_xll.BDP($T$19, $S$13)</f>
        <v/>
      </c>
      <c r="T19" s="17" t="inlineStr">
        <is>
          <t>PUSARFME Index</t>
        </is>
      </c>
    </row>
    <row r="20">
      <c r="A20" s="24" t="inlineStr">
        <is>
          <t>Utilization</t>
        </is>
      </c>
      <c r="B20" s="25" t="n">
        <v>0.9</v>
      </c>
      <c r="M20" t="n">
        <v>1</v>
      </c>
      <c r="N20" t="inlineStr">
        <is>
          <t>SPLITTER</t>
        </is>
      </c>
      <c r="O20" t="inlineStr">
        <is>
          <t>LVN</t>
        </is>
      </c>
      <c r="P20">
        <f>B15</f>
        <v/>
      </c>
      <c r="R20" s="11" t="inlineStr">
        <is>
          <t>WTI</t>
        </is>
      </c>
      <c r="S20" s="27">
        <f>_xll.BDP($T$20, $S$13)</f>
        <v/>
      </c>
      <c r="T20" s="17" t="inlineStr">
        <is>
          <t>CL1 Comdty</t>
        </is>
      </c>
    </row>
    <row r="21">
      <c r="M21" t="n">
        <v>1</v>
      </c>
      <c r="N21" t="inlineStr">
        <is>
          <t>SPLITTER</t>
        </is>
      </c>
      <c r="O21" t="inlineStr">
        <is>
          <t>HVN</t>
        </is>
      </c>
      <c r="P21">
        <f>C15</f>
        <v/>
      </c>
      <c r="R21" s="11" t="inlineStr">
        <is>
          <t>Brent</t>
        </is>
      </c>
      <c r="S21" s="27">
        <f>_xll.BDP($T$21, $S$13)</f>
        <v/>
      </c>
      <c r="T21" s="17" t="inlineStr">
        <is>
          <t>CO1 Comdty</t>
        </is>
      </c>
    </row>
    <row r="22">
      <c r="A22" s="23" t="inlineStr">
        <is>
          <t>Unit type</t>
        </is>
      </c>
      <c r="B22" s="23" t="inlineStr">
        <is>
          <t>LVN</t>
        </is>
      </c>
      <c r="C22" s="23" t="inlineStr">
        <is>
          <t>HVN</t>
        </is>
      </c>
      <c r="M22" t="n">
        <v>1</v>
      </c>
      <c r="N22" t="inlineStr">
        <is>
          <t>NHT</t>
        </is>
      </c>
      <c r="O22" t="inlineStr">
        <is>
          <t>LVN</t>
        </is>
      </c>
      <c r="P22">
        <f>B16</f>
        <v/>
      </c>
      <c r="R22" s="11" t="inlineStr">
        <is>
          <t>WCS vs WTI</t>
        </is>
      </c>
      <c r="S22" s="27">
        <f>_xll.BDP($T$22, $S$13)</f>
        <v/>
      </c>
      <c r="T22" s="17" t="inlineStr">
        <is>
          <t>GCM11635 Index</t>
        </is>
      </c>
    </row>
    <row r="23">
      <c r="A23" s="11" t="inlineStr">
        <is>
          <t>CDU</t>
        </is>
      </c>
      <c r="B23" s="25" t="n">
        <v>0.05</v>
      </c>
      <c r="C23" s="25" t="n">
        <v>0.13</v>
      </c>
      <c r="M23" t="n">
        <v>1</v>
      </c>
      <c r="N23" t="inlineStr">
        <is>
          <t>NHT</t>
        </is>
      </c>
      <c r="O23" t="inlineStr">
        <is>
          <t>HVN</t>
        </is>
      </c>
      <c r="P23">
        <f>C16</f>
        <v/>
      </c>
      <c r="R23" s="11" t="inlineStr">
        <is>
          <t>Condensate Dif</t>
        </is>
      </c>
      <c r="S23" s="27">
        <f>_xll.BDP($T$23, $S$13)</f>
        <v/>
      </c>
      <c r="T23" s="17" t="inlineStr">
        <is>
          <t>DGWA Comdty</t>
        </is>
      </c>
    </row>
    <row r="24">
      <c r="A24" s="11" t="inlineStr">
        <is>
          <t>VDU</t>
        </is>
      </c>
      <c r="B24" s="25" t="n">
        <v>0</v>
      </c>
      <c r="C24" s="25" t="n">
        <v>0.01</v>
      </c>
      <c r="M24" t="n">
        <v>2</v>
      </c>
      <c r="N24" t="inlineStr">
        <is>
          <t>CDU</t>
        </is>
      </c>
      <c r="O24" t="inlineStr">
        <is>
          <t>LVN</t>
        </is>
      </c>
      <c r="P24">
        <f>B23</f>
        <v/>
      </c>
    </row>
    <row r="25">
      <c r="A25" s="11" t="inlineStr">
        <is>
          <t>FCC</t>
        </is>
      </c>
      <c r="B25" s="25" t="n">
        <v>0.02</v>
      </c>
      <c r="C25" s="25" t="n">
        <v>0.04</v>
      </c>
      <c r="M25" t="n">
        <v>2</v>
      </c>
      <c r="N25" t="inlineStr">
        <is>
          <t>CDU</t>
        </is>
      </c>
      <c r="O25" t="inlineStr">
        <is>
          <t>HVN</t>
        </is>
      </c>
      <c r="P25">
        <f>C23</f>
        <v/>
      </c>
      <c r="R25" s="23" t="inlineStr">
        <is>
          <t>Logistics / freight ($/bbl)</t>
        </is>
      </c>
      <c r="S25" s="23" t="inlineStr">
        <is>
          <t>$/bbl</t>
        </is>
      </c>
      <c r="T25" s="23" t="inlineStr">
        <is>
          <t>BBG Codes</t>
        </is>
      </c>
    </row>
    <row r="26">
      <c r="A26" s="11" t="inlineStr">
        <is>
          <t>COKER</t>
        </is>
      </c>
      <c r="B26" s="25" t="n">
        <v>0.02</v>
      </c>
      <c r="C26" s="25" t="n">
        <v>0.08</v>
      </c>
      <c r="M26" t="n">
        <v>2</v>
      </c>
      <c r="N26" t="inlineStr">
        <is>
          <t>VDU</t>
        </is>
      </c>
      <c r="O26" t="inlineStr">
        <is>
          <t>LVN</t>
        </is>
      </c>
      <c r="P26">
        <f>B24</f>
        <v/>
      </c>
      <c r="R26" s="11" t="inlineStr">
        <is>
          <t>USGC -&gt; Asia</t>
        </is>
      </c>
      <c r="S26" s="27">
        <f>S27</f>
        <v/>
      </c>
      <c r="T26" s="11" t="inlineStr">
        <is>
          <t>*priced off USGC-&gt;NWE*</t>
        </is>
      </c>
    </row>
    <row r="27">
      <c r="A27" s="11" t="inlineStr">
        <is>
          <t>HYDROCRACKER</t>
        </is>
      </c>
      <c r="B27" s="25" t="n">
        <v>0.05</v>
      </c>
      <c r="C27" s="25" t="n">
        <v>0.15</v>
      </c>
      <c r="M27" t="n">
        <v>2</v>
      </c>
      <c r="N27" t="inlineStr">
        <is>
          <t>VDU</t>
        </is>
      </c>
      <c r="O27" t="inlineStr">
        <is>
          <t>HVN</t>
        </is>
      </c>
      <c r="P27">
        <f>C24</f>
        <v/>
      </c>
      <c r="R27" s="11" t="inlineStr">
        <is>
          <t>USGC -&gt; NWE</t>
        </is>
      </c>
      <c r="S27" s="27" t="n">
        <v>42.18</v>
      </c>
      <c r="T27" s="11" t="inlineStr">
        <is>
          <t>TC14</t>
        </is>
      </c>
    </row>
    <row r="28">
      <c r="A28" s="11" t="inlineStr">
        <is>
          <t>REFORMER</t>
        </is>
      </c>
      <c r="B28" s="25" t="n">
        <v>0</v>
      </c>
      <c r="C28" s="25" t="n">
        <v>-1</v>
      </c>
      <c r="M28" t="n">
        <v>2</v>
      </c>
      <c r="N28" t="inlineStr">
        <is>
          <t>FCC</t>
        </is>
      </c>
      <c r="O28" t="inlineStr">
        <is>
          <t>LVN</t>
        </is>
      </c>
      <c r="P28">
        <f>B25</f>
        <v/>
      </c>
      <c r="R28" s="11" t="inlineStr">
        <is>
          <t>NWE -&gt; USGC</t>
        </is>
      </c>
      <c r="S28" s="27" t="n">
        <v>20.91</v>
      </c>
      <c r="T28" s="11" t="inlineStr">
        <is>
          <t>TC2</t>
        </is>
      </c>
    </row>
    <row r="29">
      <c r="A29" s="11" t="inlineStr">
        <is>
          <t>ISOM</t>
        </is>
      </c>
      <c r="B29" s="25" t="n">
        <v>-1</v>
      </c>
      <c r="C29" s="25" t="n">
        <v>0</v>
      </c>
      <c r="M29" t="n">
        <v>2</v>
      </c>
      <c r="N29" t="inlineStr">
        <is>
          <t>FCC</t>
        </is>
      </c>
      <c r="O29" t="inlineStr">
        <is>
          <t>HVN</t>
        </is>
      </c>
      <c r="P29">
        <f>C25</f>
        <v/>
      </c>
      <c r="R29" s="11" t="inlineStr">
        <is>
          <t>USGC -&gt; USAC (Jones Act)</t>
        </is>
      </c>
      <c r="S29" s="27" t="n">
        <v>15</v>
      </c>
      <c r="T29" s="11" t="inlineStr">
        <is>
          <t>Made up for testing purposes</t>
        </is>
      </c>
    </row>
    <row r="30">
      <c r="A30" s="11" t="inlineStr">
        <is>
          <t>ALKY</t>
        </is>
      </c>
      <c r="B30" s="25" t="n">
        <v>0</v>
      </c>
      <c r="C30" s="25" t="n">
        <v>0</v>
      </c>
      <c r="M30" t="n">
        <v>2</v>
      </c>
      <c r="N30" t="inlineStr">
        <is>
          <t>COKER</t>
        </is>
      </c>
      <c r="O30" t="inlineStr">
        <is>
          <t>LVN</t>
        </is>
      </c>
      <c r="P30">
        <f>B26</f>
        <v/>
      </c>
      <c r="R30" s="11" t="inlineStr">
        <is>
          <t>PADD3 -&gt; PADD2 pipeline</t>
        </is>
      </c>
      <c r="S30" s="27" t="n">
        <v>10.29</v>
      </c>
      <c r="T30" s="11" t="inlineStr">
        <is>
          <t>Explorer</t>
        </is>
      </c>
    </row>
    <row r="31">
      <c r="A31" s="11" t="inlineStr">
        <is>
          <t>SPLITTER</t>
        </is>
      </c>
      <c r="B31" s="25" t="n">
        <v>0.25</v>
      </c>
      <c r="C31" s="25" t="n">
        <v>0.35</v>
      </c>
      <c r="M31" t="n">
        <v>2</v>
      </c>
      <c r="N31" t="inlineStr">
        <is>
          <t>COKER</t>
        </is>
      </c>
      <c r="O31" t="inlineStr">
        <is>
          <t>HVN</t>
        </is>
      </c>
      <c r="P31">
        <f>C26</f>
        <v/>
      </c>
      <c r="R31" s="11" t="inlineStr">
        <is>
          <t>Storage ($/bbl/month)</t>
        </is>
      </c>
      <c r="S31" s="27" t="n">
        <v>2</v>
      </c>
      <c r="T31" s="11" t="inlineStr">
        <is>
          <t>Made up for testing purposes</t>
        </is>
      </c>
    </row>
    <row r="32">
      <c r="A32" s="11" t="inlineStr">
        <is>
          <t>NHT</t>
        </is>
      </c>
      <c r="B32" s="25" t="n">
        <v>0</v>
      </c>
      <c r="C32" s="25" t="n">
        <v>0</v>
      </c>
      <c r="M32" t="n">
        <v>2</v>
      </c>
      <c r="N32" t="inlineStr">
        <is>
          <t>HYDROCRACKER</t>
        </is>
      </c>
      <c r="O32" t="inlineStr">
        <is>
          <t>LVN</t>
        </is>
      </c>
      <c r="P32">
        <f>B27</f>
        <v/>
      </c>
    </row>
    <row r="33">
      <c r="M33" t="n">
        <v>2</v>
      </c>
      <c r="N33" t="inlineStr">
        <is>
          <t>HYDROCRACKER</t>
        </is>
      </c>
      <c r="O33" t="inlineStr">
        <is>
          <t>HVN</t>
        </is>
      </c>
      <c r="P33">
        <f>C27</f>
        <v/>
      </c>
      <c r="R33" s="23" t="inlineStr">
        <is>
          <t>Blend scenario assumptions</t>
        </is>
      </c>
      <c r="S33" s="23" t="inlineStr">
        <is>
          <t>value</t>
        </is>
      </c>
      <c r="T33" s="23" t="inlineStr">
        <is>
          <t>BBG Codes</t>
        </is>
      </c>
    </row>
    <row r="34">
      <c r="M34" t="n">
        <v>2</v>
      </c>
      <c r="N34" t="inlineStr">
        <is>
          <t>REFORMER</t>
        </is>
      </c>
      <c r="O34" t="inlineStr">
        <is>
          <t>LVN</t>
        </is>
      </c>
      <c r="P34">
        <f>B28</f>
        <v/>
      </c>
      <c r="R34" s="11" t="inlineStr">
        <is>
          <t>Max-light: naphtha yield uplift (pts on crude)</t>
        </is>
      </c>
      <c r="S34" s="27" t="n">
        <v>5</v>
      </c>
      <c r="T34" s="11" t="inlineStr">
        <is>
          <t>Made up for testing purposes</t>
        </is>
      </c>
    </row>
    <row r="35" ht="20" customHeight="1">
      <c r="A35" s="8" t="inlineStr">
        <is>
          <t>PADD 3 — Gulf Coast</t>
        </is>
      </c>
      <c r="B35" s="9" t="n"/>
      <c r="C35" s="9" t="n"/>
      <c r="D35" s="9" t="n"/>
      <c r="E35" s="9" t="n"/>
      <c r="F35" s="9" t="n"/>
      <c r="G35" s="9" t="n"/>
      <c r="H35" s="9" t="n"/>
      <c r="M35" t="n">
        <v>2</v>
      </c>
      <c r="N35" t="inlineStr">
        <is>
          <t>REFORMER</t>
        </is>
      </c>
      <c r="O35" t="inlineStr">
        <is>
          <t>HVN</t>
        </is>
      </c>
      <c r="P35">
        <f>C28</f>
        <v/>
      </c>
      <c r="R35" s="11" t="inlineStr">
        <is>
          <t>Max-heavy: naphtha yield reduction (pts on crude)</t>
        </is>
      </c>
      <c r="S35" s="27" t="n">
        <v>5</v>
      </c>
      <c r="T35" s="11" t="inlineStr">
        <is>
          <t>Made up for testing purposes</t>
        </is>
      </c>
    </row>
    <row r="36">
      <c r="A36" s="24" t="inlineStr">
        <is>
          <t>Utilization</t>
        </is>
      </c>
      <c r="B36" s="25" t="n">
        <v>0.93</v>
      </c>
      <c r="M36" t="n">
        <v>2</v>
      </c>
      <c r="N36" t="inlineStr">
        <is>
          <t>ISOM</t>
        </is>
      </c>
      <c r="O36" t="inlineStr">
        <is>
          <t>LVN</t>
        </is>
      </c>
      <c r="P36">
        <f>B29</f>
        <v/>
      </c>
      <c r="R36" s="11" t="inlineStr">
        <is>
          <t>Max slate shift (% of crude runs)</t>
        </is>
      </c>
      <c r="S36" s="27" t="n">
        <v>5</v>
      </c>
      <c r="T36" s="11" t="inlineStr">
        <is>
          <t>Made up for testing purposes</t>
        </is>
      </c>
    </row>
    <row r="37">
      <c r="M37" t="n">
        <v>2</v>
      </c>
      <c r="N37" t="inlineStr">
        <is>
          <t>ISOM</t>
        </is>
      </c>
      <c r="O37" t="inlineStr">
        <is>
          <t>HVN</t>
        </is>
      </c>
      <c r="P37">
        <f>C29</f>
        <v/>
      </c>
    </row>
    <row r="38">
      <c r="A38" s="23" t="inlineStr">
        <is>
          <t>Unit type</t>
        </is>
      </c>
      <c r="B38" s="23" t="inlineStr">
        <is>
          <t>LVN</t>
        </is>
      </c>
      <c r="C38" s="23" t="inlineStr">
        <is>
          <t>HVN</t>
        </is>
      </c>
      <c r="M38" t="n">
        <v>2</v>
      </c>
      <c r="N38" t="inlineStr">
        <is>
          <t>ALKY</t>
        </is>
      </c>
      <c r="O38" t="inlineStr">
        <is>
          <t>LVN</t>
        </is>
      </c>
      <c r="P38">
        <f>B30</f>
        <v/>
      </c>
    </row>
    <row r="39">
      <c r="A39" s="11" t="inlineStr">
        <is>
          <t>CDU</t>
        </is>
      </c>
      <c r="B39" s="25" t="n">
        <v>0.055</v>
      </c>
      <c r="C39" s="25" t="n">
        <v>0.135</v>
      </c>
      <c r="M39" t="n">
        <v>2</v>
      </c>
      <c r="N39" t="inlineStr">
        <is>
          <t>ALKY</t>
        </is>
      </c>
      <c r="O39" t="inlineStr">
        <is>
          <t>HVN</t>
        </is>
      </c>
      <c r="P39">
        <f>C30</f>
        <v/>
      </c>
    </row>
    <row r="40">
      <c r="A40" s="11" t="inlineStr">
        <is>
          <t>VDU</t>
        </is>
      </c>
      <c r="B40" s="25" t="n">
        <v>0</v>
      </c>
      <c r="C40" s="25" t="n">
        <v>0.01</v>
      </c>
      <c r="M40" t="n">
        <v>2</v>
      </c>
      <c r="N40" t="inlineStr">
        <is>
          <t>SPLITTER</t>
        </is>
      </c>
      <c r="O40" t="inlineStr">
        <is>
          <t>LVN</t>
        </is>
      </c>
      <c r="P40">
        <f>B31</f>
        <v/>
      </c>
    </row>
    <row r="41">
      <c r="A41" s="11" t="inlineStr">
        <is>
          <t>FCC</t>
        </is>
      </c>
      <c r="B41" s="25" t="n">
        <v>0.02</v>
      </c>
      <c r="C41" s="25" t="n">
        <v>0.04</v>
      </c>
      <c r="M41" t="n">
        <v>2</v>
      </c>
      <c r="N41" t="inlineStr">
        <is>
          <t>SPLITTER</t>
        </is>
      </c>
      <c r="O41" t="inlineStr">
        <is>
          <t>HVN</t>
        </is>
      </c>
      <c r="P41">
        <f>C31</f>
        <v/>
      </c>
    </row>
    <row r="42">
      <c r="A42" s="11" t="inlineStr">
        <is>
          <t>COKER</t>
        </is>
      </c>
      <c r="B42" s="25" t="n">
        <v>0.02</v>
      </c>
      <c r="C42" s="25" t="n">
        <v>0.08</v>
      </c>
      <c r="M42" t="n">
        <v>2</v>
      </c>
      <c r="N42" t="inlineStr">
        <is>
          <t>NHT</t>
        </is>
      </c>
      <c r="O42" t="inlineStr">
        <is>
          <t>LVN</t>
        </is>
      </c>
      <c r="P42">
        <f>B32</f>
        <v/>
      </c>
    </row>
    <row r="43">
      <c r="A43" s="11" t="inlineStr">
        <is>
          <t>HYDROCRACKER</t>
        </is>
      </c>
      <c r="B43" s="25" t="n">
        <v>0.05</v>
      </c>
      <c r="C43" s="25" t="n">
        <v>0.15</v>
      </c>
      <c r="M43" t="n">
        <v>2</v>
      </c>
      <c r="N43" t="inlineStr">
        <is>
          <t>NHT</t>
        </is>
      </c>
      <c r="O43" t="inlineStr">
        <is>
          <t>HVN</t>
        </is>
      </c>
      <c r="P43">
        <f>C32</f>
        <v/>
      </c>
    </row>
    <row r="44">
      <c r="A44" s="11" t="inlineStr">
        <is>
          <t>REFORMER</t>
        </is>
      </c>
      <c r="B44" s="25" t="n">
        <v>0</v>
      </c>
      <c r="C44" s="25" t="n">
        <v>-1</v>
      </c>
      <c r="M44" t="n">
        <v>3</v>
      </c>
      <c r="N44" t="inlineStr">
        <is>
          <t>CDU</t>
        </is>
      </c>
      <c r="O44" t="inlineStr">
        <is>
          <t>LVN</t>
        </is>
      </c>
      <c r="P44">
        <f>B39</f>
        <v/>
      </c>
    </row>
    <row r="45">
      <c r="A45" s="11" t="inlineStr">
        <is>
          <t>ISOM</t>
        </is>
      </c>
      <c r="B45" s="25" t="n">
        <v>-1</v>
      </c>
      <c r="C45" s="25" t="n">
        <v>0</v>
      </c>
      <c r="M45" t="n">
        <v>3</v>
      </c>
      <c r="N45" t="inlineStr">
        <is>
          <t>CDU</t>
        </is>
      </c>
      <c r="O45" t="inlineStr">
        <is>
          <t>HVN</t>
        </is>
      </c>
      <c r="P45">
        <f>C39</f>
        <v/>
      </c>
    </row>
    <row r="46">
      <c r="A46" s="11" t="inlineStr">
        <is>
          <t>ALKY</t>
        </is>
      </c>
      <c r="B46" s="25" t="n">
        <v>0</v>
      </c>
      <c r="C46" s="25" t="n">
        <v>0</v>
      </c>
      <c r="M46" t="n">
        <v>3</v>
      </c>
      <c r="N46" t="inlineStr">
        <is>
          <t>VDU</t>
        </is>
      </c>
      <c r="O46" t="inlineStr">
        <is>
          <t>LVN</t>
        </is>
      </c>
      <c r="P46">
        <f>B40</f>
        <v/>
      </c>
    </row>
    <row r="47">
      <c r="A47" s="11" t="inlineStr">
        <is>
          <t>SPLITTER</t>
        </is>
      </c>
      <c r="B47" s="25" t="n">
        <v>0.25</v>
      </c>
      <c r="C47" s="25" t="n">
        <v>0.35</v>
      </c>
      <c r="M47" t="n">
        <v>3</v>
      </c>
      <c r="N47" t="inlineStr">
        <is>
          <t>VDU</t>
        </is>
      </c>
      <c r="O47" t="inlineStr">
        <is>
          <t>HVN</t>
        </is>
      </c>
      <c r="P47">
        <f>C40</f>
        <v/>
      </c>
    </row>
    <row r="48">
      <c r="A48" s="11" t="inlineStr">
        <is>
          <t>NHT</t>
        </is>
      </c>
      <c r="B48" s="25" t="n">
        <v>0</v>
      </c>
      <c r="C48" s="25" t="n">
        <v>0</v>
      </c>
      <c r="M48" t="n">
        <v>3</v>
      </c>
      <c r="N48" t="inlineStr">
        <is>
          <t>FCC</t>
        </is>
      </c>
      <c r="O48" t="inlineStr">
        <is>
          <t>LVN</t>
        </is>
      </c>
      <c r="P48">
        <f>B41</f>
        <v/>
      </c>
    </row>
    <row r="49">
      <c r="M49" t="n">
        <v>3</v>
      </c>
      <c r="N49" t="inlineStr">
        <is>
          <t>FCC</t>
        </is>
      </c>
      <c r="O49" t="inlineStr">
        <is>
          <t>HVN</t>
        </is>
      </c>
      <c r="P49">
        <f>C41</f>
        <v/>
      </c>
    </row>
    <row r="50">
      <c r="M50" t="n">
        <v>3</v>
      </c>
      <c r="N50" t="inlineStr">
        <is>
          <t>COKER</t>
        </is>
      </c>
      <c r="O50" t="inlineStr">
        <is>
          <t>LVN</t>
        </is>
      </c>
      <c r="P50">
        <f>B42</f>
        <v/>
      </c>
    </row>
    <row r="51" ht="20" customHeight="1">
      <c r="A51" s="8" t="inlineStr">
        <is>
          <t>PADD 4 — Rocky Mountains</t>
        </is>
      </c>
      <c r="B51" s="9" t="n"/>
      <c r="C51" s="9" t="n"/>
      <c r="D51" s="9" t="n"/>
      <c r="E51" s="9" t="n"/>
      <c r="F51" s="9" t="n"/>
      <c r="G51" s="9" t="n"/>
      <c r="H51" s="9" t="n"/>
      <c r="M51" t="n">
        <v>3</v>
      </c>
      <c r="N51" t="inlineStr">
        <is>
          <t>COKER</t>
        </is>
      </c>
      <c r="O51" t="inlineStr">
        <is>
          <t>HVN</t>
        </is>
      </c>
      <c r="P51">
        <f>C42</f>
        <v/>
      </c>
    </row>
    <row r="52">
      <c r="A52" s="24" t="inlineStr">
        <is>
          <t>Utilization</t>
        </is>
      </c>
      <c r="B52" s="25" t="n">
        <v>0.9</v>
      </c>
      <c r="M52" t="n">
        <v>3</v>
      </c>
      <c r="N52" t="inlineStr">
        <is>
          <t>HYDROCRACKER</t>
        </is>
      </c>
      <c r="O52" t="inlineStr">
        <is>
          <t>LVN</t>
        </is>
      </c>
      <c r="P52">
        <f>B43</f>
        <v/>
      </c>
    </row>
    <row r="53">
      <c r="M53" t="n">
        <v>3</v>
      </c>
      <c r="N53" t="inlineStr">
        <is>
          <t>HYDROCRACKER</t>
        </is>
      </c>
      <c r="O53" t="inlineStr">
        <is>
          <t>HVN</t>
        </is>
      </c>
      <c r="P53">
        <f>C43</f>
        <v/>
      </c>
    </row>
    <row r="54">
      <c r="A54" s="23" t="inlineStr">
        <is>
          <t>Unit type</t>
        </is>
      </c>
      <c r="B54" s="23" t="inlineStr">
        <is>
          <t>LVN</t>
        </is>
      </c>
      <c r="C54" s="23" t="inlineStr">
        <is>
          <t>HVN</t>
        </is>
      </c>
      <c r="M54" t="n">
        <v>3</v>
      </c>
      <c r="N54" t="inlineStr">
        <is>
          <t>REFORMER</t>
        </is>
      </c>
      <c r="O54" t="inlineStr">
        <is>
          <t>LVN</t>
        </is>
      </c>
      <c r="P54">
        <f>B44</f>
        <v/>
      </c>
    </row>
    <row r="55">
      <c r="A55" s="11" t="inlineStr">
        <is>
          <t>CDU</t>
        </is>
      </c>
      <c r="B55" s="25" t="n">
        <v>0.05</v>
      </c>
      <c r="C55" s="25" t="n">
        <v>0.13</v>
      </c>
      <c r="M55" t="n">
        <v>3</v>
      </c>
      <c r="N55" t="inlineStr">
        <is>
          <t>REFORMER</t>
        </is>
      </c>
      <c r="O55" t="inlineStr">
        <is>
          <t>HVN</t>
        </is>
      </c>
      <c r="P55">
        <f>C44</f>
        <v/>
      </c>
    </row>
    <row r="56">
      <c r="A56" s="11" t="inlineStr">
        <is>
          <t>VDU</t>
        </is>
      </c>
      <c r="B56" s="25" t="n">
        <v>0</v>
      </c>
      <c r="C56" s="25" t="n">
        <v>0.01</v>
      </c>
      <c r="M56" t="n">
        <v>3</v>
      </c>
      <c r="N56" t="inlineStr">
        <is>
          <t>ISOM</t>
        </is>
      </c>
      <c r="O56" t="inlineStr">
        <is>
          <t>LVN</t>
        </is>
      </c>
      <c r="P56">
        <f>B45</f>
        <v/>
      </c>
    </row>
    <row r="57">
      <c r="A57" s="11" t="inlineStr">
        <is>
          <t>FCC</t>
        </is>
      </c>
      <c r="B57" s="25" t="n">
        <v>0.02</v>
      </c>
      <c r="C57" s="25" t="n">
        <v>0.04</v>
      </c>
      <c r="M57" t="n">
        <v>3</v>
      </c>
      <c r="N57" t="inlineStr">
        <is>
          <t>ISOM</t>
        </is>
      </c>
      <c r="O57" t="inlineStr">
        <is>
          <t>HVN</t>
        </is>
      </c>
      <c r="P57">
        <f>C45</f>
        <v/>
      </c>
    </row>
    <row r="58">
      <c r="A58" s="11" t="inlineStr">
        <is>
          <t>COKER</t>
        </is>
      </c>
      <c r="B58" s="25" t="n">
        <v>0.02</v>
      </c>
      <c r="C58" s="25" t="n">
        <v>0.08</v>
      </c>
      <c r="M58" t="n">
        <v>3</v>
      </c>
      <c r="N58" t="inlineStr">
        <is>
          <t>ALKY</t>
        </is>
      </c>
      <c r="O58" t="inlineStr">
        <is>
          <t>LVN</t>
        </is>
      </c>
      <c r="P58">
        <f>B46</f>
        <v/>
      </c>
    </row>
    <row r="59">
      <c r="A59" s="11" t="inlineStr">
        <is>
          <t>HYDROCRACKER</t>
        </is>
      </c>
      <c r="B59" s="25" t="n">
        <v>0.05</v>
      </c>
      <c r="C59" s="25" t="n">
        <v>0.15</v>
      </c>
      <c r="M59" t="n">
        <v>3</v>
      </c>
      <c r="N59" t="inlineStr">
        <is>
          <t>ALKY</t>
        </is>
      </c>
      <c r="O59" t="inlineStr">
        <is>
          <t>HVN</t>
        </is>
      </c>
      <c r="P59">
        <f>C46</f>
        <v/>
      </c>
    </row>
    <row r="60">
      <c r="A60" s="11" t="inlineStr">
        <is>
          <t>REFORMER</t>
        </is>
      </c>
      <c r="B60" s="25" t="n">
        <v>0</v>
      </c>
      <c r="C60" s="25" t="n">
        <v>-1</v>
      </c>
      <c r="M60" t="n">
        <v>3</v>
      </c>
      <c r="N60" t="inlineStr">
        <is>
          <t>SPLITTER</t>
        </is>
      </c>
      <c r="O60" t="inlineStr">
        <is>
          <t>LVN</t>
        </is>
      </c>
      <c r="P60">
        <f>B47</f>
        <v/>
      </c>
    </row>
    <row r="61">
      <c r="A61" s="11" t="inlineStr">
        <is>
          <t>ISOM</t>
        </is>
      </c>
      <c r="B61" s="25" t="n">
        <v>-1</v>
      </c>
      <c r="C61" s="25" t="n">
        <v>0</v>
      </c>
      <c r="M61" t="n">
        <v>3</v>
      </c>
      <c r="N61" t="inlineStr">
        <is>
          <t>SPLITTER</t>
        </is>
      </c>
      <c r="O61" t="inlineStr">
        <is>
          <t>HVN</t>
        </is>
      </c>
      <c r="P61">
        <f>C47</f>
        <v/>
      </c>
    </row>
    <row r="62">
      <c r="A62" s="11" t="inlineStr">
        <is>
          <t>ALKY</t>
        </is>
      </c>
      <c r="B62" s="25" t="n">
        <v>0</v>
      </c>
      <c r="C62" s="25" t="n">
        <v>0</v>
      </c>
      <c r="M62" t="n">
        <v>3</v>
      </c>
      <c r="N62" t="inlineStr">
        <is>
          <t>NHT</t>
        </is>
      </c>
      <c r="O62" t="inlineStr">
        <is>
          <t>LVN</t>
        </is>
      </c>
      <c r="P62">
        <f>B48</f>
        <v/>
      </c>
    </row>
    <row r="63">
      <c r="A63" s="11" t="inlineStr">
        <is>
          <t>SPLITTER</t>
        </is>
      </c>
      <c r="B63" s="25" t="n">
        <v>0.25</v>
      </c>
      <c r="C63" s="25" t="n">
        <v>0.35</v>
      </c>
      <c r="M63" t="n">
        <v>3</v>
      </c>
      <c r="N63" t="inlineStr">
        <is>
          <t>NHT</t>
        </is>
      </c>
      <c r="O63" t="inlineStr">
        <is>
          <t>HVN</t>
        </is>
      </c>
      <c r="P63">
        <f>C48</f>
        <v/>
      </c>
    </row>
    <row r="64">
      <c r="A64" s="11" t="inlineStr">
        <is>
          <t>NHT</t>
        </is>
      </c>
      <c r="B64" s="25" t="n">
        <v>0</v>
      </c>
      <c r="C64" s="25" t="n">
        <v>0</v>
      </c>
      <c r="M64" t="n">
        <v>4</v>
      </c>
      <c r="N64" t="inlineStr">
        <is>
          <t>CDU</t>
        </is>
      </c>
      <c r="O64" t="inlineStr">
        <is>
          <t>LVN</t>
        </is>
      </c>
      <c r="P64">
        <f>B55</f>
        <v/>
      </c>
    </row>
    <row r="65">
      <c r="M65" t="n">
        <v>4</v>
      </c>
      <c r="N65" t="inlineStr">
        <is>
          <t>CDU</t>
        </is>
      </c>
      <c r="O65" t="inlineStr">
        <is>
          <t>HVN</t>
        </is>
      </c>
      <c r="P65">
        <f>C55</f>
        <v/>
      </c>
    </row>
    <row r="66">
      <c r="M66" t="n">
        <v>4</v>
      </c>
      <c r="N66" t="inlineStr">
        <is>
          <t>VDU</t>
        </is>
      </c>
      <c r="O66" t="inlineStr">
        <is>
          <t>LVN</t>
        </is>
      </c>
      <c r="P66">
        <f>B56</f>
        <v/>
      </c>
    </row>
    <row r="67" ht="20" customHeight="1">
      <c r="A67" s="8" t="inlineStr">
        <is>
          <t>PADD 5 — West Coast</t>
        </is>
      </c>
      <c r="B67" s="9" t="n"/>
      <c r="C67" s="9" t="n"/>
      <c r="D67" s="9" t="n"/>
      <c r="E67" s="9" t="n"/>
      <c r="F67" s="9" t="n"/>
      <c r="G67" s="9" t="n"/>
      <c r="H67" s="9" t="n"/>
      <c r="M67" t="n">
        <v>4</v>
      </c>
      <c r="N67" t="inlineStr">
        <is>
          <t>VDU</t>
        </is>
      </c>
      <c r="O67" t="inlineStr">
        <is>
          <t>HVN</t>
        </is>
      </c>
      <c r="P67">
        <f>C56</f>
        <v/>
      </c>
    </row>
    <row r="68">
      <c r="A68" s="24" t="inlineStr">
        <is>
          <t>Utilization</t>
        </is>
      </c>
      <c r="B68" s="25" t="n">
        <v>0.9</v>
      </c>
      <c r="M68" t="n">
        <v>4</v>
      </c>
      <c r="N68" t="inlineStr">
        <is>
          <t>FCC</t>
        </is>
      </c>
      <c r="O68" t="inlineStr">
        <is>
          <t>LVN</t>
        </is>
      </c>
      <c r="P68">
        <f>B57</f>
        <v/>
      </c>
    </row>
    <row r="69">
      <c r="M69" t="n">
        <v>4</v>
      </c>
      <c r="N69" t="inlineStr">
        <is>
          <t>FCC</t>
        </is>
      </c>
      <c r="O69" t="inlineStr">
        <is>
          <t>HVN</t>
        </is>
      </c>
      <c r="P69">
        <f>C57</f>
        <v/>
      </c>
    </row>
    <row r="70">
      <c r="A70" s="23" t="inlineStr">
        <is>
          <t>Unit type</t>
        </is>
      </c>
      <c r="B70" s="23" t="inlineStr">
        <is>
          <t>LVN</t>
        </is>
      </c>
      <c r="C70" s="23" t="inlineStr">
        <is>
          <t>HVN</t>
        </is>
      </c>
      <c r="M70" t="n">
        <v>4</v>
      </c>
      <c r="N70" t="inlineStr">
        <is>
          <t>COKER</t>
        </is>
      </c>
      <c r="O70" t="inlineStr">
        <is>
          <t>LVN</t>
        </is>
      </c>
      <c r="P70">
        <f>B58</f>
        <v/>
      </c>
    </row>
    <row r="71">
      <c r="A71" s="11" t="inlineStr">
        <is>
          <t>CDU</t>
        </is>
      </c>
      <c r="B71" s="25" t="n">
        <v>0.05</v>
      </c>
      <c r="C71" s="25" t="n">
        <v>0.13</v>
      </c>
      <c r="M71" t="n">
        <v>4</v>
      </c>
      <c r="N71" t="inlineStr">
        <is>
          <t>COKER</t>
        </is>
      </c>
      <c r="O71" t="inlineStr">
        <is>
          <t>HVN</t>
        </is>
      </c>
      <c r="P71">
        <f>C58</f>
        <v/>
      </c>
    </row>
    <row r="72">
      <c r="A72" s="11" t="inlineStr">
        <is>
          <t>VDU</t>
        </is>
      </c>
      <c r="B72" s="25" t="n">
        <v>0</v>
      </c>
      <c r="C72" s="25" t="n">
        <v>0.01</v>
      </c>
      <c r="M72" t="n">
        <v>4</v>
      </c>
      <c r="N72" t="inlineStr">
        <is>
          <t>HYDROCRACKER</t>
        </is>
      </c>
      <c r="O72" t="inlineStr">
        <is>
          <t>LVN</t>
        </is>
      </c>
      <c r="P72">
        <f>B59</f>
        <v/>
      </c>
    </row>
    <row r="73">
      <c r="A73" s="11" t="inlineStr">
        <is>
          <t>FCC</t>
        </is>
      </c>
      <c r="B73" s="25" t="n">
        <v>0.02</v>
      </c>
      <c r="C73" s="25" t="n">
        <v>0.04</v>
      </c>
      <c r="M73" t="n">
        <v>4</v>
      </c>
      <c r="N73" t="inlineStr">
        <is>
          <t>HYDROCRACKER</t>
        </is>
      </c>
      <c r="O73" t="inlineStr">
        <is>
          <t>HVN</t>
        </is>
      </c>
      <c r="P73">
        <f>C59</f>
        <v/>
      </c>
    </row>
    <row r="74">
      <c r="A74" s="11" t="inlineStr">
        <is>
          <t>COKER</t>
        </is>
      </c>
      <c r="B74" s="25" t="n">
        <v>0.02</v>
      </c>
      <c r="C74" s="25" t="n">
        <v>0.08</v>
      </c>
      <c r="M74" t="n">
        <v>4</v>
      </c>
      <c r="N74" t="inlineStr">
        <is>
          <t>REFORMER</t>
        </is>
      </c>
      <c r="O74" t="inlineStr">
        <is>
          <t>LVN</t>
        </is>
      </c>
      <c r="P74">
        <f>B60</f>
        <v/>
      </c>
    </row>
    <row r="75">
      <c r="A75" s="11" t="inlineStr">
        <is>
          <t>HYDROCRACKER</t>
        </is>
      </c>
      <c r="B75" s="25" t="n">
        <v>0.05</v>
      </c>
      <c r="C75" s="25" t="n">
        <v>0.15</v>
      </c>
      <c r="M75" t="n">
        <v>4</v>
      </c>
      <c r="N75" t="inlineStr">
        <is>
          <t>REFORMER</t>
        </is>
      </c>
      <c r="O75" t="inlineStr">
        <is>
          <t>HVN</t>
        </is>
      </c>
      <c r="P75">
        <f>C60</f>
        <v/>
      </c>
    </row>
    <row r="76">
      <c r="A76" s="11" t="inlineStr">
        <is>
          <t>REFORMER</t>
        </is>
      </c>
      <c r="B76" s="25" t="n">
        <v>0</v>
      </c>
      <c r="C76" s="25" t="n">
        <v>-1</v>
      </c>
      <c r="M76" t="n">
        <v>4</v>
      </c>
      <c r="N76" t="inlineStr">
        <is>
          <t>ISOM</t>
        </is>
      </c>
      <c r="O76" t="inlineStr">
        <is>
          <t>LVN</t>
        </is>
      </c>
      <c r="P76">
        <f>B61</f>
        <v/>
      </c>
    </row>
    <row r="77">
      <c r="A77" s="11" t="inlineStr">
        <is>
          <t>ISOM</t>
        </is>
      </c>
      <c r="B77" s="25" t="n">
        <v>-1</v>
      </c>
      <c r="C77" s="25" t="n">
        <v>0</v>
      </c>
      <c r="M77" t="n">
        <v>4</v>
      </c>
      <c r="N77" t="inlineStr">
        <is>
          <t>ISOM</t>
        </is>
      </c>
      <c r="O77" t="inlineStr">
        <is>
          <t>HVN</t>
        </is>
      </c>
      <c r="P77">
        <f>C61</f>
        <v/>
      </c>
    </row>
    <row r="78">
      <c r="A78" s="11" t="inlineStr">
        <is>
          <t>ALKY</t>
        </is>
      </c>
      <c r="B78" s="25" t="n">
        <v>0</v>
      </c>
      <c r="C78" s="25" t="n">
        <v>0</v>
      </c>
      <c r="M78" t="n">
        <v>4</v>
      </c>
      <c r="N78" t="inlineStr">
        <is>
          <t>ALKY</t>
        </is>
      </c>
      <c r="O78" t="inlineStr">
        <is>
          <t>LVN</t>
        </is>
      </c>
      <c r="P78">
        <f>B62</f>
        <v/>
      </c>
    </row>
    <row r="79">
      <c r="A79" s="11" t="inlineStr">
        <is>
          <t>SPLITTER</t>
        </is>
      </c>
      <c r="B79" s="25" t="n">
        <v>0.25</v>
      </c>
      <c r="C79" s="25" t="n">
        <v>0.35</v>
      </c>
      <c r="M79" t="n">
        <v>4</v>
      </c>
      <c r="N79" t="inlineStr">
        <is>
          <t>ALKY</t>
        </is>
      </c>
      <c r="O79" t="inlineStr">
        <is>
          <t>HVN</t>
        </is>
      </c>
      <c r="P79">
        <f>C62</f>
        <v/>
      </c>
    </row>
    <row r="80">
      <c r="A80" s="11" t="inlineStr">
        <is>
          <t>NHT</t>
        </is>
      </c>
      <c r="B80" s="25" t="n">
        <v>0</v>
      </c>
      <c r="C80" s="25" t="n">
        <v>0</v>
      </c>
      <c r="M80" t="n">
        <v>4</v>
      </c>
      <c r="N80" t="inlineStr">
        <is>
          <t>SPLITTER</t>
        </is>
      </c>
      <c r="O80" t="inlineStr">
        <is>
          <t>LVN</t>
        </is>
      </c>
      <c r="P80">
        <f>B63</f>
        <v/>
      </c>
    </row>
    <row r="81">
      <c r="M81" t="n">
        <v>4</v>
      </c>
      <c r="N81" t="inlineStr">
        <is>
          <t>SPLITTER</t>
        </is>
      </c>
      <c r="O81" t="inlineStr">
        <is>
          <t>HVN</t>
        </is>
      </c>
      <c r="P81">
        <f>C63</f>
        <v/>
      </c>
    </row>
    <row r="82">
      <c r="M82" t="n">
        <v>4</v>
      </c>
      <c r="N82" t="inlineStr">
        <is>
          <t>NHT</t>
        </is>
      </c>
      <c r="O82" t="inlineStr">
        <is>
          <t>LVN</t>
        </is>
      </c>
      <c r="P82">
        <f>B64</f>
        <v/>
      </c>
    </row>
    <row r="83">
      <c r="M83" t="n">
        <v>4</v>
      </c>
      <c r="N83" t="inlineStr">
        <is>
          <t>NHT</t>
        </is>
      </c>
      <c r="O83" t="inlineStr">
        <is>
          <t>HVN</t>
        </is>
      </c>
      <c r="P83">
        <f>C64</f>
        <v/>
      </c>
    </row>
    <row r="84">
      <c r="M84" t="n">
        <v>5</v>
      </c>
      <c r="N84" t="inlineStr">
        <is>
          <t>CDU</t>
        </is>
      </c>
      <c r="O84" t="inlineStr">
        <is>
          <t>LVN</t>
        </is>
      </c>
      <c r="P84">
        <f>B71</f>
        <v/>
      </c>
    </row>
    <row r="85">
      <c r="M85" t="n">
        <v>5</v>
      </c>
      <c r="N85" t="inlineStr">
        <is>
          <t>CDU</t>
        </is>
      </c>
      <c r="O85" t="inlineStr">
        <is>
          <t>HVN</t>
        </is>
      </c>
      <c r="P85">
        <f>C71</f>
        <v/>
      </c>
    </row>
    <row r="86">
      <c r="M86" t="n">
        <v>5</v>
      </c>
      <c r="N86" t="inlineStr">
        <is>
          <t>VDU</t>
        </is>
      </c>
      <c r="O86" t="inlineStr">
        <is>
          <t>LVN</t>
        </is>
      </c>
      <c r="P86">
        <f>B72</f>
        <v/>
      </c>
    </row>
    <row r="87">
      <c r="M87" t="n">
        <v>5</v>
      </c>
      <c r="N87" t="inlineStr">
        <is>
          <t>VDU</t>
        </is>
      </c>
      <c r="O87" t="inlineStr">
        <is>
          <t>HVN</t>
        </is>
      </c>
      <c r="P87">
        <f>C72</f>
        <v/>
      </c>
    </row>
    <row r="88">
      <c r="M88" t="n">
        <v>5</v>
      </c>
      <c r="N88" t="inlineStr">
        <is>
          <t>FCC</t>
        </is>
      </c>
      <c r="O88" t="inlineStr">
        <is>
          <t>LVN</t>
        </is>
      </c>
      <c r="P88">
        <f>B73</f>
        <v/>
      </c>
    </row>
    <row r="89">
      <c r="M89" t="n">
        <v>5</v>
      </c>
      <c r="N89" t="inlineStr">
        <is>
          <t>FCC</t>
        </is>
      </c>
      <c r="O89" t="inlineStr">
        <is>
          <t>HVN</t>
        </is>
      </c>
      <c r="P89">
        <f>C73</f>
        <v/>
      </c>
    </row>
    <row r="90">
      <c r="M90" t="n">
        <v>5</v>
      </c>
      <c r="N90" t="inlineStr">
        <is>
          <t>COKER</t>
        </is>
      </c>
      <c r="O90" t="inlineStr">
        <is>
          <t>LVN</t>
        </is>
      </c>
      <c r="P90">
        <f>B74</f>
        <v/>
      </c>
    </row>
    <row r="91">
      <c r="M91" t="n">
        <v>5</v>
      </c>
      <c r="N91" t="inlineStr">
        <is>
          <t>COKER</t>
        </is>
      </c>
      <c r="O91" t="inlineStr">
        <is>
          <t>HVN</t>
        </is>
      </c>
      <c r="P91">
        <f>C74</f>
        <v/>
      </c>
    </row>
    <row r="92">
      <c r="M92" t="n">
        <v>5</v>
      </c>
      <c r="N92" t="inlineStr">
        <is>
          <t>HYDROCRACKER</t>
        </is>
      </c>
      <c r="O92" t="inlineStr">
        <is>
          <t>LVN</t>
        </is>
      </c>
      <c r="P92">
        <f>B75</f>
        <v/>
      </c>
    </row>
    <row r="93">
      <c r="M93" t="n">
        <v>5</v>
      </c>
      <c r="N93" t="inlineStr">
        <is>
          <t>HYDROCRACKER</t>
        </is>
      </c>
      <c r="O93" t="inlineStr">
        <is>
          <t>HVN</t>
        </is>
      </c>
      <c r="P93">
        <f>C75</f>
        <v/>
      </c>
    </row>
    <row r="94">
      <c r="M94" t="n">
        <v>5</v>
      </c>
      <c r="N94" t="inlineStr">
        <is>
          <t>REFORMER</t>
        </is>
      </c>
      <c r="O94" t="inlineStr">
        <is>
          <t>LVN</t>
        </is>
      </c>
      <c r="P94">
        <f>B76</f>
        <v/>
      </c>
    </row>
    <row r="95">
      <c r="M95" t="n">
        <v>5</v>
      </c>
      <c r="N95" t="inlineStr">
        <is>
          <t>REFORMER</t>
        </is>
      </c>
      <c r="O95" t="inlineStr">
        <is>
          <t>HVN</t>
        </is>
      </c>
      <c r="P95">
        <f>C76</f>
        <v/>
      </c>
    </row>
    <row r="96">
      <c r="M96" t="n">
        <v>5</v>
      </c>
      <c r="N96" t="inlineStr">
        <is>
          <t>ISOM</t>
        </is>
      </c>
      <c r="O96" t="inlineStr">
        <is>
          <t>LVN</t>
        </is>
      </c>
      <c r="P96">
        <f>B77</f>
        <v/>
      </c>
    </row>
    <row r="97">
      <c r="M97" t="n">
        <v>5</v>
      </c>
      <c r="N97" t="inlineStr">
        <is>
          <t>ISOM</t>
        </is>
      </c>
      <c r="O97" t="inlineStr">
        <is>
          <t>HVN</t>
        </is>
      </c>
      <c r="P97">
        <f>C77</f>
        <v/>
      </c>
    </row>
    <row r="98">
      <c r="M98" t="n">
        <v>5</v>
      </c>
      <c r="N98" t="inlineStr">
        <is>
          <t>ALKY</t>
        </is>
      </c>
      <c r="O98" t="inlineStr">
        <is>
          <t>LVN</t>
        </is>
      </c>
      <c r="P98">
        <f>B78</f>
        <v/>
      </c>
    </row>
    <row r="99">
      <c r="M99" t="n">
        <v>5</v>
      </c>
      <c r="N99" t="inlineStr">
        <is>
          <t>ALKY</t>
        </is>
      </c>
      <c r="O99" t="inlineStr">
        <is>
          <t>HVN</t>
        </is>
      </c>
      <c r="P99">
        <f>C78</f>
        <v/>
      </c>
    </row>
    <row r="100">
      <c r="M100" t="n">
        <v>5</v>
      </c>
      <c r="N100" t="inlineStr">
        <is>
          <t>SPLITTER</t>
        </is>
      </c>
      <c r="O100" t="inlineStr">
        <is>
          <t>LVN</t>
        </is>
      </c>
      <c r="P100">
        <f>B79</f>
        <v/>
      </c>
    </row>
    <row r="101">
      <c r="M101" t="n">
        <v>5</v>
      </c>
      <c r="N101" t="inlineStr">
        <is>
          <t>SPLITTER</t>
        </is>
      </c>
      <c r="O101" t="inlineStr">
        <is>
          <t>HVN</t>
        </is>
      </c>
      <c r="P101">
        <f>C79</f>
        <v/>
      </c>
    </row>
    <row r="102">
      <c r="M102" t="n">
        <v>5</v>
      </c>
      <c r="N102" t="inlineStr">
        <is>
          <t>NHT</t>
        </is>
      </c>
      <c r="O102" t="inlineStr">
        <is>
          <t>LVN</t>
        </is>
      </c>
      <c r="P102">
        <f>B80</f>
        <v/>
      </c>
    </row>
    <row r="103">
      <c r="M103" t="n">
        <v>5</v>
      </c>
      <c r="N103" t="inlineStr">
        <is>
          <t>NHT</t>
        </is>
      </c>
      <c r="O103" t="inlineStr">
        <is>
          <t>HVN</t>
        </is>
      </c>
      <c r="P103">
        <f>C80</f>
        <v/>
      </c>
    </row>
  </sheetData>
  <mergeCells count="6">
    <mergeCell ref="A67:H67"/>
    <mergeCell ref="A3:H3"/>
    <mergeCell ref="A35:H35"/>
    <mergeCell ref="A1:P1"/>
    <mergeCell ref="A51:H51"/>
    <mergeCell ref="A19:H19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6243D"/>
    <outlinePr summaryBelow="1" summaryRight="1"/>
    <pageSetUpPr fitToPage="1"/>
  </sheetPr>
  <dimension ref="A1:Q1083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" customWidth="1" min="3" max="3"/>
    <col width="12" customWidth="1" min="4" max="4"/>
    <col width="12" customWidth="1" min="5" max="5"/>
    <col width="8" customWidth="1" min="6" max="6"/>
    <col width="8" customWidth="1" min="7" max="7"/>
    <col width="8" customWidth="1" min="8" max="8"/>
    <col width="11" customWidth="1" min="9" max="9"/>
    <col width="8" customWidth="1" min="10" max="10"/>
    <col width="7" customWidth="1" min="11" max="11"/>
    <col width="8" customWidth="1" min="12" max="12"/>
    <col width="9" customWidth="1" min="13" max="13"/>
    <col width="8" customWidth="1" min="14" max="14"/>
    <col width="9" customWidth="1" min="15" max="15"/>
    <col width="9" customWidth="1" min="16" max="16"/>
    <col width="14" customWidth="1" min="17" max="17"/>
  </cols>
  <sheetData>
    <row r="1" ht="20" customHeight="1">
      <c r="A1" s="8" t="inlineStr">
        <is>
          <t>Refinery boxes — net naphtha = capacity x utilization x signed yields. Blue = input, orange = manual override, grey = formula. MODE flips a unit between override and assumption; OFFLINE % knocks capacity out (e.g. 1 = full outage, 0.5 = half rates). Set either on the NET NAPHTHA row to apply refinery-wide. Yield-mode rows read Data.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</row>
    <row r="2">
      <c r="A2" s="23" t="inlineStr">
        <is>
          <t>row</t>
        </is>
      </c>
      <c r="B2" s="23" t="inlineStr">
        <is>
          <t>refinery_id</t>
        </is>
      </c>
      <c r="C2" s="23" t="inlineStr">
        <is>
          <t>padd</t>
        </is>
      </c>
      <c r="D2" s="23" t="inlineStr">
        <is>
          <t>unit</t>
        </is>
      </c>
      <c r="E2" s="23" t="inlineStr">
        <is>
          <t>type</t>
        </is>
      </c>
      <c r="F2" s="23" t="inlineStr">
        <is>
          <t>cap kbd</t>
        </is>
      </c>
      <c r="G2" s="23" t="inlineStr">
        <is>
          <t>eff cap</t>
        </is>
      </c>
      <c r="H2" s="23" t="inlineStr">
        <is>
          <t>offline %</t>
        </is>
      </c>
      <c r="I2" s="23" t="inlineStr">
        <is>
          <t>mode</t>
        </is>
      </c>
      <c r="J2" s="23" t="inlineStr">
        <is>
          <t>util ovr</t>
        </is>
      </c>
      <c r="K2" s="23" t="inlineStr">
        <is>
          <t>util</t>
        </is>
      </c>
      <c r="L2" s="23" t="inlineStr">
        <is>
          <t>LVN ovr</t>
        </is>
      </c>
      <c r="M2" s="23" t="inlineStr">
        <is>
          <t>LVN yield</t>
        </is>
      </c>
      <c r="N2" s="23" t="inlineStr">
        <is>
          <t>HVN ovr</t>
        </is>
      </c>
      <c r="O2" s="23" t="inlineStr">
        <is>
          <t>HVN yield</t>
        </is>
      </c>
      <c r="P2" s="23" t="inlineStr">
        <is>
          <t>Σ yield</t>
        </is>
      </c>
      <c r="Q2" s="23" t="inlineStr">
        <is>
          <t>net naphtha kbd</t>
        </is>
      </c>
    </row>
    <row r="3" ht="20" customHeight="1">
      <c r="A3" s="8">
        <f>"  Phillips 66 Co. Linden  [PHILLIPS_LINDEN]   —   Phillips 66 Co.   —   PADD 1   —   crude "&amp;TEXT(SUMIFS(Data!$G$3:$G$125,Data!$A$3:$A$125,"PHILLIPS_LINDEN"),"#,##0")&amp;" kbd"</f>
        <v/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</row>
    <row r="4">
      <c r="A4" s="11" t="inlineStr">
        <is>
          <t>UNIT</t>
        </is>
      </c>
      <c r="B4" s="28" t="inlineStr">
        <is>
          <t>PHILLIPS_LINDEN</t>
        </is>
      </c>
      <c r="C4" s="28" t="n">
        <v>1</v>
      </c>
      <c r="D4" s="28" t="inlineStr">
        <is>
          <t>CDU</t>
        </is>
      </c>
      <c r="E4" s="28" t="inlineStr">
        <is>
          <t>CDU</t>
        </is>
      </c>
      <c r="F4" s="29" t="n">
        <v>272.1</v>
      </c>
      <c r="G4" s="30">
        <f>IFERROR(IF(INDEX(Effective!$E$3:$R$125,MATCH($B4,Effective!$A$3:$A$125,0),MATCH($D4,Effective!$E$2:$R$2,0))=0,"",INDEX(Effective!$E$3:$R$125,MATCH($B4,Effective!$A$3:$A$125,0),MATCH($D4,Effective!$E$2:$R$2,0))),"")</f>
        <v/>
      </c>
      <c r="H4" s="31" t="n"/>
      <c r="I4" s="17" t="inlineStr">
        <is>
          <t>override</t>
        </is>
      </c>
      <c r="J4" s="32" t="n">
        <v>0.804</v>
      </c>
      <c r="K4" s="33">
        <f>IF(AND(IF($I10&lt;&gt;"",$I10,$I4)="override",$J4&lt;&gt;""),$J4,SUMIFS(Assumptions!$K$4:$K$8,Assumptions!$J$4:$J$8,$C4))*Assumptions!$S$10*(1-MIN(1,MAX(N($H4),N($H10))))</f>
        <v/>
      </c>
      <c r="L4" s="32" t="n"/>
      <c r="M4" s="34">
        <f>IF(AND(IF($I10&lt;&gt;"",$I10,$I4)="override",$L4&lt;&gt;""),$L4,SUMIFS(Assumptions!$P$4:$P$103,Assumptions!$M$4:$M$103,$C4,Assumptions!$N$4:$N$103,$E4,Assumptions!$O$4:$O$103,"LVN"))</f>
        <v/>
      </c>
      <c r="N4" s="32" t="n"/>
      <c r="O4" s="34">
        <f>IF(AND(IF($I10&lt;&gt;"",$I10,$I4)="override",$N4&lt;&gt;""),$N4,SUMIFS(Assumptions!$P$4:$P$103,Assumptions!$M$4:$M$103,$C4,Assumptions!$N$4:$N$103,$E4,Assumptions!$O$4:$O$103,"HVN"))</f>
        <v/>
      </c>
      <c r="P4" s="34">
        <f>(M4+O4)*Assumptions!$S$11</f>
        <v/>
      </c>
      <c r="Q4" s="35">
        <f>$F4*$K4*$P4</f>
        <v/>
      </c>
    </row>
    <row r="5">
      <c r="A5" s="11" t="inlineStr">
        <is>
          <t>UNIT</t>
        </is>
      </c>
      <c r="B5" s="28" t="inlineStr">
        <is>
          <t>PHILLIPS_LINDEN</t>
        </is>
      </c>
      <c r="C5" s="28" t="n">
        <v>1</v>
      </c>
      <c r="D5" s="28" t="inlineStr">
        <is>
          <t>VDU</t>
        </is>
      </c>
      <c r="E5" s="28" t="inlineStr">
        <is>
          <t>VDU</t>
        </is>
      </c>
      <c r="F5" s="29" t="n">
        <v>75</v>
      </c>
      <c r="G5" s="30">
        <f>IFERROR(IF(INDEX(Effective!$E$3:$R$125,MATCH($B5,Effective!$A$3:$A$125,0),MATCH($D5,Effective!$E$2:$R$2,0))=0,"",INDEX(Effective!$E$3:$R$125,MATCH($B5,Effective!$A$3:$A$125,0),MATCH($D5,Effective!$E$2:$R$2,0))),"")</f>
        <v/>
      </c>
      <c r="H5" s="31" t="n"/>
      <c r="I5" s="17" t="inlineStr">
        <is>
          <t>override</t>
        </is>
      </c>
      <c r="J5" s="32" t="n">
        <v>0.991</v>
      </c>
      <c r="K5" s="33">
        <f>IF(AND(IF($I10&lt;&gt;"",$I10,$I5)="override",$J5&lt;&gt;""),$J5,SUMIFS(Assumptions!$K$4:$K$8,Assumptions!$J$4:$J$8,$C5))*Assumptions!$S$10*(1-MIN(1,MAX(N($H5),N($H10))))</f>
        <v/>
      </c>
      <c r="L5" s="32" t="n"/>
      <c r="M5" s="34">
        <f>IF(AND(IF($I10&lt;&gt;"",$I10,$I5)="override",$L5&lt;&gt;""),$L5,SUMIFS(Assumptions!$P$4:$P$103,Assumptions!$M$4:$M$103,$C5,Assumptions!$N$4:$N$103,$E5,Assumptions!$O$4:$O$103,"LVN"))</f>
        <v/>
      </c>
      <c r="N5" s="32" t="n"/>
      <c r="O5" s="34">
        <f>IF(AND(IF($I10&lt;&gt;"",$I10,$I5)="override",$N5&lt;&gt;""),$N5,SUMIFS(Assumptions!$P$4:$P$103,Assumptions!$M$4:$M$103,$C5,Assumptions!$N$4:$N$103,$E5,Assumptions!$O$4:$O$103,"HVN"))</f>
        <v/>
      </c>
      <c r="P5" s="34">
        <f>(M5+O5)*Assumptions!$S$11</f>
        <v/>
      </c>
      <c r="Q5" s="35">
        <f>$F5*$K5*$P5</f>
        <v/>
      </c>
    </row>
    <row r="6">
      <c r="A6" s="11" t="inlineStr">
        <is>
          <t>UNIT</t>
        </is>
      </c>
      <c r="B6" s="28" t="inlineStr">
        <is>
          <t>PHILLIPS_LINDEN</t>
        </is>
      </c>
      <c r="C6" s="28" t="n">
        <v>1</v>
      </c>
      <c r="D6" s="28" t="inlineStr">
        <is>
          <t>FCC</t>
        </is>
      </c>
      <c r="E6" s="28" t="inlineStr">
        <is>
          <t>FCC</t>
        </is>
      </c>
      <c r="F6" s="29" t="n">
        <v>145</v>
      </c>
      <c r="G6" s="30">
        <f>IFERROR(IF(INDEX(Effective!$E$3:$R$125,MATCH($B6,Effective!$A$3:$A$125,0),MATCH($D6,Effective!$E$2:$R$2,0))=0,"",INDEX(Effective!$E$3:$R$125,MATCH($B6,Effective!$A$3:$A$125,0),MATCH($D6,Effective!$E$2:$R$2,0))),"")</f>
        <v/>
      </c>
      <c r="H6" s="31" t="n"/>
      <c r="I6" s="17" t="inlineStr">
        <is>
          <t>override</t>
        </is>
      </c>
      <c r="J6" s="32" t="n">
        <v>0.569</v>
      </c>
      <c r="K6" s="33">
        <f>IF(AND(IF($I10&lt;&gt;"",$I10,$I6)="override",$J6&lt;&gt;""),$J6,SUMIFS(Assumptions!$K$4:$K$8,Assumptions!$J$4:$J$8,$C6))*Assumptions!$S$10*(1-MIN(1,MAX(N($H6),N($H10))))</f>
        <v/>
      </c>
      <c r="L6" s="32" t="n"/>
      <c r="M6" s="34">
        <f>IF(AND(IF($I10&lt;&gt;"",$I10,$I6)="override",$L6&lt;&gt;""),$L6,SUMIFS(Assumptions!$P$4:$P$103,Assumptions!$M$4:$M$103,$C6,Assumptions!$N$4:$N$103,$E6,Assumptions!$O$4:$O$103,"LVN"))</f>
        <v/>
      </c>
      <c r="N6" s="32" t="n"/>
      <c r="O6" s="34">
        <f>IF(AND(IF($I10&lt;&gt;"",$I10,$I6)="override",$N6&lt;&gt;""),$N6,SUMIFS(Assumptions!$P$4:$P$103,Assumptions!$M$4:$M$103,$C6,Assumptions!$N$4:$N$103,$E6,Assumptions!$O$4:$O$103,"HVN"))</f>
        <v/>
      </c>
      <c r="P6" s="34">
        <f>(M6+O6)*Assumptions!$S$11</f>
        <v/>
      </c>
      <c r="Q6" s="35">
        <f>$F6*$K6*$P6</f>
        <v/>
      </c>
    </row>
    <row r="7">
      <c r="A7" s="11" t="inlineStr">
        <is>
          <t>UNIT</t>
        </is>
      </c>
      <c r="B7" s="28" t="inlineStr">
        <is>
          <t>PHILLIPS_LINDEN</t>
        </is>
      </c>
      <c r="C7" s="28" t="n">
        <v>1</v>
      </c>
      <c r="D7" s="28" t="inlineStr">
        <is>
          <t>CCR</t>
        </is>
      </c>
      <c r="E7" s="28" t="inlineStr">
        <is>
          <t>REFORMER</t>
        </is>
      </c>
      <c r="F7" s="29" t="n">
        <v>37</v>
      </c>
      <c r="G7" s="30">
        <f>IFERROR(IF(INDEX(Effective!$E$3:$R$125,MATCH($B7,Effective!$A$3:$A$125,0),MATCH($D7,Effective!$E$2:$R$2,0))=0,"",INDEX(Effective!$E$3:$R$125,MATCH($B7,Effective!$A$3:$A$125,0),MATCH($D7,Effective!$E$2:$R$2,0))),"")</f>
        <v/>
      </c>
      <c r="H7" s="31" t="n"/>
      <c r="I7" s="17" t="inlineStr">
        <is>
          <t>override</t>
        </is>
      </c>
      <c r="J7" s="32" t="n">
        <v>0.606</v>
      </c>
      <c r="K7" s="33">
        <f>IF(AND(IF($I10&lt;&gt;"",$I10,$I7)="override",$J7&lt;&gt;""),$J7,SUMIFS(Assumptions!$K$4:$K$8,Assumptions!$J$4:$J$8,$C7))*Assumptions!$S$10*(1-MIN(1,MAX(N($H7),N($H10))))</f>
        <v/>
      </c>
      <c r="L7" s="32" t="n"/>
      <c r="M7" s="34">
        <f>IF(AND(IF($I10&lt;&gt;"",$I10,$I7)="override",$L7&lt;&gt;""),$L7,SUMIFS(Assumptions!$P$4:$P$103,Assumptions!$M$4:$M$103,$C7,Assumptions!$N$4:$N$103,$E7,Assumptions!$O$4:$O$103,"LVN"))</f>
        <v/>
      </c>
      <c r="N7" s="32" t="n"/>
      <c r="O7" s="34">
        <f>IF(AND(IF($I10&lt;&gt;"",$I10,$I7)="override",$N7&lt;&gt;""),$N7,SUMIFS(Assumptions!$P$4:$P$103,Assumptions!$M$4:$M$103,$C7,Assumptions!$N$4:$N$103,$E7,Assumptions!$O$4:$O$103,"HVN"))</f>
        <v/>
      </c>
      <c r="P7" s="34">
        <f>(M7+O7)*Assumptions!$S$11</f>
        <v/>
      </c>
      <c r="Q7" s="35">
        <f>$F7*$K7*$P7</f>
        <v/>
      </c>
    </row>
    <row r="8">
      <c r="A8" s="11" t="inlineStr">
        <is>
          <t>UNIT</t>
        </is>
      </c>
      <c r="B8" s="28" t="inlineStr">
        <is>
          <t>PHILLIPS_LINDEN</t>
        </is>
      </c>
      <c r="C8" s="28" t="n">
        <v>1</v>
      </c>
      <c r="D8" s="28" t="inlineStr">
        <is>
          <t>ALKY</t>
        </is>
      </c>
      <c r="E8" s="28" t="inlineStr">
        <is>
          <t>ALKY</t>
        </is>
      </c>
      <c r="F8" s="29" t="n">
        <v>18.8</v>
      </c>
      <c r="G8" s="30">
        <f>IFERROR(IF(INDEX(Effective!$E$3:$R$125,MATCH($B8,Effective!$A$3:$A$125,0),MATCH($D8,Effective!$E$2:$R$2,0))=0,"",INDEX(Effective!$E$3:$R$125,MATCH($B8,Effective!$A$3:$A$125,0),MATCH($D8,Effective!$E$2:$R$2,0))),"")</f>
        <v/>
      </c>
      <c r="H8" s="31" t="n"/>
      <c r="I8" s="17" t="inlineStr">
        <is>
          <t>override</t>
        </is>
      </c>
      <c r="J8" s="32" t="n">
        <v>0.988</v>
      </c>
      <c r="K8" s="33">
        <f>IF(AND(IF($I10&lt;&gt;"",$I10,$I8)="override",$J8&lt;&gt;""),$J8,SUMIFS(Assumptions!$K$4:$K$8,Assumptions!$J$4:$J$8,$C8))*Assumptions!$S$10*(1-MIN(1,MAX(N($H8),N($H10))))</f>
        <v/>
      </c>
      <c r="L8" s="32" t="n"/>
      <c r="M8" s="34">
        <f>IF(AND(IF($I10&lt;&gt;"",$I10,$I8)="override",$L8&lt;&gt;""),$L8,SUMIFS(Assumptions!$P$4:$P$103,Assumptions!$M$4:$M$103,$C8,Assumptions!$N$4:$N$103,$E8,Assumptions!$O$4:$O$103,"LVN"))</f>
        <v/>
      </c>
      <c r="N8" s="32" t="n"/>
      <c r="O8" s="34">
        <f>IF(AND(IF($I10&lt;&gt;"",$I10,$I8)="override",$N8&lt;&gt;""),$N8,SUMIFS(Assumptions!$P$4:$P$103,Assumptions!$M$4:$M$103,$C8,Assumptions!$N$4:$N$103,$E8,Assumptions!$O$4:$O$103,"HVN"))</f>
        <v/>
      </c>
      <c r="P8" s="34">
        <f>(M8+O8)*Assumptions!$S$11</f>
        <v/>
      </c>
      <c r="Q8" s="35">
        <f>$F8*$K8*$P8</f>
        <v/>
      </c>
    </row>
    <row r="9">
      <c r="A9" s="11" t="inlineStr">
        <is>
          <t>UNIT</t>
        </is>
      </c>
      <c r="B9" s="28" t="inlineStr">
        <is>
          <t>PHILLIPS_LINDEN</t>
        </is>
      </c>
      <c r="C9" s="28" t="n">
        <v>1</v>
      </c>
      <c r="D9" s="28" t="inlineStr">
        <is>
          <t>NHT</t>
        </is>
      </c>
      <c r="E9" s="28" t="inlineStr">
        <is>
          <t>NHT</t>
        </is>
      </c>
      <c r="F9" s="29" t="n">
        <v>65.5</v>
      </c>
      <c r="G9" s="30">
        <f>IFERROR(IF(INDEX(Effective!$E$3:$R$125,MATCH($B9,Effective!$A$3:$A$125,0),MATCH($D9,Effective!$E$2:$R$2,0))=0,"",INDEX(Effective!$E$3:$R$125,MATCH($B9,Effective!$A$3:$A$125,0),MATCH($D9,Effective!$E$2:$R$2,0))),"")</f>
        <v/>
      </c>
      <c r="H9" s="31" t="n"/>
      <c r="I9" s="17" t="inlineStr">
        <is>
          <t>override</t>
        </is>
      </c>
      <c r="J9" s="32" t="n">
        <v>0.8110000000000001</v>
      </c>
      <c r="K9" s="33">
        <f>IF(AND(IF($I10&lt;&gt;"",$I10,$I9)="override",$J9&lt;&gt;""),$J9,SUMIFS(Assumptions!$K$4:$K$8,Assumptions!$J$4:$J$8,$C9))*Assumptions!$S$10*(1-MIN(1,MAX(N($H9),N($H10))))</f>
        <v/>
      </c>
      <c r="L9" s="32" t="n"/>
      <c r="M9" s="34">
        <f>IF(AND(IF($I10&lt;&gt;"",$I10,$I9)="override",$L9&lt;&gt;""),$L9,SUMIFS(Assumptions!$P$4:$P$103,Assumptions!$M$4:$M$103,$C9,Assumptions!$N$4:$N$103,$E9,Assumptions!$O$4:$O$103,"LVN"))</f>
        <v/>
      </c>
      <c r="N9" s="32" t="n"/>
      <c r="O9" s="34">
        <f>IF(AND(IF($I10&lt;&gt;"",$I10,$I9)="override",$N9&lt;&gt;""),$N9,SUMIFS(Assumptions!$P$4:$P$103,Assumptions!$M$4:$M$103,$C9,Assumptions!$N$4:$N$103,$E9,Assumptions!$O$4:$O$103,"HVN"))</f>
        <v/>
      </c>
      <c r="P9" s="34">
        <f>(M9+O9)*Assumptions!$S$11</f>
        <v/>
      </c>
      <c r="Q9" s="35">
        <f>$F9*$K9*$P9</f>
        <v/>
      </c>
    </row>
    <row r="10">
      <c r="A10" s="24" t="inlineStr">
        <is>
          <t>TOTAL</t>
        </is>
      </c>
      <c r="B10" s="36" t="inlineStr">
        <is>
          <t>PHILLIPS_LINDEN</t>
        </is>
      </c>
      <c r="C10" s="36" t="n">
        <v>1</v>
      </c>
      <c r="D10" s="36" t="inlineStr">
        <is>
          <t>NET NAPHTHA</t>
        </is>
      </c>
      <c r="H10" s="31" t="n"/>
      <c r="I10" s="17" t="n"/>
      <c r="Q10" s="37">
        <f>SUM(Q4:Q9)</f>
        <v/>
      </c>
    </row>
    <row r="12" ht="20" customHeight="1">
      <c r="A12" s="8">
        <f>"  Monroe Energy Trainer  [MONROE_TRAINER]   —   Delta Airlines   —   PADD 1   —   crude "&amp;TEXT(SUMIFS(Data!$G$3:$G$125,Data!$A$3:$A$125,"MONROE_TRAINER"),"#,##0")&amp;" kbd"</f>
        <v/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</row>
    <row r="13">
      <c r="A13" s="11" t="inlineStr">
        <is>
          <t>UNIT</t>
        </is>
      </c>
      <c r="B13" s="28" t="inlineStr">
        <is>
          <t>MONROE_TRAINER</t>
        </is>
      </c>
      <c r="C13" s="28" t="n">
        <v>1</v>
      </c>
      <c r="D13" s="28" t="inlineStr">
        <is>
          <t>CDU</t>
        </is>
      </c>
      <c r="E13" s="28" t="inlineStr">
        <is>
          <t>CDU</t>
        </is>
      </c>
      <c r="F13" s="29" t="n">
        <v>208</v>
      </c>
      <c r="G13" s="30">
        <f>IFERROR(IF(INDEX(Effective!$E$3:$R$125,MATCH($B13,Effective!$A$3:$A$125,0),MATCH($D13,Effective!$E$2:$R$2,0))=0,"",INDEX(Effective!$E$3:$R$125,MATCH($B13,Effective!$A$3:$A$125,0),MATCH($D13,Effective!$E$2:$R$2,0))),"")</f>
        <v/>
      </c>
      <c r="H13" s="31" t="n">
        <v>0.25</v>
      </c>
      <c r="I13" s="17" t="inlineStr">
        <is>
          <t>override</t>
        </is>
      </c>
      <c r="J13" s="32" t="n">
        <v>0.8090000000000001</v>
      </c>
      <c r="K13" s="33">
        <f>IF(AND(IF($I20&lt;&gt;"",$I20,$I13)="override",$J13&lt;&gt;""),$J13,SUMIFS(Assumptions!$K$4:$K$8,Assumptions!$J$4:$J$8,$C13))*Assumptions!$S$10*(1-MIN(1,MAX(N($H13),N($H20))))</f>
        <v/>
      </c>
      <c r="L13" s="32" t="n"/>
      <c r="M13" s="34">
        <f>IF(AND(IF($I20&lt;&gt;"",$I20,$I13)="override",$L13&lt;&gt;""),$L13,SUMIFS(Assumptions!$P$4:$P$103,Assumptions!$M$4:$M$103,$C13,Assumptions!$N$4:$N$103,$E13,Assumptions!$O$4:$O$103,"LVN"))</f>
        <v/>
      </c>
      <c r="N13" s="32" t="n"/>
      <c r="O13" s="34">
        <f>IF(AND(IF($I20&lt;&gt;"",$I20,$I13)="override",$N13&lt;&gt;""),$N13,SUMIFS(Assumptions!$P$4:$P$103,Assumptions!$M$4:$M$103,$C13,Assumptions!$N$4:$N$103,$E13,Assumptions!$O$4:$O$103,"HVN"))</f>
        <v/>
      </c>
      <c r="P13" s="34">
        <f>(M13+O13)*Assumptions!$S$11</f>
        <v/>
      </c>
      <c r="Q13" s="35">
        <f>$F13*$K13*$P13</f>
        <v/>
      </c>
    </row>
    <row r="14">
      <c r="A14" s="11" t="inlineStr">
        <is>
          <t>UNIT</t>
        </is>
      </c>
      <c r="B14" s="28" t="inlineStr">
        <is>
          <t>MONROE_TRAINER</t>
        </is>
      </c>
      <c r="C14" s="28" t="n">
        <v>1</v>
      </c>
      <c r="D14" s="28" t="inlineStr">
        <is>
          <t>VDU</t>
        </is>
      </c>
      <c r="E14" s="28" t="inlineStr">
        <is>
          <t>VDU</t>
        </is>
      </c>
      <c r="F14" s="29" t="n">
        <v>73</v>
      </c>
      <c r="G14" s="30">
        <f>IFERROR(IF(INDEX(Effective!$E$3:$R$125,MATCH($B14,Effective!$A$3:$A$125,0),MATCH($D14,Effective!$E$2:$R$2,0))=0,"",INDEX(Effective!$E$3:$R$125,MATCH($B14,Effective!$A$3:$A$125,0),MATCH($D14,Effective!$E$2:$R$2,0))),"")</f>
        <v/>
      </c>
      <c r="H14" s="31" t="n"/>
      <c r="I14" s="17" t="inlineStr">
        <is>
          <t>override</t>
        </is>
      </c>
      <c r="J14" s="32" t="n">
        <v>0.584</v>
      </c>
      <c r="K14" s="33">
        <f>IF(AND(IF($I20&lt;&gt;"",$I20,$I14)="override",$J14&lt;&gt;""),$J14,SUMIFS(Assumptions!$K$4:$K$8,Assumptions!$J$4:$J$8,$C14))*Assumptions!$S$10*(1-MIN(1,MAX(N($H14),N($H20))))</f>
        <v/>
      </c>
      <c r="L14" s="32" t="n"/>
      <c r="M14" s="34">
        <f>IF(AND(IF($I20&lt;&gt;"",$I20,$I14)="override",$L14&lt;&gt;""),$L14,SUMIFS(Assumptions!$P$4:$P$103,Assumptions!$M$4:$M$103,$C14,Assumptions!$N$4:$N$103,$E14,Assumptions!$O$4:$O$103,"LVN"))</f>
        <v/>
      </c>
      <c r="N14" s="32" t="n"/>
      <c r="O14" s="34">
        <f>IF(AND(IF($I20&lt;&gt;"",$I20,$I14)="override",$N14&lt;&gt;""),$N14,SUMIFS(Assumptions!$P$4:$P$103,Assumptions!$M$4:$M$103,$C14,Assumptions!$N$4:$N$103,$E14,Assumptions!$O$4:$O$103,"HVN"))</f>
        <v/>
      </c>
      <c r="P14" s="34">
        <f>(M14+O14)*Assumptions!$S$11</f>
        <v/>
      </c>
      <c r="Q14" s="35">
        <f>$F14*$K14*$P14</f>
        <v/>
      </c>
    </row>
    <row r="15">
      <c r="A15" s="11" t="inlineStr">
        <is>
          <t>UNIT</t>
        </is>
      </c>
      <c r="B15" s="28" t="inlineStr">
        <is>
          <t>MONROE_TRAINER</t>
        </is>
      </c>
      <c r="C15" s="28" t="n">
        <v>1</v>
      </c>
      <c r="D15" s="28" t="inlineStr">
        <is>
          <t>FCC</t>
        </is>
      </c>
      <c r="E15" s="28" t="inlineStr">
        <is>
          <t>FCC</t>
        </is>
      </c>
      <c r="F15" s="29" t="n">
        <v>53</v>
      </c>
      <c r="G15" s="30">
        <f>IFERROR(IF(INDEX(Effective!$E$3:$R$125,MATCH($B15,Effective!$A$3:$A$125,0),MATCH($D15,Effective!$E$2:$R$2,0))=0,"",INDEX(Effective!$E$3:$R$125,MATCH($B15,Effective!$A$3:$A$125,0),MATCH($D15,Effective!$E$2:$R$2,0))),"")</f>
        <v/>
      </c>
      <c r="H15" s="31" t="n">
        <v>1</v>
      </c>
      <c r="I15" s="17" t="inlineStr">
        <is>
          <t>override</t>
        </is>
      </c>
      <c r="J15" s="32" t="n">
        <v>0.448</v>
      </c>
      <c r="K15" s="33">
        <f>IF(AND(IF($I20&lt;&gt;"",$I20,$I15)="override",$J15&lt;&gt;""),$J15,SUMIFS(Assumptions!$K$4:$K$8,Assumptions!$J$4:$J$8,$C15))*Assumptions!$S$10*(1-MIN(1,MAX(N($H15),N($H20))))</f>
        <v/>
      </c>
      <c r="L15" s="32" t="n"/>
      <c r="M15" s="34">
        <f>IF(AND(IF($I20&lt;&gt;"",$I20,$I15)="override",$L15&lt;&gt;""),$L15,SUMIFS(Assumptions!$P$4:$P$103,Assumptions!$M$4:$M$103,$C15,Assumptions!$N$4:$N$103,$E15,Assumptions!$O$4:$O$103,"LVN"))</f>
        <v/>
      </c>
      <c r="N15" s="32" t="n"/>
      <c r="O15" s="34">
        <f>IF(AND(IF($I20&lt;&gt;"",$I20,$I15)="override",$N15&lt;&gt;""),$N15,SUMIFS(Assumptions!$P$4:$P$103,Assumptions!$M$4:$M$103,$C15,Assumptions!$N$4:$N$103,$E15,Assumptions!$O$4:$O$103,"HVN"))</f>
        <v/>
      </c>
      <c r="P15" s="34">
        <f>(M15+O15)*Assumptions!$S$11</f>
        <v/>
      </c>
      <c r="Q15" s="35">
        <f>$F15*$K15*$P15</f>
        <v/>
      </c>
    </row>
    <row r="16">
      <c r="A16" s="11" t="inlineStr">
        <is>
          <t>UNIT</t>
        </is>
      </c>
      <c r="B16" s="28" t="inlineStr">
        <is>
          <t>MONROE_TRAINER</t>
        </is>
      </c>
      <c r="C16" s="28" t="n">
        <v>1</v>
      </c>
      <c r="D16" s="28" t="inlineStr">
        <is>
          <t>DHCU</t>
        </is>
      </c>
      <c r="E16" s="28" t="inlineStr">
        <is>
          <t>HYDROCRACKER</t>
        </is>
      </c>
      <c r="F16" s="29" t="n">
        <v>23</v>
      </c>
      <c r="G16" s="30">
        <f>IFERROR(IF(INDEX(Effective!$E$3:$R$125,MATCH($B16,Effective!$A$3:$A$125,0),MATCH($D16,Effective!$E$2:$R$2,0))=0,"",INDEX(Effective!$E$3:$R$125,MATCH($B16,Effective!$A$3:$A$125,0),MATCH($D16,Effective!$E$2:$R$2,0))),"")</f>
        <v/>
      </c>
      <c r="H16" s="31" t="n"/>
      <c r="I16" s="17" t="inlineStr">
        <is>
          <t>override</t>
        </is>
      </c>
      <c r="J16" s="32" t="n">
        <v>1</v>
      </c>
      <c r="K16" s="33">
        <f>IF(AND(IF($I20&lt;&gt;"",$I20,$I16)="override",$J16&lt;&gt;""),$J16,SUMIFS(Assumptions!$K$4:$K$8,Assumptions!$J$4:$J$8,$C16))*Assumptions!$S$10*(1-MIN(1,MAX(N($H16),N($H20))))</f>
        <v/>
      </c>
      <c r="L16" s="32" t="n"/>
      <c r="M16" s="34">
        <f>IF(AND(IF($I20&lt;&gt;"",$I20,$I16)="override",$L16&lt;&gt;""),$L16,SUMIFS(Assumptions!$P$4:$P$103,Assumptions!$M$4:$M$103,$C16,Assumptions!$N$4:$N$103,$E16,Assumptions!$O$4:$O$103,"LVN"))</f>
        <v/>
      </c>
      <c r="N16" s="32" t="n"/>
      <c r="O16" s="34">
        <f>IF(AND(IF($I20&lt;&gt;"",$I20,$I16)="override",$N16&lt;&gt;""),$N16,SUMIFS(Assumptions!$P$4:$P$103,Assumptions!$M$4:$M$103,$C16,Assumptions!$N$4:$N$103,$E16,Assumptions!$O$4:$O$103,"HVN"))</f>
        <v/>
      </c>
      <c r="P16" s="34">
        <f>(M16+O16)*Assumptions!$S$11</f>
        <v/>
      </c>
      <c r="Q16" s="35">
        <f>$F16*$K16*$P16</f>
        <v/>
      </c>
    </row>
    <row r="17">
      <c r="A17" s="11" t="inlineStr">
        <is>
          <t>UNIT</t>
        </is>
      </c>
      <c r="B17" s="28" t="inlineStr">
        <is>
          <t>MONROE_TRAINER</t>
        </is>
      </c>
      <c r="C17" s="28" t="n">
        <v>1</v>
      </c>
      <c r="D17" s="28" t="inlineStr">
        <is>
          <t>CCR</t>
        </is>
      </c>
      <c r="E17" s="28" t="inlineStr">
        <is>
          <t>REFORMER</t>
        </is>
      </c>
      <c r="F17" s="29" t="n">
        <v>50</v>
      </c>
      <c r="G17" s="30">
        <f>IFERROR(IF(INDEX(Effective!$E$3:$R$125,MATCH($B17,Effective!$A$3:$A$125,0),MATCH($D17,Effective!$E$2:$R$2,0))=0,"",INDEX(Effective!$E$3:$R$125,MATCH($B17,Effective!$A$3:$A$125,0),MATCH($D17,Effective!$E$2:$R$2,0))),"")</f>
        <v/>
      </c>
      <c r="H17" s="31" t="n"/>
      <c r="I17" s="17" t="inlineStr">
        <is>
          <t>override</t>
        </is>
      </c>
      <c r="J17" s="32" t="n">
        <v>0.956</v>
      </c>
      <c r="K17" s="33">
        <f>IF(AND(IF($I20&lt;&gt;"",$I20,$I17)="override",$J17&lt;&gt;""),$J17,SUMIFS(Assumptions!$K$4:$K$8,Assumptions!$J$4:$J$8,$C17))*Assumptions!$S$10*(1-MIN(1,MAX(N($H17),N($H20))))</f>
        <v/>
      </c>
      <c r="L17" s="32" t="n"/>
      <c r="M17" s="34">
        <f>IF(AND(IF($I20&lt;&gt;"",$I20,$I17)="override",$L17&lt;&gt;""),$L17,SUMIFS(Assumptions!$P$4:$P$103,Assumptions!$M$4:$M$103,$C17,Assumptions!$N$4:$N$103,$E17,Assumptions!$O$4:$O$103,"LVN"))</f>
        <v/>
      </c>
      <c r="N17" s="32" t="n"/>
      <c r="O17" s="34">
        <f>IF(AND(IF($I20&lt;&gt;"",$I20,$I17)="override",$N17&lt;&gt;""),$N17,SUMIFS(Assumptions!$P$4:$P$103,Assumptions!$M$4:$M$103,$C17,Assumptions!$N$4:$N$103,$E17,Assumptions!$O$4:$O$103,"HVN"))</f>
        <v/>
      </c>
      <c r="P17" s="34">
        <f>(M17+O17)*Assumptions!$S$11</f>
        <v/>
      </c>
      <c r="Q17" s="35">
        <f>$F17*$K17*$P17</f>
        <v/>
      </c>
    </row>
    <row r="18">
      <c r="A18" s="11" t="inlineStr">
        <is>
          <t>UNIT</t>
        </is>
      </c>
      <c r="B18" s="28" t="inlineStr">
        <is>
          <t>MONROE_TRAINER</t>
        </is>
      </c>
      <c r="C18" s="28" t="n">
        <v>1</v>
      </c>
      <c r="D18" s="28" t="inlineStr">
        <is>
          <t>ALKY</t>
        </is>
      </c>
      <c r="E18" s="28" t="inlineStr">
        <is>
          <t>ALKY</t>
        </is>
      </c>
      <c r="F18" s="29" t="n">
        <v>12</v>
      </c>
      <c r="G18" s="30">
        <f>IFERROR(IF(INDEX(Effective!$E$3:$R$125,MATCH($B18,Effective!$A$3:$A$125,0),MATCH($D18,Effective!$E$2:$R$2,0))=0,"",INDEX(Effective!$E$3:$R$125,MATCH($B18,Effective!$A$3:$A$125,0),MATCH($D18,Effective!$E$2:$R$2,0))),"")</f>
        <v/>
      </c>
      <c r="H18" s="31" t="n">
        <v>1</v>
      </c>
      <c r="I18" s="17" t="inlineStr">
        <is>
          <t>override</t>
        </is>
      </c>
      <c r="J18" s="32" t="n">
        <v>0.411</v>
      </c>
      <c r="K18" s="33">
        <f>IF(AND(IF($I20&lt;&gt;"",$I20,$I18)="override",$J18&lt;&gt;""),$J18,SUMIFS(Assumptions!$K$4:$K$8,Assumptions!$J$4:$J$8,$C18))*Assumptions!$S$10*(1-MIN(1,MAX(N($H18),N($H20))))</f>
        <v/>
      </c>
      <c r="L18" s="32" t="n"/>
      <c r="M18" s="34">
        <f>IF(AND(IF($I20&lt;&gt;"",$I20,$I18)="override",$L18&lt;&gt;""),$L18,SUMIFS(Assumptions!$P$4:$P$103,Assumptions!$M$4:$M$103,$C18,Assumptions!$N$4:$N$103,$E18,Assumptions!$O$4:$O$103,"LVN"))</f>
        <v/>
      </c>
      <c r="N18" s="32" t="n"/>
      <c r="O18" s="34">
        <f>IF(AND(IF($I20&lt;&gt;"",$I20,$I18)="override",$N18&lt;&gt;""),$N18,SUMIFS(Assumptions!$P$4:$P$103,Assumptions!$M$4:$M$103,$C18,Assumptions!$N$4:$N$103,$E18,Assumptions!$O$4:$O$103,"HVN"))</f>
        <v/>
      </c>
      <c r="P18" s="34">
        <f>(M18+O18)*Assumptions!$S$11</f>
        <v/>
      </c>
      <c r="Q18" s="35">
        <f>$F18*$K18*$P18</f>
        <v/>
      </c>
    </row>
    <row r="19">
      <c r="A19" s="11" t="inlineStr">
        <is>
          <t>UNIT</t>
        </is>
      </c>
      <c r="B19" s="28" t="inlineStr">
        <is>
          <t>MONROE_TRAINER</t>
        </is>
      </c>
      <c r="C19" s="28" t="n">
        <v>1</v>
      </c>
      <c r="D19" s="28" t="inlineStr">
        <is>
          <t>NHT</t>
        </is>
      </c>
      <c r="E19" s="28" t="inlineStr">
        <is>
          <t>NHT</t>
        </is>
      </c>
      <c r="F19" s="29" t="n">
        <v>80</v>
      </c>
      <c r="G19" s="30">
        <f>IFERROR(IF(INDEX(Effective!$E$3:$R$125,MATCH($B19,Effective!$A$3:$A$125,0),MATCH($D19,Effective!$E$2:$R$2,0))=0,"",INDEX(Effective!$E$3:$R$125,MATCH($B19,Effective!$A$3:$A$125,0),MATCH($D19,Effective!$E$2:$R$2,0))),"")</f>
        <v/>
      </c>
      <c r="H19" s="31" t="n"/>
      <c r="I19" s="17" t="inlineStr">
        <is>
          <t>override</t>
        </is>
      </c>
      <c r="J19" s="32" t="n">
        <v>0.835</v>
      </c>
      <c r="K19" s="33">
        <f>IF(AND(IF($I20&lt;&gt;"",$I20,$I19)="override",$J19&lt;&gt;""),$J19,SUMIFS(Assumptions!$K$4:$K$8,Assumptions!$J$4:$J$8,$C19))*Assumptions!$S$10*(1-MIN(1,MAX(N($H19),N($H20))))</f>
        <v/>
      </c>
      <c r="L19" s="32" t="n"/>
      <c r="M19" s="34">
        <f>IF(AND(IF($I20&lt;&gt;"",$I20,$I19)="override",$L19&lt;&gt;""),$L19,SUMIFS(Assumptions!$P$4:$P$103,Assumptions!$M$4:$M$103,$C19,Assumptions!$N$4:$N$103,$E19,Assumptions!$O$4:$O$103,"LVN"))</f>
        <v/>
      </c>
      <c r="N19" s="32" t="n"/>
      <c r="O19" s="34">
        <f>IF(AND(IF($I20&lt;&gt;"",$I20,$I19)="override",$N19&lt;&gt;""),$N19,SUMIFS(Assumptions!$P$4:$P$103,Assumptions!$M$4:$M$103,$C19,Assumptions!$N$4:$N$103,$E19,Assumptions!$O$4:$O$103,"HVN"))</f>
        <v/>
      </c>
      <c r="P19" s="34">
        <f>(M19+O19)*Assumptions!$S$11</f>
        <v/>
      </c>
      <c r="Q19" s="35">
        <f>$F19*$K19*$P19</f>
        <v/>
      </c>
    </row>
    <row r="20">
      <c r="A20" s="24" t="inlineStr">
        <is>
          <t>TOTAL</t>
        </is>
      </c>
      <c r="B20" s="36" t="inlineStr">
        <is>
          <t>MONROE_TRAINER</t>
        </is>
      </c>
      <c r="C20" s="36" t="n">
        <v>1</v>
      </c>
      <c r="D20" s="36" t="inlineStr">
        <is>
          <t>NET NAPHTHA</t>
        </is>
      </c>
      <c r="H20" s="31" t="n"/>
      <c r="I20" s="17" t="n"/>
      <c r="Q20" s="37">
        <f>SUM(Q13:Q19)</f>
        <v/>
      </c>
    </row>
    <row r="22" ht="20" customHeight="1">
      <c r="A22" s="8">
        <f>"  PBF Energy Company LLC Delaware City  [PBF_DELAWARE_CITY]   —   PBF Energy Company LLC   —   PADD 1   —   crude "&amp;TEXT(SUMIFS(Data!$G$3:$G$125,Data!$A$3:$A$125,"PBF_DELAWARE_CITY"),"#,##0")&amp;" kbd"</f>
        <v/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</row>
    <row r="23">
      <c r="A23" s="11" t="inlineStr">
        <is>
          <t>UNIT</t>
        </is>
      </c>
      <c r="B23" s="28" t="inlineStr">
        <is>
          <t>PBF_DELAWARE_CITY</t>
        </is>
      </c>
      <c r="C23" s="28" t="n">
        <v>1</v>
      </c>
      <c r="D23" s="28" t="inlineStr">
        <is>
          <t>CRUDE-EST</t>
        </is>
      </c>
      <c r="E23" s="28" t="inlineStr">
        <is>
          <t>est. yield</t>
        </is>
      </c>
      <c r="F23" s="30">
        <f>SUMIFS(Data!$G$3:$G$125,Data!$A$3:$A$125,$B23)</f>
        <v/>
      </c>
      <c r="G23" s="30">
        <f>IFERROR(IF(INDEX(Effective!$E$3:$R$125,MATCH($B23,Effective!$A$3:$A$125,0),MATCH($D23,Effective!$E$2:$R$2,0))=0,"",INDEX(Effective!$E$3:$R$125,MATCH($B23,Effective!$A$3:$A$125,0),MATCH($D23,Effective!$E$2:$R$2,0))),"")</f>
        <v/>
      </c>
      <c r="H23" s="31" t="n"/>
      <c r="I23" s="17" t="inlineStr">
        <is>
          <t>override</t>
        </is>
      </c>
      <c r="J23" s="32" t="n"/>
      <c r="K23" s="33">
        <f>IF(AND(IF($I24&lt;&gt;"",$I24,$I23)="override",$J23&lt;&gt;""),$J23,SUMIFS(Assumptions!$K$4:$K$8,Assumptions!$J$4:$J$8,$C23))*Assumptions!$S$10*(1-MIN(1,MAX(N($H23),N($H24))))</f>
        <v/>
      </c>
      <c r="L23" s="32" t="n"/>
      <c r="M23" s="34">
        <f>IF(AND(IF($I24&lt;&gt;"",$I24,$I23)="override",$L23&lt;&gt;""),$L23,SUMIFS(Data!$N$3:$N$125,Data!$A$3:$A$125,$B23)*Assumptions!$S$4)</f>
        <v/>
      </c>
      <c r="N23" s="32" t="n"/>
      <c r="O23" s="34">
        <f>IF(AND(IF($I24&lt;&gt;"",$I24,$I23)="override",$N23&lt;&gt;""),$N23,SUMIFS(Data!$N$3:$N$125,Data!$A$3:$A$125,$B23)*Assumptions!$S$5)</f>
        <v/>
      </c>
      <c r="P23" s="34">
        <f>(M23+O23)*Assumptions!$S$11</f>
        <v/>
      </c>
      <c r="Q23" s="35">
        <f>$F23*$K23*$P23</f>
        <v/>
      </c>
    </row>
    <row r="24">
      <c r="A24" s="24" t="inlineStr">
        <is>
          <t>TOTAL</t>
        </is>
      </c>
      <c r="B24" s="36" t="inlineStr">
        <is>
          <t>PBF_DELAWARE_CITY</t>
        </is>
      </c>
      <c r="C24" s="36" t="n">
        <v>1</v>
      </c>
      <c r="D24" s="36" t="inlineStr">
        <is>
          <t>NET NAPHTHA</t>
        </is>
      </c>
      <c r="H24" s="31" t="n"/>
      <c r="I24" s="17" t="n"/>
      <c r="Q24" s="37">
        <f>SUM(Q23:Q23)</f>
        <v/>
      </c>
    </row>
    <row r="26" ht="20" customHeight="1">
      <c r="A26" s="8">
        <f>"  PBF Energy Company LLC Paulsboro  [PBF_PAULSBORO]   —   PBF Energy Company LLC   —   PADD 1   —   crude "&amp;TEXT(SUMIFS(Data!$G$3:$G$125,Data!$A$3:$A$125,"PBF_PAULSBORO"),"#,##0")&amp;" kbd"</f>
        <v/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</row>
    <row r="27">
      <c r="A27" s="11" t="inlineStr">
        <is>
          <t>UNIT</t>
        </is>
      </c>
      <c r="B27" s="28" t="inlineStr">
        <is>
          <t>PBF_PAULSBORO</t>
        </is>
      </c>
      <c r="C27" s="28" t="n">
        <v>1</v>
      </c>
      <c r="D27" s="28" t="inlineStr">
        <is>
          <t>CRUDE-EST</t>
        </is>
      </c>
      <c r="E27" s="28" t="inlineStr">
        <is>
          <t>est. yield</t>
        </is>
      </c>
      <c r="F27" s="30">
        <f>SUMIFS(Data!$G$3:$G$125,Data!$A$3:$A$125,$B27)</f>
        <v/>
      </c>
      <c r="G27" s="30">
        <f>IFERROR(IF(INDEX(Effective!$E$3:$R$125,MATCH($B27,Effective!$A$3:$A$125,0),MATCH($D27,Effective!$E$2:$R$2,0))=0,"",INDEX(Effective!$E$3:$R$125,MATCH($B27,Effective!$A$3:$A$125,0),MATCH($D27,Effective!$E$2:$R$2,0))),"")</f>
        <v/>
      </c>
      <c r="H27" s="31" t="n"/>
      <c r="I27" s="17" t="inlineStr">
        <is>
          <t>override</t>
        </is>
      </c>
      <c r="J27" s="32" t="n"/>
      <c r="K27" s="33">
        <f>IF(AND(IF($I28&lt;&gt;"",$I28,$I27)="override",$J27&lt;&gt;""),$J27,SUMIFS(Assumptions!$K$4:$K$8,Assumptions!$J$4:$J$8,$C27))*Assumptions!$S$10*(1-MIN(1,MAX(N($H27),N($H28))))</f>
        <v/>
      </c>
      <c r="L27" s="32" t="n"/>
      <c r="M27" s="34">
        <f>IF(AND(IF($I28&lt;&gt;"",$I28,$I27)="override",$L27&lt;&gt;""),$L27,SUMIFS(Data!$N$3:$N$125,Data!$A$3:$A$125,$B27)*Assumptions!$S$4)</f>
        <v/>
      </c>
      <c r="N27" s="32" t="n"/>
      <c r="O27" s="34">
        <f>IF(AND(IF($I28&lt;&gt;"",$I28,$I27)="override",$N27&lt;&gt;""),$N27,SUMIFS(Data!$N$3:$N$125,Data!$A$3:$A$125,$B27)*Assumptions!$S$5)</f>
        <v/>
      </c>
      <c r="P27" s="34">
        <f>(M27+O27)*Assumptions!$S$11</f>
        <v/>
      </c>
      <c r="Q27" s="35">
        <f>$F27*$K27*$P27</f>
        <v/>
      </c>
    </row>
    <row r="28">
      <c r="A28" s="24" t="inlineStr">
        <is>
          <t>TOTAL</t>
        </is>
      </c>
      <c r="B28" s="36" t="inlineStr">
        <is>
          <t>PBF_PAULSBORO</t>
        </is>
      </c>
      <c r="C28" s="36" t="n">
        <v>1</v>
      </c>
      <c r="D28" s="36" t="inlineStr">
        <is>
          <t>NET NAPHTHA</t>
        </is>
      </c>
      <c r="H28" s="31" t="n"/>
      <c r="I28" s="17" t="n"/>
      <c r="Q28" s="37">
        <f>SUM(Q27:Q27)</f>
        <v/>
      </c>
    </row>
    <row r="30" ht="20" customHeight="1">
      <c r="A30" s="8">
        <f>"  United Refining Warren  [UNITED_WARREN]   —   United Refining   —   PADD 1   —   crude "&amp;TEXT(SUMIFS(Data!$G$3:$G$125,Data!$A$3:$A$125,"UNITED_WARREN"),"#,##0")&amp;" kbd"</f>
        <v/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</row>
    <row r="31">
      <c r="A31" s="11" t="inlineStr">
        <is>
          <t>UNIT</t>
        </is>
      </c>
      <c r="B31" s="28" t="inlineStr">
        <is>
          <t>UNITED_WARREN</t>
        </is>
      </c>
      <c r="C31" s="28" t="n">
        <v>1</v>
      </c>
      <c r="D31" s="28" t="inlineStr">
        <is>
          <t>CDU</t>
        </is>
      </c>
      <c r="E31" s="28" t="inlineStr">
        <is>
          <t>CDU</t>
        </is>
      </c>
      <c r="F31" s="29" t="n">
        <v>70</v>
      </c>
      <c r="G31" s="30">
        <f>IFERROR(IF(INDEX(Effective!$E$3:$R$125,MATCH($B31,Effective!$A$3:$A$125,0),MATCH($D31,Effective!$E$2:$R$2,0))=0,"",INDEX(Effective!$E$3:$R$125,MATCH($B31,Effective!$A$3:$A$125,0),MATCH($D31,Effective!$E$2:$R$2,0))),"")</f>
        <v/>
      </c>
      <c r="H31" s="31" t="n"/>
      <c r="I31" s="17" t="inlineStr">
        <is>
          <t>override</t>
        </is>
      </c>
      <c r="J31" s="32" t="n">
        <v>0.869</v>
      </c>
      <c r="K31" s="33">
        <f>IF(AND(IF($I38&lt;&gt;"",$I38,$I31)="override",$J31&lt;&gt;""),$J31,SUMIFS(Assumptions!$K$4:$K$8,Assumptions!$J$4:$J$8,$C31))*Assumptions!$S$10*(1-MIN(1,MAX(N($H31),N($H38))))</f>
        <v/>
      </c>
      <c r="L31" s="32" t="n"/>
      <c r="M31" s="34">
        <f>IF(AND(IF($I38&lt;&gt;"",$I38,$I31)="override",$L31&lt;&gt;""),$L31,SUMIFS(Assumptions!$P$4:$P$103,Assumptions!$M$4:$M$103,$C31,Assumptions!$N$4:$N$103,$E31,Assumptions!$O$4:$O$103,"LVN"))</f>
        <v/>
      </c>
      <c r="N31" s="32" t="n"/>
      <c r="O31" s="34">
        <f>IF(AND(IF($I38&lt;&gt;"",$I38,$I31)="override",$N31&lt;&gt;""),$N31,SUMIFS(Assumptions!$P$4:$P$103,Assumptions!$M$4:$M$103,$C31,Assumptions!$N$4:$N$103,$E31,Assumptions!$O$4:$O$103,"HVN"))</f>
        <v/>
      </c>
      <c r="P31" s="34">
        <f>(M31+O31)*Assumptions!$S$11</f>
        <v/>
      </c>
      <c r="Q31" s="35">
        <f>$F31*$K31*$P31</f>
        <v/>
      </c>
    </row>
    <row r="32">
      <c r="A32" s="11" t="inlineStr">
        <is>
          <t>UNIT</t>
        </is>
      </c>
      <c r="B32" s="28" t="inlineStr">
        <is>
          <t>UNITED_WARREN</t>
        </is>
      </c>
      <c r="C32" s="28" t="n">
        <v>1</v>
      </c>
      <c r="D32" s="28" t="inlineStr">
        <is>
          <t>VDU</t>
        </is>
      </c>
      <c r="E32" s="28" t="inlineStr">
        <is>
          <t>VDU</t>
        </is>
      </c>
      <c r="F32" s="29" t="n">
        <v>40</v>
      </c>
      <c r="G32" s="30">
        <f>IFERROR(IF(INDEX(Effective!$E$3:$R$125,MATCH($B32,Effective!$A$3:$A$125,0),MATCH($D32,Effective!$E$2:$R$2,0))=0,"",INDEX(Effective!$E$3:$R$125,MATCH($B32,Effective!$A$3:$A$125,0),MATCH($D32,Effective!$E$2:$R$2,0))),"")</f>
        <v/>
      </c>
      <c r="H32" s="31" t="n"/>
      <c r="I32" s="17" t="inlineStr">
        <is>
          <t>override</t>
        </is>
      </c>
      <c r="J32" s="32" t="n">
        <v>0.752</v>
      </c>
      <c r="K32" s="33">
        <f>IF(AND(IF($I38&lt;&gt;"",$I38,$I32)="override",$J32&lt;&gt;""),$J32,SUMIFS(Assumptions!$K$4:$K$8,Assumptions!$J$4:$J$8,$C32))*Assumptions!$S$10*(1-MIN(1,MAX(N($H32),N($H38))))</f>
        <v/>
      </c>
      <c r="L32" s="32" t="n"/>
      <c r="M32" s="34">
        <f>IF(AND(IF($I38&lt;&gt;"",$I38,$I32)="override",$L32&lt;&gt;""),$L32,SUMIFS(Assumptions!$P$4:$P$103,Assumptions!$M$4:$M$103,$C32,Assumptions!$N$4:$N$103,$E32,Assumptions!$O$4:$O$103,"LVN"))</f>
        <v/>
      </c>
      <c r="N32" s="32" t="n"/>
      <c r="O32" s="34">
        <f>IF(AND(IF($I38&lt;&gt;"",$I38,$I32)="override",$N32&lt;&gt;""),$N32,SUMIFS(Assumptions!$P$4:$P$103,Assumptions!$M$4:$M$103,$C32,Assumptions!$N$4:$N$103,$E32,Assumptions!$O$4:$O$103,"HVN"))</f>
        <v/>
      </c>
      <c r="P32" s="34">
        <f>(M32+O32)*Assumptions!$S$11</f>
        <v/>
      </c>
      <c r="Q32" s="35">
        <f>$F32*$K32*$P32</f>
        <v/>
      </c>
    </row>
    <row r="33">
      <c r="A33" s="11" t="inlineStr">
        <is>
          <t>UNIT</t>
        </is>
      </c>
      <c r="B33" s="28" t="inlineStr">
        <is>
          <t>UNITED_WARREN</t>
        </is>
      </c>
      <c r="C33" s="28" t="n">
        <v>1</v>
      </c>
      <c r="D33" s="28" t="inlineStr">
        <is>
          <t>FCC</t>
        </is>
      </c>
      <c r="E33" s="28" t="inlineStr">
        <is>
          <t>FCC</t>
        </is>
      </c>
      <c r="F33" s="29" t="n">
        <v>25</v>
      </c>
      <c r="G33" s="30">
        <f>IFERROR(IF(INDEX(Effective!$E$3:$R$125,MATCH($B33,Effective!$A$3:$A$125,0),MATCH($D33,Effective!$E$2:$R$2,0))=0,"",INDEX(Effective!$E$3:$R$125,MATCH($B33,Effective!$A$3:$A$125,0),MATCH($D33,Effective!$E$2:$R$2,0))),"")</f>
        <v/>
      </c>
      <c r="H33" s="31" t="n"/>
      <c r="I33" s="17" t="inlineStr">
        <is>
          <t>override</t>
        </is>
      </c>
      <c r="J33" s="32" t="n">
        <v>0.961</v>
      </c>
      <c r="K33" s="33">
        <f>IF(AND(IF($I38&lt;&gt;"",$I38,$I33)="override",$J33&lt;&gt;""),$J33,SUMIFS(Assumptions!$K$4:$K$8,Assumptions!$J$4:$J$8,$C33))*Assumptions!$S$10*(1-MIN(1,MAX(N($H33),N($H38))))</f>
        <v/>
      </c>
      <c r="L33" s="32" t="n"/>
      <c r="M33" s="34">
        <f>IF(AND(IF($I38&lt;&gt;"",$I38,$I33)="override",$L33&lt;&gt;""),$L33,SUMIFS(Assumptions!$P$4:$P$103,Assumptions!$M$4:$M$103,$C33,Assumptions!$N$4:$N$103,$E33,Assumptions!$O$4:$O$103,"LVN"))</f>
        <v/>
      </c>
      <c r="N33" s="32" t="n"/>
      <c r="O33" s="34">
        <f>IF(AND(IF($I38&lt;&gt;"",$I38,$I33)="override",$N33&lt;&gt;""),$N33,SUMIFS(Assumptions!$P$4:$P$103,Assumptions!$M$4:$M$103,$C33,Assumptions!$N$4:$N$103,$E33,Assumptions!$O$4:$O$103,"HVN"))</f>
        <v/>
      </c>
      <c r="P33" s="34">
        <f>(M33+O33)*Assumptions!$S$11</f>
        <v/>
      </c>
      <c r="Q33" s="35">
        <f>$F33*$K33*$P33</f>
        <v/>
      </c>
    </row>
    <row r="34">
      <c r="A34" s="11" t="inlineStr">
        <is>
          <t>UNIT</t>
        </is>
      </c>
      <c r="B34" s="28" t="inlineStr">
        <is>
          <t>UNITED_WARREN</t>
        </is>
      </c>
      <c r="C34" s="28" t="n">
        <v>1</v>
      </c>
      <c r="D34" s="28" t="inlineStr">
        <is>
          <t>REF</t>
        </is>
      </c>
      <c r="E34" s="28" t="inlineStr">
        <is>
          <t>REFORMER</t>
        </is>
      </c>
      <c r="F34" s="29" t="n">
        <v>14</v>
      </c>
      <c r="G34" s="30">
        <f>IFERROR(IF(INDEX(Effective!$E$3:$R$125,MATCH($B34,Effective!$A$3:$A$125,0),MATCH($D34,Effective!$E$2:$R$2,0))=0,"",INDEX(Effective!$E$3:$R$125,MATCH($B34,Effective!$A$3:$A$125,0),MATCH($D34,Effective!$E$2:$R$2,0))),"")</f>
        <v/>
      </c>
      <c r="H34" s="31" t="n"/>
      <c r="I34" s="17" t="inlineStr">
        <is>
          <t>override</t>
        </is>
      </c>
      <c r="J34" s="32" t="n">
        <v>0.964</v>
      </c>
      <c r="K34" s="33">
        <f>IF(AND(IF($I38&lt;&gt;"",$I38,$I34)="override",$J34&lt;&gt;""),$J34,SUMIFS(Assumptions!$K$4:$K$8,Assumptions!$J$4:$J$8,$C34))*Assumptions!$S$10*(1-MIN(1,MAX(N($H34),N($H38))))</f>
        <v/>
      </c>
      <c r="L34" s="32" t="n"/>
      <c r="M34" s="34">
        <f>IF(AND(IF($I38&lt;&gt;"",$I38,$I34)="override",$L34&lt;&gt;""),$L34,SUMIFS(Assumptions!$P$4:$P$103,Assumptions!$M$4:$M$103,$C34,Assumptions!$N$4:$N$103,$E34,Assumptions!$O$4:$O$103,"LVN"))</f>
        <v/>
      </c>
      <c r="N34" s="32" t="n"/>
      <c r="O34" s="34">
        <f>IF(AND(IF($I38&lt;&gt;"",$I38,$I34)="override",$N34&lt;&gt;""),$N34,SUMIFS(Assumptions!$P$4:$P$103,Assumptions!$M$4:$M$103,$C34,Assumptions!$N$4:$N$103,$E34,Assumptions!$O$4:$O$103,"HVN"))</f>
        <v/>
      </c>
      <c r="P34" s="34">
        <f>(M34+O34)*Assumptions!$S$11</f>
        <v/>
      </c>
      <c r="Q34" s="35">
        <f>$F34*$K34*$P34</f>
        <v/>
      </c>
    </row>
    <row r="35">
      <c r="A35" s="11" t="inlineStr">
        <is>
          <t>UNIT</t>
        </is>
      </c>
      <c r="B35" s="28" t="inlineStr">
        <is>
          <t>UNITED_WARREN</t>
        </is>
      </c>
      <c r="C35" s="28" t="n">
        <v>1</v>
      </c>
      <c r="D35" s="28" t="inlineStr">
        <is>
          <t>ISOM</t>
        </is>
      </c>
      <c r="E35" s="28" t="inlineStr">
        <is>
          <t>ISOM</t>
        </is>
      </c>
      <c r="F35" s="29" t="n">
        <v>8.5</v>
      </c>
      <c r="G35" s="30">
        <f>IFERROR(IF(INDEX(Effective!$E$3:$R$125,MATCH($B35,Effective!$A$3:$A$125,0),MATCH($D35,Effective!$E$2:$R$2,0))=0,"",INDEX(Effective!$E$3:$R$125,MATCH($B35,Effective!$A$3:$A$125,0),MATCH($D35,Effective!$E$2:$R$2,0))),"")</f>
        <v/>
      </c>
      <c r="H35" s="31" t="n"/>
      <c r="I35" s="17" t="inlineStr">
        <is>
          <t>override</t>
        </is>
      </c>
      <c r="J35" s="32" t="n">
        <v>0.514</v>
      </c>
      <c r="K35" s="33">
        <f>IF(AND(IF($I38&lt;&gt;"",$I38,$I35)="override",$J35&lt;&gt;""),$J35,SUMIFS(Assumptions!$K$4:$K$8,Assumptions!$J$4:$J$8,$C35))*Assumptions!$S$10*(1-MIN(1,MAX(N($H35),N($H38))))</f>
        <v/>
      </c>
      <c r="L35" s="32" t="n"/>
      <c r="M35" s="34">
        <f>IF(AND(IF($I38&lt;&gt;"",$I38,$I35)="override",$L35&lt;&gt;""),$L35,SUMIFS(Assumptions!$P$4:$P$103,Assumptions!$M$4:$M$103,$C35,Assumptions!$N$4:$N$103,$E35,Assumptions!$O$4:$O$103,"LVN"))</f>
        <v/>
      </c>
      <c r="N35" s="32" t="n"/>
      <c r="O35" s="34">
        <f>IF(AND(IF($I38&lt;&gt;"",$I38,$I35)="override",$N35&lt;&gt;""),$N35,SUMIFS(Assumptions!$P$4:$P$103,Assumptions!$M$4:$M$103,$C35,Assumptions!$N$4:$N$103,$E35,Assumptions!$O$4:$O$103,"HVN"))</f>
        <v/>
      </c>
      <c r="P35" s="34">
        <f>(M35+O35)*Assumptions!$S$11</f>
        <v/>
      </c>
      <c r="Q35" s="35">
        <f>$F35*$K35*$P35</f>
        <v/>
      </c>
    </row>
    <row r="36">
      <c r="A36" s="11" t="inlineStr">
        <is>
          <t>UNIT</t>
        </is>
      </c>
      <c r="B36" s="28" t="inlineStr">
        <is>
          <t>UNITED_WARREN</t>
        </is>
      </c>
      <c r="C36" s="28" t="n">
        <v>1</v>
      </c>
      <c r="D36" s="28" t="inlineStr">
        <is>
          <t>ALKY</t>
        </is>
      </c>
      <c r="E36" s="28" t="inlineStr">
        <is>
          <t>ALKY</t>
        </is>
      </c>
      <c r="F36" s="29" t="n">
        <v>4.5</v>
      </c>
      <c r="G36" s="30">
        <f>IFERROR(IF(INDEX(Effective!$E$3:$R$125,MATCH($B36,Effective!$A$3:$A$125,0),MATCH($D36,Effective!$E$2:$R$2,0))=0,"",INDEX(Effective!$E$3:$R$125,MATCH($B36,Effective!$A$3:$A$125,0),MATCH($D36,Effective!$E$2:$R$2,0))),"")</f>
        <v/>
      </c>
      <c r="H36" s="31" t="n"/>
      <c r="I36" s="17" t="inlineStr">
        <is>
          <t>override</t>
        </is>
      </c>
      <c r="J36" s="32" t="n">
        <v>1.1</v>
      </c>
      <c r="K36" s="33">
        <f>IF(AND(IF($I38&lt;&gt;"",$I38,$I36)="override",$J36&lt;&gt;""),$J36,SUMIFS(Assumptions!$K$4:$K$8,Assumptions!$J$4:$J$8,$C36))*Assumptions!$S$10*(1-MIN(1,MAX(N($H36),N($H38))))</f>
        <v/>
      </c>
      <c r="L36" s="32" t="n"/>
      <c r="M36" s="34">
        <f>IF(AND(IF($I38&lt;&gt;"",$I38,$I36)="override",$L36&lt;&gt;""),$L36,SUMIFS(Assumptions!$P$4:$P$103,Assumptions!$M$4:$M$103,$C36,Assumptions!$N$4:$N$103,$E36,Assumptions!$O$4:$O$103,"LVN"))</f>
        <v/>
      </c>
      <c r="N36" s="32" t="n"/>
      <c r="O36" s="34">
        <f>IF(AND(IF($I38&lt;&gt;"",$I38,$I36)="override",$N36&lt;&gt;""),$N36,SUMIFS(Assumptions!$P$4:$P$103,Assumptions!$M$4:$M$103,$C36,Assumptions!$N$4:$N$103,$E36,Assumptions!$O$4:$O$103,"HVN"))</f>
        <v/>
      </c>
      <c r="P36" s="34">
        <f>(M36+O36)*Assumptions!$S$11</f>
        <v/>
      </c>
      <c r="Q36" s="35">
        <f>$F36*$K36*$P36</f>
        <v/>
      </c>
    </row>
    <row r="37">
      <c r="A37" s="11" t="inlineStr">
        <is>
          <t>UNIT</t>
        </is>
      </c>
      <c r="B37" s="28" t="inlineStr">
        <is>
          <t>UNITED_WARREN</t>
        </is>
      </c>
      <c r="C37" s="28" t="n">
        <v>1</v>
      </c>
      <c r="D37" s="28" t="inlineStr">
        <is>
          <t>NHT</t>
        </is>
      </c>
      <c r="E37" s="28" t="inlineStr">
        <is>
          <t>NHT</t>
        </is>
      </c>
      <c r="F37" s="29" t="n">
        <v>26</v>
      </c>
      <c r="G37" s="30">
        <f>IFERROR(IF(INDEX(Effective!$E$3:$R$125,MATCH($B37,Effective!$A$3:$A$125,0),MATCH($D37,Effective!$E$2:$R$2,0))=0,"",INDEX(Effective!$E$3:$R$125,MATCH($B37,Effective!$A$3:$A$125,0),MATCH($D37,Effective!$E$2:$R$2,0))),"")</f>
        <v/>
      </c>
      <c r="H37" s="31" t="n"/>
      <c r="I37" s="17" t="inlineStr">
        <is>
          <t>override</t>
        </is>
      </c>
      <c r="J37" s="32" t="n">
        <v>0.96</v>
      </c>
      <c r="K37" s="33">
        <f>IF(AND(IF($I38&lt;&gt;"",$I38,$I37)="override",$J37&lt;&gt;""),$J37,SUMIFS(Assumptions!$K$4:$K$8,Assumptions!$J$4:$J$8,$C37))*Assumptions!$S$10*(1-MIN(1,MAX(N($H37),N($H38))))</f>
        <v/>
      </c>
      <c r="L37" s="32" t="n"/>
      <c r="M37" s="34">
        <f>IF(AND(IF($I38&lt;&gt;"",$I38,$I37)="override",$L37&lt;&gt;""),$L37,SUMIFS(Assumptions!$P$4:$P$103,Assumptions!$M$4:$M$103,$C37,Assumptions!$N$4:$N$103,$E37,Assumptions!$O$4:$O$103,"LVN"))</f>
        <v/>
      </c>
      <c r="N37" s="32" t="n"/>
      <c r="O37" s="34">
        <f>IF(AND(IF($I38&lt;&gt;"",$I38,$I37)="override",$N37&lt;&gt;""),$N37,SUMIFS(Assumptions!$P$4:$P$103,Assumptions!$M$4:$M$103,$C37,Assumptions!$N$4:$N$103,$E37,Assumptions!$O$4:$O$103,"HVN"))</f>
        <v/>
      </c>
      <c r="P37" s="34">
        <f>(M37+O37)*Assumptions!$S$11</f>
        <v/>
      </c>
      <c r="Q37" s="35">
        <f>$F37*$K37*$P37</f>
        <v/>
      </c>
    </row>
    <row r="38">
      <c r="A38" s="24" t="inlineStr">
        <is>
          <t>TOTAL</t>
        </is>
      </c>
      <c r="B38" s="36" t="inlineStr">
        <is>
          <t>UNITED_WARREN</t>
        </is>
      </c>
      <c r="C38" s="36" t="n">
        <v>1</v>
      </c>
      <c r="D38" s="36" t="inlineStr">
        <is>
          <t>NET NAPHTHA</t>
        </is>
      </c>
      <c r="H38" s="31" t="n"/>
      <c r="I38" s="17" t="n"/>
      <c r="Q38" s="37">
        <f>SUM(Q31:Q37)</f>
        <v/>
      </c>
    </row>
    <row r="40" ht="20" customHeight="1">
      <c r="A40" s="8">
        <f>"  Ergon Newell  [ERGON_NEWELL]   —   Ergon   —   PADD 1   —   crude "&amp;TEXT(SUMIFS(Data!$G$3:$G$125,Data!$A$3:$A$125,"ERGON_NEWELL"),"#,##0")&amp;" kbd"</f>
        <v/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</row>
    <row r="41">
      <c r="A41" s="11" t="inlineStr">
        <is>
          <t>UNIT</t>
        </is>
      </c>
      <c r="B41" s="28" t="inlineStr">
        <is>
          <t>ERGON_NEWELL</t>
        </is>
      </c>
      <c r="C41" s="28" t="n">
        <v>1</v>
      </c>
      <c r="D41" s="28" t="inlineStr">
        <is>
          <t>CDU</t>
        </is>
      </c>
      <c r="E41" s="28" t="inlineStr">
        <is>
          <t>CDU</t>
        </is>
      </c>
      <c r="F41" s="29" t="n">
        <v>23</v>
      </c>
      <c r="G41" s="30">
        <f>IFERROR(IF(INDEX(Effective!$E$3:$R$125,MATCH($B41,Effective!$A$3:$A$125,0),MATCH($D41,Effective!$E$2:$R$2,0))=0,"",INDEX(Effective!$E$3:$R$125,MATCH($B41,Effective!$A$3:$A$125,0),MATCH($D41,Effective!$E$2:$R$2,0))),"")</f>
        <v/>
      </c>
      <c r="H41" s="31" t="n"/>
      <c r="I41" s="17" t="inlineStr">
        <is>
          <t>override</t>
        </is>
      </c>
      <c r="J41" s="32" t="n"/>
      <c r="K41" s="33">
        <f>IF(AND(IF($I45&lt;&gt;"",$I45,$I41)="override",$J41&lt;&gt;""),$J41,SUMIFS(Assumptions!$K$4:$K$8,Assumptions!$J$4:$J$8,$C41))*Assumptions!$S$10*(1-MIN(1,MAX(N($H41),N($H45))))</f>
        <v/>
      </c>
      <c r="L41" s="32" t="n"/>
      <c r="M41" s="34">
        <f>IF(AND(IF($I45&lt;&gt;"",$I45,$I41)="override",$L41&lt;&gt;""),$L41,SUMIFS(Assumptions!$P$4:$P$103,Assumptions!$M$4:$M$103,$C41,Assumptions!$N$4:$N$103,$E41,Assumptions!$O$4:$O$103,"LVN"))</f>
        <v/>
      </c>
      <c r="N41" s="32" t="n"/>
      <c r="O41" s="34">
        <f>IF(AND(IF($I45&lt;&gt;"",$I45,$I41)="override",$N41&lt;&gt;""),$N41,SUMIFS(Assumptions!$P$4:$P$103,Assumptions!$M$4:$M$103,$C41,Assumptions!$N$4:$N$103,$E41,Assumptions!$O$4:$O$103,"HVN"))</f>
        <v/>
      </c>
      <c r="P41" s="34">
        <f>(M41+O41)*Assumptions!$S$11</f>
        <v/>
      </c>
      <c r="Q41" s="35">
        <f>$F41*$K41*$P41</f>
        <v/>
      </c>
    </row>
    <row r="42">
      <c r="A42" s="11" t="inlineStr">
        <is>
          <t>UNIT</t>
        </is>
      </c>
      <c r="B42" s="28" t="inlineStr">
        <is>
          <t>ERGON_NEWELL</t>
        </is>
      </c>
      <c r="C42" s="28" t="n">
        <v>1</v>
      </c>
      <c r="D42" s="28" t="inlineStr">
        <is>
          <t>VDU</t>
        </is>
      </c>
      <c r="E42" s="28" t="inlineStr">
        <is>
          <t>VDU</t>
        </is>
      </c>
      <c r="F42" s="29" t="n">
        <v>8.6</v>
      </c>
      <c r="G42" s="30">
        <f>IFERROR(IF(INDEX(Effective!$E$3:$R$125,MATCH($B42,Effective!$A$3:$A$125,0),MATCH($D42,Effective!$E$2:$R$2,0))=0,"",INDEX(Effective!$E$3:$R$125,MATCH($B42,Effective!$A$3:$A$125,0),MATCH($D42,Effective!$E$2:$R$2,0))),"")</f>
        <v/>
      </c>
      <c r="H42" s="31" t="n"/>
      <c r="I42" s="17" t="inlineStr">
        <is>
          <t>override</t>
        </is>
      </c>
      <c r="J42" s="32" t="n"/>
      <c r="K42" s="33">
        <f>IF(AND(IF($I45&lt;&gt;"",$I45,$I42)="override",$J42&lt;&gt;""),$J42,SUMIFS(Assumptions!$K$4:$K$8,Assumptions!$J$4:$J$8,$C42))*Assumptions!$S$10*(1-MIN(1,MAX(N($H42),N($H45))))</f>
        <v/>
      </c>
      <c r="L42" s="32" t="n"/>
      <c r="M42" s="34">
        <f>IF(AND(IF($I45&lt;&gt;"",$I45,$I42)="override",$L42&lt;&gt;""),$L42,SUMIFS(Assumptions!$P$4:$P$103,Assumptions!$M$4:$M$103,$C42,Assumptions!$N$4:$N$103,$E42,Assumptions!$O$4:$O$103,"LVN"))</f>
        <v/>
      </c>
      <c r="N42" s="32" t="n"/>
      <c r="O42" s="34">
        <f>IF(AND(IF($I45&lt;&gt;"",$I45,$I42)="override",$N42&lt;&gt;""),$N42,SUMIFS(Assumptions!$P$4:$P$103,Assumptions!$M$4:$M$103,$C42,Assumptions!$N$4:$N$103,$E42,Assumptions!$O$4:$O$103,"HVN"))</f>
        <v/>
      </c>
      <c r="P42" s="34">
        <f>(M42+O42)*Assumptions!$S$11</f>
        <v/>
      </c>
      <c r="Q42" s="35">
        <f>$F42*$K42*$P42</f>
        <v/>
      </c>
    </row>
    <row r="43">
      <c r="A43" s="11" t="inlineStr">
        <is>
          <t>UNIT</t>
        </is>
      </c>
      <c r="B43" s="28" t="inlineStr">
        <is>
          <t>ERGON_NEWELL</t>
        </is>
      </c>
      <c r="C43" s="28" t="n">
        <v>1</v>
      </c>
      <c r="D43" s="28" t="inlineStr">
        <is>
          <t>CCR</t>
        </is>
      </c>
      <c r="E43" s="28" t="inlineStr">
        <is>
          <t>REFORMER</t>
        </is>
      </c>
      <c r="F43" s="29" t="n">
        <v>4.7</v>
      </c>
      <c r="G43" s="30">
        <f>IFERROR(IF(INDEX(Effective!$E$3:$R$125,MATCH($B43,Effective!$A$3:$A$125,0),MATCH($D43,Effective!$E$2:$R$2,0))=0,"",INDEX(Effective!$E$3:$R$125,MATCH($B43,Effective!$A$3:$A$125,0),MATCH($D43,Effective!$E$2:$R$2,0))),"")</f>
        <v/>
      </c>
      <c r="H43" s="31" t="n"/>
      <c r="I43" s="17" t="inlineStr">
        <is>
          <t>override</t>
        </is>
      </c>
      <c r="J43" s="32" t="n"/>
      <c r="K43" s="33">
        <f>IF(AND(IF($I45&lt;&gt;"",$I45,$I43)="override",$J43&lt;&gt;""),$J43,SUMIFS(Assumptions!$K$4:$K$8,Assumptions!$J$4:$J$8,$C43))*Assumptions!$S$10*(1-MIN(1,MAX(N($H43),N($H45))))</f>
        <v/>
      </c>
      <c r="L43" s="32" t="n"/>
      <c r="M43" s="34">
        <f>IF(AND(IF($I45&lt;&gt;"",$I45,$I43)="override",$L43&lt;&gt;""),$L43,SUMIFS(Assumptions!$P$4:$P$103,Assumptions!$M$4:$M$103,$C43,Assumptions!$N$4:$N$103,$E43,Assumptions!$O$4:$O$103,"LVN"))</f>
        <v/>
      </c>
      <c r="N43" s="32" t="n"/>
      <c r="O43" s="34">
        <f>IF(AND(IF($I45&lt;&gt;"",$I45,$I43)="override",$N43&lt;&gt;""),$N43,SUMIFS(Assumptions!$P$4:$P$103,Assumptions!$M$4:$M$103,$C43,Assumptions!$N$4:$N$103,$E43,Assumptions!$O$4:$O$103,"HVN"))</f>
        <v/>
      </c>
      <c r="P43" s="34">
        <f>(M43+O43)*Assumptions!$S$11</f>
        <v/>
      </c>
      <c r="Q43" s="35">
        <f>$F43*$K43*$P43</f>
        <v/>
      </c>
    </row>
    <row r="44">
      <c r="A44" s="11" t="inlineStr">
        <is>
          <t>UNIT</t>
        </is>
      </c>
      <c r="B44" s="28" t="inlineStr">
        <is>
          <t>ERGON_NEWELL</t>
        </is>
      </c>
      <c r="C44" s="28" t="n">
        <v>1</v>
      </c>
      <c r="D44" s="28" t="inlineStr">
        <is>
          <t>NHT</t>
        </is>
      </c>
      <c r="E44" s="28" t="inlineStr">
        <is>
          <t>NHT</t>
        </is>
      </c>
      <c r="F44" s="29" t="n">
        <v>7.7</v>
      </c>
      <c r="G44" s="30">
        <f>IFERROR(IF(INDEX(Effective!$E$3:$R$125,MATCH($B44,Effective!$A$3:$A$125,0),MATCH($D44,Effective!$E$2:$R$2,0))=0,"",INDEX(Effective!$E$3:$R$125,MATCH($B44,Effective!$A$3:$A$125,0),MATCH($D44,Effective!$E$2:$R$2,0))),"")</f>
        <v/>
      </c>
      <c r="H44" s="31" t="n"/>
      <c r="I44" s="17" t="inlineStr">
        <is>
          <t>override</t>
        </is>
      </c>
      <c r="J44" s="32" t="n"/>
      <c r="K44" s="33">
        <f>IF(AND(IF($I45&lt;&gt;"",$I45,$I44)="override",$J44&lt;&gt;""),$J44,SUMIFS(Assumptions!$K$4:$K$8,Assumptions!$J$4:$J$8,$C44))*Assumptions!$S$10*(1-MIN(1,MAX(N($H44),N($H45))))</f>
        <v/>
      </c>
      <c r="L44" s="32" t="n"/>
      <c r="M44" s="34">
        <f>IF(AND(IF($I45&lt;&gt;"",$I45,$I44)="override",$L44&lt;&gt;""),$L44,SUMIFS(Assumptions!$P$4:$P$103,Assumptions!$M$4:$M$103,$C44,Assumptions!$N$4:$N$103,$E44,Assumptions!$O$4:$O$103,"LVN"))</f>
        <v/>
      </c>
      <c r="N44" s="32" t="n"/>
      <c r="O44" s="34">
        <f>IF(AND(IF($I45&lt;&gt;"",$I45,$I44)="override",$N44&lt;&gt;""),$N44,SUMIFS(Assumptions!$P$4:$P$103,Assumptions!$M$4:$M$103,$C44,Assumptions!$N$4:$N$103,$E44,Assumptions!$O$4:$O$103,"HVN"))</f>
        <v/>
      </c>
      <c r="P44" s="34">
        <f>(M44+O44)*Assumptions!$S$11</f>
        <v/>
      </c>
      <c r="Q44" s="35">
        <f>$F44*$K44*$P44</f>
        <v/>
      </c>
    </row>
    <row r="45">
      <c r="A45" s="24" t="inlineStr">
        <is>
          <t>TOTAL</t>
        </is>
      </c>
      <c r="B45" s="36" t="inlineStr">
        <is>
          <t>ERGON_NEWELL</t>
        </is>
      </c>
      <c r="C45" s="36" t="n">
        <v>1</v>
      </c>
      <c r="D45" s="36" t="inlineStr">
        <is>
          <t>NET NAPHTHA</t>
        </is>
      </c>
      <c r="H45" s="31" t="n"/>
      <c r="I45" s="17" t="n"/>
      <c r="Q45" s="37">
        <f>SUM(Q41:Q44)</f>
        <v/>
      </c>
    </row>
    <row r="47" ht="20" customHeight="1">
      <c r="A47" s="8">
        <f>"  American Refining Group Bradford  [AMERICAN_BRADFORD]   —   American Refining Group   —   PADD 1   —   crude "&amp;TEXT(SUMIFS(Data!$G$3:$G$125,Data!$A$3:$A$125,"AMERICAN_BRADFORD"),"#,##0")&amp;" kbd"</f>
        <v/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</row>
    <row r="48">
      <c r="A48" s="11" t="inlineStr">
        <is>
          <t>UNIT</t>
        </is>
      </c>
      <c r="B48" s="28" t="inlineStr">
        <is>
          <t>AMERICAN_BRADFORD</t>
        </is>
      </c>
      <c r="C48" s="28" t="n">
        <v>1</v>
      </c>
      <c r="D48" s="28" t="inlineStr">
        <is>
          <t>CDU</t>
        </is>
      </c>
      <c r="E48" s="28" t="inlineStr">
        <is>
          <t>CDU</t>
        </is>
      </c>
      <c r="F48" s="29" t="n">
        <v>11.8</v>
      </c>
      <c r="G48" s="30">
        <f>IFERROR(IF(INDEX(Effective!$E$3:$R$125,MATCH($B48,Effective!$A$3:$A$125,0),MATCH($D48,Effective!$E$2:$R$2,0))=0,"",INDEX(Effective!$E$3:$R$125,MATCH($B48,Effective!$A$3:$A$125,0),MATCH($D48,Effective!$E$2:$R$2,0))),"")</f>
        <v/>
      </c>
      <c r="H48" s="31" t="n"/>
      <c r="I48" s="17" t="inlineStr">
        <is>
          <t>override</t>
        </is>
      </c>
      <c r="J48" s="32" t="n"/>
      <c r="K48" s="33">
        <f>IF(AND(IF($I52&lt;&gt;"",$I52,$I48)="override",$J48&lt;&gt;""),$J48,SUMIFS(Assumptions!$K$4:$K$8,Assumptions!$J$4:$J$8,$C48))*Assumptions!$S$10*(1-MIN(1,MAX(N($H48),N($H52))))</f>
        <v/>
      </c>
      <c r="L48" s="32" t="n"/>
      <c r="M48" s="34">
        <f>IF(AND(IF($I52&lt;&gt;"",$I52,$I48)="override",$L48&lt;&gt;""),$L48,SUMIFS(Assumptions!$P$4:$P$103,Assumptions!$M$4:$M$103,$C48,Assumptions!$N$4:$N$103,$E48,Assumptions!$O$4:$O$103,"LVN"))</f>
        <v/>
      </c>
      <c r="N48" s="32" t="n"/>
      <c r="O48" s="34">
        <f>IF(AND(IF($I52&lt;&gt;"",$I52,$I48)="override",$N48&lt;&gt;""),$N48,SUMIFS(Assumptions!$P$4:$P$103,Assumptions!$M$4:$M$103,$C48,Assumptions!$N$4:$N$103,$E48,Assumptions!$O$4:$O$103,"HVN"))</f>
        <v/>
      </c>
      <c r="P48" s="34">
        <f>(M48+O48)*Assumptions!$S$11</f>
        <v/>
      </c>
      <c r="Q48" s="35">
        <f>$F48*$K48*$P48</f>
        <v/>
      </c>
    </row>
    <row r="49">
      <c r="A49" s="11" t="inlineStr">
        <is>
          <t>UNIT</t>
        </is>
      </c>
      <c r="B49" s="28" t="inlineStr">
        <is>
          <t>AMERICAN_BRADFORD</t>
        </is>
      </c>
      <c r="C49" s="28" t="n">
        <v>1</v>
      </c>
      <c r="D49" s="28" t="inlineStr">
        <is>
          <t>REF</t>
        </is>
      </c>
      <c r="E49" s="28" t="inlineStr">
        <is>
          <t>REFORMER</t>
        </is>
      </c>
      <c r="F49" s="29" t="n">
        <v>2.2</v>
      </c>
      <c r="G49" s="30">
        <f>IFERROR(IF(INDEX(Effective!$E$3:$R$125,MATCH($B49,Effective!$A$3:$A$125,0),MATCH($D49,Effective!$E$2:$R$2,0))=0,"",INDEX(Effective!$E$3:$R$125,MATCH($B49,Effective!$A$3:$A$125,0),MATCH($D49,Effective!$E$2:$R$2,0))),"")</f>
        <v/>
      </c>
      <c r="H49" s="31" t="n">
        <v>1</v>
      </c>
      <c r="I49" s="17" t="inlineStr">
        <is>
          <t>override</t>
        </is>
      </c>
      <c r="J49" s="32" t="n"/>
      <c r="K49" s="33">
        <f>IF(AND(IF($I52&lt;&gt;"",$I52,$I49)="override",$J49&lt;&gt;""),$J49,SUMIFS(Assumptions!$K$4:$K$8,Assumptions!$J$4:$J$8,$C49))*Assumptions!$S$10*(1-MIN(1,MAX(N($H49),N($H52))))</f>
        <v/>
      </c>
      <c r="L49" s="32" t="n"/>
      <c r="M49" s="34">
        <f>IF(AND(IF($I52&lt;&gt;"",$I52,$I49)="override",$L49&lt;&gt;""),$L49,SUMIFS(Assumptions!$P$4:$P$103,Assumptions!$M$4:$M$103,$C49,Assumptions!$N$4:$N$103,$E49,Assumptions!$O$4:$O$103,"LVN"))</f>
        <v/>
      </c>
      <c r="N49" s="32" t="n"/>
      <c r="O49" s="34">
        <f>IF(AND(IF($I52&lt;&gt;"",$I52,$I49)="override",$N49&lt;&gt;""),$N49,SUMIFS(Assumptions!$P$4:$P$103,Assumptions!$M$4:$M$103,$C49,Assumptions!$N$4:$N$103,$E49,Assumptions!$O$4:$O$103,"HVN"))</f>
        <v/>
      </c>
      <c r="P49" s="34">
        <f>(M49+O49)*Assumptions!$S$11</f>
        <v/>
      </c>
      <c r="Q49" s="35">
        <f>$F49*$K49*$P49</f>
        <v/>
      </c>
    </row>
    <row r="50">
      <c r="A50" s="11" t="inlineStr">
        <is>
          <t>UNIT</t>
        </is>
      </c>
      <c r="B50" s="28" t="inlineStr">
        <is>
          <t>AMERICAN_BRADFORD</t>
        </is>
      </c>
      <c r="C50" s="28" t="n">
        <v>1</v>
      </c>
      <c r="D50" s="28" t="inlineStr">
        <is>
          <t>ISOM</t>
        </is>
      </c>
      <c r="E50" s="28" t="inlineStr">
        <is>
          <t>ISOM</t>
        </is>
      </c>
      <c r="F50" s="29" t="n">
        <v>0.78</v>
      </c>
      <c r="G50" s="30">
        <f>IFERROR(IF(INDEX(Effective!$E$3:$R$125,MATCH($B50,Effective!$A$3:$A$125,0),MATCH($D50,Effective!$E$2:$R$2,0))=0,"",INDEX(Effective!$E$3:$R$125,MATCH($B50,Effective!$A$3:$A$125,0),MATCH($D50,Effective!$E$2:$R$2,0))),"")</f>
        <v/>
      </c>
      <c r="H50" s="31" t="n"/>
      <c r="I50" s="17" t="inlineStr">
        <is>
          <t>override</t>
        </is>
      </c>
      <c r="J50" s="32" t="n"/>
      <c r="K50" s="33">
        <f>IF(AND(IF($I52&lt;&gt;"",$I52,$I50)="override",$J50&lt;&gt;""),$J50,SUMIFS(Assumptions!$K$4:$K$8,Assumptions!$J$4:$J$8,$C50))*Assumptions!$S$10*(1-MIN(1,MAX(N($H50),N($H52))))</f>
        <v/>
      </c>
      <c r="L50" s="32" t="n"/>
      <c r="M50" s="34">
        <f>IF(AND(IF($I52&lt;&gt;"",$I52,$I50)="override",$L50&lt;&gt;""),$L50,SUMIFS(Assumptions!$P$4:$P$103,Assumptions!$M$4:$M$103,$C50,Assumptions!$N$4:$N$103,$E50,Assumptions!$O$4:$O$103,"LVN"))</f>
        <v/>
      </c>
      <c r="N50" s="32" t="n"/>
      <c r="O50" s="34">
        <f>IF(AND(IF($I52&lt;&gt;"",$I52,$I50)="override",$N50&lt;&gt;""),$N50,SUMIFS(Assumptions!$P$4:$P$103,Assumptions!$M$4:$M$103,$C50,Assumptions!$N$4:$N$103,$E50,Assumptions!$O$4:$O$103,"HVN"))</f>
        <v/>
      </c>
      <c r="P50" s="34">
        <f>(M50+O50)*Assumptions!$S$11</f>
        <v/>
      </c>
      <c r="Q50" s="35">
        <f>$F50*$K50*$P50</f>
        <v/>
      </c>
    </row>
    <row r="51">
      <c r="A51" s="11" t="inlineStr">
        <is>
          <t>UNIT</t>
        </is>
      </c>
      <c r="B51" s="28" t="inlineStr">
        <is>
          <t>AMERICAN_BRADFORD</t>
        </is>
      </c>
      <c r="C51" s="28" t="n">
        <v>1</v>
      </c>
      <c r="D51" s="28" t="inlineStr">
        <is>
          <t>NHT</t>
        </is>
      </c>
      <c r="E51" s="28" t="inlineStr">
        <is>
          <t>NHT</t>
        </is>
      </c>
      <c r="F51" s="29" t="n">
        <v>3.9</v>
      </c>
      <c r="G51" s="30">
        <f>IFERROR(IF(INDEX(Effective!$E$3:$R$125,MATCH($B51,Effective!$A$3:$A$125,0),MATCH($D51,Effective!$E$2:$R$2,0))=0,"",INDEX(Effective!$E$3:$R$125,MATCH($B51,Effective!$A$3:$A$125,0),MATCH($D51,Effective!$E$2:$R$2,0))),"")</f>
        <v/>
      </c>
      <c r="H51" s="31" t="n"/>
      <c r="I51" s="17" t="inlineStr">
        <is>
          <t>override</t>
        </is>
      </c>
      <c r="J51" s="32" t="n"/>
      <c r="K51" s="33">
        <f>IF(AND(IF($I52&lt;&gt;"",$I52,$I51)="override",$J51&lt;&gt;""),$J51,SUMIFS(Assumptions!$K$4:$K$8,Assumptions!$J$4:$J$8,$C51))*Assumptions!$S$10*(1-MIN(1,MAX(N($H51),N($H52))))</f>
        <v/>
      </c>
      <c r="L51" s="32" t="n"/>
      <c r="M51" s="34">
        <f>IF(AND(IF($I52&lt;&gt;"",$I52,$I51)="override",$L51&lt;&gt;""),$L51,SUMIFS(Assumptions!$P$4:$P$103,Assumptions!$M$4:$M$103,$C51,Assumptions!$N$4:$N$103,$E51,Assumptions!$O$4:$O$103,"LVN"))</f>
        <v/>
      </c>
      <c r="N51" s="32" t="n"/>
      <c r="O51" s="34">
        <f>IF(AND(IF($I52&lt;&gt;"",$I52,$I51)="override",$N51&lt;&gt;""),$N51,SUMIFS(Assumptions!$P$4:$P$103,Assumptions!$M$4:$M$103,$C51,Assumptions!$N$4:$N$103,$E51,Assumptions!$O$4:$O$103,"HVN"))</f>
        <v/>
      </c>
      <c r="P51" s="34">
        <f>(M51+O51)*Assumptions!$S$11</f>
        <v/>
      </c>
      <c r="Q51" s="35">
        <f>$F51*$K51*$P51</f>
        <v/>
      </c>
    </row>
    <row r="52">
      <c r="A52" s="24" t="inlineStr">
        <is>
          <t>TOTAL</t>
        </is>
      </c>
      <c r="B52" s="36" t="inlineStr">
        <is>
          <t>AMERICAN_BRADFORD</t>
        </is>
      </c>
      <c r="C52" s="36" t="n">
        <v>1</v>
      </c>
      <c r="D52" s="36" t="inlineStr">
        <is>
          <t>NET NAPHTHA</t>
        </is>
      </c>
      <c r="H52" s="31" t="n"/>
      <c r="I52" s="17" t="n"/>
      <c r="Q52" s="37">
        <f>SUM(Q48:Q51)</f>
        <v/>
      </c>
    </row>
    <row r="54" ht="20" customHeight="1">
      <c r="A54" s="8">
        <f>"  BP Whiting  [BP_WHITING]   —   BP   —   PADD 2   —   crude "&amp;TEXT(SUMIFS(Data!$G$3:$G$125,Data!$A$3:$A$125,"BP_WHITING"),"#,##0")&amp;" kbd"</f>
        <v/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</row>
    <row r="55">
      <c r="A55" s="11" t="inlineStr">
        <is>
          <t>UNIT</t>
        </is>
      </c>
      <c r="B55" s="28" t="inlineStr">
        <is>
          <t>BP_WHITING</t>
        </is>
      </c>
      <c r="C55" s="28" t="n">
        <v>2</v>
      </c>
      <c r="D55" s="28" t="inlineStr">
        <is>
          <t>CDU</t>
        </is>
      </c>
      <c r="E55" s="28" t="inlineStr">
        <is>
          <t>CDU</t>
        </is>
      </c>
      <c r="F55" s="29" t="n">
        <v>440</v>
      </c>
      <c r="G55" s="30">
        <f>IFERROR(IF(INDEX(Effective!$E$3:$R$125,MATCH($B55,Effective!$A$3:$A$125,0),MATCH($D55,Effective!$E$2:$R$2,0))=0,"",INDEX(Effective!$E$3:$R$125,MATCH($B55,Effective!$A$3:$A$125,0),MATCH($D55,Effective!$E$2:$R$2,0))),"")</f>
        <v/>
      </c>
      <c r="H55" s="31" t="n"/>
      <c r="I55" s="17" t="inlineStr">
        <is>
          <t>override</t>
        </is>
      </c>
      <c r="J55" s="32" t="n">
        <v>0.821</v>
      </c>
      <c r="K55" s="33">
        <f>IF(AND(IF($I63&lt;&gt;"",$I63,$I55)="override",$J55&lt;&gt;""),$J55,SUMIFS(Assumptions!$K$4:$K$8,Assumptions!$J$4:$J$8,$C55))*Assumptions!$S$10*(1-MIN(1,MAX(N($H55),N($H63))))</f>
        <v/>
      </c>
      <c r="L55" s="32" t="n"/>
      <c r="M55" s="34">
        <f>IF(AND(IF($I63&lt;&gt;"",$I63,$I55)="override",$L55&lt;&gt;""),$L55,SUMIFS(Assumptions!$P$4:$P$103,Assumptions!$M$4:$M$103,$C55,Assumptions!$N$4:$N$103,$E55,Assumptions!$O$4:$O$103,"LVN"))</f>
        <v/>
      </c>
      <c r="N55" s="32" t="n"/>
      <c r="O55" s="34">
        <f>IF(AND(IF($I63&lt;&gt;"",$I63,$I55)="override",$N55&lt;&gt;""),$N55,SUMIFS(Assumptions!$P$4:$P$103,Assumptions!$M$4:$M$103,$C55,Assumptions!$N$4:$N$103,$E55,Assumptions!$O$4:$O$103,"HVN"))</f>
        <v/>
      </c>
      <c r="P55" s="34">
        <f>(M55+O55)*Assumptions!$S$11</f>
        <v/>
      </c>
      <c r="Q55" s="35">
        <f>$F55*$K55*$P55</f>
        <v/>
      </c>
    </row>
    <row r="56">
      <c r="A56" s="11" t="inlineStr">
        <is>
          <t>UNIT</t>
        </is>
      </c>
      <c r="B56" s="28" t="inlineStr">
        <is>
          <t>BP_WHITING</t>
        </is>
      </c>
      <c r="C56" s="28" t="n">
        <v>2</v>
      </c>
      <c r="D56" s="28" t="inlineStr">
        <is>
          <t>VDU</t>
        </is>
      </c>
      <c r="E56" s="28" t="inlineStr">
        <is>
          <t>VDU</t>
        </is>
      </c>
      <c r="F56" s="29" t="n">
        <v>276.2</v>
      </c>
      <c r="G56" s="30">
        <f>IFERROR(IF(INDEX(Effective!$E$3:$R$125,MATCH($B56,Effective!$A$3:$A$125,0),MATCH($D56,Effective!$E$2:$R$2,0))=0,"",INDEX(Effective!$E$3:$R$125,MATCH($B56,Effective!$A$3:$A$125,0),MATCH($D56,Effective!$E$2:$R$2,0))),"")</f>
        <v/>
      </c>
      <c r="H56" s="31" t="n"/>
      <c r="I56" s="17" t="inlineStr">
        <is>
          <t>override</t>
        </is>
      </c>
      <c r="J56" s="32" t="n">
        <v>0.61</v>
      </c>
      <c r="K56" s="33">
        <f>IF(AND(IF($I63&lt;&gt;"",$I63,$I56)="override",$J56&lt;&gt;""),$J56,SUMIFS(Assumptions!$K$4:$K$8,Assumptions!$J$4:$J$8,$C56))*Assumptions!$S$10*(1-MIN(1,MAX(N($H56),N($H63))))</f>
        <v/>
      </c>
      <c r="L56" s="32" t="n"/>
      <c r="M56" s="34">
        <f>IF(AND(IF($I63&lt;&gt;"",$I63,$I56)="override",$L56&lt;&gt;""),$L56,SUMIFS(Assumptions!$P$4:$P$103,Assumptions!$M$4:$M$103,$C56,Assumptions!$N$4:$N$103,$E56,Assumptions!$O$4:$O$103,"LVN"))</f>
        <v/>
      </c>
      <c r="N56" s="32" t="n"/>
      <c r="O56" s="34">
        <f>IF(AND(IF($I63&lt;&gt;"",$I63,$I56)="override",$N56&lt;&gt;""),$N56,SUMIFS(Assumptions!$P$4:$P$103,Assumptions!$M$4:$M$103,$C56,Assumptions!$N$4:$N$103,$E56,Assumptions!$O$4:$O$103,"HVN"))</f>
        <v/>
      </c>
      <c r="P56" s="34">
        <f>(M56+O56)*Assumptions!$S$11</f>
        <v/>
      </c>
      <c r="Q56" s="35">
        <f>$F56*$K56*$P56</f>
        <v/>
      </c>
    </row>
    <row r="57">
      <c r="A57" s="11" t="inlineStr">
        <is>
          <t>UNIT</t>
        </is>
      </c>
      <c r="B57" s="28" t="inlineStr">
        <is>
          <t>BP_WHITING</t>
        </is>
      </c>
      <c r="C57" s="28" t="n">
        <v>2</v>
      </c>
      <c r="D57" s="28" t="inlineStr">
        <is>
          <t>FCC</t>
        </is>
      </c>
      <c r="E57" s="28" t="inlineStr">
        <is>
          <t>FCC</t>
        </is>
      </c>
      <c r="F57" s="29" t="n">
        <v>177</v>
      </c>
      <c r="G57" s="30">
        <f>IFERROR(IF(INDEX(Effective!$E$3:$R$125,MATCH($B57,Effective!$A$3:$A$125,0),MATCH($D57,Effective!$E$2:$R$2,0))=0,"",INDEX(Effective!$E$3:$R$125,MATCH($B57,Effective!$A$3:$A$125,0),MATCH($D57,Effective!$E$2:$R$2,0))),"")</f>
        <v/>
      </c>
      <c r="H57" s="31" t="n"/>
      <c r="I57" s="17" t="inlineStr">
        <is>
          <t>override</t>
        </is>
      </c>
      <c r="J57" s="32" t="n">
        <v>0.739</v>
      </c>
      <c r="K57" s="33">
        <f>IF(AND(IF($I63&lt;&gt;"",$I63,$I57)="override",$J57&lt;&gt;""),$J57,SUMIFS(Assumptions!$K$4:$K$8,Assumptions!$J$4:$J$8,$C57))*Assumptions!$S$10*(1-MIN(1,MAX(N($H57),N($H63))))</f>
        <v/>
      </c>
      <c r="L57" s="32" t="n"/>
      <c r="M57" s="34">
        <f>IF(AND(IF($I63&lt;&gt;"",$I63,$I57)="override",$L57&lt;&gt;""),$L57,SUMIFS(Assumptions!$P$4:$P$103,Assumptions!$M$4:$M$103,$C57,Assumptions!$N$4:$N$103,$E57,Assumptions!$O$4:$O$103,"LVN"))</f>
        <v/>
      </c>
      <c r="N57" s="32" t="n"/>
      <c r="O57" s="34">
        <f>IF(AND(IF($I63&lt;&gt;"",$I63,$I57)="override",$N57&lt;&gt;""),$N57,SUMIFS(Assumptions!$P$4:$P$103,Assumptions!$M$4:$M$103,$C57,Assumptions!$N$4:$N$103,$E57,Assumptions!$O$4:$O$103,"HVN"))</f>
        <v/>
      </c>
      <c r="P57" s="34">
        <f>(M57+O57)*Assumptions!$S$11</f>
        <v/>
      </c>
      <c r="Q57" s="35">
        <f>$F57*$K57*$P57</f>
        <v/>
      </c>
    </row>
    <row r="58">
      <c r="A58" s="11" t="inlineStr">
        <is>
          <t>UNIT</t>
        </is>
      </c>
      <c r="B58" s="28" t="inlineStr">
        <is>
          <t>BP_WHITING</t>
        </is>
      </c>
      <c r="C58" s="28" t="n">
        <v>2</v>
      </c>
      <c r="D58" s="28" t="inlineStr">
        <is>
          <t>COKER</t>
        </is>
      </c>
      <c r="E58" s="28" t="inlineStr">
        <is>
          <t>COKER</t>
        </is>
      </c>
      <c r="F58" s="29" t="n">
        <v>102</v>
      </c>
      <c r="G58" s="30">
        <f>IFERROR(IF(INDEX(Effective!$E$3:$R$125,MATCH($B58,Effective!$A$3:$A$125,0),MATCH($D58,Effective!$E$2:$R$2,0))=0,"",INDEX(Effective!$E$3:$R$125,MATCH($B58,Effective!$A$3:$A$125,0),MATCH($D58,Effective!$E$2:$R$2,0))),"")</f>
        <v/>
      </c>
      <c r="H58" s="31" t="n"/>
      <c r="I58" s="17" t="inlineStr">
        <is>
          <t>override</t>
        </is>
      </c>
      <c r="J58" s="32" t="n">
        <v>0.548</v>
      </c>
      <c r="K58" s="33">
        <f>IF(AND(IF($I63&lt;&gt;"",$I63,$I58)="override",$J58&lt;&gt;""),$J58,SUMIFS(Assumptions!$K$4:$K$8,Assumptions!$J$4:$J$8,$C58))*Assumptions!$S$10*(1-MIN(1,MAX(N($H58),N($H63))))</f>
        <v/>
      </c>
      <c r="L58" s="32" t="n"/>
      <c r="M58" s="34">
        <f>IF(AND(IF($I63&lt;&gt;"",$I63,$I58)="override",$L58&lt;&gt;""),$L58,SUMIFS(Assumptions!$P$4:$P$103,Assumptions!$M$4:$M$103,$C58,Assumptions!$N$4:$N$103,$E58,Assumptions!$O$4:$O$103,"LVN"))</f>
        <v/>
      </c>
      <c r="N58" s="32" t="n"/>
      <c r="O58" s="34">
        <f>IF(AND(IF($I63&lt;&gt;"",$I63,$I58)="override",$N58&lt;&gt;""),$N58,SUMIFS(Assumptions!$P$4:$P$103,Assumptions!$M$4:$M$103,$C58,Assumptions!$N$4:$N$103,$E58,Assumptions!$O$4:$O$103,"HVN"))</f>
        <v/>
      </c>
      <c r="P58" s="34">
        <f>(M58+O58)*Assumptions!$S$11</f>
        <v/>
      </c>
      <c r="Q58" s="35">
        <f>$F58*$K58*$P58</f>
        <v/>
      </c>
    </row>
    <row r="59">
      <c r="A59" s="11" t="inlineStr">
        <is>
          <t>UNIT</t>
        </is>
      </c>
      <c r="B59" s="28" t="inlineStr">
        <is>
          <t>BP_WHITING</t>
        </is>
      </c>
      <c r="C59" s="28" t="n">
        <v>2</v>
      </c>
      <c r="D59" s="28" t="inlineStr">
        <is>
          <t>REF</t>
        </is>
      </c>
      <c r="E59" s="28" t="inlineStr">
        <is>
          <t>REFORMER</t>
        </is>
      </c>
      <c r="F59" s="29" t="n">
        <v>67</v>
      </c>
      <c r="G59" s="30">
        <f>IFERROR(IF(INDEX(Effective!$E$3:$R$125,MATCH($B59,Effective!$A$3:$A$125,0),MATCH($D59,Effective!$E$2:$R$2,0))=0,"",INDEX(Effective!$E$3:$R$125,MATCH($B59,Effective!$A$3:$A$125,0),MATCH($D59,Effective!$E$2:$R$2,0))),"")</f>
        <v/>
      </c>
      <c r="H59" s="31" t="n"/>
      <c r="I59" s="17" t="inlineStr">
        <is>
          <t>override</t>
        </is>
      </c>
      <c r="J59" s="32" t="n"/>
      <c r="K59" s="33">
        <f>IF(AND(IF($I63&lt;&gt;"",$I63,$I59)="override",$J59&lt;&gt;""),$J59,SUMIFS(Assumptions!$K$4:$K$8,Assumptions!$J$4:$J$8,$C59))*Assumptions!$S$10*(1-MIN(1,MAX(N($H59),N($H63))))</f>
        <v/>
      </c>
      <c r="L59" s="32" t="n"/>
      <c r="M59" s="34">
        <f>IF(AND(IF($I63&lt;&gt;"",$I63,$I59)="override",$L59&lt;&gt;""),$L59,SUMIFS(Assumptions!$P$4:$P$103,Assumptions!$M$4:$M$103,$C59,Assumptions!$N$4:$N$103,$E59,Assumptions!$O$4:$O$103,"LVN"))</f>
        <v/>
      </c>
      <c r="N59" s="32" t="n"/>
      <c r="O59" s="34">
        <f>IF(AND(IF($I63&lt;&gt;"",$I63,$I59)="override",$N59&lt;&gt;""),$N59,SUMIFS(Assumptions!$P$4:$P$103,Assumptions!$M$4:$M$103,$C59,Assumptions!$N$4:$N$103,$E59,Assumptions!$O$4:$O$103,"HVN"))</f>
        <v/>
      </c>
      <c r="P59" s="34">
        <f>(M59+O59)*Assumptions!$S$11</f>
        <v/>
      </c>
      <c r="Q59" s="35">
        <f>$F59*$K59*$P59</f>
        <v/>
      </c>
    </row>
    <row r="60">
      <c r="A60" s="11" t="inlineStr">
        <is>
          <t>UNIT</t>
        </is>
      </c>
      <c r="B60" s="28" t="inlineStr">
        <is>
          <t>BP_WHITING</t>
        </is>
      </c>
      <c r="C60" s="28" t="n">
        <v>2</v>
      </c>
      <c r="D60" s="28" t="inlineStr">
        <is>
          <t>ISOM</t>
        </is>
      </c>
      <c r="E60" s="28" t="inlineStr">
        <is>
          <t>ISOM</t>
        </is>
      </c>
      <c r="F60" s="29" t="n">
        <v>30</v>
      </c>
      <c r="G60" s="30">
        <f>IFERROR(IF(INDEX(Effective!$E$3:$R$125,MATCH($B60,Effective!$A$3:$A$125,0),MATCH($D60,Effective!$E$2:$R$2,0))=0,"",INDEX(Effective!$E$3:$R$125,MATCH($B60,Effective!$A$3:$A$125,0),MATCH($D60,Effective!$E$2:$R$2,0))),"")</f>
        <v/>
      </c>
      <c r="H60" s="31" t="n"/>
      <c r="I60" s="17" t="inlineStr">
        <is>
          <t>override</t>
        </is>
      </c>
      <c r="J60" s="32" t="n">
        <v>1</v>
      </c>
      <c r="K60" s="33">
        <f>IF(AND(IF($I63&lt;&gt;"",$I63,$I60)="override",$J60&lt;&gt;""),$J60,SUMIFS(Assumptions!$K$4:$K$8,Assumptions!$J$4:$J$8,$C60))*Assumptions!$S$10*(1-MIN(1,MAX(N($H60),N($H63))))</f>
        <v/>
      </c>
      <c r="L60" s="32" t="n"/>
      <c r="M60" s="34">
        <f>IF(AND(IF($I63&lt;&gt;"",$I63,$I60)="override",$L60&lt;&gt;""),$L60,SUMIFS(Assumptions!$P$4:$P$103,Assumptions!$M$4:$M$103,$C60,Assumptions!$N$4:$N$103,$E60,Assumptions!$O$4:$O$103,"LVN"))</f>
        <v/>
      </c>
      <c r="N60" s="32" t="n"/>
      <c r="O60" s="34">
        <f>IF(AND(IF($I63&lt;&gt;"",$I63,$I60)="override",$N60&lt;&gt;""),$N60,SUMIFS(Assumptions!$P$4:$P$103,Assumptions!$M$4:$M$103,$C60,Assumptions!$N$4:$N$103,$E60,Assumptions!$O$4:$O$103,"HVN"))</f>
        <v/>
      </c>
      <c r="P60" s="34">
        <f>(M60+O60)*Assumptions!$S$11</f>
        <v/>
      </c>
      <c r="Q60" s="35">
        <f>$F60*$K60*$P60</f>
        <v/>
      </c>
    </row>
    <row r="61">
      <c r="A61" s="11" t="inlineStr">
        <is>
          <t>UNIT</t>
        </is>
      </c>
      <c r="B61" s="28" t="inlineStr">
        <is>
          <t>BP_WHITING</t>
        </is>
      </c>
      <c r="C61" s="28" t="n">
        <v>2</v>
      </c>
      <c r="D61" s="28" t="inlineStr">
        <is>
          <t>ALKY</t>
        </is>
      </c>
      <c r="E61" s="28" t="inlineStr">
        <is>
          <t>ALKY</t>
        </is>
      </c>
      <c r="F61" s="29" t="n">
        <v>32</v>
      </c>
      <c r="G61" s="30">
        <f>IFERROR(IF(INDEX(Effective!$E$3:$R$125,MATCH($B61,Effective!$A$3:$A$125,0),MATCH($D61,Effective!$E$2:$R$2,0))=0,"",INDEX(Effective!$E$3:$R$125,MATCH($B61,Effective!$A$3:$A$125,0),MATCH($D61,Effective!$E$2:$R$2,0))),"")</f>
        <v/>
      </c>
      <c r="H61" s="31" t="n"/>
      <c r="I61" s="17" t="inlineStr">
        <is>
          <t>override</t>
        </is>
      </c>
      <c r="J61" s="32" t="n">
        <v>0.996</v>
      </c>
      <c r="K61" s="33">
        <f>IF(AND(IF($I63&lt;&gt;"",$I63,$I61)="override",$J61&lt;&gt;""),$J61,SUMIFS(Assumptions!$K$4:$K$8,Assumptions!$J$4:$J$8,$C61))*Assumptions!$S$10*(1-MIN(1,MAX(N($H61),N($H63))))</f>
        <v/>
      </c>
      <c r="L61" s="32" t="n"/>
      <c r="M61" s="34">
        <f>IF(AND(IF($I63&lt;&gt;"",$I63,$I61)="override",$L61&lt;&gt;""),$L61,SUMIFS(Assumptions!$P$4:$P$103,Assumptions!$M$4:$M$103,$C61,Assumptions!$N$4:$N$103,$E61,Assumptions!$O$4:$O$103,"LVN"))</f>
        <v/>
      </c>
      <c r="N61" s="32" t="n"/>
      <c r="O61" s="34">
        <f>IF(AND(IF($I63&lt;&gt;"",$I63,$I61)="override",$N61&lt;&gt;""),$N61,SUMIFS(Assumptions!$P$4:$P$103,Assumptions!$M$4:$M$103,$C61,Assumptions!$N$4:$N$103,$E61,Assumptions!$O$4:$O$103,"HVN"))</f>
        <v/>
      </c>
      <c r="P61" s="34">
        <f>(M61+O61)*Assumptions!$S$11</f>
        <v/>
      </c>
      <c r="Q61" s="35">
        <f>$F61*$K61*$P61</f>
        <v/>
      </c>
    </row>
    <row r="62">
      <c r="A62" s="11" t="inlineStr">
        <is>
          <t>UNIT</t>
        </is>
      </c>
      <c r="B62" s="28" t="inlineStr">
        <is>
          <t>BP_WHITING</t>
        </is>
      </c>
      <c r="C62" s="28" t="n">
        <v>2</v>
      </c>
      <c r="D62" s="28" t="inlineStr">
        <is>
          <t>NHT</t>
        </is>
      </c>
      <c r="E62" s="28" t="inlineStr">
        <is>
          <t>NHT</t>
        </is>
      </c>
      <c r="F62" s="29" t="n">
        <v>122.7</v>
      </c>
      <c r="G62" s="30">
        <f>IFERROR(IF(INDEX(Effective!$E$3:$R$125,MATCH($B62,Effective!$A$3:$A$125,0),MATCH($D62,Effective!$E$2:$R$2,0))=0,"",INDEX(Effective!$E$3:$R$125,MATCH($B62,Effective!$A$3:$A$125,0),MATCH($D62,Effective!$E$2:$R$2,0))),"")</f>
        <v/>
      </c>
      <c r="H62" s="31" t="n"/>
      <c r="I62" s="17" t="inlineStr">
        <is>
          <t>override</t>
        </is>
      </c>
      <c r="J62" s="32" t="n">
        <v>0.597</v>
      </c>
      <c r="K62" s="33">
        <f>IF(AND(IF($I63&lt;&gt;"",$I63,$I62)="override",$J62&lt;&gt;""),$J62,SUMIFS(Assumptions!$K$4:$K$8,Assumptions!$J$4:$J$8,$C62))*Assumptions!$S$10*(1-MIN(1,MAX(N($H62),N($H63))))</f>
        <v/>
      </c>
      <c r="L62" s="32" t="n"/>
      <c r="M62" s="34">
        <f>IF(AND(IF($I63&lt;&gt;"",$I63,$I62)="override",$L62&lt;&gt;""),$L62,SUMIFS(Assumptions!$P$4:$P$103,Assumptions!$M$4:$M$103,$C62,Assumptions!$N$4:$N$103,$E62,Assumptions!$O$4:$O$103,"LVN"))</f>
        <v/>
      </c>
      <c r="N62" s="32" t="n"/>
      <c r="O62" s="34">
        <f>IF(AND(IF($I63&lt;&gt;"",$I63,$I62)="override",$N62&lt;&gt;""),$N62,SUMIFS(Assumptions!$P$4:$P$103,Assumptions!$M$4:$M$103,$C62,Assumptions!$N$4:$N$103,$E62,Assumptions!$O$4:$O$103,"HVN"))</f>
        <v/>
      </c>
      <c r="P62" s="34">
        <f>(M62+O62)*Assumptions!$S$11</f>
        <v/>
      </c>
      <c r="Q62" s="35">
        <f>$F62*$K62*$P62</f>
        <v/>
      </c>
    </row>
    <row r="63">
      <c r="A63" s="24" t="inlineStr">
        <is>
          <t>TOTAL</t>
        </is>
      </c>
      <c r="B63" s="36" t="inlineStr">
        <is>
          <t>BP_WHITING</t>
        </is>
      </c>
      <c r="C63" s="36" t="n">
        <v>2</v>
      </c>
      <c r="D63" s="36" t="inlineStr">
        <is>
          <t>NET NAPHTHA</t>
        </is>
      </c>
      <c r="H63" s="31" t="n"/>
      <c r="I63" s="17" t="n"/>
      <c r="Q63" s="37">
        <f>SUM(Q55:Q62)</f>
        <v/>
      </c>
    </row>
    <row r="65" ht="20" customHeight="1">
      <c r="A65" s="8">
        <f>"  Flint Hills Resources Rosemount  [FLINT_ROSEMOUNT]   —   Koch Industries   —   PADD 2   —   crude "&amp;TEXT(SUMIFS(Data!$G$3:$G$125,Data!$A$3:$A$125,"FLINT_ROSEMOUNT"),"#,##0")&amp;" kbd"</f>
        <v/>
      </c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</row>
    <row r="66">
      <c r="A66" s="11" t="inlineStr">
        <is>
          <t>UNIT</t>
        </is>
      </c>
      <c r="B66" s="28" t="inlineStr">
        <is>
          <t>FLINT_ROSEMOUNT</t>
        </is>
      </c>
      <c r="C66" s="28" t="n">
        <v>2</v>
      </c>
      <c r="D66" s="28" t="inlineStr">
        <is>
          <t>CDU</t>
        </is>
      </c>
      <c r="E66" s="28" t="inlineStr">
        <is>
          <t>CDU</t>
        </is>
      </c>
      <c r="F66" s="29" t="n">
        <v>375</v>
      </c>
      <c r="G66" s="30">
        <f>IFERROR(IF(INDEX(Effective!$E$3:$R$125,MATCH($B66,Effective!$A$3:$A$125,0),MATCH($D66,Effective!$E$2:$R$2,0))=0,"",INDEX(Effective!$E$3:$R$125,MATCH($B66,Effective!$A$3:$A$125,0),MATCH($D66,Effective!$E$2:$R$2,0))),"")</f>
        <v/>
      </c>
      <c r="H66" s="31" t="n"/>
      <c r="I66" s="17" t="inlineStr">
        <is>
          <t>override</t>
        </is>
      </c>
      <c r="J66" s="32" t="n">
        <v>0.8149999999999999</v>
      </c>
      <c r="K66" s="33">
        <f>IF(AND(IF($I76&lt;&gt;"",$I76,$I66)="override",$J66&lt;&gt;""),$J66,SUMIFS(Assumptions!$K$4:$K$8,Assumptions!$J$4:$J$8,$C66))*Assumptions!$S$10*(1-MIN(1,MAX(N($H66),N($H76))))</f>
        <v/>
      </c>
      <c r="L66" s="32" t="n"/>
      <c r="M66" s="34">
        <f>IF(AND(IF($I76&lt;&gt;"",$I76,$I66)="override",$L66&lt;&gt;""),$L66,SUMIFS(Assumptions!$P$4:$P$103,Assumptions!$M$4:$M$103,$C66,Assumptions!$N$4:$N$103,$E66,Assumptions!$O$4:$O$103,"LVN"))</f>
        <v/>
      </c>
      <c r="N66" s="32" t="n"/>
      <c r="O66" s="34">
        <f>IF(AND(IF($I76&lt;&gt;"",$I76,$I66)="override",$N66&lt;&gt;""),$N66,SUMIFS(Assumptions!$P$4:$P$103,Assumptions!$M$4:$M$103,$C66,Assumptions!$N$4:$N$103,$E66,Assumptions!$O$4:$O$103,"HVN"))</f>
        <v/>
      </c>
      <c r="P66" s="34">
        <f>(M66+O66)*Assumptions!$S$11</f>
        <v/>
      </c>
      <c r="Q66" s="35">
        <f>$F66*$K66*$P66</f>
        <v/>
      </c>
    </row>
    <row r="67">
      <c r="A67" s="11" t="inlineStr">
        <is>
          <t>UNIT</t>
        </is>
      </c>
      <c r="B67" s="28" t="inlineStr">
        <is>
          <t>FLINT_ROSEMOUNT</t>
        </is>
      </c>
      <c r="C67" s="28" t="n">
        <v>2</v>
      </c>
      <c r="D67" s="28" t="inlineStr">
        <is>
          <t>VDU</t>
        </is>
      </c>
      <c r="E67" s="28" t="inlineStr">
        <is>
          <t>VDU</t>
        </is>
      </c>
      <c r="F67" s="29" t="n">
        <v>234</v>
      </c>
      <c r="G67" s="30">
        <f>IFERROR(IF(INDEX(Effective!$E$3:$R$125,MATCH($B67,Effective!$A$3:$A$125,0),MATCH($D67,Effective!$E$2:$R$2,0))=0,"",INDEX(Effective!$E$3:$R$125,MATCH($B67,Effective!$A$3:$A$125,0),MATCH($D67,Effective!$E$2:$R$2,0))),"")</f>
        <v/>
      </c>
      <c r="H67" s="31" t="n"/>
      <c r="I67" s="17" t="inlineStr">
        <is>
          <t>override</t>
        </is>
      </c>
      <c r="J67" s="32" t="n">
        <v>0.697</v>
      </c>
      <c r="K67" s="33">
        <f>IF(AND(IF($I76&lt;&gt;"",$I76,$I67)="override",$J67&lt;&gt;""),$J67,SUMIFS(Assumptions!$K$4:$K$8,Assumptions!$J$4:$J$8,$C67))*Assumptions!$S$10*(1-MIN(1,MAX(N($H67),N($H76))))</f>
        <v/>
      </c>
      <c r="L67" s="32" t="n"/>
      <c r="M67" s="34">
        <f>IF(AND(IF($I76&lt;&gt;"",$I76,$I67)="override",$L67&lt;&gt;""),$L67,SUMIFS(Assumptions!$P$4:$P$103,Assumptions!$M$4:$M$103,$C67,Assumptions!$N$4:$N$103,$E67,Assumptions!$O$4:$O$103,"LVN"))</f>
        <v/>
      </c>
      <c r="N67" s="32" t="n"/>
      <c r="O67" s="34">
        <f>IF(AND(IF($I76&lt;&gt;"",$I76,$I67)="override",$N67&lt;&gt;""),$N67,SUMIFS(Assumptions!$P$4:$P$103,Assumptions!$M$4:$M$103,$C67,Assumptions!$N$4:$N$103,$E67,Assumptions!$O$4:$O$103,"HVN"))</f>
        <v/>
      </c>
      <c r="P67" s="34">
        <f>(M67+O67)*Assumptions!$S$11</f>
        <v/>
      </c>
      <c r="Q67" s="35">
        <f>$F67*$K67*$P67</f>
        <v/>
      </c>
    </row>
    <row r="68">
      <c r="A68" s="11" t="inlineStr">
        <is>
          <t>UNIT</t>
        </is>
      </c>
      <c r="B68" s="28" t="inlineStr">
        <is>
          <t>FLINT_ROSEMOUNT</t>
        </is>
      </c>
      <c r="C68" s="28" t="n">
        <v>2</v>
      </c>
      <c r="D68" s="28" t="inlineStr">
        <is>
          <t>FCC</t>
        </is>
      </c>
      <c r="E68" s="28" t="inlineStr">
        <is>
          <t>FCC</t>
        </is>
      </c>
      <c r="F68" s="29" t="n">
        <v>96</v>
      </c>
      <c r="G68" s="30">
        <f>IFERROR(IF(INDEX(Effective!$E$3:$R$125,MATCH($B68,Effective!$A$3:$A$125,0),MATCH($D68,Effective!$E$2:$R$2,0))=0,"",INDEX(Effective!$E$3:$R$125,MATCH($B68,Effective!$A$3:$A$125,0),MATCH($D68,Effective!$E$2:$R$2,0))),"")</f>
        <v/>
      </c>
      <c r="H68" s="31" t="n"/>
      <c r="I68" s="17" t="inlineStr">
        <is>
          <t>override</t>
        </is>
      </c>
      <c r="J68" s="32" t="n">
        <v>0.782</v>
      </c>
      <c r="K68" s="33">
        <f>IF(AND(IF($I76&lt;&gt;"",$I76,$I68)="override",$J68&lt;&gt;""),$J68,SUMIFS(Assumptions!$K$4:$K$8,Assumptions!$J$4:$J$8,$C68))*Assumptions!$S$10*(1-MIN(1,MAX(N($H68),N($H76))))</f>
        <v/>
      </c>
      <c r="L68" s="32" t="n"/>
      <c r="M68" s="34">
        <f>IF(AND(IF($I76&lt;&gt;"",$I76,$I68)="override",$L68&lt;&gt;""),$L68,SUMIFS(Assumptions!$P$4:$P$103,Assumptions!$M$4:$M$103,$C68,Assumptions!$N$4:$N$103,$E68,Assumptions!$O$4:$O$103,"LVN"))</f>
        <v/>
      </c>
      <c r="N68" s="32" t="n"/>
      <c r="O68" s="34">
        <f>IF(AND(IF($I76&lt;&gt;"",$I76,$I68)="override",$N68&lt;&gt;""),$N68,SUMIFS(Assumptions!$P$4:$P$103,Assumptions!$M$4:$M$103,$C68,Assumptions!$N$4:$N$103,$E68,Assumptions!$O$4:$O$103,"HVN"))</f>
        <v/>
      </c>
      <c r="P68" s="34">
        <f>(M68+O68)*Assumptions!$S$11</f>
        <v/>
      </c>
      <c r="Q68" s="35">
        <f>$F68*$K68*$P68</f>
        <v/>
      </c>
    </row>
    <row r="69">
      <c r="A69" s="11" t="inlineStr">
        <is>
          <t>UNIT</t>
        </is>
      </c>
      <c r="B69" s="28" t="inlineStr">
        <is>
          <t>FLINT_ROSEMOUNT</t>
        </is>
      </c>
      <c r="C69" s="28" t="n">
        <v>2</v>
      </c>
      <c r="D69" s="28" t="inlineStr">
        <is>
          <t>DHCU</t>
        </is>
      </c>
      <c r="E69" s="28" t="inlineStr">
        <is>
          <t>HYDROCRACKER</t>
        </is>
      </c>
      <c r="F69" s="29" t="n">
        <v>67</v>
      </c>
      <c r="G69" s="30">
        <f>IFERROR(IF(INDEX(Effective!$E$3:$R$125,MATCH($B69,Effective!$A$3:$A$125,0),MATCH($D69,Effective!$E$2:$R$2,0))=0,"",INDEX(Effective!$E$3:$R$125,MATCH($B69,Effective!$A$3:$A$125,0),MATCH($D69,Effective!$E$2:$R$2,0))),"")</f>
        <v/>
      </c>
      <c r="H69" s="31" t="n"/>
      <c r="I69" s="17" t="inlineStr">
        <is>
          <t>override</t>
        </is>
      </c>
      <c r="J69" s="32" t="n">
        <v>0.873</v>
      </c>
      <c r="K69" s="33">
        <f>IF(AND(IF($I76&lt;&gt;"",$I76,$I69)="override",$J69&lt;&gt;""),$J69,SUMIFS(Assumptions!$K$4:$K$8,Assumptions!$J$4:$J$8,$C69))*Assumptions!$S$10*(1-MIN(1,MAX(N($H69),N($H76))))</f>
        <v/>
      </c>
      <c r="L69" s="32" t="n"/>
      <c r="M69" s="34">
        <f>IF(AND(IF($I76&lt;&gt;"",$I76,$I69)="override",$L69&lt;&gt;""),$L69,SUMIFS(Assumptions!$P$4:$P$103,Assumptions!$M$4:$M$103,$C69,Assumptions!$N$4:$N$103,$E69,Assumptions!$O$4:$O$103,"LVN"))</f>
        <v/>
      </c>
      <c r="N69" s="32" t="n"/>
      <c r="O69" s="34">
        <f>IF(AND(IF($I76&lt;&gt;"",$I76,$I69)="override",$N69&lt;&gt;""),$N69,SUMIFS(Assumptions!$P$4:$P$103,Assumptions!$M$4:$M$103,$C69,Assumptions!$N$4:$N$103,$E69,Assumptions!$O$4:$O$103,"HVN"))</f>
        <v/>
      </c>
      <c r="P69" s="34">
        <f>(M69+O69)*Assumptions!$S$11</f>
        <v/>
      </c>
      <c r="Q69" s="35">
        <f>$F69*$K69*$P69</f>
        <v/>
      </c>
    </row>
    <row r="70">
      <c r="A70" s="11" t="inlineStr">
        <is>
          <t>UNIT</t>
        </is>
      </c>
      <c r="B70" s="28" t="inlineStr">
        <is>
          <t>FLINT_ROSEMOUNT</t>
        </is>
      </c>
      <c r="C70" s="28" t="n">
        <v>2</v>
      </c>
      <c r="D70" s="28" t="inlineStr">
        <is>
          <t>COKER</t>
        </is>
      </c>
      <c r="E70" s="28" t="inlineStr">
        <is>
          <t>COKER</t>
        </is>
      </c>
      <c r="F70" s="29" t="n">
        <v>82</v>
      </c>
      <c r="G70" s="30">
        <f>IFERROR(IF(INDEX(Effective!$E$3:$R$125,MATCH($B70,Effective!$A$3:$A$125,0),MATCH($D70,Effective!$E$2:$R$2,0))=0,"",INDEX(Effective!$E$3:$R$125,MATCH($B70,Effective!$A$3:$A$125,0),MATCH($D70,Effective!$E$2:$R$2,0))),"")</f>
        <v/>
      </c>
      <c r="H70" s="31" t="n"/>
      <c r="I70" s="17" t="inlineStr">
        <is>
          <t>override</t>
        </is>
      </c>
      <c r="J70" s="32" t="n">
        <v>0.863</v>
      </c>
      <c r="K70" s="33">
        <f>IF(AND(IF($I76&lt;&gt;"",$I76,$I70)="override",$J70&lt;&gt;""),$J70,SUMIFS(Assumptions!$K$4:$K$8,Assumptions!$J$4:$J$8,$C70))*Assumptions!$S$10*(1-MIN(1,MAX(N($H70),N($H76))))</f>
        <v/>
      </c>
      <c r="L70" s="32" t="n"/>
      <c r="M70" s="34">
        <f>IF(AND(IF($I76&lt;&gt;"",$I76,$I70)="override",$L70&lt;&gt;""),$L70,SUMIFS(Assumptions!$P$4:$P$103,Assumptions!$M$4:$M$103,$C70,Assumptions!$N$4:$N$103,$E70,Assumptions!$O$4:$O$103,"LVN"))</f>
        <v/>
      </c>
      <c r="N70" s="32" t="n"/>
      <c r="O70" s="34">
        <f>IF(AND(IF($I76&lt;&gt;"",$I76,$I70)="override",$N70&lt;&gt;""),$N70,SUMIFS(Assumptions!$P$4:$P$103,Assumptions!$M$4:$M$103,$C70,Assumptions!$N$4:$N$103,$E70,Assumptions!$O$4:$O$103,"HVN"))</f>
        <v/>
      </c>
      <c r="P70" s="34">
        <f>(M70+O70)*Assumptions!$S$11</f>
        <v/>
      </c>
      <c r="Q70" s="35">
        <f>$F70*$K70*$P70</f>
        <v/>
      </c>
    </row>
    <row r="71">
      <c r="A71" s="11" t="inlineStr">
        <is>
          <t>UNIT</t>
        </is>
      </c>
      <c r="B71" s="28" t="inlineStr">
        <is>
          <t>FLINT_ROSEMOUNT</t>
        </is>
      </c>
      <c r="C71" s="28" t="n">
        <v>2</v>
      </c>
      <c r="D71" s="28" t="inlineStr">
        <is>
          <t>CCR</t>
        </is>
      </c>
      <c r="E71" s="28" t="inlineStr">
        <is>
          <t>REFORMER</t>
        </is>
      </c>
      <c r="F71" s="29" t="n">
        <v>37</v>
      </c>
      <c r="G71" s="30">
        <f>IFERROR(IF(INDEX(Effective!$E$3:$R$125,MATCH($B71,Effective!$A$3:$A$125,0),MATCH($D71,Effective!$E$2:$R$2,0))=0,"",INDEX(Effective!$E$3:$R$125,MATCH($B71,Effective!$A$3:$A$125,0),MATCH($D71,Effective!$E$2:$R$2,0))),"")</f>
        <v/>
      </c>
      <c r="H71" s="31" t="n"/>
      <c r="I71" s="17" t="inlineStr">
        <is>
          <t>override</t>
        </is>
      </c>
      <c r="J71" s="32" t="n">
        <v>0.919</v>
      </c>
      <c r="K71" s="33">
        <f>IF(AND(IF($I76&lt;&gt;"",$I76,$I71)="override",$J71&lt;&gt;""),$J71,SUMIFS(Assumptions!$K$4:$K$8,Assumptions!$J$4:$J$8,$C71))*Assumptions!$S$10*(1-MIN(1,MAX(N($H71),N($H76))))</f>
        <v/>
      </c>
      <c r="L71" s="32" t="n"/>
      <c r="M71" s="34">
        <f>IF(AND(IF($I76&lt;&gt;"",$I76,$I71)="override",$L71&lt;&gt;""),$L71,SUMIFS(Assumptions!$P$4:$P$103,Assumptions!$M$4:$M$103,$C71,Assumptions!$N$4:$N$103,$E71,Assumptions!$O$4:$O$103,"LVN"))</f>
        <v/>
      </c>
      <c r="N71" s="32" t="n"/>
      <c r="O71" s="34">
        <f>IF(AND(IF($I76&lt;&gt;"",$I76,$I71)="override",$N71&lt;&gt;""),$N71,SUMIFS(Assumptions!$P$4:$P$103,Assumptions!$M$4:$M$103,$C71,Assumptions!$N$4:$N$103,$E71,Assumptions!$O$4:$O$103,"HVN"))</f>
        <v/>
      </c>
      <c r="P71" s="34">
        <f>(M71+O71)*Assumptions!$S$11</f>
        <v/>
      </c>
      <c r="Q71" s="35">
        <f>$F71*$K71*$P71</f>
        <v/>
      </c>
    </row>
    <row r="72">
      <c r="A72" s="11" t="inlineStr">
        <is>
          <t>UNIT</t>
        </is>
      </c>
      <c r="B72" s="28" t="inlineStr">
        <is>
          <t>FLINT_ROSEMOUNT</t>
        </is>
      </c>
      <c r="C72" s="28" t="n">
        <v>2</v>
      </c>
      <c r="D72" s="28" t="inlineStr">
        <is>
          <t>REF</t>
        </is>
      </c>
      <c r="E72" s="28" t="inlineStr">
        <is>
          <t>REFORMER</t>
        </is>
      </c>
      <c r="F72" s="29" t="n">
        <v>13.8</v>
      </c>
      <c r="G72" s="30">
        <f>IFERROR(IF(INDEX(Effective!$E$3:$R$125,MATCH($B72,Effective!$A$3:$A$125,0),MATCH($D72,Effective!$E$2:$R$2,0))=0,"",INDEX(Effective!$E$3:$R$125,MATCH($B72,Effective!$A$3:$A$125,0),MATCH($D72,Effective!$E$2:$R$2,0))),"")</f>
        <v/>
      </c>
      <c r="H72" s="31" t="n"/>
      <c r="I72" s="17" t="inlineStr">
        <is>
          <t>override</t>
        </is>
      </c>
      <c r="J72" s="32" t="n">
        <v>0.9419999999999999</v>
      </c>
      <c r="K72" s="33">
        <f>IF(AND(IF($I76&lt;&gt;"",$I76,$I72)="override",$J72&lt;&gt;""),$J72,SUMIFS(Assumptions!$K$4:$K$8,Assumptions!$J$4:$J$8,$C72))*Assumptions!$S$10*(1-MIN(1,MAX(N($H72),N($H76))))</f>
        <v/>
      </c>
      <c r="L72" s="32" t="n"/>
      <c r="M72" s="34">
        <f>IF(AND(IF($I76&lt;&gt;"",$I76,$I72)="override",$L72&lt;&gt;""),$L72,SUMIFS(Assumptions!$P$4:$P$103,Assumptions!$M$4:$M$103,$C72,Assumptions!$N$4:$N$103,$E72,Assumptions!$O$4:$O$103,"LVN"))</f>
        <v/>
      </c>
      <c r="N72" s="32" t="n"/>
      <c r="O72" s="34">
        <f>IF(AND(IF($I76&lt;&gt;"",$I76,$I72)="override",$N72&lt;&gt;""),$N72,SUMIFS(Assumptions!$P$4:$P$103,Assumptions!$M$4:$M$103,$C72,Assumptions!$N$4:$N$103,$E72,Assumptions!$O$4:$O$103,"HVN"))</f>
        <v/>
      </c>
      <c r="P72" s="34">
        <f>(M72+O72)*Assumptions!$S$11</f>
        <v/>
      </c>
      <c r="Q72" s="35">
        <f>$F72*$K72*$P72</f>
        <v/>
      </c>
    </row>
    <row r="73">
      <c r="A73" s="11" t="inlineStr">
        <is>
          <t>UNIT</t>
        </is>
      </c>
      <c r="B73" s="28" t="inlineStr">
        <is>
          <t>FLINT_ROSEMOUNT</t>
        </is>
      </c>
      <c r="C73" s="28" t="n">
        <v>2</v>
      </c>
      <c r="D73" s="28" t="inlineStr">
        <is>
          <t>ISOM</t>
        </is>
      </c>
      <c r="E73" s="28" t="inlineStr">
        <is>
          <t>ISOM</t>
        </is>
      </c>
      <c r="F73" s="29" t="n">
        <v>18</v>
      </c>
      <c r="G73" s="30">
        <f>IFERROR(IF(INDEX(Effective!$E$3:$R$125,MATCH($B73,Effective!$A$3:$A$125,0),MATCH($D73,Effective!$E$2:$R$2,0))=0,"",INDEX(Effective!$E$3:$R$125,MATCH($B73,Effective!$A$3:$A$125,0),MATCH($D73,Effective!$E$2:$R$2,0))),"")</f>
        <v/>
      </c>
      <c r="H73" s="31" t="n"/>
      <c r="I73" s="17" t="inlineStr">
        <is>
          <t>override</t>
        </is>
      </c>
      <c r="J73" s="32" t="n">
        <v>0.971</v>
      </c>
      <c r="K73" s="33">
        <f>IF(AND(IF($I76&lt;&gt;"",$I76,$I73)="override",$J73&lt;&gt;""),$J73,SUMIFS(Assumptions!$K$4:$K$8,Assumptions!$J$4:$J$8,$C73))*Assumptions!$S$10*(1-MIN(1,MAX(N($H73),N($H76))))</f>
        <v/>
      </c>
      <c r="L73" s="32" t="n"/>
      <c r="M73" s="34">
        <f>IF(AND(IF($I76&lt;&gt;"",$I76,$I73)="override",$L73&lt;&gt;""),$L73,SUMIFS(Assumptions!$P$4:$P$103,Assumptions!$M$4:$M$103,$C73,Assumptions!$N$4:$N$103,$E73,Assumptions!$O$4:$O$103,"LVN"))</f>
        <v/>
      </c>
      <c r="N73" s="32" t="n"/>
      <c r="O73" s="34">
        <f>IF(AND(IF($I76&lt;&gt;"",$I76,$I73)="override",$N73&lt;&gt;""),$N73,SUMIFS(Assumptions!$P$4:$P$103,Assumptions!$M$4:$M$103,$C73,Assumptions!$N$4:$N$103,$E73,Assumptions!$O$4:$O$103,"HVN"))</f>
        <v/>
      </c>
      <c r="P73" s="34">
        <f>(M73+O73)*Assumptions!$S$11</f>
        <v/>
      </c>
      <c r="Q73" s="35">
        <f>$F73*$K73*$P73</f>
        <v/>
      </c>
    </row>
    <row r="74">
      <c r="A74" s="11" t="inlineStr">
        <is>
          <t>UNIT</t>
        </is>
      </c>
      <c r="B74" s="28" t="inlineStr">
        <is>
          <t>FLINT_ROSEMOUNT</t>
        </is>
      </c>
      <c r="C74" s="28" t="n">
        <v>2</v>
      </c>
      <c r="D74" s="28" t="inlineStr">
        <is>
          <t>ALKY</t>
        </is>
      </c>
      <c r="E74" s="28" t="inlineStr">
        <is>
          <t>ALKY</t>
        </is>
      </c>
      <c r="F74" s="29" t="n">
        <v>14</v>
      </c>
      <c r="G74" s="30">
        <f>IFERROR(IF(INDEX(Effective!$E$3:$R$125,MATCH($B74,Effective!$A$3:$A$125,0),MATCH($D74,Effective!$E$2:$R$2,0))=0,"",INDEX(Effective!$E$3:$R$125,MATCH($B74,Effective!$A$3:$A$125,0),MATCH($D74,Effective!$E$2:$R$2,0))),"")</f>
        <v/>
      </c>
      <c r="H74" s="31" t="n"/>
      <c r="I74" s="17" t="inlineStr">
        <is>
          <t>override</t>
        </is>
      </c>
      <c r="J74" s="32" t="n">
        <v>0.998</v>
      </c>
      <c r="K74" s="33">
        <f>IF(AND(IF($I76&lt;&gt;"",$I76,$I74)="override",$J74&lt;&gt;""),$J74,SUMIFS(Assumptions!$K$4:$K$8,Assumptions!$J$4:$J$8,$C74))*Assumptions!$S$10*(1-MIN(1,MAX(N($H74),N($H76))))</f>
        <v/>
      </c>
      <c r="L74" s="32" t="n"/>
      <c r="M74" s="34">
        <f>IF(AND(IF($I76&lt;&gt;"",$I76,$I74)="override",$L74&lt;&gt;""),$L74,SUMIFS(Assumptions!$P$4:$P$103,Assumptions!$M$4:$M$103,$C74,Assumptions!$N$4:$N$103,$E74,Assumptions!$O$4:$O$103,"LVN"))</f>
        <v/>
      </c>
      <c r="N74" s="32" t="n"/>
      <c r="O74" s="34">
        <f>IF(AND(IF($I76&lt;&gt;"",$I76,$I74)="override",$N74&lt;&gt;""),$N74,SUMIFS(Assumptions!$P$4:$P$103,Assumptions!$M$4:$M$103,$C74,Assumptions!$N$4:$N$103,$E74,Assumptions!$O$4:$O$103,"HVN"))</f>
        <v/>
      </c>
      <c r="P74" s="34">
        <f>(M74+O74)*Assumptions!$S$11</f>
        <v/>
      </c>
      <c r="Q74" s="35">
        <f>$F74*$K74*$P74</f>
        <v/>
      </c>
    </row>
    <row r="75">
      <c r="A75" s="11" t="inlineStr">
        <is>
          <t>UNIT</t>
        </is>
      </c>
      <c r="B75" s="28" t="inlineStr">
        <is>
          <t>FLINT_ROSEMOUNT</t>
        </is>
      </c>
      <c r="C75" s="28" t="n">
        <v>2</v>
      </c>
      <c r="D75" s="28" t="inlineStr">
        <is>
          <t>NHT</t>
        </is>
      </c>
      <c r="E75" s="28" t="inlineStr">
        <is>
          <t>NHT</t>
        </is>
      </c>
      <c r="F75" s="29" t="n">
        <v>51.3</v>
      </c>
      <c r="G75" s="30">
        <f>IFERROR(IF(INDEX(Effective!$E$3:$R$125,MATCH($B75,Effective!$A$3:$A$125,0),MATCH($D75,Effective!$E$2:$R$2,0))=0,"",INDEX(Effective!$E$3:$R$125,MATCH($B75,Effective!$A$3:$A$125,0),MATCH($D75,Effective!$E$2:$R$2,0))),"")</f>
        <v/>
      </c>
      <c r="H75" s="31" t="n"/>
      <c r="I75" s="17" t="inlineStr">
        <is>
          <t>override</t>
        </is>
      </c>
      <c r="J75" s="32" t="n">
        <v>0.995</v>
      </c>
      <c r="K75" s="33">
        <f>IF(AND(IF($I76&lt;&gt;"",$I76,$I75)="override",$J75&lt;&gt;""),$J75,SUMIFS(Assumptions!$K$4:$K$8,Assumptions!$J$4:$J$8,$C75))*Assumptions!$S$10*(1-MIN(1,MAX(N($H75),N($H76))))</f>
        <v/>
      </c>
      <c r="L75" s="32" t="n"/>
      <c r="M75" s="34">
        <f>IF(AND(IF($I76&lt;&gt;"",$I76,$I75)="override",$L75&lt;&gt;""),$L75,SUMIFS(Assumptions!$P$4:$P$103,Assumptions!$M$4:$M$103,$C75,Assumptions!$N$4:$N$103,$E75,Assumptions!$O$4:$O$103,"LVN"))</f>
        <v/>
      </c>
      <c r="N75" s="32" t="n"/>
      <c r="O75" s="34">
        <f>IF(AND(IF($I76&lt;&gt;"",$I76,$I75)="override",$N75&lt;&gt;""),$N75,SUMIFS(Assumptions!$P$4:$P$103,Assumptions!$M$4:$M$103,$C75,Assumptions!$N$4:$N$103,$E75,Assumptions!$O$4:$O$103,"HVN"))</f>
        <v/>
      </c>
      <c r="P75" s="34">
        <f>(M75+O75)*Assumptions!$S$11</f>
        <v/>
      </c>
      <c r="Q75" s="35">
        <f>$F75*$K75*$P75</f>
        <v/>
      </c>
    </row>
    <row r="76">
      <c r="A76" s="24" t="inlineStr">
        <is>
          <t>TOTAL</t>
        </is>
      </c>
      <c r="B76" s="36" t="inlineStr">
        <is>
          <t>FLINT_ROSEMOUNT</t>
        </is>
      </c>
      <c r="C76" s="36" t="n">
        <v>2</v>
      </c>
      <c r="D76" s="36" t="inlineStr">
        <is>
          <t>NET NAPHTHA</t>
        </is>
      </c>
      <c r="H76" s="31" t="n"/>
      <c r="I76" s="17" t="n"/>
      <c r="Q76" s="37">
        <f>SUM(Q66:Q75)</f>
        <v/>
      </c>
    </row>
    <row r="78" ht="20" customHeight="1">
      <c r="A78" s="8">
        <f>"  Cenovus Wood River  [CENOVUS_WOOD_RIVER]   —   Cenovus (50%) / Phillips 66 Co. (50%)   —   PADD 2   —   crude "&amp;TEXT(SUMIFS(Data!$G$3:$G$125,Data!$A$3:$A$125,"CENOVUS_WOOD_RIVER"),"#,##0")&amp;" kbd"</f>
        <v/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</row>
    <row r="79">
      <c r="A79" s="11" t="inlineStr">
        <is>
          <t>UNIT</t>
        </is>
      </c>
      <c r="B79" s="28" t="inlineStr">
        <is>
          <t>CENOVUS_WOOD_RIVER</t>
        </is>
      </c>
      <c r="C79" s="28" t="n">
        <v>2</v>
      </c>
      <c r="D79" s="28" t="inlineStr">
        <is>
          <t>CDU</t>
        </is>
      </c>
      <c r="E79" s="28" t="inlineStr">
        <is>
          <t>CDU</t>
        </is>
      </c>
      <c r="F79" s="29" t="n">
        <v>367.5</v>
      </c>
      <c r="G79" s="30">
        <f>IFERROR(IF(INDEX(Effective!$E$3:$R$125,MATCH($B79,Effective!$A$3:$A$125,0),MATCH($D79,Effective!$E$2:$R$2,0))=0,"",INDEX(Effective!$E$3:$R$125,MATCH($B79,Effective!$A$3:$A$125,0),MATCH($D79,Effective!$E$2:$R$2,0))),"")</f>
        <v/>
      </c>
      <c r="H79" s="31" t="n"/>
      <c r="I79" s="17" t="inlineStr">
        <is>
          <t>override</t>
        </is>
      </c>
      <c r="J79" s="32" t="n">
        <v>1</v>
      </c>
      <c r="K79" s="33">
        <f>IF(AND(IF($I87&lt;&gt;"",$I87,$I79)="override",$J79&lt;&gt;""),$J79,SUMIFS(Assumptions!$K$4:$K$8,Assumptions!$J$4:$J$8,$C79))*Assumptions!$S$10*(1-MIN(1,MAX(N($H79),N($H87))))</f>
        <v/>
      </c>
      <c r="L79" s="32" t="n"/>
      <c r="M79" s="34">
        <f>IF(AND(IF($I87&lt;&gt;"",$I87,$I79)="override",$L79&lt;&gt;""),$L79,SUMIFS(Assumptions!$P$4:$P$103,Assumptions!$M$4:$M$103,$C79,Assumptions!$N$4:$N$103,$E79,Assumptions!$O$4:$O$103,"LVN"))</f>
        <v/>
      </c>
      <c r="N79" s="32" t="n"/>
      <c r="O79" s="34">
        <f>IF(AND(IF($I87&lt;&gt;"",$I87,$I79)="override",$N79&lt;&gt;""),$N79,SUMIFS(Assumptions!$P$4:$P$103,Assumptions!$M$4:$M$103,$C79,Assumptions!$N$4:$N$103,$E79,Assumptions!$O$4:$O$103,"HVN"))</f>
        <v/>
      </c>
      <c r="P79" s="34">
        <f>(M79+O79)*Assumptions!$S$11</f>
        <v/>
      </c>
      <c r="Q79" s="35">
        <f>$F79*$K79*$P79</f>
        <v/>
      </c>
    </row>
    <row r="80">
      <c r="A80" s="11" t="inlineStr">
        <is>
          <t>UNIT</t>
        </is>
      </c>
      <c r="B80" s="28" t="inlineStr">
        <is>
          <t>CENOVUS_WOOD_RIVER</t>
        </is>
      </c>
      <c r="C80" s="28" t="n">
        <v>2</v>
      </c>
      <c r="D80" s="28" t="inlineStr">
        <is>
          <t>VDU</t>
        </is>
      </c>
      <c r="E80" s="28" t="inlineStr">
        <is>
          <t>VDU</t>
        </is>
      </c>
      <c r="F80" s="29" t="n">
        <v>196.5</v>
      </c>
      <c r="G80" s="30">
        <f>IFERROR(IF(INDEX(Effective!$E$3:$R$125,MATCH($B80,Effective!$A$3:$A$125,0),MATCH($D80,Effective!$E$2:$R$2,0))=0,"",INDEX(Effective!$E$3:$R$125,MATCH($B80,Effective!$A$3:$A$125,0),MATCH($D80,Effective!$E$2:$R$2,0))),"")</f>
        <v/>
      </c>
      <c r="H80" s="31" t="n"/>
      <c r="I80" s="17" t="inlineStr">
        <is>
          <t>override</t>
        </is>
      </c>
      <c r="J80" s="32" t="n">
        <v>0.806</v>
      </c>
      <c r="K80" s="33">
        <f>IF(AND(IF($I87&lt;&gt;"",$I87,$I80)="override",$J80&lt;&gt;""),$J80,SUMIFS(Assumptions!$K$4:$K$8,Assumptions!$J$4:$J$8,$C80))*Assumptions!$S$10*(1-MIN(1,MAX(N($H80),N($H87))))</f>
        <v/>
      </c>
      <c r="L80" s="32" t="n"/>
      <c r="M80" s="34">
        <f>IF(AND(IF($I87&lt;&gt;"",$I87,$I80)="override",$L80&lt;&gt;""),$L80,SUMIFS(Assumptions!$P$4:$P$103,Assumptions!$M$4:$M$103,$C80,Assumptions!$N$4:$N$103,$E80,Assumptions!$O$4:$O$103,"LVN"))</f>
        <v/>
      </c>
      <c r="N80" s="32" t="n"/>
      <c r="O80" s="34">
        <f>IF(AND(IF($I87&lt;&gt;"",$I87,$I80)="override",$N80&lt;&gt;""),$N80,SUMIFS(Assumptions!$P$4:$P$103,Assumptions!$M$4:$M$103,$C80,Assumptions!$N$4:$N$103,$E80,Assumptions!$O$4:$O$103,"HVN"))</f>
        <v/>
      </c>
      <c r="P80" s="34">
        <f>(M80+O80)*Assumptions!$S$11</f>
        <v/>
      </c>
      <c r="Q80" s="35">
        <f>$F80*$K80*$P80</f>
        <v/>
      </c>
    </row>
    <row r="81">
      <c r="A81" s="11" t="inlineStr">
        <is>
          <t>UNIT</t>
        </is>
      </c>
      <c r="B81" s="28" t="inlineStr">
        <is>
          <t>CENOVUS_WOOD_RIVER</t>
        </is>
      </c>
      <c r="C81" s="28" t="n">
        <v>2</v>
      </c>
      <c r="D81" s="28" t="inlineStr">
        <is>
          <t>FCC</t>
        </is>
      </c>
      <c r="E81" s="28" t="inlineStr">
        <is>
          <t>FCC</t>
        </is>
      </c>
      <c r="F81" s="29" t="n">
        <v>101</v>
      </c>
      <c r="G81" s="30">
        <f>IFERROR(IF(INDEX(Effective!$E$3:$R$125,MATCH($B81,Effective!$A$3:$A$125,0),MATCH($D81,Effective!$E$2:$R$2,0))=0,"",INDEX(Effective!$E$3:$R$125,MATCH($B81,Effective!$A$3:$A$125,0),MATCH($D81,Effective!$E$2:$R$2,0))),"")</f>
        <v/>
      </c>
      <c r="H81" s="31" t="n"/>
      <c r="I81" s="17" t="inlineStr">
        <is>
          <t>override</t>
        </is>
      </c>
      <c r="J81" s="32" t="n">
        <v>0.88</v>
      </c>
      <c r="K81" s="33">
        <f>IF(AND(IF($I87&lt;&gt;"",$I87,$I81)="override",$J81&lt;&gt;""),$J81,SUMIFS(Assumptions!$K$4:$K$8,Assumptions!$J$4:$J$8,$C81))*Assumptions!$S$10*(1-MIN(1,MAX(N($H81),N($H87))))</f>
        <v/>
      </c>
      <c r="L81" s="32" t="n"/>
      <c r="M81" s="34">
        <f>IF(AND(IF($I87&lt;&gt;"",$I87,$I81)="override",$L81&lt;&gt;""),$L81,SUMIFS(Assumptions!$P$4:$P$103,Assumptions!$M$4:$M$103,$C81,Assumptions!$N$4:$N$103,$E81,Assumptions!$O$4:$O$103,"LVN"))</f>
        <v/>
      </c>
      <c r="N81" s="32" t="n"/>
      <c r="O81" s="34">
        <f>IF(AND(IF($I87&lt;&gt;"",$I87,$I81)="override",$N81&lt;&gt;""),$N81,SUMIFS(Assumptions!$P$4:$P$103,Assumptions!$M$4:$M$103,$C81,Assumptions!$N$4:$N$103,$E81,Assumptions!$O$4:$O$103,"HVN"))</f>
        <v/>
      </c>
      <c r="P81" s="34">
        <f>(M81+O81)*Assumptions!$S$11</f>
        <v/>
      </c>
      <c r="Q81" s="35">
        <f>$F81*$K81*$P81</f>
        <v/>
      </c>
    </row>
    <row r="82">
      <c r="A82" s="11" t="inlineStr">
        <is>
          <t>UNIT</t>
        </is>
      </c>
      <c r="B82" s="28" t="inlineStr">
        <is>
          <t>CENOVUS_WOOD_RIVER</t>
        </is>
      </c>
      <c r="C82" s="28" t="n">
        <v>2</v>
      </c>
      <c r="D82" s="28" t="inlineStr">
        <is>
          <t>DHCU</t>
        </is>
      </c>
      <c r="E82" s="28" t="inlineStr">
        <is>
          <t>HYDROCRACKER</t>
        </is>
      </c>
      <c r="F82" s="29" t="n">
        <v>57.2</v>
      </c>
      <c r="G82" s="30">
        <f>IFERROR(IF(INDEX(Effective!$E$3:$R$125,MATCH($B82,Effective!$A$3:$A$125,0),MATCH($D82,Effective!$E$2:$R$2,0))=0,"",INDEX(Effective!$E$3:$R$125,MATCH($B82,Effective!$A$3:$A$125,0),MATCH($D82,Effective!$E$2:$R$2,0))),"")</f>
        <v/>
      </c>
      <c r="H82" s="31" t="n"/>
      <c r="I82" s="17" t="inlineStr">
        <is>
          <t>override</t>
        </is>
      </c>
      <c r="J82" s="32" t="n">
        <v>0.98</v>
      </c>
      <c r="K82" s="33">
        <f>IF(AND(IF($I87&lt;&gt;"",$I87,$I82)="override",$J82&lt;&gt;""),$J82,SUMIFS(Assumptions!$K$4:$K$8,Assumptions!$J$4:$J$8,$C82))*Assumptions!$S$10*(1-MIN(1,MAX(N($H82),N($H87))))</f>
        <v/>
      </c>
      <c r="L82" s="32" t="n"/>
      <c r="M82" s="34">
        <f>IF(AND(IF($I87&lt;&gt;"",$I87,$I82)="override",$L82&lt;&gt;""),$L82,SUMIFS(Assumptions!$P$4:$P$103,Assumptions!$M$4:$M$103,$C82,Assumptions!$N$4:$N$103,$E82,Assumptions!$O$4:$O$103,"LVN"))</f>
        <v/>
      </c>
      <c r="N82" s="32" t="n"/>
      <c r="O82" s="34">
        <f>IF(AND(IF($I87&lt;&gt;"",$I87,$I82)="override",$N82&lt;&gt;""),$N82,SUMIFS(Assumptions!$P$4:$P$103,Assumptions!$M$4:$M$103,$C82,Assumptions!$N$4:$N$103,$E82,Assumptions!$O$4:$O$103,"HVN"))</f>
        <v/>
      </c>
      <c r="P82" s="34">
        <f>(M82+O82)*Assumptions!$S$11</f>
        <v/>
      </c>
      <c r="Q82" s="35">
        <f>$F82*$K82*$P82</f>
        <v/>
      </c>
    </row>
    <row r="83">
      <c r="A83" s="11" t="inlineStr">
        <is>
          <t>UNIT</t>
        </is>
      </c>
      <c r="B83" s="28" t="inlineStr">
        <is>
          <t>CENOVUS_WOOD_RIVER</t>
        </is>
      </c>
      <c r="C83" s="28" t="n">
        <v>2</v>
      </c>
      <c r="D83" s="28" t="inlineStr">
        <is>
          <t>COKER</t>
        </is>
      </c>
      <c r="E83" s="28" t="inlineStr">
        <is>
          <t>COKER</t>
        </is>
      </c>
      <c r="F83" s="29" t="n">
        <v>83.7</v>
      </c>
      <c r="G83" s="30">
        <f>IFERROR(IF(INDEX(Effective!$E$3:$R$125,MATCH($B83,Effective!$A$3:$A$125,0),MATCH($D83,Effective!$E$2:$R$2,0))=0,"",INDEX(Effective!$E$3:$R$125,MATCH($B83,Effective!$A$3:$A$125,0),MATCH($D83,Effective!$E$2:$R$2,0))),"")</f>
        <v/>
      </c>
      <c r="H83" s="31" t="n"/>
      <c r="I83" s="17" t="inlineStr">
        <is>
          <t>override</t>
        </is>
      </c>
      <c r="J83" s="32" t="n">
        <v>0.665</v>
      </c>
      <c r="K83" s="33">
        <f>IF(AND(IF($I87&lt;&gt;"",$I87,$I83)="override",$J83&lt;&gt;""),$J83,SUMIFS(Assumptions!$K$4:$K$8,Assumptions!$J$4:$J$8,$C83))*Assumptions!$S$10*(1-MIN(1,MAX(N($H83),N($H87))))</f>
        <v/>
      </c>
      <c r="L83" s="32" t="n"/>
      <c r="M83" s="34">
        <f>IF(AND(IF($I87&lt;&gt;"",$I87,$I83)="override",$L83&lt;&gt;""),$L83,SUMIFS(Assumptions!$P$4:$P$103,Assumptions!$M$4:$M$103,$C83,Assumptions!$N$4:$N$103,$E83,Assumptions!$O$4:$O$103,"LVN"))</f>
        <v/>
      </c>
      <c r="N83" s="32" t="n"/>
      <c r="O83" s="34">
        <f>IF(AND(IF($I87&lt;&gt;"",$I87,$I83)="override",$N83&lt;&gt;""),$N83,SUMIFS(Assumptions!$P$4:$P$103,Assumptions!$M$4:$M$103,$C83,Assumptions!$N$4:$N$103,$E83,Assumptions!$O$4:$O$103,"HVN"))</f>
        <v/>
      </c>
      <c r="P83" s="34">
        <f>(M83+O83)*Assumptions!$S$11</f>
        <v/>
      </c>
      <c r="Q83" s="35">
        <f>$F83*$K83*$P83</f>
        <v/>
      </c>
    </row>
    <row r="84">
      <c r="A84" s="11" t="inlineStr">
        <is>
          <t>UNIT</t>
        </is>
      </c>
      <c r="B84" s="28" t="inlineStr">
        <is>
          <t>CENOVUS_WOOD_RIVER</t>
        </is>
      </c>
      <c r="C84" s="28" t="n">
        <v>2</v>
      </c>
      <c r="D84" s="28" t="inlineStr">
        <is>
          <t>CCR</t>
        </is>
      </c>
      <c r="E84" s="28" t="inlineStr">
        <is>
          <t>REFORMER</t>
        </is>
      </c>
      <c r="F84" s="29" t="n">
        <v>79.7</v>
      </c>
      <c r="G84" s="30">
        <f>IFERROR(IF(INDEX(Effective!$E$3:$R$125,MATCH($B84,Effective!$A$3:$A$125,0),MATCH($D84,Effective!$E$2:$R$2,0))=0,"",INDEX(Effective!$E$3:$R$125,MATCH($B84,Effective!$A$3:$A$125,0),MATCH($D84,Effective!$E$2:$R$2,0))),"")</f>
        <v/>
      </c>
      <c r="H84" s="31" t="n"/>
      <c r="I84" s="17" t="inlineStr">
        <is>
          <t>override</t>
        </is>
      </c>
      <c r="J84" s="32" t="n">
        <v>0.6870000000000001</v>
      </c>
      <c r="K84" s="33">
        <f>IF(AND(IF($I87&lt;&gt;"",$I87,$I84)="override",$J84&lt;&gt;""),$J84,SUMIFS(Assumptions!$K$4:$K$8,Assumptions!$J$4:$J$8,$C84))*Assumptions!$S$10*(1-MIN(1,MAX(N($H84),N($H87))))</f>
        <v/>
      </c>
      <c r="L84" s="32" t="n"/>
      <c r="M84" s="34">
        <f>IF(AND(IF($I87&lt;&gt;"",$I87,$I84)="override",$L84&lt;&gt;""),$L84,SUMIFS(Assumptions!$P$4:$P$103,Assumptions!$M$4:$M$103,$C84,Assumptions!$N$4:$N$103,$E84,Assumptions!$O$4:$O$103,"LVN"))</f>
        <v/>
      </c>
      <c r="N84" s="32" t="n"/>
      <c r="O84" s="34">
        <f>IF(AND(IF($I87&lt;&gt;"",$I87,$I84)="override",$N84&lt;&gt;""),$N84,SUMIFS(Assumptions!$P$4:$P$103,Assumptions!$M$4:$M$103,$C84,Assumptions!$N$4:$N$103,$E84,Assumptions!$O$4:$O$103,"HVN"))</f>
        <v/>
      </c>
      <c r="P84" s="34">
        <f>(M84+O84)*Assumptions!$S$11</f>
        <v/>
      </c>
      <c r="Q84" s="35">
        <f>$F84*$K84*$P84</f>
        <v/>
      </c>
    </row>
    <row r="85">
      <c r="A85" s="11" t="inlineStr">
        <is>
          <t>UNIT</t>
        </is>
      </c>
      <c r="B85" s="28" t="inlineStr">
        <is>
          <t>CENOVUS_WOOD_RIVER</t>
        </is>
      </c>
      <c r="C85" s="28" t="n">
        <v>2</v>
      </c>
      <c r="D85" s="28" t="inlineStr">
        <is>
          <t>ALKY</t>
        </is>
      </c>
      <c r="E85" s="28" t="inlineStr">
        <is>
          <t>ALKY</t>
        </is>
      </c>
      <c r="F85" s="29" t="n">
        <v>21.8</v>
      </c>
      <c r="G85" s="30">
        <f>IFERROR(IF(INDEX(Effective!$E$3:$R$125,MATCH($B85,Effective!$A$3:$A$125,0),MATCH($D85,Effective!$E$2:$R$2,0))=0,"",INDEX(Effective!$E$3:$R$125,MATCH($B85,Effective!$A$3:$A$125,0),MATCH($D85,Effective!$E$2:$R$2,0))),"")</f>
        <v/>
      </c>
      <c r="H85" s="31" t="n"/>
      <c r="I85" s="17" t="inlineStr">
        <is>
          <t>override</t>
        </is>
      </c>
      <c r="J85" s="32" t="n">
        <v>0.961</v>
      </c>
      <c r="K85" s="33">
        <f>IF(AND(IF($I87&lt;&gt;"",$I87,$I85)="override",$J85&lt;&gt;""),$J85,SUMIFS(Assumptions!$K$4:$K$8,Assumptions!$J$4:$J$8,$C85))*Assumptions!$S$10*(1-MIN(1,MAX(N($H85),N($H87))))</f>
        <v/>
      </c>
      <c r="L85" s="32" t="n"/>
      <c r="M85" s="34">
        <f>IF(AND(IF($I87&lt;&gt;"",$I87,$I85)="override",$L85&lt;&gt;""),$L85,SUMIFS(Assumptions!$P$4:$P$103,Assumptions!$M$4:$M$103,$C85,Assumptions!$N$4:$N$103,$E85,Assumptions!$O$4:$O$103,"LVN"))</f>
        <v/>
      </c>
      <c r="N85" s="32" t="n"/>
      <c r="O85" s="34">
        <f>IF(AND(IF($I87&lt;&gt;"",$I87,$I85)="override",$N85&lt;&gt;""),$N85,SUMIFS(Assumptions!$P$4:$P$103,Assumptions!$M$4:$M$103,$C85,Assumptions!$N$4:$N$103,$E85,Assumptions!$O$4:$O$103,"HVN"))</f>
        <v/>
      </c>
      <c r="P85" s="34">
        <f>(M85+O85)*Assumptions!$S$11</f>
        <v/>
      </c>
      <c r="Q85" s="35">
        <f>$F85*$K85*$P85</f>
        <v/>
      </c>
    </row>
    <row r="86">
      <c r="A86" s="11" t="inlineStr">
        <is>
          <t>UNIT</t>
        </is>
      </c>
      <c r="B86" s="28" t="inlineStr">
        <is>
          <t>CENOVUS_WOOD_RIVER</t>
        </is>
      </c>
      <c r="C86" s="28" t="n">
        <v>2</v>
      </c>
      <c r="D86" s="28" t="inlineStr">
        <is>
          <t>NHT</t>
        </is>
      </c>
      <c r="E86" s="28" t="inlineStr">
        <is>
          <t>NHT</t>
        </is>
      </c>
      <c r="F86" s="29" t="n">
        <v>84.3</v>
      </c>
      <c r="G86" s="30">
        <f>IFERROR(IF(INDEX(Effective!$E$3:$R$125,MATCH($B86,Effective!$A$3:$A$125,0),MATCH($D86,Effective!$E$2:$R$2,0))=0,"",INDEX(Effective!$E$3:$R$125,MATCH($B86,Effective!$A$3:$A$125,0),MATCH($D86,Effective!$E$2:$R$2,0))),"")</f>
        <v/>
      </c>
      <c r="H86" s="31" t="n"/>
      <c r="I86" s="17" t="inlineStr">
        <is>
          <t>override</t>
        </is>
      </c>
      <c r="J86" s="32" t="n">
        <v>0.949</v>
      </c>
      <c r="K86" s="33">
        <f>IF(AND(IF($I87&lt;&gt;"",$I87,$I86)="override",$J86&lt;&gt;""),$J86,SUMIFS(Assumptions!$K$4:$K$8,Assumptions!$J$4:$J$8,$C86))*Assumptions!$S$10*(1-MIN(1,MAX(N($H86),N($H87))))</f>
        <v/>
      </c>
      <c r="L86" s="32" t="n"/>
      <c r="M86" s="34">
        <f>IF(AND(IF($I87&lt;&gt;"",$I87,$I86)="override",$L86&lt;&gt;""),$L86,SUMIFS(Assumptions!$P$4:$P$103,Assumptions!$M$4:$M$103,$C86,Assumptions!$N$4:$N$103,$E86,Assumptions!$O$4:$O$103,"LVN"))</f>
        <v/>
      </c>
      <c r="N86" s="32" t="n"/>
      <c r="O86" s="34">
        <f>IF(AND(IF($I87&lt;&gt;"",$I87,$I86)="override",$N86&lt;&gt;""),$N86,SUMIFS(Assumptions!$P$4:$P$103,Assumptions!$M$4:$M$103,$C86,Assumptions!$N$4:$N$103,$E86,Assumptions!$O$4:$O$103,"HVN"))</f>
        <v/>
      </c>
      <c r="P86" s="34">
        <f>(M86+O86)*Assumptions!$S$11</f>
        <v/>
      </c>
      <c r="Q86" s="35">
        <f>$F86*$K86*$P86</f>
        <v/>
      </c>
    </row>
    <row r="87">
      <c r="A87" s="24" t="inlineStr">
        <is>
          <t>TOTAL</t>
        </is>
      </c>
      <c r="B87" s="36" t="inlineStr">
        <is>
          <t>CENOVUS_WOOD_RIVER</t>
        </is>
      </c>
      <c r="C87" s="36" t="n">
        <v>2</v>
      </c>
      <c r="D87" s="36" t="inlineStr">
        <is>
          <t>NET NAPHTHA</t>
        </is>
      </c>
      <c r="H87" s="31" t="n"/>
      <c r="I87" s="17" t="n"/>
      <c r="Q87" s="37">
        <f>SUM(Q79:Q86)</f>
        <v/>
      </c>
    </row>
    <row r="89" ht="20" customHeight="1">
      <c r="A89" s="8">
        <f>"  Marathon Petroleum Catlettsburg  [MARATHON_CATLETTSBURG]   —   Marathon Petroleum   —   PADD 2   —   crude "&amp;TEXT(SUMIFS(Data!$G$3:$G$125,Data!$A$3:$A$125,"MARATHON_CATLETTSBURG"),"#,##0")&amp;" kbd"</f>
        <v/>
      </c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</row>
    <row r="90">
      <c r="A90" s="11" t="inlineStr">
        <is>
          <t>UNIT</t>
        </is>
      </c>
      <c r="B90" s="28" t="inlineStr">
        <is>
          <t>MARATHON_CATLETTSBURG</t>
        </is>
      </c>
      <c r="C90" s="28" t="n">
        <v>2</v>
      </c>
      <c r="D90" s="28" t="inlineStr">
        <is>
          <t>CDU</t>
        </is>
      </c>
      <c r="E90" s="28" t="inlineStr">
        <is>
          <t>CDU</t>
        </is>
      </c>
      <c r="F90" s="29" t="n">
        <v>306</v>
      </c>
      <c r="G90" s="30">
        <f>IFERROR(IF(INDEX(Effective!$E$3:$R$125,MATCH($B90,Effective!$A$3:$A$125,0),MATCH($D90,Effective!$E$2:$R$2,0))=0,"",INDEX(Effective!$E$3:$R$125,MATCH($B90,Effective!$A$3:$A$125,0),MATCH($D90,Effective!$E$2:$R$2,0))),"")</f>
        <v/>
      </c>
      <c r="H90" s="31" t="n"/>
      <c r="I90" s="17" t="inlineStr">
        <is>
          <t>override</t>
        </is>
      </c>
      <c r="J90" s="32" t="n">
        <v>0.97</v>
      </c>
      <c r="K90" s="33">
        <f>IF(AND(IF($I98&lt;&gt;"",$I98,$I90)="override",$J90&lt;&gt;""),$J90,SUMIFS(Assumptions!$K$4:$K$8,Assumptions!$J$4:$J$8,$C90))*Assumptions!$S$10*(1-MIN(1,MAX(N($H90),N($H98))))</f>
        <v/>
      </c>
      <c r="L90" s="32" t="n"/>
      <c r="M90" s="34">
        <f>IF(AND(IF($I98&lt;&gt;"",$I98,$I90)="override",$L90&lt;&gt;""),$L90,SUMIFS(Assumptions!$P$4:$P$103,Assumptions!$M$4:$M$103,$C90,Assumptions!$N$4:$N$103,$E90,Assumptions!$O$4:$O$103,"LVN"))</f>
        <v/>
      </c>
      <c r="N90" s="32" t="n"/>
      <c r="O90" s="34">
        <f>IF(AND(IF($I98&lt;&gt;"",$I98,$I90)="override",$N90&lt;&gt;""),$N90,SUMIFS(Assumptions!$P$4:$P$103,Assumptions!$M$4:$M$103,$C90,Assumptions!$N$4:$N$103,$E90,Assumptions!$O$4:$O$103,"HVN"))</f>
        <v/>
      </c>
      <c r="P90" s="34">
        <f>(M90+O90)*Assumptions!$S$11</f>
        <v/>
      </c>
      <c r="Q90" s="35">
        <f>$F90*$K90*$P90</f>
        <v/>
      </c>
    </row>
    <row r="91">
      <c r="A91" s="11" t="inlineStr">
        <is>
          <t>UNIT</t>
        </is>
      </c>
      <c r="B91" s="28" t="inlineStr">
        <is>
          <t>MARATHON_CATLETTSBURG</t>
        </is>
      </c>
      <c r="C91" s="28" t="n">
        <v>2</v>
      </c>
      <c r="D91" s="28" t="inlineStr">
        <is>
          <t>VDU</t>
        </is>
      </c>
      <c r="E91" s="28" t="inlineStr">
        <is>
          <t>VDU</t>
        </is>
      </c>
      <c r="F91" s="29" t="n">
        <v>134</v>
      </c>
      <c r="G91" s="30">
        <f>IFERROR(IF(INDEX(Effective!$E$3:$R$125,MATCH($B91,Effective!$A$3:$A$125,0),MATCH($D91,Effective!$E$2:$R$2,0))=0,"",INDEX(Effective!$E$3:$R$125,MATCH($B91,Effective!$A$3:$A$125,0),MATCH($D91,Effective!$E$2:$R$2,0))),"")</f>
        <v/>
      </c>
      <c r="H91" s="31" t="n"/>
      <c r="I91" s="17" t="inlineStr">
        <is>
          <t>override</t>
        </is>
      </c>
      <c r="J91" s="32" t="n">
        <v>0.694</v>
      </c>
      <c r="K91" s="33">
        <f>IF(AND(IF($I98&lt;&gt;"",$I98,$I91)="override",$J91&lt;&gt;""),$J91,SUMIFS(Assumptions!$K$4:$K$8,Assumptions!$J$4:$J$8,$C91))*Assumptions!$S$10*(1-MIN(1,MAX(N($H91),N($H98))))</f>
        <v/>
      </c>
      <c r="L91" s="32" t="n"/>
      <c r="M91" s="34">
        <f>IF(AND(IF($I98&lt;&gt;"",$I98,$I91)="override",$L91&lt;&gt;""),$L91,SUMIFS(Assumptions!$P$4:$P$103,Assumptions!$M$4:$M$103,$C91,Assumptions!$N$4:$N$103,$E91,Assumptions!$O$4:$O$103,"LVN"))</f>
        <v/>
      </c>
      <c r="N91" s="32" t="n"/>
      <c r="O91" s="34">
        <f>IF(AND(IF($I98&lt;&gt;"",$I98,$I91)="override",$N91&lt;&gt;""),$N91,SUMIFS(Assumptions!$P$4:$P$103,Assumptions!$M$4:$M$103,$C91,Assumptions!$N$4:$N$103,$E91,Assumptions!$O$4:$O$103,"HVN"))</f>
        <v/>
      </c>
      <c r="P91" s="34">
        <f>(M91+O91)*Assumptions!$S$11</f>
        <v/>
      </c>
      <c r="Q91" s="35">
        <f>$F91*$K91*$P91</f>
        <v/>
      </c>
    </row>
    <row r="92">
      <c r="A92" s="11" t="inlineStr">
        <is>
          <t>UNIT</t>
        </is>
      </c>
      <c r="B92" s="28" t="inlineStr">
        <is>
          <t>MARATHON_CATLETTSBURG</t>
        </is>
      </c>
      <c r="C92" s="28" t="n">
        <v>2</v>
      </c>
      <c r="D92" s="28" t="inlineStr">
        <is>
          <t>FCC</t>
        </is>
      </c>
      <c r="E92" s="28" t="inlineStr">
        <is>
          <t>FCC</t>
        </is>
      </c>
      <c r="F92" s="29" t="n">
        <v>104</v>
      </c>
      <c r="G92" s="30">
        <f>IFERROR(IF(INDEX(Effective!$E$3:$R$125,MATCH($B92,Effective!$A$3:$A$125,0),MATCH($D92,Effective!$E$2:$R$2,0))=0,"",INDEX(Effective!$E$3:$R$125,MATCH($B92,Effective!$A$3:$A$125,0),MATCH($D92,Effective!$E$2:$R$2,0))),"")</f>
        <v/>
      </c>
      <c r="H92" s="31" t="n"/>
      <c r="I92" s="17" t="inlineStr">
        <is>
          <t>override</t>
        </is>
      </c>
      <c r="J92" s="32" t="n">
        <v>0.796</v>
      </c>
      <c r="K92" s="33">
        <f>IF(AND(IF($I98&lt;&gt;"",$I98,$I92)="override",$J92&lt;&gt;""),$J92,SUMIFS(Assumptions!$K$4:$K$8,Assumptions!$J$4:$J$8,$C92))*Assumptions!$S$10*(1-MIN(1,MAX(N($H92),N($H98))))</f>
        <v/>
      </c>
      <c r="L92" s="32" t="n"/>
      <c r="M92" s="34">
        <f>IF(AND(IF($I98&lt;&gt;"",$I98,$I92)="override",$L92&lt;&gt;""),$L92,SUMIFS(Assumptions!$P$4:$P$103,Assumptions!$M$4:$M$103,$C92,Assumptions!$N$4:$N$103,$E92,Assumptions!$O$4:$O$103,"LVN"))</f>
        <v/>
      </c>
      <c r="N92" s="32" t="n"/>
      <c r="O92" s="34">
        <f>IF(AND(IF($I98&lt;&gt;"",$I98,$I92)="override",$N92&lt;&gt;""),$N92,SUMIFS(Assumptions!$P$4:$P$103,Assumptions!$M$4:$M$103,$C92,Assumptions!$N$4:$N$103,$E92,Assumptions!$O$4:$O$103,"HVN"))</f>
        <v/>
      </c>
      <c r="P92" s="34">
        <f>(M92+O92)*Assumptions!$S$11</f>
        <v/>
      </c>
      <c r="Q92" s="35">
        <f>$F92*$K92*$P92</f>
        <v/>
      </c>
    </row>
    <row r="93">
      <c r="A93" s="11" t="inlineStr">
        <is>
          <t>UNIT</t>
        </is>
      </c>
      <c r="B93" s="28" t="inlineStr">
        <is>
          <t>MARATHON_CATLETTSBURG</t>
        </is>
      </c>
      <c r="C93" s="28" t="n">
        <v>2</v>
      </c>
      <c r="D93" s="28" t="inlineStr">
        <is>
          <t>CCR</t>
        </is>
      </c>
      <c r="E93" s="28" t="inlineStr">
        <is>
          <t>REFORMER</t>
        </is>
      </c>
      <c r="F93" s="29" t="n">
        <v>24.5</v>
      </c>
      <c r="G93" s="30">
        <f>IFERROR(IF(INDEX(Effective!$E$3:$R$125,MATCH($B93,Effective!$A$3:$A$125,0),MATCH($D93,Effective!$E$2:$R$2,0))=0,"",INDEX(Effective!$E$3:$R$125,MATCH($B93,Effective!$A$3:$A$125,0),MATCH($D93,Effective!$E$2:$R$2,0))),"")</f>
        <v/>
      </c>
      <c r="H93" s="31" t="n"/>
      <c r="I93" s="17" t="inlineStr">
        <is>
          <t>override</t>
        </is>
      </c>
      <c r="J93" s="32" t="n">
        <v>1</v>
      </c>
      <c r="K93" s="33">
        <f>IF(AND(IF($I98&lt;&gt;"",$I98,$I93)="override",$J93&lt;&gt;""),$J93,SUMIFS(Assumptions!$K$4:$K$8,Assumptions!$J$4:$J$8,$C93))*Assumptions!$S$10*(1-MIN(1,MAX(N($H93),N($H98))))</f>
        <v/>
      </c>
      <c r="L93" s="32" t="n"/>
      <c r="M93" s="34">
        <f>IF(AND(IF($I98&lt;&gt;"",$I98,$I93)="override",$L93&lt;&gt;""),$L93,SUMIFS(Assumptions!$P$4:$P$103,Assumptions!$M$4:$M$103,$C93,Assumptions!$N$4:$N$103,$E93,Assumptions!$O$4:$O$103,"LVN"))</f>
        <v/>
      </c>
      <c r="N93" s="32" t="n"/>
      <c r="O93" s="34">
        <f>IF(AND(IF($I98&lt;&gt;"",$I98,$I93)="override",$N93&lt;&gt;""),$N93,SUMIFS(Assumptions!$P$4:$P$103,Assumptions!$M$4:$M$103,$C93,Assumptions!$N$4:$N$103,$E93,Assumptions!$O$4:$O$103,"HVN"))</f>
        <v/>
      </c>
      <c r="P93" s="34">
        <f>(M93+O93)*Assumptions!$S$11</f>
        <v/>
      </c>
      <c r="Q93" s="35">
        <f>$F93*$K93*$P93</f>
        <v/>
      </c>
    </row>
    <row r="94">
      <c r="A94" s="11" t="inlineStr">
        <is>
          <t>UNIT</t>
        </is>
      </c>
      <c r="B94" s="28" t="inlineStr">
        <is>
          <t>MARATHON_CATLETTSBURG</t>
        </is>
      </c>
      <c r="C94" s="28" t="n">
        <v>2</v>
      </c>
      <c r="D94" s="28" t="inlineStr">
        <is>
          <t>REF</t>
        </is>
      </c>
      <c r="E94" s="28" t="inlineStr">
        <is>
          <t>REFORMER</t>
        </is>
      </c>
      <c r="F94" s="29" t="n">
        <v>33.5</v>
      </c>
      <c r="G94" s="30">
        <f>IFERROR(IF(INDEX(Effective!$E$3:$R$125,MATCH($B94,Effective!$A$3:$A$125,0),MATCH($D94,Effective!$E$2:$R$2,0))=0,"",INDEX(Effective!$E$3:$R$125,MATCH($B94,Effective!$A$3:$A$125,0),MATCH($D94,Effective!$E$2:$R$2,0))),"")</f>
        <v/>
      </c>
      <c r="H94" s="31" t="n"/>
      <c r="I94" s="17" t="inlineStr">
        <is>
          <t>override</t>
        </is>
      </c>
      <c r="J94" s="32" t="n">
        <v>1.1</v>
      </c>
      <c r="K94" s="33">
        <f>IF(AND(IF($I98&lt;&gt;"",$I98,$I94)="override",$J94&lt;&gt;""),$J94,SUMIFS(Assumptions!$K$4:$K$8,Assumptions!$J$4:$J$8,$C94))*Assumptions!$S$10*(1-MIN(1,MAX(N($H94),N($H98))))</f>
        <v/>
      </c>
      <c r="L94" s="32" t="n"/>
      <c r="M94" s="34">
        <f>IF(AND(IF($I98&lt;&gt;"",$I98,$I94)="override",$L94&lt;&gt;""),$L94,SUMIFS(Assumptions!$P$4:$P$103,Assumptions!$M$4:$M$103,$C94,Assumptions!$N$4:$N$103,$E94,Assumptions!$O$4:$O$103,"LVN"))</f>
        <v/>
      </c>
      <c r="N94" s="32" t="n"/>
      <c r="O94" s="34">
        <f>IF(AND(IF($I98&lt;&gt;"",$I98,$I94)="override",$N94&lt;&gt;""),$N94,SUMIFS(Assumptions!$P$4:$P$103,Assumptions!$M$4:$M$103,$C94,Assumptions!$N$4:$N$103,$E94,Assumptions!$O$4:$O$103,"HVN"))</f>
        <v/>
      </c>
      <c r="P94" s="34">
        <f>(M94+O94)*Assumptions!$S$11</f>
        <v/>
      </c>
      <c r="Q94" s="35">
        <f>$F94*$K94*$P94</f>
        <v/>
      </c>
    </row>
    <row r="95">
      <c r="A95" s="11" t="inlineStr">
        <is>
          <t>UNIT</t>
        </is>
      </c>
      <c r="B95" s="28" t="inlineStr">
        <is>
          <t>MARATHON_CATLETTSBURG</t>
        </is>
      </c>
      <c r="C95" s="28" t="n">
        <v>2</v>
      </c>
      <c r="D95" s="28" t="inlineStr">
        <is>
          <t>ISOM</t>
        </is>
      </c>
      <c r="E95" s="28" t="inlineStr">
        <is>
          <t>ISOM</t>
        </is>
      </c>
      <c r="F95" s="29" t="n">
        <v>17</v>
      </c>
      <c r="G95" s="30">
        <f>IFERROR(IF(INDEX(Effective!$E$3:$R$125,MATCH($B95,Effective!$A$3:$A$125,0),MATCH($D95,Effective!$E$2:$R$2,0))=0,"",INDEX(Effective!$E$3:$R$125,MATCH($B95,Effective!$A$3:$A$125,0),MATCH($D95,Effective!$E$2:$R$2,0))),"")</f>
        <v/>
      </c>
      <c r="H95" s="31" t="n"/>
      <c r="I95" s="17" t="inlineStr">
        <is>
          <t>override</t>
        </is>
      </c>
      <c r="J95" s="32" t="n">
        <v>0.833</v>
      </c>
      <c r="K95" s="33">
        <f>IF(AND(IF($I98&lt;&gt;"",$I98,$I95)="override",$J95&lt;&gt;""),$J95,SUMIFS(Assumptions!$K$4:$K$8,Assumptions!$J$4:$J$8,$C95))*Assumptions!$S$10*(1-MIN(1,MAX(N($H95),N($H98))))</f>
        <v/>
      </c>
      <c r="L95" s="32" t="n"/>
      <c r="M95" s="34">
        <f>IF(AND(IF($I98&lt;&gt;"",$I98,$I95)="override",$L95&lt;&gt;""),$L95,SUMIFS(Assumptions!$P$4:$P$103,Assumptions!$M$4:$M$103,$C95,Assumptions!$N$4:$N$103,$E95,Assumptions!$O$4:$O$103,"LVN"))</f>
        <v/>
      </c>
      <c r="N95" s="32" t="n"/>
      <c r="O95" s="34">
        <f>IF(AND(IF($I98&lt;&gt;"",$I98,$I95)="override",$N95&lt;&gt;""),$N95,SUMIFS(Assumptions!$P$4:$P$103,Assumptions!$M$4:$M$103,$C95,Assumptions!$N$4:$N$103,$E95,Assumptions!$O$4:$O$103,"HVN"))</f>
        <v/>
      </c>
      <c r="P95" s="34">
        <f>(M95+O95)*Assumptions!$S$11</f>
        <v/>
      </c>
      <c r="Q95" s="35">
        <f>$F95*$K95*$P95</f>
        <v/>
      </c>
    </row>
    <row r="96">
      <c r="A96" s="11" t="inlineStr">
        <is>
          <t>UNIT</t>
        </is>
      </c>
      <c r="B96" s="28" t="inlineStr">
        <is>
          <t>MARATHON_CATLETTSBURG</t>
        </is>
      </c>
      <c r="C96" s="28" t="n">
        <v>2</v>
      </c>
      <c r="D96" s="28" t="inlineStr">
        <is>
          <t>ALKY</t>
        </is>
      </c>
      <c r="E96" s="28" t="inlineStr">
        <is>
          <t>ALKY</t>
        </is>
      </c>
      <c r="F96" s="29" t="n">
        <v>21.5</v>
      </c>
      <c r="G96" s="30">
        <f>IFERROR(IF(INDEX(Effective!$E$3:$R$125,MATCH($B96,Effective!$A$3:$A$125,0),MATCH($D96,Effective!$E$2:$R$2,0))=0,"",INDEX(Effective!$E$3:$R$125,MATCH($B96,Effective!$A$3:$A$125,0),MATCH($D96,Effective!$E$2:$R$2,0))),"")</f>
        <v/>
      </c>
      <c r="H96" s="31" t="n"/>
      <c r="I96" s="17" t="inlineStr">
        <is>
          <t>override</t>
        </is>
      </c>
      <c r="J96" s="32" t="n">
        <v>1.1</v>
      </c>
      <c r="K96" s="33">
        <f>IF(AND(IF($I98&lt;&gt;"",$I98,$I96)="override",$J96&lt;&gt;""),$J96,SUMIFS(Assumptions!$K$4:$K$8,Assumptions!$J$4:$J$8,$C96))*Assumptions!$S$10*(1-MIN(1,MAX(N($H96),N($H98))))</f>
        <v/>
      </c>
      <c r="L96" s="32" t="n"/>
      <c r="M96" s="34">
        <f>IF(AND(IF($I98&lt;&gt;"",$I98,$I96)="override",$L96&lt;&gt;""),$L96,SUMIFS(Assumptions!$P$4:$P$103,Assumptions!$M$4:$M$103,$C96,Assumptions!$N$4:$N$103,$E96,Assumptions!$O$4:$O$103,"LVN"))</f>
        <v/>
      </c>
      <c r="N96" s="32" t="n"/>
      <c r="O96" s="34">
        <f>IF(AND(IF($I98&lt;&gt;"",$I98,$I96)="override",$N96&lt;&gt;""),$N96,SUMIFS(Assumptions!$P$4:$P$103,Assumptions!$M$4:$M$103,$C96,Assumptions!$N$4:$N$103,$E96,Assumptions!$O$4:$O$103,"HVN"))</f>
        <v/>
      </c>
      <c r="P96" s="34">
        <f>(M96+O96)*Assumptions!$S$11</f>
        <v/>
      </c>
      <c r="Q96" s="35">
        <f>$F96*$K96*$P96</f>
        <v/>
      </c>
    </row>
    <row r="97">
      <c r="A97" s="11" t="inlineStr">
        <is>
          <t>UNIT</t>
        </is>
      </c>
      <c r="B97" s="28" t="inlineStr">
        <is>
          <t>MARATHON_CATLETTSBURG</t>
        </is>
      </c>
      <c r="C97" s="28" t="n">
        <v>2</v>
      </c>
      <c r="D97" s="28" t="inlineStr">
        <is>
          <t>NHT</t>
        </is>
      </c>
      <c r="E97" s="28" t="inlineStr">
        <is>
          <t>NHT</t>
        </is>
      </c>
      <c r="F97" s="29" t="n">
        <v>59</v>
      </c>
      <c r="G97" s="30">
        <f>IFERROR(IF(INDEX(Effective!$E$3:$R$125,MATCH($B97,Effective!$A$3:$A$125,0),MATCH($D97,Effective!$E$2:$R$2,0))=0,"",INDEX(Effective!$E$3:$R$125,MATCH($B97,Effective!$A$3:$A$125,0),MATCH($D97,Effective!$E$2:$R$2,0))),"")</f>
        <v/>
      </c>
      <c r="H97" s="31" t="n"/>
      <c r="I97" s="17" t="inlineStr">
        <is>
          <t>override</t>
        </is>
      </c>
      <c r="J97" s="32" t="n">
        <v>1</v>
      </c>
      <c r="K97" s="33">
        <f>IF(AND(IF($I98&lt;&gt;"",$I98,$I97)="override",$J97&lt;&gt;""),$J97,SUMIFS(Assumptions!$K$4:$K$8,Assumptions!$J$4:$J$8,$C97))*Assumptions!$S$10*(1-MIN(1,MAX(N($H97),N($H98))))</f>
        <v/>
      </c>
      <c r="L97" s="32" t="n"/>
      <c r="M97" s="34">
        <f>IF(AND(IF($I98&lt;&gt;"",$I98,$I97)="override",$L97&lt;&gt;""),$L97,SUMIFS(Assumptions!$P$4:$P$103,Assumptions!$M$4:$M$103,$C97,Assumptions!$N$4:$N$103,$E97,Assumptions!$O$4:$O$103,"LVN"))</f>
        <v/>
      </c>
      <c r="N97" s="32" t="n"/>
      <c r="O97" s="34">
        <f>IF(AND(IF($I98&lt;&gt;"",$I98,$I97)="override",$N97&lt;&gt;""),$N97,SUMIFS(Assumptions!$P$4:$P$103,Assumptions!$M$4:$M$103,$C97,Assumptions!$N$4:$N$103,$E97,Assumptions!$O$4:$O$103,"HVN"))</f>
        <v/>
      </c>
      <c r="P97" s="34">
        <f>(M97+O97)*Assumptions!$S$11</f>
        <v/>
      </c>
      <c r="Q97" s="35">
        <f>$F97*$K97*$P97</f>
        <v/>
      </c>
    </row>
    <row r="98">
      <c r="A98" s="24" t="inlineStr">
        <is>
          <t>TOTAL</t>
        </is>
      </c>
      <c r="B98" s="36" t="inlineStr">
        <is>
          <t>MARATHON_CATLETTSBURG</t>
        </is>
      </c>
      <c r="C98" s="36" t="n">
        <v>2</v>
      </c>
      <c r="D98" s="36" t="inlineStr">
        <is>
          <t>NET NAPHTHA</t>
        </is>
      </c>
      <c r="H98" s="31" t="n"/>
      <c r="I98" s="17" t="n"/>
      <c r="Q98" s="37">
        <f>SUM(Q90:Q97)</f>
        <v/>
      </c>
    </row>
    <row r="100" ht="20" customHeight="1">
      <c r="A100" s="8">
        <f>"  Marathon Petroleum Robinson  [MARATHON_ROBINSON]   —   Marathon Petroleum   —   PADD 2   —   crude "&amp;TEXT(SUMIFS(Data!$G$3:$G$125,Data!$A$3:$A$125,"MARATHON_ROBINSON"),"#,##0")&amp;" kbd"</f>
        <v/>
      </c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</row>
    <row r="101">
      <c r="A101" s="11" t="inlineStr">
        <is>
          <t>UNIT</t>
        </is>
      </c>
      <c r="B101" s="28" t="inlineStr">
        <is>
          <t>MARATHON_ROBINSON</t>
        </is>
      </c>
      <c r="C101" s="28" t="n">
        <v>2</v>
      </c>
      <c r="D101" s="28" t="inlineStr">
        <is>
          <t>CDU</t>
        </is>
      </c>
      <c r="E101" s="28" t="inlineStr">
        <is>
          <t>CDU</t>
        </is>
      </c>
      <c r="F101" s="29" t="n">
        <v>266</v>
      </c>
      <c r="G101" s="30">
        <f>IFERROR(IF(INDEX(Effective!$E$3:$R$125,MATCH($B101,Effective!$A$3:$A$125,0),MATCH($D101,Effective!$E$2:$R$2,0))=0,"",INDEX(Effective!$E$3:$R$125,MATCH($B101,Effective!$A$3:$A$125,0),MATCH($D101,Effective!$E$2:$R$2,0))),"")</f>
        <v/>
      </c>
      <c r="H101" s="31" t="n"/>
      <c r="I101" s="17" t="inlineStr">
        <is>
          <t>override</t>
        </is>
      </c>
      <c r="J101" s="32" t="n">
        <v>0.924</v>
      </c>
      <c r="K101" s="33">
        <f>IF(AND(IF($I110&lt;&gt;"",$I110,$I101)="override",$J101&lt;&gt;""),$J101,SUMIFS(Assumptions!$K$4:$K$8,Assumptions!$J$4:$J$8,$C101))*Assumptions!$S$10*(1-MIN(1,MAX(N($H101),N($H110))))</f>
        <v/>
      </c>
      <c r="L101" s="32" t="n"/>
      <c r="M101" s="34">
        <f>IF(AND(IF($I110&lt;&gt;"",$I110,$I101)="override",$L101&lt;&gt;""),$L101,SUMIFS(Assumptions!$P$4:$P$103,Assumptions!$M$4:$M$103,$C101,Assumptions!$N$4:$N$103,$E101,Assumptions!$O$4:$O$103,"LVN"))</f>
        <v/>
      </c>
      <c r="N101" s="32" t="n"/>
      <c r="O101" s="34">
        <f>IF(AND(IF($I110&lt;&gt;"",$I110,$I101)="override",$N101&lt;&gt;""),$N101,SUMIFS(Assumptions!$P$4:$P$103,Assumptions!$M$4:$M$103,$C101,Assumptions!$N$4:$N$103,$E101,Assumptions!$O$4:$O$103,"HVN"))</f>
        <v/>
      </c>
      <c r="P101" s="34">
        <f>(M101+O101)*Assumptions!$S$11</f>
        <v/>
      </c>
      <c r="Q101" s="35">
        <f>$F101*$K101*$P101</f>
        <v/>
      </c>
    </row>
    <row r="102">
      <c r="A102" s="11" t="inlineStr">
        <is>
          <t>UNIT</t>
        </is>
      </c>
      <c r="B102" s="28" t="inlineStr">
        <is>
          <t>MARATHON_ROBINSON</t>
        </is>
      </c>
      <c r="C102" s="28" t="n">
        <v>2</v>
      </c>
      <c r="D102" s="28" t="inlineStr">
        <is>
          <t>VDU</t>
        </is>
      </c>
      <c r="E102" s="28" t="inlineStr">
        <is>
          <t>VDU</t>
        </is>
      </c>
      <c r="F102" s="29" t="n">
        <v>76</v>
      </c>
      <c r="G102" s="30">
        <f>IFERROR(IF(INDEX(Effective!$E$3:$R$125,MATCH($B102,Effective!$A$3:$A$125,0),MATCH($D102,Effective!$E$2:$R$2,0))=0,"",INDEX(Effective!$E$3:$R$125,MATCH($B102,Effective!$A$3:$A$125,0),MATCH($D102,Effective!$E$2:$R$2,0))),"")</f>
        <v/>
      </c>
      <c r="H102" s="31" t="n"/>
      <c r="I102" s="17" t="inlineStr">
        <is>
          <t>override</t>
        </is>
      </c>
      <c r="J102" s="32" t="n">
        <v>1</v>
      </c>
      <c r="K102" s="33">
        <f>IF(AND(IF($I110&lt;&gt;"",$I110,$I102)="override",$J102&lt;&gt;""),$J102,SUMIFS(Assumptions!$K$4:$K$8,Assumptions!$J$4:$J$8,$C102))*Assumptions!$S$10*(1-MIN(1,MAX(N($H102),N($H110))))</f>
        <v/>
      </c>
      <c r="L102" s="32" t="n"/>
      <c r="M102" s="34">
        <f>IF(AND(IF($I110&lt;&gt;"",$I110,$I102)="override",$L102&lt;&gt;""),$L102,SUMIFS(Assumptions!$P$4:$P$103,Assumptions!$M$4:$M$103,$C102,Assumptions!$N$4:$N$103,$E102,Assumptions!$O$4:$O$103,"LVN"))</f>
        <v/>
      </c>
      <c r="N102" s="32" t="n"/>
      <c r="O102" s="34">
        <f>IF(AND(IF($I110&lt;&gt;"",$I110,$I102)="override",$N102&lt;&gt;""),$N102,SUMIFS(Assumptions!$P$4:$P$103,Assumptions!$M$4:$M$103,$C102,Assumptions!$N$4:$N$103,$E102,Assumptions!$O$4:$O$103,"HVN"))</f>
        <v/>
      </c>
      <c r="P102" s="34">
        <f>(M102+O102)*Assumptions!$S$11</f>
        <v/>
      </c>
      <c r="Q102" s="35">
        <f>$F102*$K102*$P102</f>
        <v/>
      </c>
    </row>
    <row r="103">
      <c r="A103" s="11" t="inlineStr">
        <is>
          <t>UNIT</t>
        </is>
      </c>
      <c r="B103" s="28" t="inlineStr">
        <is>
          <t>MARATHON_ROBINSON</t>
        </is>
      </c>
      <c r="C103" s="28" t="n">
        <v>2</v>
      </c>
      <c r="D103" s="28" t="inlineStr">
        <is>
          <t>FCC</t>
        </is>
      </c>
      <c r="E103" s="28" t="inlineStr">
        <is>
          <t>FCC</t>
        </is>
      </c>
      <c r="F103" s="29" t="n">
        <v>54.5</v>
      </c>
      <c r="G103" s="30">
        <f>IFERROR(IF(INDEX(Effective!$E$3:$R$125,MATCH($B103,Effective!$A$3:$A$125,0),MATCH($D103,Effective!$E$2:$R$2,0))=0,"",INDEX(Effective!$E$3:$R$125,MATCH($B103,Effective!$A$3:$A$125,0),MATCH($D103,Effective!$E$2:$R$2,0))),"")</f>
        <v/>
      </c>
      <c r="H103" s="31" t="n"/>
      <c r="I103" s="17" t="inlineStr">
        <is>
          <t>override</t>
        </is>
      </c>
      <c r="J103" s="32" t="n">
        <v>0.973</v>
      </c>
      <c r="K103" s="33">
        <f>IF(AND(IF($I110&lt;&gt;"",$I110,$I103)="override",$J103&lt;&gt;""),$J103,SUMIFS(Assumptions!$K$4:$K$8,Assumptions!$J$4:$J$8,$C103))*Assumptions!$S$10*(1-MIN(1,MAX(N($H103),N($H110))))</f>
        <v/>
      </c>
      <c r="L103" s="32" t="n"/>
      <c r="M103" s="34">
        <f>IF(AND(IF($I110&lt;&gt;"",$I110,$I103)="override",$L103&lt;&gt;""),$L103,SUMIFS(Assumptions!$P$4:$P$103,Assumptions!$M$4:$M$103,$C103,Assumptions!$N$4:$N$103,$E103,Assumptions!$O$4:$O$103,"LVN"))</f>
        <v/>
      </c>
      <c r="N103" s="32" t="n"/>
      <c r="O103" s="34">
        <f>IF(AND(IF($I110&lt;&gt;"",$I110,$I103)="override",$N103&lt;&gt;""),$N103,SUMIFS(Assumptions!$P$4:$P$103,Assumptions!$M$4:$M$103,$C103,Assumptions!$N$4:$N$103,$E103,Assumptions!$O$4:$O$103,"HVN"))</f>
        <v/>
      </c>
      <c r="P103" s="34">
        <f>(M103+O103)*Assumptions!$S$11</f>
        <v/>
      </c>
      <c r="Q103" s="35">
        <f>$F103*$K103*$P103</f>
        <v/>
      </c>
    </row>
    <row r="104">
      <c r="A104" s="11" t="inlineStr">
        <is>
          <t>UNIT</t>
        </is>
      </c>
      <c r="B104" s="28" t="inlineStr">
        <is>
          <t>MARATHON_ROBINSON</t>
        </is>
      </c>
      <c r="C104" s="28" t="n">
        <v>2</v>
      </c>
      <c r="D104" s="28" t="inlineStr">
        <is>
          <t>DHCU</t>
        </is>
      </c>
      <c r="E104" s="28" t="inlineStr">
        <is>
          <t>HYDROCRACKER</t>
        </is>
      </c>
      <c r="F104" s="29" t="n">
        <v>44</v>
      </c>
      <c r="G104" s="30">
        <f>IFERROR(IF(INDEX(Effective!$E$3:$R$125,MATCH($B104,Effective!$A$3:$A$125,0),MATCH($D104,Effective!$E$2:$R$2,0))=0,"",INDEX(Effective!$E$3:$R$125,MATCH($B104,Effective!$A$3:$A$125,0),MATCH($D104,Effective!$E$2:$R$2,0))),"")</f>
        <v/>
      </c>
      <c r="H104" s="31" t="n"/>
      <c r="I104" s="17" t="inlineStr">
        <is>
          <t>override</t>
        </is>
      </c>
      <c r="J104" s="32" t="n">
        <v>0.995</v>
      </c>
      <c r="K104" s="33">
        <f>IF(AND(IF($I110&lt;&gt;"",$I110,$I104)="override",$J104&lt;&gt;""),$J104,SUMIFS(Assumptions!$K$4:$K$8,Assumptions!$J$4:$J$8,$C104))*Assumptions!$S$10*(1-MIN(1,MAX(N($H104),N($H110))))</f>
        <v/>
      </c>
      <c r="L104" s="32" t="n"/>
      <c r="M104" s="34">
        <f>IF(AND(IF($I110&lt;&gt;"",$I110,$I104)="override",$L104&lt;&gt;""),$L104,SUMIFS(Assumptions!$P$4:$P$103,Assumptions!$M$4:$M$103,$C104,Assumptions!$N$4:$N$103,$E104,Assumptions!$O$4:$O$103,"LVN"))</f>
        <v/>
      </c>
      <c r="N104" s="32" t="n"/>
      <c r="O104" s="34">
        <f>IF(AND(IF($I110&lt;&gt;"",$I110,$I104)="override",$N104&lt;&gt;""),$N104,SUMIFS(Assumptions!$P$4:$P$103,Assumptions!$M$4:$M$103,$C104,Assumptions!$N$4:$N$103,$E104,Assumptions!$O$4:$O$103,"HVN"))</f>
        <v/>
      </c>
      <c r="P104" s="34">
        <f>(M104+O104)*Assumptions!$S$11</f>
        <v/>
      </c>
      <c r="Q104" s="35">
        <f>$F104*$K104*$P104</f>
        <v/>
      </c>
    </row>
    <row r="105">
      <c r="A105" s="11" t="inlineStr">
        <is>
          <t>UNIT</t>
        </is>
      </c>
      <c r="B105" s="28" t="inlineStr">
        <is>
          <t>MARATHON_ROBINSON</t>
        </is>
      </c>
      <c r="C105" s="28" t="n">
        <v>2</v>
      </c>
      <c r="D105" s="28" t="inlineStr">
        <is>
          <t>COKER</t>
        </is>
      </c>
      <c r="E105" s="28" t="inlineStr">
        <is>
          <t>COKER</t>
        </is>
      </c>
      <c r="F105" s="29" t="n">
        <v>30.5</v>
      </c>
      <c r="G105" s="30">
        <f>IFERROR(IF(INDEX(Effective!$E$3:$R$125,MATCH($B105,Effective!$A$3:$A$125,0),MATCH($D105,Effective!$E$2:$R$2,0))=0,"",INDEX(Effective!$E$3:$R$125,MATCH($B105,Effective!$A$3:$A$125,0),MATCH($D105,Effective!$E$2:$R$2,0))),"")</f>
        <v/>
      </c>
      <c r="H105" s="31" t="n"/>
      <c r="I105" s="17" t="inlineStr">
        <is>
          <t>override</t>
        </is>
      </c>
      <c r="J105" s="32" t="n">
        <v>1.1</v>
      </c>
      <c r="K105" s="33">
        <f>IF(AND(IF($I110&lt;&gt;"",$I110,$I105)="override",$J105&lt;&gt;""),$J105,SUMIFS(Assumptions!$K$4:$K$8,Assumptions!$J$4:$J$8,$C105))*Assumptions!$S$10*(1-MIN(1,MAX(N($H105),N($H110))))</f>
        <v/>
      </c>
      <c r="L105" s="32" t="n"/>
      <c r="M105" s="34">
        <f>IF(AND(IF($I110&lt;&gt;"",$I110,$I105)="override",$L105&lt;&gt;""),$L105,SUMIFS(Assumptions!$P$4:$P$103,Assumptions!$M$4:$M$103,$C105,Assumptions!$N$4:$N$103,$E105,Assumptions!$O$4:$O$103,"LVN"))</f>
        <v/>
      </c>
      <c r="N105" s="32" t="n"/>
      <c r="O105" s="34">
        <f>IF(AND(IF($I110&lt;&gt;"",$I110,$I105)="override",$N105&lt;&gt;""),$N105,SUMIFS(Assumptions!$P$4:$P$103,Assumptions!$M$4:$M$103,$C105,Assumptions!$N$4:$N$103,$E105,Assumptions!$O$4:$O$103,"HVN"))</f>
        <v/>
      </c>
      <c r="P105" s="34">
        <f>(M105+O105)*Assumptions!$S$11</f>
        <v/>
      </c>
      <c r="Q105" s="35">
        <f>$F105*$K105*$P105</f>
        <v/>
      </c>
    </row>
    <row r="106">
      <c r="A106" s="11" t="inlineStr">
        <is>
          <t>UNIT</t>
        </is>
      </c>
      <c r="B106" s="28" t="inlineStr">
        <is>
          <t>MARATHON_ROBINSON</t>
        </is>
      </c>
      <c r="C106" s="28" t="n">
        <v>2</v>
      </c>
      <c r="D106" s="28" t="inlineStr">
        <is>
          <t>CCR</t>
        </is>
      </c>
      <c r="E106" s="28" t="inlineStr">
        <is>
          <t>REFORMER</t>
        </is>
      </c>
      <c r="F106" s="29" t="n">
        <v>82</v>
      </c>
      <c r="G106" s="30">
        <f>IFERROR(IF(INDEX(Effective!$E$3:$R$125,MATCH($B106,Effective!$A$3:$A$125,0),MATCH($D106,Effective!$E$2:$R$2,0))=0,"",INDEX(Effective!$E$3:$R$125,MATCH($B106,Effective!$A$3:$A$125,0),MATCH($D106,Effective!$E$2:$R$2,0))),"")</f>
        <v/>
      </c>
      <c r="H106" s="31" t="n"/>
      <c r="I106" s="17" t="inlineStr">
        <is>
          <t>override</t>
        </is>
      </c>
      <c r="J106" s="32" t="n">
        <v>0.399</v>
      </c>
      <c r="K106" s="33">
        <f>IF(AND(IF($I110&lt;&gt;"",$I110,$I106)="override",$J106&lt;&gt;""),$J106,SUMIFS(Assumptions!$K$4:$K$8,Assumptions!$J$4:$J$8,$C106))*Assumptions!$S$10*(1-MIN(1,MAX(N($H106),N($H110))))</f>
        <v/>
      </c>
      <c r="L106" s="32" t="n"/>
      <c r="M106" s="34">
        <f>IF(AND(IF($I110&lt;&gt;"",$I110,$I106)="override",$L106&lt;&gt;""),$L106,SUMIFS(Assumptions!$P$4:$P$103,Assumptions!$M$4:$M$103,$C106,Assumptions!$N$4:$N$103,$E106,Assumptions!$O$4:$O$103,"LVN"))</f>
        <v/>
      </c>
      <c r="N106" s="32" t="n"/>
      <c r="O106" s="34">
        <f>IF(AND(IF($I110&lt;&gt;"",$I110,$I106)="override",$N106&lt;&gt;""),$N106,SUMIFS(Assumptions!$P$4:$P$103,Assumptions!$M$4:$M$103,$C106,Assumptions!$N$4:$N$103,$E106,Assumptions!$O$4:$O$103,"HVN"))</f>
        <v/>
      </c>
      <c r="P106" s="34">
        <f>(M106+O106)*Assumptions!$S$11</f>
        <v/>
      </c>
      <c r="Q106" s="35">
        <f>$F106*$K106*$P106</f>
        <v/>
      </c>
    </row>
    <row r="107">
      <c r="A107" s="11" t="inlineStr">
        <is>
          <t>UNIT</t>
        </is>
      </c>
      <c r="B107" s="28" t="inlineStr">
        <is>
          <t>MARATHON_ROBINSON</t>
        </is>
      </c>
      <c r="C107" s="28" t="n">
        <v>2</v>
      </c>
      <c r="D107" s="28" t="inlineStr">
        <is>
          <t>ISOM</t>
        </is>
      </c>
      <c r="E107" s="28" t="inlineStr">
        <is>
          <t>ISOM</t>
        </is>
      </c>
      <c r="F107" s="29" t="n">
        <v>16</v>
      </c>
      <c r="G107" s="30">
        <f>IFERROR(IF(INDEX(Effective!$E$3:$R$125,MATCH($B107,Effective!$A$3:$A$125,0),MATCH($D107,Effective!$E$2:$R$2,0))=0,"",INDEX(Effective!$E$3:$R$125,MATCH($B107,Effective!$A$3:$A$125,0),MATCH($D107,Effective!$E$2:$R$2,0))),"")</f>
        <v/>
      </c>
      <c r="H107" s="31" t="n"/>
      <c r="I107" s="17" t="inlineStr">
        <is>
          <t>override</t>
        </is>
      </c>
      <c r="J107" s="32" t="n">
        <v>0.851</v>
      </c>
      <c r="K107" s="33">
        <f>IF(AND(IF($I110&lt;&gt;"",$I110,$I107)="override",$J107&lt;&gt;""),$J107,SUMIFS(Assumptions!$K$4:$K$8,Assumptions!$J$4:$J$8,$C107))*Assumptions!$S$10*(1-MIN(1,MAX(N($H107),N($H110))))</f>
        <v/>
      </c>
      <c r="L107" s="32" t="n"/>
      <c r="M107" s="34">
        <f>IF(AND(IF($I110&lt;&gt;"",$I110,$I107)="override",$L107&lt;&gt;""),$L107,SUMIFS(Assumptions!$P$4:$P$103,Assumptions!$M$4:$M$103,$C107,Assumptions!$N$4:$N$103,$E107,Assumptions!$O$4:$O$103,"LVN"))</f>
        <v/>
      </c>
      <c r="N107" s="32" t="n"/>
      <c r="O107" s="34">
        <f>IF(AND(IF($I110&lt;&gt;"",$I110,$I107)="override",$N107&lt;&gt;""),$N107,SUMIFS(Assumptions!$P$4:$P$103,Assumptions!$M$4:$M$103,$C107,Assumptions!$N$4:$N$103,$E107,Assumptions!$O$4:$O$103,"HVN"))</f>
        <v/>
      </c>
      <c r="P107" s="34">
        <f>(M107+O107)*Assumptions!$S$11</f>
        <v/>
      </c>
      <c r="Q107" s="35">
        <f>$F107*$K107*$P107</f>
        <v/>
      </c>
    </row>
    <row r="108">
      <c r="A108" s="11" t="inlineStr">
        <is>
          <t>UNIT</t>
        </is>
      </c>
      <c r="B108" s="28" t="inlineStr">
        <is>
          <t>MARATHON_ROBINSON</t>
        </is>
      </c>
      <c r="C108" s="28" t="n">
        <v>2</v>
      </c>
      <c r="D108" s="28" t="inlineStr">
        <is>
          <t>ALKY</t>
        </is>
      </c>
      <c r="E108" s="28" t="inlineStr">
        <is>
          <t>ALKY</t>
        </is>
      </c>
      <c r="F108" s="29" t="n">
        <v>12.5</v>
      </c>
      <c r="G108" s="30">
        <f>IFERROR(IF(INDEX(Effective!$E$3:$R$125,MATCH($B108,Effective!$A$3:$A$125,0),MATCH($D108,Effective!$E$2:$R$2,0))=0,"",INDEX(Effective!$E$3:$R$125,MATCH($B108,Effective!$A$3:$A$125,0),MATCH($D108,Effective!$E$2:$R$2,0))),"")</f>
        <v/>
      </c>
      <c r="H108" s="31" t="n"/>
      <c r="I108" s="17" t="inlineStr">
        <is>
          <t>override</t>
        </is>
      </c>
      <c r="J108" s="32" t="n">
        <v>1.1</v>
      </c>
      <c r="K108" s="33">
        <f>IF(AND(IF($I110&lt;&gt;"",$I110,$I108)="override",$J108&lt;&gt;""),$J108,SUMIFS(Assumptions!$K$4:$K$8,Assumptions!$J$4:$J$8,$C108))*Assumptions!$S$10*(1-MIN(1,MAX(N($H108),N($H110))))</f>
        <v/>
      </c>
      <c r="L108" s="32" t="n"/>
      <c r="M108" s="34">
        <f>IF(AND(IF($I110&lt;&gt;"",$I110,$I108)="override",$L108&lt;&gt;""),$L108,SUMIFS(Assumptions!$P$4:$P$103,Assumptions!$M$4:$M$103,$C108,Assumptions!$N$4:$N$103,$E108,Assumptions!$O$4:$O$103,"LVN"))</f>
        <v/>
      </c>
      <c r="N108" s="32" t="n"/>
      <c r="O108" s="34">
        <f>IF(AND(IF($I110&lt;&gt;"",$I110,$I108)="override",$N108&lt;&gt;""),$N108,SUMIFS(Assumptions!$P$4:$P$103,Assumptions!$M$4:$M$103,$C108,Assumptions!$N$4:$N$103,$E108,Assumptions!$O$4:$O$103,"HVN"))</f>
        <v/>
      </c>
      <c r="P108" s="34">
        <f>(M108+O108)*Assumptions!$S$11</f>
        <v/>
      </c>
      <c r="Q108" s="35">
        <f>$F108*$K108*$P108</f>
        <v/>
      </c>
    </row>
    <row r="109">
      <c r="A109" s="11" t="inlineStr">
        <is>
          <t>UNIT</t>
        </is>
      </c>
      <c r="B109" s="28" t="inlineStr">
        <is>
          <t>MARATHON_ROBINSON</t>
        </is>
      </c>
      <c r="C109" s="28" t="n">
        <v>2</v>
      </c>
      <c r="D109" s="28" t="inlineStr">
        <is>
          <t>NHT</t>
        </is>
      </c>
      <c r="E109" s="28" t="inlineStr">
        <is>
          <t>NHT</t>
        </is>
      </c>
      <c r="F109" s="29" t="n">
        <v>70.5</v>
      </c>
      <c r="G109" s="30">
        <f>IFERROR(IF(INDEX(Effective!$E$3:$R$125,MATCH($B109,Effective!$A$3:$A$125,0),MATCH($D109,Effective!$E$2:$R$2,0))=0,"",INDEX(Effective!$E$3:$R$125,MATCH($B109,Effective!$A$3:$A$125,0),MATCH($D109,Effective!$E$2:$R$2,0))),"")</f>
        <v/>
      </c>
      <c r="H109" s="31" t="n"/>
      <c r="I109" s="17" t="inlineStr">
        <is>
          <t>override</t>
        </is>
      </c>
      <c r="J109" s="32" t="n">
        <v>1.1</v>
      </c>
      <c r="K109" s="33">
        <f>IF(AND(IF($I110&lt;&gt;"",$I110,$I109)="override",$J109&lt;&gt;""),$J109,SUMIFS(Assumptions!$K$4:$K$8,Assumptions!$J$4:$J$8,$C109))*Assumptions!$S$10*(1-MIN(1,MAX(N($H109),N($H110))))</f>
        <v/>
      </c>
      <c r="L109" s="32" t="n"/>
      <c r="M109" s="34">
        <f>IF(AND(IF($I110&lt;&gt;"",$I110,$I109)="override",$L109&lt;&gt;""),$L109,SUMIFS(Assumptions!$P$4:$P$103,Assumptions!$M$4:$M$103,$C109,Assumptions!$N$4:$N$103,$E109,Assumptions!$O$4:$O$103,"LVN"))</f>
        <v/>
      </c>
      <c r="N109" s="32" t="n"/>
      <c r="O109" s="34">
        <f>IF(AND(IF($I110&lt;&gt;"",$I110,$I109)="override",$N109&lt;&gt;""),$N109,SUMIFS(Assumptions!$P$4:$P$103,Assumptions!$M$4:$M$103,$C109,Assumptions!$N$4:$N$103,$E109,Assumptions!$O$4:$O$103,"HVN"))</f>
        <v/>
      </c>
      <c r="P109" s="34">
        <f>(M109+O109)*Assumptions!$S$11</f>
        <v/>
      </c>
      <c r="Q109" s="35">
        <f>$F109*$K109*$P109</f>
        <v/>
      </c>
    </row>
    <row r="110">
      <c r="A110" s="24" t="inlineStr">
        <is>
          <t>TOTAL</t>
        </is>
      </c>
      <c r="B110" s="36" t="inlineStr">
        <is>
          <t>MARATHON_ROBINSON</t>
        </is>
      </c>
      <c r="C110" s="36" t="n">
        <v>2</v>
      </c>
      <c r="D110" s="36" t="inlineStr">
        <is>
          <t>NET NAPHTHA</t>
        </is>
      </c>
      <c r="H110" s="31" t="n"/>
      <c r="I110" s="17" t="n"/>
      <c r="Q110" s="37">
        <f>SUM(Q101:Q109)</f>
        <v/>
      </c>
    </row>
    <row r="112" ht="20" customHeight="1">
      <c r="A112" s="8">
        <f>"  ExxonMobil Joliet  [EXXONMOBIL_JOLIET]   —   ExxonMobil   —   PADD 2   —   crude "&amp;TEXT(SUMIFS(Data!$G$3:$G$125,Data!$A$3:$A$125,"EXXONMOBIL_JOLIET"),"#,##0")&amp;" kbd"</f>
        <v/>
      </c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</row>
    <row r="113">
      <c r="A113" s="11" t="inlineStr">
        <is>
          <t>UNIT</t>
        </is>
      </c>
      <c r="B113" s="28" t="inlineStr">
        <is>
          <t>EXXONMOBIL_JOLIET</t>
        </is>
      </c>
      <c r="C113" s="28" t="n">
        <v>2</v>
      </c>
      <c r="D113" s="28" t="inlineStr">
        <is>
          <t>CDU</t>
        </is>
      </c>
      <c r="E113" s="28" t="inlineStr">
        <is>
          <t>CDU</t>
        </is>
      </c>
      <c r="F113" s="29" t="n">
        <v>275</v>
      </c>
      <c r="G113" s="30">
        <f>IFERROR(IF(INDEX(Effective!$E$3:$R$125,MATCH($B113,Effective!$A$3:$A$125,0),MATCH($D113,Effective!$E$2:$R$2,0))=0,"",INDEX(Effective!$E$3:$R$125,MATCH($B113,Effective!$A$3:$A$125,0),MATCH($D113,Effective!$E$2:$R$2,0))),"")</f>
        <v/>
      </c>
      <c r="H113" s="31" t="n"/>
      <c r="I113" s="17" t="inlineStr">
        <is>
          <t>override</t>
        </is>
      </c>
      <c r="J113" s="32" t="n">
        <v>0.989</v>
      </c>
      <c r="K113" s="33">
        <f>IF(AND(IF($I120&lt;&gt;"",$I120,$I113)="override",$J113&lt;&gt;""),$J113,SUMIFS(Assumptions!$K$4:$K$8,Assumptions!$J$4:$J$8,$C113))*Assumptions!$S$10*(1-MIN(1,MAX(N($H113),N($H120))))</f>
        <v/>
      </c>
      <c r="L113" s="32" t="n"/>
      <c r="M113" s="34">
        <f>IF(AND(IF($I120&lt;&gt;"",$I120,$I113)="override",$L113&lt;&gt;""),$L113,SUMIFS(Assumptions!$P$4:$P$103,Assumptions!$M$4:$M$103,$C113,Assumptions!$N$4:$N$103,$E113,Assumptions!$O$4:$O$103,"LVN"))</f>
        <v/>
      </c>
      <c r="N113" s="32" t="n"/>
      <c r="O113" s="34">
        <f>IF(AND(IF($I120&lt;&gt;"",$I120,$I113)="override",$N113&lt;&gt;""),$N113,SUMIFS(Assumptions!$P$4:$P$103,Assumptions!$M$4:$M$103,$C113,Assumptions!$N$4:$N$103,$E113,Assumptions!$O$4:$O$103,"HVN"))</f>
        <v/>
      </c>
      <c r="P113" s="34">
        <f>(M113+O113)*Assumptions!$S$11</f>
        <v/>
      </c>
      <c r="Q113" s="35">
        <f>$F113*$K113*$P113</f>
        <v/>
      </c>
    </row>
    <row r="114">
      <c r="A114" s="11" t="inlineStr">
        <is>
          <t>UNIT</t>
        </is>
      </c>
      <c r="B114" s="28" t="inlineStr">
        <is>
          <t>EXXONMOBIL_JOLIET</t>
        </is>
      </c>
      <c r="C114" s="28" t="n">
        <v>2</v>
      </c>
      <c r="D114" s="28" t="inlineStr">
        <is>
          <t>VDU</t>
        </is>
      </c>
      <c r="E114" s="28" t="inlineStr">
        <is>
          <t>VDU</t>
        </is>
      </c>
      <c r="F114" s="29" t="n">
        <v>126.7</v>
      </c>
      <c r="G114" s="30">
        <f>IFERROR(IF(INDEX(Effective!$E$3:$R$125,MATCH($B114,Effective!$A$3:$A$125,0),MATCH($D114,Effective!$E$2:$R$2,0))=0,"",INDEX(Effective!$E$3:$R$125,MATCH($B114,Effective!$A$3:$A$125,0),MATCH($D114,Effective!$E$2:$R$2,0))),"")</f>
        <v/>
      </c>
      <c r="H114" s="31" t="n"/>
      <c r="I114" s="17" t="inlineStr">
        <is>
          <t>override</t>
        </is>
      </c>
      <c r="J114" s="32" t="n">
        <v>0.999</v>
      </c>
      <c r="K114" s="33">
        <f>IF(AND(IF($I120&lt;&gt;"",$I120,$I114)="override",$J114&lt;&gt;""),$J114,SUMIFS(Assumptions!$K$4:$K$8,Assumptions!$J$4:$J$8,$C114))*Assumptions!$S$10*(1-MIN(1,MAX(N($H114),N($H120))))</f>
        <v/>
      </c>
      <c r="L114" s="32" t="n"/>
      <c r="M114" s="34">
        <f>IF(AND(IF($I120&lt;&gt;"",$I120,$I114)="override",$L114&lt;&gt;""),$L114,SUMIFS(Assumptions!$P$4:$P$103,Assumptions!$M$4:$M$103,$C114,Assumptions!$N$4:$N$103,$E114,Assumptions!$O$4:$O$103,"LVN"))</f>
        <v/>
      </c>
      <c r="N114" s="32" t="n"/>
      <c r="O114" s="34">
        <f>IF(AND(IF($I120&lt;&gt;"",$I120,$I114)="override",$N114&lt;&gt;""),$N114,SUMIFS(Assumptions!$P$4:$P$103,Assumptions!$M$4:$M$103,$C114,Assumptions!$N$4:$N$103,$E114,Assumptions!$O$4:$O$103,"HVN"))</f>
        <v/>
      </c>
      <c r="P114" s="34">
        <f>(M114+O114)*Assumptions!$S$11</f>
        <v/>
      </c>
      <c r="Q114" s="35">
        <f>$F114*$K114*$P114</f>
        <v/>
      </c>
    </row>
    <row r="115">
      <c r="A115" s="11" t="inlineStr">
        <is>
          <t>UNIT</t>
        </is>
      </c>
      <c r="B115" s="28" t="inlineStr">
        <is>
          <t>EXXONMOBIL_JOLIET</t>
        </is>
      </c>
      <c r="C115" s="28" t="n">
        <v>2</v>
      </c>
      <c r="D115" s="28" t="inlineStr">
        <is>
          <t>FCC</t>
        </is>
      </c>
      <c r="E115" s="28" t="inlineStr">
        <is>
          <t>FCC</t>
        </is>
      </c>
      <c r="F115" s="29" t="n">
        <v>99.3</v>
      </c>
      <c r="G115" s="30">
        <f>IFERROR(IF(INDEX(Effective!$E$3:$R$125,MATCH($B115,Effective!$A$3:$A$125,0),MATCH($D115,Effective!$E$2:$R$2,0))=0,"",INDEX(Effective!$E$3:$R$125,MATCH($B115,Effective!$A$3:$A$125,0),MATCH($D115,Effective!$E$2:$R$2,0))),"")</f>
        <v/>
      </c>
      <c r="H115" s="31" t="n"/>
      <c r="I115" s="17" t="inlineStr">
        <is>
          <t>override</t>
        </is>
      </c>
      <c r="J115" s="32" t="n">
        <v>1</v>
      </c>
      <c r="K115" s="33">
        <f>IF(AND(IF($I120&lt;&gt;"",$I120,$I115)="override",$J115&lt;&gt;""),$J115,SUMIFS(Assumptions!$K$4:$K$8,Assumptions!$J$4:$J$8,$C115))*Assumptions!$S$10*(1-MIN(1,MAX(N($H115),N($H120))))</f>
        <v/>
      </c>
      <c r="L115" s="32" t="n"/>
      <c r="M115" s="34">
        <f>IF(AND(IF($I120&lt;&gt;"",$I120,$I115)="override",$L115&lt;&gt;""),$L115,SUMIFS(Assumptions!$P$4:$P$103,Assumptions!$M$4:$M$103,$C115,Assumptions!$N$4:$N$103,$E115,Assumptions!$O$4:$O$103,"LVN"))</f>
        <v/>
      </c>
      <c r="N115" s="32" t="n"/>
      <c r="O115" s="34">
        <f>IF(AND(IF($I120&lt;&gt;"",$I120,$I115)="override",$N115&lt;&gt;""),$N115,SUMIFS(Assumptions!$P$4:$P$103,Assumptions!$M$4:$M$103,$C115,Assumptions!$N$4:$N$103,$E115,Assumptions!$O$4:$O$103,"HVN"))</f>
        <v/>
      </c>
      <c r="P115" s="34">
        <f>(M115+O115)*Assumptions!$S$11</f>
        <v/>
      </c>
      <c r="Q115" s="35">
        <f>$F115*$K115*$P115</f>
        <v/>
      </c>
    </row>
    <row r="116">
      <c r="A116" s="11" t="inlineStr">
        <is>
          <t>UNIT</t>
        </is>
      </c>
      <c r="B116" s="28" t="inlineStr">
        <is>
          <t>EXXONMOBIL_JOLIET</t>
        </is>
      </c>
      <c r="C116" s="28" t="n">
        <v>2</v>
      </c>
      <c r="D116" s="28" t="inlineStr">
        <is>
          <t>COKER</t>
        </is>
      </c>
      <c r="E116" s="28" t="inlineStr">
        <is>
          <t>COKER</t>
        </is>
      </c>
      <c r="F116" s="29" t="n">
        <v>57.5</v>
      </c>
      <c r="G116" s="30">
        <f>IFERROR(IF(INDEX(Effective!$E$3:$R$125,MATCH($B116,Effective!$A$3:$A$125,0),MATCH($D116,Effective!$E$2:$R$2,0))=0,"",INDEX(Effective!$E$3:$R$125,MATCH($B116,Effective!$A$3:$A$125,0),MATCH($D116,Effective!$E$2:$R$2,0))),"")</f>
        <v/>
      </c>
      <c r="H116" s="31" t="n"/>
      <c r="I116" s="17" t="inlineStr">
        <is>
          <t>override</t>
        </is>
      </c>
      <c r="J116" s="32" t="n">
        <v>0.899</v>
      </c>
      <c r="K116" s="33">
        <f>IF(AND(IF($I120&lt;&gt;"",$I120,$I116)="override",$J116&lt;&gt;""),$J116,SUMIFS(Assumptions!$K$4:$K$8,Assumptions!$J$4:$J$8,$C116))*Assumptions!$S$10*(1-MIN(1,MAX(N($H116),N($H120))))</f>
        <v/>
      </c>
      <c r="L116" s="32" t="n"/>
      <c r="M116" s="34">
        <f>IF(AND(IF($I120&lt;&gt;"",$I120,$I116)="override",$L116&lt;&gt;""),$L116,SUMIFS(Assumptions!$P$4:$P$103,Assumptions!$M$4:$M$103,$C116,Assumptions!$N$4:$N$103,$E116,Assumptions!$O$4:$O$103,"LVN"))</f>
        <v/>
      </c>
      <c r="N116" s="32" t="n"/>
      <c r="O116" s="34">
        <f>IF(AND(IF($I120&lt;&gt;"",$I120,$I116)="override",$N116&lt;&gt;""),$N116,SUMIFS(Assumptions!$P$4:$P$103,Assumptions!$M$4:$M$103,$C116,Assumptions!$N$4:$N$103,$E116,Assumptions!$O$4:$O$103,"HVN"))</f>
        <v/>
      </c>
      <c r="P116" s="34">
        <f>(M116+O116)*Assumptions!$S$11</f>
        <v/>
      </c>
      <c r="Q116" s="35">
        <f>$F116*$K116*$P116</f>
        <v/>
      </c>
    </row>
    <row r="117">
      <c r="A117" s="11" t="inlineStr">
        <is>
          <t>UNIT</t>
        </is>
      </c>
      <c r="B117" s="28" t="inlineStr">
        <is>
          <t>EXXONMOBIL_JOLIET</t>
        </is>
      </c>
      <c r="C117" s="28" t="n">
        <v>2</v>
      </c>
      <c r="D117" s="28" t="inlineStr">
        <is>
          <t>CCR</t>
        </is>
      </c>
      <c r="E117" s="28" t="inlineStr">
        <is>
          <t>REFORMER</t>
        </is>
      </c>
      <c r="F117" s="29" t="n">
        <v>52.6</v>
      </c>
      <c r="G117" s="30">
        <f>IFERROR(IF(INDEX(Effective!$E$3:$R$125,MATCH($B117,Effective!$A$3:$A$125,0),MATCH($D117,Effective!$E$2:$R$2,0))=0,"",INDEX(Effective!$E$3:$R$125,MATCH($B117,Effective!$A$3:$A$125,0),MATCH($D117,Effective!$E$2:$R$2,0))),"")</f>
        <v/>
      </c>
      <c r="H117" s="31" t="n"/>
      <c r="I117" s="17" t="inlineStr">
        <is>
          <t>override</t>
        </is>
      </c>
      <c r="J117" s="32" t="n">
        <v>0.957</v>
      </c>
      <c r="K117" s="33">
        <f>IF(AND(IF($I120&lt;&gt;"",$I120,$I117)="override",$J117&lt;&gt;""),$J117,SUMIFS(Assumptions!$K$4:$K$8,Assumptions!$J$4:$J$8,$C117))*Assumptions!$S$10*(1-MIN(1,MAX(N($H117),N($H120))))</f>
        <v/>
      </c>
      <c r="L117" s="32" t="n"/>
      <c r="M117" s="34">
        <f>IF(AND(IF($I120&lt;&gt;"",$I120,$I117)="override",$L117&lt;&gt;""),$L117,SUMIFS(Assumptions!$P$4:$P$103,Assumptions!$M$4:$M$103,$C117,Assumptions!$N$4:$N$103,$E117,Assumptions!$O$4:$O$103,"LVN"))</f>
        <v/>
      </c>
      <c r="N117" s="32" t="n"/>
      <c r="O117" s="34">
        <f>IF(AND(IF($I120&lt;&gt;"",$I120,$I117)="override",$N117&lt;&gt;""),$N117,SUMIFS(Assumptions!$P$4:$P$103,Assumptions!$M$4:$M$103,$C117,Assumptions!$N$4:$N$103,$E117,Assumptions!$O$4:$O$103,"HVN"))</f>
        <v/>
      </c>
      <c r="P117" s="34">
        <f>(M117+O117)*Assumptions!$S$11</f>
        <v/>
      </c>
      <c r="Q117" s="35">
        <f>$F117*$K117*$P117</f>
        <v/>
      </c>
    </row>
    <row r="118">
      <c r="A118" s="11" t="inlineStr">
        <is>
          <t>UNIT</t>
        </is>
      </c>
      <c r="B118" s="28" t="inlineStr">
        <is>
          <t>EXXONMOBIL_JOLIET</t>
        </is>
      </c>
      <c r="C118" s="28" t="n">
        <v>2</v>
      </c>
      <c r="D118" s="28" t="inlineStr">
        <is>
          <t>ALKY</t>
        </is>
      </c>
      <c r="E118" s="28" t="inlineStr">
        <is>
          <t>ALKY</t>
        </is>
      </c>
      <c r="F118" s="29" t="n">
        <v>29.1</v>
      </c>
      <c r="G118" s="30">
        <f>IFERROR(IF(INDEX(Effective!$E$3:$R$125,MATCH($B118,Effective!$A$3:$A$125,0),MATCH($D118,Effective!$E$2:$R$2,0))=0,"",INDEX(Effective!$E$3:$R$125,MATCH($B118,Effective!$A$3:$A$125,0),MATCH($D118,Effective!$E$2:$R$2,0))),"")</f>
        <v/>
      </c>
      <c r="H118" s="31" t="n"/>
      <c r="I118" s="17" t="inlineStr">
        <is>
          <t>override</t>
        </is>
      </c>
      <c r="J118" s="32" t="n">
        <v>1.034</v>
      </c>
      <c r="K118" s="33">
        <f>IF(AND(IF($I120&lt;&gt;"",$I120,$I118)="override",$J118&lt;&gt;""),$J118,SUMIFS(Assumptions!$K$4:$K$8,Assumptions!$J$4:$J$8,$C118))*Assumptions!$S$10*(1-MIN(1,MAX(N($H118),N($H120))))</f>
        <v/>
      </c>
      <c r="L118" s="32" t="n"/>
      <c r="M118" s="34">
        <f>IF(AND(IF($I120&lt;&gt;"",$I120,$I118)="override",$L118&lt;&gt;""),$L118,SUMIFS(Assumptions!$P$4:$P$103,Assumptions!$M$4:$M$103,$C118,Assumptions!$N$4:$N$103,$E118,Assumptions!$O$4:$O$103,"LVN"))</f>
        <v/>
      </c>
      <c r="N118" s="32" t="n"/>
      <c r="O118" s="34">
        <f>IF(AND(IF($I120&lt;&gt;"",$I120,$I118)="override",$N118&lt;&gt;""),$N118,SUMIFS(Assumptions!$P$4:$P$103,Assumptions!$M$4:$M$103,$C118,Assumptions!$N$4:$N$103,$E118,Assumptions!$O$4:$O$103,"HVN"))</f>
        <v/>
      </c>
      <c r="P118" s="34">
        <f>(M118+O118)*Assumptions!$S$11</f>
        <v/>
      </c>
      <c r="Q118" s="35">
        <f>$F118*$K118*$P118</f>
        <v/>
      </c>
    </row>
    <row r="119">
      <c r="A119" s="11" t="inlineStr">
        <is>
          <t>UNIT</t>
        </is>
      </c>
      <c r="B119" s="28" t="inlineStr">
        <is>
          <t>EXXONMOBIL_JOLIET</t>
        </is>
      </c>
      <c r="C119" s="28" t="n">
        <v>2</v>
      </c>
      <c r="D119" s="28" t="inlineStr">
        <is>
          <t>NHT</t>
        </is>
      </c>
      <c r="E119" s="28" t="inlineStr">
        <is>
          <t>NHT</t>
        </is>
      </c>
      <c r="F119" s="29" t="n">
        <v>177.8</v>
      </c>
      <c r="G119" s="30">
        <f>IFERROR(IF(INDEX(Effective!$E$3:$R$125,MATCH($B119,Effective!$A$3:$A$125,0),MATCH($D119,Effective!$E$2:$R$2,0))=0,"",INDEX(Effective!$E$3:$R$125,MATCH($B119,Effective!$A$3:$A$125,0),MATCH($D119,Effective!$E$2:$R$2,0))),"")</f>
        <v/>
      </c>
      <c r="H119" s="31" t="n"/>
      <c r="I119" s="17" t="inlineStr">
        <is>
          <t>override</t>
        </is>
      </c>
      <c r="J119" s="32" t="n">
        <v>0.75</v>
      </c>
      <c r="K119" s="33">
        <f>IF(AND(IF($I120&lt;&gt;"",$I120,$I119)="override",$J119&lt;&gt;""),$J119,SUMIFS(Assumptions!$K$4:$K$8,Assumptions!$J$4:$J$8,$C119))*Assumptions!$S$10*(1-MIN(1,MAX(N($H119),N($H120))))</f>
        <v/>
      </c>
      <c r="L119" s="32" t="n"/>
      <c r="M119" s="34">
        <f>IF(AND(IF($I120&lt;&gt;"",$I120,$I119)="override",$L119&lt;&gt;""),$L119,SUMIFS(Assumptions!$P$4:$P$103,Assumptions!$M$4:$M$103,$C119,Assumptions!$N$4:$N$103,$E119,Assumptions!$O$4:$O$103,"LVN"))</f>
        <v/>
      </c>
      <c r="N119" s="32" t="n"/>
      <c r="O119" s="34">
        <f>IF(AND(IF($I120&lt;&gt;"",$I120,$I119)="override",$N119&lt;&gt;""),$N119,SUMIFS(Assumptions!$P$4:$P$103,Assumptions!$M$4:$M$103,$C119,Assumptions!$N$4:$N$103,$E119,Assumptions!$O$4:$O$103,"HVN"))</f>
        <v/>
      </c>
      <c r="P119" s="34">
        <f>(M119+O119)*Assumptions!$S$11</f>
        <v/>
      </c>
      <c r="Q119" s="35">
        <f>$F119*$K119*$P119</f>
        <v/>
      </c>
    </row>
    <row r="120">
      <c r="A120" s="24" t="inlineStr">
        <is>
          <t>TOTAL</t>
        </is>
      </c>
      <c r="B120" s="36" t="inlineStr">
        <is>
          <t>EXXONMOBIL_JOLIET</t>
        </is>
      </c>
      <c r="C120" s="36" t="n">
        <v>2</v>
      </c>
      <c r="D120" s="36" t="inlineStr">
        <is>
          <t>NET NAPHTHA</t>
        </is>
      </c>
      <c r="H120" s="31" t="n"/>
      <c r="I120" s="17" t="n"/>
      <c r="Q120" s="37">
        <f>SUM(Q113:Q119)</f>
        <v/>
      </c>
    </row>
    <row r="122" ht="20" customHeight="1">
      <c r="A122" s="8">
        <f>"  Phillips 66 Co. Ponca City  [PHILLIPS_PONCA_CITY]   —   Phillips 66 Co.   —   PADD 2   —   crude "&amp;TEXT(SUMIFS(Data!$G$3:$G$125,Data!$A$3:$A$125,"PHILLIPS_PONCA_CITY"),"#,##0")&amp;" kbd"</f>
        <v/>
      </c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</row>
    <row r="123">
      <c r="A123" s="11" t="inlineStr">
        <is>
          <t>UNIT</t>
        </is>
      </c>
      <c r="B123" s="28" t="inlineStr">
        <is>
          <t>PHILLIPS_PONCA_CITY</t>
        </is>
      </c>
      <c r="C123" s="28" t="n">
        <v>2</v>
      </c>
      <c r="D123" s="28" t="inlineStr">
        <is>
          <t>CDU</t>
        </is>
      </c>
      <c r="E123" s="28" t="inlineStr">
        <is>
          <t>CDU</t>
        </is>
      </c>
      <c r="F123" s="29" t="n">
        <v>226.67</v>
      </c>
      <c r="G123" s="30">
        <f>IFERROR(IF(INDEX(Effective!$E$3:$R$125,MATCH($B123,Effective!$A$3:$A$125,0),MATCH($D123,Effective!$E$2:$R$2,0))=0,"",INDEX(Effective!$E$3:$R$125,MATCH($B123,Effective!$A$3:$A$125,0),MATCH($D123,Effective!$E$2:$R$2,0))),"")</f>
        <v/>
      </c>
      <c r="H123" s="31" t="n"/>
      <c r="I123" s="17" t="inlineStr">
        <is>
          <t>override</t>
        </is>
      </c>
      <c r="J123" s="32" t="n">
        <v>0.87</v>
      </c>
      <c r="K123" s="33">
        <f>IF(AND(IF($I130&lt;&gt;"",$I130,$I123)="override",$J123&lt;&gt;""),$J123,SUMIFS(Assumptions!$K$4:$K$8,Assumptions!$J$4:$J$8,$C123))*Assumptions!$S$10*(1-MIN(1,MAX(N($H123),N($H130))))</f>
        <v/>
      </c>
      <c r="L123" s="32" t="n"/>
      <c r="M123" s="34">
        <f>IF(AND(IF($I130&lt;&gt;"",$I130,$I123)="override",$L123&lt;&gt;""),$L123,SUMIFS(Assumptions!$P$4:$P$103,Assumptions!$M$4:$M$103,$C123,Assumptions!$N$4:$N$103,$E123,Assumptions!$O$4:$O$103,"LVN"))</f>
        <v/>
      </c>
      <c r="N123" s="32" t="n"/>
      <c r="O123" s="34">
        <f>IF(AND(IF($I130&lt;&gt;"",$I130,$I123)="override",$N123&lt;&gt;""),$N123,SUMIFS(Assumptions!$P$4:$P$103,Assumptions!$M$4:$M$103,$C123,Assumptions!$N$4:$N$103,$E123,Assumptions!$O$4:$O$103,"HVN"))</f>
        <v/>
      </c>
      <c r="P123" s="34">
        <f>(M123+O123)*Assumptions!$S$11</f>
        <v/>
      </c>
      <c r="Q123" s="35">
        <f>$F123*$K123*$P123</f>
        <v/>
      </c>
    </row>
    <row r="124">
      <c r="A124" s="11" t="inlineStr">
        <is>
          <t>UNIT</t>
        </is>
      </c>
      <c r="B124" s="28" t="inlineStr">
        <is>
          <t>PHILLIPS_PONCA_CITY</t>
        </is>
      </c>
      <c r="C124" s="28" t="n">
        <v>2</v>
      </c>
      <c r="D124" s="28" t="inlineStr">
        <is>
          <t>VDU</t>
        </is>
      </c>
      <c r="E124" s="28" t="inlineStr">
        <is>
          <t>VDU</t>
        </is>
      </c>
      <c r="F124" s="29" t="n">
        <v>89.04000000000001</v>
      </c>
      <c r="G124" s="30">
        <f>IFERROR(IF(INDEX(Effective!$E$3:$R$125,MATCH($B124,Effective!$A$3:$A$125,0),MATCH($D124,Effective!$E$2:$R$2,0))=0,"",INDEX(Effective!$E$3:$R$125,MATCH($B124,Effective!$A$3:$A$125,0),MATCH($D124,Effective!$E$2:$R$2,0))),"")</f>
        <v/>
      </c>
      <c r="H124" s="31" t="n"/>
      <c r="I124" s="17" t="inlineStr">
        <is>
          <t>override</t>
        </is>
      </c>
      <c r="J124" s="32" t="n">
        <v>0.65</v>
      </c>
      <c r="K124" s="33">
        <f>IF(AND(IF($I130&lt;&gt;"",$I130,$I124)="override",$J124&lt;&gt;""),$J124,SUMIFS(Assumptions!$K$4:$K$8,Assumptions!$J$4:$J$8,$C124))*Assumptions!$S$10*(1-MIN(1,MAX(N($H124),N($H130))))</f>
        <v/>
      </c>
      <c r="L124" s="32" t="n"/>
      <c r="M124" s="34">
        <f>IF(AND(IF($I130&lt;&gt;"",$I130,$I124)="override",$L124&lt;&gt;""),$L124,SUMIFS(Assumptions!$P$4:$P$103,Assumptions!$M$4:$M$103,$C124,Assumptions!$N$4:$N$103,$E124,Assumptions!$O$4:$O$103,"LVN"))</f>
        <v/>
      </c>
      <c r="N124" s="32" t="n"/>
      <c r="O124" s="34">
        <f>IF(AND(IF($I130&lt;&gt;"",$I130,$I124)="override",$N124&lt;&gt;""),$N124,SUMIFS(Assumptions!$P$4:$P$103,Assumptions!$M$4:$M$103,$C124,Assumptions!$N$4:$N$103,$E124,Assumptions!$O$4:$O$103,"HVN"))</f>
        <v/>
      </c>
      <c r="P124" s="34">
        <f>(M124+O124)*Assumptions!$S$11</f>
        <v/>
      </c>
      <c r="Q124" s="35">
        <f>$F124*$K124*$P124</f>
        <v/>
      </c>
    </row>
    <row r="125">
      <c r="A125" s="11" t="inlineStr">
        <is>
          <t>UNIT</t>
        </is>
      </c>
      <c r="B125" s="28" t="inlineStr">
        <is>
          <t>PHILLIPS_PONCA_CITY</t>
        </is>
      </c>
      <c r="C125" s="28" t="n">
        <v>2</v>
      </c>
      <c r="D125" s="28" t="inlineStr">
        <is>
          <t>FCC</t>
        </is>
      </c>
      <c r="E125" s="28" t="inlineStr">
        <is>
          <t>FCC</t>
        </is>
      </c>
      <c r="F125" s="29" t="n">
        <v>76.91</v>
      </c>
      <c r="G125" s="30">
        <f>IFERROR(IF(INDEX(Effective!$E$3:$R$125,MATCH($B125,Effective!$A$3:$A$125,0),MATCH($D125,Effective!$E$2:$R$2,0))=0,"",INDEX(Effective!$E$3:$R$125,MATCH($B125,Effective!$A$3:$A$125,0),MATCH($D125,Effective!$E$2:$R$2,0))),"")</f>
        <v/>
      </c>
      <c r="H125" s="31" t="n"/>
      <c r="I125" s="17" t="inlineStr">
        <is>
          <t>override</t>
        </is>
      </c>
      <c r="J125" s="32" t="n">
        <v>0.731</v>
      </c>
      <c r="K125" s="33">
        <f>IF(AND(IF($I130&lt;&gt;"",$I130,$I125)="override",$J125&lt;&gt;""),$J125,SUMIFS(Assumptions!$K$4:$K$8,Assumptions!$J$4:$J$8,$C125))*Assumptions!$S$10*(1-MIN(1,MAX(N($H125),N($H130))))</f>
        <v/>
      </c>
      <c r="L125" s="32" t="n"/>
      <c r="M125" s="34">
        <f>IF(AND(IF($I130&lt;&gt;"",$I130,$I125)="override",$L125&lt;&gt;""),$L125,SUMIFS(Assumptions!$P$4:$P$103,Assumptions!$M$4:$M$103,$C125,Assumptions!$N$4:$N$103,$E125,Assumptions!$O$4:$O$103,"LVN"))</f>
        <v/>
      </c>
      <c r="N125" s="32" t="n"/>
      <c r="O125" s="34">
        <f>IF(AND(IF($I130&lt;&gt;"",$I130,$I125)="override",$N125&lt;&gt;""),$N125,SUMIFS(Assumptions!$P$4:$P$103,Assumptions!$M$4:$M$103,$C125,Assumptions!$N$4:$N$103,$E125,Assumptions!$O$4:$O$103,"HVN"))</f>
        <v/>
      </c>
      <c r="P125" s="34">
        <f>(M125+O125)*Assumptions!$S$11</f>
        <v/>
      </c>
      <c r="Q125" s="35">
        <f>$F125*$K125*$P125</f>
        <v/>
      </c>
    </row>
    <row r="126">
      <c r="A126" s="11" t="inlineStr">
        <is>
          <t>UNIT</t>
        </is>
      </c>
      <c r="B126" s="28" t="inlineStr">
        <is>
          <t>PHILLIPS_PONCA_CITY</t>
        </is>
      </c>
      <c r="C126" s="28" t="n">
        <v>2</v>
      </c>
      <c r="D126" s="28" t="inlineStr">
        <is>
          <t>COKER</t>
        </is>
      </c>
      <c r="E126" s="28" t="inlineStr">
        <is>
          <t>COKER</t>
        </is>
      </c>
      <c r="F126" s="29" t="n">
        <v>27.39</v>
      </c>
      <c r="G126" s="30">
        <f>IFERROR(IF(INDEX(Effective!$E$3:$R$125,MATCH($B126,Effective!$A$3:$A$125,0),MATCH($D126,Effective!$E$2:$R$2,0))=0,"",INDEX(Effective!$E$3:$R$125,MATCH($B126,Effective!$A$3:$A$125,0),MATCH($D126,Effective!$E$2:$R$2,0))),"")</f>
        <v/>
      </c>
      <c r="H126" s="31" t="n"/>
      <c r="I126" s="17" t="inlineStr">
        <is>
          <t>override</t>
        </is>
      </c>
      <c r="J126" s="32" t="n">
        <v>0.672</v>
      </c>
      <c r="K126" s="33">
        <f>IF(AND(IF($I130&lt;&gt;"",$I130,$I126)="override",$J126&lt;&gt;""),$J126,SUMIFS(Assumptions!$K$4:$K$8,Assumptions!$J$4:$J$8,$C126))*Assumptions!$S$10*(1-MIN(1,MAX(N($H126),N($H130))))</f>
        <v/>
      </c>
      <c r="L126" s="32" t="n"/>
      <c r="M126" s="34">
        <f>IF(AND(IF($I130&lt;&gt;"",$I130,$I126)="override",$L126&lt;&gt;""),$L126,SUMIFS(Assumptions!$P$4:$P$103,Assumptions!$M$4:$M$103,$C126,Assumptions!$N$4:$N$103,$E126,Assumptions!$O$4:$O$103,"LVN"))</f>
        <v/>
      </c>
      <c r="N126" s="32" t="n"/>
      <c r="O126" s="34">
        <f>IF(AND(IF($I130&lt;&gt;"",$I130,$I126)="override",$N126&lt;&gt;""),$N126,SUMIFS(Assumptions!$P$4:$P$103,Assumptions!$M$4:$M$103,$C126,Assumptions!$N$4:$N$103,$E126,Assumptions!$O$4:$O$103,"HVN"))</f>
        <v/>
      </c>
      <c r="P126" s="34">
        <f>(M126+O126)*Assumptions!$S$11</f>
        <v/>
      </c>
      <c r="Q126" s="35">
        <f>$F126*$K126*$P126</f>
        <v/>
      </c>
    </row>
    <row r="127">
      <c r="A127" s="11" t="inlineStr">
        <is>
          <t>UNIT</t>
        </is>
      </c>
      <c r="B127" s="28" t="inlineStr">
        <is>
          <t>PHILLIPS_PONCA_CITY</t>
        </is>
      </c>
      <c r="C127" s="28" t="n">
        <v>2</v>
      </c>
      <c r="D127" s="28" t="inlineStr">
        <is>
          <t>REF</t>
        </is>
      </c>
      <c r="E127" s="28" t="inlineStr">
        <is>
          <t>REFORMER</t>
        </is>
      </c>
      <c r="F127" s="29" t="n">
        <v>49.26</v>
      </c>
      <c r="G127" s="30">
        <f>IFERROR(IF(INDEX(Effective!$E$3:$R$125,MATCH($B127,Effective!$A$3:$A$125,0),MATCH($D127,Effective!$E$2:$R$2,0))=0,"",INDEX(Effective!$E$3:$R$125,MATCH($B127,Effective!$A$3:$A$125,0),MATCH($D127,Effective!$E$2:$R$2,0))),"")</f>
        <v/>
      </c>
      <c r="H127" s="31" t="n"/>
      <c r="I127" s="17" t="inlineStr">
        <is>
          <t>override</t>
        </is>
      </c>
      <c r="J127" s="32" t="n">
        <v>0.696</v>
      </c>
      <c r="K127" s="33">
        <f>IF(AND(IF($I130&lt;&gt;"",$I130,$I127)="override",$J127&lt;&gt;""),$J127,SUMIFS(Assumptions!$K$4:$K$8,Assumptions!$J$4:$J$8,$C127))*Assumptions!$S$10*(1-MIN(1,MAX(N($H127),N($H130))))</f>
        <v/>
      </c>
      <c r="L127" s="32" t="n"/>
      <c r="M127" s="34">
        <f>IF(AND(IF($I130&lt;&gt;"",$I130,$I127)="override",$L127&lt;&gt;""),$L127,SUMIFS(Assumptions!$P$4:$P$103,Assumptions!$M$4:$M$103,$C127,Assumptions!$N$4:$N$103,$E127,Assumptions!$O$4:$O$103,"LVN"))</f>
        <v/>
      </c>
      <c r="N127" s="32" t="n"/>
      <c r="O127" s="34">
        <f>IF(AND(IF($I130&lt;&gt;"",$I130,$I127)="override",$N127&lt;&gt;""),$N127,SUMIFS(Assumptions!$P$4:$P$103,Assumptions!$M$4:$M$103,$C127,Assumptions!$N$4:$N$103,$E127,Assumptions!$O$4:$O$103,"HVN"))</f>
        <v/>
      </c>
      <c r="P127" s="34">
        <f>(M127+O127)*Assumptions!$S$11</f>
        <v/>
      </c>
      <c r="Q127" s="35">
        <f>$F127*$K127*$P127</f>
        <v/>
      </c>
    </row>
    <row r="128">
      <c r="A128" s="11" t="inlineStr">
        <is>
          <t>UNIT</t>
        </is>
      </c>
      <c r="B128" s="28" t="inlineStr">
        <is>
          <t>PHILLIPS_PONCA_CITY</t>
        </is>
      </c>
      <c r="C128" s="28" t="n">
        <v>2</v>
      </c>
      <c r="D128" s="28" t="inlineStr">
        <is>
          <t>ALKY</t>
        </is>
      </c>
      <c r="E128" s="28" t="inlineStr">
        <is>
          <t>ALKY</t>
        </is>
      </c>
      <c r="F128" s="29" t="n">
        <v>17.57</v>
      </c>
      <c r="G128" s="30">
        <f>IFERROR(IF(INDEX(Effective!$E$3:$R$125,MATCH($B128,Effective!$A$3:$A$125,0),MATCH($D128,Effective!$E$2:$R$2,0))=0,"",INDEX(Effective!$E$3:$R$125,MATCH($B128,Effective!$A$3:$A$125,0),MATCH($D128,Effective!$E$2:$R$2,0))),"")</f>
        <v/>
      </c>
      <c r="H128" s="31" t="n"/>
      <c r="I128" s="17" t="inlineStr">
        <is>
          <t>override</t>
        </is>
      </c>
      <c r="J128" s="32" t="n">
        <v>0.722</v>
      </c>
      <c r="K128" s="33">
        <f>IF(AND(IF($I130&lt;&gt;"",$I130,$I128)="override",$J128&lt;&gt;""),$J128,SUMIFS(Assumptions!$K$4:$K$8,Assumptions!$J$4:$J$8,$C128))*Assumptions!$S$10*(1-MIN(1,MAX(N($H128),N($H130))))</f>
        <v/>
      </c>
      <c r="L128" s="32" t="n"/>
      <c r="M128" s="34">
        <f>IF(AND(IF($I130&lt;&gt;"",$I130,$I128)="override",$L128&lt;&gt;""),$L128,SUMIFS(Assumptions!$P$4:$P$103,Assumptions!$M$4:$M$103,$C128,Assumptions!$N$4:$N$103,$E128,Assumptions!$O$4:$O$103,"LVN"))</f>
        <v/>
      </c>
      <c r="N128" s="32" t="n"/>
      <c r="O128" s="34">
        <f>IF(AND(IF($I130&lt;&gt;"",$I130,$I128)="override",$N128&lt;&gt;""),$N128,SUMIFS(Assumptions!$P$4:$P$103,Assumptions!$M$4:$M$103,$C128,Assumptions!$N$4:$N$103,$E128,Assumptions!$O$4:$O$103,"HVN"))</f>
        <v/>
      </c>
      <c r="P128" s="34">
        <f>(M128+O128)*Assumptions!$S$11</f>
        <v/>
      </c>
      <c r="Q128" s="35">
        <f>$F128*$K128*$P128</f>
        <v/>
      </c>
    </row>
    <row r="129">
      <c r="A129" s="11" t="inlineStr">
        <is>
          <t>UNIT</t>
        </is>
      </c>
      <c r="B129" s="28" t="inlineStr">
        <is>
          <t>PHILLIPS_PONCA_CITY</t>
        </is>
      </c>
      <c r="C129" s="28" t="n">
        <v>2</v>
      </c>
      <c r="D129" s="28" t="inlineStr">
        <is>
          <t>NHT</t>
        </is>
      </c>
      <c r="E129" s="28" t="inlineStr">
        <is>
          <t>NHT</t>
        </is>
      </c>
      <c r="F129" s="29" t="n">
        <v>51.51</v>
      </c>
      <c r="G129" s="30">
        <f>IFERROR(IF(INDEX(Effective!$E$3:$R$125,MATCH($B129,Effective!$A$3:$A$125,0),MATCH($D129,Effective!$E$2:$R$2,0))=0,"",INDEX(Effective!$E$3:$R$125,MATCH($B129,Effective!$A$3:$A$125,0),MATCH($D129,Effective!$E$2:$R$2,0))),"")</f>
        <v/>
      </c>
      <c r="H129" s="31" t="n"/>
      <c r="I129" s="17" t="inlineStr">
        <is>
          <t>override</t>
        </is>
      </c>
      <c r="J129" s="32" t="n">
        <v>0.994</v>
      </c>
      <c r="K129" s="33">
        <f>IF(AND(IF($I130&lt;&gt;"",$I130,$I129)="override",$J129&lt;&gt;""),$J129,SUMIFS(Assumptions!$K$4:$K$8,Assumptions!$J$4:$J$8,$C129))*Assumptions!$S$10*(1-MIN(1,MAX(N($H129),N($H130))))</f>
        <v/>
      </c>
      <c r="L129" s="32" t="n"/>
      <c r="M129" s="34">
        <f>IF(AND(IF($I130&lt;&gt;"",$I130,$I129)="override",$L129&lt;&gt;""),$L129,SUMIFS(Assumptions!$P$4:$P$103,Assumptions!$M$4:$M$103,$C129,Assumptions!$N$4:$N$103,$E129,Assumptions!$O$4:$O$103,"LVN"))</f>
        <v/>
      </c>
      <c r="N129" s="32" t="n"/>
      <c r="O129" s="34">
        <f>IF(AND(IF($I130&lt;&gt;"",$I130,$I129)="override",$N129&lt;&gt;""),$N129,SUMIFS(Assumptions!$P$4:$P$103,Assumptions!$M$4:$M$103,$C129,Assumptions!$N$4:$N$103,$E129,Assumptions!$O$4:$O$103,"HVN"))</f>
        <v/>
      </c>
      <c r="P129" s="34">
        <f>(M129+O129)*Assumptions!$S$11</f>
        <v/>
      </c>
      <c r="Q129" s="35">
        <f>$F129*$K129*$P129</f>
        <v/>
      </c>
    </row>
    <row r="130">
      <c r="A130" s="24" t="inlineStr">
        <is>
          <t>TOTAL</t>
        </is>
      </c>
      <c r="B130" s="36" t="inlineStr">
        <is>
          <t>PHILLIPS_PONCA_CITY</t>
        </is>
      </c>
      <c r="C130" s="36" t="n">
        <v>2</v>
      </c>
      <c r="D130" s="36" t="inlineStr">
        <is>
          <t>NET NAPHTHA</t>
        </is>
      </c>
      <c r="H130" s="31" t="n"/>
      <c r="I130" s="17" t="n"/>
      <c r="Q130" s="37">
        <f>SUM(Q123:Q129)</f>
        <v/>
      </c>
    </row>
    <row r="132" ht="20" customHeight="1">
      <c r="A132" s="8">
        <f>"  Citgo Lemont  [CITGO_LEMONT]   —   PDVSA   —   PADD 2   —   crude "&amp;TEXT(SUMIFS(Data!$G$3:$G$125,Data!$A$3:$A$125,"CITGO_LEMONT"),"#,##0")&amp;" kbd"</f>
        <v/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</row>
    <row r="133">
      <c r="A133" s="11" t="inlineStr">
        <is>
          <t>UNIT</t>
        </is>
      </c>
      <c r="B133" s="28" t="inlineStr">
        <is>
          <t>CITGO_LEMONT</t>
        </is>
      </c>
      <c r="C133" s="28" t="n">
        <v>2</v>
      </c>
      <c r="D133" s="28" t="inlineStr">
        <is>
          <t>CDU</t>
        </is>
      </c>
      <c r="E133" s="28" t="inlineStr">
        <is>
          <t>CDU</t>
        </is>
      </c>
      <c r="F133" s="29" t="n">
        <v>188.7</v>
      </c>
      <c r="G133" s="30">
        <f>IFERROR(IF(INDEX(Effective!$E$3:$R$125,MATCH($B133,Effective!$A$3:$A$125,0),MATCH($D133,Effective!$E$2:$R$2,0))=0,"",INDEX(Effective!$E$3:$R$125,MATCH($B133,Effective!$A$3:$A$125,0),MATCH($D133,Effective!$E$2:$R$2,0))),"")</f>
        <v/>
      </c>
      <c r="H133" s="31" t="n"/>
      <c r="I133" s="17" t="inlineStr">
        <is>
          <t>override</t>
        </is>
      </c>
      <c r="J133" s="32" t="n">
        <v>0.918</v>
      </c>
      <c r="K133" s="33">
        <f>IF(AND(IF($I140&lt;&gt;"",$I140,$I133)="override",$J133&lt;&gt;""),$J133,SUMIFS(Assumptions!$K$4:$K$8,Assumptions!$J$4:$J$8,$C133))*Assumptions!$S$10*(1-MIN(1,MAX(N($H133),N($H140))))</f>
        <v/>
      </c>
      <c r="L133" s="32" t="n"/>
      <c r="M133" s="34">
        <f>IF(AND(IF($I140&lt;&gt;"",$I140,$I133)="override",$L133&lt;&gt;""),$L133,SUMIFS(Assumptions!$P$4:$P$103,Assumptions!$M$4:$M$103,$C133,Assumptions!$N$4:$N$103,$E133,Assumptions!$O$4:$O$103,"LVN"))</f>
        <v/>
      </c>
      <c r="N133" s="32" t="n"/>
      <c r="O133" s="34">
        <f>IF(AND(IF($I140&lt;&gt;"",$I140,$I133)="override",$N133&lt;&gt;""),$N133,SUMIFS(Assumptions!$P$4:$P$103,Assumptions!$M$4:$M$103,$C133,Assumptions!$N$4:$N$103,$E133,Assumptions!$O$4:$O$103,"HVN"))</f>
        <v/>
      </c>
      <c r="P133" s="34">
        <f>(M133+O133)*Assumptions!$S$11</f>
        <v/>
      </c>
      <c r="Q133" s="35">
        <f>$F133*$K133*$P133</f>
        <v/>
      </c>
    </row>
    <row r="134">
      <c r="A134" s="11" t="inlineStr">
        <is>
          <t>UNIT</t>
        </is>
      </c>
      <c r="B134" s="28" t="inlineStr">
        <is>
          <t>CITGO_LEMONT</t>
        </is>
      </c>
      <c r="C134" s="28" t="n">
        <v>2</v>
      </c>
      <c r="D134" s="28" t="inlineStr">
        <is>
          <t>VDU</t>
        </is>
      </c>
      <c r="E134" s="28" t="inlineStr">
        <is>
          <t>VDU</t>
        </is>
      </c>
      <c r="F134" s="29" t="n">
        <v>77.2</v>
      </c>
      <c r="G134" s="30">
        <f>IFERROR(IF(INDEX(Effective!$E$3:$R$125,MATCH($B134,Effective!$A$3:$A$125,0),MATCH($D134,Effective!$E$2:$R$2,0))=0,"",INDEX(Effective!$E$3:$R$125,MATCH($B134,Effective!$A$3:$A$125,0),MATCH($D134,Effective!$E$2:$R$2,0))),"")</f>
        <v/>
      </c>
      <c r="H134" s="31" t="n"/>
      <c r="I134" s="17" t="inlineStr">
        <is>
          <t>override</t>
        </is>
      </c>
      <c r="J134" s="32" t="n">
        <v>0.995</v>
      </c>
      <c r="K134" s="33">
        <f>IF(AND(IF($I140&lt;&gt;"",$I140,$I134)="override",$J134&lt;&gt;""),$J134,SUMIFS(Assumptions!$K$4:$K$8,Assumptions!$J$4:$J$8,$C134))*Assumptions!$S$10*(1-MIN(1,MAX(N($H134),N($H140))))</f>
        <v/>
      </c>
      <c r="L134" s="32" t="n"/>
      <c r="M134" s="34">
        <f>IF(AND(IF($I140&lt;&gt;"",$I140,$I134)="override",$L134&lt;&gt;""),$L134,SUMIFS(Assumptions!$P$4:$P$103,Assumptions!$M$4:$M$103,$C134,Assumptions!$N$4:$N$103,$E134,Assumptions!$O$4:$O$103,"LVN"))</f>
        <v/>
      </c>
      <c r="N134" s="32" t="n"/>
      <c r="O134" s="34">
        <f>IF(AND(IF($I140&lt;&gt;"",$I140,$I134)="override",$N134&lt;&gt;""),$N134,SUMIFS(Assumptions!$P$4:$P$103,Assumptions!$M$4:$M$103,$C134,Assumptions!$N$4:$N$103,$E134,Assumptions!$O$4:$O$103,"HVN"))</f>
        <v/>
      </c>
      <c r="P134" s="34">
        <f>(M134+O134)*Assumptions!$S$11</f>
        <v/>
      </c>
      <c r="Q134" s="35">
        <f>$F134*$K134*$P134</f>
        <v/>
      </c>
    </row>
    <row r="135">
      <c r="A135" s="11" t="inlineStr">
        <is>
          <t>UNIT</t>
        </is>
      </c>
      <c r="B135" s="28" t="inlineStr">
        <is>
          <t>CITGO_LEMONT</t>
        </is>
      </c>
      <c r="C135" s="28" t="n">
        <v>2</v>
      </c>
      <c r="D135" s="28" t="inlineStr">
        <is>
          <t>FCC</t>
        </is>
      </c>
      <c r="E135" s="28" t="inlineStr">
        <is>
          <t>FCC</t>
        </is>
      </c>
      <c r="F135" s="29" t="n">
        <v>69.5</v>
      </c>
      <c r="G135" s="30">
        <f>IFERROR(IF(INDEX(Effective!$E$3:$R$125,MATCH($B135,Effective!$A$3:$A$125,0),MATCH($D135,Effective!$E$2:$R$2,0))=0,"",INDEX(Effective!$E$3:$R$125,MATCH($B135,Effective!$A$3:$A$125,0),MATCH($D135,Effective!$E$2:$R$2,0))),"")</f>
        <v/>
      </c>
      <c r="H135" s="31" t="n"/>
      <c r="I135" s="17" t="inlineStr">
        <is>
          <t>override</t>
        </is>
      </c>
      <c r="J135" s="32" t="n">
        <v>1</v>
      </c>
      <c r="K135" s="33">
        <f>IF(AND(IF($I140&lt;&gt;"",$I140,$I135)="override",$J135&lt;&gt;""),$J135,SUMIFS(Assumptions!$K$4:$K$8,Assumptions!$J$4:$J$8,$C135))*Assumptions!$S$10*(1-MIN(1,MAX(N($H135),N($H140))))</f>
        <v/>
      </c>
      <c r="L135" s="32" t="n"/>
      <c r="M135" s="34">
        <f>IF(AND(IF($I140&lt;&gt;"",$I140,$I135)="override",$L135&lt;&gt;""),$L135,SUMIFS(Assumptions!$P$4:$P$103,Assumptions!$M$4:$M$103,$C135,Assumptions!$N$4:$N$103,$E135,Assumptions!$O$4:$O$103,"LVN"))</f>
        <v/>
      </c>
      <c r="N135" s="32" t="n"/>
      <c r="O135" s="34">
        <f>IF(AND(IF($I140&lt;&gt;"",$I140,$I135)="override",$N135&lt;&gt;""),$N135,SUMIFS(Assumptions!$P$4:$P$103,Assumptions!$M$4:$M$103,$C135,Assumptions!$N$4:$N$103,$E135,Assumptions!$O$4:$O$103,"HVN"))</f>
        <v/>
      </c>
      <c r="P135" s="34">
        <f>(M135+O135)*Assumptions!$S$11</f>
        <v/>
      </c>
      <c r="Q135" s="35">
        <f>$F135*$K135*$P135</f>
        <v/>
      </c>
    </row>
    <row r="136">
      <c r="A136" s="11" t="inlineStr">
        <is>
          <t>UNIT</t>
        </is>
      </c>
      <c r="B136" s="28" t="inlineStr">
        <is>
          <t>CITGO_LEMONT</t>
        </is>
      </c>
      <c r="C136" s="28" t="n">
        <v>2</v>
      </c>
      <c r="D136" s="28" t="inlineStr">
        <is>
          <t>COKER</t>
        </is>
      </c>
      <c r="E136" s="28" t="inlineStr">
        <is>
          <t>COKER</t>
        </is>
      </c>
      <c r="F136" s="29" t="n">
        <v>41.15</v>
      </c>
      <c r="G136" s="30">
        <f>IFERROR(IF(INDEX(Effective!$E$3:$R$125,MATCH($B136,Effective!$A$3:$A$125,0),MATCH($D136,Effective!$E$2:$R$2,0))=0,"",INDEX(Effective!$E$3:$R$125,MATCH($B136,Effective!$A$3:$A$125,0),MATCH($D136,Effective!$E$2:$R$2,0))),"")</f>
        <v/>
      </c>
      <c r="H136" s="31" t="n"/>
      <c r="I136" s="17" t="inlineStr">
        <is>
          <t>override</t>
        </is>
      </c>
      <c r="J136" s="32" t="n">
        <v>0.99</v>
      </c>
      <c r="K136" s="33">
        <f>IF(AND(IF($I140&lt;&gt;"",$I140,$I136)="override",$J136&lt;&gt;""),$J136,SUMIFS(Assumptions!$K$4:$K$8,Assumptions!$J$4:$J$8,$C136))*Assumptions!$S$10*(1-MIN(1,MAX(N($H136),N($H140))))</f>
        <v/>
      </c>
      <c r="L136" s="32" t="n"/>
      <c r="M136" s="34">
        <f>IF(AND(IF($I140&lt;&gt;"",$I140,$I136)="override",$L136&lt;&gt;""),$L136,SUMIFS(Assumptions!$P$4:$P$103,Assumptions!$M$4:$M$103,$C136,Assumptions!$N$4:$N$103,$E136,Assumptions!$O$4:$O$103,"LVN"))</f>
        <v/>
      </c>
      <c r="N136" s="32" t="n"/>
      <c r="O136" s="34">
        <f>IF(AND(IF($I140&lt;&gt;"",$I140,$I136)="override",$N136&lt;&gt;""),$N136,SUMIFS(Assumptions!$P$4:$P$103,Assumptions!$M$4:$M$103,$C136,Assumptions!$N$4:$N$103,$E136,Assumptions!$O$4:$O$103,"HVN"))</f>
        <v/>
      </c>
      <c r="P136" s="34">
        <f>(M136+O136)*Assumptions!$S$11</f>
        <v/>
      </c>
      <c r="Q136" s="35">
        <f>$F136*$K136*$P136</f>
        <v/>
      </c>
    </row>
    <row r="137">
      <c r="A137" s="11" t="inlineStr">
        <is>
          <t>UNIT</t>
        </is>
      </c>
      <c r="B137" s="28" t="inlineStr">
        <is>
          <t>CITGO_LEMONT</t>
        </is>
      </c>
      <c r="C137" s="28" t="n">
        <v>2</v>
      </c>
      <c r="D137" s="28" t="inlineStr">
        <is>
          <t>REF</t>
        </is>
      </c>
      <c r="E137" s="28" t="inlineStr">
        <is>
          <t>REFORMER</t>
        </is>
      </c>
      <c r="F137" s="29" t="n">
        <v>35.8</v>
      </c>
      <c r="G137" s="30">
        <f>IFERROR(IF(INDEX(Effective!$E$3:$R$125,MATCH($B137,Effective!$A$3:$A$125,0),MATCH($D137,Effective!$E$2:$R$2,0))=0,"",INDEX(Effective!$E$3:$R$125,MATCH($B137,Effective!$A$3:$A$125,0),MATCH($D137,Effective!$E$2:$R$2,0))),"")</f>
        <v/>
      </c>
      <c r="H137" s="31" t="n"/>
      <c r="I137" s="17" t="inlineStr">
        <is>
          <t>override</t>
        </is>
      </c>
      <c r="J137" s="32" t="n"/>
      <c r="K137" s="33">
        <f>IF(AND(IF($I140&lt;&gt;"",$I140,$I137)="override",$J137&lt;&gt;""),$J137,SUMIFS(Assumptions!$K$4:$K$8,Assumptions!$J$4:$J$8,$C137))*Assumptions!$S$10*(1-MIN(1,MAX(N($H137),N($H140))))</f>
        <v/>
      </c>
      <c r="L137" s="32" t="n"/>
      <c r="M137" s="34">
        <f>IF(AND(IF($I140&lt;&gt;"",$I140,$I137)="override",$L137&lt;&gt;""),$L137,SUMIFS(Assumptions!$P$4:$P$103,Assumptions!$M$4:$M$103,$C137,Assumptions!$N$4:$N$103,$E137,Assumptions!$O$4:$O$103,"LVN"))</f>
        <v/>
      </c>
      <c r="N137" s="32" t="n"/>
      <c r="O137" s="34">
        <f>IF(AND(IF($I140&lt;&gt;"",$I140,$I137)="override",$N137&lt;&gt;""),$N137,SUMIFS(Assumptions!$P$4:$P$103,Assumptions!$M$4:$M$103,$C137,Assumptions!$N$4:$N$103,$E137,Assumptions!$O$4:$O$103,"HVN"))</f>
        <v/>
      </c>
      <c r="P137" s="34">
        <f>(M137+O137)*Assumptions!$S$11</f>
        <v/>
      </c>
      <c r="Q137" s="35">
        <f>$F137*$K137*$P137</f>
        <v/>
      </c>
    </row>
    <row r="138">
      <c r="A138" s="11" t="inlineStr">
        <is>
          <t>UNIT</t>
        </is>
      </c>
      <c r="B138" s="28" t="inlineStr">
        <is>
          <t>CITGO_LEMONT</t>
        </is>
      </c>
      <c r="C138" s="28" t="n">
        <v>2</v>
      </c>
      <c r="D138" s="28" t="inlineStr">
        <is>
          <t>ALKY</t>
        </is>
      </c>
      <c r="E138" s="28" t="inlineStr">
        <is>
          <t>ALKY</t>
        </is>
      </c>
      <c r="F138" s="29" t="n">
        <v>23</v>
      </c>
      <c r="G138" s="30">
        <f>IFERROR(IF(INDEX(Effective!$E$3:$R$125,MATCH($B138,Effective!$A$3:$A$125,0),MATCH($D138,Effective!$E$2:$R$2,0))=0,"",INDEX(Effective!$E$3:$R$125,MATCH($B138,Effective!$A$3:$A$125,0),MATCH($D138,Effective!$E$2:$R$2,0))),"")</f>
        <v/>
      </c>
      <c r="H138" s="31" t="n"/>
      <c r="I138" s="17" t="inlineStr">
        <is>
          <t>override</t>
        </is>
      </c>
      <c r="J138" s="32" t="n">
        <v>1.099</v>
      </c>
      <c r="K138" s="33">
        <f>IF(AND(IF($I140&lt;&gt;"",$I140,$I138)="override",$J138&lt;&gt;""),$J138,SUMIFS(Assumptions!$K$4:$K$8,Assumptions!$J$4:$J$8,$C138))*Assumptions!$S$10*(1-MIN(1,MAX(N($H138),N($H140))))</f>
        <v/>
      </c>
      <c r="L138" s="32" t="n"/>
      <c r="M138" s="34">
        <f>IF(AND(IF($I140&lt;&gt;"",$I140,$I138)="override",$L138&lt;&gt;""),$L138,SUMIFS(Assumptions!$P$4:$P$103,Assumptions!$M$4:$M$103,$C138,Assumptions!$N$4:$N$103,$E138,Assumptions!$O$4:$O$103,"LVN"))</f>
        <v/>
      </c>
      <c r="N138" s="32" t="n"/>
      <c r="O138" s="34">
        <f>IF(AND(IF($I140&lt;&gt;"",$I140,$I138)="override",$N138&lt;&gt;""),$N138,SUMIFS(Assumptions!$P$4:$P$103,Assumptions!$M$4:$M$103,$C138,Assumptions!$N$4:$N$103,$E138,Assumptions!$O$4:$O$103,"HVN"))</f>
        <v/>
      </c>
      <c r="P138" s="34">
        <f>(M138+O138)*Assumptions!$S$11</f>
        <v/>
      </c>
      <c r="Q138" s="35">
        <f>$F138*$K138*$P138</f>
        <v/>
      </c>
    </row>
    <row r="139">
      <c r="A139" s="11" t="inlineStr">
        <is>
          <t>UNIT</t>
        </is>
      </c>
      <c r="B139" s="28" t="inlineStr">
        <is>
          <t>CITGO_LEMONT</t>
        </is>
      </c>
      <c r="C139" s="28" t="n">
        <v>2</v>
      </c>
      <c r="D139" s="28" t="inlineStr">
        <is>
          <t>NHT</t>
        </is>
      </c>
      <c r="E139" s="28" t="inlineStr">
        <is>
          <t>NHT</t>
        </is>
      </c>
      <c r="F139" s="29" t="n">
        <v>111.3</v>
      </c>
      <c r="G139" s="30">
        <f>IFERROR(IF(INDEX(Effective!$E$3:$R$125,MATCH($B139,Effective!$A$3:$A$125,0),MATCH($D139,Effective!$E$2:$R$2,0))=0,"",INDEX(Effective!$E$3:$R$125,MATCH($B139,Effective!$A$3:$A$125,0),MATCH($D139,Effective!$E$2:$R$2,0))),"")</f>
        <v/>
      </c>
      <c r="H139" s="31" t="n"/>
      <c r="I139" s="17" t="inlineStr">
        <is>
          <t>override</t>
        </is>
      </c>
      <c r="J139" s="32" t="n">
        <v>0.855</v>
      </c>
      <c r="K139" s="33">
        <f>IF(AND(IF($I140&lt;&gt;"",$I140,$I139)="override",$J139&lt;&gt;""),$J139,SUMIFS(Assumptions!$K$4:$K$8,Assumptions!$J$4:$J$8,$C139))*Assumptions!$S$10*(1-MIN(1,MAX(N($H139),N($H140))))</f>
        <v/>
      </c>
      <c r="L139" s="32" t="n"/>
      <c r="M139" s="34">
        <f>IF(AND(IF($I140&lt;&gt;"",$I140,$I139)="override",$L139&lt;&gt;""),$L139,SUMIFS(Assumptions!$P$4:$P$103,Assumptions!$M$4:$M$103,$C139,Assumptions!$N$4:$N$103,$E139,Assumptions!$O$4:$O$103,"LVN"))</f>
        <v/>
      </c>
      <c r="N139" s="32" t="n"/>
      <c r="O139" s="34">
        <f>IF(AND(IF($I140&lt;&gt;"",$I140,$I139)="override",$N139&lt;&gt;""),$N139,SUMIFS(Assumptions!$P$4:$P$103,Assumptions!$M$4:$M$103,$C139,Assumptions!$N$4:$N$103,$E139,Assumptions!$O$4:$O$103,"HVN"))</f>
        <v/>
      </c>
      <c r="P139" s="34">
        <f>(M139+O139)*Assumptions!$S$11</f>
        <v/>
      </c>
      <c r="Q139" s="35">
        <f>$F139*$K139*$P139</f>
        <v/>
      </c>
    </row>
    <row r="140">
      <c r="A140" s="24" t="inlineStr">
        <is>
          <t>TOTAL</t>
        </is>
      </c>
      <c r="B140" s="36" t="inlineStr">
        <is>
          <t>CITGO_LEMONT</t>
        </is>
      </c>
      <c r="C140" s="36" t="n">
        <v>2</v>
      </c>
      <c r="D140" s="36" t="inlineStr">
        <is>
          <t>NET NAPHTHA</t>
        </is>
      </c>
      <c r="H140" s="31" t="n"/>
      <c r="I140" s="17" t="n"/>
      <c r="Q140" s="37">
        <f>SUM(Q133:Q139)</f>
        <v/>
      </c>
    </row>
    <row r="142" ht="20" customHeight="1">
      <c r="A142" s="8">
        <f>"  Cenovus Lima  [CENOVUS_LIMA]   —   Cenovus   —   PADD 2   —   crude "&amp;TEXT(SUMIFS(Data!$G$3:$G$125,Data!$A$3:$A$125,"CENOVUS_LIMA"),"#,##0")&amp;" kbd"</f>
        <v/>
      </c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</row>
    <row r="143">
      <c r="A143" s="11" t="inlineStr">
        <is>
          <t>UNIT</t>
        </is>
      </c>
      <c r="B143" s="28" t="inlineStr">
        <is>
          <t>CENOVUS_LIMA</t>
        </is>
      </c>
      <c r="C143" s="28" t="n">
        <v>2</v>
      </c>
      <c r="D143" s="28" t="inlineStr">
        <is>
          <t>CDU</t>
        </is>
      </c>
      <c r="E143" s="28" t="inlineStr">
        <is>
          <t>CDU</t>
        </is>
      </c>
      <c r="F143" s="29" t="n">
        <v>185</v>
      </c>
      <c r="G143" s="30">
        <f>IFERROR(IF(INDEX(Effective!$E$3:$R$125,MATCH($B143,Effective!$A$3:$A$125,0),MATCH($D143,Effective!$E$2:$R$2,0))=0,"",INDEX(Effective!$E$3:$R$125,MATCH($B143,Effective!$A$3:$A$125,0),MATCH($D143,Effective!$E$2:$R$2,0))),"")</f>
        <v/>
      </c>
      <c r="H143" s="31" t="n"/>
      <c r="I143" s="17" t="inlineStr">
        <is>
          <t>override</t>
        </is>
      </c>
      <c r="J143" s="32" t="n">
        <v>0.824</v>
      </c>
      <c r="K143" s="33">
        <f>IF(AND(IF($I151&lt;&gt;"",$I151,$I143)="override",$J143&lt;&gt;""),$J143,SUMIFS(Assumptions!$K$4:$K$8,Assumptions!$J$4:$J$8,$C143))*Assumptions!$S$10*(1-MIN(1,MAX(N($H143),N($H151))))</f>
        <v/>
      </c>
      <c r="L143" s="32" t="n"/>
      <c r="M143" s="34">
        <f>IF(AND(IF($I151&lt;&gt;"",$I151,$I143)="override",$L143&lt;&gt;""),$L143,SUMIFS(Assumptions!$P$4:$P$103,Assumptions!$M$4:$M$103,$C143,Assumptions!$N$4:$N$103,$E143,Assumptions!$O$4:$O$103,"LVN"))</f>
        <v/>
      </c>
      <c r="N143" s="32" t="n"/>
      <c r="O143" s="34">
        <f>IF(AND(IF($I151&lt;&gt;"",$I151,$I143)="override",$N143&lt;&gt;""),$N143,SUMIFS(Assumptions!$P$4:$P$103,Assumptions!$M$4:$M$103,$C143,Assumptions!$N$4:$N$103,$E143,Assumptions!$O$4:$O$103,"HVN"))</f>
        <v/>
      </c>
      <c r="P143" s="34">
        <f>(M143+O143)*Assumptions!$S$11</f>
        <v/>
      </c>
      <c r="Q143" s="35">
        <f>$F143*$K143*$P143</f>
        <v/>
      </c>
    </row>
    <row r="144">
      <c r="A144" s="11" t="inlineStr">
        <is>
          <t>UNIT</t>
        </is>
      </c>
      <c r="B144" s="28" t="inlineStr">
        <is>
          <t>CENOVUS_LIMA</t>
        </is>
      </c>
      <c r="C144" s="28" t="n">
        <v>2</v>
      </c>
      <c r="D144" s="28" t="inlineStr">
        <is>
          <t>VDU</t>
        </is>
      </c>
      <c r="E144" s="28" t="inlineStr">
        <is>
          <t>VDU</t>
        </is>
      </c>
      <c r="F144" s="29" t="n">
        <v>57</v>
      </c>
      <c r="G144" s="30">
        <f>IFERROR(IF(INDEX(Effective!$E$3:$R$125,MATCH($B144,Effective!$A$3:$A$125,0),MATCH($D144,Effective!$E$2:$R$2,0))=0,"",INDEX(Effective!$E$3:$R$125,MATCH($B144,Effective!$A$3:$A$125,0),MATCH($D144,Effective!$E$2:$R$2,0))),"")</f>
        <v/>
      </c>
      <c r="H144" s="31" t="n"/>
      <c r="I144" s="17" t="inlineStr">
        <is>
          <t>override</t>
        </is>
      </c>
      <c r="J144" s="32" t="n">
        <v>0.984</v>
      </c>
      <c r="K144" s="33">
        <f>IF(AND(IF($I151&lt;&gt;"",$I151,$I144)="override",$J144&lt;&gt;""),$J144,SUMIFS(Assumptions!$K$4:$K$8,Assumptions!$J$4:$J$8,$C144))*Assumptions!$S$10*(1-MIN(1,MAX(N($H144),N($H151))))</f>
        <v/>
      </c>
      <c r="L144" s="32" t="n"/>
      <c r="M144" s="34">
        <f>IF(AND(IF($I151&lt;&gt;"",$I151,$I144)="override",$L144&lt;&gt;""),$L144,SUMIFS(Assumptions!$P$4:$P$103,Assumptions!$M$4:$M$103,$C144,Assumptions!$N$4:$N$103,$E144,Assumptions!$O$4:$O$103,"LVN"))</f>
        <v/>
      </c>
      <c r="N144" s="32" t="n"/>
      <c r="O144" s="34">
        <f>IF(AND(IF($I151&lt;&gt;"",$I151,$I144)="override",$N144&lt;&gt;""),$N144,SUMIFS(Assumptions!$P$4:$P$103,Assumptions!$M$4:$M$103,$C144,Assumptions!$N$4:$N$103,$E144,Assumptions!$O$4:$O$103,"HVN"))</f>
        <v/>
      </c>
      <c r="P144" s="34">
        <f>(M144+O144)*Assumptions!$S$11</f>
        <v/>
      </c>
      <c r="Q144" s="35">
        <f>$F144*$K144*$P144</f>
        <v/>
      </c>
    </row>
    <row r="145">
      <c r="A145" s="11" t="inlineStr">
        <is>
          <t>UNIT</t>
        </is>
      </c>
      <c r="B145" s="28" t="inlineStr">
        <is>
          <t>CENOVUS_LIMA</t>
        </is>
      </c>
      <c r="C145" s="28" t="n">
        <v>2</v>
      </c>
      <c r="D145" s="28" t="inlineStr">
        <is>
          <t>FCC</t>
        </is>
      </c>
      <c r="E145" s="28" t="inlineStr">
        <is>
          <t>FCC</t>
        </is>
      </c>
      <c r="F145" s="29" t="n">
        <v>45.3</v>
      </c>
      <c r="G145" s="30">
        <f>IFERROR(IF(INDEX(Effective!$E$3:$R$125,MATCH($B145,Effective!$A$3:$A$125,0),MATCH($D145,Effective!$E$2:$R$2,0))=0,"",INDEX(Effective!$E$3:$R$125,MATCH($B145,Effective!$A$3:$A$125,0),MATCH($D145,Effective!$E$2:$R$2,0))),"")</f>
        <v/>
      </c>
      <c r="H145" s="31" t="n"/>
      <c r="I145" s="17" t="inlineStr">
        <is>
          <t>override</t>
        </is>
      </c>
      <c r="J145" s="32" t="n">
        <v>0.726</v>
      </c>
      <c r="K145" s="33">
        <f>IF(AND(IF($I151&lt;&gt;"",$I151,$I145)="override",$J145&lt;&gt;""),$J145,SUMIFS(Assumptions!$K$4:$K$8,Assumptions!$J$4:$J$8,$C145))*Assumptions!$S$10*(1-MIN(1,MAX(N($H145),N($H151))))</f>
        <v/>
      </c>
      <c r="L145" s="32" t="n"/>
      <c r="M145" s="34">
        <f>IF(AND(IF($I151&lt;&gt;"",$I151,$I145)="override",$L145&lt;&gt;""),$L145,SUMIFS(Assumptions!$P$4:$P$103,Assumptions!$M$4:$M$103,$C145,Assumptions!$N$4:$N$103,$E145,Assumptions!$O$4:$O$103,"LVN"))</f>
        <v/>
      </c>
      <c r="N145" s="32" t="n"/>
      <c r="O145" s="34">
        <f>IF(AND(IF($I151&lt;&gt;"",$I151,$I145)="override",$N145&lt;&gt;""),$N145,SUMIFS(Assumptions!$P$4:$P$103,Assumptions!$M$4:$M$103,$C145,Assumptions!$N$4:$N$103,$E145,Assumptions!$O$4:$O$103,"HVN"))</f>
        <v/>
      </c>
      <c r="P145" s="34">
        <f>(M145+O145)*Assumptions!$S$11</f>
        <v/>
      </c>
      <c r="Q145" s="35">
        <f>$F145*$K145*$P145</f>
        <v/>
      </c>
    </row>
    <row r="146">
      <c r="A146" s="11" t="inlineStr">
        <is>
          <t>UNIT</t>
        </is>
      </c>
      <c r="B146" s="28" t="inlineStr">
        <is>
          <t>CENOVUS_LIMA</t>
        </is>
      </c>
      <c r="C146" s="28" t="n">
        <v>2</v>
      </c>
      <c r="D146" s="28" t="inlineStr">
        <is>
          <t>DHCU</t>
        </is>
      </c>
      <c r="E146" s="28" t="inlineStr">
        <is>
          <t>HYDROCRACKER</t>
        </is>
      </c>
      <c r="F146" s="29" t="n">
        <v>26</v>
      </c>
      <c r="G146" s="30">
        <f>IFERROR(IF(INDEX(Effective!$E$3:$R$125,MATCH($B146,Effective!$A$3:$A$125,0),MATCH($D146,Effective!$E$2:$R$2,0))=0,"",INDEX(Effective!$E$3:$R$125,MATCH($B146,Effective!$A$3:$A$125,0),MATCH($D146,Effective!$E$2:$R$2,0))),"")</f>
        <v/>
      </c>
      <c r="H146" s="31" t="n"/>
      <c r="I146" s="17" t="inlineStr">
        <is>
          <t>override</t>
        </is>
      </c>
      <c r="J146" s="32" t="n">
        <v>1</v>
      </c>
      <c r="K146" s="33">
        <f>IF(AND(IF($I151&lt;&gt;"",$I151,$I146)="override",$J146&lt;&gt;""),$J146,SUMIFS(Assumptions!$K$4:$K$8,Assumptions!$J$4:$J$8,$C146))*Assumptions!$S$10*(1-MIN(1,MAX(N($H146),N($H151))))</f>
        <v/>
      </c>
      <c r="L146" s="32" t="n"/>
      <c r="M146" s="34">
        <f>IF(AND(IF($I151&lt;&gt;"",$I151,$I146)="override",$L146&lt;&gt;""),$L146,SUMIFS(Assumptions!$P$4:$P$103,Assumptions!$M$4:$M$103,$C146,Assumptions!$N$4:$N$103,$E146,Assumptions!$O$4:$O$103,"LVN"))</f>
        <v/>
      </c>
      <c r="N146" s="32" t="n"/>
      <c r="O146" s="34">
        <f>IF(AND(IF($I151&lt;&gt;"",$I151,$I146)="override",$N146&lt;&gt;""),$N146,SUMIFS(Assumptions!$P$4:$P$103,Assumptions!$M$4:$M$103,$C146,Assumptions!$N$4:$N$103,$E146,Assumptions!$O$4:$O$103,"HVN"))</f>
        <v/>
      </c>
      <c r="P146" s="34">
        <f>(M146+O146)*Assumptions!$S$11</f>
        <v/>
      </c>
      <c r="Q146" s="35">
        <f>$F146*$K146*$P146</f>
        <v/>
      </c>
    </row>
    <row r="147">
      <c r="A147" s="11" t="inlineStr">
        <is>
          <t>UNIT</t>
        </is>
      </c>
      <c r="B147" s="28" t="inlineStr">
        <is>
          <t>CENOVUS_LIMA</t>
        </is>
      </c>
      <c r="C147" s="28" t="n">
        <v>2</v>
      </c>
      <c r="D147" s="28" t="inlineStr">
        <is>
          <t>COKER</t>
        </is>
      </c>
      <c r="E147" s="28" t="inlineStr">
        <is>
          <t>COKER</t>
        </is>
      </c>
      <c r="F147" s="29" t="n">
        <v>23</v>
      </c>
      <c r="G147" s="30">
        <f>IFERROR(IF(INDEX(Effective!$E$3:$R$125,MATCH($B147,Effective!$A$3:$A$125,0),MATCH($D147,Effective!$E$2:$R$2,0))=0,"",INDEX(Effective!$E$3:$R$125,MATCH($B147,Effective!$A$3:$A$125,0),MATCH($D147,Effective!$E$2:$R$2,0))),"")</f>
        <v/>
      </c>
      <c r="H147" s="31" t="n"/>
      <c r="I147" s="17" t="inlineStr">
        <is>
          <t>override</t>
        </is>
      </c>
      <c r="J147" s="32" t="n">
        <v>0.6850000000000001</v>
      </c>
      <c r="K147" s="33">
        <f>IF(AND(IF($I151&lt;&gt;"",$I151,$I147)="override",$J147&lt;&gt;""),$J147,SUMIFS(Assumptions!$K$4:$K$8,Assumptions!$J$4:$J$8,$C147))*Assumptions!$S$10*(1-MIN(1,MAX(N($H147),N($H151))))</f>
        <v/>
      </c>
      <c r="L147" s="32" t="n"/>
      <c r="M147" s="34">
        <f>IF(AND(IF($I151&lt;&gt;"",$I151,$I147)="override",$L147&lt;&gt;""),$L147,SUMIFS(Assumptions!$P$4:$P$103,Assumptions!$M$4:$M$103,$C147,Assumptions!$N$4:$N$103,$E147,Assumptions!$O$4:$O$103,"LVN"))</f>
        <v/>
      </c>
      <c r="N147" s="32" t="n"/>
      <c r="O147" s="34">
        <f>IF(AND(IF($I151&lt;&gt;"",$I151,$I147)="override",$N147&lt;&gt;""),$N147,SUMIFS(Assumptions!$P$4:$P$103,Assumptions!$M$4:$M$103,$C147,Assumptions!$N$4:$N$103,$E147,Assumptions!$O$4:$O$103,"HVN"))</f>
        <v/>
      </c>
      <c r="P147" s="34">
        <f>(M147+O147)*Assumptions!$S$11</f>
        <v/>
      </c>
      <c r="Q147" s="35">
        <f>$F147*$K147*$P147</f>
        <v/>
      </c>
    </row>
    <row r="148">
      <c r="A148" s="11" t="inlineStr">
        <is>
          <t>UNIT</t>
        </is>
      </c>
      <c r="B148" s="28" t="inlineStr">
        <is>
          <t>CENOVUS_LIMA</t>
        </is>
      </c>
      <c r="C148" s="28" t="n">
        <v>2</v>
      </c>
      <c r="D148" s="28" t="inlineStr">
        <is>
          <t>REF</t>
        </is>
      </c>
      <c r="E148" s="28" t="inlineStr">
        <is>
          <t>REFORMER</t>
        </is>
      </c>
      <c r="F148" s="29" t="n">
        <v>55</v>
      </c>
      <c r="G148" s="30">
        <f>IFERROR(IF(INDEX(Effective!$E$3:$R$125,MATCH($B148,Effective!$A$3:$A$125,0),MATCH($D148,Effective!$E$2:$R$2,0))=0,"",INDEX(Effective!$E$3:$R$125,MATCH($B148,Effective!$A$3:$A$125,0),MATCH($D148,Effective!$E$2:$R$2,0))),"")</f>
        <v/>
      </c>
      <c r="H148" s="31" t="n"/>
      <c r="I148" s="17" t="inlineStr">
        <is>
          <t>override</t>
        </is>
      </c>
      <c r="J148" s="32" t="n"/>
      <c r="K148" s="33">
        <f>IF(AND(IF($I151&lt;&gt;"",$I151,$I148)="override",$J148&lt;&gt;""),$J148,SUMIFS(Assumptions!$K$4:$K$8,Assumptions!$J$4:$J$8,$C148))*Assumptions!$S$10*(1-MIN(1,MAX(N($H148),N($H151))))</f>
        <v/>
      </c>
      <c r="L148" s="32" t="n"/>
      <c r="M148" s="34">
        <f>IF(AND(IF($I151&lt;&gt;"",$I151,$I148)="override",$L148&lt;&gt;""),$L148,SUMIFS(Assumptions!$P$4:$P$103,Assumptions!$M$4:$M$103,$C148,Assumptions!$N$4:$N$103,$E148,Assumptions!$O$4:$O$103,"LVN"))</f>
        <v/>
      </c>
      <c r="N148" s="32" t="n"/>
      <c r="O148" s="34">
        <f>IF(AND(IF($I151&lt;&gt;"",$I151,$I148)="override",$N148&lt;&gt;""),$N148,SUMIFS(Assumptions!$P$4:$P$103,Assumptions!$M$4:$M$103,$C148,Assumptions!$N$4:$N$103,$E148,Assumptions!$O$4:$O$103,"HVN"))</f>
        <v/>
      </c>
      <c r="P148" s="34">
        <f>(M148+O148)*Assumptions!$S$11</f>
        <v/>
      </c>
      <c r="Q148" s="35">
        <f>$F148*$K148*$P148</f>
        <v/>
      </c>
    </row>
    <row r="149">
      <c r="A149" s="11" t="inlineStr">
        <is>
          <t>UNIT</t>
        </is>
      </c>
      <c r="B149" s="28" t="inlineStr">
        <is>
          <t>CENOVUS_LIMA</t>
        </is>
      </c>
      <c r="C149" s="28" t="n">
        <v>2</v>
      </c>
      <c r="D149" s="28" t="inlineStr">
        <is>
          <t>ISOM</t>
        </is>
      </c>
      <c r="E149" s="28" t="inlineStr">
        <is>
          <t>ISOM</t>
        </is>
      </c>
      <c r="F149" s="29" t="n">
        <v>18.7</v>
      </c>
      <c r="G149" s="30">
        <f>IFERROR(IF(INDEX(Effective!$E$3:$R$125,MATCH($B149,Effective!$A$3:$A$125,0),MATCH($D149,Effective!$E$2:$R$2,0))=0,"",INDEX(Effective!$E$3:$R$125,MATCH($B149,Effective!$A$3:$A$125,0),MATCH($D149,Effective!$E$2:$R$2,0))),"")</f>
        <v/>
      </c>
      <c r="H149" s="31" t="n"/>
      <c r="I149" s="17" t="inlineStr">
        <is>
          <t>override</t>
        </is>
      </c>
      <c r="J149" s="32" t="n">
        <v>0.888</v>
      </c>
      <c r="K149" s="33">
        <f>IF(AND(IF($I151&lt;&gt;"",$I151,$I149)="override",$J149&lt;&gt;""),$J149,SUMIFS(Assumptions!$K$4:$K$8,Assumptions!$J$4:$J$8,$C149))*Assumptions!$S$10*(1-MIN(1,MAX(N($H149),N($H151))))</f>
        <v/>
      </c>
      <c r="L149" s="32" t="n"/>
      <c r="M149" s="34">
        <f>IF(AND(IF($I151&lt;&gt;"",$I151,$I149)="override",$L149&lt;&gt;""),$L149,SUMIFS(Assumptions!$P$4:$P$103,Assumptions!$M$4:$M$103,$C149,Assumptions!$N$4:$N$103,$E149,Assumptions!$O$4:$O$103,"LVN"))</f>
        <v/>
      </c>
      <c r="N149" s="32" t="n"/>
      <c r="O149" s="34">
        <f>IF(AND(IF($I151&lt;&gt;"",$I151,$I149)="override",$N149&lt;&gt;""),$N149,SUMIFS(Assumptions!$P$4:$P$103,Assumptions!$M$4:$M$103,$C149,Assumptions!$N$4:$N$103,$E149,Assumptions!$O$4:$O$103,"HVN"))</f>
        <v/>
      </c>
      <c r="P149" s="34">
        <f>(M149+O149)*Assumptions!$S$11</f>
        <v/>
      </c>
      <c r="Q149" s="35">
        <f>$F149*$K149*$P149</f>
        <v/>
      </c>
    </row>
    <row r="150">
      <c r="A150" s="11" t="inlineStr">
        <is>
          <t>UNIT</t>
        </is>
      </c>
      <c r="B150" s="28" t="inlineStr">
        <is>
          <t>CENOVUS_LIMA</t>
        </is>
      </c>
      <c r="C150" s="28" t="n">
        <v>2</v>
      </c>
      <c r="D150" s="28" t="inlineStr">
        <is>
          <t>NHT</t>
        </is>
      </c>
      <c r="E150" s="28" t="inlineStr">
        <is>
          <t>NHT</t>
        </is>
      </c>
      <c r="F150" s="29" t="n">
        <v>63</v>
      </c>
      <c r="G150" s="30">
        <f>IFERROR(IF(INDEX(Effective!$E$3:$R$125,MATCH($B150,Effective!$A$3:$A$125,0),MATCH($D150,Effective!$E$2:$R$2,0))=0,"",INDEX(Effective!$E$3:$R$125,MATCH($B150,Effective!$A$3:$A$125,0),MATCH($D150,Effective!$E$2:$R$2,0))),"")</f>
        <v/>
      </c>
      <c r="H150" s="31" t="n"/>
      <c r="I150" s="17" t="inlineStr">
        <is>
          <t>override</t>
        </is>
      </c>
      <c r="J150" s="32" t="n">
        <v>0.772</v>
      </c>
      <c r="K150" s="33">
        <f>IF(AND(IF($I151&lt;&gt;"",$I151,$I150)="override",$J150&lt;&gt;""),$J150,SUMIFS(Assumptions!$K$4:$K$8,Assumptions!$J$4:$J$8,$C150))*Assumptions!$S$10*(1-MIN(1,MAX(N($H150),N($H151))))</f>
        <v/>
      </c>
      <c r="L150" s="32" t="n"/>
      <c r="M150" s="34">
        <f>IF(AND(IF($I151&lt;&gt;"",$I151,$I150)="override",$L150&lt;&gt;""),$L150,SUMIFS(Assumptions!$P$4:$P$103,Assumptions!$M$4:$M$103,$C150,Assumptions!$N$4:$N$103,$E150,Assumptions!$O$4:$O$103,"LVN"))</f>
        <v/>
      </c>
      <c r="N150" s="32" t="n"/>
      <c r="O150" s="34">
        <f>IF(AND(IF($I151&lt;&gt;"",$I151,$I150)="override",$N150&lt;&gt;""),$N150,SUMIFS(Assumptions!$P$4:$P$103,Assumptions!$M$4:$M$103,$C150,Assumptions!$N$4:$N$103,$E150,Assumptions!$O$4:$O$103,"HVN"))</f>
        <v/>
      </c>
      <c r="P150" s="34">
        <f>(M150+O150)*Assumptions!$S$11</f>
        <v/>
      </c>
      <c r="Q150" s="35">
        <f>$F150*$K150*$P150</f>
        <v/>
      </c>
    </row>
    <row r="151">
      <c r="A151" s="24" t="inlineStr">
        <is>
          <t>TOTAL</t>
        </is>
      </c>
      <c r="B151" s="36" t="inlineStr">
        <is>
          <t>CENOVUS_LIMA</t>
        </is>
      </c>
      <c r="C151" s="36" t="n">
        <v>2</v>
      </c>
      <c r="D151" s="36" t="inlineStr">
        <is>
          <t>NET NAPHTHA</t>
        </is>
      </c>
      <c r="H151" s="31" t="n"/>
      <c r="I151" s="17" t="n"/>
      <c r="Q151" s="37">
        <f>SUM(Q143:Q150)</f>
        <v/>
      </c>
    </row>
    <row r="153" ht="20" customHeight="1">
      <c r="A153" s="8">
        <f>"  PBF Energy Company LLC Toledo  [PBF_TOLEDO]   —   PBF Energy Company LLC   —   PADD 2   —   crude "&amp;TEXT(SUMIFS(Data!$G$3:$G$125,Data!$A$3:$A$125,"PBF_TOLEDO"),"#,##0")&amp;" kbd"</f>
        <v/>
      </c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</row>
    <row r="154">
      <c r="A154" s="11" t="inlineStr">
        <is>
          <t>UNIT</t>
        </is>
      </c>
      <c r="B154" s="28" t="inlineStr">
        <is>
          <t>PBF_TOLEDO</t>
        </is>
      </c>
      <c r="C154" s="28" t="n">
        <v>2</v>
      </c>
      <c r="D154" s="28" t="inlineStr">
        <is>
          <t>CDU</t>
        </is>
      </c>
      <c r="E154" s="28" t="inlineStr">
        <is>
          <t>CDU</t>
        </is>
      </c>
      <c r="F154" s="29" t="n">
        <v>180</v>
      </c>
      <c r="G154" s="30">
        <f>IFERROR(IF(INDEX(Effective!$E$3:$R$125,MATCH($B154,Effective!$A$3:$A$125,0),MATCH($D154,Effective!$E$2:$R$2,0))=0,"",INDEX(Effective!$E$3:$R$125,MATCH($B154,Effective!$A$3:$A$125,0),MATCH($D154,Effective!$E$2:$R$2,0))),"")</f>
        <v/>
      </c>
      <c r="H154" s="31" t="n"/>
      <c r="I154" s="17" t="inlineStr">
        <is>
          <t>override</t>
        </is>
      </c>
      <c r="J154" s="32" t="n">
        <v>0.782</v>
      </c>
      <c r="K154" s="33">
        <f>IF(AND(IF($I160&lt;&gt;"",$I160,$I154)="override",$J154&lt;&gt;""),$J154,SUMIFS(Assumptions!$K$4:$K$8,Assumptions!$J$4:$J$8,$C154))*Assumptions!$S$10*(1-MIN(1,MAX(N($H154),N($H160))))</f>
        <v/>
      </c>
      <c r="L154" s="32" t="n"/>
      <c r="M154" s="34">
        <f>IF(AND(IF($I160&lt;&gt;"",$I160,$I154)="override",$L154&lt;&gt;""),$L154,SUMIFS(Assumptions!$P$4:$P$103,Assumptions!$M$4:$M$103,$C154,Assumptions!$N$4:$N$103,$E154,Assumptions!$O$4:$O$103,"LVN"))</f>
        <v/>
      </c>
      <c r="N154" s="32" t="n"/>
      <c r="O154" s="34">
        <f>IF(AND(IF($I160&lt;&gt;"",$I160,$I154)="override",$N154&lt;&gt;""),$N154,SUMIFS(Assumptions!$P$4:$P$103,Assumptions!$M$4:$M$103,$C154,Assumptions!$N$4:$N$103,$E154,Assumptions!$O$4:$O$103,"HVN"))</f>
        <v/>
      </c>
      <c r="P154" s="34">
        <f>(M154+O154)*Assumptions!$S$11</f>
        <v/>
      </c>
      <c r="Q154" s="35">
        <f>$F154*$K154*$P154</f>
        <v/>
      </c>
    </row>
    <row r="155">
      <c r="A155" s="11" t="inlineStr">
        <is>
          <t>UNIT</t>
        </is>
      </c>
      <c r="B155" s="28" t="inlineStr">
        <is>
          <t>PBF_TOLEDO</t>
        </is>
      </c>
      <c r="C155" s="28" t="n">
        <v>2</v>
      </c>
      <c r="D155" s="28" t="inlineStr">
        <is>
          <t>RCC</t>
        </is>
      </c>
      <c r="E155" s="28" t="inlineStr">
        <is>
          <t>FCC</t>
        </is>
      </c>
      <c r="F155" s="29" t="n">
        <v>82</v>
      </c>
      <c r="G155" s="30">
        <f>IFERROR(IF(INDEX(Effective!$E$3:$R$125,MATCH($B155,Effective!$A$3:$A$125,0),MATCH($D155,Effective!$E$2:$R$2,0))=0,"",INDEX(Effective!$E$3:$R$125,MATCH($B155,Effective!$A$3:$A$125,0),MATCH($D155,Effective!$E$2:$R$2,0))),"")</f>
        <v/>
      </c>
      <c r="H155" s="31" t="n"/>
      <c r="I155" s="17" t="inlineStr">
        <is>
          <t>override</t>
        </is>
      </c>
      <c r="J155" s="32" t="n">
        <v>0.717</v>
      </c>
      <c r="K155" s="33">
        <f>IF(AND(IF($I160&lt;&gt;"",$I160,$I155)="override",$J155&lt;&gt;""),$J155,SUMIFS(Assumptions!$K$4:$K$8,Assumptions!$J$4:$J$8,$C155))*Assumptions!$S$10*(1-MIN(1,MAX(N($H155),N($H160))))</f>
        <v/>
      </c>
      <c r="L155" s="32" t="n"/>
      <c r="M155" s="34">
        <f>IF(AND(IF($I160&lt;&gt;"",$I160,$I155)="override",$L155&lt;&gt;""),$L155,SUMIFS(Assumptions!$P$4:$P$103,Assumptions!$M$4:$M$103,$C155,Assumptions!$N$4:$N$103,$E155,Assumptions!$O$4:$O$103,"LVN"))</f>
        <v/>
      </c>
      <c r="N155" s="32" t="n"/>
      <c r="O155" s="34">
        <f>IF(AND(IF($I160&lt;&gt;"",$I160,$I155)="override",$N155&lt;&gt;""),$N155,SUMIFS(Assumptions!$P$4:$P$103,Assumptions!$M$4:$M$103,$C155,Assumptions!$N$4:$N$103,$E155,Assumptions!$O$4:$O$103,"HVN"))</f>
        <v/>
      </c>
      <c r="P155" s="34">
        <f>(M155+O155)*Assumptions!$S$11</f>
        <v/>
      </c>
      <c r="Q155" s="35">
        <f>$F155*$K155*$P155</f>
        <v/>
      </c>
    </row>
    <row r="156">
      <c r="A156" s="11" t="inlineStr">
        <is>
          <t>UNIT</t>
        </is>
      </c>
      <c r="B156" s="28" t="inlineStr">
        <is>
          <t>PBF_TOLEDO</t>
        </is>
      </c>
      <c r="C156" s="28" t="n">
        <v>2</v>
      </c>
      <c r="D156" s="28" t="inlineStr">
        <is>
          <t>DHCU</t>
        </is>
      </c>
      <c r="E156" s="28" t="inlineStr">
        <is>
          <t>HYDROCRACKER</t>
        </is>
      </c>
      <c r="F156" s="29" t="n">
        <v>52</v>
      </c>
      <c r="G156" s="30">
        <f>IFERROR(IF(INDEX(Effective!$E$3:$R$125,MATCH($B156,Effective!$A$3:$A$125,0),MATCH($D156,Effective!$E$2:$R$2,0))=0,"",INDEX(Effective!$E$3:$R$125,MATCH($B156,Effective!$A$3:$A$125,0),MATCH($D156,Effective!$E$2:$R$2,0))),"")</f>
        <v/>
      </c>
      <c r="H156" s="31" t="n"/>
      <c r="I156" s="17" t="inlineStr">
        <is>
          <t>override</t>
        </is>
      </c>
      <c r="J156" s="32" t="n">
        <v>0.864</v>
      </c>
      <c r="K156" s="33">
        <f>IF(AND(IF($I160&lt;&gt;"",$I160,$I156)="override",$J156&lt;&gt;""),$J156,SUMIFS(Assumptions!$K$4:$K$8,Assumptions!$J$4:$J$8,$C156))*Assumptions!$S$10*(1-MIN(1,MAX(N($H156),N($H160))))</f>
        <v/>
      </c>
      <c r="L156" s="32" t="n"/>
      <c r="M156" s="34">
        <f>IF(AND(IF($I160&lt;&gt;"",$I160,$I156)="override",$L156&lt;&gt;""),$L156,SUMIFS(Assumptions!$P$4:$P$103,Assumptions!$M$4:$M$103,$C156,Assumptions!$N$4:$N$103,$E156,Assumptions!$O$4:$O$103,"LVN"))</f>
        <v/>
      </c>
      <c r="N156" s="32" t="n"/>
      <c r="O156" s="34">
        <f>IF(AND(IF($I160&lt;&gt;"",$I160,$I156)="override",$N156&lt;&gt;""),$N156,SUMIFS(Assumptions!$P$4:$P$103,Assumptions!$M$4:$M$103,$C156,Assumptions!$N$4:$N$103,$E156,Assumptions!$O$4:$O$103,"HVN"))</f>
        <v/>
      </c>
      <c r="P156" s="34">
        <f>(M156+O156)*Assumptions!$S$11</f>
        <v/>
      </c>
      <c r="Q156" s="35">
        <f>$F156*$K156*$P156</f>
        <v/>
      </c>
    </row>
    <row r="157">
      <c r="A157" s="11" t="inlineStr">
        <is>
          <t>UNIT</t>
        </is>
      </c>
      <c r="B157" s="28" t="inlineStr">
        <is>
          <t>PBF_TOLEDO</t>
        </is>
      </c>
      <c r="C157" s="28" t="n">
        <v>2</v>
      </c>
      <c r="D157" s="28" t="inlineStr">
        <is>
          <t>REF</t>
        </is>
      </c>
      <c r="E157" s="28" t="inlineStr">
        <is>
          <t>REFORMER</t>
        </is>
      </c>
      <c r="F157" s="29" t="n">
        <v>51.8</v>
      </c>
      <c r="G157" s="30">
        <f>IFERROR(IF(INDEX(Effective!$E$3:$R$125,MATCH($B157,Effective!$A$3:$A$125,0),MATCH($D157,Effective!$E$2:$R$2,0))=0,"",INDEX(Effective!$E$3:$R$125,MATCH($B157,Effective!$A$3:$A$125,0),MATCH($D157,Effective!$E$2:$R$2,0))),"")</f>
        <v/>
      </c>
      <c r="H157" s="31" t="n"/>
      <c r="I157" s="17" t="inlineStr">
        <is>
          <t>override</t>
        </is>
      </c>
      <c r="J157" s="32" t="n"/>
      <c r="K157" s="33">
        <f>IF(AND(IF($I160&lt;&gt;"",$I160,$I157)="override",$J157&lt;&gt;""),$J157,SUMIFS(Assumptions!$K$4:$K$8,Assumptions!$J$4:$J$8,$C157))*Assumptions!$S$10*(1-MIN(1,MAX(N($H157),N($H160))))</f>
        <v/>
      </c>
      <c r="L157" s="32" t="n"/>
      <c r="M157" s="34">
        <f>IF(AND(IF($I160&lt;&gt;"",$I160,$I157)="override",$L157&lt;&gt;""),$L157,SUMIFS(Assumptions!$P$4:$P$103,Assumptions!$M$4:$M$103,$C157,Assumptions!$N$4:$N$103,$E157,Assumptions!$O$4:$O$103,"LVN"))</f>
        <v/>
      </c>
      <c r="N157" s="32" t="n"/>
      <c r="O157" s="34">
        <f>IF(AND(IF($I160&lt;&gt;"",$I160,$I157)="override",$N157&lt;&gt;""),$N157,SUMIFS(Assumptions!$P$4:$P$103,Assumptions!$M$4:$M$103,$C157,Assumptions!$N$4:$N$103,$E157,Assumptions!$O$4:$O$103,"HVN"))</f>
        <v/>
      </c>
      <c r="P157" s="34">
        <f>(M157+O157)*Assumptions!$S$11</f>
        <v/>
      </c>
      <c r="Q157" s="35">
        <f>$F157*$K157*$P157</f>
        <v/>
      </c>
    </row>
    <row r="158">
      <c r="A158" s="11" t="inlineStr">
        <is>
          <t>UNIT</t>
        </is>
      </c>
      <c r="B158" s="28" t="inlineStr">
        <is>
          <t>PBF_TOLEDO</t>
        </is>
      </c>
      <c r="C158" s="28" t="n">
        <v>2</v>
      </c>
      <c r="D158" s="28" t="inlineStr">
        <is>
          <t>ALKY</t>
        </is>
      </c>
      <c r="E158" s="28" t="inlineStr">
        <is>
          <t>ALKY</t>
        </is>
      </c>
      <c r="F158" s="29" t="n">
        <v>9.949999999999999</v>
      </c>
      <c r="G158" s="30">
        <f>IFERROR(IF(INDEX(Effective!$E$3:$R$125,MATCH($B158,Effective!$A$3:$A$125,0),MATCH($D158,Effective!$E$2:$R$2,0))=0,"",INDEX(Effective!$E$3:$R$125,MATCH($B158,Effective!$A$3:$A$125,0),MATCH($D158,Effective!$E$2:$R$2,0))),"")</f>
        <v/>
      </c>
      <c r="H158" s="31" t="n"/>
      <c r="I158" s="17" t="inlineStr">
        <is>
          <t>override</t>
        </is>
      </c>
      <c r="J158" s="32" t="n">
        <v>1.067</v>
      </c>
      <c r="K158" s="33">
        <f>IF(AND(IF($I160&lt;&gt;"",$I160,$I158)="override",$J158&lt;&gt;""),$J158,SUMIFS(Assumptions!$K$4:$K$8,Assumptions!$J$4:$J$8,$C158))*Assumptions!$S$10*(1-MIN(1,MAX(N($H158),N($H160))))</f>
        <v/>
      </c>
      <c r="L158" s="32" t="n"/>
      <c r="M158" s="34">
        <f>IF(AND(IF($I160&lt;&gt;"",$I160,$I158)="override",$L158&lt;&gt;""),$L158,SUMIFS(Assumptions!$P$4:$P$103,Assumptions!$M$4:$M$103,$C158,Assumptions!$N$4:$N$103,$E158,Assumptions!$O$4:$O$103,"LVN"))</f>
        <v/>
      </c>
      <c r="N158" s="32" t="n"/>
      <c r="O158" s="34">
        <f>IF(AND(IF($I160&lt;&gt;"",$I160,$I158)="override",$N158&lt;&gt;""),$N158,SUMIFS(Assumptions!$P$4:$P$103,Assumptions!$M$4:$M$103,$C158,Assumptions!$N$4:$N$103,$E158,Assumptions!$O$4:$O$103,"HVN"))</f>
        <v/>
      </c>
      <c r="P158" s="34">
        <f>(M158+O158)*Assumptions!$S$11</f>
        <v/>
      </c>
      <c r="Q158" s="35">
        <f>$F158*$K158*$P158</f>
        <v/>
      </c>
    </row>
    <row r="159">
      <c r="A159" s="11" t="inlineStr">
        <is>
          <t>UNIT</t>
        </is>
      </c>
      <c r="B159" s="28" t="inlineStr">
        <is>
          <t>PBF_TOLEDO</t>
        </is>
      </c>
      <c r="C159" s="28" t="n">
        <v>2</v>
      </c>
      <c r="D159" s="28" t="inlineStr">
        <is>
          <t>NHT</t>
        </is>
      </c>
      <c r="E159" s="28" t="inlineStr">
        <is>
          <t>NHT</t>
        </is>
      </c>
      <c r="F159" s="29" t="n">
        <v>45.9</v>
      </c>
      <c r="G159" s="30">
        <f>IFERROR(IF(INDEX(Effective!$E$3:$R$125,MATCH($B159,Effective!$A$3:$A$125,0),MATCH($D159,Effective!$E$2:$R$2,0))=0,"",INDEX(Effective!$E$3:$R$125,MATCH($B159,Effective!$A$3:$A$125,0),MATCH($D159,Effective!$E$2:$R$2,0))),"")</f>
        <v/>
      </c>
      <c r="H159" s="31" t="n"/>
      <c r="I159" s="17" t="inlineStr">
        <is>
          <t>override</t>
        </is>
      </c>
      <c r="J159" s="32" t="n">
        <v>0.8070000000000001</v>
      </c>
      <c r="K159" s="33">
        <f>IF(AND(IF($I160&lt;&gt;"",$I160,$I159)="override",$J159&lt;&gt;""),$J159,SUMIFS(Assumptions!$K$4:$K$8,Assumptions!$J$4:$J$8,$C159))*Assumptions!$S$10*(1-MIN(1,MAX(N($H159),N($H160))))</f>
        <v/>
      </c>
      <c r="L159" s="32" t="n"/>
      <c r="M159" s="34">
        <f>IF(AND(IF($I160&lt;&gt;"",$I160,$I159)="override",$L159&lt;&gt;""),$L159,SUMIFS(Assumptions!$P$4:$P$103,Assumptions!$M$4:$M$103,$C159,Assumptions!$N$4:$N$103,$E159,Assumptions!$O$4:$O$103,"LVN"))</f>
        <v/>
      </c>
      <c r="N159" s="32" t="n"/>
      <c r="O159" s="34">
        <f>IF(AND(IF($I160&lt;&gt;"",$I160,$I159)="override",$N159&lt;&gt;""),$N159,SUMIFS(Assumptions!$P$4:$P$103,Assumptions!$M$4:$M$103,$C159,Assumptions!$N$4:$N$103,$E159,Assumptions!$O$4:$O$103,"HVN"))</f>
        <v/>
      </c>
      <c r="P159" s="34">
        <f>(M159+O159)*Assumptions!$S$11</f>
        <v/>
      </c>
      <c r="Q159" s="35">
        <f>$F159*$K159*$P159</f>
        <v/>
      </c>
    </row>
    <row r="160">
      <c r="A160" s="24" t="inlineStr">
        <is>
          <t>TOTAL</t>
        </is>
      </c>
      <c r="B160" s="36" t="inlineStr">
        <is>
          <t>PBF_TOLEDO</t>
        </is>
      </c>
      <c r="C160" s="36" t="n">
        <v>2</v>
      </c>
      <c r="D160" s="36" t="inlineStr">
        <is>
          <t>NET NAPHTHA</t>
        </is>
      </c>
      <c r="H160" s="31" t="n"/>
      <c r="I160" s="17" t="n"/>
      <c r="Q160" s="37">
        <f>SUM(Q154:Q159)</f>
        <v/>
      </c>
    </row>
    <row r="162" ht="20" customHeight="1">
      <c r="A162" s="8">
        <f>"  Valero Memphis  [VALERO_MEMPHIS]   —   Valero   —   PADD 2   —   crude "&amp;TEXT(SUMIFS(Data!$G$3:$G$125,Data!$A$3:$A$125,"VALERO_MEMPHIS"),"#,##0")&amp;" kbd"</f>
        <v/>
      </c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</row>
    <row r="163">
      <c r="A163" s="11" t="inlineStr">
        <is>
          <t>UNIT</t>
        </is>
      </c>
      <c r="B163" s="28" t="inlineStr">
        <is>
          <t>VALERO_MEMPHIS</t>
        </is>
      </c>
      <c r="C163" s="28" t="n">
        <v>2</v>
      </c>
      <c r="D163" s="28" t="inlineStr">
        <is>
          <t>CDU</t>
        </is>
      </c>
      <c r="E163" s="28" t="inlineStr">
        <is>
          <t>CDU</t>
        </is>
      </c>
      <c r="F163" s="29" t="n">
        <v>185</v>
      </c>
      <c r="G163" s="30">
        <f>IFERROR(IF(INDEX(Effective!$E$3:$R$125,MATCH($B163,Effective!$A$3:$A$125,0),MATCH($D163,Effective!$E$2:$R$2,0))=0,"",INDEX(Effective!$E$3:$R$125,MATCH($B163,Effective!$A$3:$A$125,0),MATCH($D163,Effective!$E$2:$R$2,0))),"")</f>
        <v/>
      </c>
      <c r="H163" s="31" t="n"/>
      <c r="I163" s="17" t="inlineStr">
        <is>
          <t>override</t>
        </is>
      </c>
      <c r="J163" s="32" t="n">
        <v>0.9</v>
      </c>
      <c r="K163" s="33">
        <f>IF(AND(IF($I169&lt;&gt;"",$I169,$I163)="override",$J163&lt;&gt;""),$J163,SUMIFS(Assumptions!$K$4:$K$8,Assumptions!$J$4:$J$8,$C163))*Assumptions!$S$10*(1-MIN(1,MAX(N($H163),N($H169))))</f>
        <v/>
      </c>
      <c r="L163" s="32" t="n"/>
      <c r="M163" s="34">
        <f>IF(AND(IF($I169&lt;&gt;"",$I169,$I163)="override",$L163&lt;&gt;""),$L163,SUMIFS(Assumptions!$P$4:$P$103,Assumptions!$M$4:$M$103,$C163,Assumptions!$N$4:$N$103,$E163,Assumptions!$O$4:$O$103,"LVN"))</f>
        <v/>
      </c>
      <c r="N163" s="32" t="n"/>
      <c r="O163" s="34">
        <f>IF(AND(IF($I169&lt;&gt;"",$I169,$I163)="override",$N163&lt;&gt;""),$N163,SUMIFS(Assumptions!$P$4:$P$103,Assumptions!$M$4:$M$103,$C163,Assumptions!$N$4:$N$103,$E163,Assumptions!$O$4:$O$103,"HVN"))</f>
        <v/>
      </c>
      <c r="P163" s="34">
        <f>(M163+O163)*Assumptions!$S$11</f>
        <v/>
      </c>
      <c r="Q163" s="35">
        <f>$F163*$K163*$P163</f>
        <v/>
      </c>
    </row>
    <row r="164">
      <c r="A164" s="11" t="inlineStr">
        <is>
          <t>UNIT</t>
        </is>
      </c>
      <c r="B164" s="28" t="inlineStr">
        <is>
          <t>VALERO_MEMPHIS</t>
        </is>
      </c>
      <c r="C164" s="28" t="n">
        <v>2</v>
      </c>
      <c r="D164" s="28" t="inlineStr">
        <is>
          <t>RCC</t>
        </is>
      </c>
      <c r="E164" s="28" t="inlineStr">
        <is>
          <t>FCC</t>
        </is>
      </c>
      <c r="F164" s="29" t="n">
        <v>70</v>
      </c>
      <c r="G164" s="30">
        <f>IFERROR(IF(INDEX(Effective!$E$3:$R$125,MATCH($B164,Effective!$A$3:$A$125,0),MATCH($D164,Effective!$E$2:$R$2,0))=0,"",INDEX(Effective!$E$3:$R$125,MATCH($B164,Effective!$A$3:$A$125,0),MATCH($D164,Effective!$E$2:$R$2,0))),"")</f>
        <v/>
      </c>
      <c r="H164" s="31" t="n"/>
      <c r="I164" s="17" t="inlineStr">
        <is>
          <t>override</t>
        </is>
      </c>
      <c r="J164" s="32" t="n">
        <v>0.677</v>
      </c>
      <c r="K164" s="33">
        <f>IF(AND(IF($I169&lt;&gt;"",$I169,$I164)="override",$J164&lt;&gt;""),$J164,SUMIFS(Assumptions!$K$4:$K$8,Assumptions!$J$4:$J$8,$C164))*Assumptions!$S$10*(1-MIN(1,MAX(N($H164),N($H169))))</f>
        <v/>
      </c>
      <c r="L164" s="32" t="n"/>
      <c r="M164" s="34">
        <f>IF(AND(IF($I169&lt;&gt;"",$I169,$I164)="override",$L164&lt;&gt;""),$L164,SUMIFS(Assumptions!$P$4:$P$103,Assumptions!$M$4:$M$103,$C164,Assumptions!$N$4:$N$103,$E164,Assumptions!$O$4:$O$103,"LVN"))</f>
        <v/>
      </c>
      <c r="N164" s="32" t="n"/>
      <c r="O164" s="34">
        <f>IF(AND(IF($I169&lt;&gt;"",$I169,$I164)="override",$N164&lt;&gt;""),$N164,SUMIFS(Assumptions!$P$4:$P$103,Assumptions!$M$4:$M$103,$C164,Assumptions!$N$4:$N$103,$E164,Assumptions!$O$4:$O$103,"HVN"))</f>
        <v/>
      </c>
      <c r="P164" s="34">
        <f>(M164+O164)*Assumptions!$S$11</f>
        <v/>
      </c>
      <c r="Q164" s="35">
        <f>$F164*$K164*$P164</f>
        <v/>
      </c>
    </row>
    <row r="165">
      <c r="A165" s="11" t="inlineStr">
        <is>
          <t>UNIT</t>
        </is>
      </c>
      <c r="B165" s="28" t="inlineStr">
        <is>
          <t>VALERO_MEMPHIS</t>
        </is>
      </c>
      <c r="C165" s="28" t="n">
        <v>2</v>
      </c>
      <c r="D165" s="28" t="inlineStr">
        <is>
          <t>DHCU</t>
        </is>
      </c>
      <c r="E165" s="28" t="inlineStr">
        <is>
          <t>HYDROCRACKER</t>
        </is>
      </c>
      <c r="F165" s="29" t="n">
        <v>26.5</v>
      </c>
      <c r="G165" s="30">
        <f>IFERROR(IF(INDEX(Effective!$E$3:$R$125,MATCH($B165,Effective!$A$3:$A$125,0),MATCH($D165,Effective!$E$2:$R$2,0))=0,"",INDEX(Effective!$E$3:$R$125,MATCH($B165,Effective!$A$3:$A$125,0),MATCH($D165,Effective!$E$2:$R$2,0))),"")</f>
        <v/>
      </c>
      <c r="H165" s="31" t="n"/>
      <c r="I165" s="17" t="inlineStr">
        <is>
          <t>override</t>
        </is>
      </c>
      <c r="J165" s="32" t="n">
        <v>0.757</v>
      </c>
      <c r="K165" s="33">
        <f>IF(AND(IF($I169&lt;&gt;"",$I169,$I165)="override",$J165&lt;&gt;""),$J165,SUMIFS(Assumptions!$K$4:$K$8,Assumptions!$J$4:$J$8,$C165))*Assumptions!$S$10*(1-MIN(1,MAX(N($H165),N($H169))))</f>
        <v/>
      </c>
      <c r="L165" s="32" t="n"/>
      <c r="M165" s="34">
        <f>IF(AND(IF($I169&lt;&gt;"",$I169,$I165)="override",$L165&lt;&gt;""),$L165,SUMIFS(Assumptions!$P$4:$P$103,Assumptions!$M$4:$M$103,$C165,Assumptions!$N$4:$N$103,$E165,Assumptions!$O$4:$O$103,"LVN"))</f>
        <v/>
      </c>
      <c r="N165" s="32" t="n"/>
      <c r="O165" s="34">
        <f>IF(AND(IF($I169&lt;&gt;"",$I169,$I165)="override",$N165&lt;&gt;""),$N165,SUMIFS(Assumptions!$P$4:$P$103,Assumptions!$M$4:$M$103,$C165,Assumptions!$N$4:$N$103,$E165,Assumptions!$O$4:$O$103,"HVN"))</f>
        <v/>
      </c>
      <c r="P165" s="34">
        <f>(M165+O165)*Assumptions!$S$11</f>
        <v/>
      </c>
      <c r="Q165" s="35">
        <f>$F165*$K165*$P165</f>
        <v/>
      </c>
    </row>
    <row r="166">
      <c r="A166" s="11" t="inlineStr">
        <is>
          <t>UNIT</t>
        </is>
      </c>
      <c r="B166" s="28" t="inlineStr">
        <is>
          <t>VALERO_MEMPHIS</t>
        </is>
      </c>
      <c r="C166" s="28" t="n">
        <v>2</v>
      </c>
      <c r="D166" s="28" t="inlineStr">
        <is>
          <t>CCR</t>
        </is>
      </c>
      <c r="E166" s="28" t="inlineStr">
        <is>
          <t>REFORMER</t>
        </is>
      </c>
      <c r="F166" s="29" t="n">
        <v>36</v>
      </c>
      <c r="G166" s="30">
        <f>IFERROR(IF(INDEX(Effective!$E$3:$R$125,MATCH($B166,Effective!$A$3:$A$125,0),MATCH($D166,Effective!$E$2:$R$2,0))=0,"",INDEX(Effective!$E$3:$R$125,MATCH($B166,Effective!$A$3:$A$125,0),MATCH($D166,Effective!$E$2:$R$2,0))),"")</f>
        <v/>
      </c>
      <c r="H166" s="31" t="n"/>
      <c r="I166" s="17" t="inlineStr">
        <is>
          <t>override</t>
        </is>
      </c>
      <c r="J166" s="32" t="n">
        <v>0.972</v>
      </c>
      <c r="K166" s="33">
        <f>IF(AND(IF($I169&lt;&gt;"",$I169,$I166)="override",$J166&lt;&gt;""),$J166,SUMIFS(Assumptions!$K$4:$K$8,Assumptions!$J$4:$J$8,$C166))*Assumptions!$S$10*(1-MIN(1,MAX(N($H166),N($H169))))</f>
        <v/>
      </c>
      <c r="L166" s="32" t="n"/>
      <c r="M166" s="34">
        <f>IF(AND(IF($I169&lt;&gt;"",$I169,$I166)="override",$L166&lt;&gt;""),$L166,SUMIFS(Assumptions!$P$4:$P$103,Assumptions!$M$4:$M$103,$C166,Assumptions!$N$4:$N$103,$E166,Assumptions!$O$4:$O$103,"LVN"))</f>
        <v/>
      </c>
      <c r="N166" s="32" t="n"/>
      <c r="O166" s="34">
        <f>IF(AND(IF($I169&lt;&gt;"",$I169,$I166)="override",$N166&lt;&gt;""),$N166,SUMIFS(Assumptions!$P$4:$P$103,Assumptions!$M$4:$M$103,$C166,Assumptions!$N$4:$N$103,$E166,Assumptions!$O$4:$O$103,"HVN"))</f>
        <v/>
      </c>
      <c r="P166" s="34">
        <f>(M166+O166)*Assumptions!$S$11</f>
        <v/>
      </c>
      <c r="Q166" s="35">
        <f>$F166*$K166*$P166</f>
        <v/>
      </c>
    </row>
    <row r="167">
      <c r="A167" s="11" t="inlineStr">
        <is>
          <t>UNIT</t>
        </is>
      </c>
      <c r="B167" s="28" t="inlineStr">
        <is>
          <t>VALERO_MEMPHIS</t>
        </is>
      </c>
      <c r="C167" s="28" t="n">
        <v>2</v>
      </c>
      <c r="D167" s="28" t="inlineStr">
        <is>
          <t>ALKY</t>
        </is>
      </c>
      <c r="E167" s="28" t="inlineStr">
        <is>
          <t>ALKY</t>
        </is>
      </c>
      <c r="F167" s="29" t="n">
        <v>12.7</v>
      </c>
      <c r="G167" s="30">
        <f>IFERROR(IF(INDEX(Effective!$E$3:$R$125,MATCH($B167,Effective!$A$3:$A$125,0),MATCH($D167,Effective!$E$2:$R$2,0))=0,"",INDEX(Effective!$E$3:$R$125,MATCH($B167,Effective!$A$3:$A$125,0),MATCH($D167,Effective!$E$2:$R$2,0))),"")</f>
        <v/>
      </c>
      <c r="H167" s="31" t="n"/>
      <c r="I167" s="17" t="inlineStr">
        <is>
          <t>override</t>
        </is>
      </c>
      <c r="J167" s="32" t="n">
        <v>0.661</v>
      </c>
      <c r="K167" s="33">
        <f>IF(AND(IF($I169&lt;&gt;"",$I169,$I167)="override",$J167&lt;&gt;""),$J167,SUMIFS(Assumptions!$K$4:$K$8,Assumptions!$J$4:$J$8,$C167))*Assumptions!$S$10*(1-MIN(1,MAX(N($H167),N($H169))))</f>
        <v/>
      </c>
      <c r="L167" s="32" t="n"/>
      <c r="M167" s="34">
        <f>IF(AND(IF($I169&lt;&gt;"",$I169,$I167)="override",$L167&lt;&gt;""),$L167,SUMIFS(Assumptions!$P$4:$P$103,Assumptions!$M$4:$M$103,$C167,Assumptions!$N$4:$N$103,$E167,Assumptions!$O$4:$O$103,"LVN"))</f>
        <v/>
      </c>
      <c r="N167" s="32" t="n"/>
      <c r="O167" s="34">
        <f>IF(AND(IF($I169&lt;&gt;"",$I169,$I167)="override",$N167&lt;&gt;""),$N167,SUMIFS(Assumptions!$P$4:$P$103,Assumptions!$M$4:$M$103,$C167,Assumptions!$N$4:$N$103,$E167,Assumptions!$O$4:$O$103,"HVN"))</f>
        <v/>
      </c>
      <c r="P167" s="34">
        <f>(M167+O167)*Assumptions!$S$11</f>
        <v/>
      </c>
      <c r="Q167" s="35">
        <f>$F167*$K167*$P167</f>
        <v/>
      </c>
    </row>
    <row r="168">
      <c r="A168" s="11" t="inlineStr">
        <is>
          <t>UNIT</t>
        </is>
      </c>
      <c r="B168" s="28" t="inlineStr">
        <is>
          <t>VALERO_MEMPHIS</t>
        </is>
      </c>
      <c r="C168" s="28" t="n">
        <v>2</v>
      </c>
      <c r="D168" s="28" t="inlineStr">
        <is>
          <t>NHT</t>
        </is>
      </c>
      <c r="E168" s="28" t="inlineStr">
        <is>
          <t>NHT</t>
        </is>
      </c>
      <c r="F168" s="29" t="n">
        <v>52</v>
      </c>
      <c r="G168" s="30">
        <f>IFERROR(IF(INDEX(Effective!$E$3:$R$125,MATCH($B168,Effective!$A$3:$A$125,0),MATCH($D168,Effective!$E$2:$R$2,0))=0,"",INDEX(Effective!$E$3:$R$125,MATCH($B168,Effective!$A$3:$A$125,0),MATCH($D168,Effective!$E$2:$R$2,0))),"")</f>
        <v/>
      </c>
      <c r="H168" s="31" t="n"/>
      <c r="I168" s="17" t="inlineStr">
        <is>
          <t>override</t>
        </is>
      </c>
      <c r="J168" s="32" t="n">
        <v>1.1</v>
      </c>
      <c r="K168" s="33">
        <f>IF(AND(IF($I169&lt;&gt;"",$I169,$I168)="override",$J168&lt;&gt;""),$J168,SUMIFS(Assumptions!$K$4:$K$8,Assumptions!$J$4:$J$8,$C168))*Assumptions!$S$10*(1-MIN(1,MAX(N($H168),N($H169))))</f>
        <v/>
      </c>
      <c r="L168" s="32" t="n"/>
      <c r="M168" s="34">
        <f>IF(AND(IF($I169&lt;&gt;"",$I169,$I168)="override",$L168&lt;&gt;""),$L168,SUMIFS(Assumptions!$P$4:$P$103,Assumptions!$M$4:$M$103,$C168,Assumptions!$N$4:$N$103,$E168,Assumptions!$O$4:$O$103,"LVN"))</f>
        <v/>
      </c>
      <c r="N168" s="32" t="n"/>
      <c r="O168" s="34">
        <f>IF(AND(IF($I169&lt;&gt;"",$I169,$I168)="override",$N168&lt;&gt;""),$N168,SUMIFS(Assumptions!$P$4:$P$103,Assumptions!$M$4:$M$103,$C168,Assumptions!$N$4:$N$103,$E168,Assumptions!$O$4:$O$103,"HVN"))</f>
        <v/>
      </c>
      <c r="P168" s="34">
        <f>(M168+O168)*Assumptions!$S$11</f>
        <v/>
      </c>
      <c r="Q168" s="35">
        <f>$F168*$K168*$P168</f>
        <v/>
      </c>
    </row>
    <row r="169">
      <c r="A169" s="24" t="inlineStr">
        <is>
          <t>TOTAL</t>
        </is>
      </c>
      <c r="B169" s="36" t="inlineStr">
        <is>
          <t>VALERO_MEMPHIS</t>
        </is>
      </c>
      <c r="C169" s="36" t="n">
        <v>2</v>
      </c>
      <c r="D169" s="36" t="inlineStr">
        <is>
          <t>NET NAPHTHA</t>
        </is>
      </c>
      <c r="H169" s="31" t="n"/>
      <c r="I169" s="17" t="n"/>
      <c r="Q169" s="37">
        <f>SUM(Q163:Q168)</f>
        <v/>
      </c>
    </row>
    <row r="171" ht="20" customHeight="1">
      <c r="A171" s="8">
        <f>"  Cenovus Toledo  [CENOVUS_TOLEDO]   —   Cenovus   —   PADD 2   —   crude "&amp;TEXT(SUMIFS(Data!$G$3:$G$125,Data!$A$3:$A$125,"CENOVUS_TOLEDO"),"#,##0")&amp;" kbd"</f>
        <v/>
      </c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</row>
    <row r="172">
      <c r="A172" s="11" t="inlineStr">
        <is>
          <t>UNIT</t>
        </is>
      </c>
      <c r="B172" s="28" t="inlineStr">
        <is>
          <t>CENOVUS_TOLEDO</t>
        </is>
      </c>
      <c r="C172" s="28" t="n">
        <v>2</v>
      </c>
      <c r="D172" s="28" t="inlineStr">
        <is>
          <t>CDU</t>
        </is>
      </c>
      <c r="E172" s="28" t="inlineStr">
        <is>
          <t>CDU</t>
        </is>
      </c>
      <c r="F172" s="29" t="n">
        <v>160</v>
      </c>
      <c r="G172" s="30">
        <f>IFERROR(IF(INDEX(Effective!$E$3:$R$125,MATCH($B172,Effective!$A$3:$A$125,0),MATCH($D172,Effective!$E$2:$R$2,0))=0,"",INDEX(Effective!$E$3:$R$125,MATCH($B172,Effective!$A$3:$A$125,0),MATCH($D172,Effective!$E$2:$R$2,0))),"")</f>
        <v/>
      </c>
      <c r="H172" s="31" t="n"/>
      <c r="I172" s="17" t="inlineStr">
        <is>
          <t>override</t>
        </is>
      </c>
      <c r="J172" s="32" t="n">
        <v>0.831</v>
      </c>
      <c r="K172" s="33">
        <f>IF(AND(IF($I180&lt;&gt;"",$I180,$I172)="override",$J172&lt;&gt;""),$J172,SUMIFS(Assumptions!$K$4:$K$8,Assumptions!$J$4:$J$8,$C172))*Assumptions!$S$10*(1-MIN(1,MAX(N($H172),N($H180))))</f>
        <v/>
      </c>
      <c r="L172" s="32" t="n"/>
      <c r="M172" s="34">
        <f>IF(AND(IF($I180&lt;&gt;"",$I180,$I172)="override",$L172&lt;&gt;""),$L172,SUMIFS(Assumptions!$P$4:$P$103,Assumptions!$M$4:$M$103,$C172,Assumptions!$N$4:$N$103,$E172,Assumptions!$O$4:$O$103,"LVN"))</f>
        <v/>
      </c>
      <c r="N172" s="32" t="n"/>
      <c r="O172" s="34">
        <f>IF(AND(IF($I180&lt;&gt;"",$I180,$I172)="override",$N172&lt;&gt;""),$N172,SUMIFS(Assumptions!$P$4:$P$103,Assumptions!$M$4:$M$103,$C172,Assumptions!$N$4:$N$103,$E172,Assumptions!$O$4:$O$103,"HVN"))</f>
        <v/>
      </c>
      <c r="P172" s="34">
        <f>(M172+O172)*Assumptions!$S$11</f>
        <v/>
      </c>
      <c r="Q172" s="35">
        <f>$F172*$K172*$P172</f>
        <v/>
      </c>
    </row>
    <row r="173">
      <c r="A173" s="11" t="inlineStr">
        <is>
          <t>UNIT</t>
        </is>
      </c>
      <c r="B173" s="28" t="inlineStr">
        <is>
          <t>CENOVUS_TOLEDO</t>
        </is>
      </c>
      <c r="C173" s="28" t="n">
        <v>2</v>
      </c>
      <c r="D173" s="28" t="inlineStr">
        <is>
          <t>VDU</t>
        </is>
      </c>
      <c r="E173" s="28" t="inlineStr">
        <is>
          <t>VDU</t>
        </is>
      </c>
      <c r="F173" s="29" t="n">
        <v>72.5</v>
      </c>
      <c r="G173" s="30">
        <f>IFERROR(IF(INDEX(Effective!$E$3:$R$125,MATCH($B173,Effective!$A$3:$A$125,0),MATCH($D173,Effective!$E$2:$R$2,0))=0,"",INDEX(Effective!$E$3:$R$125,MATCH($B173,Effective!$A$3:$A$125,0),MATCH($D173,Effective!$E$2:$R$2,0))),"")</f>
        <v/>
      </c>
      <c r="H173" s="31" t="n"/>
      <c r="I173" s="17" t="inlineStr">
        <is>
          <t>override</t>
        </is>
      </c>
      <c r="J173" s="32" t="n">
        <v>0.701</v>
      </c>
      <c r="K173" s="33">
        <f>IF(AND(IF($I180&lt;&gt;"",$I180,$I173)="override",$J173&lt;&gt;""),$J173,SUMIFS(Assumptions!$K$4:$K$8,Assumptions!$J$4:$J$8,$C173))*Assumptions!$S$10*(1-MIN(1,MAX(N($H173),N($H180))))</f>
        <v/>
      </c>
      <c r="L173" s="32" t="n"/>
      <c r="M173" s="34">
        <f>IF(AND(IF($I180&lt;&gt;"",$I180,$I173)="override",$L173&lt;&gt;""),$L173,SUMIFS(Assumptions!$P$4:$P$103,Assumptions!$M$4:$M$103,$C173,Assumptions!$N$4:$N$103,$E173,Assumptions!$O$4:$O$103,"LVN"))</f>
        <v/>
      </c>
      <c r="N173" s="32" t="n"/>
      <c r="O173" s="34">
        <f>IF(AND(IF($I180&lt;&gt;"",$I180,$I173)="override",$N173&lt;&gt;""),$N173,SUMIFS(Assumptions!$P$4:$P$103,Assumptions!$M$4:$M$103,$C173,Assumptions!$N$4:$N$103,$E173,Assumptions!$O$4:$O$103,"HVN"))</f>
        <v/>
      </c>
      <c r="P173" s="34">
        <f>(M173+O173)*Assumptions!$S$11</f>
        <v/>
      </c>
      <c r="Q173" s="35">
        <f>$F173*$K173*$P173</f>
        <v/>
      </c>
    </row>
    <row r="174">
      <c r="A174" s="11" t="inlineStr">
        <is>
          <t>UNIT</t>
        </is>
      </c>
      <c r="B174" s="28" t="inlineStr">
        <is>
          <t>CENOVUS_TOLEDO</t>
        </is>
      </c>
      <c r="C174" s="28" t="n">
        <v>2</v>
      </c>
      <c r="D174" s="28" t="inlineStr">
        <is>
          <t>FCC</t>
        </is>
      </c>
      <c r="E174" s="28" t="inlineStr">
        <is>
          <t>FCC</t>
        </is>
      </c>
      <c r="F174" s="29" t="n">
        <v>55</v>
      </c>
      <c r="G174" s="30">
        <f>IFERROR(IF(INDEX(Effective!$E$3:$R$125,MATCH($B174,Effective!$A$3:$A$125,0),MATCH($D174,Effective!$E$2:$R$2,0))=0,"",INDEX(Effective!$E$3:$R$125,MATCH($B174,Effective!$A$3:$A$125,0),MATCH($D174,Effective!$E$2:$R$2,0))),"")</f>
        <v/>
      </c>
      <c r="H174" s="31" t="n"/>
      <c r="I174" s="17" t="inlineStr">
        <is>
          <t>override</t>
        </is>
      </c>
      <c r="J174" s="32" t="n">
        <v>0.507</v>
      </c>
      <c r="K174" s="33">
        <f>IF(AND(IF($I180&lt;&gt;"",$I180,$I174)="override",$J174&lt;&gt;""),$J174,SUMIFS(Assumptions!$K$4:$K$8,Assumptions!$J$4:$J$8,$C174))*Assumptions!$S$10*(1-MIN(1,MAX(N($H174),N($H180))))</f>
        <v/>
      </c>
      <c r="L174" s="32" t="n"/>
      <c r="M174" s="34">
        <f>IF(AND(IF($I180&lt;&gt;"",$I180,$I174)="override",$L174&lt;&gt;""),$L174,SUMIFS(Assumptions!$P$4:$P$103,Assumptions!$M$4:$M$103,$C174,Assumptions!$N$4:$N$103,$E174,Assumptions!$O$4:$O$103,"LVN"))</f>
        <v/>
      </c>
      <c r="N174" s="32" t="n"/>
      <c r="O174" s="34">
        <f>IF(AND(IF($I180&lt;&gt;"",$I180,$I174)="override",$N174&lt;&gt;""),$N174,SUMIFS(Assumptions!$P$4:$P$103,Assumptions!$M$4:$M$103,$C174,Assumptions!$N$4:$N$103,$E174,Assumptions!$O$4:$O$103,"HVN"))</f>
        <v/>
      </c>
      <c r="P174" s="34">
        <f>(M174+O174)*Assumptions!$S$11</f>
        <v/>
      </c>
      <c r="Q174" s="35">
        <f>$F174*$K174*$P174</f>
        <v/>
      </c>
    </row>
    <row r="175">
      <c r="A175" s="11" t="inlineStr">
        <is>
          <t>UNIT</t>
        </is>
      </c>
      <c r="B175" s="28" t="inlineStr">
        <is>
          <t>CENOVUS_TOLEDO</t>
        </is>
      </c>
      <c r="C175" s="28" t="n">
        <v>2</v>
      </c>
      <c r="D175" s="28" t="inlineStr">
        <is>
          <t>DHCU</t>
        </is>
      </c>
      <c r="E175" s="28" t="inlineStr">
        <is>
          <t>HYDROCRACKER</t>
        </is>
      </c>
      <c r="F175" s="29" t="n">
        <v>31.8</v>
      </c>
      <c r="G175" s="30">
        <f>IFERROR(IF(INDEX(Effective!$E$3:$R$125,MATCH($B175,Effective!$A$3:$A$125,0),MATCH($D175,Effective!$E$2:$R$2,0))=0,"",INDEX(Effective!$E$3:$R$125,MATCH($B175,Effective!$A$3:$A$125,0),MATCH($D175,Effective!$E$2:$R$2,0))),"")</f>
        <v/>
      </c>
      <c r="H175" s="31" t="n"/>
      <c r="I175" s="17" t="inlineStr">
        <is>
          <t>override</t>
        </is>
      </c>
      <c r="J175" s="32" t="n">
        <v>0.615</v>
      </c>
      <c r="K175" s="33">
        <f>IF(AND(IF($I180&lt;&gt;"",$I180,$I175)="override",$J175&lt;&gt;""),$J175,SUMIFS(Assumptions!$K$4:$K$8,Assumptions!$J$4:$J$8,$C175))*Assumptions!$S$10*(1-MIN(1,MAX(N($H175),N($H180))))</f>
        <v/>
      </c>
      <c r="L175" s="32" t="n"/>
      <c r="M175" s="34">
        <f>IF(AND(IF($I180&lt;&gt;"",$I180,$I175)="override",$L175&lt;&gt;""),$L175,SUMIFS(Assumptions!$P$4:$P$103,Assumptions!$M$4:$M$103,$C175,Assumptions!$N$4:$N$103,$E175,Assumptions!$O$4:$O$103,"LVN"))</f>
        <v/>
      </c>
      <c r="N175" s="32" t="n"/>
      <c r="O175" s="34">
        <f>IF(AND(IF($I180&lt;&gt;"",$I180,$I175)="override",$N175&lt;&gt;""),$N175,SUMIFS(Assumptions!$P$4:$P$103,Assumptions!$M$4:$M$103,$C175,Assumptions!$N$4:$N$103,$E175,Assumptions!$O$4:$O$103,"HVN"))</f>
        <v/>
      </c>
      <c r="P175" s="34">
        <f>(M175+O175)*Assumptions!$S$11</f>
        <v/>
      </c>
      <c r="Q175" s="35">
        <f>$F175*$K175*$P175</f>
        <v/>
      </c>
    </row>
    <row r="176">
      <c r="A176" s="11" t="inlineStr">
        <is>
          <t>UNIT</t>
        </is>
      </c>
      <c r="B176" s="28" t="inlineStr">
        <is>
          <t>CENOVUS_TOLEDO</t>
        </is>
      </c>
      <c r="C176" s="28" t="n">
        <v>2</v>
      </c>
      <c r="D176" s="28" t="inlineStr">
        <is>
          <t>COKER</t>
        </is>
      </c>
      <c r="E176" s="28" t="inlineStr">
        <is>
          <t>COKER</t>
        </is>
      </c>
      <c r="F176" s="29" t="n">
        <v>36</v>
      </c>
      <c r="G176" s="30">
        <f>IFERROR(IF(INDEX(Effective!$E$3:$R$125,MATCH($B176,Effective!$A$3:$A$125,0),MATCH($D176,Effective!$E$2:$R$2,0))=0,"",INDEX(Effective!$E$3:$R$125,MATCH($B176,Effective!$A$3:$A$125,0),MATCH($D176,Effective!$E$2:$R$2,0))),"")</f>
        <v/>
      </c>
      <c r="H176" s="31" t="n"/>
      <c r="I176" s="17" t="inlineStr">
        <is>
          <t>override</t>
        </is>
      </c>
      <c r="J176" s="32" t="n">
        <v>0.533</v>
      </c>
      <c r="K176" s="33">
        <f>IF(AND(IF($I180&lt;&gt;"",$I180,$I176)="override",$J176&lt;&gt;""),$J176,SUMIFS(Assumptions!$K$4:$K$8,Assumptions!$J$4:$J$8,$C176))*Assumptions!$S$10*(1-MIN(1,MAX(N($H176),N($H180))))</f>
        <v/>
      </c>
      <c r="L176" s="32" t="n"/>
      <c r="M176" s="34">
        <f>IF(AND(IF($I180&lt;&gt;"",$I180,$I176)="override",$L176&lt;&gt;""),$L176,SUMIFS(Assumptions!$P$4:$P$103,Assumptions!$M$4:$M$103,$C176,Assumptions!$N$4:$N$103,$E176,Assumptions!$O$4:$O$103,"LVN"))</f>
        <v/>
      </c>
      <c r="N176" s="32" t="n"/>
      <c r="O176" s="34">
        <f>IF(AND(IF($I180&lt;&gt;"",$I180,$I176)="override",$N176&lt;&gt;""),$N176,SUMIFS(Assumptions!$P$4:$P$103,Assumptions!$M$4:$M$103,$C176,Assumptions!$N$4:$N$103,$E176,Assumptions!$O$4:$O$103,"HVN"))</f>
        <v/>
      </c>
      <c r="P176" s="34">
        <f>(M176+O176)*Assumptions!$S$11</f>
        <v/>
      </c>
      <c r="Q176" s="35">
        <f>$F176*$K176*$P176</f>
        <v/>
      </c>
    </row>
    <row r="177">
      <c r="A177" s="11" t="inlineStr">
        <is>
          <t>UNIT</t>
        </is>
      </c>
      <c r="B177" s="28" t="inlineStr">
        <is>
          <t>CENOVUS_TOLEDO</t>
        </is>
      </c>
      <c r="C177" s="28" t="n">
        <v>2</v>
      </c>
      <c r="D177" s="28" t="inlineStr">
        <is>
          <t>CCR</t>
        </is>
      </c>
      <c r="E177" s="28" t="inlineStr">
        <is>
          <t>REFORMER</t>
        </is>
      </c>
      <c r="F177" s="29" t="n">
        <v>42</v>
      </c>
      <c r="G177" s="30">
        <f>IFERROR(IF(INDEX(Effective!$E$3:$R$125,MATCH($B177,Effective!$A$3:$A$125,0),MATCH($D177,Effective!$E$2:$R$2,0))=0,"",INDEX(Effective!$E$3:$R$125,MATCH($B177,Effective!$A$3:$A$125,0),MATCH($D177,Effective!$E$2:$R$2,0))),"")</f>
        <v/>
      </c>
      <c r="H177" s="31" t="n"/>
      <c r="I177" s="17" t="inlineStr">
        <is>
          <t>override</t>
        </is>
      </c>
      <c r="J177" s="32" t="n">
        <v>0.756</v>
      </c>
      <c r="K177" s="33">
        <f>IF(AND(IF($I180&lt;&gt;"",$I180,$I177)="override",$J177&lt;&gt;""),$J177,SUMIFS(Assumptions!$K$4:$K$8,Assumptions!$J$4:$J$8,$C177))*Assumptions!$S$10*(1-MIN(1,MAX(N($H177),N($H180))))</f>
        <v/>
      </c>
      <c r="L177" s="32" t="n"/>
      <c r="M177" s="34">
        <f>IF(AND(IF($I180&lt;&gt;"",$I180,$I177)="override",$L177&lt;&gt;""),$L177,SUMIFS(Assumptions!$P$4:$P$103,Assumptions!$M$4:$M$103,$C177,Assumptions!$N$4:$N$103,$E177,Assumptions!$O$4:$O$103,"LVN"))</f>
        <v/>
      </c>
      <c r="N177" s="32" t="n"/>
      <c r="O177" s="34">
        <f>IF(AND(IF($I180&lt;&gt;"",$I180,$I177)="override",$N177&lt;&gt;""),$N177,SUMIFS(Assumptions!$P$4:$P$103,Assumptions!$M$4:$M$103,$C177,Assumptions!$N$4:$N$103,$E177,Assumptions!$O$4:$O$103,"HVN"))</f>
        <v/>
      </c>
      <c r="P177" s="34">
        <f>(M177+O177)*Assumptions!$S$11</f>
        <v/>
      </c>
      <c r="Q177" s="35">
        <f>$F177*$K177*$P177</f>
        <v/>
      </c>
    </row>
    <row r="178">
      <c r="A178" s="11" t="inlineStr">
        <is>
          <t>UNIT</t>
        </is>
      </c>
      <c r="B178" s="28" t="inlineStr">
        <is>
          <t>CENOVUS_TOLEDO</t>
        </is>
      </c>
      <c r="C178" s="28" t="n">
        <v>2</v>
      </c>
      <c r="D178" s="28" t="inlineStr">
        <is>
          <t>ALKY</t>
        </is>
      </c>
      <c r="E178" s="28" t="inlineStr">
        <is>
          <t>ALKY</t>
        </is>
      </c>
      <c r="F178" s="29" t="n">
        <v>11.5</v>
      </c>
      <c r="G178" s="30">
        <f>IFERROR(IF(INDEX(Effective!$E$3:$R$125,MATCH($B178,Effective!$A$3:$A$125,0),MATCH($D178,Effective!$E$2:$R$2,0))=0,"",INDEX(Effective!$E$3:$R$125,MATCH($B178,Effective!$A$3:$A$125,0),MATCH($D178,Effective!$E$2:$R$2,0))),"")</f>
        <v/>
      </c>
      <c r="H178" s="31" t="n"/>
      <c r="I178" s="17" t="inlineStr">
        <is>
          <t>override</t>
        </is>
      </c>
      <c r="J178" s="32" t="n">
        <v>1.014</v>
      </c>
      <c r="K178" s="33">
        <f>IF(AND(IF($I180&lt;&gt;"",$I180,$I178)="override",$J178&lt;&gt;""),$J178,SUMIFS(Assumptions!$K$4:$K$8,Assumptions!$J$4:$J$8,$C178))*Assumptions!$S$10*(1-MIN(1,MAX(N($H178),N($H180))))</f>
        <v/>
      </c>
      <c r="L178" s="32" t="n"/>
      <c r="M178" s="34">
        <f>IF(AND(IF($I180&lt;&gt;"",$I180,$I178)="override",$L178&lt;&gt;""),$L178,SUMIFS(Assumptions!$P$4:$P$103,Assumptions!$M$4:$M$103,$C178,Assumptions!$N$4:$N$103,$E178,Assumptions!$O$4:$O$103,"LVN"))</f>
        <v/>
      </c>
      <c r="N178" s="32" t="n"/>
      <c r="O178" s="34">
        <f>IF(AND(IF($I180&lt;&gt;"",$I180,$I178)="override",$N178&lt;&gt;""),$N178,SUMIFS(Assumptions!$P$4:$P$103,Assumptions!$M$4:$M$103,$C178,Assumptions!$N$4:$N$103,$E178,Assumptions!$O$4:$O$103,"HVN"))</f>
        <v/>
      </c>
      <c r="P178" s="34">
        <f>(M178+O178)*Assumptions!$S$11</f>
        <v/>
      </c>
      <c r="Q178" s="35">
        <f>$F178*$K178*$P178</f>
        <v/>
      </c>
    </row>
    <row r="179">
      <c r="A179" s="11" t="inlineStr">
        <is>
          <t>UNIT</t>
        </is>
      </c>
      <c r="B179" s="28" t="inlineStr">
        <is>
          <t>CENOVUS_TOLEDO</t>
        </is>
      </c>
      <c r="C179" s="28" t="n">
        <v>2</v>
      </c>
      <c r="D179" s="28" t="inlineStr">
        <is>
          <t>NHT</t>
        </is>
      </c>
      <c r="E179" s="28" t="inlineStr">
        <is>
          <t>NHT</t>
        </is>
      </c>
      <c r="F179" s="29" t="n">
        <v>42</v>
      </c>
      <c r="G179" s="30">
        <f>IFERROR(IF(INDEX(Effective!$E$3:$R$125,MATCH($B179,Effective!$A$3:$A$125,0),MATCH($D179,Effective!$E$2:$R$2,0))=0,"",INDEX(Effective!$E$3:$R$125,MATCH($B179,Effective!$A$3:$A$125,0),MATCH($D179,Effective!$E$2:$R$2,0))),"")</f>
        <v/>
      </c>
      <c r="H179" s="31" t="n"/>
      <c r="I179" s="17" t="inlineStr">
        <is>
          <t>override</t>
        </is>
      </c>
      <c r="J179" s="32" t="n">
        <v>1.098</v>
      </c>
      <c r="K179" s="33">
        <f>IF(AND(IF($I180&lt;&gt;"",$I180,$I179)="override",$J179&lt;&gt;""),$J179,SUMIFS(Assumptions!$K$4:$K$8,Assumptions!$J$4:$J$8,$C179))*Assumptions!$S$10*(1-MIN(1,MAX(N($H179),N($H180))))</f>
        <v/>
      </c>
      <c r="L179" s="32" t="n"/>
      <c r="M179" s="34">
        <f>IF(AND(IF($I180&lt;&gt;"",$I180,$I179)="override",$L179&lt;&gt;""),$L179,SUMIFS(Assumptions!$P$4:$P$103,Assumptions!$M$4:$M$103,$C179,Assumptions!$N$4:$N$103,$E179,Assumptions!$O$4:$O$103,"LVN"))</f>
        <v/>
      </c>
      <c r="N179" s="32" t="n"/>
      <c r="O179" s="34">
        <f>IF(AND(IF($I180&lt;&gt;"",$I180,$I179)="override",$N179&lt;&gt;""),$N179,SUMIFS(Assumptions!$P$4:$P$103,Assumptions!$M$4:$M$103,$C179,Assumptions!$N$4:$N$103,$E179,Assumptions!$O$4:$O$103,"HVN"))</f>
        <v/>
      </c>
      <c r="P179" s="34">
        <f>(M179+O179)*Assumptions!$S$11</f>
        <v/>
      </c>
      <c r="Q179" s="35">
        <f>$F179*$K179*$P179</f>
        <v/>
      </c>
    </row>
    <row r="180">
      <c r="A180" s="24" t="inlineStr">
        <is>
          <t>TOTAL</t>
        </is>
      </c>
      <c r="B180" s="36" t="inlineStr">
        <is>
          <t>CENOVUS_TOLEDO</t>
        </is>
      </c>
      <c r="C180" s="36" t="n">
        <v>2</v>
      </c>
      <c r="D180" s="36" t="inlineStr">
        <is>
          <t>NET NAPHTHA</t>
        </is>
      </c>
      <c r="H180" s="31" t="n"/>
      <c r="I180" s="17" t="n"/>
      <c r="Q180" s="37">
        <f>SUM(Q172:Q179)</f>
        <v/>
      </c>
    </row>
    <row r="182" ht="20" customHeight="1">
      <c r="A182" s="8">
        <f>"  Marathon Petroleum Detroit  [MARATHON_DETROIT]   —   Marathon Petroleum   —   PADD 2   —   crude "&amp;TEXT(SUMIFS(Data!$G$3:$G$125,Data!$A$3:$A$125,"MARATHON_DETROIT"),"#,##0")&amp;" kbd"</f>
        <v/>
      </c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</row>
    <row r="183">
      <c r="A183" s="11" t="inlineStr">
        <is>
          <t>UNIT</t>
        </is>
      </c>
      <c r="B183" s="28" t="inlineStr">
        <is>
          <t>MARATHON_DETROIT</t>
        </is>
      </c>
      <c r="C183" s="28" t="n">
        <v>2</v>
      </c>
      <c r="D183" s="28" t="inlineStr">
        <is>
          <t>CDU</t>
        </is>
      </c>
      <c r="E183" s="28" t="inlineStr">
        <is>
          <t>CDU</t>
        </is>
      </c>
      <c r="F183" s="29" t="n">
        <v>147</v>
      </c>
      <c r="G183" s="30">
        <f>IFERROR(IF(INDEX(Effective!$E$3:$R$125,MATCH($B183,Effective!$A$3:$A$125,0),MATCH($D183,Effective!$E$2:$R$2,0))=0,"",INDEX(Effective!$E$3:$R$125,MATCH($B183,Effective!$A$3:$A$125,0),MATCH($D183,Effective!$E$2:$R$2,0))),"")</f>
        <v/>
      </c>
      <c r="H183" s="31" t="n"/>
      <c r="I183" s="17" t="inlineStr">
        <is>
          <t>override</t>
        </is>
      </c>
      <c r="J183" s="32" t="n">
        <v>0.846</v>
      </c>
      <c r="K183" s="33">
        <f>IF(AND(IF($I190&lt;&gt;"",$I190,$I183)="override",$J183&lt;&gt;""),$J183,SUMIFS(Assumptions!$K$4:$K$8,Assumptions!$J$4:$J$8,$C183))*Assumptions!$S$10*(1-MIN(1,MAX(N($H183),N($H190))))</f>
        <v/>
      </c>
      <c r="L183" s="32" t="n"/>
      <c r="M183" s="34">
        <f>IF(AND(IF($I190&lt;&gt;"",$I190,$I183)="override",$L183&lt;&gt;""),$L183,SUMIFS(Assumptions!$P$4:$P$103,Assumptions!$M$4:$M$103,$C183,Assumptions!$N$4:$N$103,$E183,Assumptions!$O$4:$O$103,"LVN"))</f>
        <v/>
      </c>
      <c r="N183" s="32" t="n"/>
      <c r="O183" s="34">
        <f>IF(AND(IF($I190&lt;&gt;"",$I190,$I183)="override",$N183&lt;&gt;""),$N183,SUMIFS(Assumptions!$P$4:$P$103,Assumptions!$M$4:$M$103,$C183,Assumptions!$N$4:$N$103,$E183,Assumptions!$O$4:$O$103,"HVN"))</f>
        <v/>
      </c>
      <c r="P183" s="34">
        <f>(M183+O183)*Assumptions!$S$11</f>
        <v/>
      </c>
      <c r="Q183" s="35">
        <f>$F183*$K183*$P183</f>
        <v/>
      </c>
    </row>
    <row r="184">
      <c r="A184" s="11" t="inlineStr">
        <is>
          <t>UNIT</t>
        </is>
      </c>
      <c r="B184" s="28" t="inlineStr">
        <is>
          <t>MARATHON_DETROIT</t>
        </is>
      </c>
      <c r="C184" s="28" t="n">
        <v>2</v>
      </c>
      <c r="D184" s="28" t="inlineStr">
        <is>
          <t>VDU</t>
        </is>
      </c>
      <c r="E184" s="28" t="inlineStr">
        <is>
          <t>VDU</t>
        </is>
      </c>
      <c r="F184" s="29" t="n">
        <v>89</v>
      </c>
      <c r="G184" s="30">
        <f>IFERROR(IF(INDEX(Effective!$E$3:$R$125,MATCH($B184,Effective!$A$3:$A$125,0),MATCH($D184,Effective!$E$2:$R$2,0))=0,"",INDEX(Effective!$E$3:$R$125,MATCH($B184,Effective!$A$3:$A$125,0),MATCH($D184,Effective!$E$2:$R$2,0))),"")</f>
        <v/>
      </c>
      <c r="H184" s="31" t="n"/>
      <c r="I184" s="17" t="inlineStr">
        <is>
          <t>override</t>
        </is>
      </c>
      <c r="J184" s="32" t="n">
        <v>0.595</v>
      </c>
      <c r="K184" s="33">
        <f>IF(AND(IF($I190&lt;&gt;"",$I190,$I184)="override",$J184&lt;&gt;""),$J184,SUMIFS(Assumptions!$K$4:$K$8,Assumptions!$J$4:$J$8,$C184))*Assumptions!$S$10*(1-MIN(1,MAX(N($H184),N($H190))))</f>
        <v/>
      </c>
      <c r="L184" s="32" t="n"/>
      <c r="M184" s="34">
        <f>IF(AND(IF($I190&lt;&gt;"",$I190,$I184)="override",$L184&lt;&gt;""),$L184,SUMIFS(Assumptions!$P$4:$P$103,Assumptions!$M$4:$M$103,$C184,Assumptions!$N$4:$N$103,$E184,Assumptions!$O$4:$O$103,"LVN"))</f>
        <v/>
      </c>
      <c r="N184" s="32" t="n"/>
      <c r="O184" s="34">
        <f>IF(AND(IF($I190&lt;&gt;"",$I190,$I184)="override",$N184&lt;&gt;""),$N184,SUMIFS(Assumptions!$P$4:$P$103,Assumptions!$M$4:$M$103,$C184,Assumptions!$N$4:$N$103,$E184,Assumptions!$O$4:$O$103,"HVN"))</f>
        <v/>
      </c>
      <c r="P184" s="34">
        <f>(M184+O184)*Assumptions!$S$11</f>
        <v/>
      </c>
      <c r="Q184" s="35">
        <f>$F184*$K184*$P184</f>
        <v/>
      </c>
    </row>
    <row r="185">
      <c r="A185" s="11" t="inlineStr">
        <is>
          <t>UNIT</t>
        </is>
      </c>
      <c r="B185" s="28" t="inlineStr">
        <is>
          <t>MARATHON_DETROIT</t>
        </is>
      </c>
      <c r="C185" s="28" t="n">
        <v>2</v>
      </c>
      <c r="D185" s="28" t="inlineStr">
        <is>
          <t>FCC</t>
        </is>
      </c>
      <c r="E185" s="28" t="inlineStr">
        <is>
          <t>FCC</t>
        </is>
      </c>
      <c r="F185" s="29" t="n">
        <v>44</v>
      </c>
      <c r="G185" s="30">
        <f>IFERROR(IF(INDEX(Effective!$E$3:$R$125,MATCH($B185,Effective!$A$3:$A$125,0),MATCH($D185,Effective!$E$2:$R$2,0))=0,"",INDEX(Effective!$E$3:$R$125,MATCH($B185,Effective!$A$3:$A$125,0),MATCH($D185,Effective!$E$2:$R$2,0))),"")</f>
        <v/>
      </c>
      <c r="H185" s="31" t="n"/>
      <c r="I185" s="17" t="inlineStr">
        <is>
          <t>override</t>
        </is>
      </c>
      <c r="J185" s="32" t="n">
        <v>0.619</v>
      </c>
      <c r="K185" s="33">
        <f>IF(AND(IF($I190&lt;&gt;"",$I190,$I185)="override",$J185&lt;&gt;""),$J185,SUMIFS(Assumptions!$K$4:$K$8,Assumptions!$J$4:$J$8,$C185))*Assumptions!$S$10*(1-MIN(1,MAX(N($H185),N($H190))))</f>
        <v/>
      </c>
      <c r="L185" s="32" t="n"/>
      <c r="M185" s="34">
        <f>IF(AND(IF($I190&lt;&gt;"",$I190,$I185)="override",$L185&lt;&gt;""),$L185,SUMIFS(Assumptions!$P$4:$P$103,Assumptions!$M$4:$M$103,$C185,Assumptions!$N$4:$N$103,$E185,Assumptions!$O$4:$O$103,"LVN"))</f>
        <v/>
      </c>
      <c r="N185" s="32" t="n"/>
      <c r="O185" s="34">
        <f>IF(AND(IF($I190&lt;&gt;"",$I190,$I185)="override",$N185&lt;&gt;""),$N185,SUMIFS(Assumptions!$P$4:$P$103,Assumptions!$M$4:$M$103,$C185,Assumptions!$N$4:$N$103,$E185,Assumptions!$O$4:$O$103,"HVN"))</f>
        <v/>
      </c>
      <c r="P185" s="34">
        <f>(M185+O185)*Assumptions!$S$11</f>
        <v/>
      </c>
      <c r="Q185" s="35">
        <f>$F185*$K185*$P185</f>
        <v/>
      </c>
    </row>
    <row r="186">
      <c r="A186" s="11" t="inlineStr">
        <is>
          <t>UNIT</t>
        </is>
      </c>
      <c r="B186" s="28" t="inlineStr">
        <is>
          <t>MARATHON_DETROIT</t>
        </is>
      </c>
      <c r="C186" s="28" t="n">
        <v>2</v>
      </c>
      <c r="D186" s="28" t="inlineStr">
        <is>
          <t>COKER</t>
        </is>
      </c>
      <c r="E186" s="28" t="inlineStr">
        <is>
          <t>COKER</t>
        </is>
      </c>
      <c r="F186" s="29" t="n">
        <v>36.5</v>
      </c>
      <c r="G186" s="30">
        <f>IFERROR(IF(INDEX(Effective!$E$3:$R$125,MATCH($B186,Effective!$A$3:$A$125,0),MATCH($D186,Effective!$E$2:$R$2,0))=0,"",INDEX(Effective!$E$3:$R$125,MATCH($B186,Effective!$A$3:$A$125,0),MATCH($D186,Effective!$E$2:$R$2,0))),"")</f>
        <v/>
      </c>
      <c r="H186" s="31" t="n"/>
      <c r="I186" s="17" t="inlineStr">
        <is>
          <t>override</t>
        </is>
      </c>
      <c r="J186" s="32" t="n">
        <v>0.292</v>
      </c>
      <c r="K186" s="33">
        <f>IF(AND(IF($I190&lt;&gt;"",$I190,$I186)="override",$J186&lt;&gt;""),$J186,SUMIFS(Assumptions!$K$4:$K$8,Assumptions!$J$4:$J$8,$C186))*Assumptions!$S$10*(1-MIN(1,MAX(N($H186),N($H190))))</f>
        <v/>
      </c>
      <c r="L186" s="32" t="n"/>
      <c r="M186" s="34">
        <f>IF(AND(IF($I190&lt;&gt;"",$I190,$I186)="override",$L186&lt;&gt;""),$L186,SUMIFS(Assumptions!$P$4:$P$103,Assumptions!$M$4:$M$103,$C186,Assumptions!$N$4:$N$103,$E186,Assumptions!$O$4:$O$103,"LVN"))</f>
        <v/>
      </c>
      <c r="N186" s="32" t="n"/>
      <c r="O186" s="34">
        <f>IF(AND(IF($I190&lt;&gt;"",$I190,$I186)="override",$N186&lt;&gt;""),$N186,SUMIFS(Assumptions!$P$4:$P$103,Assumptions!$M$4:$M$103,$C186,Assumptions!$N$4:$N$103,$E186,Assumptions!$O$4:$O$103,"HVN"))</f>
        <v/>
      </c>
      <c r="P186" s="34">
        <f>(M186+O186)*Assumptions!$S$11</f>
        <v/>
      </c>
      <c r="Q186" s="35">
        <f>$F186*$K186*$P186</f>
        <v/>
      </c>
    </row>
    <row r="187">
      <c r="A187" s="11" t="inlineStr">
        <is>
          <t>UNIT</t>
        </is>
      </c>
      <c r="B187" s="28" t="inlineStr">
        <is>
          <t>MARATHON_DETROIT</t>
        </is>
      </c>
      <c r="C187" s="28" t="n">
        <v>2</v>
      </c>
      <c r="D187" s="28" t="inlineStr">
        <is>
          <t>CCR</t>
        </is>
      </c>
      <c r="E187" s="28" t="inlineStr">
        <is>
          <t>REFORMER</t>
        </is>
      </c>
      <c r="F187" s="29" t="n">
        <v>21.5</v>
      </c>
      <c r="G187" s="30">
        <f>IFERROR(IF(INDEX(Effective!$E$3:$R$125,MATCH($B187,Effective!$A$3:$A$125,0),MATCH($D187,Effective!$E$2:$R$2,0))=0,"",INDEX(Effective!$E$3:$R$125,MATCH($B187,Effective!$A$3:$A$125,0),MATCH($D187,Effective!$E$2:$R$2,0))),"")</f>
        <v/>
      </c>
      <c r="H187" s="31" t="n"/>
      <c r="I187" s="17" t="inlineStr">
        <is>
          <t>override</t>
        </is>
      </c>
      <c r="J187" s="32" t="n">
        <v>1.1</v>
      </c>
      <c r="K187" s="33">
        <f>IF(AND(IF($I190&lt;&gt;"",$I190,$I187)="override",$J187&lt;&gt;""),$J187,SUMIFS(Assumptions!$K$4:$K$8,Assumptions!$J$4:$J$8,$C187))*Assumptions!$S$10*(1-MIN(1,MAX(N($H187),N($H190))))</f>
        <v/>
      </c>
      <c r="L187" s="32" t="n"/>
      <c r="M187" s="34">
        <f>IF(AND(IF($I190&lt;&gt;"",$I190,$I187)="override",$L187&lt;&gt;""),$L187,SUMIFS(Assumptions!$P$4:$P$103,Assumptions!$M$4:$M$103,$C187,Assumptions!$N$4:$N$103,$E187,Assumptions!$O$4:$O$103,"LVN"))</f>
        <v/>
      </c>
      <c r="N187" s="32" t="n"/>
      <c r="O187" s="34">
        <f>IF(AND(IF($I190&lt;&gt;"",$I190,$I187)="override",$N187&lt;&gt;""),$N187,SUMIFS(Assumptions!$P$4:$P$103,Assumptions!$M$4:$M$103,$C187,Assumptions!$N$4:$N$103,$E187,Assumptions!$O$4:$O$103,"HVN"))</f>
        <v/>
      </c>
      <c r="P187" s="34">
        <f>(M187+O187)*Assumptions!$S$11</f>
        <v/>
      </c>
      <c r="Q187" s="35">
        <f>$F187*$K187*$P187</f>
        <v/>
      </c>
    </row>
    <row r="188">
      <c r="A188" s="11" t="inlineStr">
        <is>
          <t>UNIT</t>
        </is>
      </c>
      <c r="B188" s="28" t="inlineStr">
        <is>
          <t>MARATHON_DETROIT</t>
        </is>
      </c>
      <c r="C188" s="28" t="n">
        <v>2</v>
      </c>
      <c r="D188" s="28" t="inlineStr">
        <is>
          <t>ALKY</t>
        </is>
      </c>
      <c r="E188" s="28" t="inlineStr">
        <is>
          <t>ALKY</t>
        </is>
      </c>
      <c r="F188" s="29" t="n">
        <v>7.5</v>
      </c>
      <c r="G188" s="30">
        <f>IFERROR(IF(INDEX(Effective!$E$3:$R$125,MATCH($B188,Effective!$A$3:$A$125,0),MATCH($D188,Effective!$E$2:$R$2,0))=0,"",INDEX(Effective!$E$3:$R$125,MATCH($B188,Effective!$A$3:$A$125,0),MATCH($D188,Effective!$E$2:$R$2,0))),"")</f>
        <v/>
      </c>
      <c r="H188" s="31" t="n"/>
      <c r="I188" s="17" t="inlineStr">
        <is>
          <t>override</t>
        </is>
      </c>
      <c r="J188" s="32" t="n">
        <v>0.663</v>
      </c>
      <c r="K188" s="33">
        <f>IF(AND(IF($I190&lt;&gt;"",$I190,$I188)="override",$J188&lt;&gt;""),$J188,SUMIFS(Assumptions!$K$4:$K$8,Assumptions!$J$4:$J$8,$C188))*Assumptions!$S$10*(1-MIN(1,MAX(N($H188),N($H190))))</f>
        <v/>
      </c>
      <c r="L188" s="32" t="n"/>
      <c r="M188" s="34">
        <f>IF(AND(IF($I190&lt;&gt;"",$I190,$I188)="override",$L188&lt;&gt;""),$L188,SUMIFS(Assumptions!$P$4:$P$103,Assumptions!$M$4:$M$103,$C188,Assumptions!$N$4:$N$103,$E188,Assumptions!$O$4:$O$103,"LVN"))</f>
        <v/>
      </c>
      <c r="N188" s="32" t="n"/>
      <c r="O188" s="34">
        <f>IF(AND(IF($I190&lt;&gt;"",$I190,$I188)="override",$N188&lt;&gt;""),$N188,SUMIFS(Assumptions!$P$4:$P$103,Assumptions!$M$4:$M$103,$C188,Assumptions!$N$4:$N$103,$E188,Assumptions!$O$4:$O$103,"HVN"))</f>
        <v/>
      </c>
      <c r="P188" s="34">
        <f>(M188+O188)*Assumptions!$S$11</f>
        <v/>
      </c>
      <c r="Q188" s="35">
        <f>$F188*$K188*$P188</f>
        <v/>
      </c>
    </row>
    <row r="189">
      <c r="A189" s="11" t="inlineStr">
        <is>
          <t>UNIT</t>
        </is>
      </c>
      <c r="B189" s="28" t="inlineStr">
        <is>
          <t>MARATHON_DETROIT</t>
        </is>
      </c>
      <c r="C189" s="28" t="n">
        <v>2</v>
      </c>
      <c r="D189" s="28" t="inlineStr">
        <is>
          <t>NHT</t>
        </is>
      </c>
      <c r="E189" s="28" t="inlineStr">
        <is>
          <t>NHT</t>
        </is>
      </c>
      <c r="F189" s="29" t="n">
        <v>35.5</v>
      </c>
      <c r="G189" s="30">
        <f>IFERROR(IF(INDEX(Effective!$E$3:$R$125,MATCH($B189,Effective!$A$3:$A$125,0),MATCH($D189,Effective!$E$2:$R$2,0))=0,"",INDEX(Effective!$E$3:$R$125,MATCH($B189,Effective!$A$3:$A$125,0),MATCH($D189,Effective!$E$2:$R$2,0))),"")</f>
        <v/>
      </c>
      <c r="H189" s="31" t="n"/>
      <c r="I189" s="17" t="inlineStr">
        <is>
          <t>override</t>
        </is>
      </c>
      <c r="J189" s="32" t="n">
        <v>1</v>
      </c>
      <c r="K189" s="33">
        <f>IF(AND(IF($I190&lt;&gt;"",$I190,$I189)="override",$J189&lt;&gt;""),$J189,SUMIFS(Assumptions!$K$4:$K$8,Assumptions!$J$4:$J$8,$C189))*Assumptions!$S$10*(1-MIN(1,MAX(N($H189),N($H190))))</f>
        <v/>
      </c>
      <c r="L189" s="32" t="n"/>
      <c r="M189" s="34">
        <f>IF(AND(IF($I190&lt;&gt;"",$I190,$I189)="override",$L189&lt;&gt;""),$L189,SUMIFS(Assumptions!$P$4:$P$103,Assumptions!$M$4:$M$103,$C189,Assumptions!$N$4:$N$103,$E189,Assumptions!$O$4:$O$103,"LVN"))</f>
        <v/>
      </c>
      <c r="N189" s="32" t="n"/>
      <c r="O189" s="34">
        <f>IF(AND(IF($I190&lt;&gt;"",$I190,$I189)="override",$N189&lt;&gt;""),$N189,SUMIFS(Assumptions!$P$4:$P$103,Assumptions!$M$4:$M$103,$C189,Assumptions!$N$4:$N$103,$E189,Assumptions!$O$4:$O$103,"HVN"))</f>
        <v/>
      </c>
      <c r="P189" s="34">
        <f>(M189+O189)*Assumptions!$S$11</f>
        <v/>
      </c>
      <c r="Q189" s="35">
        <f>$F189*$K189*$P189</f>
        <v/>
      </c>
    </row>
    <row r="190">
      <c r="A190" s="24" t="inlineStr">
        <is>
          <t>TOTAL</t>
        </is>
      </c>
      <c r="B190" s="36" t="inlineStr">
        <is>
          <t>MARATHON_DETROIT</t>
        </is>
      </c>
      <c r="C190" s="36" t="n">
        <v>2</v>
      </c>
      <c r="D190" s="36" t="inlineStr">
        <is>
          <t>NET NAPHTHA</t>
        </is>
      </c>
      <c r="H190" s="31" t="n"/>
      <c r="I190" s="17" t="n"/>
      <c r="Q190" s="37">
        <f>SUM(Q183:Q189)</f>
        <v/>
      </c>
    </row>
    <row r="192" ht="20" customHeight="1">
      <c r="A192" s="8">
        <f>"  HF Sinclair El Dorado (KS)  [HF_EL_DORADO_KS]   —   HF Sinclair   —   PADD 2   —   crude "&amp;TEXT(SUMIFS(Data!$G$3:$G$125,Data!$A$3:$A$125,"HF_EL_DORADO_KS"),"#,##0")&amp;" kbd"</f>
        <v/>
      </c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</row>
    <row r="193">
      <c r="A193" s="11" t="inlineStr">
        <is>
          <t>UNIT</t>
        </is>
      </c>
      <c r="B193" s="28" t="inlineStr">
        <is>
          <t>HF_EL_DORADO_KS</t>
        </is>
      </c>
      <c r="C193" s="28" t="n">
        <v>2</v>
      </c>
      <c r="D193" s="28" t="inlineStr">
        <is>
          <t>CDU</t>
        </is>
      </c>
      <c r="E193" s="28" t="inlineStr">
        <is>
          <t>CDU</t>
        </is>
      </c>
      <c r="F193" s="29" t="n">
        <v>165</v>
      </c>
      <c r="G193" s="30">
        <f>IFERROR(IF(INDEX(Effective!$E$3:$R$125,MATCH($B193,Effective!$A$3:$A$125,0),MATCH($D193,Effective!$E$2:$R$2,0))=0,"",INDEX(Effective!$E$3:$R$125,MATCH($B193,Effective!$A$3:$A$125,0),MATCH($D193,Effective!$E$2:$R$2,0))),"")</f>
        <v/>
      </c>
      <c r="H193" s="31" t="n"/>
      <c r="I193" s="17" t="inlineStr">
        <is>
          <t>override</t>
        </is>
      </c>
      <c r="J193" s="32" t="n">
        <v>0.87</v>
      </c>
      <c r="K193" s="33">
        <f>IF(AND(IF($I203&lt;&gt;"",$I203,$I193)="override",$J193&lt;&gt;""),$J193,SUMIFS(Assumptions!$K$4:$K$8,Assumptions!$J$4:$J$8,$C193))*Assumptions!$S$10*(1-MIN(1,MAX(N($H193),N($H203))))</f>
        <v/>
      </c>
      <c r="L193" s="32" t="n"/>
      <c r="M193" s="34">
        <f>IF(AND(IF($I203&lt;&gt;"",$I203,$I193)="override",$L193&lt;&gt;""),$L193,SUMIFS(Assumptions!$P$4:$P$103,Assumptions!$M$4:$M$103,$C193,Assumptions!$N$4:$N$103,$E193,Assumptions!$O$4:$O$103,"LVN"))</f>
        <v/>
      </c>
      <c r="N193" s="32" t="n"/>
      <c r="O193" s="34">
        <f>IF(AND(IF($I203&lt;&gt;"",$I203,$I193)="override",$N193&lt;&gt;""),$N193,SUMIFS(Assumptions!$P$4:$P$103,Assumptions!$M$4:$M$103,$C193,Assumptions!$N$4:$N$103,$E193,Assumptions!$O$4:$O$103,"HVN"))</f>
        <v/>
      </c>
      <c r="P193" s="34">
        <f>(M193+O193)*Assumptions!$S$11</f>
        <v/>
      </c>
      <c r="Q193" s="35">
        <f>$F193*$K193*$P193</f>
        <v/>
      </c>
    </row>
    <row r="194">
      <c r="A194" s="11" t="inlineStr">
        <is>
          <t>UNIT</t>
        </is>
      </c>
      <c r="B194" s="28" t="inlineStr">
        <is>
          <t>HF_EL_DORADO_KS</t>
        </is>
      </c>
      <c r="C194" s="28" t="n">
        <v>2</v>
      </c>
      <c r="D194" s="28" t="inlineStr">
        <is>
          <t>VDU</t>
        </is>
      </c>
      <c r="E194" s="28" t="inlineStr">
        <is>
          <t>VDU</t>
        </is>
      </c>
      <c r="F194" s="29" t="n">
        <v>65</v>
      </c>
      <c r="G194" s="30">
        <f>IFERROR(IF(INDEX(Effective!$E$3:$R$125,MATCH($B194,Effective!$A$3:$A$125,0),MATCH($D194,Effective!$E$2:$R$2,0))=0,"",INDEX(Effective!$E$3:$R$125,MATCH($B194,Effective!$A$3:$A$125,0),MATCH($D194,Effective!$E$2:$R$2,0))),"")</f>
        <v/>
      </c>
      <c r="H194" s="31" t="n"/>
      <c r="I194" s="17" t="inlineStr">
        <is>
          <t>override</t>
        </is>
      </c>
      <c r="J194" s="32" t="n">
        <v>0.99</v>
      </c>
      <c r="K194" s="33">
        <f>IF(AND(IF($I203&lt;&gt;"",$I203,$I194)="override",$J194&lt;&gt;""),$J194,SUMIFS(Assumptions!$K$4:$K$8,Assumptions!$J$4:$J$8,$C194))*Assumptions!$S$10*(1-MIN(1,MAX(N($H194),N($H203))))</f>
        <v/>
      </c>
      <c r="L194" s="32" t="n"/>
      <c r="M194" s="34">
        <f>IF(AND(IF($I203&lt;&gt;"",$I203,$I194)="override",$L194&lt;&gt;""),$L194,SUMIFS(Assumptions!$P$4:$P$103,Assumptions!$M$4:$M$103,$C194,Assumptions!$N$4:$N$103,$E194,Assumptions!$O$4:$O$103,"LVN"))</f>
        <v/>
      </c>
      <c r="N194" s="32" t="n"/>
      <c r="O194" s="34">
        <f>IF(AND(IF($I203&lt;&gt;"",$I203,$I194)="override",$N194&lt;&gt;""),$N194,SUMIFS(Assumptions!$P$4:$P$103,Assumptions!$M$4:$M$103,$C194,Assumptions!$N$4:$N$103,$E194,Assumptions!$O$4:$O$103,"HVN"))</f>
        <v/>
      </c>
      <c r="P194" s="34">
        <f>(M194+O194)*Assumptions!$S$11</f>
        <v/>
      </c>
      <c r="Q194" s="35">
        <f>$F194*$K194*$P194</f>
        <v/>
      </c>
    </row>
    <row r="195">
      <c r="A195" s="11" t="inlineStr">
        <is>
          <t>UNIT</t>
        </is>
      </c>
      <c r="B195" s="28" t="inlineStr">
        <is>
          <t>HF_EL_DORADO_KS</t>
        </is>
      </c>
      <c r="C195" s="28" t="n">
        <v>2</v>
      </c>
      <c r="D195" s="28" t="inlineStr">
        <is>
          <t>FCC</t>
        </is>
      </c>
      <c r="E195" s="28" t="inlineStr">
        <is>
          <t>FCC</t>
        </is>
      </c>
      <c r="F195" s="29" t="n">
        <v>44</v>
      </c>
      <c r="G195" s="30">
        <f>IFERROR(IF(INDEX(Effective!$E$3:$R$125,MATCH($B195,Effective!$A$3:$A$125,0),MATCH($D195,Effective!$E$2:$R$2,0))=0,"",INDEX(Effective!$E$3:$R$125,MATCH($B195,Effective!$A$3:$A$125,0),MATCH($D195,Effective!$E$2:$R$2,0))),"")</f>
        <v/>
      </c>
      <c r="H195" s="31" t="n"/>
      <c r="I195" s="17" t="inlineStr">
        <is>
          <t>override</t>
        </is>
      </c>
      <c r="J195" s="32" t="n">
        <v>0.984</v>
      </c>
      <c r="K195" s="33">
        <f>IF(AND(IF($I203&lt;&gt;"",$I203,$I195)="override",$J195&lt;&gt;""),$J195,SUMIFS(Assumptions!$K$4:$K$8,Assumptions!$J$4:$J$8,$C195))*Assumptions!$S$10*(1-MIN(1,MAX(N($H195),N($H203))))</f>
        <v/>
      </c>
      <c r="L195" s="32" t="n"/>
      <c r="M195" s="34">
        <f>IF(AND(IF($I203&lt;&gt;"",$I203,$I195)="override",$L195&lt;&gt;""),$L195,SUMIFS(Assumptions!$P$4:$P$103,Assumptions!$M$4:$M$103,$C195,Assumptions!$N$4:$N$103,$E195,Assumptions!$O$4:$O$103,"LVN"))</f>
        <v/>
      </c>
      <c r="N195" s="32" t="n"/>
      <c r="O195" s="34">
        <f>IF(AND(IF($I203&lt;&gt;"",$I203,$I195)="override",$N195&lt;&gt;""),$N195,SUMIFS(Assumptions!$P$4:$P$103,Assumptions!$M$4:$M$103,$C195,Assumptions!$N$4:$N$103,$E195,Assumptions!$O$4:$O$103,"HVN"))</f>
        <v/>
      </c>
      <c r="P195" s="34">
        <f>(M195+O195)*Assumptions!$S$11</f>
        <v/>
      </c>
      <c r="Q195" s="35">
        <f>$F195*$K195*$P195</f>
        <v/>
      </c>
    </row>
    <row r="196">
      <c r="A196" s="11" t="inlineStr">
        <is>
          <t>UNIT</t>
        </is>
      </c>
      <c r="B196" s="28" t="inlineStr">
        <is>
          <t>HF_EL_DORADO_KS</t>
        </is>
      </c>
      <c r="C196" s="28" t="n">
        <v>2</v>
      </c>
      <c r="D196" s="28" t="inlineStr">
        <is>
          <t>COKER</t>
        </is>
      </c>
      <c r="E196" s="28" t="inlineStr">
        <is>
          <t>COKER</t>
        </is>
      </c>
      <c r="F196" s="29" t="n">
        <v>22.5</v>
      </c>
      <c r="G196" s="30">
        <f>IFERROR(IF(INDEX(Effective!$E$3:$R$125,MATCH($B196,Effective!$A$3:$A$125,0),MATCH($D196,Effective!$E$2:$R$2,0))=0,"",INDEX(Effective!$E$3:$R$125,MATCH($B196,Effective!$A$3:$A$125,0),MATCH($D196,Effective!$E$2:$R$2,0))),"")</f>
        <v/>
      </c>
      <c r="H196" s="31" t="n"/>
      <c r="I196" s="17" t="inlineStr">
        <is>
          <t>override</t>
        </is>
      </c>
      <c r="J196" s="32" t="n">
        <v>1</v>
      </c>
      <c r="K196" s="33">
        <f>IF(AND(IF($I203&lt;&gt;"",$I203,$I196)="override",$J196&lt;&gt;""),$J196,SUMIFS(Assumptions!$K$4:$K$8,Assumptions!$J$4:$J$8,$C196))*Assumptions!$S$10*(1-MIN(1,MAX(N($H196),N($H203))))</f>
        <v/>
      </c>
      <c r="L196" s="32" t="n"/>
      <c r="M196" s="34">
        <f>IF(AND(IF($I203&lt;&gt;"",$I203,$I196)="override",$L196&lt;&gt;""),$L196,SUMIFS(Assumptions!$P$4:$P$103,Assumptions!$M$4:$M$103,$C196,Assumptions!$N$4:$N$103,$E196,Assumptions!$O$4:$O$103,"LVN"))</f>
        <v/>
      </c>
      <c r="N196" s="32" t="n"/>
      <c r="O196" s="34">
        <f>IF(AND(IF($I203&lt;&gt;"",$I203,$I196)="override",$N196&lt;&gt;""),$N196,SUMIFS(Assumptions!$P$4:$P$103,Assumptions!$M$4:$M$103,$C196,Assumptions!$N$4:$N$103,$E196,Assumptions!$O$4:$O$103,"HVN"))</f>
        <v/>
      </c>
      <c r="P196" s="34">
        <f>(M196+O196)*Assumptions!$S$11</f>
        <v/>
      </c>
      <c r="Q196" s="35">
        <f>$F196*$K196*$P196</f>
        <v/>
      </c>
    </row>
    <row r="197">
      <c r="A197" s="11" t="inlineStr">
        <is>
          <t>UNIT</t>
        </is>
      </c>
      <c r="B197" s="28" t="inlineStr">
        <is>
          <t>HF_EL_DORADO_KS</t>
        </is>
      </c>
      <c r="C197" s="28" t="n">
        <v>2</v>
      </c>
      <c r="D197" s="28" t="inlineStr">
        <is>
          <t>CCR</t>
        </is>
      </c>
      <c r="E197" s="28" t="inlineStr">
        <is>
          <t>REFORMER</t>
        </is>
      </c>
      <c r="F197" s="29" t="n">
        <v>7.5</v>
      </c>
      <c r="G197" s="30">
        <f>IFERROR(IF(INDEX(Effective!$E$3:$R$125,MATCH($B197,Effective!$A$3:$A$125,0),MATCH($D197,Effective!$E$2:$R$2,0))=0,"",INDEX(Effective!$E$3:$R$125,MATCH($B197,Effective!$A$3:$A$125,0),MATCH($D197,Effective!$E$2:$R$2,0))),"")</f>
        <v/>
      </c>
      <c r="H197" s="31" t="n"/>
      <c r="I197" s="17" t="inlineStr">
        <is>
          <t>override</t>
        </is>
      </c>
      <c r="J197" s="32" t="n">
        <v>1.1</v>
      </c>
      <c r="K197" s="33">
        <f>IF(AND(IF($I203&lt;&gt;"",$I203,$I197)="override",$J197&lt;&gt;""),$J197,SUMIFS(Assumptions!$K$4:$K$8,Assumptions!$J$4:$J$8,$C197))*Assumptions!$S$10*(1-MIN(1,MAX(N($H197),N($H203))))</f>
        <v/>
      </c>
      <c r="L197" s="32" t="n"/>
      <c r="M197" s="34">
        <f>IF(AND(IF($I203&lt;&gt;"",$I203,$I197)="override",$L197&lt;&gt;""),$L197,SUMIFS(Assumptions!$P$4:$P$103,Assumptions!$M$4:$M$103,$C197,Assumptions!$N$4:$N$103,$E197,Assumptions!$O$4:$O$103,"LVN"))</f>
        <v/>
      </c>
      <c r="N197" s="32" t="n"/>
      <c r="O197" s="34">
        <f>IF(AND(IF($I203&lt;&gt;"",$I203,$I197)="override",$N197&lt;&gt;""),$N197,SUMIFS(Assumptions!$P$4:$P$103,Assumptions!$M$4:$M$103,$C197,Assumptions!$N$4:$N$103,$E197,Assumptions!$O$4:$O$103,"HVN"))</f>
        <v/>
      </c>
      <c r="P197" s="34">
        <f>(M197+O197)*Assumptions!$S$11</f>
        <v/>
      </c>
      <c r="Q197" s="35">
        <f>$F197*$K197*$P197</f>
        <v/>
      </c>
    </row>
    <row r="198">
      <c r="A198" s="11" t="inlineStr">
        <is>
          <t>UNIT</t>
        </is>
      </c>
      <c r="B198" s="28" t="inlineStr">
        <is>
          <t>HF_EL_DORADO_KS</t>
        </is>
      </c>
      <c r="C198" s="28" t="n">
        <v>2</v>
      </c>
      <c r="D198" s="28" t="inlineStr">
        <is>
          <t>REF</t>
        </is>
      </c>
      <c r="E198" s="28" t="inlineStr">
        <is>
          <t>REFORMER</t>
        </is>
      </c>
      <c r="F198" s="29" t="n">
        <v>23.5</v>
      </c>
      <c r="G198" s="30">
        <f>IFERROR(IF(INDEX(Effective!$E$3:$R$125,MATCH($B198,Effective!$A$3:$A$125,0),MATCH($D198,Effective!$E$2:$R$2,0))=0,"",INDEX(Effective!$E$3:$R$125,MATCH($B198,Effective!$A$3:$A$125,0),MATCH($D198,Effective!$E$2:$R$2,0))),"")</f>
        <v/>
      </c>
      <c r="H198" s="31" t="n"/>
      <c r="I198" s="17" t="inlineStr">
        <is>
          <t>override</t>
        </is>
      </c>
      <c r="J198" s="32" t="n"/>
      <c r="K198" s="33">
        <f>IF(AND(IF($I203&lt;&gt;"",$I203,$I198)="override",$J198&lt;&gt;""),$J198,SUMIFS(Assumptions!$K$4:$K$8,Assumptions!$J$4:$J$8,$C198))*Assumptions!$S$10*(1-MIN(1,MAX(N($H198),N($H203))))</f>
        <v/>
      </c>
      <c r="L198" s="32" t="n"/>
      <c r="M198" s="34">
        <f>IF(AND(IF($I203&lt;&gt;"",$I203,$I198)="override",$L198&lt;&gt;""),$L198,SUMIFS(Assumptions!$P$4:$P$103,Assumptions!$M$4:$M$103,$C198,Assumptions!$N$4:$N$103,$E198,Assumptions!$O$4:$O$103,"LVN"))</f>
        <v/>
      </c>
      <c r="N198" s="32" t="n"/>
      <c r="O198" s="34">
        <f>IF(AND(IF($I203&lt;&gt;"",$I203,$I198)="override",$N198&lt;&gt;""),$N198,SUMIFS(Assumptions!$P$4:$P$103,Assumptions!$M$4:$M$103,$C198,Assumptions!$N$4:$N$103,$E198,Assumptions!$O$4:$O$103,"HVN"))</f>
        <v/>
      </c>
      <c r="P198" s="34">
        <f>(M198+O198)*Assumptions!$S$11</f>
        <v/>
      </c>
      <c r="Q198" s="35">
        <f>$F198*$K198*$P198</f>
        <v/>
      </c>
    </row>
    <row r="199">
      <c r="A199" s="11" t="inlineStr">
        <is>
          <t>UNIT</t>
        </is>
      </c>
      <c r="B199" s="28" t="inlineStr">
        <is>
          <t>HF_EL_DORADO_KS</t>
        </is>
      </c>
      <c r="C199" s="28" t="n">
        <v>2</v>
      </c>
      <c r="D199" s="28" t="inlineStr">
        <is>
          <t>ISOM</t>
        </is>
      </c>
      <c r="E199" s="28" t="inlineStr">
        <is>
          <t>ISOM</t>
        </is>
      </c>
      <c r="F199" s="29" t="n">
        <v>15</v>
      </c>
      <c r="G199" s="30">
        <f>IFERROR(IF(INDEX(Effective!$E$3:$R$125,MATCH($B199,Effective!$A$3:$A$125,0),MATCH($D199,Effective!$E$2:$R$2,0))=0,"",INDEX(Effective!$E$3:$R$125,MATCH($B199,Effective!$A$3:$A$125,0),MATCH($D199,Effective!$E$2:$R$2,0))),"")</f>
        <v/>
      </c>
      <c r="H199" s="31" t="n"/>
      <c r="I199" s="17" t="inlineStr">
        <is>
          <t>override</t>
        </is>
      </c>
      <c r="J199" s="32" t="n">
        <v>0.119</v>
      </c>
      <c r="K199" s="33">
        <f>IF(AND(IF($I203&lt;&gt;"",$I203,$I199)="override",$J199&lt;&gt;""),$J199,SUMIFS(Assumptions!$K$4:$K$8,Assumptions!$J$4:$J$8,$C199))*Assumptions!$S$10*(1-MIN(1,MAX(N($H199),N($H203))))</f>
        <v/>
      </c>
      <c r="L199" s="32" t="n"/>
      <c r="M199" s="34">
        <f>IF(AND(IF($I203&lt;&gt;"",$I203,$I199)="override",$L199&lt;&gt;""),$L199,SUMIFS(Assumptions!$P$4:$P$103,Assumptions!$M$4:$M$103,$C199,Assumptions!$N$4:$N$103,$E199,Assumptions!$O$4:$O$103,"LVN"))</f>
        <v/>
      </c>
      <c r="N199" s="32" t="n"/>
      <c r="O199" s="34">
        <f>IF(AND(IF($I203&lt;&gt;"",$I203,$I199)="override",$N199&lt;&gt;""),$N199,SUMIFS(Assumptions!$P$4:$P$103,Assumptions!$M$4:$M$103,$C199,Assumptions!$N$4:$N$103,$E199,Assumptions!$O$4:$O$103,"HVN"))</f>
        <v/>
      </c>
      <c r="P199" s="34">
        <f>(M199+O199)*Assumptions!$S$11</f>
        <v/>
      </c>
      <c r="Q199" s="35">
        <f>$F199*$K199*$P199</f>
        <v/>
      </c>
    </row>
    <row r="200">
      <c r="A200" s="11" t="inlineStr">
        <is>
          <t>UNIT</t>
        </is>
      </c>
      <c r="B200" s="28" t="inlineStr">
        <is>
          <t>HF_EL_DORADO_KS</t>
        </is>
      </c>
      <c r="C200" s="28" t="n">
        <v>2</v>
      </c>
      <c r="D200" s="28" t="inlineStr">
        <is>
          <t>ALKY</t>
        </is>
      </c>
      <c r="E200" s="28" t="inlineStr">
        <is>
          <t>ALKY</t>
        </is>
      </c>
      <c r="F200" s="29" t="n">
        <v>14</v>
      </c>
      <c r="G200" s="30">
        <f>IFERROR(IF(INDEX(Effective!$E$3:$R$125,MATCH($B200,Effective!$A$3:$A$125,0),MATCH($D200,Effective!$E$2:$R$2,0))=0,"",INDEX(Effective!$E$3:$R$125,MATCH($B200,Effective!$A$3:$A$125,0),MATCH($D200,Effective!$E$2:$R$2,0))),"")</f>
        <v/>
      </c>
      <c r="H200" s="31" t="n"/>
      <c r="I200" s="17" t="inlineStr">
        <is>
          <t>override</t>
        </is>
      </c>
      <c r="J200" s="32" t="n">
        <v>1.1</v>
      </c>
      <c r="K200" s="33">
        <f>IF(AND(IF($I203&lt;&gt;"",$I203,$I200)="override",$J200&lt;&gt;""),$J200,SUMIFS(Assumptions!$K$4:$K$8,Assumptions!$J$4:$J$8,$C200))*Assumptions!$S$10*(1-MIN(1,MAX(N($H200),N($H203))))</f>
        <v/>
      </c>
      <c r="L200" s="32" t="n"/>
      <c r="M200" s="34">
        <f>IF(AND(IF($I203&lt;&gt;"",$I203,$I200)="override",$L200&lt;&gt;""),$L200,SUMIFS(Assumptions!$P$4:$P$103,Assumptions!$M$4:$M$103,$C200,Assumptions!$N$4:$N$103,$E200,Assumptions!$O$4:$O$103,"LVN"))</f>
        <v/>
      </c>
      <c r="N200" s="32" t="n"/>
      <c r="O200" s="34">
        <f>IF(AND(IF($I203&lt;&gt;"",$I203,$I200)="override",$N200&lt;&gt;""),$N200,SUMIFS(Assumptions!$P$4:$P$103,Assumptions!$M$4:$M$103,$C200,Assumptions!$N$4:$N$103,$E200,Assumptions!$O$4:$O$103,"HVN"))</f>
        <v/>
      </c>
      <c r="P200" s="34">
        <f>(M200+O200)*Assumptions!$S$11</f>
        <v/>
      </c>
      <c r="Q200" s="35">
        <f>$F200*$K200*$P200</f>
        <v/>
      </c>
    </row>
    <row r="201">
      <c r="A201" s="11" t="inlineStr">
        <is>
          <t>UNIT</t>
        </is>
      </c>
      <c r="B201" s="28" t="inlineStr">
        <is>
          <t>HF_EL_DORADO_KS</t>
        </is>
      </c>
      <c r="C201" s="28" t="n">
        <v>2</v>
      </c>
      <c r="D201" s="28" t="inlineStr">
        <is>
          <t>NHT</t>
        </is>
      </c>
      <c r="E201" s="28" t="inlineStr">
        <is>
          <t>NHT</t>
        </is>
      </c>
      <c r="F201" s="29" t="n">
        <v>50</v>
      </c>
      <c r="G201" s="30">
        <f>IFERROR(IF(INDEX(Effective!$E$3:$R$125,MATCH($B201,Effective!$A$3:$A$125,0),MATCH($D201,Effective!$E$2:$R$2,0))=0,"",INDEX(Effective!$E$3:$R$125,MATCH($B201,Effective!$A$3:$A$125,0),MATCH($D201,Effective!$E$2:$R$2,0))),"")</f>
        <v/>
      </c>
      <c r="H201" s="31" t="n"/>
      <c r="I201" s="17" t="inlineStr">
        <is>
          <t>override</t>
        </is>
      </c>
      <c r="J201" s="32" t="n">
        <v>0.8169999999999999</v>
      </c>
      <c r="K201" s="33">
        <f>IF(AND(IF($I203&lt;&gt;"",$I203,$I201)="override",$J201&lt;&gt;""),$J201,SUMIFS(Assumptions!$K$4:$K$8,Assumptions!$J$4:$J$8,$C201))*Assumptions!$S$10*(1-MIN(1,MAX(N($H201),N($H203))))</f>
        <v/>
      </c>
      <c r="L201" s="32" t="n"/>
      <c r="M201" s="34">
        <f>IF(AND(IF($I203&lt;&gt;"",$I203,$I201)="override",$L201&lt;&gt;""),$L201,SUMIFS(Assumptions!$P$4:$P$103,Assumptions!$M$4:$M$103,$C201,Assumptions!$N$4:$N$103,$E201,Assumptions!$O$4:$O$103,"LVN"))</f>
        <v/>
      </c>
      <c r="N201" s="32" t="n"/>
      <c r="O201" s="34">
        <f>IF(AND(IF($I203&lt;&gt;"",$I203,$I201)="override",$N201&lt;&gt;""),$N201,SUMIFS(Assumptions!$P$4:$P$103,Assumptions!$M$4:$M$103,$C201,Assumptions!$N$4:$N$103,$E201,Assumptions!$O$4:$O$103,"HVN"))</f>
        <v/>
      </c>
      <c r="P201" s="34">
        <f>(M201+O201)*Assumptions!$S$11</f>
        <v/>
      </c>
      <c r="Q201" s="35">
        <f>$F201*$K201*$P201</f>
        <v/>
      </c>
    </row>
    <row r="202">
      <c r="A202" s="11" t="inlineStr">
        <is>
          <t>UNIT</t>
        </is>
      </c>
      <c r="B202" s="28" t="inlineStr">
        <is>
          <t>HF_EL_DORADO_KS</t>
        </is>
      </c>
      <c r="C202" s="28" t="n">
        <v>2</v>
      </c>
      <c r="D202" s="28" t="inlineStr">
        <is>
          <t>NSPL</t>
        </is>
      </c>
      <c r="E202" s="28" t="inlineStr">
        <is>
          <t>SPLITTER</t>
        </is>
      </c>
      <c r="F202" s="29" t="n">
        <v>50</v>
      </c>
      <c r="G202" s="30">
        <f>IFERROR(IF(INDEX(Effective!$E$3:$R$125,MATCH($B202,Effective!$A$3:$A$125,0),MATCH($D202,Effective!$E$2:$R$2,0))=0,"",INDEX(Effective!$E$3:$R$125,MATCH($B202,Effective!$A$3:$A$125,0),MATCH($D202,Effective!$E$2:$R$2,0))),"")</f>
        <v/>
      </c>
      <c r="H202" s="31" t="n"/>
      <c r="I202" s="17" t="inlineStr">
        <is>
          <t>override</t>
        </is>
      </c>
      <c r="J202" s="32" t="n"/>
      <c r="K202" s="33">
        <f>IF(AND(IF($I203&lt;&gt;"",$I203,$I202)="override",$J202&lt;&gt;""),$J202,SUMIFS(Assumptions!$K$4:$K$8,Assumptions!$J$4:$J$8,$C202))*Assumptions!$S$10*(1-MIN(1,MAX(N($H202),N($H203))))</f>
        <v/>
      </c>
      <c r="L202" s="32" t="n"/>
      <c r="M202" s="34">
        <f>IF(AND(IF($I203&lt;&gt;"",$I203,$I202)="override",$L202&lt;&gt;""),$L202,SUMIFS(Assumptions!$P$4:$P$103,Assumptions!$M$4:$M$103,$C202,Assumptions!$N$4:$N$103,$E202,Assumptions!$O$4:$O$103,"LVN"))</f>
        <v/>
      </c>
      <c r="N202" s="32" t="n"/>
      <c r="O202" s="34">
        <f>IF(AND(IF($I203&lt;&gt;"",$I203,$I202)="override",$N202&lt;&gt;""),$N202,SUMIFS(Assumptions!$P$4:$P$103,Assumptions!$M$4:$M$103,$C202,Assumptions!$N$4:$N$103,$E202,Assumptions!$O$4:$O$103,"HVN"))</f>
        <v/>
      </c>
      <c r="P202" s="34">
        <f>(M202+O202)*Assumptions!$S$11</f>
        <v/>
      </c>
      <c r="Q202" s="35">
        <f>$F202*$K202*$P202</f>
        <v/>
      </c>
    </row>
    <row r="203">
      <c r="A203" s="24" t="inlineStr">
        <is>
          <t>TOTAL</t>
        </is>
      </c>
      <c r="B203" s="36" t="inlineStr">
        <is>
          <t>HF_EL_DORADO_KS</t>
        </is>
      </c>
      <c r="C203" s="36" t="n">
        <v>2</v>
      </c>
      <c r="D203" s="36" t="inlineStr">
        <is>
          <t>NET NAPHTHA</t>
        </is>
      </c>
      <c r="H203" s="31" t="n"/>
      <c r="I203" s="17" t="n"/>
      <c r="Q203" s="37">
        <f>SUM(Q193:Q202)</f>
        <v/>
      </c>
    </row>
    <row r="205" ht="20" customHeight="1">
      <c r="A205" s="8">
        <f>"  CVR Energy Coffeyville  [CVR_COFFEYVILLE]   —   Icahn Enterprises (80%) / Other Investors (20%)   —   PADD 2   —   crude "&amp;TEXT(SUMIFS(Data!$G$3:$G$125,Data!$A$3:$A$125,"CVR_COFFEYVILLE"),"#,##0")&amp;" kbd"</f>
        <v/>
      </c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</row>
    <row r="206">
      <c r="A206" s="11" t="inlineStr">
        <is>
          <t>UNIT</t>
        </is>
      </c>
      <c r="B206" s="28" t="inlineStr">
        <is>
          <t>CVR_COFFEYVILLE</t>
        </is>
      </c>
      <c r="C206" s="28" t="n">
        <v>2</v>
      </c>
      <c r="D206" s="28" t="inlineStr">
        <is>
          <t>CDU</t>
        </is>
      </c>
      <c r="E206" s="28" t="inlineStr">
        <is>
          <t>CDU</t>
        </is>
      </c>
      <c r="F206" s="29" t="n">
        <v>136</v>
      </c>
      <c r="G206" s="30">
        <f>IFERROR(IF(INDEX(Effective!$E$3:$R$125,MATCH($B206,Effective!$A$3:$A$125,0),MATCH($D206,Effective!$E$2:$R$2,0))=0,"",INDEX(Effective!$E$3:$R$125,MATCH($B206,Effective!$A$3:$A$125,0),MATCH($D206,Effective!$E$2:$R$2,0))),"")</f>
        <v/>
      </c>
      <c r="H206" s="31" t="n"/>
      <c r="I206" s="17" t="inlineStr">
        <is>
          <t>override</t>
        </is>
      </c>
      <c r="J206" s="32" t="n">
        <v>0.91</v>
      </c>
      <c r="K206" s="33">
        <f>IF(AND(IF($I213&lt;&gt;"",$I213,$I206)="override",$J206&lt;&gt;""),$J206,SUMIFS(Assumptions!$K$4:$K$8,Assumptions!$J$4:$J$8,$C206))*Assumptions!$S$10*(1-MIN(1,MAX(N($H206),N($H213))))</f>
        <v/>
      </c>
      <c r="L206" s="32" t="n"/>
      <c r="M206" s="34">
        <f>IF(AND(IF($I213&lt;&gt;"",$I213,$I206)="override",$L206&lt;&gt;""),$L206,SUMIFS(Assumptions!$P$4:$P$103,Assumptions!$M$4:$M$103,$C206,Assumptions!$N$4:$N$103,$E206,Assumptions!$O$4:$O$103,"LVN"))</f>
        <v/>
      </c>
      <c r="N206" s="32" t="n"/>
      <c r="O206" s="34">
        <f>IF(AND(IF($I213&lt;&gt;"",$I213,$I206)="override",$N206&lt;&gt;""),$N206,SUMIFS(Assumptions!$P$4:$P$103,Assumptions!$M$4:$M$103,$C206,Assumptions!$N$4:$N$103,$E206,Assumptions!$O$4:$O$103,"HVN"))</f>
        <v/>
      </c>
      <c r="P206" s="34">
        <f>(M206+O206)*Assumptions!$S$11</f>
        <v/>
      </c>
      <c r="Q206" s="35">
        <f>$F206*$K206*$P206</f>
        <v/>
      </c>
    </row>
    <row r="207">
      <c r="A207" s="11" t="inlineStr">
        <is>
          <t>UNIT</t>
        </is>
      </c>
      <c r="B207" s="28" t="inlineStr">
        <is>
          <t>CVR_COFFEYVILLE</t>
        </is>
      </c>
      <c r="C207" s="28" t="n">
        <v>2</v>
      </c>
      <c r="D207" s="28" t="inlineStr">
        <is>
          <t>VDU</t>
        </is>
      </c>
      <c r="E207" s="28" t="inlineStr">
        <is>
          <t>VDU</t>
        </is>
      </c>
      <c r="F207" s="29" t="n">
        <v>46</v>
      </c>
      <c r="G207" s="30">
        <f>IFERROR(IF(INDEX(Effective!$E$3:$R$125,MATCH($B207,Effective!$A$3:$A$125,0),MATCH($D207,Effective!$E$2:$R$2,0))=0,"",INDEX(Effective!$E$3:$R$125,MATCH($B207,Effective!$A$3:$A$125,0),MATCH($D207,Effective!$E$2:$R$2,0))),"")</f>
        <v/>
      </c>
      <c r="H207" s="31" t="n"/>
      <c r="I207" s="17" t="inlineStr">
        <is>
          <t>override</t>
        </is>
      </c>
      <c r="J207" s="32" t="n">
        <v>0.993</v>
      </c>
      <c r="K207" s="33">
        <f>IF(AND(IF($I213&lt;&gt;"",$I213,$I207)="override",$J207&lt;&gt;""),$J207,SUMIFS(Assumptions!$K$4:$K$8,Assumptions!$J$4:$J$8,$C207))*Assumptions!$S$10*(1-MIN(1,MAX(N($H207),N($H213))))</f>
        <v/>
      </c>
      <c r="L207" s="32" t="n"/>
      <c r="M207" s="34">
        <f>IF(AND(IF($I213&lt;&gt;"",$I213,$I207)="override",$L207&lt;&gt;""),$L207,SUMIFS(Assumptions!$P$4:$P$103,Assumptions!$M$4:$M$103,$C207,Assumptions!$N$4:$N$103,$E207,Assumptions!$O$4:$O$103,"LVN"))</f>
        <v/>
      </c>
      <c r="N207" s="32" t="n"/>
      <c r="O207" s="34">
        <f>IF(AND(IF($I213&lt;&gt;"",$I213,$I207)="override",$N207&lt;&gt;""),$N207,SUMIFS(Assumptions!$P$4:$P$103,Assumptions!$M$4:$M$103,$C207,Assumptions!$N$4:$N$103,$E207,Assumptions!$O$4:$O$103,"HVN"))</f>
        <v/>
      </c>
      <c r="P207" s="34">
        <f>(M207+O207)*Assumptions!$S$11</f>
        <v/>
      </c>
      <c r="Q207" s="35">
        <f>$F207*$K207*$P207</f>
        <v/>
      </c>
    </row>
    <row r="208">
      <c r="A208" s="11" t="inlineStr">
        <is>
          <t>UNIT</t>
        </is>
      </c>
      <c r="B208" s="28" t="inlineStr">
        <is>
          <t>CVR_COFFEYVILLE</t>
        </is>
      </c>
      <c r="C208" s="28" t="n">
        <v>2</v>
      </c>
      <c r="D208" s="28" t="inlineStr">
        <is>
          <t>FCC</t>
        </is>
      </c>
      <c r="E208" s="28" t="inlineStr">
        <is>
          <t>FCC</t>
        </is>
      </c>
      <c r="F208" s="29" t="n">
        <v>36</v>
      </c>
      <c r="G208" s="30">
        <f>IFERROR(IF(INDEX(Effective!$E$3:$R$125,MATCH($B208,Effective!$A$3:$A$125,0),MATCH($D208,Effective!$E$2:$R$2,0))=0,"",INDEX(Effective!$E$3:$R$125,MATCH($B208,Effective!$A$3:$A$125,0),MATCH($D208,Effective!$E$2:$R$2,0))),"")</f>
        <v/>
      </c>
      <c r="H208" s="31" t="n"/>
      <c r="I208" s="17" t="inlineStr">
        <is>
          <t>override</t>
        </is>
      </c>
      <c r="J208" s="32" t="n">
        <v>1</v>
      </c>
      <c r="K208" s="33">
        <f>IF(AND(IF($I213&lt;&gt;"",$I213,$I208)="override",$J208&lt;&gt;""),$J208,SUMIFS(Assumptions!$K$4:$K$8,Assumptions!$J$4:$J$8,$C208))*Assumptions!$S$10*(1-MIN(1,MAX(N($H208),N($H213))))</f>
        <v/>
      </c>
      <c r="L208" s="32" t="n"/>
      <c r="M208" s="34">
        <f>IF(AND(IF($I213&lt;&gt;"",$I213,$I208)="override",$L208&lt;&gt;""),$L208,SUMIFS(Assumptions!$P$4:$P$103,Assumptions!$M$4:$M$103,$C208,Assumptions!$N$4:$N$103,$E208,Assumptions!$O$4:$O$103,"LVN"))</f>
        <v/>
      </c>
      <c r="N208" s="32" t="n"/>
      <c r="O208" s="34">
        <f>IF(AND(IF($I213&lt;&gt;"",$I213,$I208)="override",$N208&lt;&gt;""),$N208,SUMIFS(Assumptions!$P$4:$P$103,Assumptions!$M$4:$M$103,$C208,Assumptions!$N$4:$N$103,$E208,Assumptions!$O$4:$O$103,"HVN"))</f>
        <v/>
      </c>
      <c r="P208" s="34">
        <f>(M208+O208)*Assumptions!$S$11</f>
        <v/>
      </c>
      <c r="Q208" s="35">
        <f>$F208*$K208*$P208</f>
        <v/>
      </c>
    </row>
    <row r="209">
      <c r="A209" s="11" t="inlineStr">
        <is>
          <t>UNIT</t>
        </is>
      </c>
      <c r="B209" s="28" t="inlineStr">
        <is>
          <t>CVR_COFFEYVILLE</t>
        </is>
      </c>
      <c r="C209" s="28" t="n">
        <v>2</v>
      </c>
      <c r="D209" s="28" t="inlineStr">
        <is>
          <t>COKER</t>
        </is>
      </c>
      <c r="E209" s="28" t="inlineStr">
        <is>
          <t>COKER</t>
        </is>
      </c>
      <c r="F209" s="29" t="n">
        <v>25</v>
      </c>
      <c r="G209" s="30">
        <f>IFERROR(IF(INDEX(Effective!$E$3:$R$125,MATCH($B209,Effective!$A$3:$A$125,0),MATCH($D209,Effective!$E$2:$R$2,0))=0,"",INDEX(Effective!$E$3:$R$125,MATCH($B209,Effective!$A$3:$A$125,0),MATCH($D209,Effective!$E$2:$R$2,0))),"")</f>
        <v/>
      </c>
      <c r="H209" s="31" t="n"/>
      <c r="I209" s="17" t="inlineStr">
        <is>
          <t>override</t>
        </is>
      </c>
      <c r="J209" s="32" t="n">
        <v>0.919</v>
      </c>
      <c r="K209" s="33">
        <f>IF(AND(IF($I213&lt;&gt;"",$I213,$I209)="override",$J209&lt;&gt;""),$J209,SUMIFS(Assumptions!$K$4:$K$8,Assumptions!$J$4:$J$8,$C209))*Assumptions!$S$10*(1-MIN(1,MAX(N($H209),N($H213))))</f>
        <v/>
      </c>
      <c r="L209" s="32" t="n"/>
      <c r="M209" s="34">
        <f>IF(AND(IF($I213&lt;&gt;"",$I213,$I209)="override",$L209&lt;&gt;""),$L209,SUMIFS(Assumptions!$P$4:$P$103,Assumptions!$M$4:$M$103,$C209,Assumptions!$N$4:$N$103,$E209,Assumptions!$O$4:$O$103,"LVN"))</f>
        <v/>
      </c>
      <c r="N209" s="32" t="n"/>
      <c r="O209" s="34">
        <f>IF(AND(IF($I213&lt;&gt;"",$I213,$I209)="override",$N209&lt;&gt;""),$N209,SUMIFS(Assumptions!$P$4:$P$103,Assumptions!$M$4:$M$103,$C209,Assumptions!$N$4:$N$103,$E209,Assumptions!$O$4:$O$103,"HVN"))</f>
        <v/>
      </c>
      <c r="P209" s="34">
        <f>(M209+O209)*Assumptions!$S$11</f>
        <v/>
      </c>
      <c r="Q209" s="35">
        <f>$F209*$K209*$P209</f>
        <v/>
      </c>
    </row>
    <row r="210">
      <c r="A210" s="11" t="inlineStr">
        <is>
          <t>UNIT</t>
        </is>
      </c>
      <c r="B210" s="28" t="inlineStr">
        <is>
          <t>CVR_COFFEYVILLE</t>
        </is>
      </c>
      <c r="C210" s="28" t="n">
        <v>2</v>
      </c>
      <c r="D210" s="28" t="inlineStr">
        <is>
          <t>CCR</t>
        </is>
      </c>
      <c r="E210" s="28" t="inlineStr">
        <is>
          <t>REFORMER</t>
        </is>
      </c>
      <c r="F210" s="29" t="n">
        <v>26</v>
      </c>
      <c r="G210" s="30">
        <f>IFERROR(IF(INDEX(Effective!$E$3:$R$125,MATCH($B210,Effective!$A$3:$A$125,0),MATCH($D210,Effective!$E$2:$R$2,0))=0,"",INDEX(Effective!$E$3:$R$125,MATCH($B210,Effective!$A$3:$A$125,0),MATCH($D210,Effective!$E$2:$R$2,0))),"")</f>
        <v/>
      </c>
      <c r="H210" s="31" t="n"/>
      <c r="I210" s="17" t="inlineStr">
        <is>
          <t>override</t>
        </is>
      </c>
      <c r="J210" s="32" t="n">
        <v>0.913</v>
      </c>
      <c r="K210" s="33">
        <f>IF(AND(IF($I213&lt;&gt;"",$I213,$I210)="override",$J210&lt;&gt;""),$J210,SUMIFS(Assumptions!$K$4:$K$8,Assumptions!$J$4:$J$8,$C210))*Assumptions!$S$10*(1-MIN(1,MAX(N($H210),N($H213))))</f>
        <v/>
      </c>
      <c r="L210" s="32" t="n"/>
      <c r="M210" s="34">
        <f>IF(AND(IF($I213&lt;&gt;"",$I213,$I210)="override",$L210&lt;&gt;""),$L210,SUMIFS(Assumptions!$P$4:$P$103,Assumptions!$M$4:$M$103,$C210,Assumptions!$N$4:$N$103,$E210,Assumptions!$O$4:$O$103,"LVN"))</f>
        <v/>
      </c>
      <c r="N210" s="32" t="n"/>
      <c r="O210" s="34">
        <f>IF(AND(IF($I213&lt;&gt;"",$I213,$I210)="override",$N210&lt;&gt;""),$N210,SUMIFS(Assumptions!$P$4:$P$103,Assumptions!$M$4:$M$103,$C210,Assumptions!$N$4:$N$103,$E210,Assumptions!$O$4:$O$103,"HVN"))</f>
        <v/>
      </c>
      <c r="P210" s="34">
        <f>(M210+O210)*Assumptions!$S$11</f>
        <v/>
      </c>
      <c r="Q210" s="35">
        <f>$F210*$K210*$P210</f>
        <v/>
      </c>
    </row>
    <row r="211">
      <c r="A211" s="11" t="inlineStr">
        <is>
          <t>UNIT</t>
        </is>
      </c>
      <c r="B211" s="28" t="inlineStr">
        <is>
          <t>CVR_COFFEYVILLE</t>
        </is>
      </c>
      <c r="C211" s="28" t="n">
        <v>2</v>
      </c>
      <c r="D211" s="28" t="inlineStr">
        <is>
          <t>ALKY</t>
        </is>
      </c>
      <c r="E211" s="28" t="inlineStr">
        <is>
          <t>ALKY</t>
        </is>
      </c>
      <c r="F211" s="29" t="n">
        <v>10</v>
      </c>
      <c r="G211" s="30">
        <f>IFERROR(IF(INDEX(Effective!$E$3:$R$125,MATCH($B211,Effective!$A$3:$A$125,0),MATCH($D211,Effective!$E$2:$R$2,0))=0,"",INDEX(Effective!$E$3:$R$125,MATCH($B211,Effective!$A$3:$A$125,0),MATCH($D211,Effective!$E$2:$R$2,0))),"")</f>
        <v/>
      </c>
      <c r="H211" s="31" t="n"/>
      <c r="I211" s="17" t="inlineStr">
        <is>
          <t>override</t>
        </is>
      </c>
      <c r="J211" s="32" t="n">
        <v>1.1</v>
      </c>
      <c r="K211" s="33">
        <f>IF(AND(IF($I213&lt;&gt;"",$I213,$I211)="override",$J211&lt;&gt;""),$J211,SUMIFS(Assumptions!$K$4:$K$8,Assumptions!$J$4:$J$8,$C211))*Assumptions!$S$10*(1-MIN(1,MAX(N($H211),N($H213))))</f>
        <v/>
      </c>
      <c r="L211" s="32" t="n"/>
      <c r="M211" s="34">
        <f>IF(AND(IF($I213&lt;&gt;"",$I213,$I211)="override",$L211&lt;&gt;""),$L211,SUMIFS(Assumptions!$P$4:$P$103,Assumptions!$M$4:$M$103,$C211,Assumptions!$N$4:$N$103,$E211,Assumptions!$O$4:$O$103,"LVN"))</f>
        <v/>
      </c>
      <c r="N211" s="32" t="n"/>
      <c r="O211" s="34">
        <f>IF(AND(IF($I213&lt;&gt;"",$I213,$I211)="override",$N211&lt;&gt;""),$N211,SUMIFS(Assumptions!$P$4:$P$103,Assumptions!$M$4:$M$103,$C211,Assumptions!$N$4:$N$103,$E211,Assumptions!$O$4:$O$103,"HVN"))</f>
        <v/>
      </c>
      <c r="P211" s="34">
        <f>(M211+O211)*Assumptions!$S$11</f>
        <v/>
      </c>
      <c r="Q211" s="35">
        <f>$F211*$K211*$P211</f>
        <v/>
      </c>
    </row>
    <row r="212">
      <c r="A212" s="11" t="inlineStr">
        <is>
          <t>UNIT</t>
        </is>
      </c>
      <c r="B212" s="28" t="inlineStr">
        <is>
          <t>CVR_COFFEYVILLE</t>
        </is>
      </c>
      <c r="C212" s="28" t="n">
        <v>2</v>
      </c>
      <c r="D212" s="28" t="inlineStr">
        <is>
          <t>NHT</t>
        </is>
      </c>
      <c r="E212" s="28" t="inlineStr">
        <is>
          <t>NHT</t>
        </is>
      </c>
      <c r="F212" s="29" t="n">
        <v>36</v>
      </c>
      <c r="G212" s="30">
        <f>IFERROR(IF(INDEX(Effective!$E$3:$R$125,MATCH($B212,Effective!$A$3:$A$125,0),MATCH($D212,Effective!$E$2:$R$2,0))=0,"",INDEX(Effective!$E$3:$R$125,MATCH($B212,Effective!$A$3:$A$125,0),MATCH($D212,Effective!$E$2:$R$2,0))),"")</f>
        <v/>
      </c>
      <c r="H212" s="31" t="n"/>
      <c r="I212" s="17" t="inlineStr">
        <is>
          <t>override</t>
        </is>
      </c>
      <c r="J212" s="32" t="n">
        <v>0.982</v>
      </c>
      <c r="K212" s="33">
        <f>IF(AND(IF($I213&lt;&gt;"",$I213,$I212)="override",$J212&lt;&gt;""),$J212,SUMIFS(Assumptions!$K$4:$K$8,Assumptions!$J$4:$J$8,$C212))*Assumptions!$S$10*(1-MIN(1,MAX(N($H212),N($H213))))</f>
        <v/>
      </c>
      <c r="L212" s="32" t="n"/>
      <c r="M212" s="34">
        <f>IF(AND(IF($I213&lt;&gt;"",$I213,$I212)="override",$L212&lt;&gt;""),$L212,SUMIFS(Assumptions!$P$4:$P$103,Assumptions!$M$4:$M$103,$C212,Assumptions!$N$4:$N$103,$E212,Assumptions!$O$4:$O$103,"LVN"))</f>
        <v/>
      </c>
      <c r="N212" s="32" t="n"/>
      <c r="O212" s="34">
        <f>IF(AND(IF($I213&lt;&gt;"",$I213,$I212)="override",$N212&lt;&gt;""),$N212,SUMIFS(Assumptions!$P$4:$P$103,Assumptions!$M$4:$M$103,$C212,Assumptions!$N$4:$N$103,$E212,Assumptions!$O$4:$O$103,"HVN"))</f>
        <v/>
      </c>
      <c r="P212" s="34">
        <f>(M212+O212)*Assumptions!$S$11</f>
        <v/>
      </c>
      <c r="Q212" s="35">
        <f>$F212*$K212*$P212</f>
        <v/>
      </c>
    </row>
    <row r="213">
      <c r="A213" s="24" t="inlineStr">
        <is>
          <t>TOTAL</t>
        </is>
      </c>
      <c r="B213" s="36" t="inlineStr">
        <is>
          <t>CVR_COFFEYVILLE</t>
        </is>
      </c>
      <c r="C213" s="36" t="n">
        <v>2</v>
      </c>
      <c r="D213" s="36" t="inlineStr">
        <is>
          <t>NET NAPHTHA</t>
        </is>
      </c>
      <c r="H213" s="31" t="n"/>
      <c r="I213" s="17" t="n"/>
      <c r="Q213" s="37">
        <f>SUM(Q206:Q212)</f>
        <v/>
      </c>
    </row>
    <row r="215" ht="20" customHeight="1">
      <c r="A215" s="8">
        <f>"  HF Sinclair Tulsa  [HF_TULSA]   —   HF Sinclair   —   PADD 2   —   crude "&amp;TEXT(SUMIFS(Data!$G$3:$G$125,Data!$A$3:$A$125,"HF_TULSA"),"#,##0")&amp;" kbd"</f>
        <v/>
      </c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</row>
    <row r="216">
      <c r="A216" s="11" t="inlineStr">
        <is>
          <t>UNIT</t>
        </is>
      </c>
      <c r="B216" s="28" t="inlineStr">
        <is>
          <t>HF_TULSA</t>
        </is>
      </c>
      <c r="C216" s="28" t="n">
        <v>2</v>
      </c>
      <c r="D216" s="28" t="inlineStr">
        <is>
          <t>CDU</t>
        </is>
      </c>
      <c r="E216" s="28" t="inlineStr">
        <is>
          <t>CDU</t>
        </is>
      </c>
      <c r="F216" s="29" t="n">
        <v>166.52</v>
      </c>
      <c r="G216" s="30">
        <f>IFERROR(IF(INDEX(Effective!$E$3:$R$125,MATCH($B216,Effective!$A$3:$A$125,0),MATCH($D216,Effective!$E$2:$R$2,0))=0,"",INDEX(Effective!$E$3:$R$125,MATCH($B216,Effective!$A$3:$A$125,0),MATCH($D216,Effective!$E$2:$R$2,0))),"")</f>
        <v/>
      </c>
      <c r="H216" s="31" t="n"/>
      <c r="I216" s="17" t="inlineStr">
        <is>
          <t>override</t>
        </is>
      </c>
      <c r="J216" s="32" t="n">
        <v>0.649</v>
      </c>
      <c r="K216" s="33">
        <f>IF(AND(IF($I224&lt;&gt;"",$I224,$I216)="override",$J216&lt;&gt;""),$J216,SUMIFS(Assumptions!$K$4:$K$8,Assumptions!$J$4:$J$8,$C216))*Assumptions!$S$10*(1-MIN(1,MAX(N($H216),N($H224))))</f>
        <v/>
      </c>
      <c r="L216" s="32" t="n"/>
      <c r="M216" s="34">
        <f>IF(AND(IF($I224&lt;&gt;"",$I224,$I216)="override",$L216&lt;&gt;""),$L216,SUMIFS(Assumptions!$P$4:$P$103,Assumptions!$M$4:$M$103,$C216,Assumptions!$N$4:$N$103,$E216,Assumptions!$O$4:$O$103,"LVN"))</f>
        <v/>
      </c>
      <c r="N216" s="32" t="n"/>
      <c r="O216" s="34">
        <f>IF(AND(IF($I224&lt;&gt;"",$I224,$I216)="override",$N216&lt;&gt;""),$N216,SUMIFS(Assumptions!$P$4:$P$103,Assumptions!$M$4:$M$103,$C216,Assumptions!$N$4:$N$103,$E216,Assumptions!$O$4:$O$103,"HVN"))</f>
        <v/>
      </c>
      <c r="P216" s="34">
        <f>(M216+O216)*Assumptions!$S$11</f>
        <v/>
      </c>
      <c r="Q216" s="35">
        <f>$F216*$K216*$P216</f>
        <v/>
      </c>
    </row>
    <row r="217">
      <c r="A217" s="11" t="inlineStr">
        <is>
          <t>UNIT</t>
        </is>
      </c>
      <c r="B217" s="28" t="inlineStr">
        <is>
          <t>HF_TULSA</t>
        </is>
      </c>
      <c r="C217" s="28" t="n">
        <v>2</v>
      </c>
      <c r="D217" s="28" t="inlineStr">
        <is>
          <t>VDU</t>
        </is>
      </c>
      <c r="E217" s="28" t="inlineStr">
        <is>
          <t>VDU</t>
        </is>
      </c>
      <c r="F217" s="29" t="n">
        <v>59</v>
      </c>
      <c r="G217" s="30">
        <f>IFERROR(IF(INDEX(Effective!$E$3:$R$125,MATCH($B217,Effective!$A$3:$A$125,0),MATCH($D217,Effective!$E$2:$R$2,0))=0,"",INDEX(Effective!$E$3:$R$125,MATCH($B217,Effective!$A$3:$A$125,0),MATCH($D217,Effective!$E$2:$R$2,0))),"")</f>
        <v/>
      </c>
      <c r="H217" s="31" t="n"/>
      <c r="I217" s="17" t="inlineStr">
        <is>
          <t>override</t>
        </is>
      </c>
      <c r="J217" s="32" t="n">
        <v>0.59</v>
      </c>
      <c r="K217" s="33">
        <f>IF(AND(IF($I224&lt;&gt;"",$I224,$I217)="override",$J217&lt;&gt;""),$J217,SUMIFS(Assumptions!$K$4:$K$8,Assumptions!$J$4:$J$8,$C217))*Assumptions!$S$10*(1-MIN(1,MAX(N($H217),N($H224))))</f>
        <v/>
      </c>
      <c r="L217" s="32" t="n"/>
      <c r="M217" s="34">
        <f>IF(AND(IF($I224&lt;&gt;"",$I224,$I217)="override",$L217&lt;&gt;""),$L217,SUMIFS(Assumptions!$P$4:$P$103,Assumptions!$M$4:$M$103,$C217,Assumptions!$N$4:$N$103,$E217,Assumptions!$O$4:$O$103,"LVN"))</f>
        <v/>
      </c>
      <c r="N217" s="32" t="n"/>
      <c r="O217" s="34">
        <f>IF(AND(IF($I224&lt;&gt;"",$I224,$I217)="override",$N217&lt;&gt;""),$N217,SUMIFS(Assumptions!$P$4:$P$103,Assumptions!$M$4:$M$103,$C217,Assumptions!$N$4:$N$103,$E217,Assumptions!$O$4:$O$103,"HVN"))</f>
        <v/>
      </c>
      <c r="P217" s="34">
        <f>(M217+O217)*Assumptions!$S$11</f>
        <v/>
      </c>
      <c r="Q217" s="35">
        <f>$F217*$K217*$P217</f>
        <v/>
      </c>
    </row>
    <row r="218">
      <c r="A218" s="11" t="inlineStr">
        <is>
          <t>UNIT</t>
        </is>
      </c>
      <c r="B218" s="28" t="inlineStr">
        <is>
          <t>HF_TULSA</t>
        </is>
      </c>
      <c r="C218" s="28" t="n">
        <v>2</v>
      </c>
      <c r="D218" s="28" t="inlineStr">
        <is>
          <t>FCC</t>
        </is>
      </c>
      <c r="E218" s="28" t="inlineStr">
        <is>
          <t>FCC</t>
        </is>
      </c>
      <c r="F218" s="29" t="n">
        <v>25</v>
      </c>
      <c r="G218" s="30">
        <f>IFERROR(IF(INDEX(Effective!$E$3:$R$125,MATCH($B218,Effective!$A$3:$A$125,0),MATCH($D218,Effective!$E$2:$R$2,0))=0,"",INDEX(Effective!$E$3:$R$125,MATCH($B218,Effective!$A$3:$A$125,0),MATCH($D218,Effective!$E$2:$R$2,0))),"")</f>
        <v/>
      </c>
      <c r="H218" s="31" t="n"/>
      <c r="I218" s="17" t="inlineStr">
        <is>
          <t>override</t>
        </is>
      </c>
      <c r="J218" s="32" t="n">
        <v>0.971</v>
      </c>
      <c r="K218" s="33">
        <f>IF(AND(IF($I224&lt;&gt;"",$I224,$I218)="override",$J218&lt;&gt;""),$J218,SUMIFS(Assumptions!$K$4:$K$8,Assumptions!$J$4:$J$8,$C218))*Assumptions!$S$10*(1-MIN(1,MAX(N($H218),N($H224))))</f>
        <v/>
      </c>
      <c r="L218" s="32" t="n"/>
      <c r="M218" s="34">
        <f>IF(AND(IF($I224&lt;&gt;"",$I224,$I218)="override",$L218&lt;&gt;""),$L218,SUMIFS(Assumptions!$P$4:$P$103,Assumptions!$M$4:$M$103,$C218,Assumptions!$N$4:$N$103,$E218,Assumptions!$O$4:$O$103,"LVN"))</f>
        <v/>
      </c>
      <c r="N218" s="32" t="n"/>
      <c r="O218" s="34">
        <f>IF(AND(IF($I224&lt;&gt;"",$I224,$I218)="override",$N218&lt;&gt;""),$N218,SUMIFS(Assumptions!$P$4:$P$103,Assumptions!$M$4:$M$103,$C218,Assumptions!$N$4:$N$103,$E218,Assumptions!$O$4:$O$103,"HVN"))</f>
        <v/>
      </c>
      <c r="P218" s="34">
        <f>(M218+O218)*Assumptions!$S$11</f>
        <v/>
      </c>
      <c r="Q218" s="35">
        <f>$F218*$K218*$P218</f>
        <v/>
      </c>
    </row>
    <row r="219">
      <c r="A219" s="11" t="inlineStr">
        <is>
          <t>UNIT</t>
        </is>
      </c>
      <c r="B219" s="28" t="inlineStr">
        <is>
          <t>HF_TULSA</t>
        </is>
      </c>
      <c r="C219" s="28" t="n">
        <v>2</v>
      </c>
      <c r="D219" s="28" t="inlineStr">
        <is>
          <t>COKER</t>
        </is>
      </c>
      <c r="E219" s="28" t="inlineStr">
        <is>
          <t>COKER</t>
        </is>
      </c>
      <c r="F219" s="29" t="n">
        <v>11</v>
      </c>
      <c r="G219" s="30">
        <f>IFERROR(IF(INDEX(Effective!$E$3:$R$125,MATCH($B219,Effective!$A$3:$A$125,0),MATCH($D219,Effective!$E$2:$R$2,0))=0,"",INDEX(Effective!$E$3:$R$125,MATCH($B219,Effective!$A$3:$A$125,0),MATCH($D219,Effective!$E$2:$R$2,0))),"")</f>
        <v/>
      </c>
      <c r="H219" s="31" t="n"/>
      <c r="I219" s="17" t="inlineStr">
        <is>
          <t>override</t>
        </is>
      </c>
      <c r="J219" s="32" t="n">
        <v>0.367</v>
      </c>
      <c r="K219" s="33">
        <f>IF(AND(IF($I224&lt;&gt;"",$I224,$I219)="override",$J219&lt;&gt;""),$J219,SUMIFS(Assumptions!$K$4:$K$8,Assumptions!$J$4:$J$8,$C219))*Assumptions!$S$10*(1-MIN(1,MAX(N($H219),N($H224))))</f>
        <v/>
      </c>
      <c r="L219" s="32" t="n"/>
      <c r="M219" s="34">
        <f>IF(AND(IF($I224&lt;&gt;"",$I224,$I219)="override",$L219&lt;&gt;""),$L219,SUMIFS(Assumptions!$P$4:$P$103,Assumptions!$M$4:$M$103,$C219,Assumptions!$N$4:$N$103,$E219,Assumptions!$O$4:$O$103,"LVN"))</f>
        <v/>
      </c>
      <c r="N219" s="32" t="n"/>
      <c r="O219" s="34">
        <f>IF(AND(IF($I224&lt;&gt;"",$I224,$I219)="override",$N219&lt;&gt;""),$N219,SUMIFS(Assumptions!$P$4:$P$103,Assumptions!$M$4:$M$103,$C219,Assumptions!$N$4:$N$103,$E219,Assumptions!$O$4:$O$103,"HVN"))</f>
        <v/>
      </c>
      <c r="P219" s="34">
        <f>(M219+O219)*Assumptions!$S$11</f>
        <v/>
      </c>
      <c r="Q219" s="35">
        <f>$F219*$K219*$P219</f>
        <v/>
      </c>
    </row>
    <row r="220">
      <c r="A220" s="11" t="inlineStr">
        <is>
          <t>UNIT</t>
        </is>
      </c>
      <c r="B220" s="28" t="inlineStr">
        <is>
          <t>HF_TULSA</t>
        </is>
      </c>
      <c r="C220" s="28" t="n">
        <v>2</v>
      </c>
      <c r="D220" s="28" t="inlineStr">
        <is>
          <t>CCR</t>
        </is>
      </c>
      <c r="E220" s="28" t="inlineStr">
        <is>
          <t>REFORMER</t>
        </is>
      </c>
      <c r="F220" s="29" t="n">
        <v>25</v>
      </c>
      <c r="G220" s="30">
        <f>IFERROR(IF(INDEX(Effective!$E$3:$R$125,MATCH($B220,Effective!$A$3:$A$125,0),MATCH($D220,Effective!$E$2:$R$2,0))=0,"",INDEX(Effective!$E$3:$R$125,MATCH($B220,Effective!$A$3:$A$125,0),MATCH($D220,Effective!$E$2:$R$2,0))),"")</f>
        <v/>
      </c>
      <c r="H220" s="31" t="n"/>
      <c r="I220" s="17" t="inlineStr">
        <is>
          <t>override</t>
        </is>
      </c>
      <c r="J220" s="32" t="n">
        <v>0.88</v>
      </c>
      <c r="K220" s="33">
        <f>IF(AND(IF($I224&lt;&gt;"",$I224,$I220)="override",$J220&lt;&gt;""),$J220,SUMIFS(Assumptions!$K$4:$K$8,Assumptions!$J$4:$J$8,$C220))*Assumptions!$S$10*(1-MIN(1,MAX(N($H220),N($H224))))</f>
        <v/>
      </c>
      <c r="L220" s="32" t="n"/>
      <c r="M220" s="34">
        <f>IF(AND(IF($I224&lt;&gt;"",$I224,$I220)="override",$L220&lt;&gt;""),$L220,SUMIFS(Assumptions!$P$4:$P$103,Assumptions!$M$4:$M$103,$C220,Assumptions!$N$4:$N$103,$E220,Assumptions!$O$4:$O$103,"LVN"))</f>
        <v/>
      </c>
      <c r="N220" s="32" t="n"/>
      <c r="O220" s="34">
        <f>IF(AND(IF($I224&lt;&gt;"",$I224,$I220)="override",$N220&lt;&gt;""),$N220,SUMIFS(Assumptions!$P$4:$P$103,Assumptions!$M$4:$M$103,$C220,Assumptions!$N$4:$N$103,$E220,Assumptions!$O$4:$O$103,"HVN"))</f>
        <v/>
      </c>
      <c r="P220" s="34">
        <f>(M220+O220)*Assumptions!$S$11</f>
        <v/>
      </c>
      <c r="Q220" s="35">
        <f>$F220*$K220*$P220</f>
        <v/>
      </c>
    </row>
    <row r="221">
      <c r="A221" s="11" t="inlineStr">
        <is>
          <t>UNIT</t>
        </is>
      </c>
      <c r="B221" s="28" t="inlineStr">
        <is>
          <t>HF_TULSA</t>
        </is>
      </c>
      <c r="C221" s="28" t="n">
        <v>2</v>
      </c>
      <c r="D221" s="28" t="inlineStr">
        <is>
          <t>ISOM</t>
        </is>
      </c>
      <c r="E221" s="28" t="inlineStr">
        <is>
          <t>ISOM</t>
        </is>
      </c>
      <c r="F221" s="29" t="n">
        <v>13</v>
      </c>
      <c r="G221" s="30">
        <f>IFERROR(IF(INDEX(Effective!$E$3:$R$125,MATCH($B221,Effective!$A$3:$A$125,0),MATCH($D221,Effective!$E$2:$R$2,0))=0,"",INDEX(Effective!$E$3:$R$125,MATCH($B221,Effective!$A$3:$A$125,0),MATCH($D221,Effective!$E$2:$R$2,0))),"")</f>
        <v/>
      </c>
      <c r="H221" s="31" t="n"/>
      <c r="I221" s="17" t="inlineStr">
        <is>
          <t>override</t>
        </is>
      </c>
      <c r="J221" s="32" t="n">
        <v>0.51</v>
      </c>
      <c r="K221" s="33">
        <f>IF(AND(IF($I224&lt;&gt;"",$I224,$I221)="override",$J221&lt;&gt;""),$J221,SUMIFS(Assumptions!$K$4:$K$8,Assumptions!$J$4:$J$8,$C221))*Assumptions!$S$10*(1-MIN(1,MAX(N($H221),N($H224))))</f>
        <v/>
      </c>
      <c r="L221" s="32" t="n"/>
      <c r="M221" s="34">
        <f>IF(AND(IF($I224&lt;&gt;"",$I224,$I221)="override",$L221&lt;&gt;""),$L221,SUMIFS(Assumptions!$P$4:$P$103,Assumptions!$M$4:$M$103,$C221,Assumptions!$N$4:$N$103,$E221,Assumptions!$O$4:$O$103,"LVN"))</f>
        <v/>
      </c>
      <c r="N221" s="32" t="n"/>
      <c r="O221" s="34">
        <f>IF(AND(IF($I224&lt;&gt;"",$I224,$I221)="override",$N221&lt;&gt;""),$N221,SUMIFS(Assumptions!$P$4:$P$103,Assumptions!$M$4:$M$103,$C221,Assumptions!$N$4:$N$103,$E221,Assumptions!$O$4:$O$103,"HVN"))</f>
        <v/>
      </c>
      <c r="P221" s="34">
        <f>(M221+O221)*Assumptions!$S$11</f>
        <v/>
      </c>
      <c r="Q221" s="35">
        <f>$F221*$K221*$P221</f>
        <v/>
      </c>
    </row>
    <row r="222">
      <c r="A222" s="11" t="inlineStr">
        <is>
          <t>UNIT</t>
        </is>
      </c>
      <c r="B222" s="28" t="inlineStr">
        <is>
          <t>HF_TULSA</t>
        </is>
      </c>
      <c r="C222" s="28" t="n">
        <v>2</v>
      </c>
      <c r="D222" s="28" t="inlineStr">
        <is>
          <t>ALKY</t>
        </is>
      </c>
      <c r="E222" s="28" t="inlineStr">
        <is>
          <t>ALKY</t>
        </is>
      </c>
      <c r="F222" s="29" t="n">
        <v>5.5</v>
      </c>
      <c r="G222" s="30">
        <f>IFERROR(IF(INDEX(Effective!$E$3:$R$125,MATCH($B222,Effective!$A$3:$A$125,0),MATCH($D222,Effective!$E$2:$R$2,0))=0,"",INDEX(Effective!$E$3:$R$125,MATCH($B222,Effective!$A$3:$A$125,0),MATCH($D222,Effective!$E$2:$R$2,0))),"")</f>
        <v/>
      </c>
      <c r="H222" s="31" t="n"/>
      <c r="I222" s="17" t="inlineStr">
        <is>
          <t>override</t>
        </is>
      </c>
      <c r="J222" s="32" t="n">
        <v>1.011</v>
      </c>
      <c r="K222" s="33">
        <f>IF(AND(IF($I224&lt;&gt;"",$I224,$I222)="override",$J222&lt;&gt;""),$J222,SUMIFS(Assumptions!$K$4:$K$8,Assumptions!$J$4:$J$8,$C222))*Assumptions!$S$10*(1-MIN(1,MAX(N($H222),N($H224))))</f>
        <v/>
      </c>
      <c r="L222" s="32" t="n"/>
      <c r="M222" s="34">
        <f>IF(AND(IF($I224&lt;&gt;"",$I224,$I222)="override",$L222&lt;&gt;""),$L222,SUMIFS(Assumptions!$P$4:$P$103,Assumptions!$M$4:$M$103,$C222,Assumptions!$N$4:$N$103,$E222,Assumptions!$O$4:$O$103,"LVN"))</f>
        <v/>
      </c>
      <c r="N222" s="32" t="n"/>
      <c r="O222" s="34">
        <f>IF(AND(IF($I224&lt;&gt;"",$I224,$I222)="override",$N222&lt;&gt;""),$N222,SUMIFS(Assumptions!$P$4:$P$103,Assumptions!$M$4:$M$103,$C222,Assumptions!$N$4:$N$103,$E222,Assumptions!$O$4:$O$103,"HVN"))</f>
        <v/>
      </c>
      <c r="P222" s="34">
        <f>(M222+O222)*Assumptions!$S$11</f>
        <v/>
      </c>
      <c r="Q222" s="35">
        <f>$F222*$K222*$P222</f>
        <v/>
      </c>
    </row>
    <row r="223">
      <c r="A223" s="11" t="inlineStr">
        <is>
          <t>UNIT</t>
        </is>
      </c>
      <c r="B223" s="28" t="inlineStr">
        <is>
          <t>HF_TULSA</t>
        </is>
      </c>
      <c r="C223" s="28" t="n">
        <v>2</v>
      </c>
      <c r="D223" s="28" t="inlineStr">
        <is>
          <t>NHT</t>
        </is>
      </c>
      <c r="E223" s="28" t="inlineStr">
        <is>
          <t>NHT</t>
        </is>
      </c>
      <c r="F223" s="29" t="n">
        <v>53</v>
      </c>
      <c r="G223" s="30">
        <f>IFERROR(IF(INDEX(Effective!$E$3:$R$125,MATCH($B223,Effective!$A$3:$A$125,0),MATCH($D223,Effective!$E$2:$R$2,0))=0,"",INDEX(Effective!$E$3:$R$125,MATCH($B223,Effective!$A$3:$A$125,0),MATCH($D223,Effective!$E$2:$R$2,0))),"")</f>
        <v/>
      </c>
      <c r="H223" s="31" t="n"/>
      <c r="I223" s="17" t="inlineStr">
        <is>
          <t>override</t>
        </is>
      </c>
      <c r="J223" s="32" t="n">
        <v>0.671</v>
      </c>
      <c r="K223" s="33">
        <f>IF(AND(IF($I224&lt;&gt;"",$I224,$I223)="override",$J223&lt;&gt;""),$J223,SUMIFS(Assumptions!$K$4:$K$8,Assumptions!$J$4:$J$8,$C223))*Assumptions!$S$10*(1-MIN(1,MAX(N($H223),N($H224))))</f>
        <v/>
      </c>
      <c r="L223" s="32" t="n"/>
      <c r="M223" s="34">
        <f>IF(AND(IF($I224&lt;&gt;"",$I224,$I223)="override",$L223&lt;&gt;""),$L223,SUMIFS(Assumptions!$P$4:$P$103,Assumptions!$M$4:$M$103,$C223,Assumptions!$N$4:$N$103,$E223,Assumptions!$O$4:$O$103,"LVN"))</f>
        <v/>
      </c>
      <c r="N223" s="32" t="n"/>
      <c r="O223" s="34">
        <f>IF(AND(IF($I224&lt;&gt;"",$I224,$I223)="override",$N223&lt;&gt;""),$N223,SUMIFS(Assumptions!$P$4:$P$103,Assumptions!$M$4:$M$103,$C223,Assumptions!$N$4:$N$103,$E223,Assumptions!$O$4:$O$103,"HVN"))</f>
        <v/>
      </c>
      <c r="P223" s="34">
        <f>(M223+O223)*Assumptions!$S$11</f>
        <v/>
      </c>
      <c r="Q223" s="35">
        <f>$F223*$K223*$P223</f>
        <v/>
      </c>
    </row>
    <row r="224">
      <c r="A224" s="24" t="inlineStr">
        <is>
          <t>TOTAL</t>
        </is>
      </c>
      <c r="B224" s="36" t="inlineStr">
        <is>
          <t>HF_TULSA</t>
        </is>
      </c>
      <c r="C224" s="36" t="n">
        <v>2</v>
      </c>
      <c r="D224" s="36" t="inlineStr">
        <is>
          <t>NET NAPHTHA</t>
        </is>
      </c>
      <c r="H224" s="31" t="n"/>
      <c r="I224" s="17" t="n"/>
      <c r="Q224" s="37">
        <f>SUM(Q216:Q223)</f>
        <v/>
      </c>
    </row>
    <row r="226" ht="20" customHeight="1">
      <c r="A226" s="8">
        <f>"  NCRA McPherson  [NCRA_MCPHERSON]   —   CHS   —   PADD 2   —   crude "&amp;TEXT(SUMIFS(Data!$G$3:$G$125,Data!$A$3:$A$125,"NCRA_MCPHERSON"),"#,##0")&amp;" kbd"</f>
        <v/>
      </c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</row>
    <row r="227">
      <c r="A227" s="11" t="inlineStr">
        <is>
          <t>UNIT</t>
        </is>
      </c>
      <c r="B227" s="28" t="inlineStr">
        <is>
          <t>NCRA_MCPHERSON</t>
        </is>
      </c>
      <c r="C227" s="28" t="n">
        <v>2</v>
      </c>
      <c r="D227" s="28" t="inlineStr">
        <is>
          <t>CDU</t>
        </is>
      </c>
      <c r="E227" s="28" t="inlineStr">
        <is>
          <t>CDU</t>
        </is>
      </c>
      <c r="F227" s="29" t="n">
        <v>114.93</v>
      </c>
      <c r="G227" s="30">
        <f>IFERROR(IF(INDEX(Effective!$E$3:$R$125,MATCH($B227,Effective!$A$3:$A$125,0),MATCH($D227,Effective!$E$2:$R$2,0))=0,"",INDEX(Effective!$E$3:$R$125,MATCH($B227,Effective!$A$3:$A$125,0),MATCH($D227,Effective!$E$2:$R$2,0))),"")</f>
        <v/>
      </c>
      <c r="H227" s="31" t="n"/>
      <c r="I227" s="17" t="inlineStr">
        <is>
          <t>override</t>
        </is>
      </c>
      <c r="J227" s="32" t="n">
        <v>0.997</v>
      </c>
      <c r="K227" s="33">
        <f>IF(AND(IF($I236&lt;&gt;"",$I236,$I227)="override",$J227&lt;&gt;""),$J227,SUMIFS(Assumptions!$K$4:$K$8,Assumptions!$J$4:$J$8,$C227))*Assumptions!$S$10*(1-MIN(1,MAX(N($H227),N($H236))))</f>
        <v/>
      </c>
      <c r="L227" s="32" t="n"/>
      <c r="M227" s="34">
        <f>IF(AND(IF($I236&lt;&gt;"",$I236,$I227)="override",$L227&lt;&gt;""),$L227,SUMIFS(Assumptions!$P$4:$P$103,Assumptions!$M$4:$M$103,$C227,Assumptions!$N$4:$N$103,$E227,Assumptions!$O$4:$O$103,"LVN"))</f>
        <v/>
      </c>
      <c r="N227" s="32" t="n"/>
      <c r="O227" s="34">
        <f>IF(AND(IF($I236&lt;&gt;"",$I236,$I227)="override",$N227&lt;&gt;""),$N227,SUMIFS(Assumptions!$P$4:$P$103,Assumptions!$M$4:$M$103,$C227,Assumptions!$N$4:$N$103,$E227,Assumptions!$O$4:$O$103,"HVN"))</f>
        <v/>
      </c>
      <c r="P227" s="34">
        <f>(M227+O227)*Assumptions!$S$11</f>
        <v/>
      </c>
      <c r="Q227" s="35">
        <f>$F227*$K227*$P227</f>
        <v/>
      </c>
    </row>
    <row r="228">
      <c r="A228" s="11" t="inlineStr">
        <is>
          <t>UNIT</t>
        </is>
      </c>
      <c r="B228" s="28" t="inlineStr">
        <is>
          <t>NCRA_MCPHERSON</t>
        </is>
      </c>
      <c r="C228" s="28" t="n">
        <v>2</v>
      </c>
      <c r="D228" s="28" t="inlineStr">
        <is>
          <t>VDU</t>
        </is>
      </c>
      <c r="E228" s="28" t="inlineStr">
        <is>
          <t>VDU</t>
        </is>
      </c>
      <c r="F228" s="29" t="n">
        <v>50</v>
      </c>
      <c r="G228" s="30">
        <f>IFERROR(IF(INDEX(Effective!$E$3:$R$125,MATCH($B228,Effective!$A$3:$A$125,0),MATCH($D228,Effective!$E$2:$R$2,0))=0,"",INDEX(Effective!$E$3:$R$125,MATCH($B228,Effective!$A$3:$A$125,0),MATCH($D228,Effective!$E$2:$R$2,0))),"")</f>
        <v/>
      </c>
      <c r="H228" s="31" t="n"/>
      <c r="I228" s="17" t="inlineStr">
        <is>
          <t>override</t>
        </is>
      </c>
      <c r="J228" s="32" t="n">
        <v>0.9330000000000001</v>
      </c>
      <c r="K228" s="33">
        <f>IF(AND(IF($I236&lt;&gt;"",$I236,$I228)="override",$J228&lt;&gt;""),$J228,SUMIFS(Assumptions!$K$4:$K$8,Assumptions!$J$4:$J$8,$C228))*Assumptions!$S$10*(1-MIN(1,MAX(N($H228),N($H236))))</f>
        <v/>
      </c>
      <c r="L228" s="32" t="n"/>
      <c r="M228" s="34">
        <f>IF(AND(IF($I236&lt;&gt;"",$I236,$I228)="override",$L228&lt;&gt;""),$L228,SUMIFS(Assumptions!$P$4:$P$103,Assumptions!$M$4:$M$103,$C228,Assumptions!$N$4:$N$103,$E228,Assumptions!$O$4:$O$103,"LVN"))</f>
        <v/>
      </c>
      <c r="N228" s="32" t="n"/>
      <c r="O228" s="34">
        <f>IF(AND(IF($I236&lt;&gt;"",$I236,$I228)="override",$N228&lt;&gt;""),$N228,SUMIFS(Assumptions!$P$4:$P$103,Assumptions!$M$4:$M$103,$C228,Assumptions!$N$4:$N$103,$E228,Assumptions!$O$4:$O$103,"HVN"))</f>
        <v/>
      </c>
      <c r="P228" s="34">
        <f>(M228+O228)*Assumptions!$S$11</f>
        <v/>
      </c>
      <c r="Q228" s="35">
        <f>$F228*$K228*$P228</f>
        <v/>
      </c>
    </row>
    <row r="229">
      <c r="A229" s="11" t="inlineStr">
        <is>
          <t>UNIT</t>
        </is>
      </c>
      <c r="B229" s="28" t="inlineStr">
        <is>
          <t>NCRA_MCPHERSON</t>
        </is>
      </c>
      <c r="C229" s="28" t="n">
        <v>2</v>
      </c>
      <c r="D229" s="28" t="inlineStr">
        <is>
          <t>FCC</t>
        </is>
      </c>
      <c r="E229" s="28" t="inlineStr">
        <is>
          <t>FCC</t>
        </is>
      </c>
      <c r="F229" s="29" t="n">
        <v>24</v>
      </c>
      <c r="G229" s="30">
        <f>IFERROR(IF(INDEX(Effective!$E$3:$R$125,MATCH($B229,Effective!$A$3:$A$125,0),MATCH($D229,Effective!$E$2:$R$2,0))=0,"",INDEX(Effective!$E$3:$R$125,MATCH($B229,Effective!$A$3:$A$125,0),MATCH($D229,Effective!$E$2:$R$2,0))),"")</f>
        <v/>
      </c>
      <c r="H229" s="31" t="n"/>
      <c r="I229" s="17" t="inlineStr">
        <is>
          <t>override</t>
        </is>
      </c>
      <c r="J229" s="32" t="n">
        <v>0.729</v>
      </c>
      <c r="K229" s="33">
        <f>IF(AND(IF($I236&lt;&gt;"",$I236,$I229)="override",$J229&lt;&gt;""),$J229,SUMIFS(Assumptions!$K$4:$K$8,Assumptions!$J$4:$J$8,$C229))*Assumptions!$S$10*(1-MIN(1,MAX(N($H229),N($H236))))</f>
        <v/>
      </c>
      <c r="L229" s="32" t="n"/>
      <c r="M229" s="34">
        <f>IF(AND(IF($I236&lt;&gt;"",$I236,$I229)="override",$L229&lt;&gt;""),$L229,SUMIFS(Assumptions!$P$4:$P$103,Assumptions!$M$4:$M$103,$C229,Assumptions!$N$4:$N$103,$E229,Assumptions!$O$4:$O$103,"LVN"))</f>
        <v/>
      </c>
      <c r="N229" s="32" t="n"/>
      <c r="O229" s="34">
        <f>IF(AND(IF($I236&lt;&gt;"",$I236,$I229)="override",$N229&lt;&gt;""),$N229,SUMIFS(Assumptions!$P$4:$P$103,Assumptions!$M$4:$M$103,$C229,Assumptions!$N$4:$N$103,$E229,Assumptions!$O$4:$O$103,"HVN"))</f>
        <v/>
      </c>
      <c r="P229" s="34">
        <f>(M229+O229)*Assumptions!$S$11</f>
        <v/>
      </c>
      <c r="Q229" s="35">
        <f>$F229*$K229*$P229</f>
        <v/>
      </c>
    </row>
    <row r="230">
      <c r="A230" s="11" t="inlineStr">
        <is>
          <t>UNIT</t>
        </is>
      </c>
      <c r="B230" s="28" t="inlineStr">
        <is>
          <t>NCRA_MCPHERSON</t>
        </is>
      </c>
      <c r="C230" s="28" t="n">
        <v>2</v>
      </c>
      <c r="D230" s="28" t="inlineStr">
        <is>
          <t>DHCU</t>
        </is>
      </c>
      <c r="E230" s="28" t="inlineStr">
        <is>
          <t>HYDROCRACKER</t>
        </is>
      </c>
      <c r="F230" s="29" t="n">
        <v>43</v>
      </c>
      <c r="G230" s="30">
        <f>IFERROR(IF(INDEX(Effective!$E$3:$R$125,MATCH($B230,Effective!$A$3:$A$125,0),MATCH($D230,Effective!$E$2:$R$2,0))=0,"",INDEX(Effective!$E$3:$R$125,MATCH($B230,Effective!$A$3:$A$125,0),MATCH($D230,Effective!$E$2:$R$2,0))),"")</f>
        <v/>
      </c>
      <c r="H230" s="31" t="n"/>
      <c r="I230" s="17" t="inlineStr">
        <is>
          <t>override</t>
        </is>
      </c>
      <c r="J230" s="32" t="n">
        <v>0.792</v>
      </c>
      <c r="K230" s="33">
        <f>IF(AND(IF($I236&lt;&gt;"",$I236,$I230)="override",$J230&lt;&gt;""),$J230,SUMIFS(Assumptions!$K$4:$K$8,Assumptions!$J$4:$J$8,$C230))*Assumptions!$S$10*(1-MIN(1,MAX(N($H230),N($H236))))</f>
        <v/>
      </c>
      <c r="L230" s="32" t="n"/>
      <c r="M230" s="34">
        <f>IF(AND(IF($I236&lt;&gt;"",$I236,$I230)="override",$L230&lt;&gt;""),$L230,SUMIFS(Assumptions!$P$4:$P$103,Assumptions!$M$4:$M$103,$C230,Assumptions!$N$4:$N$103,$E230,Assumptions!$O$4:$O$103,"LVN"))</f>
        <v/>
      </c>
      <c r="N230" s="32" t="n"/>
      <c r="O230" s="34">
        <f>IF(AND(IF($I236&lt;&gt;"",$I236,$I230)="override",$N230&lt;&gt;""),$N230,SUMIFS(Assumptions!$P$4:$P$103,Assumptions!$M$4:$M$103,$C230,Assumptions!$N$4:$N$103,$E230,Assumptions!$O$4:$O$103,"HVN"))</f>
        <v/>
      </c>
      <c r="P230" s="34">
        <f>(M230+O230)*Assumptions!$S$11</f>
        <v/>
      </c>
      <c r="Q230" s="35">
        <f>$F230*$K230*$P230</f>
        <v/>
      </c>
    </row>
    <row r="231">
      <c r="A231" s="11" t="inlineStr">
        <is>
          <t>UNIT</t>
        </is>
      </c>
      <c r="B231" s="28" t="inlineStr">
        <is>
          <t>NCRA_MCPHERSON</t>
        </is>
      </c>
      <c r="C231" s="28" t="n">
        <v>2</v>
      </c>
      <c r="D231" s="28" t="inlineStr">
        <is>
          <t>COKER</t>
        </is>
      </c>
      <c r="E231" s="28" t="inlineStr">
        <is>
          <t>COKER</t>
        </is>
      </c>
      <c r="F231" s="29" t="n">
        <v>30.55</v>
      </c>
      <c r="G231" s="30">
        <f>IFERROR(IF(INDEX(Effective!$E$3:$R$125,MATCH($B231,Effective!$A$3:$A$125,0),MATCH($D231,Effective!$E$2:$R$2,0))=0,"",INDEX(Effective!$E$3:$R$125,MATCH($B231,Effective!$A$3:$A$125,0),MATCH($D231,Effective!$E$2:$R$2,0))),"")</f>
        <v/>
      </c>
      <c r="H231" s="31" t="n"/>
      <c r="I231" s="17" t="inlineStr">
        <is>
          <t>override</t>
        </is>
      </c>
      <c r="J231" s="32" t="n">
        <v>0.5649999999999999</v>
      </c>
      <c r="K231" s="33">
        <f>IF(AND(IF($I236&lt;&gt;"",$I236,$I231)="override",$J231&lt;&gt;""),$J231,SUMIFS(Assumptions!$K$4:$K$8,Assumptions!$J$4:$J$8,$C231))*Assumptions!$S$10*(1-MIN(1,MAX(N($H231),N($H236))))</f>
        <v/>
      </c>
      <c r="L231" s="32" t="n"/>
      <c r="M231" s="34">
        <f>IF(AND(IF($I236&lt;&gt;"",$I236,$I231)="override",$L231&lt;&gt;""),$L231,SUMIFS(Assumptions!$P$4:$P$103,Assumptions!$M$4:$M$103,$C231,Assumptions!$N$4:$N$103,$E231,Assumptions!$O$4:$O$103,"LVN"))</f>
        <v/>
      </c>
      <c r="N231" s="32" t="n"/>
      <c r="O231" s="34">
        <f>IF(AND(IF($I236&lt;&gt;"",$I236,$I231)="override",$N231&lt;&gt;""),$N231,SUMIFS(Assumptions!$P$4:$P$103,Assumptions!$M$4:$M$103,$C231,Assumptions!$N$4:$N$103,$E231,Assumptions!$O$4:$O$103,"HVN"))</f>
        <v/>
      </c>
      <c r="P231" s="34">
        <f>(M231+O231)*Assumptions!$S$11</f>
        <v/>
      </c>
      <c r="Q231" s="35">
        <f>$F231*$K231*$P231</f>
        <v/>
      </c>
    </row>
    <row r="232">
      <c r="A232" s="11" t="inlineStr">
        <is>
          <t>UNIT</t>
        </is>
      </c>
      <c r="B232" s="28" t="inlineStr">
        <is>
          <t>NCRA_MCPHERSON</t>
        </is>
      </c>
      <c r="C232" s="28" t="n">
        <v>2</v>
      </c>
      <c r="D232" s="28" t="inlineStr">
        <is>
          <t>CCR</t>
        </is>
      </c>
      <c r="E232" s="28" t="inlineStr">
        <is>
          <t>REFORMER</t>
        </is>
      </c>
      <c r="F232" s="29" t="n">
        <v>27</v>
      </c>
      <c r="G232" s="30">
        <f>IFERROR(IF(INDEX(Effective!$E$3:$R$125,MATCH($B232,Effective!$A$3:$A$125,0),MATCH($D232,Effective!$E$2:$R$2,0))=0,"",INDEX(Effective!$E$3:$R$125,MATCH($B232,Effective!$A$3:$A$125,0),MATCH($D232,Effective!$E$2:$R$2,0))),"")</f>
        <v/>
      </c>
      <c r="H232" s="31" t="n"/>
      <c r="I232" s="17" t="inlineStr">
        <is>
          <t>override</t>
        </is>
      </c>
      <c r="J232" s="32" t="n">
        <v>1</v>
      </c>
      <c r="K232" s="33">
        <f>IF(AND(IF($I236&lt;&gt;"",$I236,$I232)="override",$J232&lt;&gt;""),$J232,SUMIFS(Assumptions!$K$4:$K$8,Assumptions!$J$4:$J$8,$C232))*Assumptions!$S$10*(1-MIN(1,MAX(N($H232),N($H236))))</f>
        <v/>
      </c>
      <c r="L232" s="32" t="n"/>
      <c r="M232" s="34">
        <f>IF(AND(IF($I236&lt;&gt;"",$I236,$I232)="override",$L232&lt;&gt;""),$L232,SUMIFS(Assumptions!$P$4:$P$103,Assumptions!$M$4:$M$103,$C232,Assumptions!$N$4:$N$103,$E232,Assumptions!$O$4:$O$103,"LVN"))</f>
        <v/>
      </c>
      <c r="N232" s="32" t="n"/>
      <c r="O232" s="34">
        <f>IF(AND(IF($I236&lt;&gt;"",$I236,$I232)="override",$N232&lt;&gt;""),$N232,SUMIFS(Assumptions!$P$4:$P$103,Assumptions!$M$4:$M$103,$C232,Assumptions!$N$4:$N$103,$E232,Assumptions!$O$4:$O$103,"HVN"))</f>
        <v/>
      </c>
      <c r="P232" s="34">
        <f>(M232+O232)*Assumptions!$S$11</f>
        <v/>
      </c>
      <c r="Q232" s="35">
        <f>$F232*$K232*$P232</f>
        <v/>
      </c>
    </row>
    <row r="233">
      <c r="A233" s="11" t="inlineStr">
        <is>
          <t>UNIT</t>
        </is>
      </c>
      <c r="B233" s="28" t="inlineStr">
        <is>
          <t>NCRA_MCPHERSON</t>
        </is>
      </c>
      <c r="C233" s="28" t="n">
        <v>2</v>
      </c>
      <c r="D233" s="28" t="inlineStr">
        <is>
          <t>ISOM</t>
        </is>
      </c>
      <c r="E233" s="28" t="inlineStr">
        <is>
          <t>ISOM</t>
        </is>
      </c>
      <c r="F233" s="29" t="n">
        <v>12</v>
      </c>
      <c r="G233" s="30">
        <f>IFERROR(IF(INDEX(Effective!$E$3:$R$125,MATCH($B233,Effective!$A$3:$A$125,0),MATCH($D233,Effective!$E$2:$R$2,0))=0,"",INDEX(Effective!$E$3:$R$125,MATCH($B233,Effective!$A$3:$A$125,0),MATCH($D233,Effective!$E$2:$R$2,0))),"")</f>
        <v/>
      </c>
      <c r="H233" s="31" t="n"/>
      <c r="I233" s="17" t="inlineStr">
        <is>
          <t>override</t>
        </is>
      </c>
      <c r="J233" s="32" t="n">
        <v>0.854</v>
      </c>
      <c r="K233" s="33">
        <f>IF(AND(IF($I236&lt;&gt;"",$I236,$I233)="override",$J233&lt;&gt;""),$J233,SUMIFS(Assumptions!$K$4:$K$8,Assumptions!$J$4:$J$8,$C233))*Assumptions!$S$10*(1-MIN(1,MAX(N($H233),N($H236))))</f>
        <v/>
      </c>
      <c r="L233" s="32" t="n"/>
      <c r="M233" s="34">
        <f>IF(AND(IF($I236&lt;&gt;"",$I236,$I233)="override",$L233&lt;&gt;""),$L233,SUMIFS(Assumptions!$P$4:$P$103,Assumptions!$M$4:$M$103,$C233,Assumptions!$N$4:$N$103,$E233,Assumptions!$O$4:$O$103,"LVN"))</f>
        <v/>
      </c>
      <c r="N233" s="32" t="n"/>
      <c r="O233" s="34">
        <f>IF(AND(IF($I236&lt;&gt;"",$I236,$I233)="override",$N233&lt;&gt;""),$N233,SUMIFS(Assumptions!$P$4:$P$103,Assumptions!$M$4:$M$103,$C233,Assumptions!$N$4:$N$103,$E233,Assumptions!$O$4:$O$103,"HVN"))</f>
        <v/>
      </c>
      <c r="P233" s="34">
        <f>(M233+O233)*Assumptions!$S$11</f>
        <v/>
      </c>
      <c r="Q233" s="35">
        <f>$F233*$K233*$P233</f>
        <v/>
      </c>
    </row>
    <row r="234">
      <c r="A234" s="11" t="inlineStr">
        <is>
          <t>UNIT</t>
        </is>
      </c>
      <c r="B234" s="28" t="inlineStr">
        <is>
          <t>NCRA_MCPHERSON</t>
        </is>
      </c>
      <c r="C234" s="28" t="n">
        <v>2</v>
      </c>
      <c r="D234" s="28" t="inlineStr">
        <is>
          <t>ALKY</t>
        </is>
      </c>
      <c r="E234" s="28" t="inlineStr">
        <is>
          <t>ALKY</t>
        </is>
      </c>
      <c r="F234" s="29" t="n">
        <v>9.5</v>
      </c>
      <c r="G234" s="30">
        <f>IFERROR(IF(INDEX(Effective!$E$3:$R$125,MATCH($B234,Effective!$A$3:$A$125,0),MATCH($D234,Effective!$E$2:$R$2,0))=0,"",INDEX(Effective!$E$3:$R$125,MATCH($B234,Effective!$A$3:$A$125,0),MATCH($D234,Effective!$E$2:$R$2,0))),"")</f>
        <v/>
      </c>
      <c r="H234" s="31" t="n"/>
      <c r="I234" s="17" t="inlineStr">
        <is>
          <t>override</t>
        </is>
      </c>
      <c r="J234" s="32" t="n">
        <v>0.804</v>
      </c>
      <c r="K234" s="33">
        <f>IF(AND(IF($I236&lt;&gt;"",$I236,$I234)="override",$J234&lt;&gt;""),$J234,SUMIFS(Assumptions!$K$4:$K$8,Assumptions!$J$4:$J$8,$C234))*Assumptions!$S$10*(1-MIN(1,MAX(N($H234),N($H236))))</f>
        <v/>
      </c>
      <c r="L234" s="32" t="n"/>
      <c r="M234" s="34">
        <f>IF(AND(IF($I236&lt;&gt;"",$I236,$I234)="override",$L234&lt;&gt;""),$L234,SUMIFS(Assumptions!$P$4:$P$103,Assumptions!$M$4:$M$103,$C234,Assumptions!$N$4:$N$103,$E234,Assumptions!$O$4:$O$103,"LVN"))</f>
        <v/>
      </c>
      <c r="N234" s="32" t="n"/>
      <c r="O234" s="34">
        <f>IF(AND(IF($I236&lt;&gt;"",$I236,$I234)="override",$N234&lt;&gt;""),$N234,SUMIFS(Assumptions!$P$4:$P$103,Assumptions!$M$4:$M$103,$C234,Assumptions!$N$4:$N$103,$E234,Assumptions!$O$4:$O$103,"HVN"))</f>
        <v/>
      </c>
      <c r="P234" s="34">
        <f>(M234+O234)*Assumptions!$S$11</f>
        <v/>
      </c>
      <c r="Q234" s="35">
        <f>$F234*$K234*$P234</f>
        <v/>
      </c>
    </row>
    <row r="235">
      <c r="A235" s="11" t="inlineStr">
        <is>
          <t>UNIT</t>
        </is>
      </c>
      <c r="B235" s="28" t="inlineStr">
        <is>
          <t>NCRA_MCPHERSON</t>
        </is>
      </c>
      <c r="C235" s="28" t="n">
        <v>2</v>
      </c>
      <c r="D235" s="28" t="inlineStr">
        <is>
          <t>NHT</t>
        </is>
      </c>
      <c r="E235" s="28" t="inlineStr">
        <is>
          <t>NHT</t>
        </is>
      </c>
      <c r="F235" s="29" t="n">
        <v>42.4</v>
      </c>
      <c r="G235" s="30">
        <f>IFERROR(IF(INDEX(Effective!$E$3:$R$125,MATCH($B235,Effective!$A$3:$A$125,0),MATCH($D235,Effective!$E$2:$R$2,0))=0,"",INDEX(Effective!$E$3:$R$125,MATCH($B235,Effective!$A$3:$A$125,0),MATCH($D235,Effective!$E$2:$R$2,0))),"")</f>
        <v/>
      </c>
      <c r="H235" s="31" t="n"/>
      <c r="I235" s="17" t="inlineStr">
        <is>
          <t>override</t>
        </is>
      </c>
      <c r="J235" s="32" t="n">
        <v>0.697</v>
      </c>
      <c r="K235" s="33">
        <f>IF(AND(IF($I236&lt;&gt;"",$I236,$I235)="override",$J235&lt;&gt;""),$J235,SUMIFS(Assumptions!$K$4:$K$8,Assumptions!$J$4:$J$8,$C235))*Assumptions!$S$10*(1-MIN(1,MAX(N($H235),N($H236))))</f>
        <v/>
      </c>
      <c r="L235" s="32" t="n"/>
      <c r="M235" s="34">
        <f>IF(AND(IF($I236&lt;&gt;"",$I236,$I235)="override",$L235&lt;&gt;""),$L235,SUMIFS(Assumptions!$P$4:$P$103,Assumptions!$M$4:$M$103,$C235,Assumptions!$N$4:$N$103,$E235,Assumptions!$O$4:$O$103,"LVN"))</f>
        <v/>
      </c>
      <c r="N235" s="32" t="n"/>
      <c r="O235" s="34">
        <f>IF(AND(IF($I236&lt;&gt;"",$I236,$I235)="override",$N235&lt;&gt;""),$N235,SUMIFS(Assumptions!$P$4:$P$103,Assumptions!$M$4:$M$103,$C235,Assumptions!$N$4:$N$103,$E235,Assumptions!$O$4:$O$103,"HVN"))</f>
        <v/>
      </c>
      <c r="P235" s="34">
        <f>(M235+O235)*Assumptions!$S$11</f>
        <v/>
      </c>
      <c r="Q235" s="35">
        <f>$F235*$K235*$P235</f>
        <v/>
      </c>
    </row>
    <row r="236">
      <c r="A236" s="24" t="inlineStr">
        <is>
          <t>TOTAL</t>
        </is>
      </c>
      <c r="B236" s="36" t="inlineStr">
        <is>
          <t>NCRA_MCPHERSON</t>
        </is>
      </c>
      <c r="C236" s="36" t="n">
        <v>2</v>
      </c>
      <c r="D236" s="36" t="inlineStr">
        <is>
          <t>NET NAPHTHA</t>
        </is>
      </c>
      <c r="H236" s="31" t="n"/>
      <c r="I236" s="17" t="n"/>
      <c r="Q236" s="37">
        <f>SUM(Q227:Q235)</f>
        <v/>
      </c>
    </row>
    <row r="238" ht="20" customHeight="1">
      <c r="A238" s="8">
        <f>"  Marathon Petroleum Saint Paul Park  [MARATHON_SAINT_PAUL_PARK]   —   Marathon Petroleum   —   PADD 2   —   crude "&amp;TEXT(SUMIFS(Data!$G$3:$G$125,Data!$A$3:$A$125,"MARATHON_SAINT_PAUL_PARK"),"#,##0")&amp;" kbd"</f>
        <v/>
      </c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</row>
    <row r="239">
      <c r="A239" s="11" t="inlineStr">
        <is>
          <t>UNIT</t>
        </is>
      </c>
      <c r="B239" s="28" t="inlineStr">
        <is>
          <t>MARATHON_SAINT_PAUL_PARK</t>
        </is>
      </c>
      <c r="C239" s="28" t="n">
        <v>2</v>
      </c>
      <c r="D239" s="28" t="inlineStr">
        <is>
          <t>CDU</t>
        </is>
      </c>
      <c r="E239" s="28" t="inlineStr">
        <is>
          <t>CDU</t>
        </is>
      </c>
      <c r="F239" s="29" t="n">
        <v>108</v>
      </c>
      <c r="G239" s="30">
        <f>IFERROR(IF(INDEX(Effective!$E$3:$R$125,MATCH($B239,Effective!$A$3:$A$125,0),MATCH($D239,Effective!$E$2:$R$2,0))=0,"",INDEX(Effective!$E$3:$R$125,MATCH($B239,Effective!$A$3:$A$125,0),MATCH($D239,Effective!$E$2:$R$2,0))),"")</f>
        <v/>
      </c>
      <c r="H239" s="31" t="n"/>
      <c r="I239" s="17" t="inlineStr">
        <is>
          <t>override</t>
        </is>
      </c>
      <c r="J239" s="32" t="n">
        <v>0.986</v>
      </c>
      <c r="K239" s="33">
        <f>IF(AND(IF($I246&lt;&gt;"",$I246,$I239)="override",$J239&lt;&gt;""),$J239,SUMIFS(Assumptions!$K$4:$K$8,Assumptions!$J$4:$J$8,$C239))*Assumptions!$S$10*(1-MIN(1,MAX(N($H239),N($H246))))</f>
        <v/>
      </c>
      <c r="L239" s="32" t="n"/>
      <c r="M239" s="34">
        <f>IF(AND(IF($I246&lt;&gt;"",$I246,$I239)="override",$L239&lt;&gt;""),$L239,SUMIFS(Assumptions!$P$4:$P$103,Assumptions!$M$4:$M$103,$C239,Assumptions!$N$4:$N$103,$E239,Assumptions!$O$4:$O$103,"LVN"))</f>
        <v/>
      </c>
      <c r="N239" s="32" t="n"/>
      <c r="O239" s="34">
        <f>IF(AND(IF($I246&lt;&gt;"",$I246,$I239)="override",$N239&lt;&gt;""),$N239,SUMIFS(Assumptions!$P$4:$P$103,Assumptions!$M$4:$M$103,$C239,Assumptions!$N$4:$N$103,$E239,Assumptions!$O$4:$O$103,"HVN"))</f>
        <v/>
      </c>
      <c r="P239" s="34">
        <f>(M239+O239)*Assumptions!$S$11</f>
        <v/>
      </c>
      <c r="Q239" s="35">
        <f>$F239*$K239*$P239</f>
        <v/>
      </c>
    </row>
    <row r="240">
      <c r="A240" s="11" t="inlineStr">
        <is>
          <t>UNIT</t>
        </is>
      </c>
      <c r="B240" s="28" t="inlineStr">
        <is>
          <t>MARATHON_SAINT_PAUL_PARK</t>
        </is>
      </c>
      <c r="C240" s="28" t="n">
        <v>2</v>
      </c>
      <c r="D240" s="28" t="inlineStr">
        <is>
          <t>VDU</t>
        </is>
      </c>
      <c r="E240" s="28" t="inlineStr">
        <is>
          <t>VDU</t>
        </is>
      </c>
      <c r="F240" s="29" t="n">
        <v>50</v>
      </c>
      <c r="G240" s="30">
        <f>IFERROR(IF(INDEX(Effective!$E$3:$R$125,MATCH($B240,Effective!$A$3:$A$125,0),MATCH($D240,Effective!$E$2:$R$2,0))=0,"",INDEX(Effective!$E$3:$R$125,MATCH($B240,Effective!$A$3:$A$125,0),MATCH($D240,Effective!$E$2:$R$2,0))),"")</f>
        <v/>
      </c>
      <c r="H240" s="31" t="n"/>
      <c r="I240" s="17" t="inlineStr">
        <is>
          <t>override</t>
        </is>
      </c>
      <c r="J240" s="32" t="n">
        <v>0.699</v>
      </c>
      <c r="K240" s="33">
        <f>IF(AND(IF($I246&lt;&gt;"",$I246,$I240)="override",$J240&lt;&gt;""),$J240,SUMIFS(Assumptions!$K$4:$K$8,Assumptions!$J$4:$J$8,$C240))*Assumptions!$S$10*(1-MIN(1,MAX(N($H240),N($H246))))</f>
        <v/>
      </c>
      <c r="L240" s="32" t="n"/>
      <c r="M240" s="34">
        <f>IF(AND(IF($I246&lt;&gt;"",$I246,$I240)="override",$L240&lt;&gt;""),$L240,SUMIFS(Assumptions!$P$4:$P$103,Assumptions!$M$4:$M$103,$C240,Assumptions!$N$4:$N$103,$E240,Assumptions!$O$4:$O$103,"LVN"))</f>
        <v/>
      </c>
      <c r="N240" s="32" t="n"/>
      <c r="O240" s="34">
        <f>IF(AND(IF($I246&lt;&gt;"",$I246,$I240)="override",$N240&lt;&gt;""),$N240,SUMIFS(Assumptions!$P$4:$P$103,Assumptions!$M$4:$M$103,$C240,Assumptions!$N$4:$N$103,$E240,Assumptions!$O$4:$O$103,"HVN"))</f>
        <v/>
      </c>
      <c r="P240" s="34">
        <f>(M240+O240)*Assumptions!$S$11</f>
        <v/>
      </c>
      <c r="Q240" s="35">
        <f>$F240*$K240*$P240</f>
        <v/>
      </c>
    </row>
    <row r="241">
      <c r="A241" s="11" t="inlineStr">
        <is>
          <t>UNIT</t>
        </is>
      </c>
      <c r="B241" s="28" t="inlineStr">
        <is>
          <t>MARATHON_SAINT_PAUL_PARK</t>
        </is>
      </c>
      <c r="C241" s="28" t="n">
        <v>2</v>
      </c>
      <c r="D241" s="28" t="inlineStr">
        <is>
          <t>FCC</t>
        </is>
      </c>
      <c r="E241" s="28" t="inlineStr">
        <is>
          <t>FCC</t>
        </is>
      </c>
      <c r="F241" s="29" t="n">
        <v>30.5</v>
      </c>
      <c r="G241" s="30">
        <f>IFERROR(IF(INDEX(Effective!$E$3:$R$125,MATCH($B241,Effective!$A$3:$A$125,0),MATCH($D241,Effective!$E$2:$R$2,0))=0,"",INDEX(Effective!$E$3:$R$125,MATCH($B241,Effective!$A$3:$A$125,0),MATCH($D241,Effective!$E$2:$R$2,0))),"")</f>
        <v/>
      </c>
      <c r="H241" s="31" t="n"/>
      <c r="I241" s="17" t="inlineStr">
        <is>
          <t>override</t>
        </is>
      </c>
      <c r="J241" s="32" t="n">
        <v>0.608</v>
      </c>
      <c r="K241" s="33">
        <f>IF(AND(IF($I246&lt;&gt;"",$I246,$I241)="override",$J241&lt;&gt;""),$J241,SUMIFS(Assumptions!$K$4:$K$8,Assumptions!$J$4:$J$8,$C241))*Assumptions!$S$10*(1-MIN(1,MAX(N($H241),N($H246))))</f>
        <v/>
      </c>
      <c r="L241" s="32" t="n"/>
      <c r="M241" s="34">
        <f>IF(AND(IF($I246&lt;&gt;"",$I246,$I241)="override",$L241&lt;&gt;""),$L241,SUMIFS(Assumptions!$P$4:$P$103,Assumptions!$M$4:$M$103,$C241,Assumptions!$N$4:$N$103,$E241,Assumptions!$O$4:$O$103,"LVN"))</f>
        <v/>
      </c>
      <c r="N241" s="32" t="n"/>
      <c r="O241" s="34">
        <f>IF(AND(IF($I246&lt;&gt;"",$I246,$I241)="override",$N241&lt;&gt;""),$N241,SUMIFS(Assumptions!$P$4:$P$103,Assumptions!$M$4:$M$103,$C241,Assumptions!$N$4:$N$103,$E241,Assumptions!$O$4:$O$103,"HVN"))</f>
        <v/>
      </c>
      <c r="P241" s="34">
        <f>(M241+O241)*Assumptions!$S$11</f>
        <v/>
      </c>
      <c r="Q241" s="35">
        <f>$F241*$K241*$P241</f>
        <v/>
      </c>
    </row>
    <row r="242">
      <c r="A242" s="11" t="inlineStr">
        <is>
          <t>UNIT</t>
        </is>
      </c>
      <c r="B242" s="28" t="inlineStr">
        <is>
          <t>MARATHON_SAINT_PAUL_PARK</t>
        </is>
      </c>
      <c r="C242" s="28" t="n">
        <v>2</v>
      </c>
      <c r="D242" s="28" t="inlineStr">
        <is>
          <t>REF</t>
        </is>
      </c>
      <c r="E242" s="28" t="inlineStr">
        <is>
          <t>REFORMER</t>
        </is>
      </c>
      <c r="F242" s="29" t="n">
        <v>23</v>
      </c>
      <c r="G242" s="30">
        <f>IFERROR(IF(INDEX(Effective!$E$3:$R$125,MATCH($B242,Effective!$A$3:$A$125,0),MATCH($D242,Effective!$E$2:$R$2,0))=0,"",INDEX(Effective!$E$3:$R$125,MATCH($B242,Effective!$A$3:$A$125,0),MATCH($D242,Effective!$E$2:$R$2,0))),"")</f>
        <v/>
      </c>
      <c r="H242" s="31" t="n"/>
      <c r="I242" s="17" t="inlineStr">
        <is>
          <t>override</t>
        </is>
      </c>
      <c r="J242" s="32" t="n">
        <v>0.929</v>
      </c>
      <c r="K242" s="33">
        <f>IF(AND(IF($I246&lt;&gt;"",$I246,$I242)="override",$J242&lt;&gt;""),$J242,SUMIFS(Assumptions!$K$4:$K$8,Assumptions!$J$4:$J$8,$C242))*Assumptions!$S$10*(1-MIN(1,MAX(N($H242),N($H246))))</f>
        <v/>
      </c>
      <c r="L242" s="32" t="n"/>
      <c r="M242" s="34">
        <f>IF(AND(IF($I246&lt;&gt;"",$I246,$I242)="override",$L242&lt;&gt;""),$L242,SUMIFS(Assumptions!$P$4:$P$103,Assumptions!$M$4:$M$103,$C242,Assumptions!$N$4:$N$103,$E242,Assumptions!$O$4:$O$103,"LVN"))</f>
        <v/>
      </c>
      <c r="N242" s="32" t="n"/>
      <c r="O242" s="34">
        <f>IF(AND(IF($I246&lt;&gt;"",$I246,$I242)="override",$N242&lt;&gt;""),$N242,SUMIFS(Assumptions!$P$4:$P$103,Assumptions!$M$4:$M$103,$C242,Assumptions!$N$4:$N$103,$E242,Assumptions!$O$4:$O$103,"HVN"))</f>
        <v/>
      </c>
      <c r="P242" s="34">
        <f>(M242+O242)*Assumptions!$S$11</f>
        <v/>
      </c>
      <c r="Q242" s="35">
        <f>$F242*$K242*$P242</f>
        <v/>
      </c>
    </row>
    <row r="243">
      <c r="A243" s="11" t="inlineStr">
        <is>
          <t>UNIT</t>
        </is>
      </c>
      <c r="B243" s="28" t="inlineStr">
        <is>
          <t>MARATHON_SAINT_PAUL_PARK</t>
        </is>
      </c>
      <c r="C243" s="28" t="n">
        <v>2</v>
      </c>
      <c r="D243" s="28" t="inlineStr">
        <is>
          <t>ISOM</t>
        </is>
      </c>
      <c r="E243" s="28" t="inlineStr">
        <is>
          <t>ISOM</t>
        </is>
      </c>
      <c r="F243" s="29" t="n">
        <v>15.5</v>
      </c>
      <c r="G243" s="30">
        <f>IFERROR(IF(INDEX(Effective!$E$3:$R$125,MATCH($B243,Effective!$A$3:$A$125,0),MATCH($D243,Effective!$E$2:$R$2,0))=0,"",INDEX(Effective!$E$3:$R$125,MATCH($B243,Effective!$A$3:$A$125,0),MATCH($D243,Effective!$E$2:$R$2,0))),"")</f>
        <v/>
      </c>
      <c r="H243" s="31" t="n"/>
      <c r="I243" s="17" t="inlineStr">
        <is>
          <t>override</t>
        </is>
      </c>
      <c r="J243" s="32" t="n">
        <v>0.914</v>
      </c>
      <c r="K243" s="33">
        <f>IF(AND(IF($I246&lt;&gt;"",$I246,$I243)="override",$J243&lt;&gt;""),$J243,SUMIFS(Assumptions!$K$4:$K$8,Assumptions!$J$4:$J$8,$C243))*Assumptions!$S$10*(1-MIN(1,MAX(N($H243),N($H246))))</f>
        <v/>
      </c>
      <c r="L243" s="32" t="n"/>
      <c r="M243" s="34">
        <f>IF(AND(IF($I246&lt;&gt;"",$I246,$I243)="override",$L243&lt;&gt;""),$L243,SUMIFS(Assumptions!$P$4:$P$103,Assumptions!$M$4:$M$103,$C243,Assumptions!$N$4:$N$103,$E243,Assumptions!$O$4:$O$103,"LVN"))</f>
        <v/>
      </c>
      <c r="N243" s="32" t="n"/>
      <c r="O243" s="34">
        <f>IF(AND(IF($I246&lt;&gt;"",$I246,$I243)="override",$N243&lt;&gt;""),$N243,SUMIFS(Assumptions!$P$4:$P$103,Assumptions!$M$4:$M$103,$C243,Assumptions!$N$4:$N$103,$E243,Assumptions!$O$4:$O$103,"HVN"))</f>
        <v/>
      </c>
      <c r="P243" s="34">
        <f>(M243+O243)*Assumptions!$S$11</f>
        <v/>
      </c>
      <c r="Q243" s="35">
        <f>$F243*$K243*$P243</f>
        <v/>
      </c>
    </row>
    <row r="244">
      <c r="A244" s="11" t="inlineStr">
        <is>
          <t>UNIT</t>
        </is>
      </c>
      <c r="B244" s="28" t="inlineStr">
        <is>
          <t>MARATHON_SAINT_PAUL_PARK</t>
        </is>
      </c>
      <c r="C244" s="28" t="n">
        <v>2</v>
      </c>
      <c r="D244" s="28" t="inlineStr">
        <is>
          <t>ALKY</t>
        </is>
      </c>
      <c r="E244" s="28" t="inlineStr">
        <is>
          <t>ALKY</t>
        </is>
      </c>
      <c r="F244" s="29" t="n">
        <v>6.5</v>
      </c>
      <c r="G244" s="30">
        <f>IFERROR(IF(INDEX(Effective!$E$3:$R$125,MATCH($B244,Effective!$A$3:$A$125,0),MATCH($D244,Effective!$E$2:$R$2,0))=0,"",INDEX(Effective!$E$3:$R$125,MATCH($B244,Effective!$A$3:$A$125,0),MATCH($D244,Effective!$E$2:$R$2,0))),"")</f>
        <v/>
      </c>
      <c r="H244" s="31" t="n"/>
      <c r="I244" s="17" t="inlineStr">
        <is>
          <t>override</t>
        </is>
      </c>
      <c r="J244" s="32" t="n">
        <v>1.1</v>
      </c>
      <c r="K244" s="33">
        <f>IF(AND(IF($I246&lt;&gt;"",$I246,$I244)="override",$J244&lt;&gt;""),$J244,SUMIFS(Assumptions!$K$4:$K$8,Assumptions!$J$4:$J$8,$C244))*Assumptions!$S$10*(1-MIN(1,MAX(N($H244),N($H246))))</f>
        <v/>
      </c>
      <c r="L244" s="32" t="n"/>
      <c r="M244" s="34">
        <f>IF(AND(IF($I246&lt;&gt;"",$I246,$I244)="override",$L244&lt;&gt;""),$L244,SUMIFS(Assumptions!$P$4:$P$103,Assumptions!$M$4:$M$103,$C244,Assumptions!$N$4:$N$103,$E244,Assumptions!$O$4:$O$103,"LVN"))</f>
        <v/>
      </c>
      <c r="N244" s="32" t="n"/>
      <c r="O244" s="34">
        <f>IF(AND(IF($I246&lt;&gt;"",$I246,$I244)="override",$N244&lt;&gt;""),$N244,SUMIFS(Assumptions!$P$4:$P$103,Assumptions!$M$4:$M$103,$C244,Assumptions!$N$4:$N$103,$E244,Assumptions!$O$4:$O$103,"HVN"))</f>
        <v/>
      </c>
      <c r="P244" s="34">
        <f>(M244+O244)*Assumptions!$S$11</f>
        <v/>
      </c>
      <c r="Q244" s="35">
        <f>$F244*$K244*$P244</f>
        <v/>
      </c>
    </row>
    <row r="245">
      <c r="A245" s="11" t="inlineStr">
        <is>
          <t>UNIT</t>
        </is>
      </c>
      <c r="B245" s="28" t="inlineStr">
        <is>
          <t>MARATHON_SAINT_PAUL_PARK</t>
        </is>
      </c>
      <c r="C245" s="28" t="n">
        <v>2</v>
      </c>
      <c r="D245" s="28" t="inlineStr">
        <is>
          <t>NHT</t>
        </is>
      </c>
      <c r="E245" s="28" t="inlineStr">
        <is>
          <t>NHT</t>
        </is>
      </c>
      <c r="F245" s="29" t="n">
        <v>38</v>
      </c>
      <c r="G245" s="30">
        <f>IFERROR(IF(INDEX(Effective!$E$3:$R$125,MATCH($B245,Effective!$A$3:$A$125,0),MATCH($D245,Effective!$E$2:$R$2,0))=0,"",INDEX(Effective!$E$3:$R$125,MATCH($B245,Effective!$A$3:$A$125,0),MATCH($D245,Effective!$E$2:$R$2,0))),"")</f>
        <v/>
      </c>
      <c r="H245" s="31" t="n"/>
      <c r="I245" s="17" t="inlineStr">
        <is>
          <t>override</t>
        </is>
      </c>
      <c r="J245" s="32" t="n">
        <v>1</v>
      </c>
      <c r="K245" s="33">
        <f>IF(AND(IF($I246&lt;&gt;"",$I246,$I245)="override",$J245&lt;&gt;""),$J245,SUMIFS(Assumptions!$K$4:$K$8,Assumptions!$J$4:$J$8,$C245))*Assumptions!$S$10*(1-MIN(1,MAX(N($H245),N($H246))))</f>
        <v/>
      </c>
      <c r="L245" s="32" t="n"/>
      <c r="M245" s="34">
        <f>IF(AND(IF($I246&lt;&gt;"",$I246,$I245)="override",$L245&lt;&gt;""),$L245,SUMIFS(Assumptions!$P$4:$P$103,Assumptions!$M$4:$M$103,$C245,Assumptions!$N$4:$N$103,$E245,Assumptions!$O$4:$O$103,"LVN"))</f>
        <v/>
      </c>
      <c r="N245" s="32" t="n"/>
      <c r="O245" s="34">
        <f>IF(AND(IF($I246&lt;&gt;"",$I246,$I245)="override",$N245&lt;&gt;""),$N245,SUMIFS(Assumptions!$P$4:$P$103,Assumptions!$M$4:$M$103,$C245,Assumptions!$N$4:$N$103,$E245,Assumptions!$O$4:$O$103,"HVN"))</f>
        <v/>
      </c>
      <c r="P245" s="34">
        <f>(M245+O245)*Assumptions!$S$11</f>
        <v/>
      </c>
      <c r="Q245" s="35">
        <f>$F245*$K245*$P245</f>
        <v/>
      </c>
    </row>
    <row r="246">
      <c r="A246" s="24" t="inlineStr">
        <is>
          <t>TOTAL</t>
        </is>
      </c>
      <c r="B246" s="36" t="inlineStr">
        <is>
          <t>MARATHON_SAINT_PAUL_PARK</t>
        </is>
      </c>
      <c r="C246" s="36" t="n">
        <v>2</v>
      </c>
      <c r="D246" s="36" t="inlineStr">
        <is>
          <t>NET NAPHTHA</t>
        </is>
      </c>
      <c r="H246" s="31" t="n"/>
      <c r="I246" s="17" t="n"/>
      <c r="Q246" s="37">
        <f>SUM(Q239:Q245)</f>
        <v/>
      </c>
    </row>
    <row r="248" ht="20" customHeight="1">
      <c r="A248" s="8">
        <f>"  Marathon Petroleum Canton  [MARATHON_CANTON]   —   Marathon Petroleum   —   PADD 2   —   crude "&amp;TEXT(SUMIFS(Data!$G$3:$G$125,Data!$A$3:$A$125,"MARATHON_CANTON"),"#,##0")&amp;" kbd"</f>
        <v/>
      </c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</row>
    <row r="249">
      <c r="A249" s="11" t="inlineStr">
        <is>
          <t>UNIT</t>
        </is>
      </c>
      <c r="B249" s="28" t="inlineStr">
        <is>
          <t>MARATHON_CANTON</t>
        </is>
      </c>
      <c r="C249" s="28" t="n">
        <v>2</v>
      </c>
      <c r="D249" s="28" t="inlineStr">
        <is>
          <t>CDU</t>
        </is>
      </c>
      <c r="E249" s="28" t="inlineStr">
        <is>
          <t>CDU</t>
        </is>
      </c>
      <c r="F249" s="29" t="n">
        <v>102</v>
      </c>
      <c r="G249" s="30">
        <f>IFERROR(IF(INDEX(Effective!$E$3:$R$125,MATCH($B249,Effective!$A$3:$A$125,0),MATCH($D249,Effective!$E$2:$R$2,0))=0,"",INDEX(Effective!$E$3:$R$125,MATCH($B249,Effective!$A$3:$A$125,0),MATCH($D249,Effective!$E$2:$R$2,0))),"")</f>
        <v/>
      </c>
      <c r="H249" s="31" t="n"/>
      <c r="I249" s="17" t="inlineStr">
        <is>
          <t>override</t>
        </is>
      </c>
      <c r="J249" s="32" t="n">
        <v>0.988</v>
      </c>
      <c r="K249" s="33">
        <f>IF(AND(IF($I255&lt;&gt;"",$I255,$I249)="override",$J249&lt;&gt;""),$J249,SUMIFS(Assumptions!$K$4:$K$8,Assumptions!$J$4:$J$8,$C249))*Assumptions!$S$10*(1-MIN(1,MAX(N($H249),N($H255))))</f>
        <v/>
      </c>
      <c r="L249" s="32" t="n"/>
      <c r="M249" s="34">
        <f>IF(AND(IF($I255&lt;&gt;"",$I255,$I249)="override",$L249&lt;&gt;""),$L249,SUMIFS(Assumptions!$P$4:$P$103,Assumptions!$M$4:$M$103,$C249,Assumptions!$N$4:$N$103,$E249,Assumptions!$O$4:$O$103,"LVN"))</f>
        <v/>
      </c>
      <c r="N249" s="32" t="n"/>
      <c r="O249" s="34">
        <f>IF(AND(IF($I255&lt;&gt;"",$I255,$I249)="override",$N249&lt;&gt;""),$N249,SUMIFS(Assumptions!$P$4:$P$103,Assumptions!$M$4:$M$103,$C249,Assumptions!$N$4:$N$103,$E249,Assumptions!$O$4:$O$103,"HVN"))</f>
        <v/>
      </c>
      <c r="P249" s="34">
        <f>(M249+O249)*Assumptions!$S$11</f>
        <v/>
      </c>
      <c r="Q249" s="35">
        <f>$F249*$K249*$P249</f>
        <v/>
      </c>
    </row>
    <row r="250">
      <c r="A250" s="11" t="inlineStr">
        <is>
          <t>UNIT</t>
        </is>
      </c>
      <c r="B250" s="28" t="inlineStr">
        <is>
          <t>MARATHON_CANTON</t>
        </is>
      </c>
      <c r="C250" s="28" t="n">
        <v>2</v>
      </c>
      <c r="D250" s="28" t="inlineStr">
        <is>
          <t>VDU</t>
        </is>
      </c>
      <c r="E250" s="28" t="inlineStr">
        <is>
          <t>VDU</t>
        </is>
      </c>
      <c r="F250" s="29" t="n">
        <v>35</v>
      </c>
      <c r="G250" s="30">
        <f>IFERROR(IF(INDEX(Effective!$E$3:$R$125,MATCH($B250,Effective!$A$3:$A$125,0),MATCH($D250,Effective!$E$2:$R$2,0))=0,"",INDEX(Effective!$E$3:$R$125,MATCH($B250,Effective!$A$3:$A$125,0),MATCH($D250,Effective!$E$2:$R$2,0))),"")</f>
        <v/>
      </c>
      <c r="H250" s="31" t="n"/>
      <c r="I250" s="17" t="inlineStr">
        <is>
          <t>override</t>
        </is>
      </c>
      <c r="J250" s="32" t="n">
        <v>0.827</v>
      </c>
      <c r="K250" s="33">
        <f>IF(AND(IF($I255&lt;&gt;"",$I255,$I250)="override",$J250&lt;&gt;""),$J250,SUMIFS(Assumptions!$K$4:$K$8,Assumptions!$J$4:$J$8,$C250))*Assumptions!$S$10*(1-MIN(1,MAX(N($H250),N($H255))))</f>
        <v/>
      </c>
      <c r="L250" s="32" t="n"/>
      <c r="M250" s="34">
        <f>IF(AND(IF($I255&lt;&gt;"",$I255,$I250)="override",$L250&lt;&gt;""),$L250,SUMIFS(Assumptions!$P$4:$P$103,Assumptions!$M$4:$M$103,$C250,Assumptions!$N$4:$N$103,$E250,Assumptions!$O$4:$O$103,"LVN"))</f>
        <v/>
      </c>
      <c r="N250" s="32" t="n"/>
      <c r="O250" s="34">
        <f>IF(AND(IF($I255&lt;&gt;"",$I255,$I250)="override",$N250&lt;&gt;""),$N250,SUMIFS(Assumptions!$P$4:$P$103,Assumptions!$M$4:$M$103,$C250,Assumptions!$N$4:$N$103,$E250,Assumptions!$O$4:$O$103,"HVN"))</f>
        <v/>
      </c>
      <c r="P250" s="34">
        <f>(M250+O250)*Assumptions!$S$11</f>
        <v/>
      </c>
      <c r="Q250" s="35">
        <f>$F250*$K250*$P250</f>
        <v/>
      </c>
    </row>
    <row r="251">
      <c r="A251" s="11" t="inlineStr">
        <is>
          <t>UNIT</t>
        </is>
      </c>
      <c r="B251" s="28" t="inlineStr">
        <is>
          <t>MARATHON_CANTON</t>
        </is>
      </c>
      <c r="C251" s="28" t="n">
        <v>2</v>
      </c>
      <c r="D251" s="28" t="inlineStr">
        <is>
          <t>FCC</t>
        </is>
      </c>
      <c r="E251" s="28" t="inlineStr">
        <is>
          <t>FCC</t>
        </is>
      </c>
      <c r="F251" s="29" t="n">
        <v>26</v>
      </c>
      <c r="G251" s="30">
        <f>IFERROR(IF(INDEX(Effective!$E$3:$R$125,MATCH($B251,Effective!$A$3:$A$125,0),MATCH($D251,Effective!$E$2:$R$2,0))=0,"",INDEX(Effective!$E$3:$R$125,MATCH($B251,Effective!$A$3:$A$125,0),MATCH($D251,Effective!$E$2:$R$2,0))),"")</f>
        <v/>
      </c>
      <c r="H251" s="31" t="n"/>
      <c r="I251" s="17" t="inlineStr">
        <is>
          <t>override</t>
        </is>
      </c>
      <c r="J251" s="32" t="n">
        <v>0.779</v>
      </c>
      <c r="K251" s="33">
        <f>IF(AND(IF($I255&lt;&gt;"",$I255,$I251)="override",$J251&lt;&gt;""),$J251,SUMIFS(Assumptions!$K$4:$K$8,Assumptions!$J$4:$J$8,$C251))*Assumptions!$S$10*(1-MIN(1,MAX(N($H251),N($H255))))</f>
        <v/>
      </c>
      <c r="L251" s="32" t="n"/>
      <c r="M251" s="34">
        <f>IF(AND(IF($I255&lt;&gt;"",$I255,$I251)="override",$L251&lt;&gt;""),$L251,SUMIFS(Assumptions!$P$4:$P$103,Assumptions!$M$4:$M$103,$C251,Assumptions!$N$4:$N$103,$E251,Assumptions!$O$4:$O$103,"LVN"))</f>
        <v/>
      </c>
      <c r="N251" s="32" t="n"/>
      <c r="O251" s="34">
        <f>IF(AND(IF($I255&lt;&gt;"",$I255,$I251)="override",$N251&lt;&gt;""),$N251,SUMIFS(Assumptions!$P$4:$P$103,Assumptions!$M$4:$M$103,$C251,Assumptions!$N$4:$N$103,$E251,Assumptions!$O$4:$O$103,"HVN"))</f>
        <v/>
      </c>
      <c r="P251" s="34">
        <f>(M251+O251)*Assumptions!$S$11</f>
        <v/>
      </c>
      <c r="Q251" s="35">
        <f>$F251*$K251*$P251</f>
        <v/>
      </c>
    </row>
    <row r="252">
      <c r="A252" s="11" t="inlineStr">
        <is>
          <t>UNIT</t>
        </is>
      </c>
      <c r="B252" s="28" t="inlineStr">
        <is>
          <t>MARATHON_CANTON</t>
        </is>
      </c>
      <c r="C252" s="28" t="n">
        <v>2</v>
      </c>
      <c r="D252" s="28" t="inlineStr">
        <is>
          <t>CCR</t>
        </is>
      </c>
      <c r="E252" s="28" t="inlineStr">
        <is>
          <t>REFORMER</t>
        </is>
      </c>
      <c r="F252" s="29" t="n">
        <v>22</v>
      </c>
      <c r="G252" s="30">
        <f>IFERROR(IF(INDEX(Effective!$E$3:$R$125,MATCH($B252,Effective!$A$3:$A$125,0),MATCH($D252,Effective!$E$2:$R$2,0))=0,"",INDEX(Effective!$E$3:$R$125,MATCH($B252,Effective!$A$3:$A$125,0),MATCH($D252,Effective!$E$2:$R$2,0))),"")</f>
        <v/>
      </c>
      <c r="H252" s="31" t="n"/>
      <c r="I252" s="17" t="inlineStr">
        <is>
          <t>override</t>
        </is>
      </c>
      <c r="J252" s="32" t="n">
        <v>1.1</v>
      </c>
      <c r="K252" s="33">
        <f>IF(AND(IF($I255&lt;&gt;"",$I255,$I252)="override",$J252&lt;&gt;""),$J252,SUMIFS(Assumptions!$K$4:$K$8,Assumptions!$J$4:$J$8,$C252))*Assumptions!$S$10*(1-MIN(1,MAX(N($H252),N($H255))))</f>
        <v/>
      </c>
      <c r="L252" s="32" t="n"/>
      <c r="M252" s="34">
        <f>IF(AND(IF($I255&lt;&gt;"",$I255,$I252)="override",$L252&lt;&gt;""),$L252,SUMIFS(Assumptions!$P$4:$P$103,Assumptions!$M$4:$M$103,$C252,Assumptions!$N$4:$N$103,$E252,Assumptions!$O$4:$O$103,"LVN"))</f>
        <v/>
      </c>
      <c r="N252" s="32" t="n"/>
      <c r="O252" s="34">
        <f>IF(AND(IF($I255&lt;&gt;"",$I255,$I252)="override",$N252&lt;&gt;""),$N252,SUMIFS(Assumptions!$P$4:$P$103,Assumptions!$M$4:$M$103,$C252,Assumptions!$N$4:$N$103,$E252,Assumptions!$O$4:$O$103,"HVN"))</f>
        <v/>
      </c>
      <c r="P252" s="34">
        <f>(M252+O252)*Assumptions!$S$11</f>
        <v/>
      </c>
      <c r="Q252" s="35">
        <f>$F252*$K252*$P252</f>
        <v/>
      </c>
    </row>
    <row r="253">
      <c r="A253" s="11" t="inlineStr">
        <is>
          <t>UNIT</t>
        </is>
      </c>
      <c r="B253" s="28" t="inlineStr">
        <is>
          <t>MARATHON_CANTON</t>
        </is>
      </c>
      <c r="C253" s="28" t="n">
        <v>2</v>
      </c>
      <c r="D253" s="28" t="inlineStr">
        <is>
          <t>ALKY</t>
        </is>
      </c>
      <c r="E253" s="28" t="inlineStr">
        <is>
          <t>ALKY</t>
        </is>
      </c>
      <c r="F253" s="29" t="n">
        <v>8.5</v>
      </c>
      <c r="G253" s="30">
        <f>IFERROR(IF(INDEX(Effective!$E$3:$R$125,MATCH($B253,Effective!$A$3:$A$125,0),MATCH($D253,Effective!$E$2:$R$2,0))=0,"",INDEX(Effective!$E$3:$R$125,MATCH($B253,Effective!$A$3:$A$125,0),MATCH($D253,Effective!$E$2:$R$2,0))),"")</f>
        <v/>
      </c>
      <c r="H253" s="31" t="n"/>
      <c r="I253" s="17" t="inlineStr">
        <is>
          <t>override</t>
        </is>
      </c>
      <c r="J253" s="32" t="n">
        <v>0.67</v>
      </c>
      <c r="K253" s="33">
        <f>IF(AND(IF($I255&lt;&gt;"",$I255,$I253)="override",$J253&lt;&gt;""),$J253,SUMIFS(Assumptions!$K$4:$K$8,Assumptions!$J$4:$J$8,$C253))*Assumptions!$S$10*(1-MIN(1,MAX(N($H253),N($H255))))</f>
        <v/>
      </c>
      <c r="L253" s="32" t="n"/>
      <c r="M253" s="34">
        <f>IF(AND(IF($I255&lt;&gt;"",$I255,$I253)="override",$L253&lt;&gt;""),$L253,SUMIFS(Assumptions!$P$4:$P$103,Assumptions!$M$4:$M$103,$C253,Assumptions!$N$4:$N$103,$E253,Assumptions!$O$4:$O$103,"LVN"))</f>
        <v/>
      </c>
      <c r="N253" s="32" t="n"/>
      <c r="O253" s="34">
        <f>IF(AND(IF($I255&lt;&gt;"",$I255,$I253)="override",$N253&lt;&gt;""),$N253,SUMIFS(Assumptions!$P$4:$P$103,Assumptions!$M$4:$M$103,$C253,Assumptions!$N$4:$N$103,$E253,Assumptions!$O$4:$O$103,"HVN"))</f>
        <v/>
      </c>
      <c r="P253" s="34">
        <f>(M253+O253)*Assumptions!$S$11</f>
        <v/>
      </c>
      <c r="Q253" s="35">
        <f>$F253*$K253*$P253</f>
        <v/>
      </c>
    </row>
    <row r="254">
      <c r="A254" s="11" t="inlineStr">
        <is>
          <t>UNIT</t>
        </is>
      </c>
      <c r="B254" s="28" t="inlineStr">
        <is>
          <t>MARATHON_CANTON</t>
        </is>
      </c>
      <c r="C254" s="28" t="n">
        <v>2</v>
      </c>
      <c r="D254" s="28" t="inlineStr">
        <is>
          <t>NHT</t>
        </is>
      </c>
      <c r="E254" s="28" t="inlineStr">
        <is>
          <t>NHT</t>
        </is>
      </c>
      <c r="F254" s="29" t="n">
        <v>34.5</v>
      </c>
      <c r="G254" s="30">
        <f>IFERROR(IF(INDEX(Effective!$E$3:$R$125,MATCH($B254,Effective!$A$3:$A$125,0),MATCH($D254,Effective!$E$2:$R$2,0))=0,"",INDEX(Effective!$E$3:$R$125,MATCH($B254,Effective!$A$3:$A$125,0),MATCH($D254,Effective!$E$2:$R$2,0))),"")</f>
        <v/>
      </c>
      <c r="H254" s="31" t="n"/>
      <c r="I254" s="17" t="inlineStr">
        <is>
          <t>override</t>
        </is>
      </c>
      <c r="J254" s="32" t="n">
        <v>1.1</v>
      </c>
      <c r="K254" s="33">
        <f>IF(AND(IF($I255&lt;&gt;"",$I255,$I254)="override",$J254&lt;&gt;""),$J254,SUMIFS(Assumptions!$K$4:$K$8,Assumptions!$J$4:$J$8,$C254))*Assumptions!$S$10*(1-MIN(1,MAX(N($H254),N($H255))))</f>
        <v/>
      </c>
      <c r="L254" s="32" t="n"/>
      <c r="M254" s="34">
        <f>IF(AND(IF($I255&lt;&gt;"",$I255,$I254)="override",$L254&lt;&gt;""),$L254,SUMIFS(Assumptions!$P$4:$P$103,Assumptions!$M$4:$M$103,$C254,Assumptions!$N$4:$N$103,$E254,Assumptions!$O$4:$O$103,"LVN"))</f>
        <v/>
      </c>
      <c r="N254" s="32" t="n"/>
      <c r="O254" s="34">
        <f>IF(AND(IF($I255&lt;&gt;"",$I255,$I254)="override",$N254&lt;&gt;""),$N254,SUMIFS(Assumptions!$P$4:$P$103,Assumptions!$M$4:$M$103,$C254,Assumptions!$N$4:$N$103,$E254,Assumptions!$O$4:$O$103,"HVN"))</f>
        <v/>
      </c>
      <c r="P254" s="34">
        <f>(M254+O254)*Assumptions!$S$11</f>
        <v/>
      </c>
      <c r="Q254" s="35">
        <f>$F254*$K254*$P254</f>
        <v/>
      </c>
    </row>
    <row r="255">
      <c r="A255" s="24" t="inlineStr">
        <is>
          <t>TOTAL</t>
        </is>
      </c>
      <c r="B255" s="36" t="inlineStr">
        <is>
          <t>MARATHON_CANTON</t>
        </is>
      </c>
      <c r="C255" s="36" t="n">
        <v>2</v>
      </c>
      <c r="D255" s="36" t="inlineStr">
        <is>
          <t>NET NAPHTHA</t>
        </is>
      </c>
      <c r="H255" s="31" t="n"/>
      <c r="I255" s="17" t="n"/>
      <c r="Q255" s="37">
        <f>SUM(Q249:Q254)</f>
        <v/>
      </c>
    </row>
    <row r="257" ht="20" customHeight="1">
      <c r="A257" s="8">
        <f>"  Valero Ardmore  [VALERO_ARDMORE]   —   Valero   —   PADD 2   —   crude "&amp;TEXT(SUMIFS(Data!$G$3:$G$125,Data!$A$3:$A$125,"VALERO_ARDMORE"),"#,##0")&amp;" kbd"</f>
        <v/>
      </c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</row>
    <row r="258">
      <c r="A258" s="11" t="inlineStr">
        <is>
          <t>UNIT</t>
        </is>
      </c>
      <c r="B258" s="28" t="inlineStr">
        <is>
          <t>VALERO_ARDMORE</t>
        </is>
      </c>
      <c r="C258" s="28" t="n">
        <v>2</v>
      </c>
      <c r="D258" s="28" t="inlineStr">
        <is>
          <t>CDU</t>
        </is>
      </c>
      <c r="E258" s="28" t="inlineStr">
        <is>
          <t>CDU</t>
        </is>
      </c>
      <c r="F258" s="29" t="n">
        <v>88</v>
      </c>
      <c r="G258" s="30">
        <f>IFERROR(IF(INDEX(Effective!$E$3:$R$125,MATCH($B258,Effective!$A$3:$A$125,0),MATCH($D258,Effective!$E$2:$R$2,0))=0,"",INDEX(Effective!$E$3:$R$125,MATCH($B258,Effective!$A$3:$A$125,0),MATCH($D258,Effective!$E$2:$R$2,0))),"")</f>
        <v/>
      </c>
      <c r="H258" s="31" t="n"/>
      <c r="I258" s="17" t="inlineStr">
        <is>
          <t>override</t>
        </is>
      </c>
      <c r="J258" s="32" t="n">
        <v>0.86</v>
      </c>
      <c r="K258" s="33">
        <f>IF(AND(IF($I265&lt;&gt;"",$I265,$I258)="override",$J258&lt;&gt;""),$J258,SUMIFS(Assumptions!$K$4:$K$8,Assumptions!$J$4:$J$8,$C258))*Assumptions!$S$10*(1-MIN(1,MAX(N($H258),N($H265))))</f>
        <v/>
      </c>
      <c r="L258" s="32" t="n"/>
      <c r="M258" s="34">
        <f>IF(AND(IF($I265&lt;&gt;"",$I265,$I258)="override",$L258&lt;&gt;""),$L258,SUMIFS(Assumptions!$P$4:$P$103,Assumptions!$M$4:$M$103,$C258,Assumptions!$N$4:$N$103,$E258,Assumptions!$O$4:$O$103,"LVN"))</f>
        <v/>
      </c>
      <c r="N258" s="32" t="n"/>
      <c r="O258" s="34">
        <f>IF(AND(IF($I265&lt;&gt;"",$I265,$I258)="override",$N258&lt;&gt;""),$N258,SUMIFS(Assumptions!$P$4:$P$103,Assumptions!$M$4:$M$103,$C258,Assumptions!$N$4:$N$103,$E258,Assumptions!$O$4:$O$103,"HVN"))</f>
        <v/>
      </c>
      <c r="P258" s="34">
        <f>(M258+O258)*Assumptions!$S$11</f>
        <v/>
      </c>
      <c r="Q258" s="35">
        <f>$F258*$K258*$P258</f>
        <v/>
      </c>
    </row>
    <row r="259">
      <c r="A259" s="11" t="inlineStr">
        <is>
          <t>UNIT</t>
        </is>
      </c>
      <c r="B259" s="28" t="inlineStr">
        <is>
          <t>VALERO_ARDMORE</t>
        </is>
      </c>
      <c r="C259" s="28" t="n">
        <v>2</v>
      </c>
      <c r="D259" s="28" t="inlineStr">
        <is>
          <t>VDU</t>
        </is>
      </c>
      <c r="E259" s="28" t="inlineStr">
        <is>
          <t>VDU</t>
        </is>
      </c>
      <c r="F259" s="29" t="n">
        <v>32</v>
      </c>
      <c r="G259" s="30">
        <f>IFERROR(IF(INDEX(Effective!$E$3:$R$125,MATCH($B259,Effective!$A$3:$A$125,0),MATCH($D259,Effective!$E$2:$R$2,0))=0,"",INDEX(Effective!$E$3:$R$125,MATCH($B259,Effective!$A$3:$A$125,0),MATCH($D259,Effective!$E$2:$R$2,0))),"")</f>
        <v/>
      </c>
      <c r="H259" s="31" t="n"/>
      <c r="I259" s="17" t="inlineStr">
        <is>
          <t>override</t>
        </is>
      </c>
      <c r="J259" s="32" t="n">
        <v>0.763</v>
      </c>
      <c r="K259" s="33">
        <f>IF(AND(IF($I265&lt;&gt;"",$I265,$I259)="override",$J259&lt;&gt;""),$J259,SUMIFS(Assumptions!$K$4:$K$8,Assumptions!$J$4:$J$8,$C259))*Assumptions!$S$10*(1-MIN(1,MAX(N($H259),N($H265))))</f>
        <v/>
      </c>
      <c r="L259" s="32" t="n"/>
      <c r="M259" s="34">
        <f>IF(AND(IF($I265&lt;&gt;"",$I265,$I259)="override",$L259&lt;&gt;""),$L259,SUMIFS(Assumptions!$P$4:$P$103,Assumptions!$M$4:$M$103,$C259,Assumptions!$N$4:$N$103,$E259,Assumptions!$O$4:$O$103,"LVN"))</f>
        <v/>
      </c>
      <c r="N259" s="32" t="n"/>
      <c r="O259" s="34">
        <f>IF(AND(IF($I265&lt;&gt;"",$I265,$I259)="override",$N259&lt;&gt;""),$N259,SUMIFS(Assumptions!$P$4:$P$103,Assumptions!$M$4:$M$103,$C259,Assumptions!$N$4:$N$103,$E259,Assumptions!$O$4:$O$103,"HVN"))</f>
        <v/>
      </c>
      <c r="P259" s="34">
        <f>(M259+O259)*Assumptions!$S$11</f>
        <v/>
      </c>
      <c r="Q259" s="35">
        <f>$F259*$K259*$P259</f>
        <v/>
      </c>
    </row>
    <row r="260">
      <c r="A260" s="11" t="inlineStr">
        <is>
          <t>UNIT</t>
        </is>
      </c>
      <c r="B260" s="28" t="inlineStr">
        <is>
          <t>VALERO_ARDMORE</t>
        </is>
      </c>
      <c r="C260" s="28" t="n">
        <v>2</v>
      </c>
      <c r="D260" s="28" t="inlineStr">
        <is>
          <t>FCC</t>
        </is>
      </c>
      <c r="E260" s="28" t="inlineStr">
        <is>
          <t>FCC</t>
        </is>
      </c>
      <c r="F260" s="29" t="n">
        <v>30</v>
      </c>
      <c r="G260" s="30">
        <f>IFERROR(IF(INDEX(Effective!$E$3:$R$125,MATCH($B260,Effective!$A$3:$A$125,0),MATCH($D260,Effective!$E$2:$R$2,0))=0,"",INDEX(Effective!$E$3:$R$125,MATCH($B260,Effective!$A$3:$A$125,0),MATCH($D260,Effective!$E$2:$R$2,0))),"")</f>
        <v/>
      </c>
      <c r="H260" s="31" t="n"/>
      <c r="I260" s="17" t="inlineStr">
        <is>
          <t>override</t>
        </is>
      </c>
      <c r="J260" s="32" t="n">
        <v>0.439</v>
      </c>
      <c r="K260" s="33">
        <f>IF(AND(IF($I265&lt;&gt;"",$I265,$I260)="override",$J260&lt;&gt;""),$J260,SUMIFS(Assumptions!$K$4:$K$8,Assumptions!$J$4:$J$8,$C260))*Assumptions!$S$10*(1-MIN(1,MAX(N($H260),N($H265))))</f>
        <v/>
      </c>
      <c r="L260" s="32" t="n"/>
      <c r="M260" s="34">
        <f>IF(AND(IF($I265&lt;&gt;"",$I265,$I260)="override",$L260&lt;&gt;""),$L260,SUMIFS(Assumptions!$P$4:$P$103,Assumptions!$M$4:$M$103,$C260,Assumptions!$N$4:$N$103,$E260,Assumptions!$O$4:$O$103,"LVN"))</f>
        <v/>
      </c>
      <c r="N260" s="32" t="n"/>
      <c r="O260" s="34">
        <f>IF(AND(IF($I265&lt;&gt;"",$I265,$I260)="override",$N260&lt;&gt;""),$N260,SUMIFS(Assumptions!$P$4:$P$103,Assumptions!$M$4:$M$103,$C260,Assumptions!$N$4:$N$103,$E260,Assumptions!$O$4:$O$103,"HVN"))</f>
        <v/>
      </c>
      <c r="P260" s="34">
        <f>(M260+O260)*Assumptions!$S$11</f>
        <v/>
      </c>
      <c r="Q260" s="35">
        <f>$F260*$K260*$P260</f>
        <v/>
      </c>
    </row>
    <row r="261">
      <c r="A261" s="11" t="inlineStr">
        <is>
          <t>UNIT</t>
        </is>
      </c>
      <c r="B261" s="28" t="inlineStr">
        <is>
          <t>VALERO_ARDMORE</t>
        </is>
      </c>
      <c r="C261" s="28" t="n">
        <v>2</v>
      </c>
      <c r="D261" s="28" t="inlineStr">
        <is>
          <t>DHCU</t>
        </is>
      </c>
      <c r="E261" s="28" t="inlineStr">
        <is>
          <t>HYDROCRACKER</t>
        </is>
      </c>
      <c r="F261" s="29" t="n">
        <v>14</v>
      </c>
      <c r="G261" s="30">
        <f>IFERROR(IF(INDEX(Effective!$E$3:$R$125,MATCH($B261,Effective!$A$3:$A$125,0),MATCH($D261,Effective!$E$2:$R$2,0))=0,"",INDEX(Effective!$E$3:$R$125,MATCH($B261,Effective!$A$3:$A$125,0),MATCH($D261,Effective!$E$2:$R$2,0))),"")</f>
        <v/>
      </c>
      <c r="H261" s="31" t="n"/>
      <c r="I261" s="17" t="inlineStr">
        <is>
          <t>override</t>
        </is>
      </c>
      <c r="J261" s="32" t="n">
        <v>0.461</v>
      </c>
      <c r="K261" s="33">
        <f>IF(AND(IF($I265&lt;&gt;"",$I265,$I261)="override",$J261&lt;&gt;""),$J261,SUMIFS(Assumptions!$K$4:$K$8,Assumptions!$J$4:$J$8,$C261))*Assumptions!$S$10*(1-MIN(1,MAX(N($H261),N($H265))))</f>
        <v/>
      </c>
      <c r="L261" s="32" t="n"/>
      <c r="M261" s="34">
        <f>IF(AND(IF($I265&lt;&gt;"",$I265,$I261)="override",$L261&lt;&gt;""),$L261,SUMIFS(Assumptions!$P$4:$P$103,Assumptions!$M$4:$M$103,$C261,Assumptions!$N$4:$N$103,$E261,Assumptions!$O$4:$O$103,"LVN"))</f>
        <v/>
      </c>
      <c r="N261" s="32" t="n"/>
      <c r="O261" s="34">
        <f>IF(AND(IF($I265&lt;&gt;"",$I265,$I261)="override",$N261&lt;&gt;""),$N261,SUMIFS(Assumptions!$P$4:$P$103,Assumptions!$M$4:$M$103,$C261,Assumptions!$N$4:$N$103,$E261,Assumptions!$O$4:$O$103,"HVN"))</f>
        <v/>
      </c>
      <c r="P261" s="34">
        <f>(M261+O261)*Assumptions!$S$11</f>
        <v/>
      </c>
      <c r="Q261" s="35">
        <f>$F261*$K261*$P261</f>
        <v/>
      </c>
    </row>
    <row r="262">
      <c r="A262" s="11" t="inlineStr">
        <is>
          <t>UNIT</t>
        </is>
      </c>
      <c r="B262" s="28" t="inlineStr">
        <is>
          <t>VALERO_ARDMORE</t>
        </is>
      </c>
      <c r="C262" s="28" t="n">
        <v>2</v>
      </c>
      <c r="D262" s="28" t="inlineStr">
        <is>
          <t>CCR</t>
        </is>
      </c>
      <c r="E262" s="28" t="inlineStr">
        <is>
          <t>REFORMER</t>
        </is>
      </c>
      <c r="F262" s="29" t="n">
        <v>20.5</v>
      </c>
      <c r="G262" s="30">
        <f>IFERROR(IF(INDEX(Effective!$E$3:$R$125,MATCH($B262,Effective!$A$3:$A$125,0),MATCH($D262,Effective!$E$2:$R$2,0))=0,"",INDEX(Effective!$E$3:$R$125,MATCH($B262,Effective!$A$3:$A$125,0),MATCH($D262,Effective!$E$2:$R$2,0))),"")</f>
        <v/>
      </c>
      <c r="H262" s="31" t="n"/>
      <c r="I262" s="17" t="inlineStr">
        <is>
          <t>override</t>
        </is>
      </c>
      <c r="J262" s="32" t="n">
        <v>0.907</v>
      </c>
      <c r="K262" s="33">
        <f>IF(AND(IF($I265&lt;&gt;"",$I265,$I262)="override",$J262&lt;&gt;""),$J262,SUMIFS(Assumptions!$K$4:$K$8,Assumptions!$J$4:$J$8,$C262))*Assumptions!$S$10*(1-MIN(1,MAX(N($H262),N($H265))))</f>
        <v/>
      </c>
      <c r="L262" s="32" t="n"/>
      <c r="M262" s="34">
        <f>IF(AND(IF($I265&lt;&gt;"",$I265,$I262)="override",$L262&lt;&gt;""),$L262,SUMIFS(Assumptions!$P$4:$P$103,Assumptions!$M$4:$M$103,$C262,Assumptions!$N$4:$N$103,$E262,Assumptions!$O$4:$O$103,"LVN"))</f>
        <v/>
      </c>
      <c r="N262" s="32" t="n"/>
      <c r="O262" s="34">
        <f>IF(AND(IF($I265&lt;&gt;"",$I265,$I262)="override",$N262&lt;&gt;""),$N262,SUMIFS(Assumptions!$P$4:$P$103,Assumptions!$M$4:$M$103,$C262,Assumptions!$N$4:$N$103,$E262,Assumptions!$O$4:$O$103,"HVN"))</f>
        <v/>
      </c>
      <c r="P262" s="34">
        <f>(M262+O262)*Assumptions!$S$11</f>
        <v/>
      </c>
      <c r="Q262" s="35">
        <f>$F262*$K262*$P262</f>
        <v/>
      </c>
    </row>
    <row r="263">
      <c r="A263" s="11" t="inlineStr">
        <is>
          <t>UNIT</t>
        </is>
      </c>
      <c r="B263" s="28" t="inlineStr">
        <is>
          <t>VALERO_ARDMORE</t>
        </is>
      </c>
      <c r="C263" s="28" t="n">
        <v>2</v>
      </c>
      <c r="D263" s="28" t="inlineStr">
        <is>
          <t>ALKY</t>
        </is>
      </c>
      <c r="E263" s="28" t="inlineStr">
        <is>
          <t>ALKY</t>
        </is>
      </c>
      <c r="F263" s="29" t="n">
        <v>7.01</v>
      </c>
      <c r="G263" s="30">
        <f>IFERROR(IF(INDEX(Effective!$E$3:$R$125,MATCH($B263,Effective!$A$3:$A$125,0),MATCH($D263,Effective!$E$2:$R$2,0))=0,"",INDEX(Effective!$E$3:$R$125,MATCH($B263,Effective!$A$3:$A$125,0),MATCH($D263,Effective!$E$2:$R$2,0))),"")</f>
        <v/>
      </c>
      <c r="H263" s="31" t="n"/>
      <c r="I263" s="17" t="inlineStr">
        <is>
          <t>override</t>
        </is>
      </c>
      <c r="J263" s="32" t="n">
        <v>0.382</v>
      </c>
      <c r="K263" s="33">
        <f>IF(AND(IF($I265&lt;&gt;"",$I265,$I263)="override",$J263&lt;&gt;""),$J263,SUMIFS(Assumptions!$K$4:$K$8,Assumptions!$J$4:$J$8,$C263))*Assumptions!$S$10*(1-MIN(1,MAX(N($H263),N($H265))))</f>
        <v/>
      </c>
      <c r="L263" s="32" t="n"/>
      <c r="M263" s="34">
        <f>IF(AND(IF($I265&lt;&gt;"",$I265,$I263)="override",$L263&lt;&gt;""),$L263,SUMIFS(Assumptions!$P$4:$P$103,Assumptions!$M$4:$M$103,$C263,Assumptions!$N$4:$N$103,$E263,Assumptions!$O$4:$O$103,"LVN"))</f>
        <v/>
      </c>
      <c r="N263" s="32" t="n"/>
      <c r="O263" s="34">
        <f>IF(AND(IF($I265&lt;&gt;"",$I265,$I263)="override",$N263&lt;&gt;""),$N263,SUMIFS(Assumptions!$P$4:$P$103,Assumptions!$M$4:$M$103,$C263,Assumptions!$N$4:$N$103,$E263,Assumptions!$O$4:$O$103,"HVN"))</f>
        <v/>
      </c>
      <c r="P263" s="34">
        <f>(M263+O263)*Assumptions!$S$11</f>
        <v/>
      </c>
      <c r="Q263" s="35">
        <f>$F263*$K263*$P263</f>
        <v/>
      </c>
    </row>
    <row r="264">
      <c r="A264" s="11" t="inlineStr">
        <is>
          <t>UNIT</t>
        </is>
      </c>
      <c r="B264" s="28" t="inlineStr">
        <is>
          <t>VALERO_ARDMORE</t>
        </is>
      </c>
      <c r="C264" s="28" t="n">
        <v>2</v>
      </c>
      <c r="D264" s="28" t="inlineStr">
        <is>
          <t>NHT</t>
        </is>
      </c>
      <c r="E264" s="28" t="inlineStr">
        <is>
          <t>NHT</t>
        </is>
      </c>
      <c r="F264" s="29" t="n">
        <v>27</v>
      </c>
      <c r="G264" s="30">
        <f>IFERROR(IF(INDEX(Effective!$E$3:$R$125,MATCH($B264,Effective!$A$3:$A$125,0),MATCH($D264,Effective!$E$2:$R$2,0))=0,"",INDEX(Effective!$E$3:$R$125,MATCH($B264,Effective!$A$3:$A$125,0),MATCH($D264,Effective!$E$2:$R$2,0))),"")</f>
        <v/>
      </c>
      <c r="H264" s="31" t="n"/>
      <c r="I264" s="17" t="inlineStr">
        <is>
          <t>override</t>
        </is>
      </c>
      <c r="J264" s="32" t="n">
        <v>0.986</v>
      </c>
      <c r="K264" s="33">
        <f>IF(AND(IF($I265&lt;&gt;"",$I265,$I264)="override",$J264&lt;&gt;""),$J264,SUMIFS(Assumptions!$K$4:$K$8,Assumptions!$J$4:$J$8,$C264))*Assumptions!$S$10*(1-MIN(1,MAX(N($H264),N($H265))))</f>
        <v/>
      </c>
      <c r="L264" s="32" t="n"/>
      <c r="M264" s="34">
        <f>IF(AND(IF($I265&lt;&gt;"",$I265,$I264)="override",$L264&lt;&gt;""),$L264,SUMIFS(Assumptions!$P$4:$P$103,Assumptions!$M$4:$M$103,$C264,Assumptions!$N$4:$N$103,$E264,Assumptions!$O$4:$O$103,"LVN"))</f>
        <v/>
      </c>
      <c r="N264" s="32" t="n"/>
      <c r="O264" s="34">
        <f>IF(AND(IF($I265&lt;&gt;"",$I265,$I264)="override",$N264&lt;&gt;""),$N264,SUMIFS(Assumptions!$P$4:$P$103,Assumptions!$M$4:$M$103,$C264,Assumptions!$N$4:$N$103,$E264,Assumptions!$O$4:$O$103,"HVN"))</f>
        <v/>
      </c>
      <c r="P264" s="34">
        <f>(M264+O264)*Assumptions!$S$11</f>
        <v/>
      </c>
      <c r="Q264" s="35">
        <f>$F264*$K264*$P264</f>
        <v/>
      </c>
    </row>
    <row r="265">
      <c r="A265" s="24" t="inlineStr">
        <is>
          <t>TOTAL</t>
        </is>
      </c>
      <c r="B265" s="36" t="inlineStr">
        <is>
          <t>VALERO_ARDMORE</t>
        </is>
      </c>
      <c r="C265" s="36" t="n">
        <v>2</v>
      </c>
      <c r="D265" s="36" t="inlineStr">
        <is>
          <t>NET NAPHTHA</t>
        </is>
      </c>
      <c r="H265" s="31" t="n"/>
      <c r="I265" s="17" t="n"/>
      <c r="Q265" s="37">
        <f>SUM(Q258:Q264)</f>
        <v/>
      </c>
    </row>
    <row r="267" ht="20" customHeight="1">
      <c r="A267" s="8">
        <f>"  Marathon Petroleum Mandan  [MARATHON_MANDAN]   —   Marathon Petroleum   —   PADD 2   —   crude "&amp;TEXT(SUMIFS(Data!$G$3:$G$125,Data!$A$3:$A$125,"MARATHON_MANDAN"),"#,##0")&amp;" kbd"</f>
        <v/>
      </c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</row>
    <row r="268">
      <c r="A268" s="11" t="inlineStr">
        <is>
          <t>UNIT</t>
        </is>
      </c>
      <c r="B268" s="28" t="inlineStr">
        <is>
          <t>MARATHON_MANDAN</t>
        </is>
      </c>
      <c r="C268" s="28" t="n">
        <v>2</v>
      </c>
      <c r="D268" s="28" t="inlineStr">
        <is>
          <t>CDU</t>
        </is>
      </c>
      <c r="E268" s="28" t="inlineStr">
        <is>
          <t>CDU</t>
        </is>
      </c>
      <c r="F268" s="29" t="n">
        <v>74</v>
      </c>
      <c r="G268" s="30">
        <f>IFERROR(IF(INDEX(Effective!$E$3:$R$125,MATCH($B268,Effective!$A$3:$A$125,0),MATCH($D268,Effective!$E$2:$R$2,0))=0,"",INDEX(Effective!$E$3:$R$125,MATCH($B268,Effective!$A$3:$A$125,0),MATCH($D268,Effective!$E$2:$R$2,0))),"")</f>
        <v/>
      </c>
      <c r="H268" s="31" t="n"/>
      <c r="I268" s="17" t="inlineStr">
        <is>
          <t>override</t>
        </is>
      </c>
      <c r="J268" s="32" t="n">
        <v>0.92</v>
      </c>
      <c r="K268" s="33">
        <f>IF(AND(IF($I273&lt;&gt;"",$I273,$I268)="override",$J268&lt;&gt;""),$J268,SUMIFS(Assumptions!$K$4:$K$8,Assumptions!$J$4:$J$8,$C268))*Assumptions!$S$10*(1-MIN(1,MAX(N($H268),N($H273))))</f>
        <v/>
      </c>
      <c r="L268" s="32" t="n"/>
      <c r="M268" s="34">
        <f>IF(AND(IF($I273&lt;&gt;"",$I273,$I268)="override",$L268&lt;&gt;""),$L268,SUMIFS(Assumptions!$P$4:$P$103,Assumptions!$M$4:$M$103,$C268,Assumptions!$N$4:$N$103,$E268,Assumptions!$O$4:$O$103,"LVN"))</f>
        <v/>
      </c>
      <c r="N268" s="32" t="n"/>
      <c r="O268" s="34">
        <f>IF(AND(IF($I273&lt;&gt;"",$I273,$I268)="override",$N268&lt;&gt;""),$N268,SUMIFS(Assumptions!$P$4:$P$103,Assumptions!$M$4:$M$103,$C268,Assumptions!$N$4:$N$103,$E268,Assumptions!$O$4:$O$103,"HVN"))</f>
        <v/>
      </c>
      <c r="P268" s="34">
        <f>(M268+O268)*Assumptions!$S$11</f>
        <v/>
      </c>
      <c r="Q268" s="35">
        <f>$F268*$K268*$P268</f>
        <v/>
      </c>
    </row>
    <row r="269">
      <c r="A269" s="11" t="inlineStr">
        <is>
          <t>UNIT</t>
        </is>
      </c>
      <c r="B269" s="28" t="inlineStr">
        <is>
          <t>MARATHON_MANDAN</t>
        </is>
      </c>
      <c r="C269" s="28" t="n">
        <v>2</v>
      </c>
      <c r="D269" s="28" t="inlineStr">
        <is>
          <t>RCC</t>
        </is>
      </c>
      <c r="E269" s="28" t="inlineStr">
        <is>
          <t>FCC</t>
        </is>
      </c>
      <c r="F269" s="29" t="n">
        <v>27</v>
      </c>
      <c r="G269" s="30">
        <f>IFERROR(IF(INDEX(Effective!$E$3:$R$125,MATCH($B269,Effective!$A$3:$A$125,0),MATCH($D269,Effective!$E$2:$R$2,0))=0,"",INDEX(Effective!$E$3:$R$125,MATCH($B269,Effective!$A$3:$A$125,0),MATCH($D269,Effective!$E$2:$R$2,0))),"")</f>
        <v/>
      </c>
      <c r="H269" s="31" t="n"/>
      <c r="I269" s="17" t="inlineStr">
        <is>
          <t>override</t>
        </is>
      </c>
      <c r="J269" s="32" t="n">
        <v>0.717</v>
      </c>
      <c r="K269" s="33">
        <f>IF(AND(IF($I273&lt;&gt;"",$I273,$I269)="override",$J269&lt;&gt;""),$J269,SUMIFS(Assumptions!$K$4:$K$8,Assumptions!$J$4:$J$8,$C269))*Assumptions!$S$10*(1-MIN(1,MAX(N($H269),N($H273))))</f>
        <v/>
      </c>
      <c r="L269" s="32" t="n"/>
      <c r="M269" s="34">
        <f>IF(AND(IF($I273&lt;&gt;"",$I273,$I269)="override",$L269&lt;&gt;""),$L269,SUMIFS(Assumptions!$P$4:$P$103,Assumptions!$M$4:$M$103,$C269,Assumptions!$N$4:$N$103,$E269,Assumptions!$O$4:$O$103,"LVN"))</f>
        <v/>
      </c>
      <c r="N269" s="32" t="n"/>
      <c r="O269" s="34">
        <f>IF(AND(IF($I273&lt;&gt;"",$I273,$I269)="override",$N269&lt;&gt;""),$N269,SUMIFS(Assumptions!$P$4:$P$103,Assumptions!$M$4:$M$103,$C269,Assumptions!$N$4:$N$103,$E269,Assumptions!$O$4:$O$103,"HVN"))</f>
        <v/>
      </c>
      <c r="P269" s="34">
        <f>(M269+O269)*Assumptions!$S$11</f>
        <v/>
      </c>
      <c r="Q269" s="35">
        <f>$F269*$K269*$P269</f>
        <v/>
      </c>
    </row>
    <row r="270">
      <c r="A270" s="11" t="inlineStr">
        <is>
          <t>UNIT</t>
        </is>
      </c>
      <c r="B270" s="28" t="inlineStr">
        <is>
          <t>MARATHON_MANDAN</t>
        </is>
      </c>
      <c r="C270" s="28" t="n">
        <v>2</v>
      </c>
      <c r="D270" s="28" t="inlineStr">
        <is>
          <t>REF</t>
        </is>
      </c>
      <c r="E270" s="28" t="inlineStr">
        <is>
          <t>REFORMER</t>
        </is>
      </c>
      <c r="F270" s="29" t="n">
        <v>12.5</v>
      </c>
      <c r="G270" s="30">
        <f>IFERROR(IF(INDEX(Effective!$E$3:$R$125,MATCH($B270,Effective!$A$3:$A$125,0),MATCH($D270,Effective!$E$2:$R$2,0))=0,"",INDEX(Effective!$E$3:$R$125,MATCH($B270,Effective!$A$3:$A$125,0),MATCH($D270,Effective!$E$2:$R$2,0))),"")</f>
        <v/>
      </c>
      <c r="H270" s="31" t="n"/>
      <c r="I270" s="17" t="inlineStr">
        <is>
          <t>override</t>
        </is>
      </c>
      <c r="J270" s="32" t="n">
        <v>1</v>
      </c>
      <c r="K270" s="33">
        <f>IF(AND(IF($I273&lt;&gt;"",$I273,$I270)="override",$J270&lt;&gt;""),$J270,SUMIFS(Assumptions!$K$4:$K$8,Assumptions!$J$4:$J$8,$C270))*Assumptions!$S$10*(1-MIN(1,MAX(N($H270),N($H273))))</f>
        <v/>
      </c>
      <c r="L270" s="32" t="n"/>
      <c r="M270" s="34">
        <f>IF(AND(IF($I273&lt;&gt;"",$I273,$I270)="override",$L270&lt;&gt;""),$L270,SUMIFS(Assumptions!$P$4:$P$103,Assumptions!$M$4:$M$103,$C270,Assumptions!$N$4:$N$103,$E270,Assumptions!$O$4:$O$103,"LVN"))</f>
        <v/>
      </c>
      <c r="N270" s="32" t="n"/>
      <c r="O270" s="34">
        <f>IF(AND(IF($I273&lt;&gt;"",$I273,$I270)="override",$N270&lt;&gt;""),$N270,SUMIFS(Assumptions!$P$4:$P$103,Assumptions!$M$4:$M$103,$C270,Assumptions!$N$4:$N$103,$E270,Assumptions!$O$4:$O$103,"HVN"))</f>
        <v/>
      </c>
      <c r="P270" s="34">
        <f>(M270+O270)*Assumptions!$S$11</f>
        <v/>
      </c>
      <c r="Q270" s="35">
        <f>$F270*$K270*$P270</f>
        <v/>
      </c>
    </row>
    <row r="271">
      <c r="A271" s="11" t="inlineStr">
        <is>
          <t>UNIT</t>
        </is>
      </c>
      <c r="B271" s="28" t="inlineStr">
        <is>
          <t>MARATHON_MANDAN</t>
        </is>
      </c>
      <c r="C271" s="28" t="n">
        <v>2</v>
      </c>
      <c r="D271" s="28" t="inlineStr">
        <is>
          <t>ALKY</t>
        </is>
      </c>
      <c r="E271" s="28" t="inlineStr">
        <is>
          <t>ALKY</t>
        </is>
      </c>
      <c r="F271" s="29" t="n">
        <v>4.8</v>
      </c>
      <c r="G271" s="30">
        <f>IFERROR(IF(INDEX(Effective!$E$3:$R$125,MATCH($B271,Effective!$A$3:$A$125,0),MATCH($D271,Effective!$E$2:$R$2,0))=0,"",INDEX(Effective!$E$3:$R$125,MATCH($B271,Effective!$A$3:$A$125,0),MATCH($D271,Effective!$E$2:$R$2,0))),"")</f>
        <v/>
      </c>
      <c r="H271" s="31" t="n"/>
      <c r="I271" s="17" t="inlineStr">
        <is>
          <t>override</t>
        </is>
      </c>
      <c r="J271" s="32" t="n">
        <v>1.021</v>
      </c>
      <c r="K271" s="33">
        <f>IF(AND(IF($I273&lt;&gt;"",$I273,$I271)="override",$J271&lt;&gt;""),$J271,SUMIFS(Assumptions!$K$4:$K$8,Assumptions!$J$4:$J$8,$C271))*Assumptions!$S$10*(1-MIN(1,MAX(N($H271),N($H273))))</f>
        <v/>
      </c>
      <c r="L271" s="32" t="n"/>
      <c r="M271" s="34">
        <f>IF(AND(IF($I273&lt;&gt;"",$I273,$I271)="override",$L271&lt;&gt;""),$L271,SUMIFS(Assumptions!$P$4:$P$103,Assumptions!$M$4:$M$103,$C271,Assumptions!$N$4:$N$103,$E271,Assumptions!$O$4:$O$103,"LVN"))</f>
        <v/>
      </c>
      <c r="N271" s="32" t="n"/>
      <c r="O271" s="34">
        <f>IF(AND(IF($I273&lt;&gt;"",$I273,$I271)="override",$N271&lt;&gt;""),$N271,SUMIFS(Assumptions!$P$4:$P$103,Assumptions!$M$4:$M$103,$C271,Assumptions!$N$4:$N$103,$E271,Assumptions!$O$4:$O$103,"HVN"))</f>
        <v/>
      </c>
      <c r="P271" s="34">
        <f>(M271+O271)*Assumptions!$S$11</f>
        <v/>
      </c>
      <c r="Q271" s="35">
        <f>$F271*$K271*$P271</f>
        <v/>
      </c>
    </row>
    <row r="272">
      <c r="A272" s="11" t="inlineStr">
        <is>
          <t>UNIT</t>
        </is>
      </c>
      <c r="B272" s="28" t="inlineStr">
        <is>
          <t>MARATHON_MANDAN</t>
        </is>
      </c>
      <c r="C272" s="28" t="n">
        <v>2</v>
      </c>
      <c r="D272" s="28" t="inlineStr">
        <is>
          <t>NHT</t>
        </is>
      </c>
      <c r="E272" s="28" t="inlineStr">
        <is>
          <t>NHT</t>
        </is>
      </c>
      <c r="F272" s="29" t="n">
        <v>29.6</v>
      </c>
      <c r="G272" s="30">
        <f>IFERROR(IF(INDEX(Effective!$E$3:$R$125,MATCH($B272,Effective!$A$3:$A$125,0),MATCH($D272,Effective!$E$2:$R$2,0))=0,"",INDEX(Effective!$E$3:$R$125,MATCH($B272,Effective!$A$3:$A$125,0),MATCH($D272,Effective!$E$2:$R$2,0))),"")</f>
        <v/>
      </c>
      <c r="H272" s="31" t="n"/>
      <c r="I272" s="17" t="inlineStr">
        <is>
          <t>override</t>
        </is>
      </c>
      <c r="J272" s="32" t="n">
        <v>1.1</v>
      </c>
      <c r="K272" s="33">
        <f>IF(AND(IF($I273&lt;&gt;"",$I273,$I272)="override",$J272&lt;&gt;""),$J272,SUMIFS(Assumptions!$K$4:$K$8,Assumptions!$J$4:$J$8,$C272))*Assumptions!$S$10*(1-MIN(1,MAX(N($H272),N($H273))))</f>
        <v/>
      </c>
      <c r="L272" s="32" t="n"/>
      <c r="M272" s="34">
        <f>IF(AND(IF($I273&lt;&gt;"",$I273,$I272)="override",$L272&lt;&gt;""),$L272,SUMIFS(Assumptions!$P$4:$P$103,Assumptions!$M$4:$M$103,$C272,Assumptions!$N$4:$N$103,$E272,Assumptions!$O$4:$O$103,"LVN"))</f>
        <v/>
      </c>
      <c r="N272" s="32" t="n"/>
      <c r="O272" s="34">
        <f>IF(AND(IF($I273&lt;&gt;"",$I273,$I272)="override",$N272&lt;&gt;""),$N272,SUMIFS(Assumptions!$P$4:$P$103,Assumptions!$M$4:$M$103,$C272,Assumptions!$N$4:$N$103,$E272,Assumptions!$O$4:$O$103,"HVN"))</f>
        <v/>
      </c>
      <c r="P272" s="34">
        <f>(M272+O272)*Assumptions!$S$11</f>
        <v/>
      </c>
      <c r="Q272" s="35">
        <f>$F272*$K272*$P272</f>
        <v/>
      </c>
    </row>
    <row r="273">
      <c r="A273" s="24" t="inlineStr">
        <is>
          <t>TOTAL</t>
        </is>
      </c>
      <c r="B273" s="36" t="inlineStr">
        <is>
          <t>MARATHON_MANDAN</t>
        </is>
      </c>
      <c r="C273" s="36" t="n">
        <v>2</v>
      </c>
      <c r="D273" s="36" t="inlineStr">
        <is>
          <t>NET NAPHTHA</t>
        </is>
      </c>
      <c r="H273" s="31" t="n"/>
      <c r="I273" s="17" t="n"/>
      <c r="Q273" s="37">
        <f>SUM(Q268:Q272)</f>
        <v/>
      </c>
    </row>
    <row r="275" ht="20" customHeight="1">
      <c r="A275" s="8">
        <f>"  CVR Energy Wynnewood  [CVR_WYNNEWOOD]   —   Icahn Enterprises (80%) / Other Investors (20%)   —   PADD 2   —   crude "&amp;TEXT(SUMIFS(Data!$G$3:$G$125,Data!$A$3:$A$125,"CVR_WYNNEWOOD"),"#,##0")&amp;" kbd"</f>
        <v/>
      </c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</row>
    <row r="276">
      <c r="A276" s="11" t="inlineStr">
        <is>
          <t>UNIT</t>
        </is>
      </c>
      <c r="B276" s="28" t="inlineStr">
        <is>
          <t>CVR_WYNNEWOOD</t>
        </is>
      </c>
      <c r="C276" s="28" t="n">
        <v>2</v>
      </c>
      <c r="D276" s="28" t="inlineStr">
        <is>
          <t>CDU</t>
        </is>
      </c>
      <c r="E276" s="28" t="inlineStr">
        <is>
          <t>CDU</t>
        </is>
      </c>
      <c r="F276" s="29" t="n">
        <v>78</v>
      </c>
      <c r="G276" s="30">
        <f>IFERROR(IF(INDEX(Effective!$E$3:$R$125,MATCH($B276,Effective!$A$3:$A$125,0),MATCH($D276,Effective!$E$2:$R$2,0))=0,"",INDEX(Effective!$E$3:$R$125,MATCH($B276,Effective!$A$3:$A$125,0),MATCH($D276,Effective!$E$2:$R$2,0))),"")</f>
        <v/>
      </c>
      <c r="H276" s="31" t="n"/>
      <c r="I276" s="17" t="inlineStr">
        <is>
          <t>override</t>
        </is>
      </c>
      <c r="J276" s="32" t="n">
        <v>0.722</v>
      </c>
      <c r="K276" s="33">
        <f>IF(AND(IF($I283&lt;&gt;"",$I283,$I276)="override",$J276&lt;&gt;""),$J276,SUMIFS(Assumptions!$K$4:$K$8,Assumptions!$J$4:$J$8,$C276))*Assumptions!$S$10*(1-MIN(1,MAX(N($H276),N($H283))))</f>
        <v/>
      </c>
      <c r="L276" s="32" t="n"/>
      <c r="M276" s="34">
        <f>IF(AND(IF($I283&lt;&gt;"",$I283,$I276)="override",$L276&lt;&gt;""),$L276,SUMIFS(Assumptions!$P$4:$P$103,Assumptions!$M$4:$M$103,$C276,Assumptions!$N$4:$N$103,$E276,Assumptions!$O$4:$O$103,"LVN"))</f>
        <v/>
      </c>
      <c r="N276" s="32" t="n"/>
      <c r="O276" s="34">
        <f>IF(AND(IF($I283&lt;&gt;"",$I283,$I276)="override",$N276&lt;&gt;""),$N276,SUMIFS(Assumptions!$P$4:$P$103,Assumptions!$M$4:$M$103,$C276,Assumptions!$N$4:$N$103,$E276,Assumptions!$O$4:$O$103,"HVN"))</f>
        <v/>
      </c>
      <c r="P276" s="34">
        <f>(M276+O276)*Assumptions!$S$11</f>
        <v/>
      </c>
      <c r="Q276" s="35">
        <f>$F276*$K276*$P276</f>
        <v/>
      </c>
    </row>
    <row r="277">
      <c r="A277" s="11" t="inlineStr">
        <is>
          <t>UNIT</t>
        </is>
      </c>
      <c r="B277" s="28" t="inlineStr">
        <is>
          <t>CVR_WYNNEWOOD</t>
        </is>
      </c>
      <c r="C277" s="28" t="n">
        <v>2</v>
      </c>
      <c r="D277" s="28" t="inlineStr">
        <is>
          <t>VDU</t>
        </is>
      </c>
      <c r="E277" s="28" t="inlineStr">
        <is>
          <t>VDU</t>
        </is>
      </c>
      <c r="F277" s="29" t="n">
        <v>40.3</v>
      </c>
      <c r="G277" s="30">
        <f>IFERROR(IF(INDEX(Effective!$E$3:$R$125,MATCH($B277,Effective!$A$3:$A$125,0),MATCH($D277,Effective!$E$2:$R$2,0))=0,"",INDEX(Effective!$E$3:$R$125,MATCH($B277,Effective!$A$3:$A$125,0),MATCH($D277,Effective!$E$2:$R$2,0))),"")</f>
        <v/>
      </c>
      <c r="H277" s="31" t="n"/>
      <c r="I277" s="17" t="inlineStr">
        <is>
          <t>override</t>
        </is>
      </c>
      <c r="J277" s="32" t="n">
        <v>0.346</v>
      </c>
      <c r="K277" s="33">
        <f>IF(AND(IF($I283&lt;&gt;"",$I283,$I277)="override",$J277&lt;&gt;""),$J277,SUMIFS(Assumptions!$K$4:$K$8,Assumptions!$J$4:$J$8,$C277))*Assumptions!$S$10*(1-MIN(1,MAX(N($H277),N($H283))))</f>
        <v/>
      </c>
      <c r="L277" s="32" t="n"/>
      <c r="M277" s="34">
        <f>IF(AND(IF($I283&lt;&gt;"",$I283,$I277)="override",$L277&lt;&gt;""),$L277,SUMIFS(Assumptions!$P$4:$P$103,Assumptions!$M$4:$M$103,$C277,Assumptions!$N$4:$N$103,$E277,Assumptions!$O$4:$O$103,"LVN"))</f>
        <v/>
      </c>
      <c r="N277" s="32" t="n"/>
      <c r="O277" s="34">
        <f>IF(AND(IF($I283&lt;&gt;"",$I283,$I277)="override",$N277&lt;&gt;""),$N277,SUMIFS(Assumptions!$P$4:$P$103,Assumptions!$M$4:$M$103,$C277,Assumptions!$N$4:$N$103,$E277,Assumptions!$O$4:$O$103,"HVN"))</f>
        <v/>
      </c>
      <c r="P277" s="34">
        <f>(M277+O277)*Assumptions!$S$11</f>
        <v/>
      </c>
      <c r="Q277" s="35">
        <f>$F277*$K277*$P277</f>
        <v/>
      </c>
    </row>
    <row r="278">
      <c r="A278" s="11" t="inlineStr">
        <is>
          <t>UNIT</t>
        </is>
      </c>
      <c r="B278" s="28" t="inlineStr">
        <is>
          <t>CVR_WYNNEWOOD</t>
        </is>
      </c>
      <c r="C278" s="28" t="n">
        <v>2</v>
      </c>
      <c r="D278" s="28" t="inlineStr">
        <is>
          <t>FCC</t>
        </is>
      </c>
      <c r="E278" s="28" t="inlineStr">
        <is>
          <t>FCC</t>
        </is>
      </c>
      <c r="F278" s="29" t="n">
        <v>22</v>
      </c>
      <c r="G278" s="30">
        <f>IFERROR(IF(INDEX(Effective!$E$3:$R$125,MATCH($B278,Effective!$A$3:$A$125,0),MATCH($D278,Effective!$E$2:$R$2,0))=0,"",INDEX(Effective!$E$3:$R$125,MATCH($B278,Effective!$A$3:$A$125,0),MATCH($D278,Effective!$E$2:$R$2,0))),"")</f>
        <v/>
      </c>
      <c r="H278" s="31" t="n"/>
      <c r="I278" s="17" t="inlineStr">
        <is>
          <t>override</t>
        </is>
      </c>
      <c r="J278" s="32" t="n">
        <v>0.625</v>
      </c>
      <c r="K278" s="33">
        <f>IF(AND(IF($I283&lt;&gt;"",$I283,$I278)="override",$J278&lt;&gt;""),$J278,SUMIFS(Assumptions!$K$4:$K$8,Assumptions!$J$4:$J$8,$C278))*Assumptions!$S$10*(1-MIN(1,MAX(N($H278),N($H283))))</f>
        <v/>
      </c>
      <c r="L278" s="32" t="n"/>
      <c r="M278" s="34">
        <f>IF(AND(IF($I283&lt;&gt;"",$I283,$I278)="override",$L278&lt;&gt;""),$L278,SUMIFS(Assumptions!$P$4:$P$103,Assumptions!$M$4:$M$103,$C278,Assumptions!$N$4:$N$103,$E278,Assumptions!$O$4:$O$103,"LVN"))</f>
        <v/>
      </c>
      <c r="N278" s="32" t="n"/>
      <c r="O278" s="34">
        <f>IF(AND(IF($I283&lt;&gt;"",$I283,$I278)="override",$N278&lt;&gt;""),$N278,SUMIFS(Assumptions!$P$4:$P$103,Assumptions!$M$4:$M$103,$C278,Assumptions!$N$4:$N$103,$E278,Assumptions!$O$4:$O$103,"HVN"))</f>
        <v/>
      </c>
      <c r="P278" s="34">
        <f>(M278+O278)*Assumptions!$S$11</f>
        <v/>
      </c>
      <c r="Q278" s="35">
        <f>$F278*$K278*$P278</f>
        <v/>
      </c>
    </row>
    <row r="279">
      <c r="A279" s="11" t="inlineStr">
        <is>
          <t>UNIT</t>
        </is>
      </c>
      <c r="B279" s="28" t="inlineStr">
        <is>
          <t>CVR_WYNNEWOOD</t>
        </is>
      </c>
      <c r="C279" s="28" t="n">
        <v>2</v>
      </c>
      <c r="D279" s="28" t="inlineStr">
        <is>
          <t>CCR</t>
        </is>
      </c>
      <c r="E279" s="28" t="inlineStr">
        <is>
          <t>REFORMER</t>
        </is>
      </c>
      <c r="F279" s="29" t="n">
        <v>18.7</v>
      </c>
      <c r="G279" s="30">
        <f>IFERROR(IF(INDEX(Effective!$E$3:$R$125,MATCH($B279,Effective!$A$3:$A$125,0),MATCH($D279,Effective!$E$2:$R$2,0))=0,"",INDEX(Effective!$E$3:$R$125,MATCH($B279,Effective!$A$3:$A$125,0),MATCH($D279,Effective!$E$2:$R$2,0))),"")</f>
        <v/>
      </c>
      <c r="H279" s="31" t="n"/>
      <c r="I279" s="17" t="inlineStr">
        <is>
          <t>override</t>
        </is>
      </c>
      <c r="J279" s="32" t="n">
        <v>0.802</v>
      </c>
      <c r="K279" s="33">
        <f>IF(AND(IF($I283&lt;&gt;"",$I283,$I279)="override",$J279&lt;&gt;""),$J279,SUMIFS(Assumptions!$K$4:$K$8,Assumptions!$J$4:$J$8,$C279))*Assumptions!$S$10*(1-MIN(1,MAX(N($H279),N($H283))))</f>
        <v/>
      </c>
      <c r="L279" s="32" t="n"/>
      <c r="M279" s="34">
        <f>IF(AND(IF($I283&lt;&gt;"",$I283,$I279)="override",$L279&lt;&gt;""),$L279,SUMIFS(Assumptions!$P$4:$P$103,Assumptions!$M$4:$M$103,$C279,Assumptions!$N$4:$N$103,$E279,Assumptions!$O$4:$O$103,"LVN"))</f>
        <v/>
      </c>
      <c r="N279" s="32" t="n"/>
      <c r="O279" s="34">
        <f>IF(AND(IF($I283&lt;&gt;"",$I283,$I279)="override",$N279&lt;&gt;""),$N279,SUMIFS(Assumptions!$P$4:$P$103,Assumptions!$M$4:$M$103,$C279,Assumptions!$N$4:$N$103,$E279,Assumptions!$O$4:$O$103,"HVN"))</f>
        <v/>
      </c>
      <c r="P279" s="34">
        <f>(M279+O279)*Assumptions!$S$11</f>
        <v/>
      </c>
      <c r="Q279" s="35">
        <f>$F279*$K279*$P279</f>
        <v/>
      </c>
    </row>
    <row r="280">
      <c r="A280" s="11" t="inlineStr">
        <is>
          <t>UNIT</t>
        </is>
      </c>
      <c r="B280" s="28" t="inlineStr">
        <is>
          <t>CVR_WYNNEWOOD</t>
        </is>
      </c>
      <c r="C280" s="28" t="n">
        <v>2</v>
      </c>
      <c r="D280" s="28" t="inlineStr">
        <is>
          <t>ISOM</t>
        </is>
      </c>
      <c r="E280" s="28" t="inlineStr">
        <is>
          <t>ISOM</t>
        </is>
      </c>
      <c r="F280" s="29" t="n">
        <v>5</v>
      </c>
      <c r="G280" s="30">
        <f>IFERROR(IF(INDEX(Effective!$E$3:$R$125,MATCH($B280,Effective!$A$3:$A$125,0),MATCH($D280,Effective!$E$2:$R$2,0))=0,"",INDEX(Effective!$E$3:$R$125,MATCH($B280,Effective!$A$3:$A$125,0),MATCH($D280,Effective!$E$2:$R$2,0))),"")</f>
        <v/>
      </c>
      <c r="H280" s="31" t="n"/>
      <c r="I280" s="17" t="inlineStr">
        <is>
          <t>override</t>
        </is>
      </c>
      <c r="J280" s="32" t="n">
        <v>0.827</v>
      </c>
      <c r="K280" s="33">
        <f>IF(AND(IF($I283&lt;&gt;"",$I283,$I280)="override",$J280&lt;&gt;""),$J280,SUMIFS(Assumptions!$K$4:$K$8,Assumptions!$J$4:$J$8,$C280))*Assumptions!$S$10*(1-MIN(1,MAX(N($H280),N($H283))))</f>
        <v/>
      </c>
      <c r="L280" s="32" t="n"/>
      <c r="M280" s="34">
        <f>IF(AND(IF($I283&lt;&gt;"",$I283,$I280)="override",$L280&lt;&gt;""),$L280,SUMIFS(Assumptions!$P$4:$P$103,Assumptions!$M$4:$M$103,$C280,Assumptions!$N$4:$N$103,$E280,Assumptions!$O$4:$O$103,"LVN"))</f>
        <v/>
      </c>
      <c r="N280" s="32" t="n"/>
      <c r="O280" s="34">
        <f>IF(AND(IF($I283&lt;&gt;"",$I283,$I280)="override",$N280&lt;&gt;""),$N280,SUMIFS(Assumptions!$P$4:$P$103,Assumptions!$M$4:$M$103,$C280,Assumptions!$N$4:$N$103,$E280,Assumptions!$O$4:$O$103,"HVN"))</f>
        <v/>
      </c>
      <c r="P280" s="34">
        <f>(M280+O280)*Assumptions!$S$11</f>
        <v/>
      </c>
      <c r="Q280" s="35">
        <f>$F280*$K280*$P280</f>
        <v/>
      </c>
    </row>
    <row r="281">
      <c r="A281" s="11" t="inlineStr">
        <is>
          <t>UNIT</t>
        </is>
      </c>
      <c r="B281" s="28" t="inlineStr">
        <is>
          <t>CVR_WYNNEWOOD</t>
        </is>
      </c>
      <c r="C281" s="28" t="n">
        <v>2</v>
      </c>
      <c r="D281" s="28" t="inlineStr">
        <is>
          <t>ALKY</t>
        </is>
      </c>
      <c r="E281" s="28" t="inlineStr">
        <is>
          <t>ALKY</t>
        </is>
      </c>
      <c r="F281" s="29" t="n">
        <v>5.5</v>
      </c>
      <c r="G281" s="30">
        <f>IFERROR(IF(INDEX(Effective!$E$3:$R$125,MATCH($B281,Effective!$A$3:$A$125,0),MATCH($D281,Effective!$E$2:$R$2,0))=0,"",INDEX(Effective!$E$3:$R$125,MATCH($B281,Effective!$A$3:$A$125,0),MATCH($D281,Effective!$E$2:$R$2,0))),"")</f>
        <v/>
      </c>
      <c r="H281" s="31" t="n"/>
      <c r="I281" s="17" t="inlineStr">
        <is>
          <t>override</t>
        </is>
      </c>
      <c r="J281" s="32" t="n">
        <v>0.68</v>
      </c>
      <c r="K281" s="33">
        <f>IF(AND(IF($I283&lt;&gt;"",$I283,$I281)="override",$J281&lt;&gt;""),$J281,SUMIFS(Assumptions!$K$4:$K$8,Assumptions!$J$4:$J$8,$C281))*Assumptions!$S$10*(1-MIN(1,MAX(N($H281),N($H283))))</f>
        <v/>
      </c>
      <c r="L281" s="32" t="n"/>
      <c r="M281" s="34">
        <f>IF(AND(IF($I283&lt;&gt;"",$I283,$I281)="override",$L281&lt;&gt;""),$L281,SUMIFS(Assumptions!$P$4:$P$103,Assumptions!$M$4:$M$103,$C281,Assumptions!$N$4:$N$103,$E281,Assumptions!$O$4:$O$103,"LVN"))</f>
        <v/>
      </c>
      <c r="N281" s="32" t="n"/>
      <c r="O281" s="34">
        <f>IF(AND(IF($I283&lt;&gt;"",$I283,$I281)="override",$N281&lt;&gt;""),$N281,SUMIFS(Assumptions!$P$4:$P$103,Assumptions!$M$4:$M$103,$C281,Assumptions!$N$4:$N$103,$E281,Assumptions!$O$4:$O$103,"HVN"))</f>
        <v/>
      </c>
      <c r="P281" s="34">
        <f>(M281+O281)*Assumptions!$S$11</f>
        <v/>
      </c>
      <c r="Q281" s="35">
        <f>$F281*$K281*$P281</f>
        <v/>
      </c>
    </row>
    <row r="282">
      <c r="A282" s="11" t="inlineStr">
        <is>
          <t>UNIT</t>
        </is>
      </c>
      <c r="B282" s="28" t="inlineStr">
        <is>
          <t>CVR_WYNNEWOOD</t>
        </is>
      </c>
      <c r="C282" s="28" t="n">
        <v>2</v>
      </c>
      <c r="D282" s="28" t="inlineStr">
        <is>
          <t>NHT</t>
        </is>
      </c>
      <c r="E282" s="28" t="inlineStr">
        <is>
          <t>NHT</t>
        </is>
      </c>
      <c r="F282" s="29" t="n">
        <v>26.9</v>
      </c>
      <c r="G282" s="30">
        <f>IFERROR(IF(INDEX(Effective!$E$3:$R$125,MATCH($B282,Effective!$A$3:$A$125,0),MATCH($D282,Effective!$E$2:$R$2,0))=0,"",INDEX(Effective!$E$3:$R$125,MATCH($B282,Effective!$A$3:$A$125,0),MATCH($D282,Effective!$E$2:$R$2,0))),"")</f>
        <v/>
      </c>
      <c r="H282" s="31" t="n"/>
      <c r="I282" s="17" t="inlineStr">
        <is>
          <t>override</t>
        </is>
      </c>
      <c r="J282" s="32" t="n">
        <v>0.731</v>
      </c>
      <c r="K282" s="33">
        <f>IF(AND(IF($I283&lt;&gt;"",$I283,$I282)="override",$J282&lt;&gt;""),$J282,SUMIFS(Assumptions!$K$4:$K$8,Assumptions!$J$4:$J$8,$C282))*Assumptions!$S$10*(1-MIN(1,MAX(N($H282),N($H283))))</f>
        <v/>
      </c>
      <c r="L282" s="32" t="n"/>
      <c r="M282" s="34">
        <f>IF(AND(IF($I283&lt;&gt;"",$I283,$I282)="override",$L282&lt;&gt;""),$L282,SUMIFS(Assumptions!$P$4:$P$103,Assumptions!$M$4:$M$103,$C282,Assumptions!$N$4:$N$103,$E282,Assumptions!$O$4:$O$103,"LVN"))</f>
        <v/>
      </c>
      <c r="N282" s="32" t="n"/>
      <c r="O282" s="34">
        <f>IF(AND(IF($I283&lt;&gt;"",$I283,$I282)="override",$N282&lt;&gt;""),$N282,SUMIFS(Assumptions!$P$4:$P$103,Assumptions!$M$4:$M$103,$C282,Assumptions!$N$4:$N$103,$E282,Assumptions!$O$4:$O$103,"HVN"))</f>
        <v/>
      </c>
      <c r="P282" s="34">
        <f>(M282+O282)*Assumptions!$S$11</f>
        <v/>
      </c>
      <c r="Q282" s="35">
        <f>$F282*$K282*$P282</f>
        <v/>
      </c>
    </row>
    <row r="283">
      <c r="A283" s="24" t="inlineStr">
        <is>
          <t>TOTAL</t>
        </is>
      </c>
      <c r="B283" s="36" t="inlineStr">
        <is>
          <t>CVR_WYNNEWOOD</t>
        </is>
      </c>
      <c r="C283" s="36" t="n">
        <v>2</v>
      </c>
      <c r="D283" s="36" t="inlineStr">
        <is>
          <t>NET NAPHTHA</t>
        </is>
      </c>
      <c r="H283" s="31" t="n"/>
      <c r="I283" s="17" t="n"/>
      <c r="Q283" s="37">
        <f>SUM(Q276:Q282)</f>
        <v/>
      </c>
    </row>
    <row r="285" ht="20" customHeight="1">
      <c r="A285" s="8">
        <f>"  Cenovus Superior  [CENOVUS_SUPERIOR]   —   Cenovus   —   PADD 2   —   crude "&amp;TEXT(SUMIFS(Data!$G$3:$G$125,Data!$A$3:$A$125,"CENOVUS_SUPERIOR"),"#,##0")&amp;" kbd"</f>
        <v/>
      </c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</row>
    <row r="286">
      <c r="A286" s="11" t="inlineStr">
        <is>
          <t>UNIT</t>
        </is>
      </c>
      <c r="B286" s="28" t="inlineStr">
        <is>
          <t>CENOVUS_SUPERIOR</t>
        </is>
      </c>
      <c r="C286" s="28" t="n">
        <v>2</v>
      </c>
      <c r="D286" s="28" t="inlineStr">
        <is>
          <t>CDU</t>
        </is>
      </c>
      <c r="E286" s="28" t="inlineStr">
        <is>
          <t>CDU</t>
        </is>
      </c>
      <c r="F286" s="29" t="n">
        <v>50</v>
      </c>
      <c r="G286" s="30">
        <f>IFERROR(IF(INDEX(Effective!$E$3:$R$125,MATCH($B286,Effective!$A$3:$A$125,0),MATCH($D286,Effective!$E$2:$R$2,0))=0,"",INDEX(Effective!$E$3:$R$125,MATCH($B286,Effective!$A$3:$A$125,0),MATCH($D286,Effective!$E$2:$R$2,0))),"")</f>
        <v/>
      </c>
      <c r="H286" s="31" t="n"/>
      <c r="I286" s="17" t="inlineStr">
        <is>
          <t>override</t>
        </is>
      </c>
      <c r="J286" s="32" t="n"/>
      <c r="K286" s="33">
        <f>IF(AND(IF($I292&lt;&gt;"",$I292,$I286)="override",$J286&lt;&gt;""),$J286,SUMIFS(Assumptions!$K$4:$K$8,Assumptions!$J$4:$J$8,$C286))*Assumptions!$S$10*(1-MIN(1,MAX(N($H286),N($H292))))</f>
        <v/>
      </c>
      <c r="L286" s="32" t="n"/>
      <c r="M286" s="34">
        <f>IF(AND(IF($I292&lt;&gt;"",$I292,$I286)="override",$L286&lt;&gt;""),$L286,SUMIFS(Assumptions!$P$4:$P$103,Assumptions!$M$4:$M$103,$C286,Assumptions!$N$4:$N$103,$E286,Assumptions!$O$4:$O$103,"LVN"))</f>
        <v/>
      </c>
      <c r="N286" s="32" t="n"/>
      <c r="O286" s="34">
        <f>IF(AND(IF($I292&lt;&gt;"",$I292,$I286)="override",$N286&lt;&gt;""),$N286,SUMIFS(Assumptions!$P$4:$P$103,Assumptions!$M$4:$M$103,$C286,Assumptions!$N$4:$N$103,$E286,Assumptions!$O$4:$O$103,"HVN"))</f>
        <v/>
      </c>
      <c r="P286" s="34">
        <f>(M286+O286)*Assumptions!$S$11</f>
        <v/>
      </c>
      <c r="Q286" s="35">
        <f>$F286*$K286*$P286</f>
        <v/>
      </c>
    </row>
    <row r="287">
      <c r="A287" s="11" t="inlineStr">
        <is>
          <t>UNIT</t>
        </is>
      </c>
      <c r="B287" s="28" t="inlineStr">
        <is>
          <t>CENOVUS_SUPERIOR</t>
        </is>
      </c>
      <c r="C287" s="28" t="n">
        <v>2</v>
      </c>
      <c r="D287" s="28" t="inlineStr">
        <is>
          <t>VDU</t>
        </is>
      </c>
      <c r="E287" s="28" t="inlineStr">
        <is>
          <t>VDU</t>
        </is>
      </c>
      <c r="F287" s="29" t="n">
        <v>23.5</v>
      </c>
      <c r="G287" s="30">
        <f>IFERROR(IF(INDEX(Effective!$E$3:$R$125,MATCH($B287,Effective!$A$3:$A$125,0),MATCH($D287,Effective!$E$2:$R$2,0))=0,"",INDEX(Effective!$E$3:$R$125,MATCH($B287,Effective!$A$3:$A$125,0),MATCH($D287,Effective!$E$2:$R$2,0))),"")</f>
        <v/>
      </c>
      <c r="H287" s="31" t="n"/>
      <c r="I287" s="17" t="inlineStr">
        <is>
          <t>override</t>
        </is>
      </c>
      <c r="J287" s="32" t="n"/>
      <c r="K287" s="33">
        <f>IF(AND(IF($I292&lt;&gt;"",$I292,$I287)="override",$J287&lt;&gt;""),$J287,SUMIFS(Assumptions!$K$4:$K$8,Assumptions!$J$4:$J$8,$C287))*Assumptions!$S$10*(1-MIN(1,MAX(N($H287),N($H292))))</f>
        <v/>
      </c>
      <c r="L287" s="32" t="n"/>
      <c r="M287" s="34">
        <f>IF(AND(IF($I292&lt;&gt;"",$I292,$I287)="override",$L287&lt;&gt;""),$L287,SUMIFS(Assumptions!$P$4:$P$103,Assumptions!$M$4:$M$103,$C287,Assumptions!$N$4:$N$103,$E287,Assumptions!$O$4:$O$103,"LVN"))</f>
        <v/>
      </c>
      <c r="N287" s="32" t="n"/>
      <c r="O287" s="34">
        <f>IF(AND(IF($I292&lt;&gt;"",$I292,$I287)="override",$N287&lt;&gt;""),$N287,SUMIFS(Assumptions!$P$4:$P$103,Assumptions!$M$4:$M$103,$C287,Assumptions!$N$4:$N$103,$E287,Assumptions!$O$4:$O$103,"HVN"))</f>
        <v/>
      </c>
      <c r="P287" s="34">
        <f>(M287+O287)*Assumptions!$S$11</f>
        <v/>
      </c>
      <c r="Q287" s="35">
        <f>$F287*$K287*$P287</f>
        <v/>
      </c>
    </row>
    <row r="288">
      <c r="A288" s="11" t="inlineStr">
        <is>
          <t>UNIT</t>
        </is>
      </c>
      <c r="B288" s="28" t="inlineStr">
        <is>
          <t>CENOVUS_SUPERIOR</t>
        </is>
      </c>
      <c r="C288" s="28" t="n">
        <v>2</v>
      </c>
      <c r="D288" s="28" t="inlineStr">
        <is>
          <t>FCC</t>
        </is>
      </c>
      <c r="E288" s="28" t="inlineStr">
        <is>
          <t>FCC</t>
        </is>
      </c>
      <c r="F288" s="29" t="n">
        <v>11.32</v>
      </c>
      <c r="G288" s="30">
        <f>IFERROR(IF(INDEX(Effective!$E$3:$R$125,MATCH($B288,Effective!$A$3:$A$125,0),MATCH($D288,Effective!$E$2:$R$2,0))=0,"",INDEX(Effective!$E$3:$R$125,MATCH($B288,Effective!$A$3:$A$125,0),MATCH($D288,Effective!$E$2:$R$2,0))),"")</f>
        <v/>
      </c>
      <c r="H288" s="31" t="n"/>
      <c r="I288" s="17" t="inlineStr">
        <is>
          <t>override</t>
        </is>
      </c>
      <c r="J288" s="32" t="n"/>
      <c r="K288" s="33">
        <f>IF(AND(IF($I292&lt;&gt;"",$I292,$I288)="override",$J288&lt;&gt;""),$J288,SUMIFS(Assumptions!$K$4:$K$8,Assumptions!$J$4:$J$8,$C288))*Assumptions!$S$10*(1-MIN(1,MAX(N($H288),N($H292))))</f>
        <v/>
      </c>
      <c r="L288" s="32" t="n"/>
      <c r="M288" s="34">
        <f>IF(AND(IF($I292&lt;&gt;"",$I292,$I288)="override",$L288&lt;&gt;""),$L288,SUMIFS(Assumptions!$P$4:$P$103,Assumptions!$M$4:$M$103,$C288,Assumptions!$N$4:$N$103,$E288,Assumptions!$O$4:$O$103,"LVN"))</f>
        <v/>
      </c>
      <c r="N288" s="32" t="n"/>
      <c r="O288" s="34">
        <f>IF(AND(IF($I292&lt;&gt;"",$I292,$I288)="override",$N288&lt;&gt;""),$N288,SUMIFS(Assumptions!$P$4:$P$103,Assumptions!$M$4:$M$103,$C288,Assumptions!$N$4:$N$103,$E288,Assumptions!$O$4:$O$103,"HVN"))</f>
        <v/>
      </c>
      <c r="P288" s="34">
        <f>(M288+O288)*Assumptions!$S$11</f>
        <v/>
      </c>
      <c r="Q288" s="35">
        <f>$F288*$K288*$P288</f>
        <v/>
      </c>
    </row>
    <row r="289">
      <c r="A289" s="11" t="inlineStr">
        <is>
          <t>UNIT</t>
        </is>
      </c>
      <c r="B289" s="28" t="inlineStr">
        <is>
          <t>CENOVUS_SUPERIOR</t>
        </is>
      </c>
      <c r="C289" s="28" t="n">
        <v>2</v>
      </c>
      <c r="D289" s="28" t="inlineStr">
        <is>
          <t>REF</t>
        </is>
      </c>
      <c r="E289" s="28" t="inlineStr">
        <is>
          <t>REFORMER</t>
        </is>
      </c>
      <c r="F289" s="29" t="n">
        <v>9.300000000000001</v>
      </c>
      <c r="G289" s="30">
        <f>IFERROR(IF(INDEX(Effective!$E$3:$R$125,MATCH($B289,Effective!$A$3:$A$125,0),MATCH($D289,Effective!$E$2:$R$2,0))=0,"",INDEX(Effective!$E$3:$R$125,MATCH($B289,Effective!$A$3:$A$125,0),MATCH($D289,Effective!$E$2:$R$2,0))),"")</f>
        <v/>
      </c>
      <c r="H289" s="31" t="n"/>
      <c r="I289" s="17" t="inlineStr">
        <is>
          <t>override</t>
        </is>
      </c>
      <c r="J289" s="32" t="n"/>
      <c r="K289" s="33">
        <f>IF(AND(IF($I292&lt;&gt;"",$I292,$I289)="override",$J289&lt;&gt;""),$J289,SUMIFS(Assumptions!$K$4:$K$8,Assumptions!$J$4:$J$8,$C289))*Assumptions!$S$10*(1-MIN(1,MAX(N($H289),N($H292))))</f>
        <v/>
      </c>
      <c r="L289" s="32" t="n"/>
      <c r="M289" s="34">
        <f>IF(AND(IF($I292&lt;&gt;"",$I292,$I289)="override",$L289&lt;&gt;""),$L289,SUMIFS(Assumptions!$P$4:$P$103,Assumptions!$M$4:$M$103,$C289,Assumptions!$N$4:$N$103,$E289,Assumptions!$O$4:$O$103,"LVN"))</f>
        <v/>
      </c>
      <c r="N289" s="32" t="n"/>
      <c r="O289" s="34">
        <f>IF(AND(IF($I292&lt;&gt;"",$I292,$I289)="override",$N289&lt;&gt;""),$N289,SUMIFS(Assumptions!$P$4:$P$103,Assumptions!$M$4:$M$103,$C289,Assumptions!$N$4:$N$103,$E289,Assumptions!$O$4:$O$103,"HVN"))</f>
        <v/>
      </c>
      <c r="P289" s="34">
        <f>(M289+O289)*Assumptions!$S$11</f>
        <v/>
      </c>
      <c r="Q289" s="35">
        <f>$F289*$K289*$P289</f>
        <v/>
      </c>
    </row>
    <row r="290">
      <c r="A290" s="11" t="inlineStr">
        <is>
          <t>UNIT</t>
        </is>
      </c>
      <c r="B290" s="28" t="inlineStr">
        <is>
          <t>CENOVUS_SUPERIOR</t>
        </is>
      </c>
      <c r="C290" s="28" t="n">
        <v>2</v>
      </c>
      <c r="D290" s="28" t="inlineStr">
        <is>
          <t>ALKY</t>
        </is>
      </c>
      <c r="E290" s="28" t="inlineStr">
        <is>
          <t>ALKY</t>
        </is>
      </c>
      <c r="F290" s="29" t="n">
        <v>1.7</v>
      </c>
      <c r="G290" s="30">
        <f>IFERROR(IF(INDEX(Effective!$E$3:$R$125,MATCH($B290,Effective!$A$3:$A$125,0),MATCH($D290,Effective!$E$2:$R$2,0))=0,"",INDEX(Effective!$E$3:$R$125,MATCH($B290,Effective!$A$3:$A$125,0),MATCH($D290,Effective!$E$2:$R$2,0))),"")</f>
        <v/>
      </c>
      <c r="H290" s="31" t="n"/>
      <c r="I290" s="17" t="inlineStr">
        <is>
          <t>override</t>
        </is>
      </c>
      <c r="J290" s="32" t="n"/>
      <c r="K290" s="33">
        <f>IF(AND(IF($I292&lt;&gt;"",$I292,$I290)="override",$J290&lt;&gt;""),$J290,SUMIFS(Assumptions!$K$4:$K$8,Assumptions!$J$4:$J$8,$C290))*Assumptions!$S$10*(1-MIN(1,MAX(N($H290),N($H292))))</f>
        <v/>
      </c>
      <c r="L290" s="32" t="n"/>
      <c r="M290" s="34">
        <f>IF(AND(IF($I292&lt;&gt;"",$I292,$I290)="override",$L290&lt;&gt;""),$L290,SUMIFS(Assumptions!$P$4:$P$103,Assumptions!$M$4:$M$103,$C290,Assumptions!$N$4:$N$103,$E290,Assumptions!$O$4:$O$103,"LVN"))</f>
        <v/>
      </c>
      <c r="N290" s="32" t="n"/>
      <c r="O290" s="34">
        <f>IF(AND(IF($I292&lt;&gt;"",$I292,$I290)="override",$N290&lt;&gt;""),$N290,SUMIFS(Assumptions!$P$4:$P$103,Assumptions!$M$4:$M$103,$C290,Assumptions!$N$4:$N$103,$E290,Assumptions!$O$4:$O$103,"HVN"))</f>
        <v/>
      </c>
      <c r="P290" s="34">
        <f>(M290+O290)*Assumptions!$S$11</f>
        <v/>
      </c>
      <c r="Q290" s="35">
        <f>$F290*$K290*$P290</f>
        <v/>
      </c>
    </row>
    <row r="291">
      <c r="A291" s="11" t="inlineStr">
        <is>
          <t>UNIT</t>
        </is>
      </c>
      <c r="B291" s="28" t="inlineStr">
        <is>
          <t>CENOVUS_SUPERIOR</t>
        </is>
      </c>
      <c r="C291" s="28" t="n">
        <v>2</v>
      </c>
      <c r="D291" s="28" t="inlineStr">
        <is>
          <t>NHT</t>
        </is>
      </c>
      <c r="E291" s="28" t="inlineStr">
        <is>
          <t>NHT</t>
        </is>
      </c>
      <c r="F291" s="29" t="n">
        <v>12.5</v>
      </c>
      <c r="G291" s="30">
        <f>IFERROR(IF(INDEX(Effective!$E$3:$R$125,MATCH($B291,Effective!$A$3:$A$125,0),MATCH($D291,Effective!$E$2:$R$2,0))=0,"",INDEX(Effective!$E$3:$R$125,MATCH($B291,Effective!$A$3:$A$125,0),MATCH($D291,Effective!$E$2:$R$2,0))),"")</f>
        <v/>
      </c>
      <c r="H291" s="31" t="n"/>
      <c r="I291" s="17" t="inlineStr">
        <is>
          <t>override</t>
        </is>
      </c>
      <c r="J291" s="32" t="n"/>
      <c r="K291" s="33">
        <f>IF(AND(IF($I292&lt;&gt;"",$I292,$I291)="override",$J291&lt;&gt;""),$J291,SUMIFS(Assumptions!$K$4:$K$8,Assumptions!$J$4:$J$8,$C291))*Assumptions!$S$10*(1-MIN(1,MAX(N($H291),N($H292))))</f>
        <v/>
      </c>
      <c r="L291" s="32" t="n"/>
      <c r="M291" s="34">
        <f>IF(AND(IF($I292&lt;&gt;"",$I292,$I291)="override",$L291&lt;&gt;""),$L291,SUMIFS(Assumptions!$P$4:$P$103,Assumptions!$M$4:$M$103,$C291,Assumptions!$N$4:$N$103,$E291,Assumptions!$O$4:$O$103,"LVN"))</f>
        <v/>
      </c>
      <c r="N291" s="32" t="n"/>
      <c r="O291" s="34">
        <f>IF(AND(IF($I292&lt;&gt;"",$I292,$I291)="override",$N291&lt;&gt;""),$N291,SUMIFS(Assumptions!$P$4:$P$103,Assumptions!$M$4:$M$103,$C291,Assumptions!$N$4:$N$103,$E291,Assumptions!$O$4:$O$103,"HVN"))</f>
        <v/>
      </c>
      <c r="P291" s="34">
        <f>(M291+O291)*Assumptions!$S$11</f>
        <v/>
      </c>
      <c r="Q291" s="35">
        <f>$F291*$K291*$P291</f>
        <v/>
      </c>
    </row>
    <row r="292">
      <c r="A292" s="24" t="inlineStr">
        <is>
          <t>TOTAL</t>
        </is>
      </c>
      <c r="B292" s="36" t="inlineStr">
        <is>
          <t>CENOVUS_SUPERIOR</t>
        </is>
      </c>
      <c r="C292" s="36" t="n">
        <v>2</v>
      </c>
      <c r="D292" s="36" t="inlineStr">
        <is>
          <t>NET NAPHTHA</t>
        </is>
      </c>
      <c r="H292" s="31" t="n"/>
      <c r="I292" s="17" t="n"/>
      <c r="Q292" s="37">
        <f>SUM(Q286:Q291)</f>
        <v/>
      </c>
    </row>
    <row r="294" ht="20" customHeight="1">
      <c r="A294" s="8">
        <f>"  Countrymark Cooperative Inc. Mount Vernon  [COUNTRYMARK_MOUNT_VERNON]   —   Countrymark Cooperative Inc.   —   PADD 2   —   crude "&amp;TEXT(SUMIFS(Data!$G$3:$G$125,Data!$A$3:$A$125,"COUNTRYMARK_MOUNT_VERNON"),"#,##0")&amp;" kbd"</f>
        <v/>
      </c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</row>
    <row r="295">
      <c r="A295" s="11" t="inlineStr">
        <is>
          <t>UNIT</t>
        </is>
      </c>
      <c r="B295" s="28" t="inlineStr">
        <is>
          <t>COUNTRYMARK_MOUNT_VERNON</t>
        </is>
      </c>
      <c r="C295" s="28" t="n">
        <v>2</v>
      </c>
      <c r="D295" s="28" t="inlineStr">
        <is>
          <t>CDU</t>
        </is>
      </c>
      <c r="E295" s="28" t="inlineStr">
        <is>
          <t>CDU</t>
        </is>
      </c>
      <c r="F295" s="29" t="n">
        <v>30.8</v>
      </c>
      <c r="G295" s="30">
        <f>IFERROR(IF(INDEX(Effective!$E$3:$R$125,MATCH($B295,Effective!$A$3:$A$125,0),MATCH($D295,Effective!$E$2:$R$2,0))=0,"",INDEX(Effective!$E$3:$R$125,MATCH($B295,Effective!$A$3:$A$125,0),MATCH($D295,Effective!$E$2:$R$2,0))),"")</f>
        <v/>
      </c>
      <c r="H295" s="31" t="n"/>
      <c r="I295" s="17" t="inlineStr">
        <is>
          <t>override</t>
        </is>
      </c>
      <c r="J295" s="32" t="n"/>
      <c r="K295" s="33">
        <f>IF(AND(IF($I302&lt;&gt;"",$I302,$I295)="override",$J295&lt;&gt;""),$J295,SUMIFS(Assumptions!$K$4:$K$8,Assumptions!$J$4:$J$8,$C295))*Assumptions!$S$10*(1-MIN(1,MAX(N($H295),N($H302))))</f>
        <v/>
      </c>
      <c r="L295" s="32" t="n"/>
      <c r="M295" s="34">
        <f>IF(AND(IF($I302&lt;&gt;"",$I302,$I295)="override",$L295&lt;&gt;""),$L295,SUMIFS(Assumptions!$P$4:$P$103,Assumptions!$M$4:$M$103,$C295,Assumptions!$N$4:$N$103,$E295,Assumptions!$O$4:$O$103,"LVN"))</f>
        <v/>
      </c>
      <c r="N295" s="32" t="n"/>
      <c r="O295" s="34">
        <f>IF(AND(IF($I302&lt;&gt;"",$I302,$I295)="override",$N295&lt;&gt;""),$N295,SUMIFS(Assumptions!$P$4:$P$103,Assumptions!$M$4:$M$103,$C295,Assumptions!$N$4:$N$103,$E295,Assumptions!$O$4:$O$103,"HVN"))</f>
        <v/>
      </c>
      <c r="P295" s="34">
        <f>(M295+O295)*Assumptions!$S$11</f>
        <v/>
      </c>
      <c r="Q295" s="35">
        <f>$F295*$K295*$P295</f>
        <v/>
      </c>
    </row>
    <row r="296">
      <c r="A296" s="11" t="inlineStr">
        <is>
          <t>UNIT</t>
        </is>
      </c>
      <c r="B296" s="28" t="inlineStr">
        <is>
          <t>COUNTRYMARK_MOUNT_VERNON</t>
        </is>
      </c>
      <c r="C296" s="28" t="n">
        <v>2</v>
      </c>
      <c r="D296" s="28" t="inlineStr">
        <is>
          <t>VDU</t>
        </is>
      </c>
      <c r="E296" s="28" t="inlineStr">
        <is>
          <t>VDU</t>
        </is>
      </c>
      <c r="F296" s="29" t="n">
        <v>14.5</v>
      </c>
      <c r="G296" s="30">
        <f>IFERROR(IF(INDEX(Effective!$E$3:$R$125,MATCH($B296,Effective!$A$3:$A$125,0),MATCH($D296,Effective!$E$2:$R$2,0))=0,"",INDEX(Effective!$E$3:$R$125,MATCH($B296,Effective!$A$3:$A$125,0),MATCH($D296,Effective!$E$2:$R$2,0))),"")</f>
        <v/>
      </c>
      <c r="H296" s="31" t="n"/>
      <c r="I296" s="17" t="inlineStr">
        <is>
          <t>override</t>
        </is>
      </c>
      <c r="J296" s="32" t="n"/>
      <c r="K296" s="33">
        <f>IF(AND(IF($I302&lt;&gt;"",$I302,$I296)="override",$J296&lt;&gt;""),$J296,SUMIFS(Assumptions!$K$4:$K$8,Assumptions!$J$4:$J$8,$C296))*Assumptions!$S$10*(1-MIN(1,MAX(N($H296),N($H302))))</f>
        <v/>
      </c>
      <c r="L296" s="32" t="n"/>
      <c r="M296" s="34">
        <f>IF(AND(IF($I302&lt;&gt;"",$I302,$I296)="override",$L296&lt;&gt;""),$L296,SUMIFS(Assumptions!$P$4:$P$103,Assumptions!$M$4:$M$103,$C296,Assumptions!$N$4:$N$103,$E296,Assumptions!$O$4:$O$103,"LVN"))</f>
        <v/>
      </c>
      <c r="N296" s="32" t="n"/>
      <c r="O296" s="34">
        <f>IF(AND(IF($I302&lt;&gt;"",$I302,$I296)="override",$N296&lt;&gt;""),$N296,SUMIFS(Assumptions!$P$4:$P$103,Assumptions!$M$4:$M$103,$C296,Assumptions!$N$4:$N$103,$E296,Assumptions!$O$4:$O$103,"HVN"))</f>
        <v/>
      </c>
      <c r="P296" s="34">
        <f>(M296+O296)*Assumptions!$S$11</f>
        <v/>
      </c>
      <c r="Q296" s="35">
        <f>$F296*$K296*$P296</f>
        <v/>
      </c>
    </row>
    <row r="297">
      <c r="A297" s="11" t="inlineStr">
        <is>
          <t>UNIT</t>
        </is>
      </c>
      <c r="B297" s="28" t="inlineStr">
        <is>
          <t>COUNTRYMARK_MOUNT_VERNON</t>
        </is>
      </c>
      <c r="C297" s="28" t="n">
        <v>2</v>
      </c>
      <c r="D297" s="28" t="inlineStr">
        <is>
          <t>FCC</t>
        </is>
      </c>
      <c r="E297" s="28" t="inlineStr">
        <is>
          <t>FCC</t>
        </is>
      </c>
      <c r="F297" s="29" t="n">
        <v>8.6</v>
      </c>
      <c r="G297" s="30">
        <f>IFERROR(IF(INDEX(Effective!$E$3:$R$125,MATCH($B297,Effective!$A$3:$A$125,0),MATCH($D297,Effective!$E$2:$R$2,0))=0,"",INDEX(Effective!$E$3:$R$125,MATCH($B297,Effective!$A$3:$A$125,0),MATCH($D297,Effective!$E$2:$R$2,0))),"")</f>
        <v/>
      </c>
      <c r="H297" s="31" t="n"/>
      <c r="I297" s="17" t="inlineStr">
        <is>
          <t>override</t>
        </is>
      </c>
      <c r="J297" s="32" t="n"/>
      <c r="K297" s="33">
        <f>IF(AND(IF($I302&lt;&gt;"",$I302,$I297)="override",$J297&lt;&gt;""),$J297,SUMIFS(Assumptions!$K$4:$K$8,Assumptions!$J$4:$J$8,$C297))*Assumptions!$S$10*(1-MIN(1,MAX(N($H297),N($H302))))</f>
        <v/>
      </c>
      <c r="L297" s="32" t="n"/>
      <c r="M297" s="34">
        <f>IF(AND(IF($I302&lt;&gt;"",$I302,$I297)="override",$L297&lt;&gt;""),$L297,SUMIFS(Assumptions!$P$4:$P$103,Assumptions!$M$4:$M$103,$C297,Assumptions!$N$4:$N$103,$E297,Assumptions!$O$4:$O$103,"LVN"))</f>
        <v/>
      </c>
      <c r="N297" s="32" t="n"/>
      <c r="O297" s="34">
        <f>IF(AND(IF($I302&lt;&gt;"",$I302,$I297)="override",$N297&lt;&gt;""),$N297,SUMIFS(Assumptions!$P$4:$P$103,Assumptions!$M$4:$M$103,$C297,Assumptions!$N$4:$N$103,$E297,Assumptions!$O$4:$O$103,"HVN"))</f>
        <v/>
      </c>
      <c r="P297" s="34">
        <f>(M297+O297)*Assumptions!$S$11</f>
        <v/>
      </c>
      <c r="Q297" s="35">
        <f>$F297*$K297*$P297</f>
        <v/>
      </c>
    </row>
    <row r="298">
      <c r="A298" s="11" t="inlineStr">
        <is>
          <t>UNIT</t>
        </is>
      </c>
      <c r="B298" s="28" t="inlineStr">
        <is>
          <t>COUNTRYMARK_MOUNT_VERNON</t>
        </is>
      </c>
      <c r="C298" s="28" t="n">
        <v>2</v>
      </c>
      <c r="D298" s="28" t="inlineStr">
        <is>
          <t>CCR</t>
        </is>
      </c>
      <c r="E298" s="28" t="inlineStr">
        <is>
          <t>REFORMER</t>
        </is>
      </c>
      <c r="F298" s="29" t="n">
        <v>6.5</v>
      </c>
      <c r="G298" s="30">
        <f>IFERROR(IF(INDEX(Effective!$E$3:$R$125,MATCH($B298,Effective!$A$3:$A$125,0),MATCH($D298,Effective!$E$2:$R$2,0))=0,"",INDEX(Effective!$E$3:$R$125,MATCH($B298,Effective!$A$3:$A$125,0),MATCH($D298,Effective!$E$2:$R$2,0))),"")</f>
        <v/>
      </c>
      <c r="H298" s="31" t="n"/>
      <c r="I298" s="17" t="inlineStr">
        <is>
          <t>override</t>
        </is>
      </c>
      <c r="J298" s="32" t="n"/>
      <c r="K298" s="33">
        <f>IF(AND(IF($I302&lt;&gt;"",$I302,$I298)="override",$J298&lt;&gt;""),$J298,SUMIFS(Assumptions!$K$4:$K$8,Assumptions!$J$4:$J$8,$C298))*Assumptions!$S$10*(1-MIN(1,MAX(N($H298),N($H302))))</f>
        <v/>
      </c>
      <c r="L298" s="32" t="n"/>
      <c r="M298" s="34">
        <f>IF(AND(IF($I302&lt;&gt;"",$I302,$I298)="override",$L298&lt;&gt;""),$L298,SUMIFS(Assumptions!$P$4:$P$103,Assumptions!$M$4:$M$103,$C298,Assumptions!$N$4:$N$103,$E298,Assumptions!$O$4:$O$103,"LVN"))</f>
        <v/>
      </c>
      <c r="N298" s="32" t="n"/>
      <c r="O298" s="34">
        <f>IF(AND(IF($I302&lt;&gt;"",$I302,$I298)="override",$N298&lt;&gt;""),$N298,SUMIFS(Assumptions!$P$4:$P$103,Assumptions!$M$4:$M$103,$C298,Assumptions!$N$4:$N$103,$E298,Assumptions!$O$4:$O$103,"HVN"))</f>
        <v/>
      </c>
      <c r="P298" s="34">
        <f>(M298+O298)*Assumptions!$S$11</f>
        <v/>
      </c>
      <c r="Q298" s="35">
        <f>$F298*$K298*$P298</f>
        <v/>
      </c>
    </row>
    <row r="299">
      <c r="A299" s="11" t="inlineStr">
        <is>
          <t>UNIT</t>
        </is>
      </c>
      <c r="B299" s="28" t="inlineStr">
        <is>
          <t>COUNTRYMARK_MOUNT_VERNON</t>
        </is>
      </c>
      <c r="C299" s="28" t="n">
        <v>2</v>
      </c>
      <c r="D299" s="28" t="inlineStr">
        <is>
          <t>ISOM</t>
        </is>
      </c>
      <c r="E299" s="28" t="inlineStr">
        <is>
          <t>ISOM</t>
        </is>
      </c>
      <c r="F299" s="29" t="n">
        <v>3.2</v>
      </c>
      <c r="G299" s="30">
        <f>IFERROR(IF(INDEX(Effective!$E$3:$R$125,MATCH($B299,Effective!$A$3:$A$125,0),MATCH($D299,Effective!$E$2:$R$2,0))=0,"",INDEX(Effective!$E$3:$R$125,MATCH($B299,Effective!$A$3:$A$125,0),MATCH($D299,Effective!$E$2:$R$2,0))),"")</f>
        <v/>
      </c>
      <c r="H299" s="31" t="n"/>
      <c r="I299" s="17" t="inlineStr">
        <is>
          <t>override</t>
        </is>
      </c>
      <c r="J299" s="32" t="n"/>
      <c r="K299" s="33">
        <f>IF(AND(IF($I302&lt;&gt;"",$I302,$I299)="override",$J299&lt;&gt;""),$J299,SUMIFS(Assumptions!$K$4:$K$8,Assumptions!$J$4:$J$8,$C299))*Assumptions!$S$10*(1-MIN(1,MAX(N($H299),N($H302))))</f>
        <v/>
      </c>
      <c r="L299" s="32" t="n"/>
      <c r="M299" s="34">
        <f>IF(AND(IF($I302&lt;&gt;"",$I302,$I299)="override",$L299&lt;&gt;""),$L299,SUMIFS(Assumptions!$P$4:$P$103,Assumptions!$M$4:$M$103,$C299,Assumptions!$N$4:$N$103,$E299,Assumptions!$O$4:$O$103,"LVN"))</f>
        <v/>
      </c>
      <c r="N299" s="32" t="n"/>
      <c r="O299" s="34">
        <f>IF(AND(IF($I302&lt;&gt;"",$I302,$I299)="override",$N299&lt;&gt;""),$N299,SUMIFS(Assumptions!$P$4:$P$103,Assumptions!$M$4:$M$103,$C299,Assumptions!$N$4:$N$103,$E299,Assumptions!$O$4:$O$103,"HVN"))</f>
        <v/>
      </c>
      <c r="P299" s="34">
        <f>(M299+O299)*Assumptions!$S$11</f>
        <v/>
      </c>
      <c r="Q299" s="35">
        <f>$F299*$K299*$P299</f>
        <v/>
      </c>
    </row>
    <row r="300">
      <c r="A300" s="11" t="inlineStr">
        <is>
          <t>UNIT</t>
        </is>
      </c>
      <c r="B300" s="28" t="inlineStr">
        <is>
          <t>COUNTRYMARK_MOUNT_VERNON</t>
        </is>
      </c>
      <c r="C300" s="28" t="n">
        <v>2</v>
      </c>
      <c r="D300" s="28" t="inlineStr">
        <is>
          <t>ALKY</t>
        </is>
      </c>
      <c r="E300" s="28" t="inlineStr">
        <is>
          <t>ALKY</t>
        </is>
      </c>
      <c r="F300" s="29" t="n">
        <v>2.2</v>
      </c>
      <c r="G300" s="30">
        <f>IFERROR(IF(INDEX(Effective!$E$3:$R$125,MATCH($B300,Effective!$A$3:$A$125,0),MATCH($D300,Effective!$E$2:$R$2,0))=0,"",INDEX(Effective!$E$3:$R$125,MATCH($B300,Effective!$A$3:$A$125,0),MATCH($D300,Effective!$E$2:$R$2,0))),"")</f>
        <v/>
      </c>
      <c r="H300" s="31" t="n"/>
      <c r="I300" s="17" t="inlineStr">
        <is>
          <t>override</t>
        </is>
      </c>
      <c r="J300" s="32" t="n"/>
      <c r="K300" s="33">
        <f>IF(AND(IF($I302&lt;&gt;"",$I302,$I300)="override",$J300&lt;&gt;""),$J300,SUMIFS(Assumptions!$K$4:$K$8,Assumptions!$J$4:$J$8,$C300))*Assumptions!$S$10*(1-MIN(1,MAX(N($H300),N($H302))))</f>
        <v/>
      </c>
      <c r="L300" s="32" t="n"/>
      <c r="M300" s="34">
        <f>IF(AND(IF($I302&lt;&gt;"",$I302,$I300)="override",$L300&lt;&gt;""),$L300,SUMIFS(Assumptions!$P$4:$P$103,Assumptions!$M$4:$M$103,$C300,Assumptions!$N$4:$N$103,$E300,Assumptions!$O$4:$O$103,"LVN"))</f>
        <v/>
      </c>
      <c r="N300" s="32" t="n"/>
      <c r="O300" s="34">
        <f>IF(AND(IF($I302&lt;&gt;"",$I302,$I300)="override",$N300&lt;&gt;""),$N300,SUMIFS(Assumptions!$P$4:$P$103,Assumptions!$M$4:$M$103,$C300,Assumptions!$N$4:$N$103,$E300,Assumptions!$O$4:$O$103,"HVN"))</f>
        <v/>
      </c>
      <c r="P300" s="34">
        <f>(M300+O300)*Assumptions!$S$11</f>
        <v/>
      </c>
      <c r="Q300" s="35">
        <f>$F300*$K300*$P300</f>
        <v/>
      </c>
    </row>
    <row r="301">
      <c r="A301" s="11" t="inlineStr">
        <is>
          <t>UNIT</t>
        </is>
      </c>
      <c r="B301" s="28" t="inlineStr">
        <is>
          <t>COUNTRYMARK_MOUNT_VERNON</t>
        </is>
      </c>
      <c r="C301" s="28" t="n">
        <v>2</v>
      </c>
      <c r="D301" s="28" t="inlineStr">
        <is>
          <t>NHT</t>
        </is>
      </c>
      <c r="E301" s="28" t="inlineStr">
        <is>
          <t>NHT</t>
        </is>
      </c>
      <c r="F301" s="29" t="n">
        <v>11</v>
      </c>
      <c r="G301" s="30">
        <f>IFERROR(IF(INDEX(Effective!$E$3:$R$125,MATCH($B301,Effective!$A$3:$A$125,0),MATCH($D301,Effective!$E$2:$R$2,0))=0,"",INDEX(Effective!$E$3:$R$125,MATCH($B301,Effective!$A$3:$A$125,0),MATCH($D301,Effective!$E$2:$R$2,0))),"")</f>
        <v/>
      </c>
      <c r="H301" s="31" t="n"/>
      <c r="I301" s="17" t="inlineStr">
        <is>
          <t>override</t>
        </is>
      </c>
      <c r="J301" s="32" t="n"/>
      <c r="K301" s="33">
        <f>IF(AND(IF($I302&lt;&gt;"",$I302,$I301)="override",$J301&lt;&gt;""),$J301,SUMIFS(Assumptions!$K$4:$K$8,Assumptions!$J$4:$J$8,$C301))*Assumptions!$S$10*(1-MIN(1,MAX(N($H301),N($H302))))</f>
        <v/>
      </c>
      <c r="L301" s="32" t="n"/>
      <c r="M301" s="34">
        <f>IF(AND(IF($I302&lt;&gt;"",$I302,$I301)="override",$L301&lt;&gt;""),$L301,SUMIFS(Assumptions!$P$4:$P$103,Assumptions!$M$4:$M$103,$C301,Assumptions!$N$4:$N$103,$E301,Assumptions!$O$4:$O$103,"LVN"))</f>
        <v/>
      </c>
      <c r="N301" s="32" t="n"/>
      <c r="O301" s="34">
        <f>IF(AND(IF($I302&lt;&gt;"",$I302,$I301)="override",$N301&lt;&gt;""),$N301,SUMIFS(Assumptions!$P$4:$P$103,Assumptions!$M$4:$M$103,$C301,Assumptions!$N$4:$N$103,$E301,Assumptions!$O$4:$O$103,"HVN"))</f>
        <v/>
      </c>
      <c r="P301" s="34">
        <f>(M301+O301)*Assumptions!$S$11</f>
        <v/>
      </c>
      <c r="Q301" s="35">
        <f>$F301*$K301*$P301</f>
        <v/>
      </c>
    </row>
    <row r="302">
      <c r="A302" s="24" t="inlineStr">
        <is>
          <t>TOTAL</t>
        </is>
      </c>
      <c r="B302" s="36" t="inlineStr">
        <is>
          <t>COUNTRYMARK_MOUNT_VERNON</t>
        </is>
      </c>
      <c r="C302" s="36" t="n">
        <v>2</v>
      </c>
      <c r="D302" s="36" t="inlineStr">
        <is>
          <t>NET NAPHTHA</t>
        </is>
      </c>
      <c r="H302" s="31" t="n"/>
      <c r="I302" s="17" t="n"/>
      <c r="Q302" s="37">
        <f>SUM(Q295:Q301)</f>
        <v/>
      </c>
    </row>
    <row r="304" ht="20" customHeight="1">
      <c r="A304" s="8">
        <f>"  Somerset Refinery Somerset  [SOMERSET_SOMERSET]   —   Continental Refining Company   —   PADD 2   —   crude "&amp;TEXT(SUMIFS(Data!$G$3:$G$125,Data!$A$3:$A$125,"SOMERSET_SOMERSET"),"#,##0")&amp;" kbd"</f>
        <v/>
      </c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</row>
    <row r="305">
      <c r="A305" s="11" t="inlineStr">
        <is>
          <t>UNIT</t>
        </is>
      </c>
      <c r="B305" s="28" t="inlineStr">
        <is>
          <t>SOMERSET_SOMERSET</t>
        </is>
      </c>
      <c r="C305" s="28" t="n">
        <v>2</v>
      </c>
      <c r="D305" s="28" t="inlineStr">
        <is>
          <t>CRUDE-EST</t>
        </is>
      </c>
      <c r="E305" s="28" t="inlineStr">
        <is>
          <t>est. yield</t>
        </is>
      </c>
      <c r="F305" s="30">
        <f>SUMIFS(Data!$G$3:$G$125,Data!$A$3:$A$125,$B305)</f>
        <v/>
      </c>
      <c r="G305" s="30">
        <f>IFERROR(IF(INDEX(Effective!$E$3:$R$125,MATCH($B305,Effective!$A$3:$A$125,0),MATCH($D305,Effective!$E$2:$R$2,0))=0,"",INDEX(Effective!$E$3:$R$125,MATCH($B305,Effective!$A$3:$A$125,0),MATCH($D305,Effective!$E$2:$R$2,0))),"")</f>
        <v/>
      </c>
      <c r="H305" s="31" t="n"/>
      <c r="I305" s="17" t="inlineStr">
        <is>
          <t>override</t>
        </is>
      </c>
      <c r="J305" s="32" t="n"/>
      <c r="K305" s="33">
        <f>IF(AND(IF($I306&lt;&gt;"",$I306,$I305)="override",$J305&lt;&gt;""),$J305,SUMIFS(Assumptions!$K$4:$K$8,Assumptions!$J$4:$J$8,$C305))*Assumptions!$S$10*(1-MIN(1,MAX(N($H305),N($H306))))</f>
        <v/>
      </c>
      <c r="L305" s="32" t="n"/>
      <c r="M305" s="34">
        <f>IF(AND(IF($I306&lt;&gt;"",$I306,$I305)="override",$L305&lt;&gt;""),$L305,SUMIFS(Data!$N$3:$N$125,Data!$A$3:$A$125,$B305)*Assumptions!$S$4)</f>
        <v/>
      </c>
      <c r="N305" s="32" t="n"/>
      <c r="O305" s="34">
        <f>IF(AND(IF($I306&lt;&gt;"",$I306,$I305)="override",$N305&lt;&gt;""),$N305,SUMIFS(Data!$N$3:$N$125,Data!$A$3:$A$125,$B305)*Assumptions!$S$5)</f>
        <v/>
      </c>
      <c r="P305" s="34">
        <f>(M305+O305)*Assumptions!$S$11</f>
        <v/>
      </c>
      <c r="Q305" s="35">
        <f>$F305*$K305*$P305</f>
        <v/>
      </c>
    </row>
    <row r="306">
      <c r="A306" s="24" t="inlineStr">
        <is>
          <t>TOTAL</t>
        </is>
      </c>
      <c r="B306" s="36" t="inlineStr">
        <is>
          <t>SOMERSET_SOMERSET</t>
        </is>
      </c>
      <c r="C306" s="36" t="n">
        <v>2</v>
      </c>
      <c r="D306" s="36" t="inlineStr">
        <is>
          <t>NET NAPHTHA</t>
        </is>
      </c>
      <c r="H306" s="31" t="n"/>
      <c r="I306" s="17" t="n"/>
      <c r="Q306" s="37">
        <f>SUM(Q305:Q305)</f>
        <v/>
      </c>
    </row>
    <row r="308" ht="20" customHeight="1">
      <c r="A308" s="8">
        <f>"  Galveston Bay Refinery  [MPC_GALV_BAY]   —   Marathon Petroleum   —   PADD 3   —   crude "&amp;TEXT(SUMIFS(Data!$G$3:$G$125,Data!$A$3:$A$125,"MPC_GALV_BAY"),"#,##0")&amp;" kbd"</f>
        <v/>
      </c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</row>
    <row r="309">
      <c r="A309" s="11" t="inlineStr">
        <is>
          <t>UNIT</t>
        </is>
      </c>
      <c r="B309" s="28" t="inlineStr">
        <is>
          <t>MPC_GALV_BAY</t>
        </is>
      </c>
      <c r="C309" s="28" t="n">
        <v>3</v>
      </c>
      <c r="D309" s="28" t="inlineStr">
        <is>
          <t>CDU</t>
        </is>
      </c>
      <c r="E309" s="28" t="inlineStr">
        <is>
          <t>CDU</t>
        </is>
      </c>
      <c r="F309" s="29" t="n">
        <v>665</v>
      </c>
      <c r="G309" s="30">
        <f>IFERROR(IF(INDEX(Effective!$E$3:$R$125,MATCH($B309,Effective!$A$3:$A$125,0),MATCH($D309,Effective!$E$2:$R$2,0))=0,"",INDEX(Effective!$E$3:$R$125,MATCH($B309,Effective!$A$3:$A$125,0),MATCH($D309,Effective!$E$2:$R$2,0))),"")</f>
        <v/>
      </c>
      <c r="H309" s="31" t="n"/>
      <c r="I309" s="17" t="inlineStr">
        <is>
          <t>override</t>
        </is>
      </c>
      <c r="J309" s="32" t="n">
        <v>0.885</v>
      </c>
      <c r="K309" s="33">
        <f>IF(AND(IF($I318&lt;&gt;"",$I318,$I309)="override",$J309&lt;&gt;""),$J309,SUMIFS(Assumptions!$K$4:$K$8,Assumptions!$J$4:$J$8,$C309))*Assumptions!$S$10*(1-MIN(1,MAX(N($H309),N($H318))))</f>
        <v/>
      </c>
      <c r="L309" s="32" t="n"/>
      <c r="M309" s="34">
        <f>IF(AND(IF($I318&lt;&gt;"",$I318,$I309)="override",$L309&lt;&gt;""),$L309,SUMIFS(Assumptions!$P$4:$P$103,Assumptions!$M$4:$M$103,$C309,Assumptions!$N$4:$N$103,$E309,Assumptions!$O$4:$O$103,"LVN"))</f>
        <v/>
      </c>
      <c r="N309" s="32" t="n"/>
      <c r="O309" s="34">
        <f>IF(AND(IF($I318&lt;&gt;"",$I318,$I309)="override",$N309&lt;&gt;""),$N309,SUMIFS(Assumptions!$P$4:$P$103,Assumptions!$M$4:$M$103,$C309,Assumptions!$N$4:$N$103,$E309,Assumptions!$O$4:$O$103,"HVN"))</f>
        <v/>
      </c>
      <c r="P309" s="34">
        <f>(M309+O309)*Assumptions!$S$11</f>
        <v/>
      </c>
      <c r="Q309" s="35">
        <f>$F309*$K309*$P309</f>
        <v/>
      </c>
    </row>
    <row r="310">
      <c r="A310" s="11" t="inlineStr">
        <is>
          <t>UNIT</t>
        </is>
      </c>
      <c r="B310" s="28" t="inlineStr">
        <is>
          <t>MPC_GALV_BAY</t>
        </is>
      </c>
      <c r="C310" s="28" t="n">
        <v>3</v>
      </c>
      <c r="D310" s="28" t="inlineStr">
        <is>
          <t>VDU</t>
        </is>
      </c>
      <c r="E310" s="28" t="inlineStr">
        <is>
          <t>VDU</t>
        </is>
      </c>
      <c r="F310" s="29" t="n">
        <v>259.5</v>
      </c>
      <c r="G310" s="30">
        <f>IFERROR(IF(INDEX(Effective!$E$3:$R$125,MATCH($B310,Effective!$A$3:$A$125,0),MATCH($D310,Effective!$E$2:$R$2,0))=0,"",INDEX(Effective!$E$3:$R$125,MATCH($B310,Effective!$A$3:$A$125,0),MATCH($D310,Effective!$E$2:$R$2,0))),"")</f>
        <v/>
      </c>
      <c r="H310" s="31" t="n"/>
      <c r="I310" s="17" t="inlineStr">
        <is>
          <t>override</t>
        </is>
      </c>
      <c r="J310" s="32" t="n">
        <v>0.758</v>
      </c>
      <c r="K310" s="33">
        <f>IF(AND(IF($I318&lt;&gt;"",$I318,$I310)="override",$J310&lt;&gt;""),$J310,SUMIFS(Assumptions!$K$4:$K$8,Assumptions!$J$4:$J$8,$C310))*Assumptions!$S$10*(1-MIN(1,MAX(N($H310),N($H318))))</f>
        <v/>
      </c>
      <c r="L310" s="32" t="n"/>
      <c r="M310" s="34">
        <f>IF(AND(IF($I318&lt;&gt;"",$I318,$I310)="override",$L310&lt;&gt;""),$L310,SUMIFS(Assumptions!$P$4:$P$103,Assumptions!$M$4:$M$103,$C310,Assumptions!$N$4:$N$103,$E310,Assumptions!$O$4:$O$103,"LVN"))</f>
        <v/>
      </c>
      <c r="N310" s="32" t="n"/>
      <c r="O310" s="34">
        <f>IF(AND(IF($I318&lt;&gt;"",$I318,$I310)="override",$N310&lt;&gt;""),$N310,SUMIFS(Assumptions!$P$4:$P$103,Assumptions!$M$4:$M$103,$C310,Assumptions!$N$4:$N$103,$E310,Assumptions!$O$4:$O$103,"HVN"))</f>
        <v/>
      </c>
      <c r="P310" s="34">
        <f>(M310+O310)*Assumptions!$S$11</f>
        <v/>
      </c>
      <c r="Q310" s="35">
        <f>$F310*$K310*$P310</f>
        <v/>
      </c>
    </row>
    <row r="311">
      <c r="A311" s="11" t="inlineStr">
        <is>
          <t>UNIT</t>
        </is>
      </c>
      <c r="B311" s="28" t="inlineStr">
        <is>
          <t>MPC_GALV_BAY</t>
        </is>
      </c>
      <c r="C311" s="28" t="n">
        <v>3</v>
      </c>
      <c r="D311" s="28" t="inlineStr">
        <is>
          <t>FCC</t>
        </is>
      </c>
      <c r="E311" s="28" t="inlineStr">
        <is>
          <t>FCC</t>
        </is>
      </c>
      <c r="F311" s="29" t="n">
        <v>205.5</v>
      </c>
      <c r="G311" s="30">
        <f>IFERROR(IF(INDEX(Effective!$E$3:$R$125,MATCH($B311,Effective!$A$3:$A$125,0),MATCH($D311,Effective!$E$2:$R$2,0))=0,"",INDEX(Effective!$E$3:$R$125,MATCH($B311,Effective!$A$3:$A$125,0),MATCH($D311,Effective!$E$2:$R$2,0))),"")</f>
        <v/>
      </c>
      <c r="H311" s="31" t="n"/>
      <c r="I311" s="17" t="inlineStr">
        <is>
          <t>override</t>
        </is>
      </c>
      <c r="J311" s="32" t="n">
        <v>0.783</v>
      </c>
      <c r="K311" s="33">
        <f>IF(AND(IF($I318&lt;&gt;"",$I318,$I311)="override",$J311&lt;&gt;""),$J311,SUMIFS(Assumptions!$K$4:$K$8,Assumptions!$J$4:$J$8,$C311))*Assumptions!$S$10*(1-MIN(1,MAX(N($H311),N($H318))))</f>
        <v/>
      </c>
      <c r="L311" s="32" t="n"/>
      <c r="M311" s="34">
        <f>IF(AND(IF($I318&lt;&gt;"",$I318,$I311)="override",$L311&lt;&gt;""),$L311,SUMIFS(Assumptions!$P$4:$P$103,Assumptions!$M$4:$M$103,$C311,Assumptions!$N$4:$N$103,$E311,Assumptions!$O$4:$O$103,"LVN"))</f>
        <v/>
      </c>
      <c r="N311" s="32" t="n"/>
      <c r="O311" s="34">
        <f>IF(AND(IF($I318&lt;&gt;"",$I318,$I311)="override",$N311&lt;&gt;""),$N311,SUMIFS(Assumptions!$P$4:$P$103,Assumptions!$M$4:$M$103,$C311,Assumptions!$N$4:$N$103,$E311,Assumptions!$O$4:$O$103,"HVN"))</f>
        <v/>
      </c>
      <c r="P311" s="34">
        <f>(M311+O311)*Assumptions!$S$11</f>
        <v/>
      </c>
      <c r="Q311" s="35">
        <f>$F311*$K311*$P311</f>
        <v/>
      </c>
    </row>
    <row r="312">
      <c r="A312" s="11" t="inlineStr">
        <is>
          <t>UNIT</t>
        </is>
      </c>
      <c r="B312" s="28" t="inlineStr">
        <is>
          <t>MPC_GALV_BAY</t>
        </is>
      </c>
      <c r="C312" s="28" t="n">
        <v>3</v>
      </c>
      <c r="D312" s="28" t="inlineStr">
        <is>
          <t>RHCU</t>
        </is>
      </c>
      <c r="E312" s="28" t="inlineStr">
        <is>
          <t>HYDROCRACKER</t>
        </is>
      </c>
      <c r="F312" s="29" t="n">
        <v>84.5</v>
      </c>
      <c r="G312" s="30">
        <f>IFERROR(IF(INDEX(Effective!$E$3:$R$125,MATCH($B312,Effective!$A$3:$A$125,0),MATCH($D312,Effective!$E$2:$R$2,0))=0,"",INDEX(Effective!$E$3:$R$125,MATCH($B312,Effective!$A$3:$A$125,0),MATCH($D312,Effective!$E$2:$R$2,0))),"")</f>
        <v/>
      </c>
      <c r="H312" s="31" t="n"/>
      <c r="I312" s="17" t="inlineStr">
        <is>
          <t>override</t>
        </is>
      </c>
      <c r="J312" s="32" t="n">
        <v>0.592</v>
      </c>
      <c r="K312" s="33">
        <f>IF(AND(IF($I318&lt;&gt;"",$I318,$I312)="override",$J312&lt;&gt;""),$J312,SUMIFS(Assumptions!$K$4:$K$8,Assumptions!$J$4:$J$8,$C312))*Assumptions!$S$10*(1-MIN(1,MAX(N($H312),N($H318))))</f>
        <v/>
      </c>
      <c r="L312" s="32" t="n"/>
      <c r="M312" s="34">
        <f>IF(AND(IF($I318&lt;&gt;"",$I318,$I312)="override",$L312&lt;&gt;""),$L312,SUMIFS(Assumptions!$P$4:$P$103,Assumptions!$M$4:$M$103,$C312,Assumptions!$N$4:$N$103,$E312,Assumptions!$O$4:$O$103,"LVN"))</f>
        <v/>
      </c>
      <c r="N312" s="32" t="n"/>
      <c r="O312" s="34">
        <f>IF(AND(IF($I318&lt;&gt;"",$I318,$I312)="override",$N312&lt;&gt;""),$N312,SUMIFS(Assumptions!$P$4:$P$103,Assumptions!$M$4:$M$103,$C312,Assumptions!$N$4:$N$103,$E312,Assumptions!$O$4:$O$103,"HVN"))</f>
        <v/>
      </c>
      <c r="P312" s="34">
        <f>(M312+O312)*Assumptions!$S$11</f>
        <v/>
      </c>
      <c r="Q312" s="35">
        <f>$F312*$K312*$P312</f>
        <v/>
      </c>
    </row>
    <row r="313">
      <c r="A313" s="11" t="inlineStr">
        <is>
          <t>UNIT</t>
        </is>
      </c>
      <c r="B313" s="28" t="inlineStr">
        <is>
          <t>MPC_GALV_BAY</t>
        </is>
      </c>
      <c r="C313" s="28" t="n">
        <v>3</v>
      </c>
      <c r="D313" s="28" t="inlineStr">
        <is>
          <t>DHCU</t>
        </is>
      </c>
      <c r="E313" s="28" t="inlineStr">
        <is>
          <t>HYDROCRACKER</t>
        </is>
      </c>
      <c r="F313" s="29" t="n">
        <v>78.5</v>
      </c>
      <c r="G313" s="30">
        <f>IFERROR(IF(INDEX(Effective!$E$3:$R$125,MATCH($B313,Effective!$A$3:$A$125,0),MATCH($D313,Effective!$E$2:$R$2,0))=0,"",INDEX(Effective!$E$3:$R$125,MATCH($B313,Effective!$A$3:$A$125,0),MATCH($D313,Effective!$E$2:$R$2,0))),"")</f>
        <v/>
      </c>
      <c r="H313" s="31" t="n"/>
      <c r="I313" s="17" t="inlineStr">
        <is>
          <t>override</t>
        </is>
      </c>
      <c r="J313" s="32" t="n">
        <v>0.9379999999999999</v>
      </c>
      <c r="K313" s="33">
        <f>IF(AND(IF($I318&lt;&gt;"",$I318,$I313)="override",$J313&lt;&gt;""),$J313,SUMIFS(Assumptions!$K$4:$K$8,Assumptions!$J$4:$J$8,$C313))*Assumptions!$S$10*(1-MIN(1,MAX(N($H313),N($H318))))</f>
        <v/>
      </c>
      <c r="L313" s="32" t="n"/>
      <c r="M313" s="34">
        <f>IF(AND(IF($I318&lt;&gt;"",$I318,$I313)="override",$L313&lt;&gt;""),$L313,SUMIFS(Assumptions!$P$4:$P$103,Assumptions!$M$4:$M$103,$C313,Assumptions!$N$4:$N$103,$E313,Assumptions!$O$4:$O$103,"LVN"))</f>
        <v/>
      </c>
      <c r="N313" s="32" t="n"/>
      <c r="O313" s="34">
        <f>IF(AND(IF($I318&lt;&gt;"",$I318,$I313)="override",$N313&lt;&gt;""),$N313,SUMIFS(Assumptions!$P$4:$P$103,Assumptions!$M$4:$M$103,$C313,Assumptions!$N$4:$N$103,$E313,Assumptions!$O$4:$O$103,"HVN"))</f>
        <v/>
      </c>
      <c r="P313" s="34">
        <f>(M313+O313)*Assumptions!$S$11</f>
        <v/>
      </c>
      <c r="Q313" s="35">
        <f>$F313*$K313*$P313</f>
        <v/>
      </c>
    </row>
    <row r="314">
      <c r="A314" s="11" t="inlineStr">
        <is>
          <t>UNIT</t>
        </is>
      </c>
      <c r="B314" s="28" t="inlineStr">
        <is>
          <t>MPC_GALV_BAY</t>
        </is>
      </c>
      <c r="C314" s="28" t="n">
        <v>3</v>
      </c>
      <c r="D314" s="28" t="inlineStr">
        <is>
          <t>COKER</t>
        </is>
      </c>
      <c r="E314" s="28" t="inlineStr">
        <is>
          <t>COKER</t>
        </is>
      </c>
      <c r="F314" s="29" t="n">
        <v>33</v>
      </c>
      <c r="G314" s="30">
        <f>IFERROR(IF(INDEX(Effective!$E$3:$R$125,MATCH($B314,Effective!$A$3:$A$125,0),MATCH($D314,Effective!$E$2:$R$2,0))=0,"",INDEX(Effective!$E$3:$R$125,MATCH($B314,Effective!$A$3:$A$125,0),MATCH($D314,Effective!$E$2:$R$2,0))),"")</f>
        <v/>
      </c>
      <c r="H314" s="31" t="n"/>
      <c r="I314" s="17" t="inlineStr">
        <is>
          <t>override</t>
        </is>
      </c>
      <c r="J314" s="32" t="n">
        <v>0.505</v>
      </c>
      <c r="K314" s="33">
        <f>IF(AND(IF($I318&lt;&gt;"",$I318,$I314)="override",$J314&lt;&gt;""),$J314,SUMIFS(Assumptions!$K$4:$K$8,Assumptions!$J$4:$J$8,$C314))*Assumptions!$S$10*(1-MIN(1,MAX(N($H314),N($H318))))</f>
        <v/>
      </c>
      <c r="L314" s="32" t="n"/>
      <c r="M314" s="34">
        <f>IF(AND(IF($I318&lt;&gt;"",$I318,$I314)="override",$L314&lt;&gt;""),$L314,SUMIFS(Assumptions!$P$4:$P$103,Assumptions!$M$4:$M$103,$C314,Assumptions!$N$4:$N$103,$E314,Assumptions!$O$4:$O$103,"LVN"))</f>
        <v/>
      </c>
      <c r="N314" s="32" t="n"/>
      <c r="O314" s="34">
        <f>IF(AND(IF($I318&lt;&gt;"",$I318,$I314)="override",$N314&lt;&gt;""),$N314,SUMIFS(Assumptions!$P$4:$P$103,Assumptions!$M$4:$M$103,$C314,Assumptions!$N$4:$N$103,$E314,Assumptions!$O$4:$O$103,"HVN"))</f>
        <v/>
      </c>
      <c r="P314" s="34">
        <f>(M314+O314)*Assumptions!$S$11</f>
        <v/>
      </c>
      <c r="Q314" s="35">
        <f>$F314*$K314*$P314</f>
        <v/>
      </c>
    </row>
    <row r="315">
      <c r="A315" s="11" t="inlineStr">
        <is>
          <t>UNIT</t>
        </is>
      </c>
      <c r="B315" s="28" t="inlineStr">
        <is>
          <t>MPC_GALV_BAY</t>
        </is>
      </c>
      <c r="C315" s="28" t="n">
        <v>3</v>
      </c>
      <c r="D315" s="28" t="inlineStr">
        <is>
          <t>CCR</t>
        </is>
      </c>
      <c r="E315" s="28" t="inlineStr">
        <is>
          <t>REFORMER</t>
        </is>
      </c>
      <c r="F315" s="29" t="n">
        <v>144.5</v>
      </c>
      <c r="G315" s="30">
        <f>IFERROR(IF(INDEX(Effective!$E$3:$R$125,MATCH($B315,Effective!$A$3:$A$125,0),MATCH($D315,Effective!$E$2:$R$2,0))=0,"",INDEX(Effective!$E$3:$R$125,MATCH($B315,Effective!$A$3:$A$125,0),MATCH($D315,Effective!$E$2:$R$2,0))),"")</f>
        <v/>
      </c>
      <c r="H315" s="31" t="n"/>
      <c r="I315" s="17" t="inlineStr">
        <is>
          <t>override</t>
        </is>
      </c>
      <c r="J315" s="32" t="n">
        <v>0.891</v>
      </c>
      <c r="K315" s="33">
        <f>IF(AND(IF($I318&lt;&gt;"",$I318,$I315)="override",$J315&lt;&gt;""),$J315,SUMIFS(Assumptions!$K$4:$K$8,Assumptions!$J$4:$J$8,$C315))*Assumptions!$S$10*(1-MIN(1,MAX(N($H315),N($H318))))</f>
        <v/>
      </c>
      <c r="L315" s="32" t="n"/>
      <c r="M315" s="34">
        <f>IF(AND(IF($I318&lt;&gt;"",$I318,$I315)="override",$L315&lt;&gt;""),$L315,SUMIFS(Assumptions!$P$4:$P$103,Assumptions!$M$4:$M$103,$C315,Assumptions!$N$4:$N$103,$E315,Assumptions!$O$4:$O$103,"LVN"))</f>
        <v/>
      </c>
      <c r="N315" s="32" t="n"/>
      <c r="O315" s="34">
        <f>IF(AND(IF($I318&lt;&gt;"",$I318,$I315)="override",$N315&lt;&gt;""),$N315,SUMIFS(Assumptions!$P$4:$P$103,Assumptions!$M$4:$M$103,$C315,Assumptions!$N$4:$N$103,$E315,Assumptions!$O$4:$O$103,"HVN"))</f>
        <v/>
      </c>
      <c r="P315" s="34">
        <f>(M315+O315)*Assumptions!$S$11</f>
        <v/>
      </c>
      <c r="Q315" s="35">
        <f>$F315*$K315*$P315</f>
        <v/>
      </c>
    </row>
    <row r="316">
      <c r="A316" s="11" t="inlineStr">
        <is>
          <t>UNIT</t>
        </is>
      </c>
      <c r="B316" s="28" t="inlineStr">
        <is>
          <t>MPC_GALV_BAY</t>
        </is>
      </c>
      <c r="C316" s="28" t="n">
        <v>3</v>
      </c>
      <c r="D316" s="28" t="inlineStr">
        <is>
          <t>ALKY</t>
        </is>
      </c>
      <c r="E316" s="28" t="inlineStr">
        <is>
          <t>ALKY</t>
        </is>
      </c>
      <c r="F316" s="29" t="n">
        <v>61</v>
      </c>
      <c r="G316" s="30">
        <f>IFERROR(IF(INDEX(Effective!$E$3:$R$125,MATCH($B316,Effective!$A$3:$A$125,0),MATCH($D316,Effective!$E$2:$R$2,0))=0,"",INDEX(Effective!$E$3:$R$125,MATCH($B316,Effective!$A$3:$A$125,0),MATCH($D316,Effective!$E$2:$R$2,0))),"")</f>
        <v/>
      </c>
      <c r="H316" s="31" t="n"/>
      <c r="I316" s="17" t="inlineStr">
        <is>
          <t>override</t>
        </is>
      </c>
      <c r="J316" s="32" t="n">
        <v>1.1</v>
      </c>
      <c r="K316" s="33">
        <f>IF(AND(IF($I318&lt;&gt;"",$I318,$I316)="override",$J316&lt;&gt;""),$J316,SUMIFS(Assumptions!$K$4:$K$8,Assumptions!$J$4:$J$8,$C316))*Assumptions!$S$10*(1-MIN(1,MAX(N($H316),N($H318))))</f>
        <v/>
      </c>
      <c r="L316" s="32" t="n"/>
      <c r="M316" s="34">
        <f>IF(AND(IF($I318&lt;&gt;"",$I318,$I316)="override",$L316&lt;&gt;""),$L316,SUMIFS(Assumptions!$P$4:$P$103,Assumptions!$M$4:$M$103,$C316,Assumptions!$N$4:$N$103,$E316,Assumptions!$O$4:$O$103,"LVN"))</f>
        <v/>
      </c>
      <c r="N316" s="32" t="n"/>
      <c r="O316" s="34">
        <f>IF(AND(IF($I318&lt;&gt;"",$I318,$I316)="override",$N316&lt;&gt;""),$N316,SUMIFS(Assumptions!$P$4:$P$103,Assumptions!$M$4:$M$103,$C316,Assumptions!$N$4:$N$103,$E316,Assumptions!$O$4:$O$103,"HVN"))</f>
        <v/>
      </c>
      <c r="P316" s="34">
        <f>(M316+O316)*Assumptions!$S$11</f>
        <v/>
      </c>
      <c r="Q316" s="35">
        <f>$F316*$K316*$P316</f>
        <v/>
      </c>
    </row>
    <row r="317">
      <c r="A317" s="11" t="inlineStr">
        <is>
          <t>UNIT</t>
        </is>
      </c>
      <c r="B317" s="28" t="inlineStr">
        <is>
          <t>MPC_GALV_BAY</t>
        </is>
      </c>
      <c r="C317" s="28" t="n">
        <v>3</v>
      </c>
      <c r="D317" s="28" t="inlineStr">
        <is>
          <t>NHT</t>
        </is>
      </c>
      <c r="E317" s="28" t="inlineStr">
        <is>
          <t>NHT</t>
        </is>
      </c>
      <c r="F317" s="29" t="n">
        <v>126.5</v>
      </c>
      <c r="G317" s="30">
        <f>IFERROR(IF(INDEX(Effective!$E$3:$R$125,MATCH($B317,Effective!$A$3:$A$125,0),MATCH($D317,Effective!$E$2:$R$2,0))=0,"",INDEX(Effective!$E$3:$R$125,MATCH($B317,Effective!$A$3:$A$125,0),MATCH($D317,Effective!$E$2:$R$2,0))),"")</f>
        <v/>
      </c>
      <c r="H317" s="31" t="n"/>
      <c r="I317" s="17" t="inlineStr">
        <is>
          <t>override</t>
        </is>
      </c>
      <c r="J317" s="32" t="n">
        <v>0.992</v>
      </c>
      <c r="K317" s="33">
        <f>IF(AND(IF($I318&lt;&gt;"",$I318,$I317)="override",$J317&lt;&gt;""),$J317,SUMIFS(Assumptions!$K$4:$K$8,Assumptions!$J$4:$J$8,$C317))*Assumptions!$S$10*(1-MIN(1,MAX(N($H317),N($H318))))</f>
        <v/>
      </c>
      <c r="L317" s="32" t="n"/>
      <c r="M317" s="34">
        <f>IF(AND(IF($I318&lt;&gt;"",$I318,$I317)="override",$L317&lt;&gt;""),$L317,SUMIFS(Assumptions!$P$4:$P$103,Assumptions!$M$4:$M$103,$C317,Assumptions!$N$4:$N$103,$E317,Assumptions!$O$4:$O$103,"LVN"))</f>
        <v/>
      </c>
      <c r="N317" s="32" t="n"/>
      <c r="O317" s="34">
        <f>IF(AND(IF($I318&lt;&gt;"",$I318,$I317)="override",$N317&lt;&gt;""),$N317,SUMIFS(Assumptions!$P$4:$P$103,Assumptions!$M$4:$M$103,$C317,Assumptions!$N$4:$N$103,$E317,Assumptions!$O$4:$O$103,"HVN"))</f>
        <v/>
      </c>
      <c r="P317" s="34">
        <f>(M317+O317)*Assumptions!$S$11</f>
        <v/>
      </c>
      <c r="Q317" s="35">
        <f>$F317*$K317*$P317</f>
        <v/>
      </c>
    </row>
    <row r="318">
      <c r="A318" s="24" t="inlineStr">
        <is>
          <t>TOTAL</t>
        </is>
      </c>
      <c r="B318" s="36" t="inlineStr">
        <is>
          <t>MPC_GALV_BAY</t>
        </is>
      </c>
      <c r="C318" s="36" t="n">
        <v>3</v>
      </c>
      <c r="D318" s="36" t="inlineStr">
        <is>
          <t>NET NAPHTHA</t>
        </is>
      </c>
      <c r="H318" s="31" t="n"/>
      <c r="I318" s="17" t="n"/>
      <c r="Q318" s="37">
        <f>SUM(Q309:Q317)</f>
        <v/>
      </c>
    </row>
    <row r="320" ht="20" customHeight="1">
      <c r="A320" s="8">
        <f>"  Motiva Port Arthur  [MOTIVA_PAR]   —   Saudi Aramco   —   PADD 3   —   crude "&amp;TEXT(SUMIFS(Data!$G$3:$G$125,Data!$A$3:$A$125,"MOTIVA_PAR"),"#,##0")&amp;" kbd"</f>
        <v/>
      </c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</row>
    <row r="321">
      <c r="A321" s="11" t="inlineStr">
        <is>
          <t>UNIT</t>
        </is>
      </c>
      <c r="B321" s="28" t="inlineStr">
        <is>
          <t>MOTIVA_PAR</t>
        </is>
      </c>
      <c r="C321" s="28" t="n">
        <v>3</v>
      </c>
      <c r="D321" s="28" t="inlineStr">
        <is>
          <t>CDU</t>
        </is>
      </c>
      <c r="E321" s="28" t="inlineStr">
        <is>
          <t>CDU</t>
        </is>
      </c>
      <c r="F321" s="29" t="n">
        <v>654</v>
      </c>
      <c r="G321" s="30">
        <f>IFERROR(IF(INDEX(Effective!$E$3:$R$125,MATCH($B321,Effective!$A$3:$A$125,0),MATCH($D321,Effective!$E$2:$R$2,0))=0,"",INDEX(Effective!$E$3:$R$125,MATCH($B321,Effective!$A$3:$A$125,0),MATCH($D321,Effective!$E$2:$R$2,0))),"")</f>
        <v/>
      </c>
      <c r="H321" s="31" t="n"/>
      <c r="I321" s="17" t="inlineStr">
        <is>
          <t>override</t>
        </is>
      </c>
      <c r="J321" s="32" t="n">
        <v>0.944</v>
      </c>
      <c r="K321" s="33">
        <f>IF(AND(IF($I330&lt;&gt;"",$I330,$I321)="override",$J321&lt;&gt;""),$J321,SUMIFS(Assumptions!$K$4:$K$8,Assumptions!$J$4:$J$8,$C321))*Assumptions!$S$10*(1-MIN(1,MAX(N($H321),N($H330))))</f>
        <v/>
      </c>
      <c r="L321" s="32" t="n"/>
      <c r="M321" s="34">
        <f>IF(AND(IF($I330&lt;&gt;"",$I330,$I321)="override",$L321&lt;&gt;""),$L321,SUMIFS(Assumptions!$P$4:$P$103,Assumptions!$M$4:$M$103,$C321,Assumptions!$N$4:$N$103,$E321,Assumptions!$O$4:$O$103,"LVN"))</f>
        <v/>
      </c>
      <c r="N321" s="32" t="n"/>
      <c r="O321" s="34">
        <f>IF(AND(IF($I330&lt;&gt;"",$I330,$I321)="override",$N321&lt;&gt;""),$N321,SUMIFS(Assumptions!$P$4:$P$103,Assumptions!$M$4:$M$103,$C321,Assumptions!$N$4:$N$103,$E321,Assumptions!$O$4:$O$103,"HVN"))</f>
        <v/>
      </c>
      <c r="P321" s="34">
        <f>(M321+O321)*Assumptions!$S$11</f>
        <v/>
      </c>
      <c r="Q321" s="35">
        <f>$F321*$K321*$P321</f>
        <v/>
      </c>
    </row>
    <row r="322">
      <c r="A322" s="11" t="inlineStr">
        <is>
          <t>UNIT</t>
        </is>
      </c>
      <c r="B322" s="28" t="inlineStr">
        <is>
          <t>MOTIVA_PAR</t>
        </is>
      </c>
      <c r="C322" s="28" t="n">
        <v>3</v>
      </c>
      <c r="D322" s="28" t="inlineStr">
        <is>
          <t>VDU</t>
        </is>
      </c>
      <c r="E322" s="28" t="inlineStr">
        <is>
          <t>VDU</t>
        </is>
      </c>
      <c r="F322" s="29" t="n">
        <v>331.8</v>
      </c>
      <c r="G322" s="30">
        <f>IFERROR(IF(INDEX(Effective!$E$3:$R$125,MATCH($B322,Effective!$A$3:$A$125,0),MATCH($D322,Effective!$E$2:$R$2,0))=0,"",INDEX(Effective!$E$3:$R$125,MATCH($B322,Effective!$A$3:$A$125,0),MATCH($D322,Effective!$E$2:$R$2,0))),"")</f>
        <v/>
      </c>
      <c r="H322" s="31" t="n"/>
      <c r="I322" s="17" t="inlineStr">
        <is>
          <t>override</t>
        </is>
      </c>
      <c r="J322" s="32" t="n">
        <v>0.739</v>
      </c>
      <c r="K322" s="33">
        <f>IF(AND(IF($I330&lt;&gt;"",$I330,$I322)="override",$J322&lt;&gt;""),$J322,SUMIFS(Assumptions!$K$4:$K$8,Assumptions!$J$4:$J$8,$C322))*Assumptions!$S$10*(1-MIN(1,MAX(N($H322),N($H330))))</f>
        <v/>
      </c>
      <c r="L322" s="32" t="n"/>
      <c r="M322" s="34">
        <f>IF(AND(IF($I330&lt;&gt;"",$I330,$I322)="override",$L322&lt;&gt;""),$L322,SUMIFS(Assumptions!$P$4:$P$103,Assumptions!$M$4:$M$103,$C322,Assumptions!$N$4:$N$103,$E322,Assumptions!$O$4:$O$103,"LVN"))</f>
        <v/>
      </c>
      <c r="N322" s="32" t="n"/>
      <c r="O322" s="34">
        <f>IF(AND(IF($I330&lt;&gt;"",$I330,$I322)="override",$N322&lt;&gt;""),$N322,SUMIFS(Assumptions!$P$4:$P$103,Assumptions!$M$4:$M$103,$C322,Assumptions!$N$4:$N$103,$E322,Assumptions!$O$4:$O$103,"HVN"))</f>
        <v/>
      </c>
      <c r="P322" s="34">
        <f>(M322+O322)*Assumptions!$S$11</f>
        <v/>
      </c>
      <c r="Q322" s="35">
        <f>$F322*$K322*$P322</f>
        <v/>
      </c>
    </row>
    <row r="323">
      <c r="A323" s="11" t="inlineStr">
        <is>
          <t>UNIT</t>
        </is>
      </c>
      <c r="B323" s="28" t="inlineStr">
        <is>
          <t>MOTIVA_PAR</t>
        </is>
      </c>
      <c r="C323" s="28" t="n">
        <v>3</v>
      </c>
      <c r="D323" s="28" t="inlineStr">
        <is>
          <t>FCC</t>
        </is>
      </c>
      <c r="E323" s="28" t="inlineStr">
        <is>
          <t>FCC</t>
        </is>
      </c>
      <c r="F323" s="29" t="n">
        <v>92.59999999999999</v>
      </c>
      <c r="G323" s="30">
        <f>IFERROR(IF(INDEX(Effective!$E$3:$R$125,MATCH($B323,Effective!$A$3:$A$125,0),MATCH($D323,Effective!$E$2:$R$2,0))=0,"",INDEX(Effective!$E$3:$R$125,MATCH($B323,Effective!$A$3:$A$125,0),MATCH($D323,Effective!$E$2:$R$2,0))),"")</f>
        <v/>
      </c>
      <c r="H323" s="31" t="n"/>
      <c r="I323" s="17" t="inlineStr">
        <is>
          <t>override</t>
        </is>
      </c>
      <c r="J323" s="32" t="n">
        <v>0.746</v>
      </c>
      <c r="K323" s="33">
        <f>IF(AND(IF($I330&lt;&gt;"",$I330,$I323)="override",$J323&lt;&gt;""),$J323,SUMIFS(Assumptions!$K$4:$K$8,Assumptions!$J$4:$J$8,$C323))*Assumptions!$S$10*(1-MIN(1,MAX(N($H323),N($H330))))</f>
        <v/>
      </c>
      <c r="L323" s="32" t="n"/>
      <c r="M323" s="34">
        <f>IF(AND(IF($I330&lt;&gt;"",$I330,$I323)="override",$L323&lt;&gt;""),$L323,SUMIFS(Assumptions!$P$4:$P$103,Assumptions!$M$4:$M$103,$C323,Assumptions!$N$4:$N$103,$E323,Assumptions!$O$4:$O$103,"LVN"))</f>
        <v/>
      </c>
      <c r="N323" s="32" t="n"/>
      <c r="O323" s="34">
        <f>IF(AND(IF($I330&lt;&gt;"",$I330,$I323)="override",$N323&lt;&gt;""),$N323,SUMIFS(Assumptions!$P$4:$P$103,Assumptions!$M$4:$M$103,$C323,Assumptions!$N$4:$N$103,$E323,Assumptions!$O$4:$O$103,"HVN"))</f>
        <v/>
      </c>
      <c r="P323" s="34">
        <f>(M323+O323)*Assumptions!$S$11</f>
        <v/>
      </c>
      <c r="Q323" s="35">
        <f>$F323*$K323*$P323</f>
        <v/>
      </c>
    </row>
    <row r="324">
      <c r="A324" s="11" t="inlineStr">
        <is>
          <t>UNIT</t>
        </is>
      </c>
      <c r="B324" s="28" t="inlineStr">
        <is>
          <t>MOTIVA_PAR</t>
        </is>
      </c>
      <c r="C324" s="28" t="n">
        <v>3</v>
      </c>
      <c r="D324" s="28" t="inlineStr">
        <is>
          <t>DHCU</t>
        </is>
      </c>
      <c r="E324" s="28" t="inlineStr">
        <is>
          <t>HYDROCRACKER</t>
        </is>
      </c>
      <c r="F324" s="29" t="n">
        <v>112</v>
      </c>
      <c r="G324" s="30">
        <f>IFERROR(IF(INDEX(Effective!$E$3:$R$125,MATCH($B324,Effective!$A$3:$A$125,0),MATCH($D324,Effective!$E$2:$R$2,0))=0,"",INDEX(Effective!$E$3:$R$125,MATCH($B324,Effective!$A$3:$A$125,0),MATCH($D324,Effective!$E$2:$R$2,0))),"")</f>
        <v/>
      </c>
      <c r="H324" s="31" t="n"/>
      <c r="I324" s="17" t="inlineStr">
        <is>
          <t>override</t>
        </is>
      </c>
      <c r="J324" s="32" t="n">
        <v>0.766</v>
      </c>
      <c r="K324" s="33">
        <f>IF(AND(IF($I330&lt;&gt;"",$I330,$I324)="override",$J324&lt;&gt;""),$J324,SUMIFS(Assumptions!$K$4:$K$8,Assumptions!$J$4:$J$8,$C324))*Assumptions!$S$10*(1-MIN(1,MAX(N($H324),N($H330))))</f>
        <v/>
      </c>
      <c r="L324" s="32" t="n"/>
      <c r="M324" s="34">
        <f>IF(AND(IF($I330&lt;&gt;"",$I330,$I324)="override",$L324&lt;&gt;""),$L324,SUMIFS(Assumptions!$P$4:$P$103,Assumptions!$M$4:$M$103,$C324,Assumptions!$N$4:$N$103,$E324,Assumptions!$O$4:$O$103,"LVN"))</f>
        <v/>
      </c>
      <c r="N324" s="32" t="n"/>
      <c r="O324" s="34">
        <f>IF(AND(IF($I330&lt;&gt;"",$I330,$I324)="override",$N324&lt;&gt;""),$N324,SUMIFS(Assumptions!$P$4:$P$103,Assumptions!$M$4:$M$103,$C324,Assumptions!$N$4:$N$103,$E324,Assumptions!$O$4:$O$103,"HVN"))</f>
        <v/>
      </c>
      <c r="P324" s="34">
        <f>(M324+O324)*Assumptions!$S$11</f>
        <v/>
      </c>
      <c r="Q324" s="35">
        <f>$F324*$K324*$P324</f>
        <v/>
      </c>
    </row>
    <row r="325">
      <c r="A325" s="11" t="inlineStr">
        <is>
          <t>UNIT</t>
        </is>
      </c>
      <c r="B325" s="28" t="inlineStr">
        <is>
          <t>MOTIVA_PAR</t>
        </is>
      </c>
      <c r="C325" s="28" t="n">
        <v>3</v>
      </c>
      <c r="D325" s="28" t="inlineStr">
        <is>
          <t>COKER</t>
        </is>
      </c>
      <c r="E325" s="28" t="inlineStr">
        <is>
          <t>COKER</t>
        </is>
      </c>
      <c r="F325" s="29" t="n">
        <v>178</v>
      </c>
      <c r="G325" s="30">
        <f>IFERROR(IF(INDEX(Effective!$E$3:$R$125,MATCH($B325,Effective!$A$3:$A$125,0),MATCH($D325,Effective!$E$2:$R$2,0))=0,"",INDEX(Effective!$E$3:$R$125,MATCH($B325,Effective!$A$3:$A$125,0),MATCH($D325,Effective!$E$2:$R$2,0))),"")</f>
        <v/>
      </c>
      <c r="H325" s="31" t="n"/>
      <c r="I325" s="17" t="inlineStr">
        <is>
          <t>override</t>
        </is>
      </c>
      <c r="J325" s="32" t="n">
        <v>0.613</v>
      </c>
      <c r="K325" s="33">
        <f>IF(AND(IF($I330&lt;&gt;"",$I330,$I325)="override",$J325&lt;&gt;""),$J325,SUMIFS(Assumptions!$K$4:$K$8,Assumptions!$J$4:$J$8,$C325))*Assumptions!$S$10*(1-MIN(1,MAX(N($H325),N($H330))))</f>
        <v/>
      </c>
      <c r="L325" s="32" t="n"/>
      <c r="M325" s="34">
        <f>IF(AND(IF($I330&lt;&gt;"",$I330,$I325)="override",$L325&lt;&gt;""),$L325,SUMIFS(Assumptions!$P$4:$P$103,Assumptions!$M$4:$M$103,$C325,Assumptions!$N$4:$N$103,$E325,Assumptions!$O$4:$O$103,"LVN"))</f>
        <v/>
      </c>
      <c r="N325" s="32" t="n"/>
      <c r="O325" s="34">
        <f>IF(AND(IF($I330&lt;&gt;"",$I330,$I325)="override",$N325&lt;&gt;""),$N325,SUMIFS(Assumptions!$P$4:$P$103,Assumptions!$M$4:$M$103,$C325,Assumptions!$N$4:$N$103,$E325,Assumptions!$O$4:$O$103,"HVN"))</f>
        <v/>
      </c>
      <c r="P325" s="34">
        <f>(M325+O325)*Assumptions!$S$11</f>
        <v/>
      </c>
      <c r="Q325" s="35">
        <f>$F325*$K325*$P325</f>
        <v/>
      </c>
    </row>
    <row r="326">
      <c r="A326" s="11" t="inlineStr">
        <is>
          <t>UNIT</t>
        </is>
      </c>
      <c r="B326" s="28" t="inlineStr">
        <is>
          <t>MOTIVA_PAR</t>
        </is>
      </c>
      <c r="C326" s="28" t="n">
        <v>3</v>
      </c>
      <c r="D326" s="28" t="inlineStr">
        <is>
          <t>CCR</t>
        </is>
      </c>
      <c r="E326" s="28" t="inlineStr">
        <is>
          <t>REFORMER</t>
        </is>
      </c>
      <c r="F326" s="29" t="n">
        <v>129.5</v>
      </c>
      <c r="G326" s="30">
        <f>IFERROR(IF(INDEX(Effective!$E$3:$R$125,MATCH($B326,Effective!$A$3:$A$125,0),MATCH($D326,Effective!$E$2:$R$2,0))=0,"",INDEX(Effective!$E$3:$R$125,MATCH($B326,Effective!$A$3:$A$125,0),MATCH($D326,Effective!$E$2:$R$2,0))),"")</f>
        <v/>
      </c>
      <c r="H326" s="31" t="n"/>
      <c r="I326" s="17" t="inlineStr">
        <is>
          <t>override</t>
        </is>
      </c>
      <c r="J326" s="32" t="n">
        <v>0.971</v>
      </c>
      <c r="K326" s="33">
        <f>IF(AND(IF($I330&lt;&gt;"",$I330,$I326)="override",$J326&lt;&gt;""),$J326,SUMIFS(Assumptions!$K$4:$K$8,Assumptions!$J$4:$J$8,$C326))*Assumptions!$S$10*(1-MIN(1,MAX(N($H326),N($H330))))</f>
        <v/>
      </c>
      <c r="L326" s="32" t="n"/>
      <c r="M326" s="34">
        <f>IF(AND(IF($I330&lt;&gt;"",$I330,$I326)="override",$L326&lt;&gt;""),$L326,SUMIFS(Assumptions!$P$4:$P$103,Assumptions!$M$4:$M$103,$C326,Assumptions!$N$4:$N$103,$E326,Assumptions!$O$4:$O$103,"LVN"))</f>
        <v/>
      </c>
      <c r="N326" s="32" t="n"/>
      <c r="O326" s="34">
        <f>IF(AND(IF($I330&lt;&gt;"",$I330,$I326)="override",$N326&lt;&gt;""),$N326,SUMIFS(Assumptions!$P$4:$P$103,Assumptions!$M$4:$M$103,$C326,Assumptions!$N$4:$N$103,$E326,Assumptions!$O$4:$O$103,"HVN"))</f>
        <v/>
      </c>
      <c r="P326" s="34">
        <f>(M326+O326)*Assumptions!$S$11</f>
        <v/>
      </c>
      <c r="Q326" s="35">
        <f>$F326*$K326*$P326</f>
        <v/>
      </c>
    </row>
    <row r="327">
      <c r="A327" s="11" t="inlineStr">
        <is>
          <t>UNIT</t>
        </is>
      </c>
      <c r="B327" s="28" t="inlineStr">
        <is>
          <t>MOTIVA_PAR</t>
        </is>
      </c>
      <c r="C327" s="28" t="n">
        <v>3</v>
      </c>
      <c r="D327" s="28" t="inlineStr">
        <is>
          <t>ISOM</t>
        </is>
      </c>
      <c r="E327" s="28" t="inlineStr">
        <is>
          <t>ISOM</t>
        </is>
      </c>
      <c r="F327" s="29" t="n">
        <v>49.14</v>
      </c>
      <c r="G327" s="30">
        <f>IFERROR(IF(INDEX(Effective!$E$3:$R$125,MATCH($B327,Effective!$A$3:$A$125,0),MATCH($D327,Effective!$E$2:$R$2,0))=0,"",INDEX(Effective!$E$3:$R$125,MATCH($B327,Effective!$A$3:$A$125,0),MATCH($D327,Effective!$E$2:$R$2,0))),"")</f>
        <v/>
      </c>
      <c r="H327" s="31" t="n"/>
      <c r="I327" s="17" t="inlineStr">
        <is>
          <t>override</t>
        </is>
      </c>
      <c r="J327" s="32" t="n">
        <v>0.859</v>
      </c>
      <c r="K327" s="33">
        <f>IF(AND(IF($I330&lt;&gt;"",$I330,$I327)="override",$J327&lt;&gt;""),$J327,SUMIFS(Assumptions!$K$4:$K$8,Assumptions!$J$4:$J$8,$C327))*Assumptions!$S$10*(1-MIN(1,MAX(N($H327),N($H330))))</f>
        <v/>
      </c>
      <c r="L327" s="32" t="n"/>
      <c r="M327" s="34">
        <f>IF(AND(IF($I330&lt;&gt;"",$I330,$I327)="override",$L327&lt;&gt;""),$L327,SUMIFS(Assumptions!$P$4:$P$103,Assumptions!$M$4:$M$103,$C327,Assumptions!$N$4:$N$103,$E327,Assumptions!$O$4:$O$103,"LVN"))</f>
        <v/>
      </c>
      <c r="N327" s="32" t="n"/>
      <c r="O327" s="34">
        <f>IF(AND(IF($I330&lt;&gt;"",$I330,$I327)="override",$N327&lt;&gt;""),$N327,SUMIFS(Assumptions!$P$4:$P$103,Assumptions!$M$4:$M$103,$C327,Assumptions!$N$4:$N$103,$E327,Assumptions!$O$4:$O$103,"HVN"))</f>
        <v/>
      </c>
      <c r="P327" s="34">
        <f>(M327+O327)*Assumptions!$S$11</f>
        <v/>
      </c>
      <c r="Q327" s="35">
        <f>$F327*$K327*$P327</f>
        <v/>
      </c>
    </row>
    <row r="328">
      <c r="A328" s="11" t="inlineStr">
        <is>
          <t>UNIT</t>
        </is>
      </c>
      <c r="B328" s="28" t="inlineStr">
        <is>
          <t>MOTIVA_PAR</t>
        </is>
      </c>
      <c r="C328" s="28" t="n">
        <v>3</v>
      </c>
      <c r="D328" s="28" t="inlineStr">
        <is>
          <t>ALKY</t>
        </is>
      </c>
      <c r="E328" s="28" t="inlineStr">
        <is>
          <t>ALKY</t>
        </is>
      </c>
      <c r="F328" s="29" t="n">
        <v>20.5</v>
      </c>
      <c r="G328" s="30">
        <f>IFERROR(IF(INDEX(Effective!$E$3:$R$125,MATCH($B328,Effective!$A$3:$A$125,0),MATCH($D328,Effective!$E$2:$R$2,0))=0,"",INDEX(Effective!$E$3:$R$125,MATCH($B328,Effective!$A$3:$A$125,0),MATCH($D328,Effective!$E$2:$R$2,0))),"")</f>
        <v/>
      </c>
      <c r="H328" s="31" t="n"/>
      <c r="I328" s="17" t="inlineStr">
        <is>
          <t>override</t>
        </is>
      </c>
      <c r="J328" s="32" t="n">
        <v>1.001</v>
      </c>
      <c r="K328" s="33">
        <f>IF(AND(IF($I330&lt;&gt;"",$I330,$I328)="override",$J328&lt;&gt;""),$J328,SUMIFS(Assumptions!$K$4:$K$8,Assumptions!$J$4:$J$8,$C328))*Assumptions!$S$10*(1-MIN(1,MAX(N($H328),N($H330))))</f>
        <v/>
      </c>
      <c r="L328" s="32" t="n"/>
      <c r="M328" s="34">
        <f>IF(AND(IF($I330&lt;&gt;"",$I330,$I328)="override",$L328&lt;&gt;""),$L328,SUMIFS(Assumptions!$P$4:$P$103,Assumptions!$M$4:$M$103,$C328,Assumptions!$N$4:$N$103,$E328,Assumptions!$O$4:$O$103,"LVN"))</f>
        <v/>
      </c>
      <c r="N328" s="32" t="n"/>
      <c r="O328" s="34">
        <f>IF(AND(IF($I330&lt;&gt;"",$I330,$I328)="override",$N328&lt;&gt;""),$N328,SUMIFS(Assumptions!$P$4:$P$103,Assumptions!$M$4:$M$103,$C328,Assumptions!$N$4:$N$103,$E328,Assumptions!$O$4:$O$103,"HVN"))</f>
        <v/>
      </c>
      <c r="P328" s="34">
        <f>(M328+O328)*Assumptions!$S$11</f>
        <v/>
      </c>
      <c r="Q328" s="35">
        <f>$F328*$K328*$P328</f>
        <v/>
      </c>
    </row>
    <row r="329">
      <c r="A329" s="11" t="inlineStr">
        <is>
          <t>UNIT</t>
        </is>
      </c>
      <c r="B329" s="28" t="inlineStr">
        <is>
          <t>MOTIVA_PAR</t>
        </is>
      </c>
      <c r="C329" s="28" t="n">
        <v>3</v>
      </c>
      <c r="D329" s="28" t="inlineStr">
        <is>
          <t>NHT</t>
        </is>
      </c>
      <c r="E329" s="28" t="inlineStr">
        <is>
          <t>NHT</t>
        </is>
      </c>
      <c r="F329" s="29" t="n">
        <v>165.4</v>
      </c>
      <c r="G329" s="30">
        <f>IFERROR(IF(INDEX(Effective!$E$3:$R$125,MATCH($B329,Effective!$A$3:$A$125,0),MATCH($D329,Effective!$E$2:$R$2,0))=0,"",INDEX(Effective!$E$3:$R$125,MATCH($B329,Effective!$A$3:$A$125,0),MATCH($D329,Effective!$E$2:$R$2,0))),"")</f>
        <v/>
      </c>
      <c r="H329" s="31" t="n"/>
      <c r="I329" s="17" t="inlineStr">
        <is>
          <t>override</t>
        </is>
      </c>
      <c r="J329" s="32" t="n">
        <v>0.9409999999999999</v>
      </c>
      <c r="K329" s="33">
        <f>IF(AND(IF($I330&lt;&gt;"",$I330,$I329)="override",$J329&lt;&gt;""),$J329,SUMIFS(Assumptions!$K$4:$K$8,Assumptions!$J$4:$J$8,$C329))*Assumptions!$S$10*(1-MIN(1,MAX(N($H329),N($H330))))</f>
        <v/>
      </c>
      <c r="L329" s="32" t="n"/>
      <c r="M329" s="34">
        <f>IF(AND(IF($I330&lt;&gt;"",$I330,$I329)="override",$L329&lt;&gt;""),$L329,SUMIFS(Assumptions!$P$4:$P$103,Assumptions!$M$4:$M$103,$C329,Assumptions!$N$4:$N$103,$E329,Assumptions!$O$4:$O$103,"LVN"))</f>
        <v/>
      </c>
      <c r="N329" s="32" t="n"/>
      <c r="O329" s="34">
        <f>IF(AND(IF($I330&lt;&gt;"",$I330,$I329)="override",$N329&lt;&gt;""),$N329,SUMIFS(Assumptions!$P$4:$P$103,Assumptions!$M$4:$M$103,$C329,Assumptions!$N$4:$N$103,$E329,Assumptions!$O$4:$O$103,"HVN"))</f>
        <v/>
      </c>
      <c r="P329" s="34">
        <f>(M329+O329)*Assumptions!$S$11</f>
        <v/>
      </c>
      <c r="Q329" s="35">
        <f>$F329*$K329*$P329</f>
        <v/>
      </c>
    </row>
    <row r="330">
      <c r="A330" s="24" t="inlineStr">
        <is>
          <t>TOTAL</t>
        </is>
      </c>
      <c r="B330" s="36" t="inlineStr">
        <is>
          <t>MOTIVA_PAR</t>
        </is>
      </c>
      <c r="C330" s="36" t="n">
        <v>3</v>
      </c>
      <c r="D330" s="36" t="inlineStr">
        <is>
          <t>NET NAPHTHA</t>
        </is>
      </c>
      <c r="H330" s="31" t="n"/>
      <c r="I330" s="17" t="n"/>
      <c r="Q330" s="37">
        <f>SUM(Q321:Q329)</f>
        <v/>
      </c>
    </row>
    <row r="332" ht="20" customHeight="1">
      <c r="A332" s="8">
        <f>"  ExxonMobil Beaumont  [EXXONMOBIL_BEAUMONT]   —   ExxonMobil   —   PADD 3   —   crude "&amp;TEXT(SUMIFS(Data!$G$3:$G$125,Data!$A$3:$A$125,"EXXONMOBIL_BEAUMONT"),"#,##0")&amp;" kbd"</f>
        <v/>
      </c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</row>
    <row r="333">
      <c r="A333" s="11" t="inlineStr">
        <is>
          <t>UNIT</t>
        </is>
      </c>
      <c r="B333" s="28" t="inlineStr">
        <is>
          <t>EXXONMOBIL_BEAUMONT</t>
        </is>
      </c>
      <c r="C333" s="28" t="n">
        <v>3</v>
      </c>
      <c r="D333" s="28" t="inlineStr">
        <is>
          <t>CDU</t>
        </is>
      </c>
      <c r="E333" s="28" t="inlineStr">
        <is>
          <t>CDU</t>
        </is>
      </c>
      <c r="F333" s="29" t="n">
        <v>634.4</v>
      </c>
      <c r="G333" s="30">
        <f>IFERROR(IF(INDEX(Effective!$E$3:$R$125,MATCH($B333,Effective!$A$3:$A$125,0),MATCH($D333,Effective!$E$2:$R$2,0))=0,"",INDEX(Effective!$E$3:$R$125,MATCH($B333,Effective!$A$3:$A$125,0),MATCH($D333,Effective!$E$2:$R$2,0))),"")</f>
        <v/>
      </c>
      <c r="H333" s="31" t="n"/>
      <c r="I333" s="17" t="inlineStr">
        <is>
          <t>override</t>
        </is>
      </c>
      <c r="J333" s="32" t="n">
        <v>1.1</v>
      </c>
      <c r="K333" s="33">
        <f>IF(AND(IF($I342&lt;&gt;"",$I342,$I333)="override",$J333&lt;&gt;""),$J333,SUMIFS(Assumptions!$K$4:$K$8,Assumptions!$J$4:$J$8,$C333))*Assumptions!$S$10*(1-MIN(1,MAX(N($H333),N($H342))))</f>
        <v/>
      </c>
      <c r="L333" s="32" t="n"/>
      <c r="M333" s="34">
        <f>IF(AND(IF($I342&lt;&gt;"",$I342,$I333)="override",$L333&lt;&gt;""),$L333,SUMIFS(Assumptions!$P$4:$P$103,Assumptions!$M$4:$M$103,$C333,Assumptions!$N$4:$N$103,$E333,Assumptions!$O$4:$O$103,"LVN"))</f>
        <v/>
      </c>
      <c r="N333" s="32" t="n"/>
      <c r="O333" s="34">
        <f>IF(AND(IF($I342&lt;&gt;"",$I342,$I333)="override",$N333&lt;&gt;""),$N333,SUMIFS(Assumptions!$P$4:$P$103,Assumptions!$M$4:$M$103,$C333,Assumptions!$N$4:$N$103,$E333,Assumptions!$O$4:$O$103,"HVN"))</f>
        <v/>
      </c>
      <c r="P333" s="34">
        <f>(M333+O333)*Assumptions!$S$11</f>
        <v/>
      </c>
      <c r="Q333" s="35">
        <f>$F333*$K333*$P333</f>
        <v/>
      </c>
    </row>
    <row r="334">
      <c r="A334" s="11" t="inlineStr">
        <is>
          <t>UNIT</t>
        </is>
      </c>
      <c r="B334" s="28" t="inlineStr">
        <is>
          <t>EXXONMOBIL_BEAUMONT</t>
        </is>
      </c>
      <c r="C334" s="28" t="n">
        <v>3</v>
      </c>
      <c r="D334" s="28" t="inlineStr">
        <is>
          <t>VDU</t>
        </is>
      </c>
      <c r="E334" s="28" t="inlineStr">
        <is>
          <t>VDU</t>
        </is>
      </c>
      <c r="F334" s="29" t="n">
        <v>148.8</v>
      </c>
      <c r="G334" s="30">
        <f>IFERROR(IF(INDEX(Effective!$E$3:$R$125,MATCH($B334,Effective!$A$3:$A$125,0),MATCH($D334,Effective!$E$2:$R$2,0))=0,"",INDEX(Effective!$E$3:$R$125,MATCH($B334,Effective!$A$3:$A$125,0),MATCH($D334,Effective!$E$2:$R$2,0))),"")</f>
        <v/>
      </c>
      <c r="H334" s="31" t="n"/>
      <c r="I334" s="17" t="inlineStr">
        <is>
          <t>override</t>
        </is>
      </c>
      <c r="J334" s="32" t="n">
        <v>0.922</v>
      </c>
      <c r="K334" s="33">
        <f>IF(AND(IF($I342&lt;&gt;"",$I342,$I334)="override",$J334&lt;&gt;""),$J334,SUMIFS(Assumptions!$K$4:$K$8,Assumptions!$J$4:$J$8,$C334))*Assumptions!$S$10*(1-MIN(1,MAX(N($H334),N($H342))))</f>
        <v/>
      </c>
      <c r="L334" s="32" t="n"/>
      <c r="M334" s="34">
        <f>IF(AND(IF($I342&lt;&gt;"",$I342,$I334)="override",$L334&lt;&gt;""),$L334,SUMIFS(Assumptions!$P$4:$P$103,Assumptions!$M$4:$M$103,$C334,Assumptions!$N$4:$N$103,$E334,Assumptions!$O$4:$O$103,"LVN"))</f>
        <v/>
      </c>
      <c r="N334" s="32" t="n"/>
      <c r="O334" s="34">
        <f>IF(AND(IF($I342&lt;&gt;"",$I342,$I334)="override",$N334&lt;&gt;""),$N334,SUMIFS(Assumptions!$P$4:$P$103,Assumptions!$M$4:$M$103,$C334,Assumptions!$N$4:$N$103,$E334,Assumptions!$O$4:$O$103,"HVN"))</f>
        <v/>
      </c>
      <c r="P334" s="34">
        <f>(M334+O334)*Assumptions!$S$11</f>
        <v/>
      </c>
      <c r="Q334" s="35">
        <f>$F334*$K334*$P334</f>
        <v/>
      </c>
    </row>
    <row r="335">
      <c r="A335" s="11" t="inlineStr">
        <is>
          <t>UNIT</t>
        </is>
      </c>
      <c r="B335" s="28" t="inlineStr">
        <is>
          <t>EXXONMOBIL_BEAUMONT</t>
        </is>
      </c>
      <c r="C335" s="28" t="n">
        <v>3</v>
      </c>
      <c r="D335" s="28" t="inlineStr">
        <is>
          <t>FCC</t>
        </is>
      </c>
      <c r="E335" s="28" t="inlineStr">
        <is>
          <t>FCC</t>
        </is>
      </c>
      <c r="F335" s="29" t="n">
        <v>115</v>
      </c>
      <c r="G335" s="30">
        <f>IFERROR(IF(INDEX(Effective!$E$3:$R$125,MATCH($B335,Effective!$A$3:$A$125,0),MATCH($D335,Effective!$E$2:$R$2,0))=0,"",INDEX(Effective!$E$3:$R$125,MATCH($B335,Effective!$A$3:$A$125,0),MATCH($D335,Effective!$E$2:$R$2,0))),"")</f>
        <v/>
      </c>
      <c r="H335" s="31" t="n"/>
      <c r="I335" s="17" t="inlineStr">
        <is>
          <t>override</t>
        </is>
      </c>
      <c r="J335" s="32" t="n"/>
      <c r="K335" s="33">
        <f>IF(AND(IF($I342&lt;&gt;"",$I342,$I335)="override",$J335&lt;&gt;""),$J335,SUMIFS(Assumptions!$K$4:$K$8,Assumptions!$J$4:$J$8,$C335))*Assumptions!$S$10*(1-MIN(1,MAX(N($H335),N($H342))))</f>
        <v/>
      </c>
      <c r="L335" s="32" t="n"/>
      <c r="M335" s="34">
        <f>IF(AND(IF($I342&lt;&gt;"",$I342,$I335)="override",$L335&lt;&gt;""),$L335,SUMIFS(Assumptions!$P$4:$P$103,Assumptions!$M$4:$M$103,$C335,Assumptions!$N$4:$N$103,$E335,Assumptions!$O$4:$O$103,"LVN"))</f>
        <v/>
      </c>
      <c r="N335" s="32" t="n"/>
      <c r="O335" s="34">
        <f>IF(AND(IF($I342&lt;&gt;"",$I342,$I335)="override",$N335&lt;&gt;""),$N335,SUMIFS(Assumptions!$P$4:$P$103,Assumptions!$M$4:$M$103,$C335,Assumptions!$N$4:$N$103,$E335,Assumptions!$O$4:$O$103,"HVN"))</f>
        <v/>
      </c>
      <c r="P335" s="34">
        <f>(M335+O335)*Assumptions!$S$11</f>
        <v/>
      </c>
      <c r="Q335" s="35">
        <f>$F335*$K335*$P335</f>
        <v/>
      </c>
    </row>
    <row r="336">
      <c r="A336" s="11" t="inlineStr">
        <is>
          <t>UNIT</t>
        </is>
      </c>
      <c r="B336" s="28" t="inlineStr">
        <is>
          <t>EXXONMOBIL_BEAUMONT</t>
        </is>
      </c>
      <c r="C336" s="28" t="n">
        <v>3</v>
      </c>
      <c r="D336" s="28" t="inlineStr">
        <is>
          <t>DHCU</t>
        </is>
      </c>
      <c r="E336" s="28" t="inlineStr">
        <is>
          <t>HYDROCRACKER</t>
        </is>
      </c>
      <c r="F336" s="29" t="n">
        <v>70</v>
      </c>
      <c r="G336" s="30">
        <f>IFERROR(IF(INDEX(Effective!$E$3:$R$125,MATCH($B336,Effective!$A$3:$A$125,0),MATCH($D336,Effective!$E$2:$R$2,0))=0,"",INDEX(Effective!$E$3:$R$125,MATCH($B336,Effective!$A$3:$A$125,0),MATCH($D336,Effective!$E$2:$R$2,0))),"")</f>
        <v/>
      </c>
      <c r="H336" s="31" t="n"/>
      <c r="I336" s="17" t="inlineStr">
        <is>
          <t>override</t>
        </is>
      </c>
      <c r="J336" s="32" t="n">
        <v>0.957</v>
      </c>
      <c r="K336" s="33">
        <f>IF(AND(IF($I342&lt;&gt;"",$I342,$I336)="override",$J336&lt;&gt;""),$J336,SUMIFS(Assumptions!$K$4:$K$8,Assumptions!$J$4:$J$8,$C336))*Assumptions!$S$10*(1-MIN(1,MAX(N($H336),N($H342))))</f>
        <v/>
      </c>
      <c r="L336" s="32" t="n"/>
      <c r="M336" s="34">
        <f>IF(AND(IF($I342&lt;&gt;"",$I342,$I336)="override",$L336&lt;&gt;""),$L336,SUMIFS(Assumptions!$P$4:$P$103,Assumptions!$M$4:$M$103,$C336,Assumptions!$N$4:$N$103,$E336,Assumptions!$O$4:$O$103,"LVN"))</f>
        <v/>
      </c>
      <c r="N336" s="32" t="n"/>
      <c r="O336" s="34">
        <f>IF(AND(IF($I342&lt;&gt;"",$I342,$I336)="override",$N336&lt;&gt;""),$N336,SUMIFS(Assumptions!$P$4:$P$103,Assumptions!$M$4:$M$103,$C336,Assumptions!$N$4:$N$103,$E336,Assumptions!$O$4:$O$103,"HVN"))</f>
        <v/>
      </c>
      <c r="P336" s="34">
        <f>(M336+O336)*Assumptions!$S$11</f>
        <v/>
      </c>
      <c r="Q336" s="35">
        <f>$F336*$K336*$P336</f>
        <v/>
      </c>
    </row>
    <row r="337">
      <c r="A337" s="11" t="inlineStr">
        <is>
          <t>UNIT</t>
        </is>
      </c>
      <c r="B337" s="28" t="inlineStr">
        <is>
          <t>EXXONMOBIL_BEAUMONT</t>
        </is>
      </c>
      <c r="C337" s="28" t="n">
        <v>3</v>
      </c>
      <c r="D337" s="28" t="inlineStr">
        <is>
          <t>COKER</t>
        </is>
      </c>
      <c r="E337" s="28" t="inlineStr">
        <is>
          <t>COKER</t>
        </is>
      </c>
      <c r="F337" s="29" t="n">
        <v>46.5</v>
      </c>
      <c r="G337" s="30">
        <f>IFERROR(IF(INDEX(Effective!$E$3:$R$125,MATCH($B337,Effective!$A$3:$A$125,0),MATCH($D337,Effective!$E$2:$R$2,0))=0,"",INDEX(Effective!$E$3:$R$125,MATCH($B337,Effective!$A$3:$A$125,0),MATCH($D337,Effective!$E$2:$R$2,0))),"")</f>
        <v/>
      </c>
      <c r="H337" s="31" t="n"/>
      <c r="I337" s="17" t="inlineStr">
        <is>
          <t>override</t>
        </is>
      </c>
      <c r="J337" s="32" t="n">
        <v>0.981</v>
      </c>
      <c r="K337" s="33">
        <f>IF(AND(IF($I342&lt;&gt;"",$I342,$I337)="override",$J337&lt;&gt;""),$J337,SUMIFS(Assumptions!$K$4:$K$8,Assumptions!$J$4:$J$8,$C337))*Assumptions!$S$10*(1-MIN(1,MAX(N($H337),N($H342))))</f>
        <v/>
      </c>
      <c r="L337" s="32" t="n"/>
      <c r="M337" s="34">
        <f>IF(AND(IF($I342&lt;&gt;"",$I342,$I337)="override",$L337&lt;&gt;""),$L337,SUMIFS(Assumptions!$P$4:$P$103,Assumptions!$M$4:$M$103,$C337,Assumptions!$N$4:$N$103,$E337,Assumptions!$O$4:$O$103,"LVN"))</f>
        <v/>
      </c>
      <c r="N337" s="32" t="n"/>
      <c r="O337" s="34">
        <f>IF(AND(IF($I342&lt;&gt;"",$I342,$I337)="override",$N337&lt;&gt;""),$N337,SUMIFS(Assumptions!$P$4:$P$103,Assumptions!$M$4:$M$103,$C337,Assumptions!$N$4:$N$103,$E337,Assumptions!$O$4:$O$103,"HVN"))</f>
        <v/>
      </c>
      <c r="P337" s="34">
        <f>(M337+O337)*Assumptions!$S$11</f>
        <v/>
      </c>
      <c r="Q337" s="35">
        <f>$F337*$K337*$P337</f>
        <v/>
      </c>
    </row>
    <row r="338">
      <c r="A338" s="11" t="inlineStr">
        <is>
          <t>UNIT</t>
        </is>
      </c>
      <c r="B338" s="28" t="inlineStr">
        <is>
          <t>EXXONMOBIL_BEAUMONT</t>
        </is>
      </c>
      <c r="C338" s="28" t="n">
        <v>3</v>
      </c>
      <c r="D338" s="28" t="inlineStr">
        <is>
          <t>CCR</t>
        </is>
      </c>
      <c r="E338" s="28" t="inlineStr">
        <is>
          <t>REFORMER</t>
        </is>
      </c>
      <c r="F338" s="29" t="n">
        <v>143.5</v>
      </c>
      <c r="G338" s="30">
        <f>IFERROR(IF(INDEX(Effective!$E$3:$R$125,MATCH($B338,Effective!$A$3:$A$125,0),MATCH($D338,Effective!$E$2:$R$2,0))=0,"",INDEX(Effective!$E$3:$R$125,MATCH($B338,Effective!$A$3:$A$125,0),MATCH($D338,Effective!$E$2:$R$2,0))),"")</f>
        <v/>
      </c>
      <c r="H338" s="31" t="n"/>
      <c r="I338" s="17" t="inlineStr">
        <is>
          <t>override</t>
        </is>
      </c>
      <c r="J338" s="32" t="n">
        <v>0.974</v>
      </c>
      <c r="K338" s="33">
        <f>IF(AND(IF($I342&lt;&gt;"",$I342,$I338)="override",$J338&lt;&gt;""),$J338,SUMIFS(Assumptions!$K$4:$K$8,Assumptions!$J$4:$J$8,$C338))*Assumptions!$S$10*(1-MIN(1,MAX(N($H338),N($H342))))</f>
        <v/>
      </c>
      <c r="L338" s="32" t="n"/>
      <c r="M338" s="34">
        <f>IF(AND(IF($I342&lt;&gt;"",$I342,$I338)="override",$L338&lt;&gt;""),$L338,SUMIFS(Assumptions!$P$4:$P$103,Assumptions!$M$4:$M$103,$C338,Assumptions!$N$4:$N$103,$E338,Assumptions!$O$4:$O$103,"LVN"))</f>
        <v/>
      </c>
      <c r="N338" s="32" t="n"/>
      <c r="O338" s="34">
        <f>IF(AND(IF($I342&lt;&gt;"",$I342,$I338)="override",$N338&lt;&gt;""),$N338,SUMIFS(Assumptions!$P$4:$P$103,Assumptions!$M$4:$M$103,$C338,Assumptions!$N$4:$N$103,$E338,Assumptions!$O$4:$O$103,"HVN"))</f>
        <v/>
      </c>
      <c r="P338" s="34">
        <f>(M338+O338)*Assumptions!$S$11</f>
        <v/>
      </c>
      <c r="Q338" s="35">
        <f>$F338*$K338*$P338</f>
        <v/>
      </c>
    </row>
    <row r="339">
      <c r="A339" s="11" t="inlineStr">
        <is>
          <t>UNIT</t>
        </is>
      </c>
      <c r="B339" s="28" t="inlineStr">
        <is>
          <t>EXXONMOBIL_BEAUMONT</t>
        </is>
      </c>
      <c r="C339" s="28" t="n">
        <v>3</v>
      </c>
      <c r="D339" s="28" t="inlineStr">
        <is>
          <t>ISOM</t>
        </is>
      </c>
      <c r="E339" s="28" t="inlineStr">
        <is>
          <t>ISOM</t>
        </is>
      </c>
      <c r="F339" s="29" t="n">
        <v>33.8</v>
      </c>
      <c r="G339" s="30">
        <f>IFERROR(IF(INDEX(Effective!$E$3:$R$125,MATCH($B339,Effective!$A$3:$A$125,0),MATCH($D339,Effective!$E$2:$R$2,0))=0,"",INDEX(Effective!$E$3:$R$125,MATCH($B339,Effective!$A$3:$A$125,0),MATCH($D339,Effective!$E$2:$R$2,0))),"")</f>
        <v/>
      </c>
      <c r="H339" s="31" t="n"/>
      <c r="I339" s="17" t="inlineStr">
        <is>
          <t>override</t>
        </is>
      </c>
      <c r="J339" s="32" t="n">
        <v>1</v>
      </c>
      <c r="K339" s="33">
        <f>IF(AND(IF($I342&lt;&gt;"",$I342,$I339)="override",$J339&lt;&gt;""),$J339,SUMIFS(Assumptions!$K$4:$K$8,Assumptions!$J$4:$J$8,$C339))*Assumptions!$S$10*(1-MIN(1,MAX(N($H339),N($H342))))</f>
        <v/>
      </c>
      <c r="L339" s="32" t="n"/>
      <c r="M339" s="34">
        <f>IF(AND(IF($I342&lt;&gt;"",$I342,$I339)="override",$L339&lt;&gt;""),$L339,SUMIFS(Assumptions!$P$4:$P$103,Assumptions!$M$4:$M$103,$C339,Assumptions!$N$4:$N$103,$E339,Assumptions!$O$4:$O$103,"LVN"))</f>
        <v/>
      </c>
      <c r="N339" s="32" t="n"/>
      <c r="O339" s="34">
        <f>IF(AND(IF($I342&lt;&gt;"",$I342,$I339)="override",$N339&lt;&gt;""),$N339,SUMIFS(Assumptions!$P$4:$P$103,Assumptions!$M$4:$M$103,$C339,Assumptions!$N$4:$N$103,$E339,Assumptions!$O$4:$O$103,"HVN"))</f>
        <v/>
      </c>
      <c r="P339" s="34">
        <f>(M339+O339)*Assumptions!$S$11</f>
        <v/>
      </c>
      <c r="Q339" s="35">
        <f>$F339*$K339*$P339</f>
        <v/>
      </c>
    </row>
    <row r="340">
      <c r="A340" s="11" t="inlineStr">
        <is>
          <t>UNIT</t>
        </is>
      </c>
      <c r="B340" s="28" t="inlineStr">
        <is>
          <t>EXXONMOBIL_BEAUMONT</t>
        </is>
      </c>
      <c r="C340" s="28" t="n">
        <v>3</v>
      </c>
      <c r="D340" s="28" t="inlineStr">
        <is>
          <t>ALKY</t>
        </is>
      </c>
      <c r="E340" s="28" t="inlineStr">
        <is>
          <t>ALKY</t>
        </is>
      </c>
      <c r="F340" s="29" t="n">
        <v>14.9</v>
      </c>
      <c r="G340" s="30">
        <f>IFERROR(IF(INDEX(Effective!$E$3:$R$125,MATCH($B340,Effective!$A$3:$A$125,0),MATCH($D340,Effective!$E$2:$R$2,0))=0,"",INDEX(Effective!$E$3:$R$125,MATCH($B340,Effective!$A$3:$A$125,0),MATCH($D340,Effective!$E$2:$R$2,0))),"")</f>
        <v/>
      </c>
      <c r="H340" s="31" t="n"/>
      <c r="I340" s="17" t="inlineStr">
        <is>
          <t>override</t>
        </is>
      </c>
      <c r="J340" s="32" t="n">
        <v>1.1</v>
      </c>
      <c r="K340" s="33">
        <f>IF(AND(IF($I342&lt;&gt;"",$I342,$I340)="override",$J340&lt;&gt;""),$J340,SUMIFS(Assumptions!$K$4:$K$8,Assumptions!$J$4:$J$8,$C340))*Assumptions!$S$10*(1-MIN(1,MAX(N($H340),N($H342))))</f>
        <v/>
      </c>
      <c r="L340" s="32" t="n"/>
      <c r="M340" s="34">
        <f>IF(AND(IF($I342&lt;&gt;"",$I342,$I340)="override",$L340&lt;&gt;""),$L340,SUMIFS(Assumptions!$P$4:$P$103,Assumptions!$M$4:$M$103,$C340,Assumptions!$N$4:$N$103,$E340,Assumptions!$O$4:$O$103,"LVN"))</f>
        <v/>
      </c>
      <c r="N340" s="32" t="n"/>
      <c r="O340" s="34">
        <f>IF(AND(IF($I342&lt;&gt;"",$I342,$I340)="override",$N340&lt;&gt;""),$N340,SUMIFS(Assumptions!$P$4:$P$103,Assumptions!$M$4:$M$103,$C340,Assumptions!$N$4:$N$103,$E340,Assumptions!$O$4:$O$103,"HVN"))</f>
        <v/>
      </c>
      <c r="P340" s="34">
        <f>(M340+O340)*Assumptions!$S$11</f>
        <v/>
      </c>
      <c r="Q340" s="35">
        <f>$F340*$K340*$P340</f>
        <v/>
      </c>
    </row>
    <row r="341">
      <c r="A341" s="11" t="inlineStr">
        <is>
          <t>UNIT</t>
        </is>
      </c>
      <c r="B341" s="28" t="inlineStr">
        <is>
          <t>EXXONMOBIL_BEAUMONT</t>
        </is>
      </c>
      <c r="C341" s="28" t="n">
        <v>3</v>
      </c>
      <c r="D341" s="28" t="inlineStr">
        <is>
          <t>NHT</t>
        </is>
      </c>
      <c r="E341" s="28" t="inlineStr">
        <is>
          <t>NHT</t>
        </is>
      </c>
      <c r="F341" s="29" t="n">
        <v>163.1</v>
      </c>
      <c r="G341" s="30">
        <f>IFERROR(IF(INDEX(Effective!$E$3:$R$125,MATCH($B341,Effective!$A$3:$A$125,0),MATCH($D341,Effective!$E$2:$R$2,0))=0,"",INDEX(Effective!$E$3:$R$125,MATCH($B341,Effective!$A$3:$A$125,0),MATCH($D341,Effective!$E$2:$R$2,0))),"")</f>
        <v/>
      </c>
      <c r="H341" s="31" t="n"/>
      <c r="I341" s="17" t="inlineStr">
        <is>
          <t>override</t>
        </is>
      </c>
      <c r="J341" s="32" t="n">
        <v>0.986</v>
      </c>
      <c r="K341" s="33">
        <f>IF(AND(IF($I342&lt;&gt;"",$I342,$I341)="override",$J341&lt;&gt;""),$J341,SUMIFS(Assumptions!$K$4:$K$8,Assumptions!$J$4:$J$8,$C341))*Assumptions!$S$10*(1-MIN(1,MAX(N($H341),N($H342))))</f>
        <v/>
      </c>
      <c r="L341" s="32" t="n"/>
      <c r="M341" s="34">
        <f>IF(AND(IF($I342&lt;&gt;"",$I342,$I341)="override",$L341&lt;&gt;""),$L341,SUMIFS(Assumptions!$P$4:$P$103,Assumptions!$M$4:$M$103,$C341,Assumptions!$N$4:$N$103,$E341,Assumptions!$O$4:$O$103,"LVN"))</f>
        <v/>
      </c>
      <c r="N341" s="32" t="n"/>
      <c r="O341" s="34">
        <f>IF(AND(IF($I342&lt;&gt;"",$I342,$I341)="override",$N341&lt;&gt;""),$N341,SUMIFS(Assumptions!$P$4:$P$103,Assumptions!$M$4:$M$103,$C341,Assumptions!$N$4:$N$103,$E341,Assumptions!$O$4:$O$103,"HVN"))</f>
        <v/>
      </c>
      <c r="P341" s="34">
        <f>(M341+O341)*Assumptions!$S$11</f>
        <v/>
      </c>
      <c r="Q341" s="35">
        <f>$F341*$K341*$P341</f>
        <v/>
      </c>
    </row>
    <row r="342">
      <c r="A342" s="24" t="inlineStr">
        <is>
          <t>TOTAL</t>
        </is>
      </c>
      <c r="B342" s="36" t="inlineStr">
        <is>
          <t>EXXONMOBIL_BEAUMONT</t>
        </is>
      </c>
      <c r="C342" s="36" t="n">
        <v>3</v>
      </c>
      <c r="D342" s="36" t="inlineStr">
        <is>
          <t>NET NAPHTHA</t>
        </is>
      </c>
      <c r="H342" s="31" t="n"/>
      <c r="I342" s="17" t="n"/>
      <c r="Q342" s="37">
        <f>SUM(Q333:Q341)</f>
        <v/>
      </c>
    </row>
    <row r="344" ht="20" customHeight="1">
      <c r="A344" s="8">
        <f>"  Marathon Petroleum Garyville  [MARATHON_GARYVILLE]   —   Marathon Petroleum   —   PADD 3   —   crude "&amp;TEXT(SUMIFS(Data!$G$3:$G$125,Data!$A$3:$A$125,"MARATHON_GARYVILLE"),"#,##0")&amp;" kbd"</f>
        <v/>
      </c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</row>
    <row r="345">
      <c r="A345" s="11" t="inlineStr">
        <is>
          <t>UNIT</t>
        </is>
      </c>
      <c r="B345" s="28" t="inlineStr">
        <is>
          <t>MARATHON_GARYVILLE</t>
        </is>
      </c>
      <c r="C345" s="28" t="n">
        <v>3</v>
      </c>
      <c r="D345" s="28" t="inlineStr">
        <is>
          <t>CDU</t>
        </is>
      </c>
      <c r="E345" s="28" t="inlineStr">
        <is>
          <t>CDU</t>
        </is>
      </c>
      <c r="F345" s="29" t="n">
        <v>608</v>
      </c>
      <c r="G345" s="30">
        <f>IFERROR(IF(INDEX(Effective!$E$3:$R$125,MATCH($B345,Effective!$A$3:$A$125,0),MATCH($D345,Effective!$E$2:$R$2,0))=0,"",INDEX(Effective!$E$3:$R$125,MATCH($B345,Effective!$A$3:$A$125,0),MATCH($D345,Effective!$E$2:$R$2,0))),"")</f>
        <v/>
      </c>
      <c r="H345" s="31" t="n"/>
      <c r="I345" s="17" t="inlineStr">
        <is>
          <t>override</t>
        </is>
      </c>
      <c r="J345" s="32" t="n">
        <v>0.9340000000000001</v>
      </c>
      <c r="K345" s="33">
        <f>IF(AND(IF($I354&lt;&gt;"",$I354,$I345)="override",$J345&lt;&gt;""),$J345,SUMIFS(Assumptions!$K$4:$K$8,Assumptions!$J$4:$J$8,$C345))*Assumptions!$S$10*(1-MIN(1,MAX(N($H345),N($H354))))</f>
        <v/>
      </c>
      <c r="L345" s="32" t="n"/>
      <c r="M345" s="34">
        <f>IF(AND(IF($I354&lt;&gt;"",$I354,$I345)="override",$L345&lt;&gt;""),$L345,SUMIFS(Assumptions!$P$4:$P$103,Assumptions!$M$4:$M$103,$C345,Assumptions!$N$4:$N$103,$E345,Assumptions!$O$4:$O$103,"LVN"))</f>
        <v/>
      </c>
      <c r="N345" s="32" t="n"/>
      <c r="O345" s="34">
        <f>IF(AND(IF($I354&lt;&gt;"",$I354,$I345)="override",$N345&lt;&gt;""),$N345,SUMIFS(Assumptions!$P$4:$P$103,Assumptions!$M$4:$M$103,$C345,Assumptions!$N$4:$N$103,$E345,Assumptions!$O$4:$O$103,"HVN"))</f>
        <v/>
      </c>
      <c r="P345" s="34">
        <f>(M345+O345)*Assumptions!$S$11</f>
        <v/>
      </c>
      <c r="Q345" s="35">
        <f>$F345*$K345*$P345</f>
        <v/>
      </c>
    </row>
    <row r="346">
      <c r="A346" s="11" t="inlineStr">
        <is>
          <t>UNIT</t>
        </is>
      </c>
      <c r="B346" s="28" t="inlineStr">
        <is>
          <t>MARATHON_GARYVILLE</t>
        </is>
      </c>
      <c r="C346" s="28" t="n">
        <v>3</v>
      </c>
      <c r="D346" s="28" t="inlineStr">
        <is>
          <t>VDU</t>
        </is>
      </c>
      <c r="E346" s="28" t="inlineStr">
        <is>
          <t>VDU</t>
        </is>
      </c>
      <c r="F346" s="29" t="n">
        <v>297.5</v>
      </c>
      <c r="G346" s="30">
        <f>IFERROR(IF(INDEX(Effective!$E$3:$R$125,MATCH($B346,Effective!$A$3:$A$125,0),MATCH($D346,Effective!$E$2:$R$2,0))=0,"",INDEX(Effective!$E$3:$R$125,MATCH($B346,Effective!$A$3:$A$125,0),MATCH($D346,Effective!$E$2:$R$2,0))),"")</f>
        <v/>
      </c>
      <c r="H346" s="31" t="n"/>
      <c r="I346" s="17" t="inlineStr">
        <is>
          <t>override</t>
        </is>
      </c>
      <c r="J346" s="32" t="n">
        <v>0.703</v>
      </c>
      <c r="K346" s="33">
        <f>IF(AND(IF($I354&lt;&gt;"",$I354,$I346)="override",$J346&lt;&gt;""),$J346,SUMIFS(Assumptions!$K$4:$K$8,Assumptions!$J$4:$J$8,$C346))*Assumptions!$S$10*(1-MIN(1,MAX(N($H346),N($H354))))</f>
        <v/>
      </c>
      <c r="L346" s="32" t="n"/>
      <c r="M346" s="34">
        <f>IF(AND(IF($I354&lt;&gt;"",$I354,$I346)="override",$L346&lt;&gt;""),$L346,SUMIFS(Assumptions!$P$4:$P$103,Assumptions!$M$4:$M$103,$C346,Assumptions!$N$4:$N$103,$E346,Assumptions!$O$4:$O$103,"LVN"))</f>
        <v/>
      </c>
      <c r="N346" s="32" t="n"/>
      <c r="O346" s="34">
        <f>IF(AND(IF($I354&lt;&gt;"",$I354,$I346)="override",$N346&lt;&gt;""),$N346,SUMIFS(Assumptions!$P$4:$P$103,Assumptions!$M$4:$M$103,$C346,Assumptions!$N$4:$N$103,$E346,Assumptions!$O$4:$O$103,"HVN"))</f>
        <v/>
      </c>
      <c r="P346" s="34">
        <f>(M346+O346)*Assumptions!$S$11</f>
        <v/>
      </c>
      <c r="Q346" s="35">
        <f>$F346*$K346*$P346</f>
        <v/>
      </c>
    </row>
    <row r="347">
      <c r="A347" s="11" t="inlineStr">
        <is>
          <t>UNIT</t>
        </is>
      </c>
      <c r="B347" s="28" t="inlineStr">
        <is>
          <t>MARATHON_GARYVILLE</t>
        </is>
      </c>
      <c r="C347" s="28" t="n">
        <v>3</v>
      </c>
      <c r="D347" s="28" t="inlineStr">
        <is>
          <t>FCC</t>
        </is>
      </c>
      <c r="E347" s="28" t="inlineStr">
        <is>
          <t>FCC</t>
        </is>
      </c>
      <c r="F347" s="29" t="n">
        <v>146</v>
      </c>
      <c r="G347" s="30">
        <f>IFERROR(IF(INDEX(Effective!$E$3:$R$125,MATCH($B347,Effective!$A$3:$A$125,0),MATCH($D347,Effective!$E$2:$R$2,0))=0,"",INDEX(Effective!$E$3:$R$125,MATCH($B347,Effective!$A$3:$A$125,0),MATCH($D347,Effective!$E$2:$R$2,0))),"")</f>
        <v/>
      </c>
      <c r="H347" s="31" t="n"/>
      <c r="I347" s="17" t="inlineStr">
        <is>
          <t>override</t>
        </is>
      </c>
      <c r="J347" s="32" t="n">
        <v>0.951</v>
      </c>
      <c r="K347" s="33">
        <f>IF(AND(IF($I354&lt;&gt;"",$I354,$I347)="override",$J347&lt;&gt;""),$J347,SUMIFS(Assumptions!$K$4:$K$8,Assumptions!$J$4:$J$8,$C347))*Assumptions!$S$10*(1-MIN(1,MAX(N($H347),N($H354))))</f>
        <v/>
      </c>
      <c r="L347" s="32" t="n"/>
      <c r="M347" s="34">
        <f>IF(AND(IF($I354&lt;&gt;"",$I354,$I347)="override",$L347&lt;&gt;""),$L347,SUMIFS(Assumptions!$P$4:$P$103,Assumptions!$M$4:$M$103,$C347,Assumptions!$N$4:$N$103,$E347,Assumptions!$O$4:$O$103,"LVN"))</f>
        <v/>
      </c>
      <c r="N347" s="32" t="n"/>
      <c r="O347" s="34">
        <f>IF(AND(IF($I354&lt;&gt;"",$I354,$I347)="override",$N347&lt;&gt;""),$N347,SUMIFS(Assumptions!$P$4:$P$103,Assumptions!$M$4:$M$103,$C347,Assumptions!$N$4:$N$103,$E347,Assumptions!$O$4:$O$103,"HVN"))</f>
        <v/>
      </c>
      <c r="P347" s="34">
        <f>(M347+O347)*Assumptions!$S$11</f>
        <v/>
      </c>
      <c r="Q347" s="35">
        <f>$F347*$K347*$P347</f>
        <v/>
      </c>
    </row>
    <row r="348">
      <c r="A348" s="11" t="inlineStr">
        <is>
          <t>UNIT</t>
        </is>
      </c>
      <c r="B348" s="28" t="inlineStr">
        <is>
          <t>MARATHON_GARYVILLE</t>
        </is>
      </c>
      <c r="C348" s="28" t="n">
        <v>3</v>
      </c>
      <c r="D348" s="28" t="inlineStr">
        <is>
          <t>DHCU</t>
        </is>
      </c>
      <c r="E348" s="28" t="inlineStr">
        <is>
          <t>HYDROCRACKER</t>
        </is>
      </c>
      <c r="F348" s="29" t="n">
        <v>130</v>
      </c>
      <c r="G348" s="30">
        <f>IFERROR(IF(INDEX(Effective!$E$3:$R$125,MATCH($B348,Effective!$A$3:$A$125,0),MATCH($D348,Effective!$E$2:$R$2,0))=0,"",INDEX(Effective!$E$3:$R$125,MATCH($B348,Effective!$A$3:$A$125,0),MATCH($D348,Effective!$E$2:$R$2,0))),"")</f>
        <v/>
      </c>
      <c r="H348" s="31" t="n"/>
      <c r="I348" s="17" t="inlineStr">
        <is>
          <t>override</t>
        </is>
      </c>
      <c r="J348" s="32" t="n">
        <v>0.765</v>
      </c>
      <c r="K348" s="33">
        <f>IF(AND(IF($I354&lt;&gt;"",$I354,$I348)="override",$J348&lt;&gt;""),$J348,SUMIFS(Assumptions!$K$4:$K$8,Assumptions!$J$4:$J$8,$C348))*Assumptions!$S$10*(1-MIN(1,MAX(N($H348),N($H354))))</f>
        <v/>
      </c>
      <c r="L348" s="32" t="n"/>
      <c r="M348" s="34">
        <f>IF(AND(IF($I354&lt;&gt;"",$I354,$I348)="override",$L348&lt;&gt;""),$L348,SUMIFS(Assumptions!$P$4:$P$103,Assumptions!$M$4:$M$103,$C348,Assumptions!$N$4:$N$103,$E348,Assumptions!$O$4:$O$103,"LVN"))</f>
        <v/>
      </c>
      <c r="N348" s="32" t="n"/>
      <c r="O348" s="34">
        <f>IF(AND(IF($I354&lt;&gt;"",$I354,$I348)="override",$N348&lt;&gt;""),$N348,SUMIFS(Assumptions!$P$4:$P$103,Assumptions!$M$4:$M$103,$C348,Assumptions!$N$4:$N$103,$E348,Assumptions!$O$4:$O$103,"HVN"))</f>
        <v/>
      </c>
      <c r="P348" s="34">
        <f>(M348+O348)*Assumptions!$S$11</f>
        <v/>
      </c>
      <c r="Q348" s="35">
        <f>$F348*$K348*$P348</f>
        <v/>
      </c>
    </row>
    <row r="349">
      <c r="A349" s="11" t="inlineStr">
        <is>
          <t>UNIT</t>
        </is>
      </c>
      <c r="B349" s="28" t="inlineStr">
        <is>
          <t>MARATHON_GARYVILLE</t>
        </is>
      </c>
      <c r="C349" s="28" t="n">
        <v>3</v>
      </c>
      <c r="D349" s="28" t="inlineStr">
        <is>
          <t>COKER</t>
        </is>
      </c>
      <c r="E349" s="28" t="inlineStr">
        <is>
          <t>COKER</t>
        </is>
      </c>
      <c r="F349" s="29" t="n">
        <v>103</v>
      </c>
      <c r="G349" s="30">
        <f>IFERROR(IF(INDEX(Effective!$E$3:$R$125,MATCH($B349,Effective!$A$3:$A$125,0),MATCH($D349,Effective!$E$2:$R$2,0))=0,"",INDEX(Effective!$E$3:$R$125,MATCH($B349,Effective!$A$3:$A$125,0),MATCH($D349,Effective!$E$2:$R$2,0))),"")</f>
        <v/>
      </c>
      <c r="H349" s="31" t="n"/>
      <c r="I349" s="17" t="inlineStr">
        <is>
          <t>override</t>
        </is>
      </c>
      <c r="J349" s="32" t="n">
        <v>0.636</v>
      </c>
      <c r="K349" s="33">
        <f>IF(AND(IF($I354&lt;&gt;"",$I354,$I349)="override",$J349&lt;&gt;""),$J349,SUMIFS(Assumptions!$K$4:$K$8,Assumptions!$J$4:$J$8,$C349))*Assumptions!$S$10*(1-MIN(1,MAX(N($H349),N($H354))))</f>
        <v/>
      </c>
      <c r="L349" s="32" t="n"/>
      <c r="M349" s="34">
        <f>IF(AND(IF($I354&lt;&gt;"",$I354,$I349)="override",$L349&lt;&gt;""),$L349,SUMIFS(Assumptions!$P$4:$P$103,Assumptions!$M$4:$M$103,$C349,Assumptions!$N$4:$N$103,$E349,Assumptions!$O$4:$O$103,"LVN"))</f>
        <v/>
      </c>
      <c r="N349" s="32" t="n"/>
      <c r="O349" s="34">
        <f>IF(AND(IF($I354&lt;&gt;"",$I354,$I349)="override",$N349&lt;&gt;""),$N349,SUMIFS(Assumptions!$P$4:$P$103,Assumptions!$M$4:$M$103,$C349,Assumptions!$N$4:$N$103,$E349,Assumptions!$O$4:$O$103,"HVN"))</f>
        <v/>
      </c>
      <c r="P349" s="34">
        <f>(M349+O349)*Assumptions!$S$11</f>
        <v/>
      </c>
      <c r="Q349" s="35">
        <f>$F349*$K349*$P349</f>
        <v/>
      </c>
    </row>
    <row r="350">
      <c r="A350" s="11" t="inlineStr">
        <is>
          <t>UNIT</t>
        </is>
      </c>
      <c r="B350" s="28" t="inlineStr">
        <is>
          <t>MARATHON_GARYVILLE</t>
        </is>
      </c>
      <c r="C350" s="28" t="n">
        <v>3</v>
      </c>
      <c r="D350" s="28" t="inlineStr">
        <is>
          <t>CCR</t>
        </is>
      </c>
      <c r="E350" s="28" t="inlineStr">
        <is>
          <t>REFORMER</t>
        </is>
      </c>
      <c r="F350" s="29" t="n">
        <v>137</v>
      </c>
      <c r="G350" s="30">
        <f>IFERROR(IF(INDEX(Effective!$E$3:$R$125,MATCH($B350,Effective!$A$3:$A$125,0),MATCH($D350,Effective!$E$2:$R$2,0))=0,"",INDEX(Effective!$E$3:$R$125,MATCH($B350,Effective!$A$3:$A$125,0),MATCH($D350,Effective!$E$2:$R$2,0))),"")</f>
        <v/>
      </c>
      <c r="H350" s="31" t="n"/>
      <c r="I350" s="17" t="inlineStr">
        <is>
          <t>override</t>
        </is>
      </c>
      <c r="J350" s="32" t="n">
        <v>0.984</v>
      </c>
      <c r="K350" s="33">
        <f>IF(AND(IF($I354&lt;&gt;"",$I354,$I350)="override",$J350&lt;&gt;""),$J350,SUMIFS(Assumptions!$K$4:$K$8,Assumptions!$J$4:$J$8,$C350))*Assumptions!$S$10*(1-MIN(1,MAX(N($H350),N($H354))))</f>
        <v/>
      </c>
      <c r="L350" s="32" t="n"/>
      <c r="M350" s="34">
        <f>IF(AND(IF($I354&lt;&gt;"",$I354,$I350)="override",$L350&lt;&gt;""),$L350,SUMIFS(Assumptions!$P$4:$P$103,Assumptions!$M$4:$M$103,$C350,Assumptions!$N$4:$N$103,$E350,Assumptions!$O$4:$O$103,"LVN"))</f>
        <v/>
      </c>
      <c r="N350" s="32" t="n"/>
      <c r="O350" s="34">
        <f>IF(AND(IF($I354&lt;&gt;"",$I354,$I350)="override",$N350&lt;&gt;""),$N350,SUMIFS(Assumptions!$P$4:$P$103,Assumptions!$M$4:$M$103,$C350,Assumptions!$N$4:$N$103,$E350,Assumptions!$O$4:$O$103,"HVN"))</f>
        <v/>
      </c>
      <c r="P350" s="34">
        <f>(M350+O350)*Assumptions!$S$11</f>
        <v/>
      </c>
      <c r="Q350" s="35">
        <f>$F350*$K350*$P350</f>
        <v/>
      </c>
    </row>
    <row r="351">
      <c r="A351" s="11" t="inlineStr">
        <is>
          <t>UNIT</t>
        </is>
      </c>
      <c r="B351" s="28" t="inlineStr">
        <is>
          <t>MARATHON_GARYVILLE</t>
        </is>
      </c>
      <c r="C351" s="28" t="n">
        <v>3</v>
      </c>
      <c r="D351" s="28" t="inlineStr">
        <is>
          <t>ISOM</t>
        </is>
      </c>
      <c r="E351" s="28" t="inlineStr">
        <is>
          <t>ISOM</t>
        </is>
      </c>
      <c r="F351" s="29" t="n">
        <v>26.5</v>
      </c>
      <c r="G351" s="30">
        <f>IFERROR(IF(INDEX(Effective!$E$3:$R$125,MATCH($B351,Effective!$A$3:$A$125,0),MATCH($D351,Effective!$E$2:$R$2,0))=0,"",INDEX(Effective!$E$3:$R$125,MATCH($B351,Effective!$A$3:$A$125,0),MATCH($D351,Effective!$E$2:$R$2,0))),"")</f>
        <v/>
      </c>
      <c r="H351" s="31" t="n"/>
      <c r="I351" s="17" t="inlineStr">
        <is>
          <t>override</t>
        </is>
      </c>
      <c r="J351" s="32" t="n">
        <v>0.767</v>
      </c>
      <c r="K351" s="33">
        <f>IF(AND(IF($I354&lt;&gt;"",$I354,$I351)="override",$J351&lt;&gt;""),$J351,SUMIFS(Assumptions!$K$4:$K$8,Assumptions!$J$4:$J$8,$C351))*Assumptions!$S$10*(1-MIN(1,MAX(N($H351),N($H354))))</f>
        <v/>
      </c>
      <c r="L351" s="32" t="n"/>
      <c r="M351" s="34">
        <f>IF(AND(IF($I354&lt;&gt;"",$I354,$I351)="override",$L351&lt;&gt;""),$L351,SUMIFS(Assumptions!$P$4:$P$103,Assumptions!$M$4:$M$103,$C351,Assumptions!$N$4:$N$103,$E351,Assumptions!$O$4:$O$103,"LVN"))</f>
        <v/>
      </c>
      <c r="N351" s="32" t="n"/>
      <c r="O351" s="34">
        <f>IF(AND(IF($I354&lt;&gt;"",$I354,$I351)="override",$N351&lt;&gt;""),$N351,SUMIFS(Assumptions!$P$4:$P$103,Assumptions!$M$4:$M$103,$C351,Assumptions!$N$4:$N$103,$E351,Assumptions!$O$4:$O$103,"HVN"))</f>
        <v/>
      </c>
      <c r="P351" s="34">
        <f>(M351+O351)*Assumptions!$S$11</f>
        <v/>
      </c>
      <c r="Q351" s="35">
        <f>$F351*$K351*$P351</f>
        <v/>
      </c>
    </row>
    <row r="352">
      <c r="A352" s="11" t="inlineStr">
        <is>
          <t>UNIT</t>
        </is>
      </c>
      <c r="B352" s="28" t="inlineStr">
        <is>
          <t>MARATHON_GARYVILLE</t>
        </is>
      </c>
      <c r="C352" s="28" t="n">
        <v>3</v>
      </c>
      <c r="D352" s="28" t="inlineStr">
        <is>
          <t>ALKY</t>
        </is>
      </c>
      <c r="E352" s="28" t="inlineStr">
        <is>
          <t>ALKY</t>
        </is>
      </c>
      <c r="F352" s="29" t="n">
        <v>38</v>
      </c>
      <c r="G352" s="30">
        <f>IFERROR(IF(INDEX(Effective!$E$3:$R$125,MATCH($B352,Effective!$A$3:$A$125,0),MATCH($D352,Effective!$E$2:$R$2,0))=0,"",INDEX(Effective!$E$3:$R$125,MATCH($B352,Effective!$A$3:$A$125,0),MATCH($D352,Effective!$E$2:$R$2,0))),"")</f>
        <v/>
      </c>
      <c r="H352" s="31" t="n"/>
      <c r="I352" s="17" t="inlineStr">
        <is>
          <t>override</t>
        </is>
      </c>
      <c r="J352" s="32" t="n">
        <v>1.1</v>
      </c>
      <c r="K352" s="33">
        <f>IF(AND(IF($I354&lt;&gt;"",$I354,$I352)="override",$J352&lt;&gt;""),$J352,SUMIFS(Assumptions!$K$4:$K$8,Assumptions!$J$4:$J$8,$C352))*Assumptions!$S$10*(1-MIN(1,MAX(N($H352),N($H354))))</f>
        <v/>
      </c>
      <c r="L352" s="32" t="n"/>
      <c r="M352" s="34">
        <f>IF(AND(IF($I354&lt;&gt;"",$I354,$I352)="override",$L352&lt;&gt;""),$L352,SUMIFS(Assumptions!$P$4:$P$103,Assumptions!$M$4:$M$103,$C352,Assumptions!$N$4:$N$103,$E352,Assumptions!$O$4:$O$103,"LVN"))</f>
        <v/>
      </c>
      <c r="N352" s="32" t="n"/>
      <c r="O352" s="34">
        <f>IF(AND(IF($I354&lt;&gt;"",$I354,$I352)="override",$N352&lt;&gt;""),$N352,SUMIFS(Assumptions!$P$4:$P$103,Assumptions!$M$4:$M$103,$C352,Assumptions!$N$4:$N$103,$E352,Assumptions!$O$4:$O$103,"HVN"))</f>
        <v/>
      </c>
      <c r="P352" s="34">
        <f>(M352+O352)*Assumptions!$S$11</f>
        <v/>
      </c>
      <c r="Q352" s="35">
        <f>$F352*$K352*$P352</f>
        <v/>
      </c>
    </row>
    <row r="353">
      <c r="A353" s="11" t="inlineStr">
        <is>
          <t>UNIT</t>
        </is>
      </c>
      <c r="B353" s="28" t="inlineStr">
        <is>
          <t>MARATHON_GARYVILLE</t>
        </is>
      </c>
      <c r="C353" s="28" t="n">
        <v>3</v>
      </c>
      <c r="D353" s="28" t="inlineStr">
        <is>
          <t>NHT</t>
        </is>
      </c>
      <c r="E353" s="28" t="inlineStr">
        <is>
          <t>NHT</t>
        </is>
      </c>
      <c r="F353" s="29" t="n">
        <v>118.5</v>
      </c>
      <c r="G353" s="30">
        <f>IFERROR(IF(INDEX(Effective!$E$3:$R$125,MATCH($B353,Effective!$A$3:$A$125,0),MATCH($D353,Effective!$E$2:$R$2,0))=0,"",INDEX(Effective!$E$3:$R$125,MATCH($B353,Effective!$A$3:$A$125,0),MATCH($D353,Effective!$E$2:$R$2,0))),"")</f>
        <v/>
      </c>
      <c r="H353" s="31" t="n"/>
      <c r="I353" s="17" t="inlineStr">
        <is>
          <t>override</t>
        </is>
      </c>
      <c r="J353" s="32" t="n">
        <v>0.995</v>
      </c>
      <c r="K353" s="33">
        <f>IF(AND(IF($I354&lt;&gt;"",$I354,$I353)="override",$J353&lt;&gt;""),$J353,SUMIFS(Assumptions!$K$4:$K$8,Assumptions!$J$4:$J$8,$C353))*Assumptions!$S$10*(1-MIN(1,MAX(N($H353),N($H354))))</f>
        <v/>
      </c>
      <c r="L353" s="32" t="n"/>
      <c r="M353" s="34">
        <f>IF(AND(IF($I354&lt;&gt;"",$I354,$I353)="override",$L353&lt;&gt;""),$L353,SUMIFS(Assumptions!$P$4:$P$103,Assumptions!$M$4:$M$103,$C353,Assumptions!$N$4:$N$103,$E353,Assumptions!$O$4:$O$103,"LVN"))</f>
        <v/>
      </c>
      <c r="N353" s="32" t="n"/>
      <c r="O353" s="34">
        <f>IF(AND(IF($I354&lt;&gt;"",$I354,$I353)="override",$N353&lt;&gt;""),$N353,SUMIFS(Assumptions!$P$4:$P$103,Assumptions!$M$4:$M$103,$C353,Assumptions!$N$4:$N$103,$E353,Assumptions!$O$4:$O$103,"HVN"))</f>
        <v/>
      </c>
      <c r="P353" s="34">
        <f>(M353+O353)*Assumptions!$S$11</f>
        <v/>
      </c>
      <c r="Q353" s="35">
        <f>$F353*$K353*$P353</f>
        <v/>
      </c>
    </row>
    <row r="354">
      <c r="A354" s="24" t="inlineStr">
        <is>
          <t>TOTAL</t>
        </is>
      </c>
      <c r="B354" s="36" t="inlineStr">
        <is>
          <t>MARATHON_GARYVILLE</t>
        </is>
      </c>
      <c r="C354" s="36" t="n">
        <v>3</v>
      </c>
      <c r="D354" s="36" t="inlineStr">
        <is>
          <t>NET NAPHTHA</t>
        </is>
      </c>
      <c r="H354" s="31" t="n"/>
      <c r="I354" s="17" t="n"/>
      <c r="Q354" s="37">
        <f>SUM(Q345:Q353)</f>
        <v/>
      </c>
    </row>
    <row r="356" ht="20" customHeight="1">
      <c r="A356" s="8">
        <f>"  ExxonMobil Baytown  [XOM_BAYTOWN]   —   ExxonMobil   —   PADD 3   —   crude "&amp;TEXT(SUMIFS(Data!$G$3:$G$125,Data!$A$3:$A$125,"XOM_BAYTOWN"),"#,##0")&amp;" kbd"</f>
        <v/>
      </c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</row>
    <row r="357">
      <c r="A357" s="11" t="inlineStr">
        <is>
          <t>UNIT</t>
        </is>
      </c>
      <c r="B357" s="28" t="inlineStr">
        <is>
          <t>XOM_BAYTOWN</t>
        </is>
      </c>
      <c r="C357" s="28" t="n">
        <v>3</v>
      </c>
      <c r="D357" s="28" t="inlineStr">
        <is>
          <t>CDU</t>
        </is>
      </c>
      <c r="E357" s="28" t="inlineStr">
        <is>
          <t>CDU</t>
        </is>
      </c>
      <c r="F357" s="29" t="n">
        <v>584</v>
      </c>
      <c r="G357" s="30">
        <f>IFERROR(IF(INDEX(Effective!$E$3:$R$125,MATCH($B357,Effective!$A$3:$A$125,0),MATCH($D357,Effective!$E$2:$R$2,0))=0,"",INDEX(Effective!$E$3:$R$125,MATCH($B357,Effective!$A$3:$A$125,0),MATCH($D357,Effective!$E$2:$R$2,0))),"")</f>
        <v/>
      </c>
      <c r="H357" s="31" t="n"/>
      <c r="I357" s="17" t="inlineStr">
        <is>
          <t>override</t>
        </is>
      </c>
      <c r="J357" s="32" t="n">
        <v>0.93</v>
      </c>
      <c r="K357" s="33">
        <f>IF(AND(IF($I366&lt;&gt;"",$I366,$I357)="override",$J357&lt;&gt;""),$J357,SUMIFS(Assumptions!$K$4:$K$8,Assumptions!$J$4:$J$8,$C357))*Assumptions!$S$10*(1-MIN(1,MAX(N($H357),N($H366))))</f>
        <v/>
      </c>
      <c r="L357" s="32" t="n"/>
      <c r="M357" s="34">
        <f>IF(AND(IF($I366&lt;&gt;"",$I366,$I357)="override",$L357&lt;&gt;""),$L357,SUMIFS(Assumptions!$P$4:$P$103,Assumptions!$M$4:$M$103,$C357,Assumptions!$N$4:$N$103,$E357,Assumptions!$O$4:$O$103,"LVN"))</f>
        <v/>
      </c>
      <c r="N357" s="32" t="n"/>
      <c r="O357" s="34">
        <f>IF(AND(IF($I366&lt;&gt;"",$I366,$I357)="override",$N357&lt;&gt;""),$N357,SUMIFS(Assumptions!$P$4:$P$103,Assumptions!$M$4:$M$103,$C357,Assumptions!$N$4:$N$103,$E357,Assumptions!$O$4:$O$103,"HVN"))</f>
        <v/>
      </c>
      <c r="P357" s="34">
        <f>(M357+O357)*Assumptions!$S$11</f>
        <v/>
      </c>
      <c r="Q357" s="35">
        <f>$F357*$K357*$P357</f>
        <v/>
      </c>
    </row>
    <row r="358">
      <c r="A358" s="11" t="inlineStr">
        <is>
          <t>UNIT</t>
        </is>
      </c>
      <c r="B358" s="28" t="inlineStr">
        <is>
          <t>XOM_BAYTOWN</t>
        </is>
      </c>
      <c r="C358" s="28" t="n">
        <v>3</v>
      </c>
      <c r="D358" s="28" t="inlineStr">
        <is>
          <t>VDU</t>
        </is>
      </c>
      <c r="E358" s="28" t="inlineStr">
        <is>
          <t>VDU</t>
        </is>
      </c>
      <c r="F358" s="29" t="n">
        <v>297</v>
      </c>
      <c r="G358" s="30">
        <f>IFERROR(IF(INDEX(Effective!$E$3:$R$125,MATCH($B358,Effective!$A$3:$A$125,0),MATCH($D358,Effective!$E$2:$R$2,0))=0,"",INDEX(Effective!$E$3:$R$125,MATCH($B358,Effective!$A$3:$A$125,0),MATCH($D358,Effective!$E$2:$R$2,0))),"")</f>
        <v/>
      </c>
      <c r="H358" s="31" t="n"/>
      <c r="I358" s="17" t="inlineStr">
        <is>
          <t>override</t>
        </is>
      </c>
      <c r="J358" s="32" t="n">
        <v>0.638</v>
      </c>
      <c r="K358" s="33">
        <f>IF(AND(IF($I366&lt;&gt;"",$I366,$I358)="override",$J358&lt;&gt;""),$J358,SUMIFS(Assumptions!$K$4:$K$8,Assumptions!$J$4:$J$8,$C358))*Assumptions!$S$10*(1-MIN(1,MAX(N($H358),N($H366))))</f>
        <v/>
      </c>
      <c r="L358" s="32" t="n"/>
      <c r="M358" s="34">
        <f>IF(AND(IF($I366&lt;&gt;"",$I366,$I358)="override",$L358&lt;&gt;""),$L358,SUMIFS(Assumptions!$P$4:$P$103,Assumptions!$M$4:$M$103,$C358,Assumptions!$N$4:$N$103,$E358,Assumptions!$O$4:$O$103,"LVN"))</f>
        <v/>
      </c>
      <c r="N358" s="32" t="n"/>
      <c r="O358" s="34">
        <f>IF(AND(IF($I366&lt;&gt;"",$I366,$I358)="override",$N358&lt;&gt;""),$N358,SUMIFS(Assumptions!$P$4:$P$103,Assumptions!$M$4:$M$103,$C358,Assumptions!$N$4:$N$103,$E358,Assumptions!$O$4:$O$103,"HVN"))</f>
        <v/>
      </c>
      <c r="P358" s="34">
        <f>(M358+O358)*Assumptions!$S$11</f>
        <v/>
      </c>
      <c r="Q358" s="35">
        <f>$F358*$K358*$P358</f>
        <v/>
      </c>
    </row>
    <row r="359">
      <c r="A359" s="11" t="inlineStr">
        <is>
          <t>UNIT</t>
        </is>
      </c>
      <c r="B359" s="28" t="inlineStr">
        <is>
          <t>XOM_BAYTOWN</t>
        </is>
      </c>
      <c r="C359" s="28" t="n">
        <v>3</v>
      </c>
      <c r="D359" s="28" t="inlineStr">
        <is>
          <t>FCC</t>
        </is>
      </c>
      <c r="E359" s="28" t="inlineStr">
        <is>
          <t>FCC</t>
        </is>
      </c>
      <c r="F359" s="29" t="n">
        <v>220</v>
      </c>
      <c r="G359" s="30">
        <f>IFERROR(IF(INDEX(Effective!$E$3:$R$125,MATCH($B359,Effective!$A$3:$A$125,0),MATCH($D359,Effective!$E$2:$R$2,0))=0,"",INDEX(Effective!$E$3:$R$125,MATCH($B359,Effective!$A$3:$A$125,0),MATCH($D359,Effective!$E$2:$R$2,0))),"")</f>
        <v/>
      </c>
      <c r="H359" s="31" t="n"/>
      <c r="I359" s="17" t="inlineStr">
        <is>
          <t>override</t>
        </is>
      </c>
      <c r="J359" s="32" t="n">
        <v>0.966</v>
      </c>
      <c r="K359" s="33">
        <f>IF(AND(IF($I366&lt;&gt;"",$I366,$I359)="override",$J359&lt;&gt;""),$J359,SUMIFS(Assumptions!$K$4:$K$8,Assumptions!$J$4:$J$8,$C359))*Assumptions!$S$10*(1-MIN(1,MAX(N($H359),N($H366))))</f>
        <v/>
      </c>
      <c r="L359" s="32" t="n"/>
      <c r="M359" s="34">
        <f>IF(AND(IF($I366&lt;&gt;"",$I366,$I359)="override",$L359&lt;&gt;""),$L359,SUMIFS(Assumptions!$P$4:$P$103,Assumptions!$M$4:$M$103,$C359,Assumptions!$N$4:$N$103,$E359,Assumptions!$O$4:$O$103,"LVN"))</f>
        <v/>
      </c>
      <c r="N359" s="32" t="n"/>
      <c r="O359" s="34">
        <f>IF(AND(IF($I366&lt;&gt;"",$I366,$I359)="override",$N359&lt;&gt;""),$N359,SUMIFS(Assumptions!$P$4:$P$103,Assumptions!$M$4:$M$103,$C359,Assumptions!$N$4:$N$103,$E359,Assumptions!$O$4:$O$103,"HVN"))</f>
        <v/>
      </c>
      <c r="P359" s="34">
        <f>(M359+O359)*Assumptions!$S$11</f>
        <v/>
      </c>
      <c r="Q359" s="35">
        <f>$F359*$K359*$P359</f>
        <v/>
      </c>
    </row>
    <row r="360">
      <c r="A360" s="11" t="inlineStr">
        <is>
          <t>UNIT</t>
        </is>
      </c>
      <c r="B360" s="28" t="inlineStr">
        <is>
          <t>XOM_BAYTOWN</t>
        </is>
      </c>
      <c r="C360" s="28" t="n">
        <v>3</v>
      </c>
      <c r="D360" s="28" t="inlineStr">
        <is>
          <t>DHCU</t>
        </is>
      </c>
      <c r="E360" s="28" t="inlineStr">
        <is>
          <t>HYDROCRACKER</t>
        </is>
      </c>
      <c r="F360" s="29" t="n">
        <v>29.9</v>
      </c>
      <c r="G360" s="30">
        <f>IFERROR(IF(INDEX(Effective!$E$3:$R$125,MATCH($B360,Effective!$A$3:$A$125,0),MATCH($D360,Effective!$E$2:$R$2,0))=0,"",INDEX(Effective!$E$3:$R$125,MATCH($B360,Effective!$A$3:$A$125,0),MATCH($D360,Effective!$E$2:$R$2,0))),"")</f>
        <v/>
      </c>
      <c r="H360" s="31" t="n"/>
      <c r="I360" s="17" t="inlineStr">
        <is>
          <t>override</t>
        </is>
      </c>
      <c r="J360" s="32" t="n">
        <v>0.931</v>
      </c>
      <c r="K360" s="33">
        <f>IF(AND(IF($I366&lt;&gt;"",$I366,$I360)="override",$J360&lt;&gt;""),$J360,SUMIFS(Assumptions!$K$4:$K$8,Assumptions!$J$4:$J$8,$C360))*Assumptions!$S$10*(1-MIN(1,MAX(N($H360),N($H366))))</f>
        <v/>
      </c>
      <c r="L360" s="32" t="n"/>
      <c r="M360" s="34">
        <f>IF(AND(IF($I366&lt;&gt;"",$I366,$I360)="override",$L360&lt;&gt;""),$L360,SUMIFS(Assumptions!$P$4:$P$103,Assumptions!$M$4:$M$103,$C360,Assumptions!$N$4:$N$103,$E360,Assumptions!$O$4:$O$103,"LVN"))</f>
        <v/>
      </c>
      <c r="N360" s="32" t="n"/>
      <c r="O360" s="34">
        <f>IF(AND(IF($I366&lt;&gt;"",$I366,$I360)="override",$N360&lt;&gt;""),$N360,SUMIFS(Assumptions!$P$4:$P$103,Assumptions!$M$4:$M$103,$C360,Assumptions!$N$4:$N$103,$E360,Assumptions!$O$4:$O$103,"HVN"))</f>
        <v/>
      </c>
      <c r="P360" s="34">
        <f>(M360+O360)*Assumptions!$S$11</f>
        <v/>
      </c>
      <c r="Q360" s="35">
        <f>$F360*$K360*$P360</f>
        <v/>
      </c>
    </row>
    <row r="361">
      <c r="A361" s="11" t="inlineStr">
        <is>
          <t>UNIT</t>
        </is>
      </c>
      <c r="B361" s="28" t="inlineStr">
        <is>
          <t>XOM_BAYTOWN</t>
        </is>
      </c>
      <c r="C361" s="28" t="n">
        <v>3</v>
      </c>
      <c r="D361" s="28" t="inlineStr">
        <is>
          <t>COKER</t>
        </is>
      </c>
      <c r="E361" s="28" t="inlineStr">
        <is>
          <t>COKER</t>
        </is>
      </c>
      <c r="F361" s="29" t="n">
        <v>54</v>
      </c>
      <c r="G361" s="30">
        <f>IFERROR(IF(INDEX(Effective!$E$3:$R$125,MATCH($B361,Effective!$A$3:$A$125,0),MATCH($D361,Effective!$E$2:$R$2,0))=0,"",INDEX(Effective!$E$3:$R$125,MATCH($B361,Effective!$A$3:$A$125,0),MATCH($D361,Effective!$E$2:$R$2,0))),"")</f>
        <v/>
      </c>
      <c r="H361" s="31" t="n"/>
      <c r="I361" s="17" t="inlineStr">
        <is>
          <t>override</t>
        </is>
      </c>
      <c r="J361" s="32" t="n">
        <v>0.641</v>
      </c>
      <c r="K361" s="33">
        <f>IF(AND(IF($I366&lt;&gt;"",$I366,$I361)="override",$J361&lt;&gt;""),$J361,SUMIFS(Assumptions!$K$4:$K$8,Assumptions!$J$4:$J$8,$C361))*Assumptions!$S$10*(1-MIN(1,MAX(N($H361),N($H366))))</f>
        <v/>
      </c>
      <c r="L361" s="32" t="n"/>
      <c r="M361" s="34">
        <f>IF(AND(IF($I366&lt;&gt;"",$I366,$I361)="override",$L361&lt;&gt;""),$L361,SUMIFS(Assumptions!$P$4:$P$103,Assumptions!$M$4:$M$103,$C361,Assumptions!$N$4:$N$103,$E361,Assumptions!$O$4:$O$103,"LVN"))</f>
        <v/>
      </c>
      <c r="N361" s="32" t="n"/>
      <c r="O361" s="34">
        <f>IF(AND(IF($I366&lt;&gt;"",$I366,$I361)="override",$N361&lt;&gt;""),$N361,SUMIFS(Assumptions!$P$4:$P$103,Assumptions!$M$4:$M$103,$C361,Assumptions!$N$4:$N$103,$E361,Assumptions!$O$4:$O$103,"HVN"))</f>
        <v/>
      </c>
      <c r="P361" s="34">
        <f>(M361+O361)*Assumptions!$S$11</f>
        <v/>
      </c>
      <c r="Q361" s="35">
        <f>$F361*$K361*$P361</f>
        <v/>
      </c>
    </row>
    <row r="362">
      <c r="A362" s="11" t="inlineStr">
        <is>
          <t>UNIT</t>
        </is>
      </c>
      <c r="B362" s="28" t="inlineStr">
        <is>
          <t>XOM_BAYTOWN</t>
        </is>
      </c>
      <c r="C362" s="28" t="n">
        <v>3</v>
      </c>
      <c r="D362" s="28" t="inlineStr">
        <is>
          <t>FCOKER</t>
        </is>
      </c>
      <c r="E362" s="28" t="inlineStr">
        <is>
          <t>COKER</t>
        </is>
      </c>
      <c r="F362" s="29" t="n">
        <v>42</v>
      </c>
      <c r="G362" s="30">
        <f>IFERROR(IF(INDEX(Effective!$E$3:$R$125,MATCH($B362,Effective!$A$3:$A$125,0),MATCH($D362,Effective!$E$2:$R$2,0))=0,"",INDEX(Effective!$E$3:$R$125,MATCH($B362,Effective!$A$3:$A$125,0),MATCH($D362,Effective!$E$2:$R$2,0))),"")</f>
        <v/>
      </c>
      <c r="H362" s="31" t="n"/>
      <c r="I362" s="17" t="inlineStr">
        <is>
          <t>override</t>
        </is>
      </c>
      <c r="J362" s="32" t="n">
        <v>0.599</v>
      </c>
      <c r="K362" s="33">
        <f>IF(AND(IF($I366&lt;&gt;"",$I366,$I362)="override",$J362&lt;&gt;""),$J362,SUMIFS(Assumptions!$K$4:$K$8,Assumptions!$J$4:$J$8,$C362))*Assumptions!$S$10*(1-MIN(1,MAX(N($H362),N($H366))))</f>
        <v/>
      </c>
      <c r="L362" s="32" t="n"/>
      <c r="M362" s="34">
        <f>IF(AND(IF($I366&lt;&gt;"",$I366,$I362)="override",$L362&lt;&gt;""),$L362,SUMIFS(Assumptions!$P$4:$P$103,Assumptions!$M$4:$M$103,$C362,Assumptions!$N$4:$N$103,$E362,Assumptions!$O$4:$O$103,"LVN"))</f>
        <v/>
      </c>
      <c r="N362" s="32" t="n"/>
      <c r="O362" s="34">
        <f>IF(AND(IF($I366&lt;&gt;"",$I366,$I362)="override",$N362&lt;&gt;""),$N362,SUMIFS(Assumptions!$P$4:$P$103,Assumptions!$M$4:$M$103,$C362,Assumptions!$N$4:$N$103,$E362,Assumptions!$O$4:$O$103,"HVN"))</f>
        <v/>
      </c>
      <c r="P362" s="34">
        <f>(M362+O362)*Assumptions!$S$11</f>
        <v/>
      </c>
      <c r="Q362" s="35">
        <f>$F362*$K362*$P362</f>
        <v/>
      </c>
    </row>
    <row r="363">
      <c r="A363" s="11" t="inlineStr">
        <is>
          <t>UNIT</t>
        </is>
      </c>
      <c r="B363" s="28" t="inlineStr">
        <is>
          <t>XOM_BAYTOWN</t>
        </is>
      </c>
      <c r="C363" s="28" t="n">
        <v>3</v>
      </c>
      <c r="D363" s="28" t="inlineStr">
        <is>
          <t>CCR</t>
        </is>
      </c>
      <c r="E363" s="28" t="inlineStr">
        <is>
          <t>REFORMER</t>
        </is>
      </c>
      <c r="F363" s="29" t="n">
        <v>127.5</v>
      </c>
      <c r="G363" s="30">
        <f>IFERROR(IF(INDEX(Effective!$E$3:$R$125,MATCH($B363,Effective!$A$3:$A$125,0),MATCH($D363,Effective!$E$2:$R$2,0))=0,"",INDEX(Effective!$E$3:$R$125,MATCH($B363,Effective!$A$3:$A$125,0),MATCH($D363,Effective!$E$2:$R$2,0))),"")</f>
        <v/>
      </c>
      <c r="H363" s="31" t="n"/>
      <c r="I363" s="17" t="inlineStr">
        <is>
          <t>override</t>
        </is>
      </c>
      <c r="J363" s="32" t="n">
        <v>0.9409999999999999</v>
      </c>
      <c r="K363" s="33">
        <f>IF(AND(IF($I366&lt;&gt;"",$I366,$I363)="override",$J363&lt;&gt;""),$J363,SUMIFS(Assumptions!$K$4:$K$8,Assumptions!$J$4:$J$8,$C363))*Assumptions!$S$10*(1-MIN(1,MAX(N($H363),N($H366))))</f>
        <v/>
      </c>
      <c r="L363" s="32" t="n"/>
      <c r="M363" s="34">
        <f>IF(AND(IF($I366&lt;&gt;"",$I366,$I363)="override",$L363&lt;&gt;""),$L363,SUMIFS(Assumptions!$P$4:$P$103,Assumptions!$M$4:$M$103,$C363,Assumptions!$N$4:$N$103,$E363,Assumptions!$O$4:$O$103,"LVN"))</f>
        <v/>
      </c>
      <c r="N363" s="32" t="n"/>
      <c r="O363" s="34">
        <f>IF(AND(IF($I366&lt;&gt;"",$I366,$I363)="override",$N363&lt;&gt;""),$N363,SUMIFS(Assumptions!$P$4:$P$103,Assumptions!$M$4:$M$103,$C363,Assumptions!$N$4:$N$103,$E363,Assumptions!$O$4:$O$103,"HVN"))</f>
        <v/>
      </c>
      <c r="P363" s="34">
        <f>(M363+O363)*Assumptions!$S$11</f>
        <v/>
      </c>
      <c r="Q363" s="35">
        <f>$F363*$K363*$P363</f>
        <v/>
      </c>
    </row>
    <row r="364">
      <c r="A364" s="11" t="inlineStr">
        <is>
          <t>UNIT</t>
        </is>
      </c>
      <c r="B364" s="28" t="inlineStr">
        <is>
          <t>XOM_BAYTOWN</t>
        </is>
      </c>
      <c r="C364" s="28" t="n">
        <v>3</v>
      </c>
      <c r="D364" s="28" t="inlineStr">
        <is>
          <t>ALKY</t>
        </is>
      </c>
      <c r="E364" s="28" t="inlineStr">
        <is>
          <t>ALKY</t>
        </is>
      </c>
      <c r="F364" s="29" t="n">
        <v>41</v>
      </c>
      <c r="G364" s="30">
        <f>IFERROR(IF(INDEX(Effective!$E$3:$R$125,MATCH($B364,Effective!$A$3:$A$125,0),MATCH($D364,Effective!$E$2:$R$2,0))=0,"",INDEX(Effective!$E$3:$R$125,MATCH($B364,Effective!$A$3:$A$125,0),MATCH($D364,Effective!$E$2:$R$2,0))),"")</f>
        <v/>
      </c>
      <c r="H364" s="31" t="n"/>
      <c r="I364" s="17" t="inlineStr">
        <is>
          <t>override</t>
        </is>
      </c>
      <c r="J364" s="32" t="n">
        <v>1.1</v>
      </c>
      <c r="K364" s="33">
        <f>IF(AND(IF($I366&lt;&gt;"",$I366,$I364)="override",$J364&lt;&gt;""),$J364,SUMIFS(Assumptions!$K$4:$K$8,Assumptions!$J$4:$J$8,$C364))*Assumptions!$S$10*(1-MIN(1,MAX(N($H364),N($H366))))</f>
        <v/>
      </c>
      <c r="L364" s="32" t="n"/>
      <c r="M364" s="34">
        <f>IF(AND(IF($I366&lt;&gt;"",$I366,$I364)="override",$L364&lt;&gt;""),$L364,SUMIFS(Assumptions!$P$4:$P$103,Assumptions!$M$4:$M$103,$C364,Assumptions!$N$4:$N$103,$E364,Assumptions!$O$4:$O$103,"LVN"))</f>
        <v/>
      </c>
      <c r="N364" s="32" t="n"/>
      <c r="O364" s="34">
        <f>IF(AND(IF($I366&lt;&gt;"",$I366,$I364)="override",$N364&lt;&gt;""),$N364,SUMIFS(Assumptions!$P$4:$P$103,Assumptions!$M$4:$M$103,$C364,Assumptions!$N$4:$N$103,$E364,Assumptions!$O$4:$O$103,"HVN"))</f>
        <v/>
      </c>
      <c r="P364" s="34">
        <f>(M364+O364)*Assumptions!$S$11</f>
        <v/>
      </c>
      <c r="Q364" s="35">
        <f>$F364*$K364*$P364</f>
        <v/>
      </c>
    </row>
    <row r="365">
      <c r="A365" s="11" t="inlineStr">
        <is>
          <t>UNIT</t>
        </is>
      </c>
      <c r="B365" s="28" t="inlineStr">
        <is>
          <t>XOM_BAYTOWN</t>
        </is>
      </c>
      <c r="C365" s="28" t="n">
        <v>3</v>
      </c>
      <c r="D365" s="28" t="inlineStr">
        <is>
          <t>NHT</t>
        </is>
      </c>
      <c r="E365" s="28" t="inlineStr">
        <is>
          <t>NHT</t>
        </is>
      </c>
      <c r="F365" s="29" t="n">
        <v>155.5</v>
      </c>
      <c r="G365" s="30">
        <f>IFERROR(IF(INDEX(Effective!$E$3:$R$125,MATCH($B365,Effective!$A$3:$A$125,0),MATCH($D365,Effective!$E$2:$R$2,0))=0,"",INDEX(Effective!$E$3:$R$125,MATCH($B365,Effective!$A$3:$A$125,0),MATCH($D365,Effective!$E$2:$R$2,0))),"")</f>
        <v/>
      </c>
      <c r="H365" s="31" t="n"/>
      <c r="I365" s="17" t="inlineStr">
        <is>
          <t>override</t>
        </is>
      </c>
      <c r="J365" s="32" t="n">
        <v>0.991</v>
      </c>
      <c r="K365" s="33">
        <f>IF(AND(IF($I366&lt;&gt;"",$I366,$I365)="override",$J365&lt;&gt;""),$J365,SUMIFS(Assumptions!$K$4:$K$8,Assumptions!$J$4:$J$8,$C365))*Assumptions!$S$10*(1-MIN(1,MAX(N($H365),N($H366))))</f>
        <v/>
      </c>
      <c r="L365" s="32" t="n"/>
      <c r="M365" s="34">
        <f>IF(AND(IF($I366&lt;&gt;"",$I366,$I365)="override",$L365&lt;&gt;""),$L365,SUMIFS(Assumptions!$P$4:$P$103,Assumptions!$M$4:$M$103,$C365,Assumptions!$N$4:$N$103,$E365,Assumptions!$O$4:$O$103,"LVN"))</f>
        <v/>
      </c>
      <c r="N365" s="32" t="n"/>
      <c r="O365" s="34">
        <f>IF(AND(IF($I366&lt;&gt;"",$I366,$I365)="override",$N365&lt;&gt;""),$N365,SUMIFS(Assumptions!$P$4:$P$103,Assumptions!$M$4:$M$103,$C365,Assumptions!$N$4:$N$103,$E365,Assumptions!$O$4:$O$103,"HVN"))</f>
        <v/>
      </c>
      <c r="P365" s="34">
        <f>(M365+O365)*Assumptions!$S$11</f>
        <v/>
      </c>
      <c r="Q365" s="35">
        <f>$F365*$K365*$P365</f>
        <v/>
      </c>
    </row>
    <row r="366">
      <c r="A366" s="24" t="inlineStr">
        <is>
          <t>TOTAL</t>
        </is>
      </c>
      <c r="B366" s="36" t="inlineStr">
        <is>
          <t>XOM_BAYTOWN</t>
        </is>
      </c>
      <c r="C366" s="36" t="n">
        <v>3</v>
      </c>
      <c r="D366" s="36" t="inlineStr">
        <is>
          <t>NET NAPHTHA</t>
        </is>
      </c>
      <c r="H366" s="31" t="n"/>
      <c r="I366" s="17" t="n"/>
      <c r="Q366" s="37">
        <f>SUM(Q357:Q365)</f>
        <v/>
      </c>
    </row>
    <row r="368" ht="20" customHeight="1">
      <c r="A368" s="8">
        <f>"  ExxonMobil Baton Rouge  [EXXONMOBIL_BATON_ROUGE]   —   ExxonMobil   —   PADD 3   —   crude "&amp;TEXT(SUMIFS(Data!$G$3:$G$125,Data!$A$3:$A$125,"EXXONMOBIL_BATON_ROUGE"),"#,##0")&amp;" kbd"</f>
        <v/>
      </c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</row>
    <row r="369">
      <c r="A369" s="11" t="inlineStr">
        <is>
          <t>UNIT</t>
        </is>
      </c>
      <c r="B369" s="28" t="inlineStr">
        <is>
          <t>EXXONMOBIL_BATON_ROUGE</t>
        </is>
      </c>
      <c r="C369" s="28" t="n">
        <v>3</v>
      </c>
      <c r="D369" s="28" t="inlineStr">
        <is>
          <t>CDU</t>
        </is>
      </c>
      <c r="E369" s="28" t="inlineStr">
        <is>
          <t>CDU</t>
        </is>
      </c>
      <c r="F369" s="29" t="n">
        <v>542</v>
      </c>
      <c r="G369" s="30">
        <f>IFERROR(IF(INDEX(Effective!$E$3:$R$125,MATCH($B369,Effective!$A$3:$A$125,0),MATCH($D369,Effective!$E$2:$R$2,0))=0,"",INDEX(Effective!$E$3:$R$125,MATCH($B369,Effective!$A$3:$A$125,0),MATCH($D369,Effective!$E$2:$R$2,0))),"")</f>
        <v/>
      </c>
      <c r="H369" s="31" t="n"/>
      <c r="I369" s="17" t="inlineStr">
        <is>
          <t>override</t>
        </is>
      </c>
      <c r="J369" s="32" t="n">
        <v>0.963</v>
      </c>
      <c r="K369" s="33">
        <f>IF(AND(IF($I377&lt;&gt;"",$I377,$I369)="override",$J369&lt;&gt;""),$J369,SUMIFS(Assumptions!$K$4:$K$8,Assumptions!$J$4:$J$8,$C369))*Assumptions!$S$10*(1-MIN(1,MAX(N($H369),N($H377))))</f>
        <v/>
      </c>
      <c r="L369" s="32" t="n"/>
      <c r="M369" s="34">
        <f>IF(AND(IF($I377&lt;&gt;"",$I377,$I369)="override",$L369&lt;&gt;""),$L369,SUMIFS(Assumptions!$P$4:$P$103,Assumptions!$M$4:$M$103,$C369,Assumptions!$N$4:$N$103,$E369,Assumptions!$O$4:$O$103,"LVN"))</f>
        <v/>
      </c>
      <c r="N369" s="32" t="n"/>
      <c r="O369" s="34">
        <f>IF(AND(IF($I377&lt;&gt;"",$I377,$I369)="override",$N369&lt;&gt;""),$N369,SUMIFS(Assumptions!$P$4:$P$103,Assumptions!$M$4:$M$103,$C369,Assumptions!$N$4:$N$103,$E369,Assumptions!$O$4:$O$103,"HVN"))</f>
        <v/>
      </c>
      <c r="P369" s="34">
        <f>(M369+O369)*Assumptions!$S$11</f>
        <v/>
      </c>
      <c r="Q369" s="35">
        <f>$F369*$K369*$P369</f>
        <v/>
      </c>
    </row>
    <row r="370">
      <c r="A370" s="11" t="inlineStr">
        <is>
          <t>UNIT</t>
        </is>
      </c>
      <c r="B370" s="28" t="inlineStr">
        <is>
          <t>EXXONMOBIL_BATON_ROUGE</t>
        </is>
      </c>
      <c r="C370" s="28" t="n">
        <v>3</v>
      </c>
      <c r="D370" s="28" t="inlineStr">
        <is>
          <t>VDU</t>
        </is>
      </c>
      <c r="E370" s="28" t="inlineStr">
        <is>
          <t>VDU</t>
        </is>
      </c>
      <c r="F370" s="29" t="n">
        <v>254</v>
      </c>
      <c r="G370" s="30">
        <f>IFERROR(IF(INDEX(Effective!$E$3:$R$125,MATCH($B370,Effective!$A$3:$A$125,0),MATCH($D370,Effective!$E$2:$R$2,0))=0,"",INDEX(Effective!$E$3:$R$125,MATCH($B370,Effective!$A$3:$A$125,0),MATCH($D370,Effective!$E$2:$R$2,0))),"")</f>
        <v/>
      </c>
      <c r="H370" s="31" t="n"/>
      <c r="I370" s="17" t="inlineStr">
        <is>
          <t>override</t>
        </is>
      </c>
      <c r="J370" s="32" t="n">
        <v>0.857</v>
      </c>
      <c r="K370" s="33">
        <f>IF(AND(IF($I377&lt;&gt;"",$I377,$I370)="override",$J370&lt;&gt;""),$J370,SUMIFS(Assumptions!$K$4:$K$8,Assumptions!$J$4:$J$8,$C370))*Assumptions!$S$10*(1-MIN(1,MAX(N($H370),N($H377))))</f>
        <v/>
      </c>
      <c r="L370" s="32" t="n"/>
      <c r="M370" s="34">
        <f>IF(AND(IF($I377&lt;&gt;"",$I377,$I370)="override",$L370&lt;&gt;""),$L370,SUMIFS(Assumptions!$P$4:$P$103,Assumptions!$M$4:$M$103,$C370,Assumptions!$N$4:$N$103,$E370,Assumptions!$O$4:$O$103,"LVN"))</f>
        <v/>
      </c>
      <c r="N370" s="32" t="n"/>
      <c r="O370" s="34">
        <f>IF(AND(IF($I377&lt;&gt;"",$I377,$I370)="override",$N370&lt;&gt;""),$N370,SUMIFS(Assumptions!$P$4:$P$103,Assumptions!$M$4:$M$103,$C370,Assumptions!$N$4:$N$103,$E370,Assumptions!$O$4:$O$103,"HVN"))</f>
        <v/>
      </c>
      <c r="P370" s="34">
        <f>(M370+O370)*Assumptions!$S$11</f>
        <v/>
      </c>
      <c r="Q370" s="35">
        <f>$F370*$K370*$P370</f>
        <v/>
      </c>
    </row>
    <row r="371">
      <c r="A371" s="11" t="inlineStr">
        <is>
          <t>UNIT</t>
        </is>
      </c>
      <c r="B371" s="28" t="inlineStr">
        <is>
          <t>EXXONMOBIL_BATON_ROUGE</t>
        </is>
      </c>
      <c r="C371" s="28" t="n">
        <v>3</v>
      </c>
      <c r="D371" s="28" t="inlineStr">
        <is>
          <t>FCC</t>
        </is>
      </c>
      <c r="E371" s="28" t="inlineStr">
        <is>
          <t>FCC</t>
        </is>
      </c>
      <c r="F371" s="29" t="n">
        <v>244.5</v>
      </c>
      <c r="G371" s="30">
        <f>IFERROR(IF(INDEX(Effective!$E$3:$R$125,MATCH($B371,Effective!$A$3:$A$125,0),MATCH($D371,Effective!$E$2:$R$2,0))=0,"",INDEX(Effective!$E$3:$R$125,MATCH($B371,Effective!$A$3:$A$125,0),MATCH($D371,Effective!$E$2:$R$2,0))),"")</f>
        <v/>
      </c>
      <c r="H371" s="31" t="n"/>
      <c r="I371" s="17" t="inlineStr">
        <is>
          <t>override</t>
        </is>
      </c>
      <c r="J371" s="32" t="n">
        <v>0.862</v>
      </c>
      <c r="K371" s="33">
        <f>IF(AND(IF($I377&lt;&gt;"",$I377,$I371)="override",$J371&lt;&gt;""),$J371,SUMIFS(Assumptions!$K$4:$K$8,Assumptions!$J$4:$J$8,$C371))*Assumptions!$S$10*(1-MIN(1,MAX(N($H371),N($H377))))</f>
        <v/>
      </c>
      <c r="L371" s="32" t="n"/>
      <c r="M371" s="34">
        <f>IF(AND(IF($I377&lt;&gt;"",$I377,$I371)="override",$L371&lt;&gt;""),$L371,SUMIFS(Assumptions!$P$4:$P$103,Assumptions!$M$4:$M$103,$C371,Assumptions!$N$4:$N$103,$E371,Assumptions!$O$4:$O$103,"LVN"))</f>
        <v/>
      </c>
      <c r="N371" s="32" t="n"/>
      <c r="O371" s="34">
        <f>IF(AND(IF($I377&lt;&gt;"",$I377,$I371)="override",$N371&lt;&gt;""),$N371,SUMIFS(Assumptions!$P$4:$P$103,Assumptions!$M$4:$M$103,$C371,Assumptions!$N$4:$N$103,$E371,Assumptions!$O$4:$O$103,"HVN"))</f>
        <v/>
      </c>
      <c r="P371" s="34">
        <f>(M371+O371)*Assumptions!$S$11</f>
        <v/>
      </c>
      <c r="Q371" s="35">
        <f>$F371*$K371*$P371</f>
        <v/>
      </c>
    </row>
    <row r="372">
      <c r="A372" s="11" t="inlineStr">
        <is>
          <t>UNIT</t>
        </is>
      </c>
      <c r="B372" s="28" t="inlineStr">
        <is>
          <t>EXXONMOBIL_BATON_ROUGE</t>
        </is>
      </c>
      <c r="C372" s="28" t="n">
        <v>3</v>
      </c>
      <c r="D372" s="28" t="inlineStr">
        <is>
          <t>DHCU</t>
        </is>
      </c>
      <c r="E372" s="28" t="inlineStr">
        <is>
          <t>HYDROCRACKER</t>
        </is>
      </c>
      <c r="F372" s="29" t="n">
        <v>27</v>
      </c>
      <c r="G372" s="30">
        <f>IFERROR(IF(INDEX(Effective!$E$3:$R$125,MATCH($B372,Effective!$A$3:$A$125,0),MATCH($D372,Effective!$E$2:$R$2,0))=0,"",INDEX(Effective!$E$3:$R$125,MATCH($B372,Effective!$A$3:$A$125,0),MATCH($D372,Effective!$E$2:$R$2,0))),"")</f>
        <v/>
      </c>
      <c r="H372" s="31" t="n"/>
      <c r="I372" s="17" t="inlineStr">
        <is>
          <t>override</t>
        </is>
      </c>
      <c r="J372" s="32" t="n">
        <v>0.963</v>
      </c>
      <c r="K372" s="33">
        <f>IF(AND(IF($I377&lt;&gt;"",$I377,$I372)="override",$J372&lt;&gt;""),$J372,SUMIFS(Assumptions!$K$4:$K$8,Assumptions!$J$4:$J$8,$C372))*Assumptions!$S$10*(1-MIN(1,MAX(N($H372),N($H377))))</f>
        <v/>
      </c>
      <c r="L372" s="32" t="n"/>
      <c r="M372" s="34">
        <f>IF(AND(IF($I377&lt;&gt;"",$I377,$I372)="override",$L372&lt;&gt;""),$L372,SUMIFS(Assumptions!$P$4:$P$103,Assumptions!$M$4:$M$103,$C372,Assumptions!$N$4:$N$103,$E372,Assumptions!$O$4:$O$103,"LVN"))</f>
        <v/>
      </c>
      <c r="N372" s="32" t="n"/>
      <c r="O372" s="34">
        <f>IF(AND(IF($I377&lt;&gt;"",$I377,$I372)="override",$N372&lt;&gt;""),$N372,SUMIFS(Assumptions!$P$4:$P$103,Assumptions!$M$4:$M$103,$C372,Assumptions!$N$4:$N$103,$E372,Assumptions!$O$4:$O$103,"HVN"))</f>
        <v/>
      </c>
      <c r="P372" s="34">
        <f>(M372+O372)*Assumptions!$S$11</f>
        <v/>
      </c>
      <c r="Q372" s="35">
        <f>$F372*$K372*$P372</f>
        <v/>
      </c>
    </row>
    <row r="373">
      <c r="A373" s="11" t="inlineStr">
        <is>
          <t>UNIT</t>
        </is>
      </c>
      <c r="B373" s="28" t="inlineStr">
        <is>
          <t>EXXONMOBIL_BATON_ROUGE</t>
        </is>
      </c>
      <c r="C373" s="28" t="n">
        <v>3</v>
      </c>
      <c r="D373" s="28" t="inlineStr">
        <is>
          <t>COKER</t>
        </is>
      </c>
      <c r="E373" s="28" t="inlineStr">
        <is>
          <t>COKER</t>
        </is>
      </c>
      <c r="F373" s="29" t="n">
        <v>123.5</v>
      </c>
      <c r="G373" s="30">
        <f>IFERROR(IF(INDEX(Effective!$E$3:$R$125,MATCH($B373,Effective!$A$3:$A$125,0),MATCH($D373,Effective!$E$2:$R$2,0))=0,"",INDEX(Effective!$E$3:$R$125,MATCH($B373,Effective!$A$3:$A$125,0),MATCH($D373,Effective!$E$2:$R$2,0))),"")</f>
        <v/>
      </c>
      <c r="H373" s="31" t="n"/>
      <c r="I373" s="17" t="inlineStr">
        <is>
          <t>override</t>
        </is>
      </c>
      <c r="J373" s="32" t="n">
        <v>0.872</v>
      </c>
      <c r="K373" s="33">
        <f>IF(AND(IF($I377&lt;&gt;"",$I377,$I373)="override",$J373&lt;&gt;""),$J373,SUMIFS(Assumptions!$K$4:$K$8,Assumptions!$J$4:$J$8,$C373))*Assumptions!$S$10*(1-MIN(1,MAX(N($H373),N($H377))))</f>
        <v/>
      </c>
      <c r="L373" s="32" t="n"/>
      <c r="M373" s="34">
        <f>IF(AND(IF($I377&lt;&gt;"",$I377,$I373)="override",$L373&lt;&gt;""),$L373,SUMIFS(Assumptions!$P$4:$P$103,Assumptions!$M$4:$M$103,$C373,Assumptions!$N$4:$N$103,$E373,Assumptions!$O$4:$O$103,"LVN"))</f>
        <v/>
      </c>
      <c r="N373" s="32" t="n"/>
      <c r="O373" s="34">
        <f>IF(AND(IF($I377&lt;&gt;"",$I377,$I373)="override",$N373&lt;&gt;""),$N373,SUMIFS(Assumptions!$P$4:$P$103,Assumptions!$M$4:$M$103,$C373,Assumptions!$N$4:$N$103,$E373,Assumptions!$O$4:$O$103,"HVN"))</f>
        <v/>
      </c>
      <c r="P373" s="34">
        <f>(M373+O373)*Assumptions!$S$11</f>
        <v/>
      </c>
      <c r="Q373" s="35">
        <f>$F373*$K373*$P373</f>
        <v/>
      </c>
    </row>
    <row r="374">
      <c r="A374" s="11" t="inlineStr">
        <is>
          <t>UNIT</t>
        </is>
      </c>
      <c r="B374" s="28" t="inlineStr">
        <is>
          <t>EXXONMOBIL_BATON_ROUGE</t>
        </is>
      </c>
      <c r="C374" s="28" t="n">
        <v>3</v>
      </c>
      <c r="D374" s="28" t="inlineStr">
        <is>
          <t>CCR</t>
        </is>
      </c>
      <c r="E374" s="28" t="inlineStr">
        <is>
          <t>REFORMER</t>
        </is>
      </c>
      <c r="F374" s="29" t="n">
        <v>80</v>
      </c>
      <c r="G374" s="30">
        <f>IFERROR(IF(INDEX(Effective!$E$3:$R$125,MATCH($B374,Effective!$A$3:$A$125,0),MATCH($D374,Effective!$E$2:$R$2,0))=0,"",INDEX(Effective!$E$3:$R$125,MATCH($B374,Effective!$A$3:$A$125,0),MATCH($D374,Effective!$E$2:$R$2,0))),"")</f>
        <v/>
      </c>
      <c r="H374" s="31" t="n"/>
      <c r="I374" s="17" t="inlineStr">
        <is>
          <t>override</t>
        </is>
      </c>
      <c r="J374" s="32" t="n">
        <v>0.977</v>
      </c>
      <c r="K374" s="33">
        <f>IF(AND(IF($I377&lt;&gt;"",$I377,$I374)="override",$J374&lt;&gt;""),$J374,SUMIFS(Assumptions!$K$4:$K$8,Assumptions!$J$4:$J$8,$C374))*Assumptions!$S$10*(1-MIN(1,MAX(N($H374),N($H377))))</f>
        <v/>
      </c>
      <c r="L374" s="32" t="n"/>
      <c r="M374" s="34">
        <f>IF(AND(IF($I377&lt;&gt;"",$I377,$I374)="override",$L374&lt;&gt;""),$L374,SUMIFS(Assumptions!$P$4:$P$103,Assumptions!$M$4:$M$103,$C374,Assumptions!$N$4:$N$103,$E374,Assumptions!$O$4:$O$103,"LVN"))</f>
        <v/>
      </c>
      <c r="N374" s="32" t="n"/>
      <c r="O374" s="34">
        <f>IF(AND(IF($I377&lt;&gt;"",$I377,$I374)="override",$N374&lt;&gt;""),$N374,SUMIFS(Assumptions!$P$4:$P$103,Assumptions!$M$4:$M$103,$C374,Assumptions!$N$4:$N$103,$E374,Assumptions!$O$4:$O$103,"HVN"))</f>
        <v/>
      </c>
      <c r="P374" s="34">
        <f>(M374+O374)*Assumptions!$S$11</f>
        <v/>
      </c>
      <c r="Q374" s="35">
        <f>$F374*$K374*$P374</f>
        <v/>
      </c>
    </row>
    <row r="375">
      <c r="A375" s="11" t="inlineStr">
        <is>
          <t>UNIT</t>
        </is>
      </c>
      <c r="B375" s="28" t="inlineStr">
        <is>
          <t>EXXONMOBIL_BATON_ROUGE</t>
        </is>
      </c>
      <c r="C375" s="28" t="n">
        <v>3</v>
      </c>
      <c r="D375" s="28" t="inlineStr">
        <is>
          <t>ALKY</t>
        </is>
      </c>
      <c r="E375" s="28" t="inlineStr">
        <is>
          <t>ALKY</t>
        </is>
      </c>
      <c r="F375" s="29" t="n">
        <v>41</v>
      </c>
      <c r="G375" s="30">
        <f>IFERROR(IF(INDEX(Effective!$E$3:$R$125,MATCH($B375,Effective!$A$3:$A$125,0),MATCH($D375,Effective!$E$2:$R$2,0))=0,"",INDEX(Effective!$E$3:$R$125,MATCH($B375,Effective!$A$3:$A$125,0),MATCH($D375,Effective!$E$2:$R$2,0))),"")</f>
        <v/>
      </c>
      <c r="H375" s="31" t="n"/>
      <c r="I375" s="17" t="inlineStr">
        <is>
          <t>override</t>
        </is>
      </c>
      <c r="J375" s="32" t="n">
        <v>1.1</v>
      </c>
      <c r="K375" s="33">
        <f>IF(AND(IF($I377&lt;&gt;"",$I377,$I375)="override",$J375&lt;&gt;""),$J375,SUMIFS(Assumptions!$K$4:$K$8,Assumptions!$J$4:$J$8,$C375))*Assumptions!$S$10*(1-MIN(1,MAX(N($H375),N($H377))))</f>
        <v/>
      </c>
      <c r="L375" s="32" t="n"/>
      <c r="M375" s="34">
        <f>IF(AND(IF($I377&lt;&gt;"",$I377,$I375)="override",$L375&lt;&gt;""),$L375,SUMIFS(Assumptions!$P$4:$P$103,Assumptions!$M$4:$M$103,$C375,Assumptions!$N$4:$N$103,$E375,Assumptions!$O$4:$O$103,"LVN"))</f>
        <v/>
      </c>
      <c r="N375" s="32" t="n"/>
      <c r="O375" s="34">
        <f>IF(AND(IF($I377&lt;&gt;"",$I377,$I375)="override",$N375&lt;&gt;""),$N375,SUMIFS(Assumptions!$P$4:$P$103,Assumptions!$M$4:$M$103,$C375,Assumptions!$N$4:$N$103,$E375,Assumptions!$O$4:$O$103,"HVN"))</f>
        <v/>
      </c>
      <c r="P375" s="34">
        <f>(M375+O375)*Assumptions!$S$11</f>
        <v/>
      </c>
      <c r="Q375" s="35">
        <f>$F375*$K375*$P375</f>
        <v/>
      </c>
    </row>
    <row r="376">
      <c r="A376" s="11" t="inlineStr">
        <is>
          <t>UNIT</t>
        </is>
      </c>
      <c r="B376" s="28" t="inlineStr">
        <is>
          <t>EXXONMOBIL_BATON_ROUGE</t>
        </is>
      </c>
      <c r="C376" s="28" t="n">
        <v>3</v>
      </c>
      <c r="D376" s="28" t="inlineStr">
        <is>
          <t>NHT</t>
        </is>
      </c>
      <c r="E376" s="28" t="inlineStr">
        <is>
          <t>NHT</t>
        </is>
      </c>
      <c r="F376" s="29" t="n">
        <v>79</v>
      </c>
      <c r="G376" s="30">
        <f>IFERROR(IF(INDEX(Effective!$E$3:$R$125,MATCH($B376,Effective!$A$3:$A$125,0),MATCH($D376,Effective!$E$2:$R$2,0))=0,"",INDEX(Effective!$E$3:$R$125,MATCH($B376,Effective!$A$3:$A$125,0),MATCH($D376,Effective!$E$2:$R$2,0))),"")</f>
        <v/>
      </c>
      <c r="H376" s="31" t="n"/>
      <c r="I376" s="17" t="inlineStr">
        <is>
          <t>override</t>
        </is>
      </c>
      <c r="J376" s="32" t="n">
        <v>0.978</v>
      </c>
      <c r="K376" s="33">
        <f>IF(AND(IF($I377&lt;&gt;"",$I377,$I376)="override",$J376&lt;&gt;""),$J376,SUMIFS(Assumptions!$K$4:$K$8,Assumptions!$J$4:$J$8,$C376))*Assumptions!$S$10*(1-MIN(1,MAX(N($H376),N($H377))))</f>
        <v/>
      </c>
      <c r="L376" s="32" t="n"/>
      <c r="M376" s="34">
        <f>IF(AND(IF($I377&lt;&gt;"",$I377,$I376)="override",$L376&lt;&gt;""),$L376,SUMIFS(Assumptions!$P$4:$P$103,Assumptions!$M$4:$M$103,$C376,Assumptions!$N$4:$N$103,$E376,Assumptions!$O$4:$O$103,"LVN"))</f>
        <v/>
      </c>
      <c r="N376" s="32" t="n"/>
      <c r="O376" s="34">
        <f>IF(AND(IF($I377&lt;&gt;"",$I377,$I376)="override",$N376&lt;&gt;""),$N376,SUMIFS(Assumptions!$P$4:$P$103,Assumptions!$M$4:$M$103,$C376,Assumptions!$N$4:$N$103,$E376,Assumptions!$O$4:$O$103,"HVN"))</f>
        <v/>
      </c>
      <c r="P376" s="34">
        <f>(M376+O376)*Assumptions!$S$11</f>
        <v/>
      </c>
      <c r="Q376" s="35">
        <f>$F376*$K376*$P376</f>
        <v/>
      </c>
    </row>
    <row r="377">
      <c r="A377" s="24" t="inlineStr">
        <is>
          <t>TOTAL</t>
        </is>
      </c>
      <c r="B377" s="36" t="inlineStr">
        <is>
          <t>EXXONMOBIL_BATON_ROUGE</t>
        </is>
      </c>
      <c r="C377" s="36" t="n">
        <v>3</v>
      </c>
      <c r="D377" s="36" t="inlineStr">
        <is>
          <t>NET NAPHTHA</t>
        </is>
      </c>
      <c r="H377" s="31" t="n"/>
      <c r="I377" s="17" t="n"/>
      <c r="Q377" s="37">
        <f>SUM(Q369:Q376)</f>
        <v/>
      </c>
    </row>
    <row r="379" ht="20" customHeight="1">
      <c r="A379" s="8">
        <f>"  Citgo Lake Charles  [CITGO_LAKE_CHARLES]   —   PDVSA   —   PADD 3   —   crude "&amp;TEXT(SUMIFS(Data!$G$3:$G$125,Data!$A$3:$A$125,"CITGO_LAKE_CHARLES"),"#,##0")&amp;" kbd"</f>
        <v/>
      </c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</row>
    <row r="380">
      <c r="A380" s="11" t="inlineStr">
        <is>
          <t>UNIT</t>
        </is>
      </c>
      <c r="B380" s="28" t="inlineStr">
        <is>
          <t>CITGO_LAKE_CHARLES</t>
        </is>
      </c>
      <c r="C380" s="28" t="n">
        <v>3</v>
      </c>
      <c r="D380" s="28" t="inlineStr">
        <is>
          <t>CDU</t>
        </is>
      </c>
      <c r="E380" s="28" t="inlineStr">
        <is>
          <t>CDU</t>
        </is>
      </c>
      <c r="F380" s="29" t="n">
        <v>440</v>
      </c>
      <c r="G380" s="30">
        <f>IFERROR(IF(INDEX(Effective!$E$3:$R$125,MATCH($B380,Effective!$A$3:$A$125,0),MATCH($D380,Effective!$E$2:$R$2,0))=0,"",INDEX(Effective!$E$3:$R$125,MATCH($B380,Effective!$A$3:$A$125,0),MATCH($D380,Effective!$E$2:$R$2,0))),"")</f>
        <v/>
      </c>
      <c r="H380" s="31" t="n"/>
      <c r="I380" s="17" t="inlineStr">
        <is>
          <t>override</t>
        </is>
      </c>
      <c r="J380" s="32" t="n">
        <v>0.982</v>
      </c>
      <c r="K380" s="33">
        <f>IF(AND(IF($I390&lt;&gt;"",$I390,$I380)="override",$J380&lt;&gt;""),$J380,SUMIFS(Assumptions!$K$4:$K$8,Assumptions!$J$4:$J$8,$C380))*Assumptions!$S$10*(1-MIN(1,MAX(N($H380),N($H390))))</f>
        <v/>
      </c>
      <c r="L380" s="32" t="n"/>
      <c r="M380" s="34">
        <f>IF(AND(IF($I390&lt;&gt;"",$I390,$I380)="override",$L380&lt;&gt;""),$L380,SUMIFS(Assumptions!$P$4:$P$103,Assumptions!$M$4:$M$103,$C380,Assumptions!$N$4:$N$103,$E380,Assumptions!$O$4:$O$103,"LVN"))</f>
        <v/>
      </c>
      <c r="N380" s="32" t="n"/>
      <c r="O380" s="34">
        <f>IF(AND(IF($I390&lt;&gt;"",$I390,$I380)="override",$N380&lt;&gt;""),$N380,SUMIFS(Assumptions!$P$4:$P$103,Assumptions!$M$4:$M$103,$C380,Assumptions!$N$4:$N$103,$E380,Assumptions!$O$4:$O$103,"HVN"))</f>
        <v/>
      </c>
      <c r="P380" s="34">
        <f>(M380+O380)*Assumptions!$S$11</f>
        <v/>
      </c>
      <c r="Q380" s="35">
        <f>$F380*$K380*$P380</f>
        <v/>
      </c>
    </row>
    <row r="381">
      <c r="A381" s="11" t="inlineStr">
        <is>
          <t>UNIT</t>
        </is>
      </c>
      <c r="B381" s="28" t="inlineStr">
        <is>
          <t>CITGO_LAKE_CHARLES</t>
        </is>
      </c>
      <c r="C381" s="28" t="n">
        <v>3</v>
      </c>
      <c r="D381" s="28" t="inlineStr">
        <is>
          <t>VDU</t>
        </is>
      </c>
      <c r="E381" s="28" t="inlineStr">
        <is>
          <t>VDU</t>
        </is>
      </c>
      <c r="F381" s="29" t="n">
        <v>230</v>
      </c>
      <c r="G381" s="30">
        <f>IFERROR(IF(INDEX(Effective!$E$3:$R$125,MATCH($B381,Effective!$A$3:$A$125,0),MATCH($D381,Effective!$E$2:$R$2,0))=0,"",INDEX(Effective!$E$3:$R$125,MATCH($B381,Effective!$A$3:$A$125,0),MATCH($D381,Effective!$E$2:$R$2,0))),"")</f>
        <v/>
      </c>
      <c r="H381" s="31" t="n"/>
      <c r="I381" s="17" t="inlineStr">
        <is>
          <t>override</t>
        </is>
      </c>
      <c r="J381" s="32" t="n">
        <v>0.617</v>
      </c>
      <c r="K381" s="33">
        <f>IF(AND(IF($I390&lt;&gt;"",$I390,$I381)="override",$J381&lt;&gt;""),$J381,SUMIFS(Assumptions!$K$4:$K$8,Assumptions!$J$4:$J$8,$C381))*Assumptions!$S$10*(1-MIN(1,MAX(N($H381),N($H390))))</f>
        <v/>
      </c>
      <c r="L381" s="32" t="n"/>
      <c r="M381" s="34">
        <f>IF(AND(IF($I390&lt;&gt;"",$I390,$I381)="override",$L381&lt;&gt;""),$L381,SUMIFS(Assumptions!$P$4:$P$103,Assumptions!$M$4:$M$103,$C381,Assumptions!$N$4:$N$103,$E381,Assumptions!$O$4:$O$103,"LVN"))</f>
        <v/>
      </c>
      <c r="N381" s="32" t="n"/>
      <c r="O381" s="34">
        <f>IF(AND(IF($I390&lt;&gt;"",$I390,$I381)="override",$N381&lt;&gt;""),$N381,SUMIFS(Assumptions!$P$4:$P$103,Assumptions!$M$4:$M$103,$C381,Assumptions!$N$4:$N$103,$E381,Assumptions!$O$4:$O$103,"HVN"))</f>
        <v/>
      </c>
      <c r="P381" s="34">
        <f>(M381+O381)*Assumptions!$S$11</f>
        <v/>
      </c>
      <c r="Q381" s="35">
        <f>$F381*$K381*$P381</f>
        <v/>
      </c>
    </row>
    <row r="382">
      <c r="A382" s="11" t="inlineStr">
        <is>
          <t>UNIT</t>
        </is>
      </c>
      <c r="B382" s="28" t="inlineStr">
        <is>
          <t>CITGO_LAKE_CHARLES</t>
        </is>
      </c>
      <c r="C382" s="28" t="n">
        <v>3</v>
      </c>
      <c r="D382" s="28" t="inlineStr">
        <is>
          <t>FCC</t>
        </is>
      </c>
      <c r="E382" s="28" t="inlineStr">
        <is>
          <t>FCC</t>
        </is>
      </c>
      <c r="F382" s="29" t="n">
        <v>148</v>
      </c>
      <c r="G382" s="30">
        <f>IFERROR(IF(INDEX(Effective!$E$3:$R$125,MATCH($B382,Effective!$A$3:$A$125,0),MATCH($D382,Effective!$E$2:$R$2,0))=0,"",INDEX(Effective!$E$3:$R$125,MATCH($B382,Effective!$A$3:$A$125,0),MATCH($D382,Effective!$E$2:$R$2,0))),"")</f>
        <v/>
      </c>
      <c r="H382" s="31" t="n"/>
      <c r="I382" s="17" t="inlineStr">
        <is>
          <t>override</t>
        </is>
      </c>
      <c r="J382" s="32" t="n">
        <v>0.701</v>
      </c>
      <c r="K382" s="33">
        <f>IF(AND(IF($I390&lt;&gt;"",$I390,$I382)="override",$J382&lt;&gt;""),$J382,SUMIFS(Assumptions!$K$4:$K$8,Assumptions!$J$4:$J$8,$C382))*Assumptions!$S$10*(1-MIN(1,MAX(N($H382),N($H390))))</f>
        <v/>
      </c>
      <c r="L382" s="32" t="n"/>
      <c r="M382" s="34">
        <f>IF(AND(IF($I390&lt;&gt;"",$I390,$I382)="override",$L382&lt;&gt;""),$L382,SUMIFS(Assumptions!$P$4:$P$103,Assumptions!$M$4:$M$103,$C382,Assumptions!$N$4:$N$103,$E382,Assumptions!$O$4:$O$103,"LVN"))</f>
        <v/>
      </c>
      <c r="N382" s="32" t="n"/>
      <c r="O382" s="34">
        <f>IF(AND(IF($I390&lt;&gt;"",$I390,$I382)="override",$N382&lt;&gt;""),$N382,SUMIFS(Assumptions!$P$4:$P$103,Assumptions!$M$4:$M$103,$C382,Assumptions!$N$4:$N$103,$E382,Assumptions!$O$4:$O$103,"HVN"))</f>
        <v/>
      </c>
      <c r="P382" s="34">
        <f>(M382+O382)*Assumptions!$S$11</f>
        <v/>
      </c>
      <c r="Q382" s="35">
        <f>$F382*$K382*$P382</f>
        <v/>
      </c>
    </row>
    <row r="383">
      <c r="A383" s="11" t="inlineStr">
        <is>
          <t>UNIT</t>
        </is>
      </c>
      <c r="B383" s="28" t="inlineStr">
        <is>
          <t>CITGO_LAKE_CHARLES</t>
        </is>
      </c>
      <c r="C383" s="28" t="n">
        <v>3</v>
      </c>
      <c r="D383" s="28" t="inlineStr">
        <is>
          <t>DHCU</t>
        </is>
      </c>
      <c r="E383" s="28" t="inlineStr">
        <is>
          <t>HYDROCRACKER</t>
        </is>
      </c>
      <c r="F383" s="29" t="n">
        <v>51.2</v>
      </c>
      <c r="G383" s="30">
        <f>IFERROR(IF(INDEX(Effective!$E$3:$R$125,MATCH($B383,Effective!$A$3:$A$125,0),MATCH($D383,Effective!$E$2:$R$2,0))=0,"",INDEX(Effective!$E$3:$R$125,MATCH($B383,Effective!$A$3:$A$125,0),MATCH($D383,Effective!$E$2:$R$2,0))),"")</f>
        <v/>
      </c>
      <c r="H383" s="31" t="n"/>
      <c r="I383" s="17" t="inlineStr">
        <is>
          <t>override</t>
        </is>
      </c>
      <c r="J383" s="32" t="n">
        <v>0.733</v>
      </c>
      <c r="K383" s="33">
        <f>IF(AND(IF($I390&lt;&gt;"",$I390,$I383)="override",$J383&lt;&gt;""),$J383,SUMIFS(Assumptions!$K$4:$K$8,Assumptions!$J$4:$J$8,$C383))*Assumptions!$S$10*(1-MIN(1,MAX(N($H383),N($H390))))</f>
        <v/>
      </c>
      <c r="L383" s="32" t="n"/>
      <c r="M383" s="34">
        <f>IF(AND(IF($I390&lt;&gt;"",$I390,$I383)="override",$L383&lt;&gt;""),$L383,SUMIFS(Assumptions!$P$4:$P$103,Assumptions!$M$4:$M$103,$C383,Assumptions!$N$4:$N$103,$E383,Assumptions!$O$4:$O$103,"LVN"))</f>
        <v/>
      </c>
      <c r="N383" s="32" t="n"/>
      <c r="O383" s="34">
        <f>IF(AND(IF($I390&lt;&gt;"",$I390,$I383)="override",$N383&lt;&gt;""),$N383,SUMIFS(Assumptions!$P$4:$P$103,Assumptions!$M$4:$M$103,$C383,Assumptions!$N$4:$N$103,$E383,Assumptions!$O$4:$O$103,"HVN"))</f>
        <v/>
      </c>
      <c r="P383" s="34">
        <f>(M383+O383)*Assumptions!$S$11</f>
        <v/>
      </c>
      <c r="Q383" s="35">
        <f>$F383*$K383*$P383</f>
        <v/>
      </c>
    </row>
    <row r="384">
      <c r="A384" s="11" t="inlineStr">
        <is>
          <t>UNIT</t>
        </is>
      </c>
      <c r="B384" s="28" t="inlineStr">
        <is>
          <t>CITGO_LAKE_CHARLES</t>
        </is>
      </c>
      <c r="C384" s="28" t="n">
        <v>3</v>
      </c>
      <c r="D384" s="28" t="inlineStr">
        <is>
          <t>COKER</t>
        </is>
      </c>
      <c r="E384" s="28" t="inlineStr">
        <is>
          <t>COKER</t>
        </is>
      </c>
      <c r="F384" s="29" t="n">
        <v>110</v>
      </c>
      <c r="G384" s="30">
        <f>IFERROR(IF(INDEX(Effective!$E$3:$R$125,MATCH($B384,Effective!$A$3:$A$125,0),MATCH($D384,Effective!$E$2:$R$2,0))=0,"",INDEX(Effective!$E$3:$R$125,MATCH($B384,Effective!$A$3:$A$125,0),MATCH($D384,Effective!$E$2:$R$2,0))),"")</f>
        <v/>
      </c>
      <c r="H384" s="31" t="n"/>
      <c r="I384" s="17" t="inlineStr">
        <is>
          <t>override</t>
        </is>
      </c>
      <c r="J384" s="32" t="n">
        <v>0.596</v>
      </c>
      <c r="K384" s="33">
        <f>IF(AND(IF($I390&lt;&gt;"",$I390,$I384)="override",$J384&lt;&gt;""),$J384,SUMIFS(Assumptions!$K$4:$K$8,Assumptions!$J$4:$J$8,$C384))*Assumptions!$S$10*(1-MIN(1,MAX(N($H384),N($H390))))</f>
        <v/>
      </c>
      <c r="L384" s="32" t="n"/>
      <c r="M384" s="34">
        <f>IF(AND(IF($I390&lt;&gt;"",$I390,$I384)="override",$L384&lt;&gt;""),$L384,SUMIFS(Assumptions!$P$4:$P$103,Assumptions!$M$4:$M$103,$C384,Assumptions!$N$4:$N$103,$E384,Assumptions!$O$4:$O$103,"LVN"))</f>
        <v/>
      </c>
      <c r="N384" s="32" t="n"/>
      <c r="O384" s="34">
        <f>IF(AND(IF($I390&lt;&gt;"",$I390,$I384)="override",$N384&lt;&gt;""),$N384,SUMIFS(Assumptions!$P$4:$P$103,Assumptions!$M$4:$M$103,$C384,Assumptions!$N$4:$N$103,$E384,Assumptions!$O$4:$O$103,"HVN"))</f>
        <v/>
      </c>
      <c r="P384" s="34">
        <f>(M384+O384)*Assumptions!$S$11</f>
        <v/>
      </c>
      <c r="Q384" s="35">
        <f>$F384*$K384*$P384</f>
        <v/>
      </c>
    </row>
    <row r="385">
      <c r="A385" s="11" t="inlineStr">
        <is>
          <t>UNIT</t>
        </is>
      </c>
      <c r="B385" s="28" t="inlineStr">
        <is>
          <t>CITGO_LAKE_CHARLES</t>
        </is>
      </c>
      <c r="C385" s="28" t="n">
        <v>3</v>
      </c>
      <c r="D385" s="28" t="inlineStr">
        <is>
          <t>CCR</t>
        </is>
      </c>
      <c r="E385" s="28" t="inlineStr">
        <is>
          <t>REFORMER</t>
        </is>
      </c>
      <c r="F385" s="29" t="n">
        <v>65</v>
      </c>
      <c r="G385" s="30">
        <f>IFERROR(IF(INDEX(Effective!$E$3:$R$125,MATCH($B385,Effective!$A$3:$A$125,0),MATCH($D385,Effective!$E$2:$R$2,0))=0,"",INDEX(Effective!$E$3:$R$125,MATCH($B385,Effective!$A$3:$A$125,0),MATCH($D385,Effective!$E$2:$R$2,0))),"")</f>
        <v/>
      </c>
      <c r="H385" s="31" t="n"/>
      <c r="I385" s="17" t="inlineStr">
        <is>
          <t>override</t>
        </is>
      </c>
      <c r="J385" s="32" t="n">
        <v>0.985</v>
      </c>
      <c r="K385" s="33">
        <f>IF(AND(IF($I390&lt;&gt;"",$I390,$I385)="override",$J385&lt;&gt;""),$J385,SUMIFS(Assumptions!$K$4:$K$8,Assumptions!$J$4:$J$8,$C385))*Assumptions!$S$10*(1-MIN(1,MAX(N($H385),N($H390))))</f>
        <v/>
      </c>
      <c r="L385" s="32" t="n"/>
      <c r="M385" s="34">
        <f>IF(AND(IF($I390&lt;&gt;"",$I390,$I385)="override",$L385&lt;&gt;""),$L385,SUMIFS(Assumptions!$P$4:$P$103,Assumptions!$M$4:$M$103,$C385,Assumptions!$N$4:$N$103,$E385,Assumptions!$O$4:$O$103,"LVN"))</f>
        <v/>
      </c>
      <c r="N385" s="32" t="n"/>
      <c r="O385" s="34">
        <f>IF(AND(IF($I390&lt;&gt;"",$I390,$I385)="override",$N385&lt;&gt;""),$N385,SUMIFS(Assumptions!$P$4:$P$103,Assumptions!$M$4:$M$103,$C385,Assumptions!$N$4:$N$103,$E385,Assumptions!$O$4:$O$103,"HVN"))</f>
        <v/>
      </c>
      <c r="P385" s="34">
        <f>(M385+O385)*Assumptions!$S$11</f>
        <v/>
      </c>
      <c r="Q385" s="35">
        <f>$F385*$K385*$P385</f>
        <v/>
      </c>
    </row>
    <row r="386">
      <c r="A386" s="11" t="inlineStr">
        <is>
          <t>UNIT</t>
        </is>
      </c>
      <c r="B386" s="28" t="inlineStr">
        <is>
          <t>CITGO_LAKE_CHARLES</t>
        </is>
      </c>
      <c r="C386" s="28" t="n">
        <v>3</v>
      </c>
      <c r="D386" s="28" t="inlineStr">
        <is>
          <t>REF</t>
        </is>
      </c>
      <c r="E386" s="28" t="inlineStr">
        <is>
          <t>REFORMER</t>
        </is>
      </c>
      <c r="F386" s="29" t="n">
        <v>53.2</v>
      </c>
      <c r="G386" s="30">
        <f>IFERROR(IF(INDEX(Effective!$E$3:$R$125,MATCH($B386,Effective!$A$3:$A$125,0),MATCH($D386,Effective!$E$2:$R$2,0))=0,"",INDEX(Effective!$E$3:$R$125,MATCH($B386,Effective!$A$3:$A$125,0),MATCH($D386,Effective!$E$2:$R$2,0))),"")</f>
        <v/>
      </c>
      <c r="H386" s="31" t="n"/>
      <c r="I386" s="17" t="inlineStr">
        <is>
          <t>override</t>
        </is>
      </c>
      <c r="J386" s="32" t="n">
        <v>0.872</v>
      </c>
      <c r="K386" s="33">
        <f>IF(AND(IF($I390&lt;&gt;"",$I390,$I386)="override",$J386&lt;&gt;""),$J386,SUMIFS(Assumptions!$K$4:$K$8,Assumptions!$J$4:$J$8,$C386))*Assumptions!$S$10*(1-MIN(1,MAX(N($H386),N($H390))))</f>
        <v/>
      </c>
      <c r="L386" s="32" t="n"/>
      <c r="M386" s="34">
        <f>IF(AND(IF($I390&lt;&gt;"",$I390,$I386)="override",$L386&lt;&gt;""),$L386,SUMIFS(Assumptions!$P$4:$P$103,Assumptions!$M$4:$M$103,$C386,Assumptions!$N$4:$N$103,$E386,Assumptions!$O$4:$O$103,"LVN"))</f>
        <v/>
      </c>
      <c r="N386" s="32" t="n"/>
      <c r="O386" s="34">
        <f>IF(AND(IF($I390&lt;&gt;"",$I390,$I386)="override",$N386&lt;&gt;""),$N386,SUMIFS(Assumptions!$P$4:$P$103,Assumptions!$M$4:$M$103,$C386,Assumptions!$N$4:$N$103,$E386,Assumptions!$O$4:$O$103,"HVN"))</f>
        <v/>
      </c>
      <c r="P386" s="34">
        <f>(M386+O386)*Assumptions!$S$11</f>
        <v/>
      </c>
      <c r="Q386" s="35">
        <f>$F386*$K386*$P386</f>
        <v/>
      </c>
    </row>
    <row r="387">
      <c r="A387" s="11" t="inlineStr">
        <is>
          <t>UNIT</t>
        </is>
      </c>
      <c r="B387" s="28" t="inlineStr">
        <is>
          <t>CITGO_LAKE_CHARLES</t>
        </is>
      </c>
      <c r="C387" s="28" t="n">
        <v>3</v>
      </c>
      <c r="D387" s="28" t="inlineStr">
        <is>
          <t>ISOM</t>
        </is>
      </c>
      <c r="E387" s="28" t="inlineStr">
        <is>
          <t>ISOM</t>
        </is>
      </c>
      <c r="F387" s="29" t="n">
        <v>28</v>
      </c>
      <c r="G387" s="30">
        <f>IFERROR(IF(INDEX(Effective!$E$3:$R$125,MATCH($B387,Effective!$A$3:$A$125,0),MATCH($D387,Effective!$E$2:$R$2,0))=0,"",INDEX(Effective!$E$3:$R$125,MATCH($B387,Effective!$A$3:$A$125,0),MATCH($D387,Effective!$E$2:$R$2,0))),"")</f>
        <v/>
      </c>
      <c r="H387" s="31" t="n"/>
      <c r="I387" s="17" t="inlineStr">
        <is>
          <t>override</t>
        </is>
      </c>
      <c r="J387" s="32" t="n">
        <v>0.464</v>
      </c>
      <c r="K387" s="33">
        <f>IF(AND(IF($I390&lt;&gt;"",$I390,$I387)="override",$J387&lt;&gt;""),$J387,SUMIFS(Assumptions!$K$4:$K$8,Assumptions!$J$4:$J$8,$C387))*Assumptions!$S$10*(1-MIN(1,MAX(N($H387),N($H390))))</f>
        <v/>
      </c>
      <c r="L387" s="32" t="n"/>
      <c r="M387" s="34">
        <f>IF(AND(IF($I390&lt;&gt;"",$I390,$I387)="override",$L387&lt;&gt;""),$L387,SUMIFS(Assumptions!$P$4:$P$103,Assumptions!$M$4:$M$103,$C387,Assumptions!$N$4:$N$103,$E387,Assumptions!$O$4:$O$103,"LVN"))</f>
        <v/>
      </c>
      <c r="N387" s="32" t="n"/>
      <c r="O387" s="34">
        <f>IF(AND(IF($I390&lt;&gt;"",$I390,$I387)="override",$N387&lt;&gt;""),$N387,SUMIFS(Assumptions!$P$4:$P$103,Assumptions!$M$4:$M$103,$C387,Assumptions!$N$4:$N$103,$E387,Assumptions!$O$4:$O$103,"HVN"))</f>
        <v/>
      </c>
      <c r="P387" s="34">
        <f>(M387+O387)*Assumptions!$S$11</f>
        <v/>
      </c>
      <c r="Q387" s="35">
        <f>$F387*$K387*$P387</f>
        <v/>
      </c>
    </row>
    <row r="388">
      <c r="A388" s="11" t="inlineStr">
        <is>
          <t>UNIT</t>
        </is>
      </c>
      <c r="B388" s="28" t="inlineStr">
        <is>
          <t>CITGO_LAKE_CHARLES</t>
        </is>
      </c>
      <c r="C388" s="28" t="n">
        <v>3</v>
      </c>
      <c r="D388" s="28" t="inlineStr">
        <is>
          <t>ALKY</t>
        </is>
      </c>
      <c r="E388" s="28" t="inlineStr">
        <is>
          <t>ALKY</t>
        </is>
      </c>
      <c r="F388" s="29" t="n">
        <v>28.1</v>
      </c>
      <c r="G388" s="30">
        <f>IFERROR(IF(INDEX(Effective!$E$3:$R$125,MATCH($B388,Effective!$A$3:$A$125,0),MATCH($D388,Effective!$E$2:$R$2,0))=0,"",INDEX(Effective!$E$3:$R$125,MATCH($B388,Effective!$A$3:$A$125,0),MATCH($D388,Effective!$E$2:$R$2,0))),"")</f>
        <v/>
      </c>
      <c r="H388" s="31" t="n"/>
      <c r="I388" s="17" t="inlineStr">
        <is>
          <t>override</t>
        </is>
      </c>
      <c r="J388" s="32" t="n">
        <v>1.1</v>
      </c>
      <c r="K388" s="33">
        <f>IF(AND(IF($I390&lt;&gt;"",$I390,$I388)="override",$J388&lt;&gt;""),$J388,SUMIFS(Assumptions!$K$4:$K$8,Assumptions!$J$4:$J$8,$C388))*Assumptions!$S$10*(1-MIN(1,MAX(N($H388),N($H390))))</f>
        <v/>
      </c>
      <c r="L388" s="32" t="n"/>
      <c r="M388" s="34">
        <f>IF(AND(IF($I390&lt;&gt;"",$I390,$I388)="override",$L388&lt;&gt;""),$L388,SUMIFS(Assumptions!$P$4:$P$103,Assumptions!$M$4:$M$103,$C388,Assumptions!$N$4:$N$103,$E388,Assumptions!$O$4:$O$103,"LVN"))</f>
        <v/>
      </c>
      <c r="N388" s="32" t="n"/>
      <c r="O388" s="34">
        <f>IF(AND(IF($I390&lt;&gt;"",$I390,$I388)="override",$N388&lt;&gt;""),$N388,SUMIFS(Assumptions!$P$4:$P$103,Assumptions!$M$4:$M$103,$C388,Assumptions!$N$4:$N$103,$E388,Assumptions!$O$4:$O$103,"HVN"))</f>
        <v/>
      </c>
      <c r="P388" s="34">
        <f>(M388+O388)*Assumptions!$S$11</f>
        <v/>
      </c>
      <c r="Q388" s="35">
        <f>$F388*$K388*$P388</f>
        <v/>
      </c>
    </row>
    <row r="389">
      <c r="A389" s="11" t="inlineStr">
        <is>
          <t>UNIT</t>
        </is>
      </c>
      <c r="B389" s="28" t="inlineStr">
        <is>
          <t>CITGO_LAKE_CHARLES</t>
        </is>
      </c>
      <c r="C389" s="28" t="n">
        <v>3</v>
      </c>
      <c r="D389" s="28" t="inlineStr">
        <is>
          <t>NHT</t>
        </is>
      </c>
      <c r="E389" s="28" t="inlineStr">
        <is>
          <t>NHT</t>
        </is>
      </c>
      <c r="F389" s="29" t="n">
        <v>131.2</v>
      </c>
      <c r="G389" s="30">
        <f>IFERROR(IF(INDEX(Effective!$E$3:$R$125,MATCH($B389,Effective!$A$3:$A$125,0),MATCH($D389,Effective!$E$2:$R$2,0))=0,"",INDEX(Effective!$E$3:$R$125,MATCH($B389,Effective!$A$3:$A$125,0),MATCH($D389,Effective!$E$2:$R$2,0))),"")</f>
        <v/>
      </c>
      <c r="H389" s="31" t="n"/>
      <c r="I389" s="17" t="inlineStr">
        <is>
          <t>override</t>
        </is>
      </c>
      <c r="J389" s="32" t="n">
        <v>0.9409999999999999</v>
      </c>
      <c r="K389" s="33">
        <f>IF(AND(IF($I390&lt;&gt;"",$I390,$I389)="override",$J389&lt;&gt;""),$J389,SUMIFS(Assumptions!$K$4:$K$8,Assumptions!$J$4:$J$8,$C389))*Assumptions!$S$10*(1-MIN(1,MAX(N($H389),N($H390))))</f>
        <v/>
      </c>
      <c r="L389" s="32" t="n"/>
      <c r="M389" s="34">
        <f>IF(AND(IF($I390&lt;&gt;"",$I390,$I389)="override",$L389&lt;&gt;""),$L389,SUMIFS(Assumptions!$P$4:$P$103,Assumptions!$M$4:$M$103,$C389,Assumptions!$N$4:$N$103,$E389,Assumptions!$O$4:$O$103,"LVN"))</f>
        <v/>
      </c>
      <c r="N389" s="32" t="n"/>
      <c r="O389" s="34">
        <f>IF(AND(IF($I390&lt;&gt;"",$I390,$I389)="override",$N389&lt;&gt;""),$N389,SUMIFS(Assumptions!$P$4:$P$103,Assumptions!$M$4:$M$103,$C389,Assumptions!$N$4:$N$103,$E389,Assumptions!$O$4:$O$103,"HVN"))</f>
        <v/>
      </c>
      <c r="P389" s="34">
        <f>(M389+O389)*Assumptions!$S$11</f>
        <v/>
      </c>
      <c r="Q389" s="35">
        <f>$F389*$K389*$P389</f>
        <v/>
      </c>
    </row>
    <row r="390">
      <c r="A390" s="24" t="inlineStr">
        <is>
          <t>TOTAL</t>
        </is>
      </c>
      <c r="B390" s="36" t="inlineStr">
        <is>
          <t>CITGO_LAKE_CHARLES</t>
        </is>
      </c>
      <c r="C390" s="36" t="n">
        <v>3</v>
      </c>
      <c r="D390" s="36" t="inlineStr">
        <is>
          <t>NET NAPHTHA</t>
        </is>
      </c>
      <c r="H390" s="31" t="n"/>
      <c r="I390" s="17" t="n"/>
      <c r="Q390" s="37">
        <f>SUM(Q380:Q389)</f>
        <v/>
      </c>
    </row>
    <row r="392" ht="20" customHeight="1">
      <c r="A392" s="8">
        <f>"  Valero Port Arthur  [VALERO_PORT_ARTHUR]   —   Valero   —   PADD 3   —   crude "&amp;TEXT(SUMIFS(Data!$G$3:$G$125,Data!$A$3:$A$125,"VALERO_PORT_ARTHUR"),"#,##0")&amp;" kbd"</f>
        <v/>
      </c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</row>
    <row r="393">
      <c r="A393" s="11" t="inlineStr">
        <is>
          <t>UNIT</t>
        </is>
      </c>
      <c r="B393" s="28" t="inlineStr">
        <is>
          <t>VALERO_PORT_ARTHUR</t>
        </is>
      </c>
      <c r="C393" s="28" t="n">
        <v>3</v>
      </c>
      <c r="D393" s="28" t="inlineStr">
        <is>
          <t>CDU</t>
        </is>
      </c>
      <c r="E393" s="28" t="inlineStr">
        <is>
          <t>CDU</t>
        </is>
      </c>
      <c r="F393" s="29" t="n">
        <v>415</v>
      </c>
      <c r="G393" s="30">
        <f>IFERROR(IF(INDEX(Effective!$E$3:$R$125,MATCH($B393,Effective!$A$3:$A$125,0),MATCH($D393,Effective!$E$2:$R$2,0))=0,"",INDEX(Effective!$E$3:$R$125,MATCH($B393,Effective!$A$3:$A$125,0),MATCH($D393,Effective!$E$2:$R$2,0))),"")</f>
        <v/>
      </c>
      <c r="H393" s="31" t="n"/>
      <c r="I393" s="17" t="inlineStr">
        <is>
          <t>override</t>
        </is>
      </c>
      <c r="J393" s="32" t="n">
        <v>0.669</v>
      </c>
      <c r="K393" s="33">
        <f>IF(AND(IF($I401&lt;&gt;"",$I401,$I393)="override",$J393&lt;&gt;""),$J393,SUMIFS(Assumptions!$K$4:$K$8,Assumptions!$J$4:$J$8,$C393))*Assumptions!$S$10*(1-MIN(1,MAX(N($H393),N($H401))))</f>
        <v/>
      </c>
      <c r="L393" s="32" t="n"/>
      <c r="M393" s="34">
        <f>IF(AND(IF($I401&lt;&gt;"",$I401,$I393)="override",$L393&lt;&gt;""),$L393,SUMIFS(Assumptions!$P$4:$P$103,Assumptions!$M$4:$M$103,$C393,Assumptions!$N$4:$N$103,$E393,Assumptions!$O$4:$O$103,"LVN"))</f>
        <v/>
      </c>
      <c r="N393" s="32" t="n"/>
      <c r="O393" s="34">
        <f>IF(AND(IF($I401&lt;&gt;"",$I401,$I393)="override",$N393&lt;&gt;""),$N393,SUMIFS(Assumptions!$P$4:$P$103,Assumptions!$M$4:$M$103,$C393,Assumptions!$N$4:$N$103,$E393,Assumptions!$O$4:$O$103,"HVN"))</f>
        <v/>
      </c>
      <c r="P393" s="34">
        <f>(M393+O393)*Assumptions!$S$11</f>
        <v/>
      </c>
      <c r="Q393" s="35">
        <f>$F393*$K393*$P393</f>
        <v/>
      </c>
    </row>
    <row r="394">
      <c r="A394" s="11" t="inlineStr">
        <is>
          <t>UNIT</t>
        </is>
      </c>
      <c r="B394" s="28" t="inlineStr">
        <is>
          <t>VALERO_PORT_ARTHUR</t>
        </is>
      </c>
      <c r="C394" s="28" t="n">
        <v>3</v>
      </c>
      <c r="D394" s="28" t="inlineStr">
        <is>
          <t>VDU</t>
        </is>
      </c>
      <c r="E394" s="28" t="inlineStr">
        <is>
          <t>VDU</t>
        </is>
      </c>
      <c r="F394" s="29" t="n">
        <v>220</v>
      </c>
      <c r="G394" s="30">
        <f>IFERROR(IF(INDEX(Effective!$E$3:$R$125,MATCH($B394,Effective!$A$3:$A$125,0),MATCH($D394,Effective!$E$2:$R$2,0))=0,"",INDEX(Effective!$E$3:$R$125,MATCH($B394,Effective!$A$3:$A$125,0),MATCH($D394,Effective!$E$2:$R$2,0))),"")</f>
        <v/>
      </c>
      <c r="H394" s="31" t="n"/>
      <c r="I394" s="17" t="inlineStr">
        <is>
          <t>override</t>
        </is>
      </c>
      <c r="J394" s="32" t="n">
        <v>0.735</v>
      </c>
      <c r="K394" s="33">
        <f>IF(AND(IF($I401&lt;&gt;"",$I401,$I394)="override",$J394&lt;&gt;""),$J394,SUMIFS(Assumptions!$K$4:$K$8,Assumptions!$J$4:$J$8,$C394))*Assumptions!$S$10*(1-MIN(1,MAX(N($H394),N($H401))))</f>
        <v/>
      </c>
      <c r="L394" s="32" t="n"/>
      <c r="M394" s="34">
        <f>IF(AND(IF($I401&lt;&gt;"",$I401,$I394)="override",$L394&lt;&gt;""),$L394,SUMIFS(Assumptions!$P$4:$P$103,Assumptions!$M$4:$M$103,$C394,Assumptions!$N$4:$N$103,$E394,Assumptions!$O$4:$O$103,"LVN"))</f>
        <v/>
      </c>
      <c r="N394" s="32" t="n"/>
      <c r="O394" s="34">
        <f>IF(AND(IF($I401&lt;&gt;"",$I401,$I394)="override",$N394&lt;&gt;""),$N394,SUMIFS(Assumptions!$P$4:$P$103,Assumptions!$M$4:$M$103,$C394,Assumptions!$N$4:$N$103,$E394,Assumptions!$O$4:$O$103,"HVN"))</f>
        <v/>
      </c>
      <c r="P394" s="34">
        <f>(M394+O394)*Assumptions!$S$11</f>
        <v/>
      </c>
      <c r="Q394" s="35">
        <f>$F394*$K394*$P394</f>
        <v/>
      </c>
    </row>
    <row r="395">
      <c r="A395" s="11" t="inlineStr">
        <is>
          <t>UNIT</t>
        </is>
      </c>
      <c r="B395" s="28" t="inlineStr">
        <is>
          <t>VALERO_PORT_ARTHUR</t>
        </is>
      </c>
      <c r="C395" s="28" t="n">
        <v>3</v>
      </c>
      <c r="D395" s="28" t="inlineStr">
        <is>
          <t>FCC</t>
        </is>
      </c>
      <c r="E395" s="28" t="inlineStr">
        <is>
          <t>FCC</t>
        </is>
      </c>
      <c r="F395" s="29" t="n">
        <v>75</v>
      </c>
      <c r="G395" s="30">
        <f>IFERROR(IF(INDEX(Effective!$E$3:$R$125,MATCH($B395,Effective!$A$3:$A$125,0),MATCH($D395,Effective!$E$2:$R$2,0))=0,"",INDEX(Effective!$E$3:$R$125,MATCH($B395,Effective!$A$3:$A$125,0),MATCH($D395,Effective!$E$2:$R$2,0))),"")</f>
        <v/>
      </c>
      <c r="H395" s="31" t="n"/>
      <c r="I395" s="17" t="inlineStr">
        <is>
          <t>override</t>
        </is>
      </c>
      <c r="J395" s="32" t="n">
        <v>0.638</v>
      </c>
      <c r="K395" s="33">
        <f>IF(AND(IF($I401&lt;&gt;"",$I401,$I395)="override",$J395&lt;&gt;""),$J395,SUMIFS(Assumptions!$K$4:$K$8,Assumptions!$J$4:$J$8,$C395))*Assumptions!$S$10*(1-MIN(1,MAX(N($H395),N($H401))))</f>
        <v/>
      </c>
      <c r="L395" s="32" t="n"/>
      <c r="M395" s="34">
        <f>IF(AND(IF($I401&lt;&gt;"",$I401,$I395)="override",$L395&lt;&gt;""),$L395,SUMIFS(Assumptions!$P$4:$P$103,Assumptions!$M$4:$M$103,$C395,Assumptions!$N$4:$N$103,$E395,Assumptions!$O$4:$O$103,"LVN"))</f>
        <v/>
      </c>
      <c r="N395" s="32" t="n"/>
      <c r="O395" s="34">
        <f>IF(AND(IF($I401&lt;&gt;"",$I401,$I395)="override",$N395&lt;&gt;""),$N395,SUMIFS(Assumptions!$P$4:$P$103,Assumptions!$M$4:$M$103,$C395,Assumptions!$N$4:$N$103,$E395,Assumptions!$O$4:$O$103,"HVN"))</f>
        <v/>
      </c>
      <c r="P395" s="34">
        <f>(M395+O395)*Assumptions!$S$11</f>
        <v/>
      </c>
      <c r="Q395" s="35">
        <f>$F395*$K395*$P395</f>
        <v/>
      </c>
    </row>
    <row r="396">
      <c r="A396" s="11" t="inlineStr">
        <is>
          <t>UNIT</t>
        </is>
      </c>
      <c r="B396" s="28" t="inlineStr">
        <is>
          <t>VALERO_PORT_ARTHUR</t>
        </is>
      </c>
      <c r="C396" s="28" t="n">
        <v>3</v>
      </c>
      <c r="D396" s="28" t="inlineStr">
        <is>
          <t>DHCU</t>
        </is>
      </c>
      <c r="E396" s="28" t="inlineStr">
        <is>
          <t>HYDROCRACKER</t>
        </is>
      </c>
      <c r="F396" s="29" t="n">
        <v>134.8</v>
      </c>
      <c r="G396" s="30">
        <f>IFERROR(IF(INDEX(Effective!$E$3:$R$125,MATCH($B396,Effective!$A$3:$A$125,0),MATCH($D396,Effective!$E$2:$R$2,0))=0,"",INDEX(Effective!$E$3:$R$125,MATCH($B396,Effective!$A$3:$A$125,0),MATCH($D396,Effective!$E$2:$R$2,0))),"")</f>
        <v/>
      </c>
      <c r="H396" s="31" t="n"/>
      <c r="I396" s="17" t="inlineStr">
        <is>
          <t>override</t>
        </is>
      </c>
      <c r="J396" s="32" t="n">
        <v>0.386</v>
      </c>
      <c r="K396" s="33">
        <f>IF(AND(IF($I401&lt;&gt;"",$I401,$I396)="override",$J396&lt;&gt;""),$J396,SUMIFS(Assumptions!$K$4:$K$8,Assumptions!$J$4:$J$8,$C396))*Assumptions!$S$10*(1-MIN(1,MAX(N($H396),N($H401))))</f>
        <v/>
      </c>
      <c r="L396" s="32" t="n"/>
      <c r="M396" s="34">
        <f>IF(AND(IF($I401&lt;&gt;"",$I401,$I396)="override",$L396&lt;&gt;""),$L396,SUMIFS(Assumptions!$P$4:$P$103,Assumptions!$M$4:$M$103,$C396,Assumptions!$N$4:$N$103,$E396,Assumptions!$O$4:$O$103,"LVN"))</f>
        <v/>
      </c>
      <c r="N396" s="32" t="n"/>
      <c r="O396" s="34">
        <f>IF(AND(IF($I401&lt;&gt;"",$I401,$I396)="override",$N396&lt;&gt;""),$N396,SUMIFS(Assumptions!$P$4:$P$103,Assumptions!$M$4:$M$103,$C396,Assumptions!$N$4:$N$103,$E396,Assumptions!$O$4:$O$103,"HVN"))</f>
        <v/>
      </c>
      <c r="P396" s="34">
        <f>(M396+O396)*Assumptions!$S$11</f>
        <v/>
      </c>
      <c r="Q396" s="35">
        <f>$F396*$K396*$P396</f>
        <v/>
      </c>
    </row>
    <row r="397">
      <c r="A397" s="11" t="inlineStr">
        <is>
          <t>UNIT</t>
        </is>
      </c>
      <c r="B397" s="28" t="inlineStr">
        <is>
          <t>VALERO_PORT_ARTHUR</t>
        </is>
      </c>
      <c r="C397" s="28" t="n">
        <v>3</v>
      </c>
      <c r="D397" s="28" t="inlineStr">
        <is>
          <t>COKER</t>
        </is>
      </c>
      <c r="E397" s="28" t="inlineStr">
        <is>
          <t>COKER</t>
        </is>
      </c>
      <c r="F397" s="29" t="n">
        <v>158</v>
      </c>
      <c r="G397" s="30">
        <f>IFERROR(IF(INDEX(Effective!$E$3:$R$125,MATCH($B397,Effective!$A$3:$A$125,0),MATCH($D397,Effective!$E$2:$R$2,0))=0,"",INDEX(Effective!$E$3:$R$125,MATCH($B397,Effective!$A$3:$A$125,0),MATCH($D397,Effective!$E$2:$R$2,0))),"")</f>
        <v/>
      </c>
      <c r="H397" s="31" t="n"/>
      <c r="I397" s="17" t="inlineStr">
        <is>
          <t>override</t>
        </is>
      </c>
      <c r="J397" s="32" t="n">
        <v>0.621</v>
      </c>
      <c r="K397" s="33">
        <f>IF(AND(IF($I401&lt;&gt;"",$I401,$I397)="override",$J397&lt;&gt;""),$J397,SUMIFS(Assumptions!$K$4:$K$8,Assumptions!$J$4:$J$8,$C397))*Assumptions!$S$10*(1-MIN(1,MAX(N($H397),N($H401))))</f>
        <v/>
      </c>
      <c r="L397" s="32" t="n"/>
      <c r="M397" s="34">
        <f>IF(AND(IF($I401&lt;&gt;"",$I401,$I397)="override",$L397&lt;&gt;""),$L397,SUMIFS(Assumptions!$P$4:$P$103,Assumptions!$M$4:$M$103,$C397,Assumptions!$N$4:$N$103,$E397,Assumptions!$O$4:$O$103,"LVN"))</f>
        <v/>
      </c>
      <c r="N397" s="32" t="n"/>
      <c r="O397" s="34">
        <f>IF(AND(IF($I401&lt;&gt;"",$I401,$I397)="override",$N397&lt;&gt;""),$N397,SUMIFS(Assumptions!$P$4:$P$103,Assumptions!$M$4:$M$103,$C397,Assumptions!$N$4:$N$103,$E397,Assumptions!$O$4:$O$103,"HVN"))</f>
        <v/>
      </c>
      <c r="P397" s="34">
        <f>(M397+O397)*Assumptions!$S$11</f>
        <v/>
      </c>
      <c r="Q397" s="35">
        <f>$F397*$K397*$P397</f>
        <v/>
      </c>
    </row>
    <row r="398">
      <c r="A398" s="11" t="inlineStr">
        <is>
          <t>UNIT</t>
        </is>
      </c>
      <c r="B398" s="28" t="inlineStr">
        <is>
          <t>VALERO_PORT_ARTHUR</t>
        </is>
      </c>
      <c r="C398" s="28" t="n">
        <v>3</v>
      </c>
      <c r="D398" s="28" t="inlineStr">
        <is>
          <t>CCR</t>
        </is>
      </c>
      <c r="E398" s="28" t="inlineStr">
        <is>
          <t>REFORMER</t>
        </is>
      </c>
      <c r="F398" s="29" t="n">
        <v>55</v>
      </c>
      <c r="G398" s="30">
        <f>IFERROR(IF(INDEX(Effective!$E$3:$R$125,MATCH($B398,Effective!$A$3:$A$125,0),MATCH($D398,Effective!$E$2:$R$2,0))=0,"",INDEX(Effective!$E$3:$R$125,MATCH($B398,Effective!$A$3:$A$125,0),MATCH($D398,Effective!$E$2:$R$2,0))),"")</f>
        <v/>
      </c>
      <c r="H398" s="31" t="n"/>
      <c r="I398" s="17" t="inlineStr">
        <is>
          <t>override</t>
        </is>
      </c>
      <c r="J398" s="32" t="n">
        <v>0.89</v>
      </c>
      <c r="K398" s="33">
        <f>IF(AND(IF($I401&lt;&gt;"",$I401,$I398)="override",$J398&lt;&gt;""),$J398,SUMIFS(Assumptions!$K$4:$K$8,Assumptions!$J$4:$J$8,$C398))*Assumptions!$S$10*(1-MIN(1,MAX(N($H398),N($H401))))</f>
        <v/>
      </c>
      <c r="L398" s="32" t="n"/>
      <c r="M398" s="34">
        <f>IF(AND(IF($I401&lt;&gt;"",$I401,$I398)="override",$L398&lt;&gt;""),$L398,SUMIFS(Assumptions!$P$4:$P$103,Assumptions!$M$4:$M$103,$C398,Assumptions!$N$4:$N$103,$E398,Assumptions!$O$4:$O$103,"LVN"))</f>
        <v/>
      </c>
      <c r="N398" s="32" t="n"/>
      <c r="O398" s="34">
        <f>IF(AND(IF($I401&lt;&gt;"",$I401,$I398)="override",$N398&lt;&gt;""),$N398,SUMIFS(Assumptions!$P$4:$P$103,Assumptions!$M$4:$M$103,$C398,Assumptions!$N$4:$N$103,$E398,Assumptions!$O$4:$O$103,"HVN"))</f>
        <v/>
      </c>
      <c r="P398" s="34">
        <f>(M398+O398)*Assumptions!$S$11</f>
        <v/>
      </c>
      <c r="Q398" s="35">
        <f>$F398*$K398*$P398</f>
        <v/>
      </c>
    </row>
    <row r="399">
      <c r="A399" s="11" t="inlineStr">
        <is>
          <t>UNIT</t>
        </is>
      </c>
      <c r="B399" s="28" t="inlineStr">
        <is>
          <t>VALERO_PORT_ARTHUR</t>
        </is>
      </c>
      <c r="C399" s="28" t="n">
        <v>3</v>
      </c>
      <c r="D399" s="28" t="inlineStr">
        <is>
          <t>ALKY</t>
        </is>
      </c>
      <c r="E399" s="28" t="inlineStr">
        <is>
          <t>ALKY</t>
        </is>
      </c>
      <c r="F399" s="29" t="n">
        <v>19.5</v>
      </c>
      <c r="G399" s="30">
        <f>IFERROR(IF(INDEX(Effective!$E$3:$R$125,MATCH($B399,Effective!$A$3:$A$125,0),MATCH($D399,Effective!$E$2:$R$2,0))=0,"",INDEX(Effective!$E$3:$R$125,MATCH($B399,Effective!$A$3:$A$125,0),MATCH($D399,Effective!$E$2:$R$2,0))),"")</f>
        <v/>
      </c>
      <c r="H399" s="31" t="n"/>
      <c r="I399" s="17" t="inlineStr">
        <is>
          <t>override</t>
        </is>
      </c>
      <c r="J399" s="32" t="n">
        <v>1.1</v>
      </c>
      <c r="K399" s="33">
        <f>IF(AND(IF($I401&lt;&gt;"",$I401,$I399)="override",$J399&lt;&gt;""),$J399,SUMIFS(Assumptions!$K$4:$K$8,Assumptions!$J$4:$J$8,$C399))*Assumptions!$S$10*(1-MIN(1,MAX(N($H399),N($H401))))</f>
        <v/>
      </c>
      <c r="L399" s="32" t="n"/>
      <c r="M399" s="34">
        <f>IF(AND(IF($I401&lt;&gt;"",$I401,$I399)="override",$L399&lt;&gt;""),$L399,SUMIFS(Assumptions!$P$4:$P$103,Assumptions!$M$4:$M$103,$C399,Assumptions!$N$4:$N$103,$E399,Assumptions!$O$4:$O$103,"LVN"))</f>
        <v/>
      </c>
      <c r="N399" s="32" t="n"/>
      <c r="O399" s="34">
        <f>IF(AND(IF($I401&lt;&gt;"",$I401,$I399)="override",$N399&lt;&gt;""),$N399,SUMIFS(Assumptions!$P$4:$P$103,Assumptions!$M$4:$M$103,$C399,Assumptions!$N$4:$N$103,$E399,Assumptions!$O$4:$O$103,"HVN"))</f>
        <v/>
      </c>
      <c r="P399" s="34">
        <f>(M399+O399)*Assumptions!$S$11</f>
        <v/>
      </c>
      <c r="Q399" s="35">
        <f>$F399*$K399*$P399</f>
        <v/>
      </c>
    </row>
    <row r="400">
      <c r="A400" s="11" t="inlineStr">
        <is>
          <t>UNIT</t>
        </is>
      </c>
      <c r="B400" s="28" t="inlineStr">
        <is>
          <t>VALERO_PORT_ARTHUR</t>
        </is>
      </c>
      <c r="C400" s="28" t="n">
        <v>3</v>
      </c>
      <c r="D400" s="28" t="inlineStr">
        <is>
          <t>NHT</t>
        </is>
      </c>
      <c r="E400" s="28" t="inlineStr">
        <is>
          <t>NHT</t>
        </is>
      </c>
      <c r="F400" s="29" t="n">
        <v>48.7</v>
      </c>
      <c r="G400" s="30">
        <f>IFERROR(IF(INDEX(Effective!$E$3:$R$125,MATCH($B400,Effective!$A$3:$A$125,0),MATCH($D400,Effective!$E$2:$R$2,0))=0,"",INDEX(Effective!$E$3:$R$125,MATCH($B400,Effective!$A$3:$A$125,0),MATCH($D400,Effective!$E$2:$R$2,0))),"")</f>
        <v/>
      </c>
      <c r="H400" s="31" t="n"/>
      <c r="I400" s="17" t="inlineStr">
        <is>
          <t>override</t>
        </is>
      </c>
      <c r="J400" s="32" t="n">
        <v>0.795</v>
      </c>
      <c r="K400" s="33">
        <f>IF(AND(IF($I401&lt;&gt;"",$I401,$I400)="override",$J400&lt;&gt;""),$J400,SUMIFS(Assumptions!$K$4:$K$8,Assumptions!$J$4:$J$8,$C400))*Assumptions!$S$10*(1-MIN(1,MAX(N($H400),N($H401))))</f>
        <v/>
      </c>
      <c r="L400" s="32" t="n"/>
      <c r="M400" s="34">
        <f>IF(AND(IF($I401&lt;&gt;"",$I401,$I400)="override",$L400&lt;&gt;""),$L400,SUMIFS(Assumptions!$P$4:$P$103,Assumptions!$M$4:$M$103,$C400,Assumptions!$N$4:$N$103,$E400,Assumptions!$O$4:$O$103,"LVN"))</f>
        <v/>
      </c>
      <c r="N400" s="32" t="n"/>
      <c r="O400" s="34">
        <f>IF(AND(IF($I401&lt;&gt;"",$I401,$I400)="override",$N400&lt;&gt;""),$N400,SUMIFS(Assumptions!$P$4:$P$103,Assumptions!$M$4:$M$103,$C400,Assumptions!$N$4:$N$103,$E400,Assumptions!$O$4:$O$103,"HVN"))</f>
        <v/>
      </c>
      <c r="P400" s="34">
        <f>(M400+O400)*Assumptions!$S$11</f>
        <v/>
      </c>
      <c r="Q400" s="35">
        <f>$F400*$K400*$P400</f>
        <v/>
      </c>
    </row>
    <row r="401">
      <c r="A401" s="24" t="inlineStr">
        <is>
          <t>TOTAL</t>
        </is>
      </c>
      <c r="B401" s="36" t="inlineStr">
        <is>
          <t>VALERO_PORT_ARTHUR</t>
        </is>
      </c>
      <c r="C401" s="36" t="n">
        <v>3</v>
      </c>
      <c r="D401" s="36" t="inlineStr">
        <is>
          <t>NET NAPHTHA</t>
        </is>
      </c>
      <c r="H401" s="31" t="n"/>
      <c r="I401" s="17" t="n"/>
      <c r="Q401" s="37">
        <f>SUM(Q393:Q400)</f>
        <v/>
      </c>
    </row>
    <row r="403" ht="20" customHeight="1">
      <c r="A403" s="8">
        <f>"  Chevron Pascagoula  [CHEVRON_PASCAGOULA]   —   Chevron   —   PADD 3   —   crude "&amp;TEXT(SUMIFS(Data!$G$3:$G$125,Data!$A$3:$A$125,"CHEVRON_PASCAGOULA"),"#,##0")&amp;" kbd"</f>
        <v/>
      </c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</row>
    <row r="404">
      <c r="A404" s="11" t="inlineStr">
        <is>
          <t>UNIT</t>
        </is>
      </c>
      <c r="B404" s="28" t="inlineStr">
        <is>
          <t>CHEVRON_PASCAGOULA</t>
        </is>
      </c>
      <c r="C404" s="28" t="n">
        <v>3</v>
      </c>
      <c r="D404" s="28" t="inlineStr">
        <is>
          <t>CDU</t>
        </is>
      </c>
      <c r="E404" s="28" t="inlineStr">
        <is>
          <t>CDU</t>
        </is>
      </c>
      <c r="F404" s="29" t="n">
        <v>375.2</v>
      </c>
      <c r="G404" s="30">
        <f>IFERROR(IF(INDEX(Effective!$E$3:$R$125,MATCH($B404,Effective!$A$3:$A$125,0),MATCH($D404,Effective!$E$2:$R$2,0))=0,"",INDEX(Effective!$E$3:$R$125,MATCH($B404,Effective!$A$3:$A$125,0),MATCH($D404,Effective!$E$2:$R$2,0))),"")</f>
        <v/>
      </c>
      <c r="H404" s="31" t="n"/>
      <c r="I404" s="17" t="inlineStr">
        <is>
          <t>override</t>
        </is>
      </c>
      <c r="J404" s="32" t="n">
        <v>0.898</v>
      </c>
      <c r="K404" s="33">
        <f>IF(AND(IF($I413&lt;&gt;"",$I413,$I404)="override",$J404&lt;&gt;""),$J404,SUMIFS(Assumptions!$K$4:$K$8,Assumptions!$J$4:$J$8,$C404))*Assumptions!$S$10*(1-MIN(1,MAX(N($H404),N($H413))))</f>
        <v/>
      </c>
      <c r="L404" s="32" t="n"/>
      <c r="M404" s="34">
        <f>IF(AND(IF($I413&lt;&gt;"",$I413,$I404)="override",$L404&lt;&gt;""),$L404,SUMIFS(Assumptions!$P$4:$P$103,Assumptions!$M$4:$M$103,$C404,Assumptions!$N$4:$N$103,$E404,Assumptions!$O$4:$O$103,"LVN"))</f>
        <v/>
      </c>
      <c r="N404" s="32" t="n"/>
      <c r="O404" s="34">
        <f>IF(AND(IF($I413&lt;&gt;"",$I413,$I404)="override",$N404&lt;&gt;""),$N404,SUMIFS(Assumptions!$P$4:$P$103,Assumptions!$M$4:$M$103,$C404,Assumptions!$N$4:$N$103,$E404,Assumptions!$O$4:$O$103,"HVN"))</f>
        <v/>
      </c>
      <c r="P404" s="34">
        <f>(M404+O404)*Assumptions!$S$11</f>
        <v/>
      </c>
      <c r="Q404" s="35">
        <f>$F404*$K404*$P404</f>
        <v/>
      </c>
    </row>
    <row r="405">
      <c r="A405" s="11" t="inlineStr">
        <is>
          <t>UNIT</t>
        </is>
      </c>
      <c r="B405" s="28" t="inlineStr">
        <is>
          <t>CHEVRON_PASCAGOULA</t>
        </is>
      </c>
      <c r="C405" s="28" t="n">
        <v>3</v>
      </c>
      <c r="D405" s="28" t="inlineStr">
        <is>
          <t>VDU</t>
        </is>
      </c>
      <c r="E405" s="28" t="inlineStr">
        <is>
          <t>VDU</t>
        </is>
      </c>
      <c r="F405" s="29" t="n">
        <v>330</v>
      </c>
      <c r="G405" s="30">
        <f>IFERROR(IF(INDEX(Effective!$E$3:$R$125,MATCH($B405,Effective!$A$3:$A$125,0),MATCH($D405,Effective!$E$2:$R$2,0))=0,"",INDEX(Effective!$E$3:$R$125,MATCH($B405,Effective!$A$3:$A$125,0),MATCH($D405,Effective!$E$2:$R$2,0))),"")</f>
        <v/>
      </c>
      <c r="H405" s="31" t="n"/>
      <c r="I405" s="17" t="inlineStr">
        <is>
          <t>override</t>
        </is>
      </c>
      <c r="J405" s="32" t="n">
        <v>0.51</v>
      </c>
      <c r="K405" s="33">
        <f>IF(AND(IF($I413&lt;&gt;"",$I413,$I405)="override",$J405&lt;&gt;""),$J405,SUMIFS(Assumptions!$K$4:$K$8,Assumptions!$J$4:$J$8,$C405))*Assumptions!$S$10*(1-MIN(1,MAX(N($H405),N($H413))))</f>
        <v/>
      </c>
      <c r="L405" s="32" t="n"/>
      <c r="M405" s="34">
        <f>IF(AND(IF($I413&lt;&gt;"",$I413,$I405)="override",$L405&lt;&gt;""),$L405,SUMIFS(Assumptions!$P$4:$P$103,Assumptions!$M$4:$M$103,$C405,Assumptions!$N$4:$N$103,$E405,Assumptions!$O$4:$O$103,"LVN"))</f>
        <v/>
      </c>
      <c r="N405" s="32" t="n"/>
      <c r="O405" s="34">
        <f>IF(AND(IF($I413&lt;&gt;"",$I413,$I405)="override",$N405&lt;&gt;""),$N405,SUMIFS(Assumptions!$P$4:$P$103,Assumptions!$M$4:$M$103,$C405,Assumptions!$N$4:$N$103,$E405,Assumptions!$O$4:$O$103,"HVN"))</f>
        <v/>
      </c>
      <c r="P405" s="34">
        <f>(M405+O405)*Assumptions!$S$11</f>
        <v/>
      </c>
      <c r="Q405" s="35">
        <f>$F405*$K405*$P405</f>
        <v/>
      </c>
    </row>
    <row r="406">
      <c r="A406" s="11" t="inlineStr">
        <is>
          <t>UNIT</t>
        </is>
      </c>
      <c r="B406" s="28" t="inlineStr">
        <is>
          <t>CHEVRON_PASCAGOULA</t>
        </is>
      </c>
      <c r="C406" s="28" t="n">
        <v>3</v>
      </c>
      <c r="D406" s="28" t="inlineStr">
        <is>
          <t>FCC</t>
        </is>
      </c>
      <c r="E406" s="28" t="inlineStr">
        <is>
          <t>FCC</t>
        </is>
      </c>
      <c r="F406" s="29" t="n">
        <v>88</v>
      </c>
      <c r="G406" s="30">
        <f>IFERROR(IF(INDEX(Effective!$E$3:$R$125,MATCH($B406,Effective!$A$3:$A$125,0),MATCH($D406,Effective!$E$2:$R$2,0))=0,"",INDEX(Effective!$E$3:$R$125,MATCH($B406,Effective!$A$3:$A$125,0),MATCH($D406,Effective!$E$2:$R$2,0))),"")</f>
        <v/>
      </c>
      <c r="H406" s="31" t="n"/>
      <c r="I406" s="17" t="inlineStr">
        <is>
          <t>override</t>
        </is>
      </c>
      <c r="J406" s="32" t="n">
        <v>0.844</v>
      </c>
      <c r="K406" s="33">
        <f>IF(AND(IF($I413&lt;&gt;"",$I413,$I406)="override",$J406&lt;&gt;""),$J406,SUMIFS(Assumptions!$K$4:$K$8,Assumptions!$J$4:$J$8,$C406))*Assumptions!$S$10*(1-MIN(1,MAX(N($H406),N($H413))))</f>
        <v/>
      </c>
      <c r="L406" s="32" t="n"/>
      <c r="M406" s="34">
        <f>IF(AND(IF($I413&lt;&gt;"",$I413,$I406)="override",$L406&lt;&gt;""),$L406,SUMIFS(Assumptions!$P$4:$P$103,Assumptions!$M$4:$M$103,$C406,Assumptions!$N$4:$N$103,$E406,Assumptions!$O$4:$O$103,"LVN"))</f>
        <v/>
      </c>
      <c r="N406" s="32" t="n"/>
      <c r="O406" s="34">
        <f>IF(AND(IF($I413&lt;&gt;"",$I413,$I406)="override",$N406&lt;&gt;""),$N406,SUMIFS(Assumptions!$P$4:$P$103,Assumptions!$M$4:$M$103,$C406,Assumptions!$N$4:$N$103,$E406,Assumptions!$O$4:$O$103,"HVN"))</f>
        <v/>
      </c>
      <c r="P406" s="34">
        <f>(M406+O406)*Assumptions!$S$11</f>
        <v/>
      </c>
      <c r="Q406" s="35">
        <f>$F406*$K406*$P406</f>
        <v/>
      </c>
    </row>
    <row r="407">
      <c r="A407" s="11" t="inlineStr">
        <is>
          <t>UNIT</t>
        </is>
      </c>
      <c r="B407" s="28" t="inlineStr">
        <is>
          <t>CHEVRON_PASCAGOULA</t>
        </is>
      </c>
      <c r="C407" s="28" t="n">
        <v>3</v>
      </c>
      <c r="D407" s="28" t="inlineStr">
        <is>
          <t>DHCU</t>
        </is>
      </c>
      <c r="E407" s="28" t="inlineStr">
        <is>
          <t>HYDROCRACKER</t>
        </is>
      </c>
      <c r="F407" s="29" t="n">
        <v>119</v>
      </c>
      <c r="G407" s="30">
        <f>IFERROR(IF(INDEX(Effective!$E$3:$R$125,MATCH($B407,Effective!$A$3:$A$125,0),MATCH($D407,Effective!$E$2:$R$2,0))=0,"",INDEX(Effective!$E$3:$R$125,MATCH($B407,Effective!$A$3:$A$125,0),MATCH($D407,Effective!$E$2:$R$2,0))),"")</f>
        <v/>
      </c>
      <c r="H407" s="31" t="n"/>
      <c r="I407" s="17" t="inlineStr">
        <is>
          <t>override</t>
        </is>
      </c>
      <c r="J407" s="32" t="n">
        <v>0.622</v>
      </c>
      <c r="K407" s="33">
        <f>IF(AND(IF($I413&lt;&gt;"",$I413,$I407)="override",$J407&lt;&gt;""),$J407,SUMIFS(Assumptions!$K$4:$K$8,Assumptions!$J$4:$J$8,$C407))*Assumptions!$S$10*(1-MIN(1,MAX(N($H407),N($H413))))</f>
        <v/>
      </c>
      <c r="L407" s="32" t="n"/>
      <c r="M407" s="34">
        <f>IF(AND(IF($I413&lt;&gt;"",$I413,$I407)="override",$L407&lt;&gt;""),$L407,SUMIFS(Assumptions!$P$4:$P$103,Assumptions!$M$4:$M$103,$C407,Assumptions!$N$4:$N$103,$E407,Assumptions!$O$4:$O$103,"LVN"))</f>
        <v/>
      </c>
      <c r="N407" s="32" t="n"/>
      <c r="O407" s="34">
        <f>IF(AND(IF($I413&lt;&gt;"",$I413,$I407)="override",$N407&lt;&gt;""),$N407,SUMIFS(Assumptions!$P$4:$P$103,Assumptions!$M$4:$M$103,$C407,Assumptions!$N$4:$N$103,$E407,Assumptions!$O$4:$O$103,"HVN"))</f>
        <v/>
      </c>
      <c r="P407" s="34">
        <f>(M407+O407)*Assumptions!$S$11</f>
        <v/>
      </c>
      <c r="Q407" s="35">
        <f>$F407*$K407*$P407</f>
        <v/>
      </c>
    </row>
    <row r="408">
      <c r="A408" s="11" t="inlineStr">
        <is>
          <t>UNIT</t>
        </is>
      </c>
      <c r="B408" s="28" t="inlineStr">
        <is>
          <t>CHEVRON_PASCAGOULA</t>
        </is>
      </c>
      <c r="C408" s="28" t="n">
        <v>3</v>
      </c>
      <c r="D408" s="28" t="inlineStr">
        <is>
          <t>COKER</t>
        </is>
      </c>
      <c r="E408" s="28" t="inlineStr">
        <is>
          <t>COKER</t>
        </is>
      </c>
      <c r="F408" s="29" t="n">
        <v>104</v>
      </c>
      <c r="G408" s="30">
        <f>IFERROR(IF(INDEX(Effective!$E$3:$R$125,MATCH($B408,Effective!$A$3:$A$125,0),MATCH($D408,Effective!$E$2:$R$2,0))=0,"",INDEX(Effective!$E$3:$R$125,MATCH($B408,Effective!$A$3:$A$125,0),MATCH($D408,Effective!$E$2:$R$2,0))),"")</f>
        <v/>
      </c>
      <c r="H408" s="31" t="n"/>
      <c r="I408" s="17" t="inlineStr">
        <is>
          <t>override</t>
        </is>
      </c>
      <c r="J408" s="32" t="n">
        <v>0.846</v>
      </c>
      <c r="K408" s="33">
        <f>IF(AND(IF($I413&lt;&gt;"",$I413,$I408)="override",$J408&lt;&gt;""),$J408,SUMIFS(Assumptions!$K$4:$K$8,Assumptions!$J$4:$J$8,$C408))*Assumptions!$S$10*(1-MIN(1,MAX(N($H408),N($H413))))</f>
        <v/>
      </c>
      <c r="L408" s="32" t="n"/>
      <c r="M408" s="34">
        <f>IF(AND(IF($I413&lt;&gt;"",$I413,$I408)="override",$L408&lt;&gt;""),$L408,SUMIFS(Assumptions!$P$4:$P$103,Assumptions!$M$4:$M$103,$C408,Assumptions!$N$4:$N$103,$E408,Assumptions!$O$4:$O$103,"LVN"))</f>
        <v/>
      </c>
      <c r="N408" s="32" t="n"/>
      <c r="O408" s="34">
        <f>IF(AND(IF($I413&lt;&gt;"",$I413,$I408)="override",$N408&lt;&gt;""),$N408,SUMIFS(Assumptions!$P$4:$P$103,Assumptions!$M$4:$M$103,$C408,Assumptions!$N$4:$N$103,$E408,Assumptions!$O$4:$O$103,"HVN"))</f>
        <v/>
      </c>
      <c r="P408" s="34">
        <f>(M408+O408)*Assumptions!$S$11</f>
        <v/>
      </c>
      <c r="Q408" s="35">
        <f>$F408*$K408*$P408</f>
        <v/>
      </c>
    </row>
    <row r="409">
      <c r="A409" s="11" t="inlineStr">
        <is>
          <t>UNIT</t>
        </is>
      </c>
      <c r="B409" s="28" t="inlineStr">
        <is>
          <t>CHEVRON_PASCAGOULA</t>
        </is>
      </c>
      <c r="C409" s="28" t="n">
        <v>3</v>
      </c>
      <c r="D409" s="28" t="inlineStr">
        <is>
          <t>CCR</t>
        </is>
      </c>
      <c r="E409" s="28" t="inlineStr">
        <is>
          <t>REFORMER</t>
        </is>
      </c>
      <c r="F409" s="29" t="n">
        <v>61.6</v>
      </c>
      <c r="G409" s="30">
        <f>IFERROR(IF(INDEX(Effective!$E$3:$R$125,MATCH($B409,Effective!$A$3:$A$125,0),MATCH($D409,Effective!$E$2:$R$2,0))=0,"",INDEX(Effective!$E$3:$R$125,MATCH($B409,Effective!$A$3:$A$125,0),MATCH($D409,Effective!$E$2:$R$2,0))),"")</f>
        <v/>
      </c>
      <c r="H409" s="31" t="n"/>
      <c r="I409" s="17" t="inlineStr">
        <is>
          <t>override</t>
        </is>
      </c>
      <c r="J409" s="32" t="n">
        <v>0.9330000000000001</v>
      </c>
      <c r="K409" s="33">
        <f>IF(AND(IF($I413&lt;&gt;"",$I413,$I409)="override",$J409&lt;&gt;""),$J409,SUMIFS(Assumptions!$K$4:$K$8,Assumptions!$J$4:$J$8,$C409))*Assumptions!$S$10*(1-MIN(1,MAX(N($H409),N($H413))))</f>
        <v/>
      </c>
      <c r="L409" s="32" t="n"/>
      <c r="M409" s="34">
        <f>IF(AND(IF($I413&lt;&gt;"",$I413,$I409)="override",$L409&lt;&gt;""),$L409,SUMIFS(Assumptions!$P$4:$P$103,Assumptions!$M$4:$M$103,$C409,Assumptions!$N$4:$N$103,$E409,Assumptions!$O$4:$O$103,"LVN"))</f>
        <v/>
      </c>
      <c r="N409" s="32" t="n"/>
      <c r="O409" s="34">
        <f>IF(AND(IF($I413&lt;&gt;"",$I413,$I409)="override",$N409&lt;&gt;""),$N409,SUMIFS(Assumptions!$P$4:$P$103,Assumptions!$M$4:$M$103,$C409,Assumptions!$N$4:$N$103,$E409,Assumptions!$O$4:$O$103,"HVN"))</f>
        <v/>
      </c>
      <c r="P409" s="34">
        <f>(M409+O409)*Assumptions!$S$11</f>
        <v/>
      </c>
      <c r="Q409" s="35">
        <f>$F409*$K409*$P409</f>
        <v/>
      </c>
    </row>
    <row r="410">
      <c r="A410" s="11" t="inlineStr">
        <is>
          <t>UNIT</t>
        </is>
      </c>
      <c r="B410" s="28" t="inlineStr">
        <is>
          <t>CHEVRON_PASCAGOULA</t>
        </is>
      </c>
      <c r="C410" s="28" t="n">
        <v>3</v>
      </c>
      <c r="D410" s="28" t="inlineStr">
        <is>
          <t>REF</t>
        </is>
      </c>
      <c r="E410" s="28" t="inlineStr">
        <is>
          <t>REFORMER</t>
        </is>
      </c>
      <c r="F410" s="29" t="n">
        <v>40</v>
      </c>
      <c r="G410" s="30">
        <f>IFERROR(IF(INDEX(Effective!$E$3:$R$125,MATCH($B410,Effective!$A$3:$A$125,0),MATCH($D410,Effective!$E$2:$R$2,0))=0,"",INDEX(Effective!$E$3:$R$125,MATCH($B410,Effective!$A$3:$A$125,0),MATCH($D410,Effective!$E$2:$R$2,0))),"")</f>
        <v/>
      </c>
      <c r="H410" s="31" t="n"/>
      <c r="I410" s="17" t="inlineStr">
        <is>
          <t>override</t>
        </is>
      </c>
      <c r="J410" s="32" t="n">
        <v>0.317</v>
      </c>
      <c r="K410" s="33">
        <f>IF(AND(IF($I413&lt;&gt;"",$I413,$I410)="override",$J410&lt;&gt;""),$J410,SUMIFS(Assumptions!$K$4:$K$8,Assumptions!$J$4:$J$8,$C410))*Assumptions!$S$10*(1-MIN(1,MAX(N($H410),N($H413))))</f>
        <v/>
      </c>
      <c r="L410" s="32" t="n"/>
      <c r="M410" s="34">
        <f>IF(AND(IF($I413&lt;&gt;"",$I413,$I410)="override",$L410&lt;&gt;""),$L410,SUMIFS(Assumptions!$P$4:$P$103,Assumptions!$M$4:$M$103,$C410,Assumptions!$N$4:$N$103,$E410,Assumptions!$O$4:$O$103,"LVN"))</f>
        <v/>
      </c>
      <c r="N410" s="32" t="n"/>
      <c r="O410" s="34">
        <f>IF(AND(IF($I413&lt;&gt;"",$I413,$I410)="override",$N410&lt;&gt;""),$N410,SUMIFS(Assumptions!$P$4:$P$103,Assumptions!$M$4:$M$103,$C410,Assumptions!$N$4:$N$103,$E410,Assumptions!$O$4:$O$103,"HVN"))</f>
        <v/>
      </c>
      <c r="P410" s="34">
        <f>(M410+O410)*Assumptions!$S$11</f>
        <v/>
      </c>
      <c r="Q410" s="35">
        <f>$F410*$K410*$P410</f>
        <v/>
      </c>
    </row>
    <row r="411">
      <c r="A411" s="11" t="inlineStr">
        <is>
          <t>UNIT</t>
        </is>
      </c>
      <c r="B411" s="28" t="inlineStr">
        <is>
          <t>CHEVRON_PASCAGOULA</t>
        </is>
      </c>
      <c r="C411" s="28" t="n">
        <v>3</v>
      </c>
      <c r="D411" s="28" t="inlineStr">
        <is>
          <t>ALKY</t>
        </is>
      </c>
      <c r="E411" s="28" t="inlineStr">
        <is>
          <t>ALKY</t>
        </is>
      </c>
      <c r="F411" s="29" t="n">
        <v>21.5</v>
      </c>
      <c r="G411" s="30">
        <f>IFERROR(IF(INDEX(Effective!$E$3:$R$125,MATCH($B411,Effective!$A$3:$A$125,0),MATCH($D411,Effective!$E$2:$R$2,0))=0,"",INDEX(Effective!$E$3:$R$125,MATCH($B411,Effective!$A$3:$A$125,0),MATCH($D411,Effective!$E$2:$R$2,0))),"")</f>
        <v/>
      </c>
      <c r="H411" s="31" t="n"/>
      <c r="I411" s="17" t="inlineStr">
        <is>
          <t>override</t>
        </is>
      </c>
      <c r="J411" s="32" t="n">
        <v>0.927</v>
      </c>
      <c r="K411" s="33">
        <f>IF(AND(IF($I413&lt;&gt;"",$I413,$I411)="override",$J411&lt;&gt;""),$J411,SUMIFS(Assumptions!$K$4:$K$8,Assumptions!$J$4:$J$8,$C411))*Assumptions!$S$10*(1-MIN(1,MAX(N($H411),N($H413))))</f>
        <v/>
      </c>
      <c r="L411" s="32" t="n"/>
      <c r="M411" s="34">
        <f>IF(AND(IF($I413&lt;&gt;"",$I413,$I411)="override",$L411&lt;&gt;""),$L411,SUMIFS(Assumptions!$P$4:$P$103,Assumptions!$M$4:$M$103,$C411,Assumptions!$N$4:$N$103,$E411,Assumptions!$O$4:$O$103,"LVN"))</f>
        <v/>
      </c>
      <c r="N411" s="32" t="n"/>
      <c r="O411" s="34">
        <f>IF(AND(IF($I413&lt;&gt;"",$I413,$I411)="override",$N411&lt;&gt;""),$N411,SUMIFS(Assumptions!$P$4:$P$103,Assumptions!$M$4:$M$103,$C411,Assumptions!$N$4:$N$103,$E411,Assumptions!$O$4:$O$103,"HVN"))</f>
        <v/>
      </c>
      <c r="P411" s="34">
        <f>(M411+O411)*Assumptions!$S$11</f>
        <v/>
      </c>
      <c r="Q411" s="35">
        <f>$F411*$K411*$P411</f>
        <v/>
      </c>
    </row>
    <row r="412">
      <c r="A412" s="11" t="inlineStr">
        <is>
          <t>UNIT</t>
        </is>
      </c>
      <c r="B412" s="28" t="inlineStr">
        <is>
          <t>CHEVRON_PASCAGOULA</t>
        </is>
      </c>
      <c r="C412" s="28" t="n">
        <v>3</v>
      </c>
      <c r="D412" s="28" t="inlineStr">
        <is>
          <t>NHT</t>
        </is>
      </c>
      <c r="E412" s="28" t="inlineStr">
        <is>
          <t>NHT</t>
        </is>
      </c>
      <c r="F412" s="29" t="n">
        <v>60.8</v>
      </c>
      <c r="G412" s="30">
        <f>IFERROR(IF(INDEX(Effective!$E$3:$R$125,MATCH($B412,Effective!$A$3:$A$125,0),MATCH($D412,Effective!$E$2:$R$2,0))=0,"",INDEX(Effective!$E$3:$R$125,MATCH($B412,Effective!$A$3:$A$125,0),MATCH($D412,Effective!$E$2:$R$2,0))),"")</f>
        <v/>
      </c>
      <c r="H412" s="31" t="n"/>
      <c r="I412" s="17" t="inlineStr">
        <is>
          <t>override</t>
        </is>
      </c>
      <c r="J412" s="32" t="n">
        <v>1.034</v>
      </c>
      <c r="K412" s="33">
        <f>IF(AND(IF($I413&lt;&gt;"",$I413,$I412)="override",$J412&lt;&gt;""),$J412,SUMIFS(Assumptions!$K$4:$K$8,Assumptions!$J$4:$J$8,$C412))*Assumptions!$S$10*(1-MIN(1,MAX(N($H412),N($H413))))</f>
        <v/>
      </c>
      <c r="L412" s="32" t="n"/>
      <c r="M412" s="34">
        <f>IF(AND(IF($I413&lt;&gt;"",$I413,$I412)="override",$L412&lt;&gt;""),$L412,SUMIFS(Assumptions!$P$4:$P$103,Assumptions!$M$4:$M$103,$C412,Assumptions!$N$4:$N$103,$E412,Assumptions!$O$4:$O$103,"LVN"))</f>
        <v/>
      </c>
      <c r="N412" s="32" t="n"/>
      <c r="O412" s="34">
        <f>IF(AND(IF($I413&lt;&gt;"",$I413,$I412)="override",$N412&lt;&gt;""),$N412,SUMIFS(Assumptions!$P$4:$P$103,Assumptions!$M$4:$M$103,$C412,Assumptions!$N$4:$N$103,$E412,Assumptions!$O$4:$O$103,"HVN"))</f>
        <v/>
      </c>
      <c r="P412" s="34">
        <f>(M412+O412)*Assumptions!$S$11</f>
        <v/>
      </c>
      <c r="Q412" s="35">
        <f>$F412*$K412*$P412</f>
        <v/>
      </c>
    </row>
    <row r="413">
      <c r="A413" s="24" t="inlineStr">
        <is>
          <t>TOTAL</t>
        </is>
      </c>
      <c r="B413" s="36" t="inlineStr">
        <is>
          <t>CHEVRON_PASCAGOULA</t>
        </is>
      </c>
      <c r="C413" s="36" t="n">
        <v>3</v>
      </c>
      <c r="D413" s="36" t="inlineStr">
        <is>
          <t>NET NAPHTHA</t>
        </is>
      </c>
      <c r="H413" s="31" t="n"/>
      <c r="I413" s="17" t="n"/>
      <c r="Q413" s="37">
        <f>SUM(Q404:Q412)</f>
        <v/>
      </c>
    </row>
    <row r="415" ht="20" customHeight="1">
      <c r="A415" s="8">
        <f>"  PEMEX Deer Park  [PEMEX_DEER_PARK]   —   PEMEX   —   PADD 3   —   crude "&amp;TEXT(SUMIFS(Data!$G$3:$G$125,Data!$A$3:$A$125,"PEMEX_DEER_PARK"),"#,##0")&amp;" kbd"</f>
        <v/>
      </c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</row>
    <row r="416">
      <c r="A416" s="11" t="inlineStr">
        <is>
          <t>UNIT</t>
        </is>
      </c>
      <c r="B416" s="28" t="inlineStr">
        <is>
          <t>PEMEX_DEER_PARK</t>
        </is>
      </c>
      <c r="C416" s="28" t="n">
        <v>3</v>
      </c>
      <c r="D416" s="28" t="inlineStr">
        <is>
          <t>CDU</t>
        </is>
      </c>
      <c r="E416" s="28" t="inlineStr">
        <is>
          <t>CDU</t>
        </is>
      </c>
      <c r="F416" s="29" t="n">
        <v>340</v>
      </c>
      <c r="G416" s="30">
        <f>IFERROR(IF(INDEX(Effective!$E$3:$R$125,MATCH($B416,Effective!$A$3:$A$125,0),MATCH($D416,Effective!$E$2:$R$2,0))=0,"",INDEX(Effective!$E$3:$R$125,MATCH($B416,Effective!$A$3:$A$125,0),MATCH($D416,Effective!$E$2:$R$2,0))),"")</f>
        <v/>
      </c>
      <c r="H416" s="31" t="n"/>
      <c r="I416" s="17" t="inlineStr">
        <is>
          <t>override</t>
        </is>
      </c>
      <c r="J416" s="32" t="n">
        <v>0.802</v>
      </c>
      <c r="K416" s="33">
        <f>IF(AND(IF($I425&lt;&gt;"",$I425,$I416)="override",$J416&lt;&gt;""),$J416,SUMIFS(Assumptions!$K$4:$K$8,Assumptions!$J$4:$J$8,$C416))*Assumptions!$S$10*(1-MIN(1,MAX(N($H416),N($H425))))</f>
        <v/>
      </c>
      <c r="L416" s="32" t="n"/>
      <c r="M416" s="34">
        <f>IF(AND(IF($I425&lt;&gt;"",$I425,$I416)="override",$L416&lt;&gt;""),$L416,SUMIFS(Assumptions!$P$4:$P$103,Assumptions!$M$4:$M$103,$C416,Assumptions!$N$4:$N$103,$E416,Assumptions!$O$4:$O$103,"LVN"))</f>
        <v/>
      </c>
      <c r="N416" s="32" t="n"/>
      <c r="O416" s="34">
        <f>IF(AND(IF($I425&lt;&gt;"",$I425,$I416)="override",$N416&lt;&gt;""),$N416,SUMIFS(Assumptions!$P$4:$P$103,Assumptions!$M$4:$M$103,$C416,Assumptions!$N$4:$N$103,$E416,Assumptions!$O$4:$O$103,"HVN"))</f>
        <v/>
      </c>
      <c r="P416" s="34">
        <f>(M416+O416)*Assumptions!$S$11</f>
        <v/>
      </c>
      <c r="Q416" s="35">
        <f>$F416*$K416*$P416</f>
        <v/>
      </c>
    </row>
    <row r="417">
      <c r="A417" s="11" t="inlineStr">
        <is>
          <t>UNIT</t>
        </is>
      </c>
      <c r="B417" s="28" t="inlineStr">
        <is>
          <t>PEMEX_DEER_PARK</t>
        </is>
      </c>
      <c r="C417" s="28" t="n">
        <v>3</v>
      </c>
      <c r="D417" s="28" t="inlineStr">
        <is>
          <t>VDU</t>
        </is>
      </c>
      <c r="E417" s="28" t="inlineStr">
        <is>
          <t>VDU</t>
        </is>
      </c>
      <c r="F417" s="29" t="n">
        <v>180</v>
      </c>
      <c r="G417" s="30">
        <f>IFERROR(IF(INDEX(Effective!$E$3:$R$125,MATCH($B417,Effective!$A$3:$A$125,0),MATCH($D417,Effective!$E$2:$R$2,0))=0,"",INDEX(Effective!$E$3:$R$125,MATCH($B417,Effective!$A$3:$A$125,0),MATCH($D417,Effective!$E$2:$R$2,0))),"")</f>
        <v/>
      </c>
      <c r="H417" s="31" t="n"/>
      <c r="I417" s="17" t="inlineStr">
        <is>
          <t>override</t>
        </is>
      </c>
      <c r="J417" s="32" t="n">
        <v>0.608</v>
      </c>
      <c r="K417" s="33">
        <f>IF(AND(IF($I425&lt;&gt;"",$I425,$I417)="override",$J417&lt;&gt;""),$J417,SUMIFS(Assumptions!$K$4:$K$8,Assumptions!$J$4:$J$8,$C417))*Assumptions!$S$10*(1-MIN(1,MAX(N($H417),N($H425))))</f>
        <v/>
      </c>
      <c r="L417" s="32" t="n"/>
      <c r="M417" s="34">
        <f>IF(AND(IF($I425&lt;&gt;"",$I425,$I417)="override",$L417&lt;&gt;""),$L417,SUMIFS(Assumptions!$P$4:$P$103,Assumptions!$M$4:$M$103,$C417,Assumptions!$N$4:$N$103,$E417,Assumptions!$O$4:$O$103,"LVN"))</f>
        <v/>
      </c>
      <c r="N417" s="32" t="n"/>
      <c r="O417" s="34">
        <f>IF(AND(IF($I425&lt;&gt;"",$I425,$I417)="override",$N417&lt;&gt;""),$N417,SUMIFS(Assumptions!$P$4:$P$103,Assumptions!$M$4:$M$103,$C417,Assumptions!$N$4:$N$103,$E417,Assumptions!$O$4:$O$103,"HVN"))</f>
        <v/>
      </c>
      <c r="P417" s="34">
        <f>(M417+O417)*Assumptions!$S$11</f>
        <v/>
      </c>
      <c r="Q417" s="35">
        <f>$F417*$K417*$P417</f>
        <v/>
      </c>
    </row>
    <row r="418">
      <c r="A418" s="11" t="inlineStr">
        <is>
          <t>UNIT</t>
        </is>
      </c>
      <c r="B418" s="28" t="inlineStr">
        <is>
          <t>PEMEX_DEER_PARK</t>
        </is>
      </c>
      <c r="C418" s="28" t="n">
        <v>3</v>
      </c>
      <c r="D418" s="28" t="inlineStr">
        <is>
          <t>FCC</t>
        </is>
      </c>
      <c r="E418" s="28" t="inlineStr">
        <is>
          <t>FCC</t>
        </is>
      </c>
      <c r="F418" s="29" t="n">
        <v>75.09999999999999</v>
      </c>
      <c r="G418" s="30">
        <f>IFERROR(IF(INDEX(Effective!$E$3:$R$125,MATCH($B418,Effective!$A$3:$A$125,0),MATCH($D418,Effective!$E$2:$R$2,0))=0,"",INDEX(Effective!$E$3:$R$125,MATCH($B418,Effective!$A$3:$A$125,0),MATCH($D418,Effective!$E$2:$R$2,0))),"")</f>
        <v/>
      </c>
      <c r="H418" s="31" t="n"/>
      <c r="I418" s="17" t="inlineStr">
        <is>
          <t>override</t>
        </is>
      </c>
      <c r="J418" s="32" t="n">
        <v>0.606</v>
      </c>
      <c r="K418" s="33">
        <f>IF(AND(IF($I425&lt;&gt;"",$I425,$I418)="override",$J418&lt;&gt;""),$J418,SUMIFS(Assumptions!$K$4:$K$8,Assumptions!$J$4:$J$8,$C418))*Assumptions!$S$10*(1-MIN(1,MAX(N($H418),N($H425))))</f>
        <v/>
      </c>
      <c r="L418" s="32" t="n"/>
      <c r="M418" s="34">
        <f>IF(AND(IF($I425&lt;&gt;"",$I425,$I418)="override",$L418&lt;&gt;""),$L418,SUMIFS(Assumptions!$P$4:$P$103,Assumptions!$M$4:$M$103,$C418,Assumptions!$N$4:$N$103,$E418,Assumptions!$O$4:$O$103,"LVN"))</f>
        <v/>
      </c>
      <c r="N418" s="32" t="n"/>
      <c r="O418" s="34">
        <f>IF(AND(IF($I425&lt;&gt;"",$I425,$I418)="override",$N418&lt;&gt;""),$N418,SUMIFS(Assumptions!$P$4:$P$103,Assumptions!$M$4:$M$103,$C418,Assumptions!$N$4:$N$103,$E418,Assumptions!$O$4:$O$103,"HVN"))</f>
        <v/>
      </c>
      <c r="P418" s="34">
        <f>(M418+O418)*Assumptions!$S$11</f>
        <v/>
      </c>
      <c r="Q418" s="35">
        <f>$F418*$K418*$P418</f>
        <v/>
      </c>
    </row>
    <row r="419">
      <c r="A419" s="11" t="inlineStr">
        <is>
          <t>UNIT</t>
        </is>
      </c>
      <c r="B419" s="28" t="inlineStr">
        <is>
          <t>PEMEX_DEER_PARK</t>
        </is>
      </c>
      <c r="C419" s="28" t="n">
        <v>3</v>
      </c>
      <c r="D419" s="28" t="inlineStr">
        <is>
          <t>DHCU</t>
        </is>
      </c>
      <c r="E419" s="28" t="inlineStr">
        <is>
          <t>HYDROCRACKER</t>
        </is>
      </c>
      <c r="F419" s="29" t="n">
        <v>60</v>
      </c>
      <c r="G419" s="30">
        <f>IFERROR(IF(INDEX(Effective!$E$3:$R$125,MATCH($B419,Effective!$A$3:$A$125,0),MATCH($D419,Effective!$E$2:$R$2,0))=0,"",INDEX(Effective!$E$3:$R$125,MATCH($B419,Effective!$A$3:$A$125,0),MATCH($D419,Effective!$E$2:$R$2,0))),"")</f>
        <v/>
      </c>
      <c r="H419" s="31" t="n"/>
      <c r="I419" s="17" t="inlineStr">
        <is>
          <t>override</t>
        </is>
      </c>
      <c r="J419" s="32" t="n">
        <v>0</v>
      </c>
      <c r="K419" s="33">
        <f>IF(AND(IF($I425&lt;&gt;"",$I425,$I419)="override",$J419&lt;&gt;""),$J419,SUMIFS(Assumptions!$K$4:$K$8,Assumptions!$J$4:$J$8,$C419))*Assumptions!$S$10*(1-MIN(1,MAX(N($H419),N($H425))))</f>
        <v/>
      </c>
      <c r="L419" s="32" t="n"/>
      <c r="M419" s="34">
        <f>IF(AND(IF($I425&lt;&gt;"",$I425,$I419)="override",$L419&lt;&gt;""),$L419,SUMIFS(Assumptions!$P$4:$P$103,Assumptions!$M$4:$M$103,$C419,Assumptions!$N$4:$N$103,$E419,Assumptions!$O$4:$O$103,"LVN"))</f>
        <v/>
      </c>
      <c r="N419" s="32" t="n"/>
      <c r="O419" s="34">
        <f>IF(AND(IF($I425&lt;&gt;"",$I425,$I419)="override",$N419&lt;&gt;""),$N419,SUMIFS(Assumptions!$P$4:$P$103,Assumptions!$M$4:$M$103,$C419,Assumptions!$N$4:$N$103,$E419,Assumptions!$O$4:$O$103,"HVN"))</f>
        <v/>
      </c>
      <c r="P419" s="34">
        <f>(M419+O419)*Assumptions!$S$11</f>
        <v/>
      </c>
      <c r="Q419" s="35">
        <f>$F419*$K419*$P419</f>
        <v/>
      </c>
    </row>
    <row r="420">
      <c r="A420" s="11" t="inlineStr">
        <is>
          <t>UNIT</t>
        </is>
      </c>
      <c r="B420" s="28" t="inlineStr">
        <is>
          <t>PEMEX_DEER_PARK</t>
        </is>
      </c>
      <c r="C420" s="28" t="n">
        <v>3</v>
      </c>
      <c r="D420" s="28" t="inlineStr">
        <is>
          <t>COKER</t>
        </is>
      </c>
      <c r="E420" s="28" t="inlineStr">
        <is>
          <t>COKER</t>
        </is>
      </c>
      <c r="F420" s="29" t="n">
        <v>96</v>
      </c>
      <c r="G420" s="30">
        <f>IFERROR(IF(INDEX(Effective!$E$3:$R$125,MATCH($B420,Effective!$A$3:$A$125,0),MATCH($D420,Effective!$E$2:$R$2,0))=0,"",INDEX(Effective!$E$3:$R$125,MATCH($B420,Effective!$A$3:$A$125,0),MATCH($D420,Effective!$E$2:$R$2,0))),"")</f>
        <v/>
      </c>
      <c r="H420" s="31" t="n"/>
      <c r="I420" s="17" t="inlineStr">
        <is>
          <t>override</t>
        </is>
      </c>
      <c r="J420" s="32" t="n">
        <v>0.6</v>
      </c>
      <c r="K420" s="33">
        <f>IF(AND(IF($I425&lt;&gt;"",$I425,$I420)="override",$J420&lt;&gt;""),$J420,SUMIFS(Assumptions!$K$4:$K$8,Assumptions!$J$4:$J$8,$C420))*Assumptions!$S$10*(1-MIN(1,MAX(N($H420),N($H425))))</f>
        <v/>
      </c>
      <c r="L420" s="32" t="n"/>
      <c r="M420" s="34">
        <f>IF(AND(IF($I425&lt;&gt;"",$I425,$I420)="override",$L420&lt;&gt;""),$L420,SUMIFS(Assumptions!$P$4:$P$103,Assumptions!$M$4:$M$103,$C420,Assumptions!$N$4:$N$103,$E420,Assumptions!$O$4:$O$103,"LVN"))</f>
        <v/>
      </c>
      <c r="N420" s="32" t="n"/>
      <c r="O420" s="34">
        <f>IF(AND(IF($I425&lt;&gt;"",$I425,$I420)="override",$N420&lt;&gt;""),$N420,SUMIFS(Assumptions!$P$4:$P$103,Assumptions!$M$4:$M$103,$C420,Assumptions!$N$4:$N$103,$E420,Assumptions!$O$4:$O$103,"HVN"))</f>
        <v/>
      </c>
      <c r="P420" s="34">
        <f>(M420+O420)*Assumptions!$S$11</f>
        <v/>
      </c>
      <c r="Q420" s="35">
        <f>$F420*$K420*$P420</f>
        <v/>
      </c>
    </row>
    <row r="421">
      <c r="A421" s="11" t="inlineStr">
        <is>
          <t>UNIT</t>
        </is>
      </c>
      <c r="B421" s="28" t="inlineStr">
        <is>
          <t>PEMEX_DEER_PARK</t>
        </is>
      </c>
      <c r="C421" s="28" t="n">
        <v>3</v>
      </c>
      <c r="D421" s="28" t="inlineStr">
        <is>
          <t>CCR</t>
        </is>
      </c>
      <c r="E421" s="28" t="inlineStr">
        <is>
          <t>REFORMER</t>
        </is>
      </c>
      <c r="F421" s="29" t="n">
        <v>44</v>
      </c>
      <c r="G421" s="30">
        <f>IFERROR(IF(INDEX(Effective!$E$3:$R$125,MATCH($B421,Effective!$A$3:$A$125,0),MATCH($D421,Effective!$E$2:$R$2,0))=0,"",INDEX(Effective!$E$3:$R$125,MATCH($B421,Effective!$A$3:$A$125,0),MATCH($D421,Effective!$E$2:$R$2,0))),"")</f>
        <v/>
      </c>
      <c r="H421" s="31" t="n"/>
      <c r="I421" s="17" t="inlineStr">
        <is>
          <t>override</t>
        </is>
      </c>
      <c r="J421" s="32" t="n">
        <v>0.974</v>
      </c>
      <c r="K421" s="33">
        <f>IF(AND(IF($I425&lt;&gt;"",$I425,$I421)="override",$J421&lt;&gt;""),$J421,SUMIFS(Assumptions!$K$4:$K$8,Assumptions!$J$4:$J$8,$C421))*Assumptions!$S$10*(1-MIN(1,MAX(N($H421),N($H425))))</f>
        <v/>
      </c>
      <c r="L421" s="32" t="n"/>
      <c r="M421" s="34">
        <f>IF(AND(IF($I425&lt;&gt;"",$I425,$I421)="override",$L421&lt;&gt;""),$L421,SUMIFS(Assumptions!$P$4:$P$103,Assumptions!$M$4:$M$103,$C421,Assumptions!$N$4:$N$103,$E421,Assumptions!$O$4:$O$103,"LVN"))</f>
        <v/>
      </c>
      <c r="N421" s="32" t="n"/>
      <c r="O421" s="34">
        <f>IF(AND(IF($I425&lt;&gt;"",$I425,$I421)="override",$N421&lt;&gt;""),$N421,SUMIFS(Assumptions!$P$4:$P$103,Assumptions!$M$4:$M$103,$C421,Assumptions!$N$4:$N$103,$E421,Assumptions!$O$4:$O$103,"HVN"))</f>
        <v/>
      </c>
      <c r="P421" s="34">
        <f>(M421+O421)*Assumptions!$S$11</f>
        <v/>
      </c>
      <c r="Q421" s="35">
        <f>$F421*$K421*$P421</f>
        <v/>
      </c>
    </row>
    <row r="422">
      <c r="A422" s="11" t="inlineStr">
        <is>
          <t>UNIT</t>
        </is>
      </c>
      <c r="B422" s="28" t="inlineStr">
        <is>
          <t>PEMEX_DEER_PARK</t>
        </is>
      </c>
      <c r="C422" s="28" t="n">
        <v>3</v>
      </c>
      <c r="D422" s="28" t="inlineStr">
        <is>
          <t>REF</t>
        </is>
      </c>
      <c r="E422" s="28" t="inlineStr">
        <is>
          <t>REFORMER</t>
        </is>
      </c>
      <c r="F422" s="29" t="n">
        <v>24.5</v>
      </c>
      <c r="G422" s="30">
        <f>IFERROR(IF(INDEX(Effective!$E$3:$R$125,MATCH($B422,Effective!$A$3:$A$125,0),MATCH($D422,Effective!$E$2:$R$2,0))=0,"",INDEX(Effective!$E$3:$R$125,MATCH($B422,Effective!$A$3:$A$125,0),MATCH($D422,Effective!$E$2:$R$2,0))),"")</f>
        <v/>
      </c>
      <c r="H422" s="31" t="n"/>
      <c r="I422" s="17" t="inlineStr">
        <is>
          <t>override</t>
        </is>
      </c>
      <c r="J422" s="32" t="n">
        <v>1</v>
      </c>
      <c r="K422" s="33">
        <f>IF(AND(IF($I425&lt;&gt;"",$I425,$I422)="override",$J422&lt;&gt;""),$J422,SUMIFS(Assumptions!$K$4:$K$8,Assumptions!$J$4:$J$8,$C422))*Assumptions!$S$10*(1-MIN(1,MAX(N($H422),N($H425))))</f>
        <v/>
      </c>
      <c r="L422" s="32" t="n"/>
      <c r="M422" s="34">
        <f>IF(AND(IF($I425&lt;&gt;"",$I425,$I422)="override",$L422&lt;&gt;""),$L422,SUMIFS(Assumptions!$P$4:$P$103,Assumptions!$M$4:$M$103,$C422,Assumptions!$N$4:$N$103,$E422,Assumptions!$O$4:$O$103,"LVN"))</f>
        <v/>
      </c>
      <c r="N422" s="32" t="n"/>
      <c r="O422" s="34">
        <f>IF(AND(IF($I425&lt;&gt;"",$I425,$I422)="override",$N422&lt;&gt;""),$N422,SUMIFS(Assumptions!$P$4:$P$103,Assumptions!$M$4:$M$103,$C422,Assumptions!$N$4:$N$103,$E422,Assumptions!$O$4:$O$103,"HVN"))</f>
        <v/>
      </c>
      <c r="P422" s="34">
        <f>(M422+O422)*Assumptions!$S$11</f>
        <v/>
      </c>
      <c r="Q422" s="35">
        <f>$F422*$K422*$P422</f>
        <v/>
      </c>
    </row>
    <row r="423">
      <c r="A423" s="11" t="inlineStr">
        <is>
          <t>UNIT</t>
        </is>
      </c>
      <c r="B423" s="28" t="inlineStr">
        <is>
          <t>PEMEX_DEER_PARK</t>
        </is>
      </c>
      <c r="C423" s="28" t="n">
        <v>3</v>
      </c>
      <c r="D423" s="28" t="inlineStr">
        <is>
          <t>ALKY</t>
        </is>
      </c>
      <c r="E423" s="28" t="inlineStr">
        <is>
          <t>ALKY</t>
        </is>
      </c>
      <c r="F423" s="29" t="n">
        <v>21</v>
      </c>
      <c r="G423" s="30">
        <f>IFERROR(IF(INDEX(Effective!$E$3:$R$125,MATCH($B423,Effective!$A$3:$A$125,0),MATCH($D423,Effective!$E$2:$R$2,0))=0,"",INDEX(Effective!$E$3:$R$125,MATCH($B423,Effective!$A$3:$A$125,0),MATCH($D423,Effective!$E$2:$R$2,0))),"")</f>
        <v/>
      </c>
      <c r="H423" s="31" t="n"/>
      <c r="I423" s="17" t="inlineStr">
        <is>
          <t>override</t>
        </is>
      </c>
      <c r="J423" s="32" t="n">
        <v>0.917</v>
      </c>
      <c r="K423" s="33">
        <f>IF(AND(IF($I425&lt;&gt;"",$I425,$I423)="override",$J423&lt;&gt;""),$J423,SUMIFS(Assumptions!$K$4:$K$8,Assumptions!$J$4:$J$8,$C423))*Assumptions!$S$10*(1-MIN(1,MAX(N($H423),N($H425))))</f>
        <v/>
      </c>
      <c r="L423" s="32" t="n"/>
      <c r="M423" s="34">
        <f>IF(AND(IF($I425&lt;&gt;"",$I425,$I423)="override",$L423&lt;&gt;""),$L423,SUMIFS(Assumptions!$P$4:$P$103,Assumptions!$M$4:$M$103,$C423,Assumptions!$N$4:$N$103,$E423,Assumptions!$O$4:$O$103,"LVN"))</f>
        <v/>
      </c>
      <c r="N423" s="32" t="n"/>
      <c r="O423" s="34">
        <f>IF(AND(IF($I425&lt;&gt;"",$I425,$I423)="override",$N423&lt;&gt;""),$N423,SUMIFS(Assumptions!$P$4:$P$103,Assumptions!$M$4:$M$103,$C423,Assumptions!$N$4:$N$103,$E423,Assumptions!$O$4:$O$103,"HVN"))</f>
        <v/>
      </c>
      <c r="P423" s="34">
        <f>(M423+O423)*Assumptions!$S$11</f>
        <v/>
      </c>
      <c r="Q423" s="35">
        <f>$F423*$K423*$P423</f>
        <v/>
      </c>
    </row>
    <row r="424">
      <c r="A424" s="11" t="inlineStr">
        <is>
          <t>UNIT</t>
        </is>
      </c>
      <c r="B424" s="28" t="inlineStr">
        <is>
          <t>PEMEX_DEER_PARK</t>
        </is>
      </c>
      <c r="C424" s="28" t="n">
        <v>3</v>
      </c>
      <c r="D424" s="28" t="inlineStr">
        <is>
          <t>NHT</t>
        </is>
      </c>
      <c r="E424" s="28" t="inlineStr">
        <is>
          <t>NHT</t>
        </is>
      </c>
      <c r="F424" s="29" t="n">
        <v>80</v>
      </c>
      <c r="G424" s="30">
        <f>IFERROR(IF(INDEX(Effective!$E$3:$R$125,MATCH($B424,Effective!$A$3:$A$125,0),MATCH($D424,Effective!$E$2:$R$2,0))=0,"",INDEX(Effective!$E$3:$R$125,MATCH($B424,Effective!$A$3:$A$125,0),MATCH($D424,Effective!$E$2:$R$2,0))),"")</f>
        <v/>
      </c>
      <c r="H424" s="31" t="n"/>
      <c r="I424" s="17" t="inlineStr">
        <is>
          <t>override</t>
        </is>
      </c>
      <c r="J424" s="32" t="n">
        <v>0.67</v>
      </c>
      <c r="K424" s="33">
        <f>IF(AND(IF($I425&lt;&gt;"",$I425,$I424)="override",$J424&lt;&gt;""),$J424,SUMIFS(Assumptions!$K$4:$K$8,Assumptions!$J$4:$J$8,$C424))*Assumptions!$S$10*(1-MIN(1,MAX(N($H424),N($H425))))</f>
        <v/>
      </c>
      <c r="L424" s="32" t="n"/>
      <c r="M424" s="34">
        <f>IF(AND(IF($I425&lt;&gt;"",$I425,$I424)="override",$L424&lt;&gt;""),$L424,SUMIFS(Assumptions!$P$4:$P$103,Assumptions!$M$4:$M$103,$C424,Assumptions!$N$4:$N$103,$E424,Assumptions!$O$4:$O$103,"LVN"))</f>
        <v/>
      </c>
      <c r="N424" s="32" t="n"/>
      <c r="O424" s="34">
        <f>IF(AND(IF($I425&lt;&gt;"",$I425,$I424)="override",$N424&lt;&gt;""),$N424,SUMIFS(Assumptions!$P$4:$P$103,Assumptions!$M$4:$M$103,$C424,Assumptions!$N$4:$N$103,$E424,Assumptions!$O$4:$O$103,"HVN"))</f>
        <v/>
      </c>
      <c r="P424" s="34">
        <f>(M424+O424)*Assumptions!$S$11</f>
        <v/>
      </c>
      <c r="Q424" s="35">
        <f>$F424*$K424*$P424</f>
        <v/>
      </c>
    </row>
    <row r="425">
      <c r="A425" s="24" t="inlineStr">
        <is>
          <t>TOTAL</t>
        </is>
      </c>
      <c r="B425" s="36" t="inlineStr">
        <is>
          <t>PEMEX_DEER_PARK</t>
        </is>
      </c>
      <c r="C425" s="36" t="n">
        <v>3</v>
      </c>
      <c r="D425" s="36" t="inlineStr">
        <is>
          <t>NET NAPHTHA</t>
        </is>
      </c>
      <c r="H425" s="31" t="n"/>
      <c r="I425" s="17" t="n"/>
      <c r="Q425" s="37">
        <f>SUM(Q416:Q424)</f>
        <v/>
      </c>
    </row>
    <row r="427" ht="20" customHeight="1">
      <c r="A427" s="8">
        <f>"  Flint Hills Resources Corpus Christi  [FLINT_CORPUS_CHRISTI]   —   Koch Industries   —   PADD 3   —   crude "&amp;TEXT(SUMIFS(Data!$G$3:$G$125,Data!$A$3:$A$125,"FLINT_CORPUS_CHRISTI"),"#,##0")&amp;" kbd"</f>
        <v/>
      </c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</row>
    <row r="428">
      <c r="A428" s="11" t="inlineStr">
        <is>
          <t>UNIT</t>
        </is>
      </c>
      <c r="B428" s="28" t="inlineStr">
        <is>
          <t>FLINT_CORPUS_CHRISTI</t>
        </is>
      </c>
      <c r="C428" s="28" t="n">
        <v>3</v>
      </c>
      <c r="D428" s="28" t="inlineStr">
        <is>
          <t>CDU</t>
        </is>
      </c>
      <c r="E428" s="28" t="inlineStr">
        <is>
          <t>CDU</t>
        </is>
      </c>
      <c r="F428" s="29" t="n">
        <v>350</v>
      </c>
      <c r="G428" s="30">
        <f>IFERROR(IF(INDEX(Effective!$E$3:$R$125,MATCH($B428,Effective!$A$3:$A$125,0),MATCH($D428,Effective!$E$2:$R$2,0))=0,"",INDEX(Effective!$E$3:$R$125,MATCH($B428,Effective!$A$3:$A$125,0),MATCH($D428,Effective!$E$2:$R$2,0))),"")</f>
        <v/>
      </c>
      <c r="H428" s="31" t="n"/>
      <c r="I428" s="17" t="inlineStr">
        <is>
          <t>override</t>
        </is>
      </c>
      <c r="J428" s="32" t="n">
        <v>0.955</v>
      </c>
      <c r="K428" s="33">
        <f>IF(AND(IF($I438&lt;&gt;"",$I438,$I428)="override",$J428&lt;&gt;""),$J428,SUMIFS(Assumptions!$K$4:$K$8,Assumptions!$J$4:$J$8,$C428))*Assumptions!$S$10*(1-MIN(1,MAX(N($H428),N($H438))))</f>
        <v/>
      </c>
      <c r="L428" s="32" t="n"/>
      <c r="M428" s="34">
        <f>IF(AND(IF($I438&lt;&gt;"",$I438,$I428)="override",$L428&lt;&gt;""),$L428,SUMIFS(Assumptions!$P$4:$P$103,Assumptions!$M$4:$M$103,$C428,Assumptions!$N$4:$N$103,$E428,Assumptions!$O$4:$O$103,"LVN"))</f>
        <v/>
      </c>
      <c r="N428" s="32" t="n"/>
      <c r="O428" s="34">
        <f>IF(AND(IF($I438&lt;&gt;"",$I438,$I428)="override",$N428&lt;&gt;""),$N428,SUMIFS(Assumptions!$P$4:$P$103,Assumptions!$M$4:$M$103,$C428,Assumptions!$N$4:$N$103,$E428,Assumptions!$O$4:$O$103,"HVN"))</f>
        <v/>
      </c>
      <c r="P428" s="34">
        <f>(M428+O428)*Assumptions!$S$11</f>
        <v/>
      </c>
      <c r="Q428" s="35">
        <f>$F428*$K428*$P428</f>
        <v/>
      </c>
    </row>
    <row r="429">
      <c r="A429" s="11" t="inlineStr">
        <is>
          <t>UNIT</t>
        </is>
      </c>
      <c r="B429" s="28" t="inlineStr">
        <is>
          <t>FLINT_CORPUS_CHRISTI</t>
        </is>
      </c>
      <c r="C429" s="28" t="n">
        <v>3</v>
      </c>
      <c r="D429" s="28" t="inlineStr">
        <is>
          <t>VDU</t>
        </is>
      </c>
      <c r="E429" s="28" t="inlineStr">
        <is>
          <t>VDU</t>
        </is>
      </c>
      <c r="F429" s="29" t="n">
        <v>87.5</v>
      </c>
      <c r="G429" s="30">
        <f>IFERROR(IF(INDEX(Effective!$E$3:$R$125,MATCH($B429,Effective!$A$3:$A$125,0),MATCH($D429,Effective!$E$2:$R$2,0))=0,"",INDEX(Effective!$E$3:$R$125,MATCH($B429,Effective!$A$3:$A$125,0),MATCH($D429,Effective!$E$2:$R$2,0))),"")</f>
        <v/>
      </c>
      <c r="H429" s="31" t="n"/>
      <c r="I429" s="17" t="inlineStr">
        <is>
          <t>override</t>
        </is>
      </c>
      <c r="J429" s="32" t="n">
        <v>0.976</v>
      </c>
      <c r="K429" s="33">
        <f>IF(AND(IF($I438&lt;&gt;"",$I438,$I429)="override",$J429&lt;&gt;""),$J429,SUMIFS(Assumptions!$K$4:$K$8,Assumptions!$J$4:$J$8,$C429))*Assumptions!$S$10*(1-MIN(1,MAX(N($H429),N($H438))))</f>
        <v/>
      </c>
      <c r="L429" s="32" t="n"/>
      <c r="M429" s="34">
        <f>IF(AND(IF($I438&lt;&gt;"",$I438,$I429)="override",$L429&lt;&gt;""),$L429,SUMIFS(Assumptions!$P$4:$P$103,Assumptions!$M$4:$M$103,$C429,Assumptions!$N$4:$N$103,$E429,Assumptions!$O$4:$O$103,"LVN"))</f>
        <v/>
      </c>
      <c r="N429" s="32" t="n"/>
      <c r="O429" s="34">
        <f>IF(AND(IF($I438&lt;&gt;"",$I438,$I429)="override",$N429&lt;&gt;""),$N429,SUMIFS(Assumptions!$P$4:$P$103,Assumptions!$M$4:$M$103,$C429,Assumptions!$N$4:$N$103,$E429,Assumptions!$O$4:$O$103,"HVN"))</f>
        <v/>
      </c>
      <c r="P429" s="34">
        <f>(M429+O429)*Assumptions!$S$11</f>
        <v/>
      </c>
      <c r="Q429" s="35">
        <f>$F429*$K429*$P429</f>
        <v/>
      </c>
    </row>
    <row r="430">
      <c r="A430" s="11" t="inlineStr">
        <is>
          <t>UNIT</t>
        </is>
      </c>
      <c r="B430" s="28" t="inlineStr">
        <is>
          <t>FLINT_CORPUS_CHRISTI</t>
        </is>
      </c>
      <c r="C430" s="28" t="n">
        <v>3</v>
      </c>
      <c r="D430" s="28" t="inlineStr">
        <is>
          <t>FCC</t>
        </is>
      </c>
      <c r="E430" s="28" t="inlineStr">
        <is>
          <t>FCC</t>
        </is>
      </c>
      <c r="F430" s="29" t="n">
        <v>105</v>
      </c>
      <c r="G430" s="30">
        <f>IFERROR(IF(INDEX(Effective!$E$3:$R$125,MATCH($B430,Effective!$A$3:$A$125,0),MATCH($D430,Effective!$E$2:$R$2,0))=0,"",INDEX(Effective!$E$3:$R$125,MATCH($B430,Effective!$A$3:$A$125,0),MATCH($D430,Effective!$E$2:$R$2,0))),"")</f>
        <v/>
      </c>
      <c r="H430" s="31" t="n"/>
      <c r="I430" s="17" t="inlineStr">
        <is>
          <t>override</t>
        </is>
      </c>
      <c r="J430" s="32" t="n">
        <v>0.897</v>
      </c>
      <c r="K430" s="33">
        <f>IF(AND(IF($I438&lt;&gt;"",$I438,$I430)="override",$J430&lt;&gt;""),$J430,SUMIFS(Assumptions!$K$4:$K$8,Assumptions!$J$4:$J$8,$C430))*Assumptions!$S$10*(1-MIN(1,MAX(N($H430),N($H438))))</f>
        <v/>
      </c>
      <c r="L430" s="32" t="n"/>
      <c r="M430" s="34">
        <f>IF(AND(IF($I438&lt;&gt;"",$I438,$I430)="override",$L430&lt;&gt;""),$L430,SUMIFS(Assumptions!$P$4:$P$103,Assumptions!$M$4:$M$103,$C430,Assumptions!$N$4:$N$103,$E430,Assumptions!$O$4:$O$103,"LVN"))</f>
        <v/>
      </c>
      <c r="N430" s="32" t="n"/>
      <c r="O430" s="34">
        <f>IF(AND(IF($I438&lt;&gt;"",$I438,$I430)="override",$N430&lt;&gt;""),$N430,SUMIFS(Assumptions!$P$4:$P$103,Assumptions!$M$4:$M$103,$C430,Assumptions!$N$4:$N$103,$E430,Assumptions!$O$4:$O$103,"HVN"))</f>
        <v/>
      </c>
      <c r="P430" s="34">
        <f>(M430+O430)*Assumptions!$S$11</f>
        <v/>
      </c>
      <c r="Q430" s="35">
        <f>$F430*$K430*$P430</f>
        <v/>
      </c>
    </row>
    <row r="431">
      <c r="A431" s="11" t="inlineStr">
        <is>
          <t>UNIT</t>
        </is>
      </c>
      <c r="B431" s="28" t="inlineStr">
        <is>
          <t>FLINT_CORPUS_CHRISTI</t>
        </is>
      </c>
      <c r="C431" s="28" t="n">
        <v>3</v>
      </c>
      <c r="D431" s="28" t="inlineStr">
        <is>
          <t>DHCU</t>
        </is>
      </c>
      <c r="E431" s="28" t="inlineStr">
        <is>
          <t>HYDROCRACKER</t>
        </is>
      </c>
      <c r="F431" s="29" t="n">
        <v>15</v>
      </c>
      <c r="G431" s="30">
        <f>IFERROR(IF(INDEX(Effective!$E$3:$R$125,MATCH($B431,Effective!$A$3:$A$125,0),MATCH($D431,Effective!$E$2:$R$2,0))=0,"",INDEX(Effective!$E$3:$R$125,MATCH($B431,Effective!$A$3:$A$125,0),MATCH($D431,Effective!$E$2:$R$2,0))),"")</f>
        <v/>
      </c>
      <c r="H431" s="31" t="n"/>
      <c r="I431" s="17" t="inlineStr">
        <is>
          <t>override</t>
        </is>
      </c>
      <c r="J431" s="32" t="n">
        <v>0.961</v>
      </c>
      <c r="K431" s="33">
        <f>IF(AND(IF($I438&lt;&gt;"",$I438,$I431)="override",$J431&lt;&gt;""),$J431,SUMIFS(Assumptions!$K$4:$K$8,Assumptions!$J$4:$J$8,$C431))*Assumptions!$S$10*(1-MIN(1,MAX(N($H431),N($H438))))</f>
        <v/>
      </c>
      <c r="L431" s="32" t="n"/>
      <c r="M431" s="34">
        <f>IF(AND(IF($I438&lt;&gt;"",$I438,$I431)="override",$L431&lt;&gt;""),$L431,SUMIFS(Assumptions!$P$4:$P$103,Assumptions!$M$4:$M$103,$C431,Assumptions!$N$4:$N$103,$E431,Assumptions!$O$4:$O$103,"LVN"))</f>
        <v/>
      </c>
      <c r="N431" s="32" t="n"/>
      <c r="O431" s="34">
        <f>IF(AND(IF($I438&lt;&gt;"",$I438,$I431)="override",$N431&lt;&gt;""),$N431,SUMIFS(Assumptions!$P$4:$P$103,Assumptions!$M$4:$M$103,$C431,Assumptions!$N$4:$N$103,$E431,Assumptions!$O$4:$O$103,"HVN"))</f>
        <v/>
      </c>
      <c r="P431" s="34">
        <f>(M431+O431)*Assumptions!$S$11</f>
        <v/>
      </c>
      <c r="Q431" s="35">
        <f>$F431*$K431*$P431</f>
        <v/>
      </c>
    </row>
    <row r="432">
      <c r="A432" s="11" t="inlineStr">
        <is>
          <t>UNIT</t>
        </is>
      </c>
      <c r="B432" s="28" t="inlineStr">
        <is>
          <t>FLINT_CORPUS_CHRISTI</t>
        </is>
      </c>
      <c r="C432" s="28" t="n">
        <v>3</v>
      </c>
      <c r="D432" s="28" t="inlineStr">
        <is>
          <t>COKER</t>
        </is>
      </c>
      <c r="E432" s="28" t="inlineStr">
        <is>
          <t>COKER</t>
        </is>
      </c>
      <c r="F432" s="29" t="n">
        <v>14.5</v>
      </c>
      <c r="G432" s="30">
        <f>IFERROR(IF(INDEX(Effective!$E$3:$R$125,MATCH($B432,Effective!$A$3:$A$125,0),MATCH($D432,Effective!$E$2:$R$2,0))=0,"",INDEX(Effective!$E$3:$R$125,MATCH($B432,Effective!$A$3:$A$125,0),MATCH($D432,Effective!$E$2:$R$2,0))),"")</f>
        <v/>
      </c>
      <c r="H432" s="31" t="n"/>
      <c r="I432" s="17" t="inlineStr">
        <is>
          <t>override</t>
        </is>
      </c>
      <c r="J432" s="32" t="n">
        <v>0.966</v>
      </c>
      <c r="K432" s="33">
        <f>IF(AND(IF($I438&lt;&gt;"",$I438,$I432)="override",$J432&lt;&gt;""),$J432,SUMIFS(Assumptions!$K$4:$K$8,Assumptions!$J$4:$J$8,$C432))*Assumptions!$S$10*(1-MIN(1,MAX(N($H432),N($H438))))</f>
        <v/>
      </c>
      <c r="L432" s="32" t="n"/>
      <c r="M432" s="34">
        <f>IF(AND(IF($I438&lt;&gt;"",$I438,$I432)="override",$L432&lt;&gt;""),$L432,SUMIFS(Assumptions!$P$4:$P$103,Assumptions!$M$4:$M$103,$C432,Assumptions!$N$4:$N$103,$E432,Assumptions!$O$4:$O$103,"LVN"))</f>
        <v/>
      </c>
      <c r="N432" s="32" t="n"/>
      <c r="O432" s="34">
        <f>IF(AND(IF($I438&lt;&gt;"",$I438,$I432)="override",$N432&lt;&gt;""),$N432,SUMIFS(Assumptions!$P$4:$P$103,Assumptions!$M$4:$M$103,$C432,Assumptions!$N$4:$N$103,$E432,Assumptions!$O$4:$O$103,"HVN"))</f>
        <v/>
      </c>
      <c r="P432" s="34">
        <f>(M432+O432)*Assumptions!$S$11</f>
        <v/>
      </c>
      <c r="Q432" s="35">
        <f>$F432*$K432*$P432</f>
        <v/>
      </c>
    </row>
    <row r="433">
      <c r="A433" s="11" t="inlineStr">
        <is>
          <t>UNIT</t>
        </is>
      </c>
      <c r="B433" s="28" t="inlineStr">
        <is>
          <t>FLINT_CORPUS_CHRISTI</t>
        </is>
      </c>
      <c r="C433" s="28" t="n">
        <v>3</v>
      </c>
      <c r="D433" s="28" t="inlineStr">
        <is>
          <t>CCR</t>
        </is>
      </c>
      <c r="E433" s="28" t="inlineStr">
        <is>
          <t>REFORMER</t>
        </is>
      </c>
      <c r="F433" s="29" t="n">
        <v>48</v>
      </c>
      <c r="G433" s="30">
        <f>IFERROR(IF(INDEX(Effective!$E$3:$R$125,MATCH($B433,Effective!$A$3:$A$125,0),MATCH($D433,Effective!$E$2:$R$2,0))=0,"",INDEX(Effective!$E$3:$R$125,MATCH($B433,Effective!$A$3:$A$125,0),MATCH($D433,Effective!$E$2:$R$2,0))),"")</f>
        <v/>
      </c>
      <c r="H433" s="31" t="n"/>
      <c r="I433" s="17" t="inlineStr">
        <is>
          <t>override</t>
        </is>
      </c>
      <c r="J433" s="32" t="n">
        <v>0.979</v>
      </c>
      <c r="K433" s="33">
        <f>IF(AND(IF($I438&lt;&gt;"",$I438,$I433)="override",$J433&lt;&gt;""),$J433,SUMIFS(Assumptions!$K$4:$K$8,Assumptions!$J$4:$J$8,$C433))*Assumptions!$S$10*(1-MIN(1,MAX(N($H433),N($H438))))</f>
        <v/>
      </c>
      <c r="L433" s="32" t="n"/>
      <c r="M433" s="34">
        <f>IF(AND(IF($I438&lt;&gt;"",$I438,$I433)="override",$L433&lt;&gt;""),$L433,SUMIFS(Assumptions!$P$4:$P$103,Assumptions!$M$4:$M$103,$C433,Assumptions!$N$4:$N$103,$E433,Assumptions!$O$4:$O$103,"LVN"))</f>
        <v/>
      </c>
      <c r="N433" s="32" t="n"/>
      <c r="O433" s="34">
        <f>IF(AND(IF($I438&lt;&gt;"",$I438,$I433)="override",$N433&lt;&gt;""),$N433,SUMIFS(Assumptions!$P$4:$P$103,Assumptions!$M$4:$M$103,$C433,Assumptions!$N$4:$N$103,$E433,Assumptions!$O$4:$O$103,"HVN"))</f>
        <v/>
      </c>
      <c r="P433" s="34">
        <f>(M433+O433)*Assumptions!$S$11</f>
        <v/>
      </c>
      <c r="Q433" s="35">
        <f>$F433*$K433*$P433</f>
        <v/>
      </c>
    </row>
    <row r="434">
      <c r="A434" s="11" t="inlineStr">
        <is>
          <t>UNIT</t>
        </is>
      </c>
      <c r="B434" s="28" t="inlineStr">
        <is>
          <t>FLINT_CORPUS_CHRISTI</t>
        </is>
      </c>
      <c r="C434" s="28" t="n">
        <v>3</v>
      </c>
      <c r="D434" s="28" t="inlineStr">
        <is>
          <t>REF</t>
        </is>
      </c>
      <c r="E434" s="28" t="inlineStr">
        <is>
          <t>REFORMER</t>
        </is>
      </c>
      <c r="F434" s="29" t="n">
        <v>17</v>
      </c>
      <c r="G434" s="30">
        <f>IFERROR(IF(INDEX(Effective!$E$3:$R$125,MATCH($B434,Effective!$A$3:$A$125,0),MATCH($D434,Effective!$E$2:$R$2,0))=0,"",INDEX(Effective!$E$3:$R$125,MATCH($B434,Effective!$A$3:$A$125,0),MATCH($D434,Effective!$E$2:$R$2,0))),"")</f>
        <v/>
      </c>
      <c r="H434" s="31" t="n"/>
      <c r="I434" s="17" t="inlineStr">
        <is>
          <t>override</t>
        </is>
      </c>
      <c r="J434" s="32" t="n">
        <v>0.988</v>
      </c>
      <c r="K434" s="33">
        <f>IF(AND(IF($I438&lt;&gt;"",$I438,$I434)="override",$J434&lt;&gt;""),$J434,SUMIFS(Assumptions!$K$4:$K$8,Assumptions!$J$4:$J$8,$C434))*Assumptions!$S$10*(1-MIN(1,MAX(N($H434),N($H438))))</f>
        <v/>
      </c>
      <c r="L434" s="32" t="n"/>
      <c r="M434" s="34">
        <f>IF(AND(IF($I438&lt;&gt;"",$I438,$I434)="override",$L434&lt;&gt;""),$L434,SUMIFS(Assumptions!$P$4:$P$103,Assumptions!$M$4:$M$103,$C434,Assumptions!$N$4:$N$103,$E434,Assumptions!$O$4:$O$103,"LVN"))</f>
        <v/>
      </c>
      <c r="N434" s="32" t="n"/>
      <c r="O434" s="34">
        <f>IF(AND(IF($I438&lt;&gt;"",$I438,$I434)="override",$N434&lt;&gt;""),$N434,SUMIFS(Assumptions!$P$4:$P$103,Assumptions!$M$4:$M$103,$C434,Assumptions!$N$4:$N$103,$E434,Assumptions!$O$4:$O$103,"HVN"))</f>
        <v/>
      </c>
      <c r="P434" s="34">
        <f>(M434+O434)*Assumptions!$S$11</f>
        <v/>
      </c>
      <c r="Q434" s="35">
        <f>$F434*$K434*$P434</f>
        <v/>
      </c>
    </row>
    <row r="435">
      <c r="A435" s="11" t="inlineStr">
        <is>
          <t>UNIT</t>
        </is>
      </c>
      <c r="B435" s="28" t="inlineStr">
        <is>
          <t>FLINT_CORPUS_CHRISTI</t>
        </is>
      </c>
      <c r="C435" s="28" t="n">
        <v>3</v>
      </c>
      <c r="D435" s="28" t="inlineStr">
        <is>
          <t>ISOM</t>
        </is>
      </c>
      <c r="E435" s="28" t="inlineStr">
        <is>
          <t>ISOM</t>
        </is>
      </c>
      <c r="F435" s="29" t="n">
        <v>3.5</v>
      </c>
      <c r="G435" s="30">
        <f>IFERROR(IF(INDEX(Effective!$E$3:$R$125,MATCH($B435,Effective!$A$3:$A$125,0),MATCH($D435,Effective!$E$2:$R$2,0))=0,"",INDEX(Effective!$E$3:$R$125,MATCH($B435,Effective!$A$3:$A$125,0),MATCH($D435,Effective!$E$2:$R$2,0))),"")</f>
        <v/>
      </c>
      <c r="H435" s="31" t="n"/>
      <c r="I435" s="17" t="inlineStr">
        <is>
          <t>override</t>
        </is>
      </c>
      <c r="J435" s="32" t="n">
        <v>0.971</v>
      </c>
      <c r="K435" s="33">
        <f>IF(AND(IF($I438&lt;&gt;"",$I438,$I435)="override",$J435&lt;&gt;""),$J435,SUMIFS(Assumptions!$K$4:$K$8,Assumptions!$J$4:$J$8,$C435))*Assumptions!$S$10*(1-MIN(1,MAX(N($H435),N($H438))))</f>
        <v/>
      </c>
      <c r="L435" s="32" t="n"/>
      <c r="M435" s="34">
        <f>IF(AND(IF($I438&lt;&gt;"",$I438,$I435)="override",$L435&lt;&gt;""),$L435,SUMIFS(Assumptions!$P$4:$P$103,Assumptions!$M$4:$M$103,$C435,Assumptions!$N$4:$N$103,$E435,Assumptions!$O$4:$O$103,"LVN"))</f>
        <v/>
      </c>
      <c r="N435" s="32" t="n"/>
      <c r="O435" s="34">
        <f>IF(AND(IF($I438&lt;&gt;"",$I438,$I435)="override",$N435&lt;&gt;""),$N435,SUMIFS(Assumptions!$P$4:$P$103,Assumptions!$M$4:$M$103,$C435,Assumptions!$N$4:$N$103,$E435,Assumptions!$O$4:$O$103,"HVN"))</f>
        <v/>
      </c>
      <c r="P435" s="34">
        <f>(M435+O435)*Assumptions!$S$11</f>
        <v/>
      </c>
      <c r="Q435" s="35">
        <f>$F435*$K435*$P435</f>
        <v/>
      </c>
    </row>
    <row r="436">
      <c r="A436" s="11" t="inlineStr">
        <is>
          <t>UNIT</t>
        </is>
      </c>
      <c r="B436" s="28" t="inlineStr">
        <is>
          <t>FLINT_CORPUS_CHRISTI</t>
        </is>
      </c>
      <c r="C436" s="28" t="n">
        <v>3</v>
      </c>
      <c r="D436" s="28" t="inlineStr">
        <is>
          <t>ALKY</t>
        </is>
      </c>
      <c r="E436" s="28" t="inlineStr">
        <is>
          <t>ALKY</t>
        </is>
      </c>
      <c r="F436" s="29" t="n">
        <v>15.5</v>
      </c>
      <c r="G436" s="30">
        <f>IFERROR(IF(INDEX(Effective!$E$3:$R$125,MATCH($B436,Effective!$A$3:$A$125,0),MATCH($D436,Effective!$E$2:$R$2,0))=0,"",INDEX(Effective!$E$3:$R$125,MATCH($B436,Effective!$A$3:$A$125,0),MATCH($D436,Effective!$E$2:$R$2,0))),"")</f>
        <v/>
      </c>
      <c r="H436" s="31" t="n"/>
      <c r="I436" s="17" t="inlineStr">
        <is>
          <t>override</t>
        </is>
      </c>
      <c r="J436" s="32" t="n">
        <v>1.1</v>
      </c>
      <c r="K436" s="33">
        <f>IF(AND(IF($I438&lt;&gt;"",$I438,$I436)="override",$J436&lt;&gt;""),$J436,SUMIFS(Assumptions!$K$4:$K$8,Assumptions!$J$4:$J$8,$C436))*Assumptions!$S$10*(1-MIN(1,MAX(N($H436),N($H438))))</f>
        <v/>
      </c>
      <c r="L436" s="32" t="n"/>
      <c r="M436" s="34">
        <f>IF(AND(IF($I438&lt;&gt;"",$I438,$I436)="override",$L436&lt;&gt;""),$L436,SUMIFS(Assumptions!$P$4:$P$103,Assumptions!$M$4:$M$103,$C436,Assumptions!$N$4:$N$103,$E436,Assumptions!$O$4:$O$103,"LVN"))</f>
        <v/>
      </c>
      <c r="N436" s="32" t="n"/>
      <c r="O436" s="34">
        <f>IF(AND(IF($I438&lt;&gt;"",$I438,$I436)="override",$N436&lt;&gt;""),$N436,SUMIFS(Assumptions!$P$4:$P$103,Assumptions!$M$4:$M$103,$C436,Assumptions!$N$4:$N$103,$E436,Assumptions!$O$4:$O$103,"HVN"))</f>
        <v/>
      </c>
      <c r="P436" s="34">
        <f>(M436+O436)*Assumptions!$S$11</f>
        <v/>
      </c>
      <c r="Q436" s="35">
        <f>$F436*$K436*$P436</f>
        <v/>
      </c>
    </row>
    <row r="437">
      <c r="A437" s="11" t="inlineStr">
        <is>
          <t>UNIT</t>
        </is>
      </c>
      <c r="B437" s="28" t="inlineStr">
        <is>
          <t>FLINT_CORPUS_CHRISTI</t>
        </is>
      </c>
      <c r="C437" s="28" t="n">
        <v>3</v>
      </c>
      <c r="D437" s="28" t="inlineStr">
        <is>
          <t>NHT</t>
        </is>
      </c>
      <c r="E437" s="28" t="inlineStr">
        <is>
          <t>NHT</t>
        </is>
      </c>
      <c r="F437" s="29" t="n">
        <v>93</v>
      </c>
      <c r="G437" s="30">
        <f>IFERROR(IF(INDEX(Effective!$E$3:$R$125,MATCH($B437,Effective!$A$3:$A$125,0),MATCH($D437,Effective!$E$2:$R$2,0))=0,"",INDEX(Effective!$E$3:$R$125,MATCH($B437,Effective!$A$3:$A$125,0),MATCH($D437,Effective!$E$2:$R$2,0))),"")</f>
        <v/>
      </c>
      <c r="H437" s="31" t="n"/>
      <c r="I437" s="17" t="inlineStr">
        <is>
          <t>override</t>
        </is>
      </c>
      <c r="J437" s="32" t="n">
        <v>0.985</v>
      </c>
      <c r="K437" s="33">
        <f>IF(AND(IF($I438&lt;&gt;"",$I438,$I437)="override",$J437&lt;&gt;""),$J437,SUMIFS(Assumptions!$K$4:$K$8,Assumptions!$J$4:$J$8,$C437))*Assumptions!$S$10*(1-MIN(1,MAX(N($H437),N($H438))))</f>
        <v/>
      </c>
      <c r="L437" s="32" t="n"/>
      <c r="M437" s="34">
        <f>IF(AND(IF($I438&lt;&gt;"",$I438,$I437)="override",$L437&lt;&gt;""),$L437,SUMIFS(Assumptions!$P$4:$P$103,Assumptions!$M$4:$M$103,$C437,Assumptions!$N$4:$N$103,$E437,Assumptions!$O$4:$O$103,"LVN"))</f>
        <v/>
      </c>
      <c r="N437" s="32" t="n"/>
      <c r="O437" s="34">
        <f>IF(AND(IF($I438&lt;&gt;"",$I438,$I437)="override",$N437&lt;&gt;""),$N437,SUMIFS(Assumptions!$P$4:$P$103,Assumptions!$M$4:$M$103,$C437,Assumptions!$N$4:$N$103,$E437,Assumptions!$O$4:$O$103,"HVN"))</f>
        <v/>
      </c>
      <c r="P437" s="34">
        <f>(M437+O437)*Assumptions!$S$11</f>
        <v/>
      </c>
      <c r="Q437" s="35">
        <f>$F437*$K437*$P437</f>
        <v/>
      </c>
    </row>
    <row r="438">
      <c r="A438" s="24" t="inlineStr">
        <is>
          <t>TOTAL</t>
        </is>
      </c>
      <c r="B438" s="36" t="inlineStr">
        <is>
          <t>FLINT_CORPUS_CHRISTI</t>
        </is>
      </c>
      <c r="C438" s="36" t="n">
        <v>3</v>
      </c>
      <c r="D438" s="36" t="inlineStr">
        <is>
          <t>NET NAPHTHA</t>
        </is>
      </c>
      <c r="H438" s="31" t="n"/>
      <c r="I438" s="17" t="n"/>
      <c r="Q438" s="37">
        <f>SUM(Q428:Q437)</f>
        <v/>
      </c>
    </row>
    <row r="440" ht="20" customHeight="1">
      <c r="A440" s="8">
        <f>"  Valero Corpus Christi  [VALERO_CORPUS_CHRISTI]   —   Valero   —   PADD 3   —   crude "&amp;TEXT(SUMIFS(Data!$G$3:$G$125,Data!$A$3:$A$125,"VALERO_CORPUS_CHRISTI"),"#,##0")&amp;" kbd"</f>
        <v/>
      </c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</row>
    <row r="441">
      <c r="A441" s="11" t="inlineStr">
        <is>
          <t>UNIT</t>
        </is>
      </c>
      <c r="B441" s="28" t="inlineStr">
        <is>
          <t>VALERO_CORPUS_CHRISTI</t>
        </is>
      </c>
      <c r="C441" s="28" t="n">
        <v>3</v>
      </c>
      <c r="D441" s="28" t="inlineStr">
        <is>
          <t>CDU</t>
        </is>
      </c>
      <c r="E441" s="28" t="inlineStr">
        <is>
          <t>CDU</t>
        </is>
      </c>
      <c r="F441" s="29" t="n">
        <v>297</v>
      </c>
      <c r="G441" s="30">
        <f>IFERROR(IF(INDEX(Effective!$E$3:$R$125,MATCH($B441,Effective!$A$3:$A$125,0),MATCH($D441,Effective!$E$2:$R$2,0))=0,"",INDEX(Effective!$E$3:$R$125,MATCH($B441,Effective!$A$3:$A$125,0),MATCH($D441,Effective!$E$2:$R$2,0))),"")</f>
        <v/>
      </c>
      <c r="H441" s="31" t="n"/>
      <c r="I441" s="17" t="inlineStr">
        <is>
          <t>override</t>
        </is>
      </c>
      <c r="J441" s="32" t="n">
        <v>0.837</v>
      </c>
      <c r="K441" s="33">
        <f>IF(AND(IF($I452&lt;&gt;"",$I452,$I441)="override",$J441&lt;&gt;""),$J441,SUMIFS(Assumptions!$K$4:$K$8,Assumptions!$J$4:$J$8,$C441))*Assumptions!$S$10*(1-MIN(1,MAX(N($H441),N($H452))))</f>
        <v/>
      </c>
      <c r="L441" s="32" t="n"/>
      <c r="M441" s="34">
        <f>IF(AND(IF($I452&lt;&gt;"",$I452,$I441)="override",$L441&lt;&gt;""),$L441,SUMIFS(Assumptions!$P$4:$P$103,Assumptions!$M$4:$M$103,$C441,Assumptions!$N$4:$N$103,$E441,Assumptions!$O$4:$O$103,"LVN"))</f>
        <v/>
      </c>
      <c r="N441" s="32" t="n"/>
      <c r="O441" s="34">
        <f>IF(AND(IF($I452&lt;&gt;"",$I452,$I441)="override",$N441&lt;&gt;""),$N441,SUMIFS(Assumptions!$P$4:$P$103,Assumptions!$M$4:$M$103,$C441,Assumptions!$N$4:$N$103,$E441,Assumptions!$O$4:$O$103,"HVN"))</f>
        <v/>
      </c>
      <c r="P441" s="34">
        <f>(M441+O441)*Assumptions!$S$11</f>
        <v/>
      </c>
      <c r="Q441" s="35">
        <f>$F441*$K441*$P441</f>
        <v/>
      </c>
    </row>
    <row r="442">
      <c r="A442" s="11" t="inlineStr">
        <is>
          <t>UNIT</t>
        </is>
      </c>
      <c r="B442" s="28" t="inlineStr">
        <is>
          <t>VALERO_CORPUS_CHRISTI</t>
        </is>
      </c>
      <c r="C442" s="28" t="n">
        <v>3</v>
      </c>
      <c r="D442" s="28" t="inlineStr">
        <is>
          <t>VDU</t>
        </is>
      </c>
      <c r="E442" s="28" t="inlineStr">
        <is>
          <t>VDU</t>
        </is>
      </c>
      <c r="F442" s="29" t="n">
        <v>91</v>
      </c>
      <c r="G442" s="30">
        <f>IFERROR(IF(INDEX(Effective!$E$3:$R$125,MATCH($B442,Effective!$A$3:$A$125,0),MATCH($D442,Effective!$E$2:$R$2,0))=0,"",INDEX(Effective!$E$3:$R$125,MATCH($B442,Effective!$A$3:$A$125,0),MATCH($D442,Effective!$E$2:$R$2,0))),"")</f>
        <v/>
      </c>
      <c r="H442" s="31" t="n"/>
      <c r="I442" s="17" t="inlineStr">
        <is>
          <t>override</t>
        </is>
      </c>
      <c r="J442" s="32" t="n">
        <v>0.601</v>
      </c>
      <c r="K442" s="33">
        <f>IF(AND(IF($I452&lt;&gt;"",$I452,$I442)="override",$J442&lt;&gt;""),$J442,SUMIFS(Assumptions!$K$4:$K$8,Assumptions!$J$4:$J$8,$C442))*Assumptions!$S$10*(1-MIN(1,MAX(N($H442),N($H452))))</f>
        <v/>
      </c>
      <c r="L442" s="32" t="n"/>
      <c r="M442" s="34">
        <f>IF(AND(IF($I452&lt;&gt;"",$I452,$I442)="override",$L442&lt;&gt;""),$L442,SUMIFS(Assumptions!$P$4:$P$103,Assumptions!$M$4:$M$103,$C442,Assumptions!$N$4:$N$103,$E442,Assumptions!$O$4:$O$103,"LVN"))</f>
        <v/>
      </c>
      <c r="N442" s="32" t="n"/>
      <c r="O442" s="34">
        <f>IF(AND(IF($I452&lt;&gt;"",$I452,$I442)="override",$N442&lt;&gt;""),$N442,SUMIFS(Assumptions!$P$4:$P$103,Assumptions!$M$4:$M$103,$C442,Assumptions!$N$4:$N$103,$E442,Assumptions!$O$4:$O$103,"HVN"))</f>
        <v/>
      </c>
      <c r="P442" s="34">
        <f>(M442+O442)*Assumptions!$S$11</f>
        <v/>
      </c>
      <c r="Q442" s="35">
        <f>$F442*$K442*$P442</f>
        <v/>
      </c>
    </row>
    <row r="443">
      <c r="A443" s="11" t="inlineStr">
        <is>
          <t>UNIT</t>
        </is>
      </c>
      <c r="B443" s="28" t="inlineStr">
        <is>
          <t>VALERO_CORPUS_CHRISTI</t>
        </is>
      </c>
      <c r="C443" s="28" t="n">
        <v>3</v>
      </c>
      <c r="D443" s="28" t="inlineStr">
        <is>
          <t>FCC</t>
        </is>
      </c>
      <c r="E443" s="28" t="inlineStr">
        <is>
          <t>FCC</t>
        </is>
      </c>
      <c r="F443" s="29" t="n">
        <v>25.5</v>
      </c>
      <c r="G443" s="30">
        <f>IFERROR(IF(INDEX(Effective!$E$3:$R$125,MATCH($B443,Effective!$A$3:$A$125,0),MATCH($D443,Effective!$E$2:$R$2,0))=0,"",INDEX(Effective!$E$3:$R$125,MATCH($B443,Effective!$A$3:$A$125,0),MATCH($D443,Effective!$E$2:$R$2,0))),"")</f>
        <v/>
      </c>
      <c r="H443" s="31" t="n"/>
      <c r="I443" s="17" t="inlineStr">
        <is>
          <t>override</t>
        </is>
      </c>
      <c r="J443" s="32" t="n"/>
      <c r="K443" s="33">
        <f>IF(AND(IF($I452&lt;&gt;"",$I452,$I443)="override",$J443&lt;&gt;""),$J443,SUMIFS(Assumptions!$K$4:$K$8,Assumptions!$J$4:$J$8,$C443))*Assumptions!$S$10*(1-MIN(1,MAX(N($H443),N($H452))))</f>
        <v/>
      </c>
      <c r="L443" s="32" t="n"/>
      <c r="M443" s="34">
        <f>IF(AND(IF($I452&lt;&gt;"",$I452,$I443)="override",$L443&lt;&gt;""),$L443,SUMIFS(Assumptions!$P$4:$P$103,Assumptions!$M$4:$M$103,$C443,Assumptions!$N$4:$N$103,$E443,Assumptions!$O$4:$O$103,"LVN"))</f>
        <v/>
      </c>
      <c r="N443" s="32" t="n"/>
      <c r="O443" s="34">
        <f>IF(AND(IF($I452&lt;&gt;"",$I452,$I443)="override",$N443&lt;&gt;""),$N443,SUMIFS(Assumptions!$P$4:$P$103,Assumptions!$M$4:$M$103,$C443,Assumptions!$N$4:$N$103,$E443,Assumptions!$O$4:$O$103,"HVN"))</f>
        <v/>
      </c>
      <c r="P443" s="34">
        <f>(M443+O443)*Assumptions!$S$11</f>
        <v/>
      </c>
      <c r="Q443" s="35">
        <f>$F443*$K443*$P443</f>
        <v/>
      </c>
    </row>
    <row r="444">
      <c r="A444" s="11" t="inlineStr">
        <is>
          <t>UNIT</t>
        </is>
      </c>
      <c r="B444" s="28" t="inlineStr">
        <is>
          <t>VALERO_CORPUS_CHRISTI</t>
        </is>
      </c>
      <c r="C444" s="28" t="n">
        <v>3</v>
      </c>
      <c r="D444" s="28" t="inlineStr">
        <is>
          <t>RCC</t>
        </is>
      </c>
      <c r="E444" s="28" t="inlineStr">
        <is>
          <t>FCC</t>
        </is>
      </c>
      <c r="F444" s="29" t="n">
        <v>70</v>
      </c>
      <c r="G444" s="30">
        <f>IFERROR(IF(INDEX(Effective!$E$3:$R$125,MATCH($B444,Effective!$A$3:$A$125,0),MATCH($D444,Effective!$E$2:$R$2,0))=0,"",INDEX(Effective!$E$3:$R$125,MATCH($B444,Effective!$A$3:$A$125,0),MATCH($D444,Effective!$E$2:$R$2,0))),"")</f>
        <v/>
      </c>
      <c r="H444" s="31" t="n"/>
      <c r="I444" s="17" t="inlineStr">
        <is>
          <t>override</t>
        </is>
      </c>
      <c r="J444" s="32" t="n">
        <v>0.96</v>
      </c>
      <c r="K444" s="33">
        <f>IF(AND(IF($I452&lt;&gt;"",$I452,$I444)="override",$J444&lt;&gt;""),$J444,SUMIFS(Assumptions!$K$4:$K$8,Assumptions!$J$4:$J$8,$C444))*Assumptions!$S$10*(1-MIN(1,MAX(N($H444),N($H452))))</f>
        <v/>
      </c>
      <c r="L444" s="32" t="n"/>
      <c r="M444" s="34">
        <f>IF(AND(IF($I452&lt;&gt;"",$I452,$I444)="override",$L444&lt;&gt;""),$L444,SUMIFS(Assumptions!$P$4:$P$103,Assumptions!$M$4:$M$103,$C444,Assumptions!$N$4:$N$103,$E444,Assumptions!$O$4:$O$103,"LVN"))</f>
        <v/>
      </c>
      <c r="N444" s="32" t="n"/>
      <c r="O444" s="34">
        <f>IF(AND(IF($I452&lt;&gt;"",$I452,$I444)="override",$N444&lt;&gt;""),$N444,SUMIFS(Assumptions!$P$4:$P$103,Assumptions!$M$4:$M$103,$C444,Assumptions!$N$4:$N$103,$E444,Assumptions!$O$4:$O$103,"HVN"))</f>
        <v/>
      </c>
      <c r="P444" s="34">
        <f>(M444+O444)*Assumptions!$S$11</f>
        <v/>
      </c>
      <c r="Q444" s="35">
        <f>$F444*$K444*$P444</f>
        <v/>
      </c>
    </row>
    <row r="445">
      <c r="A445" s="11" t="inlineStr">
        <is>
          <t>UNIT</t>
        </is>
      </c>
      <c r="B445" s="28" t="inlineStr">
        <is>
          <t>VALERO_CORPUS_CHRISTI</t>
        </is>
      </c>
      <c r="C445" s="28" t="n">
        <v>3</v>
      </c>
      <c r="D445" s="28" t="inlineStr">
        <is>
          <t>DHCU</t>
        </is>
      </c>
      <c r="E445" s="28" t="inlineStr">
        <is>
          <t>HYDROCRACKER</t>
        </is>
      </c>
      <c r="F445" s="29" t="n">
        <v>51</v>
      </c>
      <c r="G445" s="30">
        <f>IFERROR(IF(INDEX(Effective!$E$3:$R$125,MATCH($B445,Effective!$A$3:$A$125,0),MATCH($D445,Effective!$E$2:$R$2,0))=0,"",INDEX(Effective!$E$3:$R$125,MATCH($B445,Effective!$A$3:$A$125,0),MATCH($D445,Effective!$E$2:$R$2,0))),"")</f>
        <v/>
      </c>
      <c r="H445" s="31" t="n"/>
      <c r="I445" s="17" t="inlineStr">
        <is>
          <t>override</t>
        </is>
      </c>
      <c r="J445" s="32" t="n">
        <v>0.984</v>
      </c>
      <c r="K445" s="33">
        <f>IF(AND(IF($I452&lt;&gt;"",$I452,$I445)="override",$J445&lt;&gt;""),$J445,SUMIFS(Assumptions!$K$4:$K$8,Assumptions!$J$4:$J$8,$C445))*Assumptions!$S$10*(1-MIN(1,MAX(N($H445),N($H452))))</f>
        <v/>
      </c>
      <c r="L445" s="32" t="n"/>
      <c r="M445" s="34">
        <f>IF(AND(IF($I452&lt;&gt;"",$I452,$I445)="override",$L445&lt;&gt;""),$L445,SUMIFS(Assumptions!$P$4:$P$103,Assumptions!$M$4:$M$103,$C445,Assumptions!$N$4:$N$103,$E445,Assumptions!$O$4:$O$103,"LVN"))</f>
        <v/>
      </c>
      <c r="N445" s="32" t="n"/>
      <c r="O445" s="34">
        <f>IF(AND(IF($I452&lt;&gt;"",$I452,$I445)="override",$N445&lt;&gt;""),$N445,SUMIFS(Assumptions!$P$4:$P$103,Assumptions!$M$4:$M$103,$C445,Assumptions!$N$4:$N$103,$E445,Assumptions!$O$4:$O$103,"HVN"))</f>
        <v/>
      </c>
      <c r="P445" s="34">
        <f>(M445+O445)*Assumptions!$S$11</f>
        <v/>
      </c>
      <c r="Q445" s="35">
        <f>$F445*$K445*$P445</f>
        <v/>
      </c>
    </row>
    <row r="446">
      <c r="A446" s="11" t="inlineStr">
        <is>
          <t>UNIT</t>
        </is>
      </c>
      <c r="B446" s="28" t="inlineStr">
        <is>
          <t>VALERO_CORPUS_CHRISTI</t>
        </is>
      </c>
      <c r="C446" s="28" t="n">
        <v>3</v>
      </c>
      <c r="D446" s="28" t="inlineStr">
        <is>
          <t>COKER</t>
        </is>
      </c>
      <c r="E446" s="28" t="inlineStr">
        <is>
          <t>COKER</t>
        </is>
      </c>
      <c r="F446" s="29" t="n">
        <v>19</v>
      </c>
      <c r="G446" s="30">
        <f>IFERROR(IF(INDEX(Effective!$E$3:$R$125,MATCH($B446,Effective!$A$3:$A$125,0),MATCH($D446,Effective!$E$2:$R$2,0))=0,"",INDEX(Effective!$E$3:$R$125,MATCH($B446,Effective!$A$3:$A$125,0),MATCH($D446,Effective!$E$2:$R$2,0))),"")</f>
        <v/>
      </c>
      <c r="H446" s="31" t="n"/>
      <c r="I446" s="17" t="inlineStr">
        <is>
          <t>override</t>
        </is>
      </c>
      <c r="J446" s="32" t="n">
        <v>0.983</v>
      </c>
      <c r="K446" s="33">
        <f>IF(AND(IF($I452&lt;&gt;"",$I452,$I446)="override",$J446&lt;&gt;""),$J446,SUMIFS(Assumptions!$K$4:$K$8,Assumptions!$J$4:$J$8,$C446))*Assumptions!$S$10*(1-MIN(1,MAX(N($H446),N($H452))))</f>
        <v/>
      </c>
      <c r="L446" s="32" t="n"/>
      <c r="M446" s="34">
        <f>IF(AND(IF($I452&lt;&gt;"",$I452,$I446)="override",$L446&lt;&gt;""),$L446,SUMIFS(Assumptions!$P$4:$P$103,Assumptions!$M$4:$M$103,$C446,Assumptions!$N$4:$N$103,$E446,Assumptions!$O$4:$O$103,"LVN"))</f>
        <v/>
      </c>
      <c r="N446" s="32" t="n"/>
      <c r="O446" s="34">
        <f>IF(AND(IF($I452&lt;&gt;"",$I452,$I446)="override",$N446&lt;&gt;""),$N446,SUMIFS(Assumptions!$P$4:$P$103,Assumptions!$M$4:$M$103,$C446,Assumptions!$N$4:$N$103,$E446,Assumptions!$O$4:$O$103,"HVN"))</f>
        <v/>
      </c>
      <c r="P446" s="34">
        <f>(M446+O446)*Assumptions!$S$11</f>
        <v/>
      </c>
      <c r="Q446" s="35">
        <f>$F446*$K446*$P446</f>
        <v/>
      </c>
    </row>
    <row r="447">
      <c r="A447" s="11" t="inlineStr">
        <is>
          <t>UNIT</t>
        </is>
      </c>
      <c r="B447" s="28" t="inlineStr">
        <is>
          <t>VALERO_CORPUS_CHRISTI</t>
        </is>
      </c>
      <c r="C447" s="28" t="n">
        <v>3</v>
      </c>
      <c r="D447" s="28" t="inlineStr">
        <is>
          <t>CCR</t>
        </is>
      </c>
      <c r="E447" s="28" t="inlineStr">
        <is>
          <t>REFORMER</t>
        </is>
      </c>
      <c r="F447" s="29" t="n">
        <v>39</v>
      </c>
      <c r="G447" s="30">
        <f>IFERROR(IF(INDEX(Effective!$E$3:$R$125,MATCH($B447,Effective!$A$3:$A$125,0),MATCH($D447,Effective!$E$2:$R$2,0))=0,"",INDEX(Effective!$E$3:$R$125,MATCH($B447,Effective!$A$3:$A$125,0),MATCH($D447,Effective!$E$2:$R$2,0))),"")</f>
        <v/>
      </c>
      <c r="H447" s="31" t="n"/>
      <c r="I447" s="17" t="inlineStr">
        <is>
          <t>override</t>
        </is>
      </c>
      <c r="J447" s="32" t="n">
        <v>1.1</v>
      </c>
      <c r="K447" s="33">
        <f>IF(AND(IF($I452&lt;&gt;"",$I452,$I447)="override",$J447&lt;&gt;""),$J447,SUMIFS(Assumptions!$K$4:$K$8,Assumptions!$J$4:$J$8,$C447))*Assumptions!$S$10*(1-MIN(1,MAX(N($H447),N($H452))))</f>
        <v/>
      </c>
      <c r="L447" s="32" t="n"/>
      <c r="M447" s="34">
        <f>IF(AND(IF($I452&lt;&gt;"",$I452,$I447)="override",$L447&lt;&gt;""),$L447,SUMIFS(Assumptions!$P$4:$P$103,Assumptions!$M$4:$M$103,$C447,Assumptions!$N$4:$N$103,$E447,Assumptions!$O$4:$O$103,"LVN"))</f>
        <v/>
      </c>
      <c r="N447" s="32" t="n"/>
      <c r="O447" s="34">
        <f>IF(AND(IF($I452&lt;&gt;"",$I452,$I447)="override",$N447&lt;&gt;""),$N447,SUMIFS(Assumptions!$P$4:$P$103,Assumptions!$M$4:$M$103,$C447,Assumptions!$N$4:$N$103,$E447,Assumptions!$O$4:$O$103,"HVN"))</f>
        <v/>
      </c>
      <c r="P447" s="34">
        <f>(M447+O447)*Assumptions!$S$11</f>
        <v/>
      </c>
      <c r="Q447" s="35">
        <f>$F447*$K447*$P447</f>
        <v/>
      </c>
    </row>
    <row r="448">
      <c r="A448" s="11" t="inlineStr">
        <is>
          <t>UNIT</t>
        </is>
      </c>
      <c r="B448" s="28" t="inlineStr">
        <is>
          <t>VALERO_CORPUS_CHRISTI</t>
        </is>
      </c>
      <c r="C448" s="28" t="n">
        <v>3</v>
      </c>
      <c r="D448" s="28" t="inlineStr">
        <is>
          <t>REF</t>
        </is>
      </c>
      <c r="E448" s="28" t="inlineStr">
        <is>
          <t>REFORMER</t>
        </is>
      </c>
      <c r="F448" s="29" t="n">
        <v>11</v>
      </c>
      <c r="G448" s="30">
        <f>IFERROR(IF(INDEX(Effective!$E$3:$R$125,MATCH($B448,Effective!$A$3:$A$125,0),MATCH($D448,Effective!$E$2:$R$2,0))=0,"",INDEX(Effective!$E$3:$R$125,MATCH($B448,Effective!$A$3:$A$125,0),MATCH($D448,Effective!$E$2:$R$2,0))),"")</f>
        <v/>
      </c>
      <c r="H448" s="31" t="n"/>
      <c r="I448" s="17" t="inlineStr">
        <is>
          <t>override</t>
        </is>
      </c>
      <c r="J448" s="32" t="n"/>
      <c r="K448" s="33">
        <f>IF(AND(IF($I452&lt;&gt;"",$I452,$I448)="override",$J448&lt;&gt;""),$J448,SUMIFS(Assumptions!$K$4:$K$8,Assumptions!$J$4:$J$8,$C448))*Assumptions!$S$10*(1-MIN(1,MAX(N($H448),N($H452))))</f>
        <v/>
      </c>
      <c r="L448" s="32" t="n"/>
      <c r="M448" s="34">
        <f>IF(AND(IF($I452&lt;&gt;"",$I452,$I448)="override",$L448&lt;&gt;""),$L448,SUMIFS(Assumptions!$P$4:$P$103,Assumptions!$M$4:$M$103,$C448,Assumptions!$N$4:$N$103,$E448,Assumptions!$O$4:$O$103,"LVN"))</f>
        <v/>
      </c>
      <c r="N448" s="32" t="n"/>
      <c r="O448" s="34">
        <f>IF(AND(IF($I452&lt;&gt;"",$I452,$I448)="override",$N448&lt;&gt;""),$N448,SUMIFS(Assumptions!$P$4:$P$103,Assumptions!$M$4:$M$103,$C448,Assumptions!$N$4:$N$103,$E448,Assumptions!$O$4:$O$103,"HVN"))</f>
        <v/>
      </c>
      <c r="P448" s="34">
        <f>(M448+O448)*Assumptions!$S$11</f>
        <v/>
      </c>
      <c r="Q448" s="35">
        <f>$F448*$K448*$P448</f>
        <v/>
      </c>
    </row>
    <row r="449">
      <c r="A449" s="11" t="inlineStr">
        <is>
          <t>UNIT</t>
        </is>
      </c>
      <c r="B449" s="28" t="inlineStr">
        <is>
          <t>VALERO_CORPUS_CHRISTI</t>
        </is>
      </c>
      <c r="C449" s="28" t="n">
        <v>3</v>
      </c>
      <c r="D449" s="28" t="inlineStr">
        <is>
          <t>ISOM</t>
        </is>
      </c>
      <c r="E449" s="28" t="inlineStr">
        <is>
          <t>ISOM</t>
        </is>
      </c>
      <c r="F449" s="29" t="n">
        <v>12</v>
      </c>
      <c r="G449" s="30">
        <f>IFERROR(IF(INDEX(Effective!$E$3:$R$125,MATCH($B449,Effective!$A$3:$A$125,0),MATCH($D449,Effective!$E$2:$R$2,0))=0,"",INDEX(Effective!$E$3:$R$125,MATCH($B449,Effective!$A$3:$A$125,0),MATCH($D449,Effective!$E$2:$R$2,0))),"")</f>
        <v/>
      </c>
      <c r="H449" s="31" t="n"/>
      <c r="I449" s="17" t="inlineStr">
        <is>
          <t>override</t>
        </is>
      </c>
      <c r="J449" s="32" t="n">
        <v>0.866</v>
      </c>
      <c r="K449" s="33">
        <f>IF(AND(IF($I452&lt;&gt;"",$I452,$I449)="override",$J449&lt;&gt;""),$J449,SUMIFS(Assumptions!$K$4:$K$8,Assumptions!$J$4:$J$8,$C449))*Assumptions!$S$10*(1-MIN(1,MAX(N($H449),N($H452))))</f>
        <v/>
      </c>
      <c r="L449" s="32" t="n"/>
      <c r="M449" s="34">
        <f>IF(AND(IF($I452&lt;&gt;"",$I452,$I449)="override",$L449&lt;&gt;""),$L449,SUMIFS(Assumptions!$P$4:$P$103,Assumptions!$M$4:$M$103,$C449,Assumptions!$N$4:$N$103,$E449,Assumptions!$O$4:$O$103,"LVN"))</f>
        <v/>
      </c>
      <c r="N449" s="32" t="n"/>
      <c r="O449" s="34">
        <f>IF(AND(IF($I452&lt;&gt;"",$I452,$I449)="override",$N449&lt;&gt;""),$N449,SUMIFS(Assumptions!$P$4:$P$103,Assumptions!$M$4:$M$103,$C449,Assumptions!$N$4:$N$103,$E449,Assumptions!$O$4:$O$103,"HVN"))</f>
        <v/>
      </c>
      <c r="P449" s="34">
        <f>(M449+O449)*Assumptions!$S$11</f>
        <v/>
      </c>
      <c r="Q449" s="35">
        <f>$F449*$K449*$P449</f>
        <v/>
      </c>
    </row>
    <row r="450">
      <c r="A450" s="11" t="inlineStr">
        <is>
          <t>UNIT</t>
        </is>
      </c>
      <c r="B450" s="28" t="inlineStr">
        <is>
          <t>VALERO_CORPUS_CHRISTI</t>
        </is>
      </c>
      <c r="C450" s="28" t="n">
        <v>3</v>
      </c>
      <c r="D450" s="28" t="inlineStr">
        <is>
          <t>ALKY</t>
        </is>
      </c>
      <c r="E450" s="28" t="inlineStr">
        <is>
          <t>ALKY</t>
        </is>
      </c>
      <c r="F450" s="29" t="n">
        <v>24.5</v>
      </c>
      <c r="G450" s="30">
        <f>IFERROR(IF(INDEX(Effective!$E$3:$R$125,MATCH($B450,Effective!$A$3:$A$125,0),MATCH($D450,Effective!$E$2:$R$2,0))=0,"",INDEX(Effective!$E$3:$R$125,MATCH($B450,Effective!$A$3:$A$125,0),MATCH($D450,Effective!$E$2:$R$2,0))),"")</f>
        <v/>
      </c>
      <c r="H450" s="31" t="n"/>
      <c r="I450" s="17" t="inlineStr">
        <is>
          <t>override</t>
        </is>
      </c>
      <c r="J450" s="32" t="n">
        <v>1.1</v>
      </c>
      <c r="K450" s="33">
        <f>IF(AND(IF($I452&lt;&gt;"",$I452,$I450)="override",$J450&lt;&gt;""),$J450,SUMIFS(Assumptions!$K$4:$K$8,Assumptions!$J$4:$J$8,$C450))*Assumptions!$S$10*(1-MIN(1,MAX(N($H450),N($H452))))</f>
        <v/>
      </c>
      <c r="L450" s="32" t="n"/>
      <c r="M450" s="34">
        <f>IF(AND(IF($I452&lt;&gt;"",$I452,$I450)="override",$L450&lt;&gt;""),$L450,SUMIFS(Assumptions!$P$4:$P$103,Assumptions!$M$4:$M$103,$C450,Assumptions!$N$4:$N$103,$E450,Assumptions!$O$4:$O$103,"LVN"))</f>
        <v/>
      </c>
      <c r="N450" s="32" t="n"/>
      <c r="O450" s="34">
        <f>IF(AND(IF($I452&lt;&gt;"",$I452,$I450)="override",$N450&lt;&gt;""),$N450,SUMIFS(Assumptions!$P$4:$P$103,Assumptions!$M$4:$M$103,$C450,Assumptions!$N$4:$N$103,$E450,Assumptions!$O$4:$O$103,"HVN"))</f>
        <v/>
      </c>
      <c r="P450" s="34">
        <f>(M450+O450)*Assumptions!$S$11</f>
        <v/>
      </c>
      <c r="Q450" s="35">
        <f>$F450*$K450*$P450</f>
        <v/>
      </c>
    </row>
    <row r="451">
      <c r="A451" s="11" t="inlineStr">
        <is>
          <t>UNIT</t>
        </is>
      </c>
      <c r="B451" s="28" t="inlineStr">
        <is>
          <t>VALERO_CORPUS_CHRISTI</t>
        </is>
      </c>
      <c r="C451" s="28" t="n">
        <v>3</v>
      </c>
      <c r="D451" s="28" t="inlineStr">
        <is>
          <t>NHT</t>
        </is>
      </c>
      <c r="E451" s="28" t="inlineStr">
        <is>
          <t>NHT</t>
        </is>
      </c>
      <c r="F451" s="29" t="n">
        <v>57</v>
      </c>
      <c r="G451" s="30">
        <f>IFERROR(IF(INDEX(Effective!$E$3:$R$125,MATCH($B451,Effective!$A$3:$A$125,0),MATCH($D451,Effective!$E$2:$R$2,0))=0,"",INDEX(Effective!$E$3:$R$125,MATCH($B451,Effective!$A$3:$A$125,0),MATCH($D451,Effective!$E$2:$R$2,0))),"")</f>
        <v/>
      </c>
      <c r="H451" s="31" t="n"/>
      <c r="I451" s="17" t="inlineStr">
        <is>
          <t>override</t>
        </is>
      </c>
      <c r="J451" s="32" t="n">
        <v>1.1</v>
      </c>
      <c r="K451" s="33">
        <f>IF(AND(IF($I452&lt;&gt;"",$I452,$I451)="override",$J451&lt;&gt;""),$J451,SUMIFS(Assumptions!$K$4:$K$8,Assumptions!$J$4:$J$8,$C451))*Assumptions!$S$10*(1-MIN(1,MAX(N($H451),N($H452))))</f>
        <v/>
      </c>
      <c r="L451" s="32" t="n"/>
      <c r="M451" s="34">
        <f>IF(AND(IF($I452&lt;&gt;"",$I452,$I451)="override",$L451&lt;&gt;""),$L451,SUMIFS(Assumptions!$P$4:$P$103,Assumptions!$M$4:$M$103,$C451,Assumptions!$N$4:$N$103,$E451,Assumptions!$O$4:$O$103,"LVN"))</f>
        <v/>
      </c>
      <c r="N451" s="32" t="n"/>
      <c r="O451" s="34">
        <f>IF(AND(IF($I452&lt;&gt;"",$I452,$I451)="override",$N451&lt;&gt;""),$N451,SUMIFS(Assumptions!$P$4:$P$103,Assumptions!$M$4:$M$103,$C451,Assumptions!$N$4:$N$103,$E451,Assumptions!$O$4:$O$103,"HVN"))</f>
        <v/>
      </c>
      <c r="P451" s="34">
        <f>(M451+O451)*Assumptions!$S$11</f>
        <v/>
      </c>
      <c r="Q451" s="35">
        <f>$F451*$K451*$P451</f>
        <v/>
      </c>
    </row>
    <row r="452">
      <c r="A452" s="24" t="inlineStr">
        <is>
          <t>TOTAL</t>
        </is>
      </c>
      <c r="B452" s="36" t="inlineStr">
        <is>
          <t>VALERO_CORPUS_CHRISTI</t>
        </is>
      </c>
      <c r="C452" s="36" t="n">
        <v>3</v>
      </c>
      <c r="D452" s="36" t="inlineStr">
        <is>
          <t>NET NAPHTHA</t>
        </is>
      </c>
      <c r="H452" s="31" t="n"/>
      <c r="I452" s="17" t="n"/>
      <c r="Q452" s="37">
        <f>SUM(Q441:Q451)</f>
        <v/>
      </c>
    </row>
    <row r="454" ht="20" customHeight="1">
      <c r="A454" s="8">
        <f>"  Phillips 66 Co. Westlake  [PHILLIPS_WESTLAKE]   —   Phillips 66 Co.   —   PADD 3   —   crude "&amp;TEXT(SUMIFS(Data!$G$3:$G$125,Data!$A$3:$A$125,"PHILLIPS_WESTLAKE"),"#,##0")&amp;" kbd"</f>
        <v/>
      </c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</row>
    <row r="455">
      <c r="A455" s="11" t="inlineStr">
        <is>
          <t>UNIT</t>
        </is>
      </c>
      <c r="B455" s="28" t="inlineStr">
        <is>
          <t>PHILLIPS_WESTLAKE</t>
        </is>
      </c>
      <c r="C455" s="28" t="n">
        <v>3</v>
      </c>
      <c r="D455" s="28" t="inlineStr">
        <is>
          <t>CDU</t>
        </is>
      </c>
      <c r="E455" s="28" t="inlineStr">
        <is>
          <t>CDU</t>
        </is>
      </c>
      <c r="F455" s="29" t="n">
        <v>273</v>
      </c>
      <c r="G455" s="30">
        <f>IFERROR(IF(INDEX(Effective!$E$3:$R$125,MATCH($B455,Effective!$A$3:$A$125,0),MATCH($D455,Effective!$E$2:$R$2,0))=0,"",INDEX(Effective!$E$3:$R$125,MATCH($B455,Effective!$A$3:$A$125,0),MATCH($D455,Effective!$E$2:$R$2,0))),"")</f>
        <v/>
      </c>
      <c r="H455" s="31" t="n"/>
      <c r="I455" s="17" t="inlineStr">
        <is>
          <t>override</t>
        </is>
      </c>
      <c r="J455" s="32" t="n">
        <v>0.827</v>
      </c>
      <c r="K455" s="33">
        <f>IF(AND(IF($I463&lt;&gt;"",$I463,$I455)="override",$J455&lt;&gt;""),$J455,SUMIFS(Assumptions!$K$4:$K$8,Assumptions!$J$4:$J$8,$C455))*Assumptions!$S$10*(1-MIN(1,MAX(N($H455),N($H463))))</f>
        <v/>
      </c>
      <c r="L455" s="32" t="n"/>
      <c r="M455" s="34">
        <f>IF(AND(IF($I463&lt;&gt;"",$I463,$I455)="override",$L455&lt;&gt;""),$L455,SUMIFS(Assumptions!$P$4:$P$103,Assumptions!$M$4:$M$103,$C455,Assumptions!$N$4:$N$103,$E455,Assumptions!$O$4:$O$103,"LVN"))</f>
        <v/>
      </c>
      <c r="N455" s="32" t="n"/>
      <c r="O455" s="34">
        <f>IF(AND(IF($I463&lt;&gt;"",$I463,$I455)="override",$N455&lt;&gt;""),$N455,SUMIFS(Assumptions!$P$4:$P$103,Assumptions!$M$4:$M$103,$C455,Assumptions!$N$4:$N$103,$E455,Assumptions!$O$4:$O$103,"HVN"))</f>
        <v/>
      </c>
      <c r="P455" s="34">
        <f>(M455+O455)*Assumptions!$S$11</f>
        <v/>
      </c>
      <c r="Q455" s="35">
        <f>$F455*$K455*$P455</f>
        <v/>
      </c>
    </row>
    <row r="456">
      <c r="A456" s="11" t="inlineStr">
        <is>
          <t>UNIT</t>
        </is>
      </c>
      <c r="B456" s="28" t="inlineStr">
        <is>
          <t>PHILLIPS_WESTLAKE</t>
        </is>
      </c>
      <c r="C456" s="28" t="n">
        <v>3</v>
      </c>
      <c r="D456" s="28" t="inlineStr">
        <is>
          <t>VDU</t>
        </is>
      </c>
      <c r="E456" s="28" t="inlineStr">
        <is>
          <t>VDU</t>
        </is>
      </c>
      <c r="F456" s="29" t="n">
        <v>125</v>
      </c>
      <c r="G456" s="30">
        <f>IFERROR(IF(INDEX(Effective!$E$3:$R$125,MATCH($B456,Effective!$A$3:$A$125,0),MATCH($D456,Effective!$E$2:$R$2,0))=0,"",INDEX(Effective!$E$3:$R$125,MATCH($B456,Effective!$A$3:$A$125,0),MATCH($D456,Effective!$E$2:$R$2,0))),"")</f>
        <v/>
      </c>
      <c r="H456" s="31" t="n"/>
      <c r="I456" s="17" t="inlineStr">
        <is>
          <t>override</t>
        </is>
      </c>
      <c r="J456" s="32" t="n">
        <v>0.52</v>
      </c>
      <c r="K456" s="33">
        <f>IF(AND(IF($I463&lt;&gt;"",$I463,$I456)="override",$J456&lt;&gt;""),$J456,SUMIFS(Assumptions!$K$4:$K$8,Assumptions!$J$4:$J$8,$C456))*Assumptions!$S$10*(1-MIN(1,MAX(N($H456),N($H463))))</f>
        <v/>
      </c>
      <c r="L456" s="32" t="n"/>
      <c r="M456" s="34">
        <f>IF(AND(IF($I463&lt;&gt;"",$I463,$I456)="override",$L456&lt;&gt;""),$L456,SUMIFS(Assumptions!$P$4:$P$103,Assumptions!$M$4:$M$103,$C456,Assumptions!$N$4:$N$103,$E456,Assumptions!$O$4:$O$103,"LVN"))</f>
        <v/>
      </c>
      <c r="N456" s="32" t="n"/>
      <c r="O456" s="34">
        <f>IF(AND(IF($I463&lt;&gt;"",$I463,$I456)="override",$N456&lt;&gt;""),$N456,SUMIFS(Assumptions!$P$4:$P$103,Assumptions!$M$4:$M$103,$C456,Assumptions!$N$4:$N$103,$E456,Assumptions!$O$4:$O$103,"HVN"))</f>
        <v/>
      </c>
      <c r="P456" s="34">
        <f>(M456+O456)*Assumptions!$S$11</f>
        <v/>
      </c>
      <c r="Q456" s="35">
        <f>$F456*$K456*$P456</f>
        <v/>
      </c>
    </row>
    <row r="457">
      <c r="A457" s="11" t="inlineStr">
        <is>
          <t>UNIT</t>
        </is>
      </c>
      <c r="B457" s="28" t="inlineStr">
        <is>
          <t>PHILLIPS_WESTLAKE</t>
        </is>
      </c>
      <c r="C457" s="28" t="n">
        <v>3</v>
      </c>
      <c r="D457" s="28" t="inlineStr">
        <is>
          <t>FCC</t>
        </is>
      </c>
      <c r="E457" s="28" t="inlineStr">
        <is>
          <t>FCC</t>
        </is>
      </c>
      <c r="F457" s="29" t="n">
        <v>51.6</v>
      </c>
      <c r="G457" s="30">
        <f>IFERROR(IF(INDEX(Effective!$E$3:$R$125,MATCH($B457,Effective!$A$3:$A$125,0),MATCH($D457,Effective!$E$2:$R$2,0))=0,"",INDEX(Effective!$E$3:$R$125,MATCH($B457,Effective!$A$3:$A$125,0),MATCH($D457,Effective!$E$2:$R$2,0))),"")</f>
        <v/>
      </c>
      <c r="H457" s="31" t="n"/>
      <c r="I457" s="17" t="inlineStr">
        <is>
          <t>override</t>
        </is>
      </c>
      <c r="J457" s="32" t="n">
        <v>0.681</v>
      </c>
      <c r="K457" s="33">
        <f>IF(AND(IF($I463&lt;&gt;"",$I463,$I457)="override",$J457&lt;&gt;""),$J457,SUMIFS(Assumptions!$K$4:$K$8,Assumptions!$J$4:$J$8,$C457))*Assumptions!$S$10*(1-MIN(1,MAX(N($H457),N($H463))))</f>
        <v/>
      </c>
      <c r="L457" s="32" t="n"/>
      <c r="M457" s="34">
        <f>IF(AND(IF($I463&lt;&gt;"",$I463,$I457)="override",$L457&lt;&gt;""),$L457,SUMIFS(Assumptions!$P$4:$P$103,Assumptions!$M$4:$M$103,$C457,Assumptions!$N$4:$N$103,$E457,Assumptions!$O$4:$O$103,"LVN"))</f>
        <v/>
      </c>
      <c r="N457" s="32" t="n"/>
      <c r="O457" s="34">
        <f>IF(AND(IF($I463&lt;&gt;"",$I463,$I457)="override",$N457&lt;&gt;""),$N457,SUMIFS(Assumptions!$P$4:$P$103,Assumptions!$M$4:$M$103,$C457,Assumptions!$N$4:$N$103,$E457,Assumptions!$O$4:$O$103,"HVN"))</f>
        <v/>
      </c>
      <c r="P457" s="34">
        <f>(M457+O457)*Assumptions!$S$11</f>
        <v/>
      </c>
      <c r="Q457" s="35">
        <f>$F457*$K457*$P457</f>
        <v/>
      </c>
    </row>
    <row r="458">
      <c r="A458" s="11" t="inlineStr">
        <is>
          <t>UNIT</t>
        </is>
      </c>
      <c r="B458" s="28" t="inlineStr">
        <is>
          <t>PHILLIPS_WESTLAKE</t>
        </is>
      </c>
      <c r="C458" s="28" t="n">
        <v>3</v>
      </c>
      <c r="D458" s="28" t="inlineStr">
        <is>
          <t>COKER</t>
        </is>
      </c>
      <c r="E458" s="28" t="inlineStr">
        <is>
          <t>COKER</t>
        </is>
      </c>
      <c r="F458" s="29" t="n">
        <v>65.2</v>
      </c>
      <c r="G458" s="30">
        <f>IFERROR(IF(INDEX(Effective!$E$3:$R$125,MATCH($B458,Effective!$A$3:$A$125,0),MATCH($D458,Effective!$E$2:$R$2,0))=0,"",INDEX(Effective!$E$3:$R$125,MATCH($B458,Effective!$A$3:$A$125,0),MATCH($D458,Effective!$E$2:$R$2,0))),"")</f>
        <v/>
      </c>
      <c r="H458" s="31" t="n"/>
      <c r="I458" s="17" t="inlineStr">
        <is>
          <t>override</t>
        </is>
      </c>
      <c r="J458" s="32" t="n">
        <v>0.512</v>
      </c>
      <c r="K458" s="33">
        <f>IF(AND(IF($I463&lt;&gt;"",$I463,$I458)="override",$J458&lt;&gt;""),$J458,SUMIFS(Assumptions!$K$4:$K$8,Assumptions!$J$4:$J$8,$C458))*Assumptions!$S$10*(1-MIN(1,MAX(N($H458),N($H463))))</f>
        <v/>
      </c>
      <c r="L458" s="32" t="n"/>
      <c r="M458" s="34">
        <f>IF(AND(IF($I463&lt;&gt;"",$I463,$I458)="override",$L458&lt;&gt;""),$L458,SUMIFS(Assumptions!$P$4:$P$103,Assumptions!$M$4:$M$103,$C458,Assumptions!$N$4:$N$103,$E458,Assumptions!$O$4:$O$103,"LVN"))</f>
        <v/>
      </c>
      <c r="N458" s="32" t="n"/>
      <c r="O458" s="34">
        <f>IF(AND(IF($I463&lt;&gt;"",$I463,$I458)="override",$N458&lt;&gt;""),$N458,SUMIFS(Assumptions!$P$4:$P$103,Assumptions!$M$4:$M$103,$C458,Assumptions!$N$4:$N$103,$E458,Assumptions!$O$4:$O$103,"HVN"))</f>
        <v/>
      </c>
      <c r="P458" s="34">
        <f>(M458+O458)*Assumptions!$S$11</f>
        <v/>
      </c>
      <c r="Q458" s="35">
        <f>$F458*$K458*$P458</f>
        <v/>
      </c>
    </row>
    <row r="459">
      <c r="A459" s="11" t="inlineStr">
        <is>
          <t>UNIT</t>
        </is>
      </c>
      <c r="B459" s="28" t="inlineStr">
        <is>
          <t>PHILLIPS_WESTLAKE</t>
        </is>
      </c>
      <c r="C459" s="28" t="n">
        <v>3</v>
      </c>
      <c r="D459" s="28" t="inlineStr">
        <is>
          <t>CCR</t>
        </is>
      </c>
      <c r="E459" s="28" t="inlineStr">
        <is>
          <t>REFORMER</t>
        </is>
      </c>
      <c r="F459" s="29" t="n">
        <v>48</v>
      </c>
      <c r="G459" s="30">
        <f>IFERROR(IF(INDEX(Effective!$E$3:$R$125,MATCH($B459,Effective!$A$3:$A$125,0),MATCH($D459,Effective!$E$2:$R$2,0))=0,"",INDEX(Effective!$E$3:$R$125,MATCH($B459,Effective!$A$3:$A$125,0),MATCH($D459,Effective!$E$2:$R$2,0))),"")</f>
        <v/>
      </c>
      <c r="H459" s="31" t="n"/>
      <c r="I459" s="17" t="inlineStr">
        <is>
          <t>override</t>
        </is>
      </c>
      <c r="J459" s="32" t="n">
        <v>0.678</v>
      </c>
      <c r="K459" s="33">
        <f>IF(AND(IF($I463&lt;&gt;"",$I463,$I459)="override",$J459&lt;&gt;""),$J459,SUMIFS(Assumptions!$K$4:$K$8,Assumptions!$J$4:$J$8,$C459))*Assumptions!$S$10*(1-MIN(1,MAX(N($H459),N($H463))))</f>
        <v/>
      </c>
      <c r="L459" s="32" t="n"/>
      <c r="M459" s="34">
        <f>IF(AND(IF($I463&lt;&gt;"",$I463,$I459)="override",$L459&lt;&gt;""),$L459,SUMIFS(Assumptions!$P$4:$P$103,Assumptions!$M$4:$M$103,$C459,Assumptions!$N$4:$N$103,$E459,Assumptions!$O$4:$O$103,"LVN"))</f>
        <v/>
      </c>
      <c r="N459" s="32" t="n"/>
      <c r="O459" s="34">
        <f>IF(AND(IF($I463&lt;&gt;"",$I463,$I459)="override",$N459&lt;&gt;""),$N459,SUMIFS(Assumptions!$P$4:$P$103,Assumptions!$M$4:$M$103,$C459,Assumptions!$N$4:$N$103,$E459,Assumptions!$O$4:$O$103,"HVN"))</f>
        <v/>
      </c>
      <c r="P459" s="34">
        <f>(M459+O459)*Assumptions!$S$11</f>
        <v/>
      </c>
      <c r="Q459" s="35">
        <f>$F459*$K459*$P459</f>
        <v/>
      </c>
    </row>
    <row r="460">
      <c r="A460" s="11" t="inlineStr">
        <is>
          <t>UNIT</t>
        </is>
      </c>
      <c r="B460" s="28" t="inlineStr">
        <is>
          <t>PHILLIPS_WESTLAKE</t>
        </is>
      </c>
      <c r="C460" s="28" t="n">
        <v>3</v>
      </c>
      <c r="D460" s="28" t="inlineStr">
        <is>
          <t>ISOM</t>
        </is>
      </c>
      <c r="E460" s="28" t="inlineStr">
        <is>
          <t>ISOM</t>
        </is>
      </c>
      <c r="F460" s="29" t="n">
        <v>25</v>
      </c>
      <c r="G460" s="30">
        <f>IFERROR(IF(INDEX(Effective!$E$3:$R$125,MATCH($B460,Effective!$A$3:$A$125,0),MATCH($D460,Effective!$E$2:$R$2,0))=0,"",INDEX(Effective!$E$3:$R$125,MATCH($B460,Effective!$A$3:$A$125,0),MATCH($D460,Effective!$E$2:$R$2,0))),"")</f>
        <v/>
      </c>
      <c r="H460" s="31" t="n"/>
      <c r="I460" s="17" t="inlineStr">
        <is>
          <t>override</t>
        </is>
      </c>
      <c r="J460" s="32" t="n">
        <v>0.511</v>
      </c>
      <c r="K460" s="33">
        <f>IF(AND(IF($I463&lt;&gt;"",$I463,$I460)="override",$J460&lt;&gt;""),$J460,SUMIFS(Assumptions!$K$4:$K$8,Assumptions!$J$4:$J$8,$C460))*Assumptions!$S$10*(1-MIN(1,MAX(N($H460),N($H463))))</f>
        <v/>
      </c>
      <c r="L460" s="32" t="n"/>
      <c r="M460" s="34">
        <f>IF(AND(IF($I463&lt;&gt;"",$I463,$I460)="override",$L460&lt;&gt;""),$L460,SUMIFS(Assumptions!$P$4:$P$103,Assumptions!$M$4:$M$103,$C460,Assumptions!$N$4:$N$103,$E460,Assumptions!$O$4:$O$103,"LVN"))</f>
        <v/>
      </c>
      <c r="N460" s="32" t="n"/>
      <c r="O460" s="34">
        <f>IF(AND(IF($I463&lt;&gt;"",$I463,$I460)="override",$N460&lt;&gt;""),$N460,SUMIFS(Assumptions!$P$4:$P$103,Assumptions!$M$4:$M$103,$C460,Assumptions!$N$4:$N$103,$E460,Assumptions!$O$4:$O$103,"HVN"))</f>
        <v/>
      </c>
      <c r="P460" s="34">
        <f>(M460+O460)*Assumptions!$S$11</f>
        <v/>
      </c>
      <c r="Q460" s="35">
        <f>$F460*$K460*$P460</f>
        <v/>
      </c>
    </row>
    <row r="461">
      <c r="A461" s="11" t="inlineStr">
        <is>
          <t>UNIT</t>
        </is>
      </c>
      <c r="B461" s="28" t="inlineStr">
        <is>
          <t>PHILLIPS_WESTLAKE</t>
        </is>
      </c>
      <c r="C461" s="28" t="n">
        <v>3</v>
      </c>
      <c r="D461" s="28" t="inlineStr">
        <is>
          <t>ALKY</t>
        </is>
      </c>
      <c r="E461" s="28" t="inlineStr">
        <is>
          <t>ALKY</t>
        </is>
      </c>
      <c r="F461" s="29" t="n">
        <v>9</v>
      </c>
      <c r="G461" s="30">
        <f>IFERROR(IF(INDEX(Effective!$E$3:$R$125,MATCH($B461,Effective!$A$3:$A$125,0),MATCH($D461,Effective!$E$2:$R$2,0))=0,"",INDEX(Effective!$E$3:$R$125,MATCH($B461,Effective!$A$3:$A$125,0),MATCH($D461,Effective!$E$2:$R$2,0))),"")</f>
        <v/>
      </c>
      <c r="H461" s="31" t="n"/>
      <c r="I461" s="17" t="inlineStr">
        <is>
          <t>override</t>
        </is>
      </c>
      <c r="J461" s="32" t="n">
        <v>0.787</v>
      </c>
      <c r="K461" s="33">
        <f>IF(AND(IF($I463&lt;&gt;"",$I463,$I461)="override",$J461&lt;&gt;""),$J461,SUMIFS(Assumptions!$K$4:$K$8,Assumptions!$J$4:$J$8,$C461))*Assumptions!$S$10*(1-MIN(1,MAX(N($H461),N($H463))))</f>
        <v/>
      </c>
      <c r="L461" s="32" t="n"/>
      <c r="M461" s="34">
        <f>IF(AND(IF($I463&lt;&gt;"",$I463,$I461)="override",$L461&lt;&gt;""),$L461,SUMIFS(Assumptions!$P$4:$P$103,Assumptions!$M$4:$M$103,$C461,Assumptions!$N$4:$N$103,$E461,Assumptions!$O$4:$O$103,"LVN"))</f>
        <v/>
      </c>
      <c r="N461" s="32" t="n"/>
      <c r="O461" s="34">
        <f>IF(AND(IF($I463&lt;&gt;"",$I463,$I461)="override",$N461&lt;&gt;""),$N461,SUMIFS(Assumptions!$P$4:$P$103,Assumptions!$M$4:$M$103,$C461,Assumptions!$N$4:$N$103,$E461,Assumptions!$O$4:$O$103,"HVN"))</f>
        <v/>
      </c>
      <c r="P461" s="34">
        <f>(M461+O461)*Assumptions!$S$11</f>
        <v/>
      </c>
      <c r="Q461" s="35">
        <f>$F461*$K461*$P461</f>
        <v/>
      </c>
    </row>
    <row r="462">
      <c r="A462" s="11" t="inlineStr">
        <is>
          <t>UNIT</t>
        </is>
      </c>
      <c r="B462" s="28" t="inlineStr">
        <is>
          <t>PHILLIPS_WESTLAKE</t>
        </is>
      </c>
      <c r="C462" s="28" t="n">
        <v>3</v>
      </c>
      <c r="D462" s="28" t="inlineStr">
        <is>
          <t>NHT</t>
        </is>
      </c>
      <c r="E462" s="28" t="inlineStr">
        <is>
          <t>NHT</t>
        </is>
      </c>
      <c r="F462" s="29" t="n">
        <v>50</v>
      </c>
      <c r="G462" s="30">
        <f>IFERROR(IF(INDEX(Effective!$E$3:$R$125,MATCH($B462,Effective!$A$3:$A$125,0),MATCH($D462,Effective!$E$2:$R$2,0))=0,"",INDEX(Effective!$E$3:$R$125,MATCH($B462,Effective!$A$3:$A$125,0),MATCH($D462,Effective!$E$2:$R$2,0))),"")</f>
        <v/>
      </c>
      <c r="H462" s="31" t="n"/>
      <c r="I462" s="17" t="inlineStr">
        <is>
          <t>override</t>
        </is>
      </c>
      <c r="J462" s="32" t="n">
        <v>0.907</v>
      </c>
      <c r="K462" s="33">
        <f>IF(AND(IF($I463&lt;&gt;"",$I463,$I462)="override",$J462&lt;&gt;""),$J462,SUMIFS(Assumptions!$K$4:$K$8,Assumptions!$J$4:$J$8,$C462))*Assumptions!$S$10*(1-MIN(1,MAX(N($H462),N($H463))))</f>
        <v/>
      </c>
      <c r="L462" s="32" t="n"/>
      <c r="M462" s="34">
        <f>IF(AND(IF($I463&lt;&gt;"",$I463,$I462)="override",$L462&lt;&gt;""),$L462,SUMIFS(Assumptions!$P$4:$P$103,Assumptions!$M$4:$M$103,$C462,Assumptions!$N$4:$N$103,$E462,Assumptions!$O$4:$O$103,"LVN"))</f>
        <v/>
      </c>
      <c r="N462" s="32" t="n"/>
      <c r="O462" s="34">
        <f>IF(AND(IF($I463&lt;&gt;"",$I463,$I462)="override",$N462&lt;&gt;""),$N462,SUMIFS(Assumptions!$P$4:$P$103,Assumptions!$M$4:$M$103,$C462,Assumptions!$N$4:$N$103,$E462,Assumptions!$O$4:$O$103,"HVN"))</f>
        <v/>
      </c>
      <c r="P462" s="34">
        <f>(M462+O462)*Assumptions!$S$11</f>
        <v/>
      </c>
      <c r="Q462" s="35">
        <f>$F462*$K462*$P462</f>
        <v/>
      </c>
    </row>
    <row r="463">
      <c r="A463" s="24" t="inlineStr">
        <is>
          <t>TOTAL</t>
        </is>
      </c>
      <c r="B463" s="36" t="inlineStr">
        <is>
          <t>PHILLIPS_WESTLAKE</t>
        </is>
      </c>
      <c r="C463" s="36" t="n">
        <v>3</v>
      </c>
      <c r="D463" s="36" t="inlineStr">
        <is>
          <t>NET NAPHTHA</t>
        </is>
      </c>
      <c r="H463" s="31" t="n"/>
      <c r="I463" s="17" t="n"/>
      <c r="Q463" s="37">
        <f>SUM(Q455:Q462)</f>
        <v/>
      </c>
    </row>
    <row r="465" ht="20" customHeight="1">
      <c r="A465" s="8">
        <f>"  Phillips 66 Co. Sweeny  [PHILLIPS_SWEENY]   —   Phillips 66 Co.   —   PADD 3   —   crude "&amp;TEXT(SUMIFS(Data!$G$3:$G$125,Data!$A$3:$A$125,"PHILLIPS_SWEENY"),"#,##0")&amp;" kbd"</f>
        <v/>
      </c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</row>
    <row r="466">
      <c r="A466" s="11" t="inlineStr">
        <is>
          <t>UNIT</t>
        </is>
      </c>
      <c r="B466" s="28" t="inlineStr">
        <is>
          <t>PHILLIPS_SWEENY</t>
        </is>
      </c>
      <c r="C466" s="28" t="n">
        <v>3</v>
      </c>
      <c r="D466" s="28" t="inlineStr">
        <is>
          <t>CDU</t>
        </is>
      </c>
      <c r="E466" s="28" t="inlineStr">
        <is>
          <t>CDU</t>
        </is>
      </c>
      <c r="F466" s="29" t="n">
        <v>278.9</v>
      </c>
      <c r="G466" s="30">
        <f>IFERROR(IF(INDEX(Effective!$E$3:$R$125,MATCH($B466,Effective!$A$3:$A$125,0),MATCH($D466,Effective!$E$2:$R$2,0))=0,"",INDEX(Effective!$E$3:$R$125,MATCH($B466,Effective!$A$3:$A$125,0),MATCH($D466,Effective!$E$2:$R$2,0))),"")</f>
        <v/>
      </c>
      <c r="H466" s="31" t="n"/>
      <c r="I466" s="17" t="inlineStr">
        <is>
          <t>override</t>
        </is>
      </c>
      <c r="J466" s="32" t="n">
        <v>0.925</v>
      </c>
      <c r="K466" s="33">
        <f>IF(AND(IF($I474&lt;&gt;"",$I474,$I466)="override",$J466&lt;&gt;""),$J466,SUMIFS(Assumptions!$K$4:$K$8,Assumptions!$J$4:$J$8,$C466))*Assumptions!$S$10*(1-MIN(1,MAX(N($H466),N($H474))))</f>
        <v/>
      </c>
      <c r="L466" s="32" t="n"/>
      <c r="M466" s="34">
        <f>IF(AND(IF($I474&lt;&gt;"",$I474,$I466)="override",$L466&lt;&gt;""),$L466,SUMIFS(Assumptions!$P$4:$P$103,Assumptions!$M$4:$M$103,$C466,Assumptions!$N$4:$N$103,$E466,Assumptions!$O$4:$O$103,"LVN"))</f>
        <v/>
      </c>
      <c r="N466" s="32" t="n"/>
      <c r="O466" s="34">
        <f>IF(AND(IF($I474&lt;&gt;"",$I474,$I466)="override",$N466&lt;&gt;""),$N466,SUMIFS(Assumptions!$P$4:$P$103,Assumptions!$M$4:$M$103,$C466,Assumptions!$N$4:$N$103,$E466,Assumptions!$O$4:$O$103,"HVN"))</f>
        <v/>
      </c>
      <c r="P466" s="34">
        <f>(M466+O466)*Assumptions!$S$11</f>
        <v/>
      </c>
      <c r="Q466" s="35">
        <f>$F466*$K466*$P466</f>
        <v/>
      </c>
    </row>
    <row r="467">
      <c r="A467" s="11" t="inlineStr">
        <is>
          <t>UNIT</t>
        </is>
      </c>
      <c r="B467" s="28" t="inlineStr">
        <is>
          <t>PHILLIPS_SWEENY</t>
        </is>
      </c>
      <c r="C467" s="28" t="n">
        <v>3</v>
      </c>
      <c r="D467" s="28" t="inlineStr">
        <is>
          <t>VDU</t>
        </is>
      </c>
      <c r="E467" s="28" t="inlineStr">
        <is>
          <t>VDU</t>
        </is>
      </c>
      <c r="F467" s="29" t="n">
        <v>132.1</v>
      </c>
      <c r="G467" s="30">
        <f>IFERROR(IF(INDEX(Effective!$E$3:$R$125,MATCH($B467,Effective!$A$3:$A$125,0),MATCH($D467,Effective!$E$2:$R$2,0))=0,"",INDEX(Effective!$E$3:$R$125,MATCH($B467,Effective!$A$3:$A$125,0),MATCH($D467,Effective!$E$2:$R$2,0))),"")</f>
        <v/>
      </c>
      <c r="H467" s="31" t="n"/>
      <c r="I467" s="17" t="inlineStr">
        <is>
          <t>override</t>
        </is>
      </c>
      <c r="J467" s="32" t="n">
        <v>0.976</v>
      </c>
      <c r="K467" s="33">
        <f>IF(AND(IF($I474&lt;&gt;"",$I474,$I467)="override",$J467&lt;&gt;""),$J467,SUMIFS(Assumptions!$K$4:$K$8,Assumptions!$J$4:$J$8,$C467))*Assumptions!$S$10*(1-MIN(1,MAX(N($H467),N($H474))))</f>
        <v/>
      </c>
      <c r="L467" s="32" t="n"/>
      <c r="M467" s="34">
        <f>IF(AND(IF($I474&lt;&gt;"",$I474,$I467)="override",$L467&lt;&gt;""),$L467,SUMIFS(Assumptions!$P$4:$P$103,Assumptions!$M$4:$M$103,$C467,Assumptions!$N$4:$N$103,$E467,Assumptions!$O$4:$O$103,"LVN"))</f>
        <v/>
      </c>
      <c r="N467" s="32" t="n"/>
      <c r="O467" s="34">
        <f>IF(AND(IF($I474&lt;&gt;"",$I474,$I467)="override",$N467&lt;&gt;""),$N467,SUMIFS(Assumptions!$P$4:$P$103,Assumptions!$M$4:$M$103,$C467,Assumptions!$N$4:$N$103,$E467,Assumptions!$O$4:$O$103,"HVN"))</f>
        <v/>
      </c>
      <c r="P467" s="34">
        <f>(M467+O467)*Assumptions!$S$11</f>
        <v/>
      </c>
      <c r="Q467" s="35">
        <f>$F467*$K467*$P467</f>
        <v/>
      </c>
    </row>
    <row r="468">
      <c r="A468" s="11" t="inlineStr">
        <is>
          <t>UNIT</t>
        </is>
      </c>
      <c r="B468" s="28" t="inlineStr">
        <is>
          <t>PHILLIPS_SWEENY</t>
        </is>
      </c>
      <c r="C468" s="28" t="n">
        <v>3</v>
      </c>
      <c r="D468" s="28" t="inlineStr">
        <is>
          <t>FCC</t>
        </is>
      </c>
      <c r="E468" s="28" t="inlineStr">
        <is>
          <t>FCC</t>
        </is>
      </c>
      <c r="F468" s="29" t="n">
        <v>111</v>
      </c>
      <c r="G468" s="30">
        <f>IFERROR(IF(INDEX(Effective!$E$3:$R$125,MATCH($B468,Effective!$A$3:$A$125,0),MATCH($D468,Effective!$E$2:$R$2,0))=0,"",INDEX(Effective!$E$3:$R$125,MATCH($B468,Effective!$A$3:$A$125,0),MATCH($D468,Effective!$E$2:$R$2,0))),"")</f>
        <v/>
      </c>
      <c r="H468" s="31" t="n"/>
      <c r="I468" s="17" t="inlineStr">
        <is>
          <t>override</t>
        </is>
      </c>
      <c r="J468" s="32" t="n">
        <v>0.867</v>
      </c>
      <c r="K468" s="33">
        <f>IF(AND(IF($I474&lt;&gt;"",$I474,$I468)="override",$J468&lt;&gt;""),$J468,SUMIFS(Assumptions!$K$4:$K$8,Assumptions!$J$4:$J$8,$C468))*Assumptions!$S$10*(1-MIN(1,MAX(N($H468),N($H474))))</f>
        <v/>
      </c>
      <c r="L468" s="32" t="n"/>
      <c r="M468" s="34">
        <f>IF(AND(IF($I474&lt;&gt;"",$I474,$I468)="override",$L468&lt;&gt;""),$L468,SUMIFS(Assumptions!$P$4:$P$103,Assumptions!$M$4:$M$103,$C468,Assumptions!$N$4:$N$103,$E468,Assumptions!$O$4:$O$103,"LVN"))</f>
        <v/>
      </c>
      <c r="N468" s="32" t="n"/>
      <c r="O468" s="34">
        <f>IF(AND(IF($I474&lt;&gt;"",$I474,$I468)="override",$N468&lt;&gt;""),$N468,SUMIFS(Assumptions!$P$4:$P$103,Assumptions!$M$4:$M$103,$C468,Assumptions!$N$4:$N$103,$E468,Assumptions!$O$4:$O$103,"HVN"))</f>
        <v/>
      </c>
      <c r="P468" s="34">
        <f>(M468+O468)*Assumptions!$S$11</f>
        <v/>
      </c>
      <c r="Q468" s="35">
        <f>$F468*$K468*$P468</f>
        <v/>
      </c>
    </row>
    <row r="469">
      <c r="A469" s="11" t="inlineStr">
        <is>
          <t>UNIT</t>
        </is>
      </c>
      <c r="B469" s="28" t="inlineStr">
        <is>
          <t>PHILLIPS_SWEENY</t>
        </is>
      </c>
      <c r="C469" s="28" t="n">
        <v>3</v>
      </c>
      <c r="D469" s="28" t="inlineStr">
        <is>
          <t>COKER</t>
        </is>
      </c>
      <c r="E469" s="28" t="inlineStr">
        <is>
          <t>COKER</t>
        </is>
      </c>
      <c r="F469" s="29" t="n">
        <v>78.7</v>
      </c>
      <c r="G469" s="30">
        <f>IFERROR(IF(INDEX(Effective!$E$3:$R$125,MATCH($B469,Effective!$A$3:$A$125,0),MATCH($D469,Effective!$E$2:$R$2,0))=0,"",INDEX(Effective!$E$3:$R$125,MATCH($B469,Effective!$A$3:$A$125,0),MATCH($D469,Effective!$E$2:$R$2,0))),"")</f>
        <v/>
      </c>
      <c r="H469" s="31" t="n"/>
      <c r="I469" s="17" t="inlineStr">
        <is>
          <t>override</t>
        </is>
      </c>
      <c r="J469" s="32" t="n">
        <v>0.786</v>
      </c>
      <c r="K469" s="33">
        <f>IF(AND(IF($I474&lt;&gt;"",$I474,$I469)="override",$J469&lt;&gt;""),$J469,SUMIFS(Assumptions!$K$4:$K$8,Assumptions!$J$4:$J$8,$C469))*Assumptions!$S$10*(1-MIN(1,MAX(N($H469),N($H474))))</f>
        <v/>
      </c>
      <c r="L469" s="32" t="n"/>
      <c r="M469" s="34">
        <f>IF(AND(IF($I474&lt;&gt;"",$I474,$I469)="override",$L469&lt;&gt;""),$L469,SUMIFS(Assumptions!$P$4:$P$103,Assumptions!$M$4:$M$103,$C469,Assumptions!$N$4:$N$103,$E469,Assumptions!$O$4:$O$103,"LVN"))</f>
        <v/>
      </c>
      <c r="N469" s="32" t="n"/>
      <c r="O469" s="34">
        <f>IF(AND(IF($I474&lt;&gt;"",$I474,$I469)="override",$N469&lt;&gt;""),$N469,SUMIFS(Assumptions!$P$4:$P$103,Assumptions!$M$4:$M$103,$C469,Assumptions!$N$4:$N$103,$E469,Assumptions!$O$4:$O$103,"HVN"))</f>
        <v/>
      </c>
      <c r="P469" s="34">
        <f>(M469+O469)*Assumptions!$S$11</f>
        <v/>
      </c>
      <c r="Q469" s="35">
        <f>$F469*$K469*$P469</f>
        <v/>
      </c>
    </row>
    <row r="470">
      <c r="A470" s="11" t="inlineStr">
        <is>
          <t>UNIT</t>
        </is>
      </c>
      <c r="B470" s="28" t="inlineStr">
        <is>
          <t>PHILLIPS_SWEENY</t>
        </is>
      </c>
      <c r="C470" s="28" t="n">
        <v>3</v>
      </c>
      <c r="D470" s="28" t="inlineStr">
        <is>
          <t>CCR</t>
        </is>
      </c>
      <c r="E470" s="28" t="inlineStr">
        <is>
          <t>REFORMER</t>
        </is>
      </c>
      <c r="F470" s="29" t="n">
        <v>42.1</v>
      </c>
      <c r="G470" s="30">
        <f>IFERROR(IF(INDEX(Effective!$E$3:$R$125,MATCH($B470,Effective!$A$3:$A$125,0),MATCH($D470,Effective!$E$2:$R$2,0))=0,"",INDEX(Effective!$E$3:$R$125,MATCH($B470,Effective!$A$3:$A$125,0),MATCH($D470,Effective!$E$2:$R$2,0))),"")</f>
        <v/>
      </c>
      <c r="H470" s="31" t="n"/>
      <c r="I470" s="17" t="inlineStr">
        <is>
          <t>override</t>
        </is>
      </c>
      <c r="J470" s="32" t="n">
        <v>0.831</v>
      </c>
      <c r="K470" s="33">
        <f>IF(AND(IF($I474&lt;&gt;"",$I474,$I470)="override",$J470&lt;&gt;""),$J470,SUMIFS(Assumptions!$K$4:$K$8,Assumptions!$J$4:$J$8,$C470))*Assumptions!$S$10*(1-MIN(1,MAX(N($H470),N($H474))))</f>
        <v/>
      </c>
      <c r="L470" s="32" t="n"/>
      <c r="M470" s="34">
        <f>IF(AND(IF($I474&lt;&gt;"",$I474,$I470)="override",$L470&lt;&gt;""),$L470,SUMIFS(Assumptions!$P$4:$P$103,Assumptions!$M$4:$M$103,$C470,Assumptions!$N$4:$N$103,$E470,Assumptions!$O$4:$O$103,"LVN"))</f>
        <v/>
      </c>
      <c r="N470" s="32" t="n"/>
      <c r="O470" s="34">
        <f>IF(AND(IF($I474&lt;&gt;"",$I474,$I470)="override",$N470&lt;&gt;""),$N470,SUMIFS(Assumptions!$P$4:$P$103,Assumptions!$M$4:$M$103,$C470,Assumptions!$N$4:$N$103,$E470,Assumptions!$O$4:$O$103,"HVN"))</f>
        <v/>
      </c>
      <c r="P470" s="34">
        <f>(M470+O470)*Assumptions!$S$11</f>
        <v/>
      </c>
      <c r="Q470" s="35">
        <f>$F470*$K470*$P470</f>
        <v/>
      </c>
    </row>
    <row r="471">
      <c r="A471" s="11" t="inlineStr">
        <is>
          <t>UNIT</t>
        </is>
      </c>
      <c r="B471" s="28" t="inlineStr">
        <is>
          <t>PHILLIPS_SWEENY</t>
        </is>
      </c>
      <c r="C471" s="28" t="n">
        <v>3</v>
      </c>
      <c r="D471" s="28" t="inlineStr">
        <is>
          <t>ISOM</t>
        </is>
      </c>
      <c r="E471" s="28" t="inlineStr">
        <is>
          <t>ISOM</t>
        </is>
      </c>
      <c r="F471" s="29" t="n">
        <v>10.1</v>
      </c>
      <c r="G471" s="30">
        <f>IFERROR(IF(INDEX(Effective!$E$3:$R$125,MATCH($B471,Effective!$A$3:$A$125,0),MATCH($D471,Effective!$E$2:$R$2,0))=0,"",INDEX(Effective!$E$3:$R$125,MATCH($B471,Effective!$A$3:$A$125,0),MATCH($D471,Effective!$E$2:$R$2,0))),"")</f>
        <v/>
      </c>
      <c r="H471" s="31" t="n"/>
      <c r="I471" s="17" t="inlineStr">
        <is>
          <t>override</t>
        </is>
      </c>
      <c r="J471" s="32" t="n">
        <v>0.99</v>
      </c>
      <c r="K471" s="33">
        <f>IF(AND(IF($I474&lt;&gt;"",$I474,$I471)="override",$J471&lt;&gt;""),$J471,SUMIFS(Assumptions!$K$4:$K$8,Assumptions!$J$4:$J$8,$C471))*Assumptions!$S$10*(1-MIN(1,MAX(N($H471),N($H474))))</f>
        <v/>
      </c>
      <c r="L471" s="32" t="n"/>
      <c r="M471" s="34">
        <f>IF(AND(IF($I474&lt;&gt;"",$I474,$I471)="override",$L471&lt;&gt;""),$L471,SUMIFS(Assumptions!$P$4:$P$103,Assumptions!$M$4:$M$103,$C471,Assumptions!$N$4:$N$103,$E471,Assumptions!$O$4:$O$103,"LVN"))</f>
        <v/>
      </c>
      <c r="N471" s="32" t="n"/>
      <c r="O471" s="34">
        <f>IF(AND(IF($I474&lt;&gt;"",$I474,$I471)="override",$N471&lt;&gt;""),$N471,SUMIFS(Assumptions!$P$4:$P$103,Assumptions!$M$4:$M$103,$C471,Assumptions!$N$4:$N$103,$E471,Assumptions!$O$4:$O$103,"HVN"))</f>
        <v/>
      </c>
      <c r="P471" s="34">
        <f>(M471+O471)*Assumptions!$S$11</f>
        <v/>
      </c>
      <c r="Q471" s="35">
        <f>$F471*$K471*$P471</f>
        <v/>
      </c>
    </row>
    <row r="472">
      <c r="A472" s="11" t="inlineStr">
        <is>
          <t>UNIT</t>
        </is>
      </c>
      <c r="B472" s="28" t="inlineStr">
        <is>
          <t>PHILLIPS_SWEENY</t>
        </is>
      </c>
      <c r="C472" s="28" t="n">
        <v>3</v>
      </c>
      <c r="D472" s="28" t="inlineStr">
        <is>
          <t>ALKY</t>
        </is>
      </c>
      <c r="E472" s="28" t="inlineStr">
        <is>
          <t>ALKY</t>
        </is>
      </c>
      <c r="F472" s="29" t="n">
        <v>21.6</v>
      </c>
      <c r="G472" s="30">
        <f>IFERROR(IF(INDEX(Effective!$E$3:$R$125,MATCH($B472,Effective!$A$3:$A$125,0),MATCH($D472,Effective!$E$2:$R$2,0))=0,"",INDEX(Effective!$E$3:$R$125,MATCH($B472,Effective!$A$3:$A$125,0),MATCH($D472,Effective!$E$2:$R$2,0))),"")</f>
        <v/>
      </c>
      <c r="H472" s="31" t="n"/>
      <c r="I472" s="17" t="inlineStr">
        <is>
          <t>override</t>
        </is>
      </c>
      <c r="J472" s="32" t="n">
        <v>1.1</v>
      </c>
      <c r="K472" s="33">
        <f>IF(AND(IF($I474&lt;&gt;"",$I474,$I472)="override",$J472&lt;&gt;""),$J472,SUMIFS(Assumptions!$K$4:$K$8,Assumptions!$J$4:$J$8,$C472))*Assumptions!$S$10*(1-MIN(1,MAX(N($H472),N($H474))))</f>
        <v/>
      </c>
      <c r="L472" s="32" t="n"/>
      <c r="M472" s="34">
        <f>IF(AND(IF($I474&lt;&gt;"",$I474,$I472)="override",$L472&lt;&gt;""),$L472,SUMIFS(Assumptions!$P$4:$P$103,Assumptions!$M$4:$M$103,$C472,Assumptions!$N$4:$N$103,$E472,Assumptions!$O$4:$O$103,"LVN"))</f>
        <v/>
      </c>
      <c r="N472" s="32" t="n"/>
      <c r="O472" s="34">
        <f>IF(AND(IF($I474&lt;&gt;"",$I474,$I472)="override",$N472&lt;&gt;""),$N472,SUMIFS(Assumptions!$P$4:$P$103,Assumptions!$M$4:$M$103,$C472,Assumptions!$N$4:$N$103,$E472,Assumptions!$O$4:$O$103,"HVN"))</f>
        <v/>
      </c>
      <c r="P472" s="34">
        <f>(M472+O472)*Assumptions!$S$11</f>
        <v/>
      </c>
      <c r="Q472" s="35">
        <f>$F472*$K472*$P472</f>
        <v/>
      </c>
    </row>
    <row r="473">
      <c r="A473" s="11" t="inlineStr">
        <is>
          <t>UNIT</t>
        </is>
      </c>
      <c r="B473" s="28" t="inlineStr">
        <is>
          <t>PHILLIPS_SWEENY</t>
        </is>
      </c>
      <c r="C473" s="28" t="n">
        <v>3</v>
      </c>
      <c r="D473" s="28" t="inlineStr">
        <is>
          <t>NHT</t>
        </is>
      </c>
      <c r="E473" s="28" t="inlineStr">
        <is>
          <t>NHT</t>
        </is>
      </c>
      <c r="F473" s="29" t="n">
        <v>73.40000000000001</v>
      </c>
      <c r="G473" s="30">
        <f>IFERROR(IF(INDEX(Effective!$E$3:$R$125,MATCH($B473,Effective!$A$3:$A$125,0),MATCH($D473,Effective!$E$2:$R$2,0))=0,"",INDEX(Effective!$E$3:$R$125,MATCH($B473,Effective!$A$3:$A$125,0),MATCH($D473,Effective!$E$2:$R$2,0))),"")</f>
        <v/>
      </c>
      <c r="H473" s="31" t="n"/>
      <c r="I473" s="17" t="inlineStr">
        <is>
          <t>override</t>
        </is>
      </c>
      <c r="J473" s="32" t="n">
        <v>0.972</v>
      </c>
      <c r="K473" s="33">
        <f>IF(AND(IF($I474&lt;&gt;"",$I474,$I473)="override",$J473&lt;&gt;""),$J473,SUMIFS(Assumptions!$K$4:$K$8,Assumptions!$J$4:$J$8,$C473))*Assumptions!$S$10*(1-MIN(1,MAX(N($H473),N($H474))))</f>
        <v/>
      </c>
      <c r="L473" s="32" t="n"/>
      <c r="M473" s="34">
        <f>IF(AND(IF($I474&lt;&gt;"",$I474,$I473)="override",$L473&lt;&gt;""),$L473,SUMIFS(Assumptions!$P$4:$P$103,Assumptions!$M$4:$M$103,$C473,Assumptions!$N$4:$N$103,$E473,Assumptions!$O$4:$O$103,"LVN"))</f>
        <v/>
      </c>
      <c r="N473" s="32" t="n"/>
      <c r="O473" s="34">
        <f>IF(AND(IF($I474&lt;&gt;"",$I474,$I473)="override",$N473&lt;&gt;""),$N473,SUMIFS(Assumptions!$P$4:$P$103,Assumptions!$M$4:$M$103,$C473,Assumptions!$N$4:$N$103,$E473,Assumptions!$O$4:$O$103,"HVN"))</f>
        <v/>
      </c>
      <c r="P473" s="34">
        <f>(M473+O473)*Assumptions!$S$11</f>
        <v/>
      </c>
      <c r="Q473" s="35">
        <f>$F473*$K473*$P473</f>
        <v/>
      </c>
    </row>
    <row r="474">
      <c r="A474" s="24" t="inlineStr">
        <is>
          <t>TOTAL</t>
        </is>
      </c>
      <c r="B474" s="36" t="inlineStr">
        <is>
          <t>PHILLIPS_SWEENY</t>
        </is>
      </c>
      <c r="C474" s="36" t="n">
        <v>3</v>
      </c>
      <c r="D474" s="36" t="inlineStr">
        <is>
          <t>NET NAPHTHA</t>
        </is>
      </c>
      <c r="H474" s="31" t="n"/>
      <c r="I474" s="17" t="n"/>
      <c r="Q474" s="37">
        <f>SUM(Q466:Q473)</f>
        <v/>
      </c>
    </row>
    <row r="476" ht="20" customHeight="1">
      <c r="A476" s="8">
        <f>"  Valero Texas City  [VALERO_TEXAS_CITY]   —   Valero   —   PADD 3   —   crude "&amp;TEXT(SUMIFS(Data!$G$3:$G$125,Data!$A$3:$A$125,"VALERO_TEXAS_CITY"),"#,##0")&amp;" kbd"</f>
        <v/>
      </c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</row>
    <row r="477">
      <c r="A477" s="11" t="inlineStr">
        <is>
          <t>UNIT</t>
        </is>
      </c>
      <c r="B477" s="28" t="inlineStr">
        <is>
          <t>VALERO_TEXAS_CITY</t>
        </is>
      </c>
      <c r="C477" s="28" t="n">
        <v>3</v>
      </c>
      <c r="D477" s="28" t="inlineStr">
        <is>
          <t>CDU</t>
        </is>
      </c>
      <c r="E477" s="28" t="inlineStr">
        <is>
          <t>CDU</t>
        </is>
      </c>
      <c r="F477" s="29" t="n">
        <v>231</v>
      </c>
      <c r="G477" s="30">
        <f>IFERROR(IF(INDEX(Effective!$E$3:$R$125,MATCH($B477,Effective!$A$3:$A$125,0),MATCH($D477,Effective!$E$2:$R$2,0))=0,"",INDEX(Effective!$E$3:$R$125,MATCH($B477,Effective!$A$3:$A$125,0),MATCH($D477,Effective!$E$2:$R$2,0))),"")</f>
        <v/>
      </c>
      <c r="H477" s="31" t="n"/>
      <c r="I477" s="17" t="inlineStr">
        <is>
          <t>override</t>
        </is>
      </c>
      <c r="J477" s="32" t="n">
        <v>0.834</v>
      </c>
      <c r="K477" s="33">
        <f>IF(AND(IF($I485&lt;&gt;"",$I485,$I477)="override",$J477&lt;&gt;""),$J477,SUMIFS(Assumptions!$K$4:$K$8,Assumptions!$J$4:$J$8,$C477))*Assumptions!$S$10*(1-MIN(1,MAX(N($H477),N($H485))))</f>
        <v/>
      </c>
      <c r="L477" s="32" t="n"/>
      <c r="M477" s="34">
        <f>IF(AND(IF($I485&lt;&gt;"",$I485,$I477)="override",$L477&lt;&gt;""),$L477,SUMIFS(Assumptions!$P$4:$P$103,Assumptions!$M$4:$M$103,$C477,Assumptions!$N$4:$N$103,$E477,Assumptions!$O$4:$O$103,"LVN"))</f>
        <v/>
      </c>
      <c r="N477" s="32" t="n"/>
      <c r="O477" s="34">
        <f>IF(AND(IF($I485&lt;&gt;"",$I485,$I477)="override",$N477&lt;&gt;""),$N477,SUMIFS(Assumptions!$P$4:$P$103,Assumptions!$M$4:$M$103,$C477,Assumptions!$N$4:$N$103,$E477,Assumptions!$O$4:$O$103,"HVN"))</f>
        <v/>
      </c>
      <c r="P477" s="34">
        <f>(M477+O477)*Assumptions!$S$11</f>
        <v/>
      </c>
      <c r="Q477" s="35">
        <f>$F477*$K477*$P477</f>
        <v/>
      </c>
    </row>
    <row r="478">
      <c r="A478" s="11" t="inlineStr">
        <is>
          <t>UNIT</t>
        </is>
      </c>
      <c r="B478" s="28" t="inlineStr">
        <is>
          <t>VALERO_TEXAS_CITY</t>
        </is>
      </c>
      <c r="C478" s="28" t="n">
        <v>3</v>
      </c>
      <c r="D478" s="28" t="inlineStr">
        <is>
          <t>VDU</t>
        </is>
      </c>
      <c r="E478" s="28" t="inlineStr">
        <is>
          <t>VDU</t>
        </is>
      </c>
      <c r="F478" s="29" t="n">
        <v>133.5</v>
      </c>
      <c r="G478" s="30">
        <f>IFERROR(IF(INDEX(Effective!$E$3:$R$125,MATCH($B478,Effective!$A$3:$A$125,0),MATCH($D478,Effective!$E$2:$R$2,0))=0,"",INDEX(Effective!$E$3:$R$125,MATCH($B478,Effective!$A$3:$A$125,0),MATCH($D478,Effective!$E$2:$R$2,0))),"")</f>
        <v/>
      </c>
      <c r="H478" s="31" t="n"/>
      <c r="I478" s="17" t="inlineStr">
        <is>
          <t>override</t>
        </is>
      </c>
      <c r="J478" s="32" t="n">
        <v>0.619</v>
      </c>
      <c r="K478" s="33">
        <f>IF(AND(IF($I485&lt;&gt;"",$I485,$I478)="override",$J478&lt;&gt;""),$J478,SUMIFS(Assumptions!$K$4:$K$8,Assumptions!$J$4:$J$8,$C478))*Assumptions!$S$10*(1-MIN(1,MAX(N($H478),N($H485))))</f>
        <v/>
      </c>
      <c r="L478" s="32" t="n"/>
      <c r="M478" s="34">
        <f>IF(AND(IF($I485&lt;&gt;"",$I485,$I478)="override",$L478&lt;&gt;""),$L478,SUMIFS(Assumptions!$P$4:$P$103,Assumptions!$M$4:$M$103,$C478,Assumptions!$N$4:$N$103,$E478,Assumptions!$O$4:$O$103,"LVN"))</f>
        <v/>
      </c>
      <c r="N478" s="32" t="n"/>
      <c r="O478" s="34">
        <f>IF(AND(IF($I485&lt;&gt;"",$I485,$I478)="override",$N478&lt;&gt;""),$N478,SUMIFS(Assumptions!$P$4:$P$103,Assumptions!$M$4:$M$103,$C478,Assumptions!$N$4:$N$103,$E478,Assumptions!$O$4:$O$103,"HVN"))</f>
        <v/>
      </c>
      <c r="P478" s="34">
        <f>(M478+O478)*Assumptions!$S$11</f>
        <v/>
      </c>
      <c r="Q478" s="35">
        <f>$F478*$K478*$P478</f>
        <v/>
      </c>
    </row>
    <row r="479">
      <c r="A479" s="11" t="inlineStr">
        <is>
          <t>UNIT</t>
        </is>
      </c>
      <c r="B479" s="28" t="inlineStr">
        <is>
          <t>VALERO_TEXAS_CITY</t>
        </is>
      </c>
      <c r="C479" s="28" t="n">
        <v>3</v>
      </c>
      <c r="D479" s="28" t="inlineStr">
        <is>
          <t>FCC</t>
        </is>
      </c>
      <c r="E479" s="28" t="inlineStr">
        <is>
          <t>FCC</t>
        </is>
      </c>
      <c r="F479" s="29" t="n">
        <v>86</v>
      </c>
      <c r="G479" s="30">
        <f>IFERROR(IF(INDEX(Effective!$E$3:$R$125,MATCH($B479,Effective!$A$3:$A$125,0),MATCH($D479,Effective!$E$2:$R$2,0))=0,"",INDEX(Effective!$E$3:$R$125,MATCH($B479,Effective!$A$3:$A$125,0),MATCH($D479,Effective!$E$2:$R$2,0))),"")</f>
        <v/>
      </c>
      <c r="H479" s="31" t="n"/>
      <c r="I479" s="17" t="inlineStr">
        <is>
          <t>override</t>
        </is>
      </c>
      <c r="J479" s="32" t="n">
        <v>0.803</v>
      </c>
      <c r="K479" s="33">
        <f>IF(AND(IF($I485&lt;&gt;"",$I485,$I479)="override",$J479&lt;&gt;""),$J479,SUMIFS(Assumptions!$K$4:$K$8,Assumptions!$J$4:$J$8,$C479))*Assumptions!$S$10*(1-MIN(1,MAX(N($H479),N($H485))))</f>
        <v/>
      </c>
      <c r="L479" s="32" t="n"/>
      <c r="M479" s="34">
        <f>IF(AND(IF($I485&lt;&gt;"",$I485,$I479)="override",$L479&lt;&gt;""),$L479,SUMIFS(Assumptions!$P$4:$P$103,Assumptions!$M$4:$M$103,$C479,Assumptions!$N$4:$N$103,$E479,Assumptions!$O$4:$O$103,"LVN"))</f>
        <v/>
      </c>
      <c r="N479" s="32" t="n"/>
      <c r="O479" s="34">
        <f>IF(AND(IF($I485&lt;&gt;"",$I485,$I479)="override",$N479&lt;&gt;""),$N479,SUMIFS(Assumptions!$P$4:$P$103,Assumptions!$M$4:$M$103,$C479,Assumptions!$N$4:$N$103,$E479,Assumptions!$O$4:$O$103,"HVN"))</f>
        <v/>
      </c>
      <c r="P479" s="34">
        <f>(M479+O479)*Assumptions!$S$11</f>
        <v/>
      </c>
      <c r="Q479" s="35">
        <f>$F479*$K479*$P479</f>
        <v/>
      </c>
    </row>
    <row r="480">
      <c r="A480" s="11" t="inlineStr">
        <is>
          <t>UNIT</t>
        </is>
      </c>
      <c r="B480" s="28" t="inlineStr">
        <is>
          <t>VALERO_TEXAS_CITY</t>
        </is>
      </c>
      <c r="C480" s="28" t="n">
        <v>3</v>
      </c>
      <c r="D480" s="28" t="inlineStr">
        <is>
          <t>COKER</t>
        </is>
      </c>
      <c r="E480" s="28" t="inlineStr">
        <is>
          <t>COKER</t>
        </is>
      </c>
      <c r="F480" s="29" t="n">
        <v>53.5</v>
      </c>
      <c r="G480" s="30">
        <f>IFERROR(IF(INDEX(Effective!$E$3:$R$125,MATCH($B480,Effective!$A$3:$A$125,0),MATCH($D480,Effective!$E$2:$R$2,0))=0,"",INDEX(Effective!$E$3:$R$125,MATCH($B480,Effective!$A$3:$A$125,0),MATCH($D480,Effective!$E$2:$R$2,0))),"")</f>
        <v/>
      </c>
      <c r="H480" s="31" t="n"/>
      <c r="I480" s="17" t="inlineStr">
        <is>
          <t>override</t>
        </is>
      </c>
      <c r="J480" s="32" t="n">
        <v>0.48</v>
      </c>
      <c r="K480" s="33">
        <f>IF(AND(IF($I485&lt;&gt;"",$I485,$I480)="override",$J480&lt;&gt;""),$J480,SUMIFS(Assumptions!$K$4:$K$8,Assumptions!$J$4:$J$8,$C480))*Assumptions!$S$10*(1-MIN(1,MAX(N($H480),N($H485))))</f>
        <v/>
      </c>
      <c r="L480" s="32" t="n"/>
      <c r="M480" s="34">
        <f>IF(AND(IF($I485&lt;&gt;"",$I485,$I480)="override",$L480&lt;&gt;""),$L480,SUMIFS(Assumptions!$P$4:$P$103,Assumptions!$M$4:$M$103,$C480,Assumptions!$N$4:$N$103,$E480,Assumptions!$O$4:$O$103,"LVN"))</f>
        <v/>
      </c>
      <c r="N480" s="32" t="n"/>
      <c r="O480" s="34">
        <f>IF(AND(IF($I485&lt;&gt;"",$I485,$I480)="override",$N480&lt;&gt;""),$N480,SUMIFS(Assumptions!$P$4:$P$103,Assumptions!$M$4:$M$103,$C480,Assumptions!$N$4:$N$103,$E480,Assumptions!$O$4:$O$103,"HVN"))</f>
        <v/>
      </c>
      <c r="P480" s="34">
        <f>(M480+O480)*Assumptions!$S$11</f>
        <v/>
      </c>
      <c r="Q480" s="35">
        <f>$F480*$K480*$P480</f>
        <v/>
      </c>
    </row>
    <row r="481">
      <c r="A481" s="11" t="inlineStr">
        <is>
          <t>UNIT</t>
        </is>
      </c>
      <c r="B481" s="28" t="inlineStr">
        <is>
          <t>VALERO_TEXAS_CITY</t>
        </is>
      </c>
      <c r="C481" s="28" t="n">
        <v>3</v>
      </c>
      <c r="D481" s="28" t="inlineStr">
        <is>
          <t>CCR</t>
        </is>
      </c>
      <c r="E481" s="28" t="inlineStr">
        <is>
          <t>REFORMER</t>
        </is>
      </c>
      <c r="F481" s="29" t="n">
        <v>18.1</v>
      </c>
      <c r="G481" s="30">
        <f>IFERROR(IF(INDEX(Effective!$E$3:$R$125,MATCH($B481,Effective!$A$3:$A$125,0),MATCH($D481,Effective!$E$2:$R$2,0))=0,"",INDEX(Effective!$E$3:$R$125,MATCH($B481,Effective!$A$3:$A$125,0),MATCH($D481,Effective!$E$2:$R$2,0))),"")</f>
        <v/>
      </c>
      <c r="H481" s="31" t="n"/>
      <c r="I481" s="17" t="inlineStr">
        <is>
          <t>override</t>
        </is>
      </c>
      <c r="J481" s="32" t="n">
        <v>0.994</v>
      </c>
      <c r="K481" s="33">
        <f>IF(AND(IF($I485&lt;&gt;"",$I485,$I481)="override",$J481&lt;&gt;""),$J481,SUMIFS(Assumptions!$K$4:$K$8,Assumptions!$J$4:$J$8,$C481))*Assumptions!$S$10*(1-MIN(1,MAX(N($H481),N($H485))))</f>
        <v/>
      </c>
      <c r="L481" s="32" t="n"/>
      <c r="M481" s="34">
        <f>IF(AND(IF($I485&lt;&gt;"",$I485,$I481)="override",$L481&lt;&gt;""),$L481,SUMIFS(Assumptions!$P$4:$P$103,Assumptions!$M$4:$M$103,$C481,Assumptions!$N$4:$N$103,$E481,Assumptions!$O$4:$O$103,"LVN"))</f>
        <v/>
      </c>
      <c r="N481" s="32" t="n"/>
      <c r="O481" s="34">
        <f>IF(AND(IF($I485&lt;&gt;"",$I485,$I481)="override",$N481&lt;&gt;""),$N481,SUMIFS(Assumptions!$P$4:$P$103,Assumptions!$M$4:$M$103,$C481,Assumptions!$N$4:$N$103,$E481,Assumptions!$O$4:$O$103,"HVN"))</f>
        <v/>
      </c>
      <c r="P481" s="34">
        <f>(M481+O481)*Assumptions!$S$11</f>
        <v/>
      </c>
      <c r="Q481" s="35">
        <f>$F481*$K481*$P481</f>
        <v/>
      </c>
    </row>
    <row r="482">
      <c r="A482" s="11" t="inlineStr">
        <is>
          <t>UNIT</t>
        </is>
      </c>
      <c r="B482" s="28" t="inlineStr">
        <is>
          <t>VALERO_TEXAS_CITY</t>
        </is>
      </c>
      <c r="C482" s="28" t="n">
        <v>3</v>
      </c>
      <c r="D482" s="28" t="inlineStr">
        <is>
          <t>ISOM</t>
        </is>
      </c>
      <c r="E482" s="28" t="inlineStr">
        <is>
          <t>ISOM</t>
        </is>
      </c>
      <c r="F482" s="29" t="n">
        <v>6.5</v>
      </c>
      <c r="G482" s="30">
        <f>IFERROR(IF(INDEX(Effective!$E$3:$R$125,MATCH($B482,Effective!$A$3:$A$125,0),MATCH($D482,Effective!$E$2:$R$2,0))=0,"",INDEX(Effective!$E$3:$R$125,MATCH($B482,Effective!$A$3:$A$125,0),MATCH($D482,Effective!$E$2:$R$2,0))),"")</f>
        <v/>
      </c>
      <c r="H482" s="31" t="n"/>
      <c r="I482" s="17" t="inlineStr">
        <is>
          <t>override</t>
        </is>
      </c>
      <c r="J482" s="32" t="n">
        <v>1</v>
      </c>
      <c r="K482" s="33">
        <f>IF(AND(IF($I485&lt;&gt;"",$I485,$I482)="override",$J482&lt;&gt;""),$J482,SUMIFS(Assumptions!$K$4:$K$8,Assumptions!$J$4:$J$8,$C482))*Assumptions!$S$10*(1-MIN(1,MAX(N($H482),N($H485))))</f>
        <v/>
      </c>
      <c r="L482" s="32" t="n"/>
      <c r="M482" s="34">
        <f>IF(AND(IF($I485&lt;&gt;"",$I485,$I482)="override",$L482&lt;&gt;""),$L482,SUMIFS(Assumptions!$P$4:$P$103,Assumptions!$M$4:$M$103,$C482,Assumptions!$N$4:$N$103,$E482,Assumptions!$O$4:$O$103,"LVN"))</f>
        <v/>
      </c>
      <c r="N482" s="32" t="n"/>
      <c r="O482" s="34">
        <f>IF(AND(IF($I485&lt;&gt;"",$I485,$I482)="override",$N482&lt;&gt;""),$N482,SUMIFS(Assumptions!$P$4:$P$103,Assumptions!$M$4:$M$103,$C482,Assumptions!$N$4:$N$103,$E482,Assumptions!$O$4:$O$103,"HVN"))</f>
        <v/>
      </c>
      <c r="P482" s="34">
        <f>(M482+O482)*Assumptions!$S$11</f>
        <v/>
      </c>
      <c r="Q482" s="35">
        <f>$F482*$K482*$P482</f>
        <v/>
      </c>
    </row>
    <row r="483">
      <c r="A483" s="11" t="inlineStr">
        <is>
          <t>UNIT</t>
        </is>
      </c>
      <c r="B483" s="28" t="inlineStr">
        <is>
          <t>VALERO_TEXAS_CITY</t>
        </is>
      </c>
      <c r="C483" s="28" t="n">
        <v>3</v>
      </c>
      <c r="D483" s="28" t="inlineStr">
        <is>
          <t>ALKY</t>
        </is>
      </c>
      <c r="E483" s="28" t="inlineStr">
        <is>
          <t>ALKY</t>
        </is>
      </c>
      <c r="F483" s="29" t="n">
        <v>14.7</v>
      </c>
      <c r="G483" s="30">
        <f>IFERROR(IF(INDEX(Effective!$E$3:$R$125,MATCH($B483,Effective!$A$3:$A$125,0),MATCH($D483,Effective!$E$2:$R$2,0))=0,"",INDEX(Effective!$E$3:$R$125,MATCH($B483,Effective!$A$3:$A$125,0),MATCH($D483,Effective!$E$2:$R$2,0))),"")</f>
        <v/>
      </c>
      <c r="H483" s="31" t="n"/>
      <c r="I483" s="17" t="inlineStr">
        <is>
          <t>override</t>
        </is>
      </c>
      <c r="J483" s="32" t="n">
        <v>1.1</v>
      </c>
      <c r="K483" s="33">
        <f>IF(AND(IF($I485&lt;&gt;"",$I485,$I483)="override",$J483&lt;&gt;""),$J483,SUMIFS(Assumptions!$K$4:$K$8,Assumptions!$J$4:$J$8,$C483))*Assumptions!$S$10*(1-MIN(1,MAX(N($H483),N($H485))))</f>
        <v/>
      </c>
      <c r="L483" s="32" t="n"/>
      <c r="M483" s="34">
        <f>IF(AND(IF($I485&lt;&gt;"",$I485,$I483)="override",$L483&lt;&gt;""),$L483,SUMIFS(Assumptions!$P$4:$P$103,Assumptions!$M$4:$M$103,$C483,Assumptions!$N$4:$N$103,$E483,Assumptions!$O$4:$O$103,"LVN"))</f>
        <v/>
      </c>
      <c r="N483" s="32" t="n"/>
      <c r="O483" s="34">
        <f>IF(AND(IF($I485&lt;&gt;"",$I485,$I483)="override",$N483&lt;&gt;""),$N483,SUMIFS(Assumptions!$P$4:$P$103,Assumptions!$M$4:$M$103,$C483,Assumptions!$N$4:$N$103,$E483,Assumptions!$O$4:$O$103,"HVN"))</f>
        <v/>
      </c>
      <c r="P483" s="34">
        <f>(M483+O483)*Assumptions!$S$11</f>
        <v/>
      </c>
      <c r="Q483" s="35">
        <f>$F483*$K483*$P483</f>
        <v/>
      </c>
    </row>
    <row r="484">
      <c r="A484" s="11" t="inlineStr">
        <is>
          <t>UNIT</t>
        </is>
      </c>
      <c r="B484" s="28" t="inlineStr">
        <is>
          <t>VALERO_TEXAS_CITY</t>
        </is>
      </c>
      <c r="C484" s="28" t="n">
        <v>3</v>
      </c>
      <c r="D484" s="28" t="inlineStr">
        <is>
          <t>NHT</t>
        </is>
      </c>
      <c r="E484" s="28" t="inlineStr">
        <is>
          <t>NHT</t>
        </is>
      </c>
      <c r="F484" s="29" t="n">
        <v>25</v>
      </c>
      <c r="G484" s="30">
        <f>IFERROR(IF(INDEX(Effective!$E$3:$R$125,MATCH($B484,Effective!$A$3:$A$125,0),MATCH($D484,Effective!$E$2:$R$2,0))=0,"",INDEX(Effective!$E$3:$R$125,MATCH($B484,Effective!$A$3:$A$125,0),MATCH($D484,Effective!$E$2:$R$2,0))),"")</f>
        <v/>
      </c>
      <c r="H484" s="31" t="n"/>
      <c r="I484" s="17" t="inlineStr">
        <is>
          <t>override</t>
        </is>
      </c>
      <c r="J484" s="32" t="n">
        <v>0.995</v>
      </c>
      <c r="K484" s="33">
        <f>IF(AND(IF($I485&lt;&gt;"",$I485,$I484)="override",$J484&lt;&gt;""),$J484,SUMIFS(Assumptions!$K$4:$K$8,Assumptions!$J$4:$J$8,$C484))*Assumptions!$S$10*(1-MIN(1,MAX(N($H484),N($H485))))</f>
        <v/>
      </c>
      <c r="L484" s="32" t="n"/>
      <c r="M484" s="34">
        <f>IF(AND(IF($I485&lt;&gt;"",$I485,$I484)="override",$L484&lt;&gt;""),$L484,SUMIFS(Assumptions!$P$4:$P$103,Assumptions!$M$4:$M$103,$C484,Assumptions!$N$4:$N$103,$E484,Assumptions!$O$4:$O$103,"LVN"))</f>
        <v/>
      </c>
      <c r="N484" s="32" t="n"/>
      <c r="O484" s="34">
        <f>IF(AND(IF($I485&lt;&gt;"",$I485,$I484)="override",$N484&lt;&gt;""),$N484,SUMIFS(Assumptions!$P$4:$P$103,Assumptions!$M$4:$M$103,$C484,Assumptions!$N$4:$N$103,$E484,Assumptions!$O$4:$O$103,"HVN"))</f>
        <v/>
      </c>
      <c r="P484" s="34">
        <f>(M484+O484)*Assumptions!$S$11</f>
        <v/>
      </c>
      <c r="Q484" s="35">
        <f>$F484*$K484*$P484</f>
        <v/>
      </c>
    </row>
    <row r="485">
      <c r="A485" s="24" t="inlineStr">
        <is>
          <t>TOTAL</t>
        </is>
      </c>
      <c r="B485" s="36" t="inlineStr">
        <is>
          <t>VALERO_TEXAS_CITY</t>
        </is>
      </c>
      <c r="C485" s="36" t="n">
        <v>3</v>
      </c>
      <c r="D485" s="36" t="inlineStr">
        <is>
          <t>NET NAPHTHA</t>
        </is>
      </c>
      <c r="H485" s="31" t="n"/>
      <c r="I485" s="17" t="n"/>
      <c r="Q485" s="37">
        <f>SUM(Q477:Q484)</f>
        <v/>
      </c>
    </row>
    <row r="487" ht="20" customHeight="1">
      <c r="A487" s="8">
        <f>"  Shell Norco  [SHELL_NORCO]   —   Shell   —   PADD 3   —   crude "&amp;TEXT(SUMIFS(Data!$G$3:$G$125,Data!$A$3:$A$125,"SHELL_NORCO"),"#,##0")&amp;" kbd"</f>
        <v/>
      </c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</row>
    <row r="488">
      <c r="A488" s="11" t="inlineStr">
        <is>
          <t>UNIT</t>
        </is>
      </c>
      <c r="B488" s="28" t="inlineStr">
        <is>
          <t>SHELL_NORCO</t>
        </is>
      </c>
      <c r="C488" s="28" t="n">
        <v>3</v>
      </c>
      <c r="D488" s="28" t="inlineStr">
        <is>
          <t>CDU</t>
        </is>
      </c>
      <c r="E488" s="28" t="inlineStr">
        <is>
          <t>CDU</t>
        </is>
      </c>
      <c r="F488" s="29" t="n">
        <v>250</v>
      </c>
      <c r="G488" s="30">
        <f>IFERROR(IF(INDEX(Effective!$E$3:$R$125,MATCH($B488,Effective!$A$3:$A$125,0),MATCH($D488,Effective!$E$2:$R$2,0))=0,"",INDEX(Effective!$E$3:$R$125,MATCH($B488,Effective!$A$3:$A$125,0),MATCH($D488,Effective!$E$2:$R$2,0))),"")</f>
        <v/>
      </c>
      <c r="H488" s="31" t="n"/>
      <c r="I488" s="17" t="inlineStr">
        <is>
          <t>override</t>
        </is>
      </c>
      <c r="J488" s="32" t="n">
        <v>0.905</v>
      </c>
      <c r="K488" s="33">
        <f>IF(AND(IF($I496&lt;&gt;"",$I496,$I488)="override",$J488&lt;&gt;""),$J488,SUMIFS(Assumptions!$K$4:$K$8,Assumptions!$J$4:$J$8,$C488))*Assumptions!$S$10*(1-MIN(1,MAX(N($H488),N($H496))))</f>
        <v/>
      </c>
      <c r="L488" s="32" t="n"/>
      <c r="M488" s="34">
        <f>IF(AND(IF($I496&lt;&gt;"",$I496,$I488)="override",$L488&lt;&gt;""),$L488,SUMIFS(Assumptions!$P$4:$P$103,Assumptions!$M$4:$M$103,$C488,Assumptions!$N$4:$N$103,$E488,Assumptions!$O$4:$O$103,"LVN"))</f>
        <v/>
      </c>
      <c r="N488" s="32" t="n"/>
      <c r="O488" s="34">
        <f>IF(AND(IF($I496&lt;&gt;"",$I496,$I488)="override",$N488&lt;&gt;""),$N488,SUMIFS(Assumptions!$P$4:$P$103,Assumptions!$M$4:$M$103,$C488,Assumptions!$N$4:$N$103,$E488,Assumptions!$O$4:$O$103,"HVN"))</f>
        <v/>
      </c>
      <c r="P488" s="34">
        <f>(M488+O488)*Assumptions!$S$11</f>
        <v/>
      </c>
      <c r="Q488" s="35">
        <f>$F488*$K488*$P488</f>
        <v/>
      </c>
    </row>
    <row r="489">
      <c r="A489" s="11" t="inlineStr">
        <is>
          <t>UNIT</t>
        </is>
      </c>
      <c r="B489" s="28" t="inlineStr">
        <is>
          <t>SHELL_NORCO</t>
        </is>
      </c>
      <c r="C489" s="28" t="n">
        <v>3</v>
      </c>
      <c r="D489" s="28" t="inlineStr">
        <is>
          <t>VDU</t>
        </is>
      </c>
      <c r="E489" s="28" t="inlineStr">
        <is>
          <t>VDU</t>
        </is>
      </c>
      <c r="F489" s="29" t="n">
        <v>91.3</v>
      </c>
      <c r="G489" s="30">
        <f>IFERROR(IF(INDEX(Effective!$E$3:$R$125,MATCH($B489,Effective!$A$3:$A$125,0),MATCH($D489,Effective!$E$2:$R$2,0))=0,"",INDEX(Effective!$E$3:$R$125,MATCH($B489,Effective!$A$3:$A$125,0),MATCH($D489,Effective!$E$2:$R$2,0))),"")</f>
        <v/>
      </c>
      <c r="H489" s="31" t="n"/>
      <c r="I489" s="17" t="inlineStr">
        <is>
          <t>override</t>
        </is>
      </c>
      <c r="J489" s="32" t="n">
        <v>0.883</v>
      </c>
      <c r="K489" s="33">
        <f>IF(AND(IF($I496&lt;&gt;"",$I496,$I489)="override",$J489&lt;&gt;""),$J489,SUMIFS(Assumptions!$K$4:$K$8,Assumptions!$J$4:$J$8,$C489))*Assumptions!$S$10*(1-MIN(1,MAX(N($H489),N($H496))))</f>
        <v/>
      </c>
      <c r="L489" s="32" t="n"/>
      <c r="M489" s="34">
        <f>IF(AND(IF($I496&lt;&gt;"",$I496,$I489)="override",$L489&lt;&gt;""),$L489,SUMIFS(Assumptions!$P$4:$P$103,Assumptions!$M$4:$M$103,$C489,Assumptions!$N$4:$N$103,$E489,Assumptions!$O$4:$O$103,"LVN"))</f>
        <v/>
      </c>
      <c r="N489" s="32" t="n"/>
      <c r="O489" s="34">
        <f>IF(AND(IF($I496&lt;&gt;"",$I496,$I489)="override",$N489&lt;&gt;""),$N489,SUMIFS(Assumptions!$P$4:$P$103,Assumptions!$M$4:$M$103,$C489,Assumptions!$N$4:$N$103,$E489,Assumptions!$O$4:$O$103,"HVN"))</f>
        <v/>
      </c>
      <c r="P489" s="34">
        <f>(M489+O489)*Assumptions!$S$11</f>
        <v/>
      </c>
      <c r="Q489" s="35">
        <f>$F489*$K489*$P489</f>
        <v/>
      </c>
    </row>
    <row r="490">
      <c r="A490" s="11" t="inlineStr">
        <is>
          <t>UNIT</t>
        </is>
      </c>
      <c r="B490" s="28" t="inlineStr">
        <is>
          <t>SHELL_NORCO</t>
        </is>
      </c>
      <c r="C490" s="28" t="n">
        <v>3</v>
      </c>
      <c r="D490" s="28" t="inlineStr">
        <is>
          <t>FCC</t>
        </is>
      </c>
      <c r="E490" s="28" t="inlineStr">
        <is>
          <t>FCC</t>
        </is>
      </c>
      <c r="F490" s="29" t="n">
        <v>118.8</v>
      </c>
      <c r="G490" s="30">
        <f>IFERROR(IF(INDEX(Effective!$E$3:$R$125,MATCH($B490,Effective!$A$3:$A$125,0),MATCH($D490,Effective!$E$2:$R$2,0))=0,"",INDEX(Effective!$E$3:$R$125,MATCH($B490,Effective!$A$3:$A$125,0),MATCH($D490,Effective!$E$2:$R$2,0))),"")</f>
        <v/>
      </c>
      <c r="H490" s="31" t="n"/>
      <c r="I490" s="17" t="inlineStr">
        <is>
          <t>override</t>
        </is>
      </c>
      <c r="J490" s="32" t="n"/>
      <c r="K490" s="33">
        <f>IF(AND(IF($I496&lt;&gt;"",$I496,$I490)="override",$J490&lt;&gt;""),$J490,SUMIFS(Assumptions!$K$4:$K$8,Assumptions!$J$4:$J$8,$C490))*Assumptions!$S$10*(1-MIN(1,MAX(N($H490),N($H496))))</f>
        <v/>
      </c>
      <c r="L490" s="32" t="n"/>
      <c r="M490" s="34">
        <f>IF(AND(IF($I496&lt;&gt;"",$I496,$I490)="override",$L490&lt;&gt;""),$L490,SUMIFS(Assumptions!$P$4:$P$103,Assumptions!$M$4:$M$103,$C490,Assumptions!$N$4:$N$103,$E490,Assumptions!$O$4:$O$103,"LVN"))</f>
        <v/>
      </c>
      <c r="N490" s="32" t="n"/>
      <c r="O490" s="34">
        <f>IF(AND(IF($I496&lt;&gt;"",$I496,$I490)="override",$N490&lt;&gt;""),$N490,SUMIFS(Assumptions!$P$4:$P$103,Assumptions!$M$4:$M$103,$C490,Assumptions!$N$4:$N$103,$E490,Assumptions!$O$4:$O$103,"HVN"))</f>
        <v/>
      </c>
      <c r="P490" s="34">
        <f>(M490+O490)*Assumptions!$S$11</f>
        <v/>
      </c>
      <c r="Q490" s="35">
        <f>$F490*$K490*$P490</f>
        <v/>
      </c>
    </row>
    <row r="491">
      <c r="A491" s="11" t="inlineStr">
        <is>
          <t>UNIT</t>
        </is>
      </c>
      <c r="B491" s="28" t="inlineStr">
        <is>
          <t>SHELL_NORCO</t>
        </is>
      </c>
      <c r="C491" s="28" t="n">
        <v>3</v>
      </c>
      <c r="D491" s="28" t="inlineStr">
        <is>
          <t>DHCU</t>
        </is>
      </c>
      <c r="E491" s="28" t="inlineStr">
        <is>
          <t>HYDROCRACKER</t>
        </is>
      </c>
      <c r="F491" s="29" t="n">
        <v>44</v>
      </c>
      <c r="G491" s="30">
        <f>IFERROR(IF(INDEX(Effective!$E$3:$R$125,MATCH($B491,Effective!$A$3:$A$125,0),MATCH($D491,Effective!$E$2:$R$2,0))=0,"",INDEX(Effective!$E$3:$R$125,MATCH($B491,Effective!$A$3:$A$125,0),MATCH($D491,Effective!$E$2:$R$2,0))),"")</f>
        <v/>
      </c>
      <c r="H491" s="31" t="n"/>
      <c r="I491" s="17" t="inlineStr">
        <is>
          <t>override</t>
        </is>
      </c>
      <c r="J491" s="32" t="n">
        <v>0.589</v>
      </c>
      <c r="K491" s="33">
        <f>IF(AND(IF($I496&lt;&gt;"",$I496,$I491)="override",$J491&lt;&gt;""),$J491,SUMIFS(Assumptions!$K$4:$K$8,Assumptions!$J$4:$J$8,$C491))*Assumptions!$S$10*(1-MIN(1,MAX(N($H491),N($H496))))</f>
        <v/>
      </c>
      <c r="L491" s="32" t="n"/>
      <c r="M491" s="34">
        <f>IF(AND(IF($I496&lt;&gt;"",$I496,$I491)="override",$L491&lt;&gt;""),$L491,SUMIFS(Assumptions!$P$4:$P$103,Assumptions!$M$4:$M$103,$C491,Assumptions!$N$4:$N$103,$E491,Assumptions!$O$4:$O$103,"LVN"))</f>
        <v/>
      </c>
      <c r="N491" s="32" t="n"/>
      <c r="O491" s="34">
        <f>IF(AND(IF($I496&lt;&gt;"",$I496,$I491)="override",$N491&lt;&gt;""),$N491,SUMIFS(Assumptions!$P$4:$P$103,Assumptions!$M$4:$M$103,$C491,Assumptions!$N$4:$N$103,$E491,Assumptions!$O$4:$O$103,"HVN"))</f>
        <v/>
      </c>
      <c r="P491" s="34">
        <f>(M491+O491)*Assumptions!$S$11</f>
        <v/>
      </c>
      <c r="Q491" s="35">
        <f>$F491*$K491*$P491</f>
        <v/>
      </c>
    </row>
    <row r="492">
      <c r="A492" s="11" t="inlineStr">
        <is>
          <t>UNIT</t>
        </is>
      </c>
      <c r="B492" s="28" t="inlineStr">
        <is>
          <t>SHELL_NORCO</t>
        </is>
      </c>
      <c r="C492" s="28" t="n">
        <v>3</v>
      </c>
      <c r="D492" s="28" t="inlineStr">
        <is>
          <t>COKER</t>
        </is>
      </c>
      <c r="E492" s="28" t="inlineStr">
        <is>
          <t>COKER</t>
        </is>
      </c>
      <c r="F492" s="29" t="n">
        <v>28.5</v>
      </c>
      <c r="G492" s="30">
        <f>IFERROR(IF(INDEX(Effective!$E$3:$R$125,MATCH($B492,Effective!$A$3:$A$125,0),MATCH($D492,Effective!$E$2:$R$2,0))=0,"",INDEX(Effective!$E$3:$R$125,MATCH($B492,Effective!$A$3:$A$125,0),MATCH($D492,Effective!$E$2:$R$2,0))),"")</f>
        <v/>
      </c>
      <c r="H492" s="31" t="n"/>
      <c r="I492" s="17" t="inlineStr">
        <is>
          <t>override</t>
        </is>
      </c>
      <c r="J492" s="32" t="n">
        <v>0.625</v>
      </c>
      <c r="K492" s="33">
        <f>IF(AND(IF($I496&lt;&gt;"",$I496,$I492)="override",$J492&lt;&gt;""),$J492,SUMIFS(Assumptions!$K$4:$K$8,Assumptions!$J$4:$J$8,$C492))*Assumptions!$S$10*(1-MIN(1,MAX(N($H492),N($H496))))</f>
        <v/>
      </c>
      <c r="L492" s="32" t="n"/>
      <c r="M492" s="34">
        <f>IF(AND(IF($I496&lt;&gt;"",$I496,$I492)="override",$L492&lt;&gt;""),$L492,SUMIFS(Assumptions!$P$4:$P$103,Assumptions!$M$4:$M$103,$C492,Assumptions!$N$4:$N$103,$E492,Assumptions!$O$4:$O$103,"LVN"))</f>
        <v/>
      </c>
      <c r="N492" s="32" t="n"/>
      <c r="O492" s="34">
        <f>IF(AND(IF($I496&lt;&gt;"",$I496,$I492)="override",$N492&lt;&gt;""),$N492,SUMIFS(Assumptions!$P$4:$P$103,Assumptions!$M$4:$M$103,$C492,Assumptions!$N$4:$N$103,$E492,Assumptions!$O$4:$O$103,"HVN"))</f>
        <v/>
      </c>
      <c r="P492" s="34">
        <f>(M492+O492)*Assumptions!$S$11</f>
        <v/>
      </c>
      <c r="Q492" s="35">
        <f>$F492*$K492*$P492</f>
        <v/>
      </c>
    </row>
    <row r="493">
      <c r="A493" s="11" t="inlineStr">
        <is>
          <t>UNIT</t>
        </is>
      </c>
      <c r="B493" s="28" t="inlineStr">
        <is>
          <t>SHELL_NORCO</t>
        </is>
      </c>
      <c r="C493" s="28" t="n">
        <v>3</v>
      </c>
      <c r="D493" s="28" t="inlineStr">
        <is>
          <t>CCR</t>
        </is>
      </c>
      <c r="E493" s="28" t="inlineStr">
        <is>
          <t>REFORMER</t>
        </is>
      </c>
      <c r="F493" s="29" t="n">
        <v>40</v>
      </c>
      <c r="G493" s="30">
        <f>IFERROR(IF(INDEX(Effective!$E$3:$R$125,MATCH($B493,Effective!$A$3:$A$125,0),MATCH($D493,Effective!$E$2:$R$2,0))=0,"",INDEX(Effective!$E$3:$R$125,MATCH($B493,Effective!$A$3:$A$125,0),MATCH($D493,Effective!$E$2:$R$2,0))),"")</f>
        <v/>
      </c>
      <c r="H493" s="31" t="n"/>
      <c r="I493" s="17" t="inlineStr">
        <is>
          <t>override</t>
        </is>
      </c>
      <c r="J493" s="32" t="n">
        <v>0.911</v>
      </c>
      <c r="K493" s="33">
        <f>IF(AND(IF($I496&lt;&gt;"",$I496,$I493)="override",$J493&lt;&gt;""),$J493,SUMIFS(Assumptions!$K$4:$K$8,Assumptions!$J$4:$J$8,$C493))*Assumptions!$S$10*(1-MIN(1,MAX(N($H493),N($H496))))</f>
        <v/>
      </c>
      <c r="L493" s="32" t="n"/>
      <c r="M493" s="34">
        <f>IF(AND(IF($I496&lt;&gt;"",$I496,$I493)="override",$L493&lt;&gt;""),$L493,SUMIFS(Assumptions!$P$4:$P$103,Assumptions!$M$4:$M$103,$C493,Assumptions!$N$4:$N$103,$E493,Assumptions!$O$4:$O$103,"LVN"))</f>
        <v/>
      </c>
      <c r="N493" s="32" t="n"/>
      <c r="O493" s="34">
        <f>IF(AND(IF($I496&lt;&gt;"",$I496,$I493)="override",$N493&lt;&gt;""),$N493,SUMIFS(Assumptions!$P$4:$P$103,Assumptions!$M$4:$M$103,$C493,Assumptions!$N$4:$N$103,$E493,Assumptions!$O$4:$O$103,"HVN"))</f>
        <v/>
      </c>
      <c r="P493" s="34">
        <f>(M493+O493)*Assumptions!$S$11</f>
        <v/>
      </c>
      <c r="Q493" s="35">
        <f>$F493*$K493*$P493</f>
        <v/>
      </c>
    </row>
    <row r="494">
      <c r="A494" s="11" t="inlineStr">
        <is>
          <t>UNIT</t>
        </is>
      </c>
      <c r="B494" s="28" t="inlineStr">
        <is>
          <t>SHELL_NORCO</t>
        </is>
      </c>
      <c r="C494" s="28" t="n">
        <v>3</v>
      </c>
      <c r="D494" s="28" t="inlineStr">
        <is>
          <t>ALKY</t>
        </is>
      </c>
      <c r="E494" s="28" t="inlineStr">
        <is>
          <t>ALKY</t>
        </is>
      </c>
      <c r="F494" s="29" t="n">
        <v>18.1</v>
      </c>
      <c r="G494" s="30">
        <f>IFERROR(IF(INDEX(Effective!$E$3:$R$125,MATCH($B494,Effective!$A$3:$A$125,0),MATCH($D494,Effective!$E$2:$R$2,0))=0,"",INDEX(Effective!$E$3:$R$125,MATCH($B494,Effective!$A$3:$A$125,0),MATCH($D494,Effective!$E$2:$R$2,0))),"")</f>
        <v/>
      </c>
      <c r="H494" s="31" t="n"/>
      <c r="I494" s="17" t="inlineStr">
        <is>
          <t>override</t>
        </is>
      </c>
      <c r="J494" s="32" t="n">
        <v>1.1</v>
      </c>
      <c r="K494" s="33">
        <f>IF(AND(IF($I496&lt;&gt;"",$I496,$I494)="override",$J494&lt;&gt;""),$J494,SUMIFS(Assumptions!$K$4:$K$8,Assumptions!$J$4:$J$8,$C494))*Assumptions!$S$10*(1-MIN(1,MAX(N($H494),N($H496))))</f>
        <v/>
      </c>
      <c r="L494" s="32" t="n"/>
      <c r="M494" s="34">
        <f>IF(AND(IF($I496&lt;&gt;"",$I496,$I494)="override",$L494&lt;&gt;""),$L494,SUMIFS(Assumptions!$P$4:$P$103,Assumptions!$M$4:$M$103,$C494,Assumptions!$N$4:$N$103,$E494,Assumptions!$O$4:$O$103,"LVN"))</f>
        <v/>
      </c>
      <c r="N494" s="32" t="n"/>
      <c r="O494" s="34">
        <f>IF(AND(IF($I496&lt;&gt;"",$I496,$I494)="override",$N494&lt;&gt;""),$N494,SUMIFS(Assumptions!$P$4:$P$103,Assumptions!$M$4:$M$103,$C494,Assumptions!$N$4:$N$103,$E494,Assumptions!$O$4:$O$103,"HVN"))</f>
        <v/>
      </c>
      <c r="P494" s="34">
        <f>(M494+O494)*Assumptions!$S$11</f>
        <v/>
      </c>
      <c r="Q494" s="35">
        <f>$F494*$K494*$P494</f>
        <v/>
      </c>
    </row>
    <row r="495">
      <c r="A495" s="11" t="inlineStr">
        <is>
          <t>UNIT</t>
        </is>
      </c>
      <c r="B495" s="28" t="inlineStr">
        <is>
          <t>SHELL_NORCO</t>
        </is>
      </c>
      <c r="C495" s="28" t="n">
        <v>3</v>
      </c>
      <c r="D495" s="28" t="inlineStr">
        <is>
          <t>NHT</t>
        </is>
      </c>
      <c r="E495" s="28" t="inlineStr">
        <is>
          <t>NHT</t>
        </is>
      </c>
      <c r="F495" s="29" t="n">
        <v>42</v>
      </c>
      <c r="G495" s="30">
        <f>IFERROR(IF(INDEX(Effective!$E$3:$R$125,MATCH($B495,Effective!$A$3:$A$125,0),MATCH($D495,Effective!$E$2:$R$2,0))=0,"",INDEX(Effective!$E$3:$R$125,MATCH($B495,Effective!$A$3:$A$125,0),MATCH($D495,Effective!$E$2:$R$2,0))),"")</f>
        <v/>
      </c>
      <c r="H495" s="31" t="n"/>
      <c r="I495" s="17" t="inlineStr">
        <is>
          <t>override</t>
        </is>
      </c>
      <c r="J495" s="32" t="n">
        <v>0.954</v>
      </c>
      <c r="K495" s="33">
        <f>IF(AND(IF($I496&lt;&gt;"",$I496,$I495)="override",$J495&lt;&gt;""),$J495,SUMIFS(Assumptions!$K$4:$K$8,Assumptions!$J$4:$J$8,$C495))*Assumptions!$S$10*(1-MIN(1,MAX(N($H495),N($H496))))</f>
        <v/>
      </c>
      <c r="L495" s="32" t="n"/>
      <c r="M495" s="34">
        <f>IF(AND(IF($I496&lt;&gt;"",$I496,$I495)="override",$L495&lt;&gt;""),$L495,SUMIFS(Assumptions!$P$4:$P$103,Assumptions!$M$4:$M$103,$C495,Assumptions!$N$4:$N$103,$E495,Assumptions!$O$4:$O$103,"LVN"))</f>
        <v/>
      </c>
      <c r="N495" s="32" t="n"/>
      <c r="O495" s="34">
        <f>IF(AND(IF($I496&lt;&gt;"",$I496,$I495)="override",$N495&lt;&gt;""),$N495,SUMIFS(Assumptions!$P$4:$P$103,Assumptions!$M$4:$M$103,$C495,Assumptions!$N$4:$N$103,$E495,Assumptions!$O$4:$O$103,"HVN"))</f>
        <v/>
      </c>
      <c r="P495" s="34">
        <f>(M495+O495)*Assumptions!$S$11</f>
        <v/>
      </c>
      <c r="Q495" s="35">
        <f>$F495*$K495*$P495</f>
        <v/>
      </c>
    </row>
    <row r="496">
      <c r="A496" s="24" t="inlineStr">
        <is>
          <t>TOTAL</t>
        </is>
      </c>
      <c r="B496" s="36" t="inlineStr">
        <is>
          <t>SHELL_NORCO</t>
        </is>
      </c>
      <c r="C496" s="36" t="n">
        <v>3</v>
      </c>
      <c r="D496" s="36" t="inlineStr">
        <is>
          <t>NET NAPHTHA</t>
        </is>
      </c>
      <c r="H496" s="31" t="n"/>
      <c r="I496" s="17" t="n"/>
      <c r="Q496" s="37">
        <f>SUM(Q488:Q495)</f>
        <v/>
      </c>
    </row>
    <row r="498" ht="20" customHeight="1">
      <c r="A498" s="8">
        <f>"  Total Port Arthur  [TOTAL_PORT_ARTHUR]   —   Total   —   PADD 3   —   crude "&amp;TEXT(SUMIFS(Data!$G$3:$G$125,Data!$A$3:$A$125,"TOTAL_PORT_ARTHUR"),"#,##0")&amp;" kbd"</f>
        <v/>
      </c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</row>
    <row r="499">
      <c r="A499" s="11" t="inlineStr">
        <is>
          <t>UNIT</t>
        </is>
      </c>
      <c r="B499" s="28" t="inlineStr">
        <is>
          <t>TOTAL_PORT_ARTHUR</t>
        </is>
      </c>
      <c r="C499" s="28" t="n">
        <v>3</v>
      </c>
      <c r="D499" s="28" t="inlineStr">
        <is>
          <t>CDU</t>
        </is>
      </c>
      <c r="E499" s="28" t="inlineStr">
        <is>
          <t>CDU</t>
        </is>
      </c>
      <c r="F499" s="29" t="n">
        <v>195</v>
      </c>
      <c r="G499" s="30">
        <f>IFERROR(IF(INDEX(Effective!$E$3:$R$125,MATCH($B499,Effective!$A$3:$A$125,0),MATCH($D499,Effective!$E$2:$R$2,0))=0,"",INDEX(Effective!$E$3:$R$125,MATCH($B499,Effective!$A$3:$A$125,0),MATCH($D499,Effective!$E$2:$R$2,0))),"")</f>
        <v/>
      </c>
      <c r="H499" s="31" t="n"/>
      <c r="I499" s="17" t="inlineStr">
        <is>
          <t>override</t>
        </is>
      </c>
      <c r="J499" s="32" t="n">
        <v>0.665</v>
      </c>
      <c r="K499" s="33">
        <f>IF(AND(IF($I507&lt;&gt;"",$I507,$I499)="override",$J499&lt;&gt;""),$J499,SUMIFS(Assumptions!$K$4:$K$8,Assumptions!$J$4:$J$8,$C499))*Assumptions!$S$10*(1-MIN(1,MAX(N($H499),N($H507))))</f>
        <v/>
      </c>
      <c r="L499" s="32" t="n"/>
      <c r="M499" s="34">
        <f>IF(AND(IF($I507&lt;&gt;"",$I507,$I499)="override",$L499&lt;&gt;""),$L499,SUMIFS(Assumptions!$P$4:$P$103,Assumptions!$M$4:$M$103,$C499,Assumptions!$N$4:$N$103,$E499,Assumptions!$O$4:$O$103,"LVN"))</f>
        <v/>
      </c>
      <c r="N499" s="32" t="n"/>
      <c r="O499" s="34">
        <f>IF(AND(IF($I507&lt;&gt;"",$I507,$I499)="override",$N499&lt;&gt;""),$N499,SUMIFS(Assumptions!$P$4:$P$103,Assumptions!$M$4:$M$103,$C499,Assumptions!$N$4:$N$103,$E499,Assumptions!$O$4:$O$103,"HVN"))</f>
        <v/>
      </c>
      <c r="P499" s="34">
        <f>(M499+O499)*Assumptions!$S$11</f>
        <v/>
      </c>
      <c r="Q499" s="35">
        <f>$F499*$K499*$P499</f>
        <v/>
      </c>
    </row>
    <row r="500">
      <c r="A500" s="11" t="inlineStr">
        <is>
          <t>UNIT</t>
        </is>
      </c>
      <c r="B500" s="28" t="inlineStr">
        <is>
          <t>TOTAL_PORT_ARTHUR</t>
        </is>
      </c>
      <c r="C500" s="28" t="n">
        <v>3</v>
      </c>
      <c r="D500" s="28" t="inlineStr">
        <is>
          <t>VDU</t>
        </is>
      </c>
      <c r="E500" s="28" t="inlineStr">
        <is>
          <t>VDU</t>
        </is>
      </c>
      <c r="F500" s="29" t="n">
        <v>117</v>
      </c>
      <c r="G500" s="30">
        <f>IFERROR(IF(INDEX(Effective!$E$3:$R$125,MATCH($B500,Effective!$A$3:$A$125,0),MATCH($D500,Effective!$E$2:$R$2,0))=0,"",INDEX(Effective!$E$3:$R$125,MATCH($B500,Effective!$A$3:$A$125,0),MATCH($D500,Effective!$E$2:$R$2,0))),"")</f>
        <v/>
      </c>
      <c r="H500" s="31" t="n"/>
      <c r="I500" s="17" t="inlineStr">
        <is>
          <t>override</t>
        </is>
      </c>
      <c r="J500" s="32" t="n">
        <v>0.495</v>
      </c>
      <c r="K500" s="33">
        <f>IF(AND(IF($I507&lt;&gt;"",$I507,$I500)="override",$J500&lt;&gt;""),$J500,SUMIFS(Assumptions!$K$4:$K$8,Assumptions!$J$4:$J$8,$C500))*Assumptions!$S$10*(1-MIN(1,MAX(N($H500),N($H507))))</f>
        <v/>
      </c>
      <c r="L500" s="32" t="n"/>
      <c r="M500" s="34">
        <f>IF(AND(IF($I507&lt;&gt;"",$I507,$I500)="override",$L500&lt;&gt;""),$L500,SUMIFS(Assumptions!$P$4:$P$103,Assumptions!$M$4:$M$103,$C500,Assumptions!$N$4:$N$103,$E500,Assumptions!$O$4:$O$103,"LVN"))</f>
        <v/>
      </c>
      <c r="N500" s="32" t="n"/>
      <c r="O500" s="34">
        <f>IF(AND(IF($I507&lt;&gt;"",$I507,$I500)="override",$N500&lt;&gt;""),$N500,SUMIFS(Assumptions!$P$4:$P$103,Assumptions!$M$4:$M$103,$C500,Assumptions!$N$4:$N$103,$E500,Assumptions!$O$4:$O$103,"HVN"))</f>
        <v/>
      </c>
      <c r="P500" s="34">
        <f>(M500+O500)*Assumptions!$S$11</f>
        <v/>
      </c>
      <c r="Q500" s="35">
        <f>$F500*$K500*$P500</f>
        <v/>
      </c>
    </row>
    <row r="501">
      <c r="A501" s="11" t="inlineStr">
        <is>
          <t>UNIT</t>
        </is>
      </c>
      <c r="B501" s="28" t="inlineStr">
        <is>
          <t>TOTAL_PORT_ARTHUR</t>
        </is>
      </c>
      <c r="C501" s="28" t="n">
        <v>3</v>
      </c>
      <c r="D501" s="28" t="inlineStr">
        <is>
          <t>FCC</t>
        </is>
      </c>
      <c r="E501" s="28" t="inlineStr">
        <is>
          <t>FCC</t>
        </is>
      </c>
      <c r="F501" s="29" t="n">
        <v>80</v>
      </c>
      <c r="G501" s="30">
        <f>IFERROR(IF(INDEX(Effective!$E$3:$R$125,MATCH($B501,Effective!$A$3:$A$125,0),MATCH($D501,Effective!$E$2:$R$2,0))=0,"",INDEX(Effective!$E$3:$R$125,MATCH($B501,Effective!$A$3:$A$125,0),MATCH($D501,Effective!$E$2:$R$2,0))),"")</f>
        <v/>
      </c>
      <c r="H501" s="31" t="n"/>
      <c r="I501" s="17" t="inlineStr">
        <is>
          <t>override</t>
        </is>
      </c>
      <c r="J501" s="32" t="n">
        <v>0.489</v>
      </c>
      <c r="K501" s="33">
        <f>IF(AND(IF($I507&lt;&gt;"",$I507,$I501)="override",$J501&lt;&gt;""),$J501,SUMIFS(Assumptions!$K$4:$K$8,Assumptions!$J$4:$J$8,$C501))*Assumptions!$S$10*(1-MIN(1,MAX(N($H501),N($H507))))</f>
        <v/>
      </c>
      <c r="L501" s="32" t="n"/>
      <c r="M501" s="34">
        <f>IF(AND(IF($I507&lt;&gt;"",$I507,$I501)="override",$L501&lt;&gt;""),$L501,SUMIFS(Assumptions!$P$4:$P$103,Assumptions!$M$4:$M$103,$C501,Assumptions!$N$4:$N$103,$E501,Assumptions!$O$4:$O$103,"LVN"))</f>
        <v/>
      </c>
      <c r="N501" s="32" t="n"/>
      <c r="O501" s="34">
        <f>IF(AND(IF($I507&lt;&gt;"",$I507,$I501)="override",$N501&lt;&gt;""),$N501,SUMIFS(Assumptions!$P$4:$P$103,Assumptions!$M$4:$M$103,$C501,Assumptions!$N$4:$N$103,$E501,Assumptions!$O$4:$O$103,"HVN"))</f>
        <v/>
      </c>
      <c r="P501" s="34">
        <f>(M501+O501)*Assumptions!$S$11</f>
        <v/>
      </c>
      <c r="Q501" s="35">
        <f>$F501*$K501*$P501</f>
        <v/>
      </c>
    </row>
    <row r="502">
      <c r="A502" s="11" t="inlineStr">
        <is>
          <t>UNIT</t>
        </is>
      </c>
      <c r="B502" s="28" t="inlineStr">
        <is>
          <t>TOTAL_PORT_ARTHUR</t>
        </is>
      </c>
      <c r="C502" s="28" t="n">
        <v>3</v>
      </c>
      <c r="D502" s="28" t="inlineStr">
        <is>
          <t>COKER</t>
        </is>
      </c>
      <c r="E502" s="28" t="inlineStr">
        <is>
          <t>COKER</t>
        </is>
      </c>
      <c r="F502" s="29" t="n">
        <v>60</v>
      </c>
      <c r="G502" s="30">
        <f>IFERROR(IF(INDEX(Effective!$E$3:$R$125,MATCH($B502,Effective!$A$3:$A$125,0),MATCH($D502,Effective!$E$2:$R$2,0))=0,"",INDEX(Effective!$E$3:$R$125,MATCH($B502,Effective!$A$3:$A$125,0),MATCH($D502,Effective!$E$2:$R$2,0))),"")</f>
        <v/>
      </c>
      <c r="H502" s="31" t="n"/>
      <c r="I502" s="17" t="inlineStr">
        <is>
          <t>override</t>
        </is>
      </c>
      <c r="J502" s="32" t="n">
        <v>0.379</v>
      </c>
      <c r="K502" s="33">
        <f>IF(AND(IF($I507&lt;&gt;"",$I507,$I502)="override",$J502&lt;&gt;""),$J502,SUMIFS(Assumptions!$K$4:$K$8,Assumptions!$J$4:$J$8,$C502))*Assumptions!$S$10*(1-MIN(1,MAX(N($H502),N($H507))))</f>
        <v/>
      </c>
      <c r="L502" s="32" t="n"/>
      <c r="M502" s="34">
        <f>IF(AND(IF($I507&lt;&gt;"",$I507,$I502)="override",$L502&lt;&gt;""),$L502,SUMIFS(Assumptions!$P$4:$P$103,Assumptions!$M$4:$M$103,$C502,Assumptions!$N$4:$N$103,$E502,Assumptions!$O$4:$O$103,"LVN"))</f>
        <v/>
      </c>
      <c r="N502" s="32" t="n"/>
      <c r="O502" s="34">
        <f>IF(AND(IF($I507&lt;&gt;"",$I507,$I502)="override",$N502&lt;&gt;""),$N502,SUMIFS(Assumptions!$P$4:$P$103,Assumptions!$M$4:$M$103,$C502,Assumptions!$N$4:$N$103,$E502,Assumptions!$O$4:$O$103,"HVN"))</f>
        <v/>
      </c>
      <c r="P502" s="34">
        <f>(M502+O502)*Assumptions!$S$11</f>
        <v/>
      </c>
      <c r="Q502" s="35">
        <f>$F502*$K502*$P502</f>
        <v/>
      </c>
    </row>
    <row r="503">
      <c r="A503" s="11" t="inlineStr">
        <is>
          <t>UNIT</t>
        </is>
      </c>
      <c r="B503" s="28" t="inlineStr">
        <is>
          <t>TOTAL_PORT_ARTHUR</t>
        </is>
      </c>
      <c r="C503" s="28" t="n">
        <v>3</v>
      </c>
      <c r="D503" s="28" t="inlineStr">
        <is>
          <t>CCR</t>
        </is>
      </c>
      <c r="E503" s="28" t="inlineStr">
        <is>
          <t>REFORMER</t>
        </is>
      </c>
      <c r="F503" s="29" t="n">
        <v>43</v>
      </c>
      <c r="G503" s="30">
        <f>IFERROR(IF(INDEX(Effective!$E$3:$R$125,MATCH($B503,Effective!$A$3:$A$125,0),MATCH($D503,Effective!$E$2:$R$2,0))=0,"",INDEX(Effective!$E$3:$R$125,MATCH($B503,Effective!$A$3:$A$125,0),MATCH($D503,Effective!$E$2:$R$2,0))),"")</f>
        <v/>
      </c>
      <c r="H503" s="31" t="n"/>
      <c r="I503" s="17" t="inlineStr">
        <is>
          <t>override</t>
        </is>
      </c>
      <c r="J503" s="32" t="n">
        <v>0.9399999999999999</v>
      </c>
      <c r="K503" s="33">
        <f>IF(AND(IF($I507&lt;&gt;"",$I507,$I503)="override",$J503&lt;&gt;""),$J503,SUMIFS(Assumptions!$K$4:$K$8,Assumptions!$J$4:$J$8,$C503))*Assumptions!$S$10*(1-MIN(1,MAX(N($H503),N($H507))))</f>
        <v/>
      </c>
      <c r="L503" s="32" t="n"/>
      <c r="M503" s="34">
        <f>IF(AND(IF($I507&lt;&gt;"",$I507,$I503)="override",$L503&lt;&gt;""),$L503,SUMIFS(Assumptions!$P$4:$P$103,Assumptions!$M$4:$M$103,$C503,Assumptions!$N$4:$N$103,$E503,Assumptions!$O$4:$O$103,"LVN"))</f>
        <v/>
      </c>
      <c r="N503" s="32" t="n"/>
      <c r="O503" s="34">
        <f>IF(AND(IF($I507&lt;&gt;"",$I507,$I503)="override",$N503&lt;&gt;""),$N503,SUMIFS(Assumptions!$P$4:$P$103,Assumptions!$M$4:$M$103,$C503,Assumptions!$N$4:$N$103,$E503,Assumptions!$O$4:$O$103,"HVN"))</f>
        <v/>
      </c>
      <c r="P503" s="34">
        <f>(M503+O503)*Assumptions!$S$11</f>
        <v/>
      </c>
      <c r="Q503" s="35">
        <f>$F503*$K503*$P503</f>
        <v/>
      </c>
    </row>
    <row r="504">
      <c r="A504" s="11" t="inlineStr">
        <is>
          <t>UNIT</t>
        </is>
      </c>
      <c r="B504" s="28" t="inlineStr">
        <is>
          <t>TOTAL_PORT_ARTHUR</t>
        </is>
      </c>
      <c r="C504" s="28" t="n">
        <v>3</v>
      </c>
      <c r="D504" s="28" t="inlineStr">
        <is>
          <t>ISOM</t>
        </is>
      </c>
      <c r="E504" s="28" t="inlineStr">
        <is>
          <t>ISOM</t>
        </is>
      </c>
      <c r="F504" s="29" t="n">
        <v>7.8</v>
      </c>
      <c r="G504" s="30">
        <f>IFERROR(IF(INDEX(Effective!$E$3:$R$125,MATCH($B504,Effective!$A$3:$A$125,0),MATCH($D504,Effective!$E$2:$R$2,0))=0,"",INDEX(Effective!$E$3:$R$125,MATCH($B504,Effective!$A$3:$A$125,0),MATCH($D504,Effective!$E$2:$R$2,0))),"")</f>
        <v/>
      </c>
      <c r="H504" s="31" t="n"/>
      <c r="I504" s="17" t="inlineStr">
        <is>
          <t>override</t>
        </is>
      </c>
      <c r="J504" s="32" t="n">
        <v>0.85</v>
      </c>
      <c r="K504" s="33">
        <f>IF(AND(IF($I507&lt;&gt;"",$I507,$I504)="override",$J504&lt;&gt;""),$J504,SUMIFS(Assumptions!$K$4:$K$8,Assumptions!$J$4:$J$8,$C504))*Assumptions!$S$10*(1-MIN(1,MAX(N($H504),N($H507))))</f>
        <v/>
      </c>
      <c r="L504" s="32" t="n"/>
      <c r="M504" s="34">
        <f>IF(AND(IF($I507&lt;&gt;"",$I507,$I504)="override",$L504&lt;&gt;""),$L504,SUMIFS(Assumptions!$P$4:$P$103,Assumptions!$M$4:$M$103,$C504,Assumptions!$N$4:$N$103,$E504,Assumptions!$O$4:$O$103,"LVN"))</f>
        <v/>
      </c>
      <c r="N504" s="32" t="n"/>
      <c r="O504" s="34">
        <f>IF(AND(IF($I507&lt;&gt;"",$I507,$I504)="override",$N504&lt;&gt;""),$N504,SUMIFS(Assumptions!$P$4:$P$103,Assumptions!$M$4:$M$103,$C504,Assumptions!$N$4:$N$103,$E504,Assumptions!$O$4:$O$103,"HVN"))</f>
        <v/>
      </c>
      <c r="P504" s="34">
        <f>(M504+O504)*Assumptions!$S$11</f>
        <v/>
      </c>
      <c r="Q504" s="35">
        <f>$F504*$K504*$P504</f>
        <v/>
      </c>
    </row>
    <row r="505">
      <c r="A505" s="11" t="inlineStr">
        <is>
          <t>UNIT</t>
        </is>
      </c>
      <c r="B505" s="28" t="inlineStr">
        <is>
          <t>TOTAL_PORT_ARTHUR</t>
        </is>
      </c>
      <c r="C505" s="28" t="n">
        <v>3</v>
      </c>
      <c r="D505" s="28" t="inlineStr">
        <is>
          <t>ALKY</t>
        </is>
      </c>
      <c r="E505" s="28" t="inlineStr">
        <is>
          <t>ALKY</t>
        </is>
      </c>
      <c r="F505" s="29" t="n">
        <v>7.5</v>
      </c>
      <c r="G505" s="30">
        <f>IFERROR(IF(INDEX(Effective!$E$3:$R$125,MATCH($B505,Effective!$A$3:$A$125,0),MATCH($D505,Effective!$E$2:$R$2,0))=0,"",INDEX(Effective!$E$3:$R$125,MATCH($B505,Effective!$A$3:$A$125,0),MATCH($D505,Effective!$E$2:$R$2,0))),"")</f>
        <v/>
      </c>
      <c r="H505" s="31" t="n"/>
      <c r="I505" s="17" t="inlineStr">
        <is>
          <t>override</t>
        </is>
      </c>
      <c r="J505" s="32" t="n">
        <v>1.1</v>
      </c>
      <c r="K505" s="33">
        <f>IF(AND(IF($I507&lt;&gt;"",$I507,$I505)="override",$J505&lt;&gt;""),$J505,SUMIFS(Assumptions!$K$4:$K$8,Assumptions!$J$4:$J$8,$C505))*Assumptions!$S$10*(1-MIN(1,MAX(N($H505),N($H507))))</f>
        <v/>
      </c>
      <c r="L505" s="32" t="n"/>
      <c r="M505" s="34">
        <f>IF(AND(IF($I507&lt;&gt;"",$I507,$I505)="override",$L505&lt;&gt;""),$L505,SUMIFS(Assumptions!$P$4:$P$103,Assumptions!$M$4:$M$103,$C505,Assumptions!$N$4:$N$103,$E505,Assumptions!$O$4:$O$103,"LVN"))</f>
        <v/>
      </c>
      <c r="N505" s="32" t="n"/>
      <c r="O505" s="34">
        <f>IF(AND(IF($I507&lt;&gt;"",$I507,$I505)="override",$N505&lt;&gt;""),$N505,SUMIFS(Assumptions!$P$4:$P$103,Assumptions!$M$4:$M$103,$C505,Assumptions!$N$4:$N$103,$E505,Assumptions!$O$4:$O$103,"HVN"))</f>
        <v/>
      </c>
      <c r="P505" s="34">
        <f>(M505+O505)*Assumptions!$S$11</f>
        <v/>
      </c>
      <c r="Q505" s="35">
        <f>$F505*$K505*$P505</f>
        <v/>
      </c>
    </row>
    <row r="506">
      <c r="A506" s="11" t="inlineStr">
        <is>
          <t>UNIT</t>
        </is>
      </c>
      <c r="B506" s="28" t="inlineStr">
        <is>
          <t>TOTAL_PORT_ARTHUR</t>
        </is>
      </c>
      <c r="C506" s="28" t="n">
        <v>3</v>
      </c>
      <c r="D506" s="28" t="inlineStr">
        <is>
          <t>NHT</t>
        </is>
      </c>
      <c r="E506" s="28" t="inlineStr">
        <is>
          <t>NHT</t>
        </is>
      </c>
      <c r="F506" s="29" t="n">
        <v>57.5</v>
      </c>
      <c r="G506" s="30">
        <f>IFERROR(IF(INDEX(Effective!$E$3:$R$125,MATCH($B506,Effective!$A$3:$A$125,0),MATCH($D506,Effective!$E$2:$R$2,0))=0,"",INDEX(Effective!$E$3:$R$125,MATCH($B506,Effective!$A$3:$A$125,0),MATCH($D506,Effective!$E$2:$R$2,0))),"")</f>
        <v/>
      </c>
      <c r="H506" s="31" t="n"/>
      <c r="I506" s="17" t="inlineStr">
        <is>
          <t>override</t>
        </is>
      </c>
      <c r="J506" s="32" t="n">
        <v>0.8090000000000001</v>
      </c>
      <c r="K506" s="33">
        <f>IF(AND(IF($I507&lt;&gt;"",$I507,$I506)="override",$J506&lt;&gt;""),$J506,SUMIFS(Assumptions!$K$4:$K$8,Assumptions!$J$4:$J$8,$C506))*Assumptions!$S$10*(1-MIN(1,MAX(N($H506),N($H507))))</f>
        <v/>
      </c>
      <c r="L506" s="32" t="n"/>
      <c r="M506" s="34">
        <f>IF(AND(IF($I507&lt;&gt;"",$I507,$I506)="override",$L506&lt;&gt;""),$L506,SUMIFS(Assumptions!$P$4:$P$103,Assumptions!$M$4:$M$103,$C506,Assumptions!$N$4:$N$103,$E506,Assumptions!$O$4:$O$103,"LVN"))</f>
        <v/>
      </c>
      <c r="N506" s="32" t="n"/>
      <c r="O506" s="34">
        <f>IF(AND(IF($I507&lt;&gt;"",$I507,$I506)="override",$N506&lt;&gt;""),$N506,SUMIFS(Assumptions!$P$4:$P$103,Assumptions!$M$4:$M$103,$C506,Assumptions!$N$4:$N$103,$E506,Assumptions!$O$4:$O$103,"HVN"))</f>
        <v/>
      </c>
      <c r="P506" s="34">
        <f>(M506+O506)*Assumptions!$S$11</f>
        <v/>
      </c>
      <c r="Q506" s="35">
        <f>$F506*$K506*$P506</f>
        <v/>
      </c>
    </row>
    <row r="507">
      <c r="A507" s="24" t="inlineStr">
        <is>
          <t>TOTAL</t>
        </is>
      </c>
      <c r="B507" s="36" t="inlineStr">
        <is>
          <t>TOTAL_PORT_ARTHUR</t>
        </is>
      </c>
      <c r="C507" s="36" t="n">
        <v>3</v>
      </c>
      <c r="D507" s="36" t="inlineStr">
        <is>
          <t>NET NAPHTHA</t>
        </is>
      </c>
      <c r="H507" s="31" t="n"/>
      <c r="I507" s="17" t="n"/>
      <c r="Q507" s="37">
        <f>SUM(Q499:Q506)</f>
        <v/>
      </c>
    </row>
    <row r="509" ht="20" customHeight="1">
      <c r="A509" s="8">
        <f>"  Valero Saint Charles  [VALERO_SAINT_CHARLES]   —   Valero   —   PADD 3   —   crude "&amp;TEXT(SUMIFS(Data!$G$3:$G$125,Data!$A$3:$A$125,"VALERO_SAINT_CHARLES"),"#,##0")&amp;" kbd"</f>
        <v/>
      </c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</row>
    <row r="510">
      <c r="A510" s="11" t="inlineStr">
        <is>
          <t>UNIT</t>
        </is>
      </c>
      <c r="B510" s="28" t="inlineStr">
        <is>
          <t>VALERO_SAINT_CHARLES</t>
        </is>
      </c>
      <c r="C510" s="28" t="n">
        <v>3</v>
      </c>
      <c r="D510" s="28" t="inlineStr">
        <is>
          <t>CDU</t>
        </is>
      </c>
      <c r="E510" s="28" t="inlineStr">
        <is>
          <t>CDU</t>
        </is>
      </c>
      <c r="F510" s="29" t="n">
        <v>220</v>
      </c>
      <c r="G510" s="30">
        <f>IFERROR(IF(INDEX(Effective!$E$3:$R$125,MATCH($B510,Effective!$A$3:$A$125,0),MATCH($D510,Effective!$E$2:$R$2,0))=0,"",INDEX(Effective!$E$3:$R$125,MATCH($B510,Effective!$A$3:$A$125,0),MATCH($D510,Effective!$E$2:$R$2,0))),"")</f>
        <v/>
      </c>
      <c r="H510" s="31" t="n"/>
      <c r="I510" s="17" t="inlineStr">
        <is>
          <t>override</t>
        </is>
      </c>
      <c r="J510" s="32" t="n">
        <v>0.539</v>
      </c>
      <c r="K510" s="33">
        <f>IF(AND(IF($I518&lt;&gt;"",$I518,$I510)="override",$J510&lt;&gt;""),$J510,SUMIFS(Assumptions!$K$4:$K$8,Assumptions!$J$4:$J$8,$C510))*Assumptions!$S$10*(1-MIN(1,MAX(N($H510),N($H518))))</f>
        <v/>
      </c>
      <c r="L510" s="32" t="n"/>
      <c r="M510" s="34">
        <f>IF(AND(IF($I518&lt;&gt;"",$I518,$I510)="override",$L510&lt;&gt;""),$L510,SUMIFS(Assumptions!$P$4:$P$103,Assumptions!$M$4:$M$103,$C510,Assumptions!$N$4:$N$103,$E510,Assumptions!$O$4:$O$103,"LVN"))</f>
        <v/>
      </c>
      <c r="N510" s="32" t="n"/>
      <c r="O510" s="34">
        <f>IF(AND(IF($I518&lt;&gt;"",$I518,$I510)="override",$N510&lt;&gt;""),$N510,SUMIFS(Assumptions!$P$4:$P$103,Assumptions!$M$4:$M$103,$C510,Assumptions!$N$4:$N$103,$E510,Assumptions!$O$4:$O$103,"HVN"))</f>
        <v/>
      </c>
      <c r="P510" s="34">
        <f>(M510+O510)*Assumptions!$S$11</f>
        <v/>
      </c>
      <c r="Q510" s="35">
        <f>$F510*$K510*$P510</f>
        <v/>
      </c>
    </row>
    <row r="511">
      <c r="A511" s="11" t="inlineStr">
        <is>
          <t>UNIT</t>
        </is>
      </c>
      <c r="B511" s="28" t="inlineStr">
        <is>
          <t>VALERO_SAINT_CHARLES</t>
        </is>
      </c>
      <c r="C511" s="28" t="n">
        <v>3</v>
      </c>
      <c r="D511" s="28" t="inlineStr">
        <is>
          <t>VDU</t>
        </is>
      </c>
      <c r="E511" s="28" t="inlineStr">
        <is>
          <t>VDU</t>
        </is>
      </c>
      <c r="F511" s="29" t="n">
        <v>180</v>
      </c>
      <c r="G511" s="30">
        <f>IFERROR(IF(INDEX(Effective!$E$3:$R$125,MATCH($B511,Effective!$A$3:$A$125,0),MATCH($D511,Effective!$E$2:$R$2,0))=0,"",INDEX(Effective!$E$3:$R$125,MATCH($B511,Effective!$A$3:$A$125,0),MATCH($D511,Effective!$E$2:$R$2,0))),"")</f>
        <v/>
      </c>
      <c r="H511" s="31" t="n"/>
      <c r="I511" s="17" t="inlineStr">
        <is>
          <t>override</t>
        </is>
      </c>
      <c r="J511" s="32" t="n">
        <v>0.796</v>
      </c>
      <c r="K511" s="33">
        <f>IF(AND(IF($I518&lt;&gt;"",$I518,$I511)="override",$J511&lt;&gt;""),$J511,SUMIFS(Assumptions!$K$4:$K$8,Assumptions!$J$4:$J$8,$C511))*Assumptions!$S$10*(1-MIN(1,MAX(N($H511),N($H518))))</f>
        <v/>
      </c>
      <c r="L511" s="32" t="n"/>
      <c r="M511" s="34">
        <f>IF(AND(IF($I518&lt;&gt;"",$I518,$I511)="override",$L511&lt;&gt;""),$L511,SUMIFS(Assumptions!$P$4:$P$103,Assumptions!$M$4:$M$103,$C511,Assumptions!$N$4:$N$103,$E511,Assumptions!$O$4:$O$103,"LVN"))</f>
        <v/>
      </c>
      <c r="N511" s="32" t="n"/>
      <c r="O511" s="34">
        <f>IF(AND(IF($I518&lt;&gt;"",$I518,$I511)="override",$N511&lt;&gt;""),$N511,SUMIFS(Assumptions!$P$4:$P$103,Assumptions!$M$4:$M$103,$C511,Assumptions!$N$4:$N$103,$E511,Assumptions!$O$4:$O$103,"HVN"))</f>
        <v/>
      </c>
      <c r="P511" s="34">
        <f>(M511+O511)*Assumptions!$S$11</f>
        <v/>
      </c>
      <c r="Q511" s="35">
        <f>$F511*$K511*$P511</f>
        <v/>
      </c>
    </row>
    <row r="512">
      <c r="A512" s="11" t="inlineStr">
        <is>
          <t>UNIT</t>
        </is>
      </c>
      <c r="B512" s="28" t="inlineStr">
        <is>
          <t>VALERO_SAINT_CHARLES</t>
        </is>
      </c>
      <c r="C512" s="28" t="n">
        <v>3</v>
      </c>
      <c r="D512" s="28" t="inlineStr">
        <is>
          <t>FCC</t>
        </is>
      </c>
      <c r="E512" s="28" t="inlineStr">
        <is>
          <t>FCC</t>
        </is>
      </c>
      <c r="F512" s="29" t="n">
        <v>100</v>
      </c>
      <c r="G512" s="30">
        <f>IFERROR(IF(INDEX(Effective!$E$3:$R$125,MATCH($B512,Effective!$A$3:$A$125,0),MATCH($D512,Effective!$E$2:$R$2,0))=0,"",INDEX(Effective!$E$3:$R$125,MATCH($B512,Effective!$A$3:$A$125,0),MATCH($D512,Effective!$E$2:$R$2,0))),"")</f>
        <v/>
      </c>
      <c r="H512" s="31" t="n"/>
      <c r="I512" s="17" t="inlineStr">
        <is>
          <t>override</t>
        </is>
      </c>
      <c r="J512" s="32" t="n">
        <v>0.696</v>
      </c>
      <c r="K512" s="33">
        <f>IF(AND(IF($I518&lt;&gt;"",$I518,$I512)="override",$J512&lt;&gt;""),$J512,SUMIFS(Assumptions!$K$4:$K$8,Assumptions!$J$4:$J$8,$C512))*Assumptions!$S$10*(1-MIN(1,MAX(N($H512),N($H518))))</f>
        <v/>
      </c>
      <c r="L512" s="32" t="n"/>
      <c r="M512" s="34">
        <f>IF(AND(IF($I518&lt;&gt;"",$I518,$I512)="override",$L512&lt;&gt;""),$L512,SUMIFS(Assumptions!$P$4:$P$103,Assumptions!$M$4:$M$103,$C512,Assumptions!$N$4:$N$103,$E512,Assumptions!$O$4:$O$103,"LVN"))</f>
        <v/>
      </c>
      <c r="N512" s="32" t="n"/>
      <c r="O512" s="34">
        <f>IF(AND(IF($I518&lt;&gt;"",$I518,$I512)="override",$N512&lt;&gt;""),$N512,SUMIFS(Assumptions!$P$4:$P$103,Assumptions!$M$4:$M$103,$C512,Assumptions!$N$4:$N$103,$E512,Assumptions!$O$4:$O$103,"HVN"))</f>
        <v/>
      </c>
      <c r="P512" s="34">
        <f>(M512+O512)*Assumptions!$S$11</f>
        <v/>
      </c>
      <c r="Q512" s="35">
        <f>$F512*$K512*$P512</f>
        <v/>
      </c>
    </row>
    <row r="513">
      <c r="A513" s="11" t="inlineStr">
        <is>
          <t>UNIT</t>
        </is>
      </c>
      <c r="B513" s="28" t="inlineStr">
        <is>
          <t>VALERO_SAINT_CHARLES</t>
        </is>
      </c>
      <c r="C513" s="28" t="n">
        <v>3</v>
      </c>
      <c r="D513" s="28" t="inlineStr">
        <is>
          <t>DHCU</t>
        </is>
      </c>
      <c r="E513" s="28" t="inlineStr">
        <is>
          <t>HYDROCRACKER</t>
        </is>
      </c>
      <c r="F513" s="29" t="n">
        <v>113</v>
      </c>
      <c r="G513" s="30">
        <f>IFERROR(IF(INDEX(Effective!$E$3:$R$125,MATCH($B513,Effective!$A$3:$A$125,0),MATCH($D513,Effective!$E$2:$R$2,0))=0,"",INDEX(Effective!$E$3:$R$125,MATCH($B513,Effective!$A$3:$A$125,0),MATCH($D513,Effective!$E$2:$R$2,0))),"")</f>
        <v/>
      </c>
      <c r="H513" s="31" t="n"/>
      <c r="I513" s="17" t="inlineStr">
        <is>
          <t>override</t>
        </is>
      </c>
      <c r="J513" s="32" t="n">
        <v>0.699</v>
      </c>
      <c r="K513" s="33">
        <f>IF(AND(IF($I518&lt;&gt;"",$I518,$I513)="override",$J513&lt;&gt;""),$J513,SUMIFS(Assumptions!$K$4:$K$8,Assumptions!$J$4:$J$8,$C513))*Assumptions!$S$10*(1-MIN(1,MAX(N($H513),N($H518))))</f>
        <v/>
      </c>
      <c r="L513" s="32" t="n"/>
      <c r="M513" s="34">
        <f>IF(AND(IF($I518&lt;&gt;"",$I518,$I513)="override",$L513&lt;&gt;""),$L513,SUMIFS(Assumptions!$P$4:$P$103,Assumptions!$M$4:$M$103,$C513,Assumptions!$N$4:$N$103,$E513,Assumptions!$O$4:$O$103,"LVN"))</f>
        <v/>
      </c>
      <c r="N513" s="32" t="n"/>
      <c r="O513" s="34">
        <f>IF(AND(IF($I518&lt;&gt;"",$I518,$I513)="override",$N513&lt;&gt;""),$N513,SUMIFS(Assumptions!$P$4:$P$103,Assumptions!$M$4:$M$103,$C513,Assumptions!$N$4:$N$103,$E513,Assumptions!$O$4:$O$103,"HVN"))</f>
        <v/>
      </c>
      <c r="P513" s="34">
        <f>(M513+O513)*Assumptions!$S$11</f>
        <v/>
      </c>
      <c r="Q513" s="35">
        <f>$F513*$K513*$P513</f>
        <v/>
      </c>
    </row>
    <row r="514">
      <c r="A514" s="11" t="inlineStr">
        <is>
          <t>UNIT</t>
        </is>
      </c>
      <c r="B514" s="28" t="inlineStr">
        <is>
          <t>VALERO_SAINT_CHARLES</t>
        </is>
      </c>
      <c r="C514" s="28" t="n">
        <v>3</v>
      </c>
      <c r="D514" s="28" t="inlineStr">
        <is>
          <t>COKER</t>
        </is>
      </c>
      <c r="E514" s="28" t="inlineStr">
        <is>
          <t>COKER</t>
        </is>
      </c>
      <c r="F514" s="29" t="n">
        <v>86</v>
      </c>
      <c r="G514" s="30">
        <f>IFERROR(IF(INDEX(Effective!$E$3:$R$125,MATCH($B514,Effective!$A$3:$A$125,0),MATCH($D514,Effective!$E$2:$R$2,0))=0,"",INDEX(Effective!$E$3:$R$125,MATCH($B514,Effective!$A$3:$A$125,0),MATCH($D514,Effective!$E$2:$R$2,0))),"")</f>
        <v/>
      </c>
      <c r="H514" s="31" t="n"/>
      <c r="I514" s="17" t="inlineStr">
        <is>
          <t>override</t>
        </is>
      </c>
      <c r="J514" s="32" t="n">
        <v>0.6820000000000001</v>
      </c>
      <c r="K514" s="33">
        <f>IF(AND(IF($I518&lt;&gt;"",$I518,$I514)="override",$J514&lt;&gt;""),$J514,SUMIFS(Assumptions!$K$4:$K$8,Assumptions!$J$4:$J$8,$C514))*Assumptions!$S$10*(1-MIN(1,MAX(N($H514),N($H518))))</f>
        <v/>
      </c>
      <c r="L514" s="32" t="n"/>
      <c r="M514" s="34">
        <f>IF(AND(IF($I518&lt;&gt;"",$I518,$I514)="override",$L514&lt;&gt;""),$L514,SUMIFS(Assumptions!$P$4:$P$103,Assumptions!$M$4:$M$103,$C514,Assumptions!$N$4:$N$103,$E514,Assumptions!$O$4:$O$103,"LVN"))</f>
        <v/>
      </c>
      <c r="N514" s="32" t="n"/>
      <c r="O514" s="34">
        <f>IF(AND(IF($I518&lt;&gt;"",$I518,$I514)="override",$N514&lt;&gt;""),$N514,SUMIFS(Assumptions!$P$4:$P$103,Assumptions!$M$4:$M$103,$C514,Assumptions!$N$4:$N$103,$E514,Assumptions!$O$4:$O$103,"HVN"))</f>
        <v/>
      </c>
      <c r="P514" s="34">
        <f>(M514+O514)*Assumptions!$S$11</f>
        <v/>
      </c>
      <c r="Q514" s="35">
        <f>$F514*$K514*$P514</f>
        <v/>
      </c>
    </row>
    <row r="515">
      <c r="A515" s="11" t="inlineStr">
        <is>
          <t>UNIT</t>
        </is>
      </c>
      <c r="B515" s="28" t="inlineStr">
        <is>
          <t>VALERO_SAINT_CHARLES</t>
        </is>
      </c>
      <c r="C515" s="28" t="n">
        <v>3</v>
      </c>
      <c r="D515" s="28" t="inlineStr">
        <is>
          <t>CCR</t>
        </is>
      </c>
      <c r="E515" s="28" t="inlineStr">
        <is>
          <t>REFORMER</t>
        </is>
      </c>
      <c r="F515" s="29" t="n">
        <v>25</v>
      </c>
      <c r="G515" s="30">
        <f>IFERROR(IF(INDEX(Effective!$E$3:$R$125,MATCH($B515,Effective!$A$3:$A$125,0),MATCH($D515,Effective!$E$2:$R$2,0))=0,"",INDEX(Effective!$E$3:$R$125,MATCH($B515,Effective!$A$3:$A$125,0),MATCH($D515,Effective!$E$2:$R$2,0))),"")</f>
        <v/>
      </c>
      <c r="H515" s="31" t="n"/>
      <c r="I515" s="17" t="inlineStr">
        <is>
          <t>override</t>
        </is>
      </c>
      <c r="J515" s="32" t="n">
        <v>0.96</v>
      </c>
      <c r="K515" s="33">
        <f>IF(AND(IF($I518&lt;&gt;"",$I518,$I515)="override",$J515&lt;&gt;""),$J515,SUMIFS(Assumptions!$K$4:$K$8,Assumptions!$J$4:$J$8,$C515))*Assumptions!$S$10*(1-MIN(1,MAX(N($H515),N($H518))))</f>
        <v/>
      </c>
      <c r="L515" s="32" t="n"/>
      <c r="M515" s="34">
        <f>IF(AND(IF($I518&lt;&gt;"",$I518,$I515)="override",$L515&lt;&gt;""),$L515,SUMIFS(Assumptions!$P$4:$P$103,Assumptions!$M$4:$M$103,$C515,Assumptions!$N$4:$N$103,$E515,Assumptions!$O$4:$O$103,"LVN"))</f>
        <v/>
      </c>
      <c r="N515" s="32" t="n"/>
      <c r="O515" s="34">
        <f>IF(AND(IF($I518&lt;&gt;"",$I518,$I515)="override",$N515&lt;&gt;""),$N515,SUMIFS(Assumptions!$P$4:$P$103,Assumptions!$M$4:$M$103,$C515,Assumptions!$N$4:$N$103,$E515,Assumptions!$O$4:$O$103,"HVN"))</f>
        <v/>
      </c>
      <c r="P515" s="34">
        <f>(M515+O515)*Assumptions!$S$11</f>
        <v/>
      </c>
      <c r="Q515" s="35">
        <f>$F515*$K515*$P515</f>
        <v/>
      </c>
    </row>
    <row r="516">
      <c r="A516" s="11" t="inlineStr">
        <is>
          <t>UNIT</t>
        </is>
      </c>
      <c r="B516" s="28" t="inlineStr">
        <is>
          <t>VALERO_SAINT_CHARLES</t>
        </is>
      </c>
      <c r="C516" s="28" t="n">
        <v>3</v>
      </c>
      <c r="D516" s="28" t="inlineStr">
        <is>
          <t>ALKY</t>
        </is>
      </c>
      <c r="E516" s="28" t="inlineStr">
        <is>
          <t>ALKY</t>
        </is>
      </c>
      <c r="F516" s="29" t="n">
        <v>48</v>
      </c>
      <c r="G516" s="30">
        <f>IFERROR(IF(INDEX(Effective!$E$3:$R$125,MATCH($B516,Effective!$A$3:$A$125,0),MATCH($D516,Effective!$E$2:$R$2,0))=0,"",INDEX(Effective!$E$3:$R$125,MATCH($B516,Effective!$A$3:$A$125,0),MATCH($D516,Effective!$E$2:$R$2,0))),"")</f>
        <v/>
      </c>
      <c r="H516" s="31" t="n"/>
      <c r="I516" s="17" t="inlineStr">
        <is>
          <t>override</t>
        </is>
      </c>
      <c r="J516" s="32" t="n">
        <v>0.418</v>
      </c>
      <c r="K516" s="33">
        <f>IF(AND(IF($I518&lt;&gt;"",$I518,$I516)="override",$J516&lt;&gt;""),$J516,SUMIFS(Assumptions!$K$4:$K$8,Assumptions!$J$4:$J$8,$C516))*Assumptions!$S$10*(1-MIN(1,MAX(N($H516),N($H518))))</f>
        <v/>
      </c>
      <c r="L516" s="32" t="n"/>
      <c r="M516" s="34">
        <f>IF(AND(IF($I518&lt;&gt;"",$I518,$I516)="override",$L516&lt;&gt;""),$L516,SUMIFS(Assumptions!$P$4:$P$103,Assumptions!$M$4:$M$103,$C516,Assumptions!$N$4:$N$103,$E516,Assumptions!$O$4:$O$103,"LVN"))</f>
        <v/>
      </c>
      <c r="N516" s="32" t="n"/>
      <c r="O516" s="34">
        <f>IF(AND(IF($I518&lt;&gt;"",$I518,$I516)="override",$N516&lt;&gt;""),$N516,SUMIFS(Assumptions!$P$4:$P$103,Assumptions!$M$4:$M$103,$C516,Assumptions!$N$4:$N$103,$E516,Assumptions!$O$4:$O$103,"HVN"))</f>
        <v/>
      </c>
      <c r="P516" s="34">
        <f>(M516+O516)*Assumptions!$S$11</f>
        <v/>
      </c>
      <c r="Q516" s="35">
        <f>$F516*$K516*$P516</f>
        <v/>
      </c>
    </row>
    <row r="517">
      <c r="A517" s="11" t="inlineStr">
        <is>
          <t>UNIT</t>
        </is>
      </c>
      <c r="B517" s="28" t="inlineStr">
        <is>
          <t>VALERO_SAINT_CHARLES</t>
        </is>
      </c>
      <c r="C517" s="28" t="n">
        <v>3</v>
      </c>
      <c r="D517" s="28" t="inlineStr">
        <is>
          <t>NHT</t>
        </is>
      </c>
      <c r="E517" s="28" t="inlineStr">
        <is>
          <t>NHT</t>
        </is>
      </c>
      <c r="F517" s="29" t="n">
        <v>45</v>
      </c>
      <c r="G517" s="30">
        <f>IFERROR(IF(INDEX(Effective!$E$3:$R$125,MATCH($B517,Effective!$A$3:$A$125,0),MATCH($D517,Effective!$E$2:$R$2,0))=0,"",INDEX(Effective!$E$3:$R$125,MATCH($B517,Effective!$A$3:$A$125,0),MATCH($D517,Effective!$E$2:$R$2,0))),"")</f>
        <v/>
      </c>
      <c r="H517" s="31" t="n"/>
      <c r="I517" s="17" t="inlineStr">
        <is>
          <t>override</t>
        </is>
      </c>
      <c r="J517" s="32" t="n">
        <v>0.806</v>
      </c>
      <c r="K517" s="33">
        <f>IF(AND(IF($I518&lt;&gt;"",$I518,$I517)="override",$J517&lt;&gt;""),$J517,SUMIFS(Assumptions!$K$4:$K$8,Assumptions!$J$4:$J$8,$C517))*Assumptions!$S$10*(1-MIN(1,MAX(N($H517),N($H518))))</f>
        <v/>
      </c>
      <c r="L517" s="32" t="n"/>
      <c r="M517" s="34">
        <f>IF(AND(IF($I518&lt;&gt;"",$I518,$I517)="override",$L517&lt;&gt;""),$L517,SUMIFS(Assumptions!$P$4:$P$103,Assumptions!$M$4:$M$103,$C517,Assumptions!$N$4:$N$103,$E517,Assumptions!$O$4:$O$103,"LVN"))</f>
        <v/>
      </c>
      <c r="N517" s="32" t="n"/>
      <c r="O517" s="34">
        <f>IF(AND(IF($I518&lt;&gt;"",$I518,$I517)="override",$N517&lt;&gt;""),$N517,SUMIFS(Assumptions!$P$4:$P$103,Assumptions!$M$4:$M$103,$C517,Assumptions!$N$4:$N$103,$E517,Assumptions!$O$4:$O$103,"HVN"))</f>
        <v/>
      </c>
      <c r="P517" s="34">
        <f>(M517+O517)*Assumptions!$S$11</f>
        <v/>
      </c>
      <c r="Q517" s="35">
        <f>$F517*$K517*$P517</f>
        <v/>
      </c>
    </row>
    <row r="518">
      <c r="A518" s="24" t="inlineStr">
        <is>
          <t>TOTAL</t>
        </is>
      </c>
      <c r="B518" s="36" t="inlineStr">
        <is>
          <t>VALERO_SAINT_CHARLES</t>
        </is>
      </c>
      <c r="C518" s="36" t="n">
        <v>3</v>
      </c>
      <c r="D518" s="36" t="inlineStr">
        <is>
          <t>NET NAPHTHA</t>
        </is>
      </c>
      <c r="H518" s="31" t="n"/>
      <c r="I518" s="17" t="n"/>
      <c r="Q518" s="37">
        <f>SUM(Q510:Q517)</f>
        <v/>
      </c>
    </row>
    <row r="520" ht="20" customHeight="1">
      <c r="A520" s="8">
        <f>"  Valero Houston  [VALERO_HOUSTON]   —   Valero   —   PADD 3   —   crude "&amp;TEXT(SUMIFS(Data!$G$3:$G$125,Data!$A$3:$A$125,"VALERO_HOUSTON"),"#,##0")&amp;" kbd"</f>
        <v/>
      </c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</row>
    <row r="521">
      <c r="A521" s="11" t="inlineStr">
        <is>
          <t>UNIT</t>
        </is>
      </c>
      <c r="B521" s="28" t="inlineStr">
        <is>
          <t>VALERO_HOUSTON</t>
        </is>
      </c>
      <c r="C521" s="28" t="n">
        <v>3</v>
      </c>
      <c r="D521" s="28" t="inlineStr">
        <is>
          <t>CDU</t>
        </is>
      </c>
      <c r="E521" s="28" t="inlineStr">
        <is>
          <t>CDU</t>
        </is>
      </c>
      <c r="F521" s="29" t="n">
        <v>210</v>
      </c>
      <c r="G521" s="30">
        <f>IFERROR(IF(INDEX(Effective!$E$3:$R$125,MATCH($B521,Effective!$A$3:$A$125,0),MATCH($D521,Effective!$E$2:$R$2,0))=0,"",INDEX(Effective!$E$3:$R$125,MATCH($B521,Effective!$A$3:$A$125,0),MATCH($D521,Effective!$E$2:$R$2,0))),"")</f>
        <v/>
      </c>
      <c r="H521" s="31" t="n"/>
      <c r="I521" s="17" t="inlineStr">
        <is>
          <t>override</t>
        </is>
      </c>
      <c r="J521" s="32" t="n">
        <v>1</v>
      </c>
      <c r="K521" s="33">
        <f>IF(AND(IF($I527&lt;&gt;"",$I527,$I521)="override",$J521&lt;&gt;""),$J521,SUMIFS(Assumptions!$K$4:$K$8,Assumptions!$J$4:$J$8,$C521))*Assumptions!$S$10*(1-MIN(1,MAX(N($H521),N($H527))))</f>
        <v/>
      </c>
      <c r="L521" s="32" t="n"/>
      <c r="M521" s="34">
        <f>IF(AND(IF($I527&lt;&gt;"",$I527,$I521)="override",$L521&lt;&gt;""),$L521,SUMIFS(Assumptions!$P$4:$P$103,Assumptions!$M$4:$M$103,$C521,Assumptions!$N$4:$N$103,$E521,Assumptions!$O$4:$O$103,"LVN"))</f>
        <v/>
      </c>
      <c r="N521" s="32" t="n"/>
      <c r="O521" s="34">
        <f>IF(AND(IF($I527&lt;&gt;"",$I527,$I521)="override",$N521&lt;&gt;""),$N521,SUMIFS(Assumptions!$P$4:$P$103,Assumptions!$M$4:$M$103,$C521,Assumptions!$N$4:$N$103,$E521,Assumptions!$O$4:$O$103,"HVN"))</f>
        <v/>
      </c>
      <c r="P521" s="34">
        <f>(M521+O521)*Assumptions!$S$11</f>
        <v/>
      </c>
      <c r="Q521" s="35">
        <f>$F521*$K521*$P521</f>
        <v/>
      </c>
    </row>
    <row r="522">
      <c r="A522" s="11" t="inlineStr">
        <is>
          <t>UNIT</t>
        </is>
      </c>
      <c r="B522" s="28" t="inlineStr">
        <is>
          <t>VALERO_HOUSTON</t>
        </is>
      </c>
      <c r="C522" s="28" t="n">
        <v>3</v>
      </c>
      <c r="D522" s="28" t="inlineStr">
        <is>
          <t>VDU</t>
        </is>
      </c>
      <c r="E522" s="28" t="inlineStr">
        <is>
          <t>VDU</t>
        </is>
      </c>
      <c r="F522" s="29" t="n">
        <v>38</v>
      </c>
      <c r="G522" s="30">
        <f>IFERROR(IF(INDEX(Effective!$E$3:$R$125,MATCH($B522,Effective!$A$3:$A$125,0),MATCH($D522,Effective!$E$2:$R$2,0))=0,"",INDEX(Effective!$E$3:$R$125,MATCH($B522,Effective!$A$3:$A$125,0),MATCH($D522,Effective!$E$2:$R$2,0))),"")</f>
        <v/>
      </c>
      <c r="H522" s="31" t="n"/>
      <c r="I522" s="17" t="inlineStr">
        <is>
          <t>override</t>
        </is>
      </c>
      <c r="J522" s="32" t="n">
        <v>1.1</v>
      </c>
      <c r="K522" s="33">
        <f>IF(AND(IF($I527&lt;&gt;"",$I527,$I522)="override",$J522&lt;&gt;""),$J522,SUMIFS(Assumptions!$K$4:$K$8,Assumptions!$J$4:$J$8,$C522))*Assumptions!$S$10*(1-MIN(1,MAX(N($H522),N($H527))))</f>
        <v/>
      </c>
      <c r="L522" s="32" t="n"/>
      <c r="M522" s="34">
        <f>IF(AND(IF($I527&lt;&gt;"",$I527,$I522)="override",$L522&lt;&gt;""),$L522,SUMIFS(Assumptions!$P$4:$P$103,Assumptions!$M$4:$M$103,$C522,Assumptions!$N$4:$N$103,$E522,Assumptions!$O$4:$O$103,"LVN"))</f>
        <v/>
      </c>
      <c r="N522" s="32" t="n"/>
      <c r="O522" s="34">
        <f>IF(AND(IF($I527&lt;&gt;"",$I527,$I522)="override",$N522&lt;&gt;""),$N522,SUMIFS(Assumptions!$P$4:$P$103,Assumptions!$M$4:$M$103,$C522,Assumptions!$N$4:$N$103,$E522,Assumptions!$O$4:$O$103,"HVN"))</f>
        <v/>
      </c>
      <c r="P522" s="34">
        <f>(M522+O522)*Assumptions!$S$11</f>
        <v/>
      </c>
      <c r="Q522" s="35">
        <f>$F522*$K522*$P522</f>
        <v/>
      </c>
    </row>
    <row r="523">
      <c r="A523" s="11" t="inlineStr">
        <is>
          <t>UNIT</t>
        </is>
      </c>
      <c r="B523" s="28" t="inlineStr">
        <is>
          <t>VALERO_HOUSTON</t>
        </is>
      </c>
      <c r="C523" s="28" t="n">
        <v>3</v>
      </c>
      <c r="D523" s="28" t="inlineStr">
        <is>
          <t>FCC</t>
        </is>
      </c>
      <c r="E523" s="28" t="inlineStr">
        <is>
          <t>FCC</t>
        </is>
      </c>
      <c r="F523" s="29" t="n">
        <v>75.2</v>
      </c>
      <c r="G523" s="30">
        <f>IFERROR(IF(INDEX(Effective!$E$3:$R$125,MATCH($B523,Effective!$A$3:$A$125,0),MATCH($D523,Effective!$E$2:$R$2,0))=0,"",INDEX(Effective!$E$3:$R$125,MATCH($B523,Effective!$A$3:$A$125,0),MATCH($D523,Effective!$E$2:$R$2,0))),"")</f>
        <v/>
      </c>
      <c r="H523" s="31" t="n"/>
      <c r="I523" s="17" t="inlineStr">
        <is>
          <t>override</t>
        </is>
      </c>
      <c r="J523" s="32" t="n">
        <v>0.722</v>
      </c>
      <c r="K523" s="33">
        <f>IF(AND(IF($I527&lt;&gt;"",$I527,$I523)="override",$J523&lt;&gt;""),$J523,SUMIFS(Assumptions!$K$4:$K$8,Assumptions!$J$4:$J$8,$C523))*Assumptions!$S$10*(1-MIN(1,MAX(N($H523),N($H527))))</f>
        <v/>
      </c>
      <c r="L523" s="32" t="n"/>
      <c r="M523" s="34">
        <f>IF(AND(IF($I527&lt;&gt;"",$I527,$I523)="override",$L523&lt;&gt;""),$L523,SUMIFS(Assumptions!$P$4:$P$103,Assumptions!$M$4:$M$103,$C523,Assumptions!$N$4:$N$103,$E523,Assumptions!$O$4:$O$103,"LVN"))</f>
        <v/>
      </c>
      <c r="N523" s="32" t="n"/>
      <c r="O523" s="34">
        <f>IF(AND(IF($I527&lt;&gt;"",$I527,$I523)="override",$N523&lt;&gt;""),$N523,SUMIFS(Assumptions!$P$4:$P$103,Assumptions!$M$4:$M$103,$C523,Assumptions!$N$4:$N$103,$E523,Assumptions!$O$4:$O$103,"HVN"))</f>
        <v/>
      </c>
      <c r="P523" s="34">
        <f>(M523+O523)*Assumptions!$S$11</f>
        <v/>
      </c>
      <c r="Q523" s="35">
        <f>$F523*$K523*$P523</f>
        <v/>
      </c>
    </row>
    <row r="524">
      <c r="A524" s="11" t="inlineStr">
        <is>
          <t>UNIT</t>
        </is>
      </c>
      <c r="B524" s="28" t="inlineStr">
        <is>
          <t>VALERO_HOUSTON</t>
        </is>
      </c>
      <c r="C524" s="28" t="n">
        <v>3</v>
      </c>
      <c r="D524" s="28" t="inlineStr">
        <is>
          <t>DHCU</t>
        </is>
      </c>
      <c r="E524" s="28" t="inlineStr">
        <is>
          <t>HYDROCRACKER</t>
        </is>
      </c>
      <c r="F524" s="29" t="n">
        <v>71.90000000000001</v>
      </c>
      <c r="G524" s="30">
        <f>IFERROR(IF(INDEX(Effective!$E$3:$R$125,MATCH($B524,Effective!$A$3:$A$125,0),MATCH($D524,Effective!$E$2:$R$2,0))=0,"",INDEX(Effective!$E$3:$R$125,MATCH($B524,Effective!$A$3:$A$125,0),MATCH($D524,Effective!$E$2:$R$2,0))),"")</f>
        <v/>
      </c>
      <c r="H524" s="31" t="n"/>
      <c r="I524" s="17" t="inlineStr">
        <is>
          <t>override</t>
        </is>
      </c>
      <c r="J524" s="32" t="n">
        <v>0.432</v>
      </c>
      <c r="K524" s="33">
        <f>IF(AND(IF($I527&lt;&gt;"",$I527,$I524)="override",$J524&lt;&gt;""),$J524,SUMIFS(Assumptions!$K$4:$K$8,Assumptions!$J$4:$J$8,$C524))*Assumptions!$S$10*(1-MIN(1,MAX(N($H524),N($H527))))</f>
        <v/>
      </c>
      <c r="L524" s="32" t="n"/>
      <c r="M524" s="34">
        <f>IF(AND(IF($I527&lt;&gt;"",$I527,$I524)="override",$L524&lt;&gt;""),$L524,SUMIFS(Assumptions!$P$4:$P$103,Assumptions!$M$4:$M$103,$C524,Assumptions!$N$4:$N$103,$E524,Assumptions!$O$4:$O$103,"LVN"))</f>
        <v/>
      </c>
      <c r="N524" s="32" t="n"/>
      <c r="O524" s="34">
        <f>IF(AND(IF($I527&lt;&gt;"",$I527,$I524)="override",$N524&lt;&gt;""),$N524,SUMIFS(Assumptions!$P$4:$P$103,Assumptions!$M$4:$M$103,$C524,Assumptions!$N$4:$N$103,$E524,Assumptions!$O$4:$O$103,"HVN"))</f>
        <v/>
      </c>
      <c r="P524" s="34">
        <f>(M524+O524)*Assumptions!$S$11</f>
        <v/>
      </c>
      <c r="Q524" s="35">
        <f>$F524*$K524*$P524</f>
        <v/>
      </c>
    </row>
    <row r="525">
      <c r="A525" s="11" t="inlineStr">
        <is>
          <t>UNIT</t>
        </is>
      </c>
      <c r="B525" s="28" t="inlineStr">
        <is>
          <t>VALERO_HOUSTON</t>
        </is>
      </c>
      <c r="C525" s="28" t="n">
        <v>3</v>
      </c>
      <c r="D525" s="28" t="inlineStr">
        <is>
          <t>ALKY</t>
        </is>
      </c>
      <c r="E525" s="28" t="inlineStr">
        <is>
          <t>ALKY</t>
        </is>
      </c>
      <c r="F525" s="29" t="n">
        <v>28.9</v>
      </c>
      <c r="G525" s="30">
        <f>IFERROR(IF(INDEX(Effective!$E$3:$R$125,MATCH($B525,Effective!$A$3:$A$125,0),MATCH($D525,Effective!$E$2:$R$2,0))=0,"",INDEX(Effective!$E$3:$R$125,MATCH($B525,Effective!$A$3:$A$125,0),MATCH($D525,Effective!$E$2:$R$2,0))),"")</f>
        <v/>
      </c>
      <c r="H525" s="31" t="n"/>
      <c r="I525" s="17" t="inlineStr">
        <is>
          <t>override</t>
        </is>
      </c>
      <c r="J525" s="32" t="n">
        <v>1.1</v>
      </c>
      <c r="K525" s="33">
        <f>IF(AND(IF($I527&lt;&gt;"",$I527,$I525)="override",$J525&lt;&gt;""),$J525,SUMIFS(Assumptions!$K$4:$K$8,Assumptions!$J$4:$J$8,$C525))*Assumptions!$S$10*(1-MIN(1,MAX(N($H525),N($H527))))</f>
        <v/>
      </c>
      <c r="L525" s="32" t="n"/>
      <c r="M525" s="34">
        <f>IF(AND(IF($I527&lt;&gt;"",$I527,$I525)="override",$L525&lt;&gt;""),$L525,SUMIFS(Assumptions!$P$4:$P$103,Assumptions!$M$4:$M$103,$C525,Assumptions!$N$4:$N$103,$E525,Assumptions!$O$4:$O$103,"LVN"))</f>
        <v/>
      </c>
      <c r="N525" s="32" t="n"/>
      <c r="O525" s="34">
        <f>IF(AND(IF($I527&lt;&gt;"",$I527,$I525)="override",$N525&lt;&gt;""),$N525,SUMIFS(Assumptions!$P$4:$P$103,Assumptions!$M$4:$M$103,$C525,Assumptions!$N$4:$N$103,$E525,Assumptions!$O$4:$O$103,"HVN"))</f>
        <v/>
      </c>
      <c r="P525" s="34">
        <f>(M525+O525)*Assumptions!$S$11</f>
        <v/>
      </c>
      <c r="Q525" s="35">
        <f>$F525*$K525*$P525</f>
        <v/>
      </c>
    </row>
    <row r="526">
      <c r="A526" s="11" t="inlineStr">
        <is>
          <t>UNIT</t>
        </is>
      </c>
      <c r="B526" s="28" t="inlineStr">
        <is>
          <t>VALERO_HOUSTON</t>
        </is>
      </c>
      <c r="C526" s="28" t="n">
        <v>3</v>
      </c>
      <c r="D526" s="28" t="inlineStr">
        <is>
          <t>NHT</t>
        </is>
      </c>
      <c r="E526" s="28" t="inlineStr">
        <is>
          <t>NHT</t>
        </is>
      </c>
      <c r="F526" s="29" t="n">
        <v>9</v>
      </c>
      <c r="G526" s="30">
        <f>IFERROR(IF(INDEX(Effective!$E$3:$R$125,MATCH($B526,Effective!$A$3:$A$125,0),MATCH($D526,Effective!$E$2:$R$2,0))=0,"",INDEX(Effective!$E$3:$R$125,MATCH($B526,Effective!$A$3:$A$125,0),MATCH($D526,Effective!$E$2:$R$2,0))),"")</f>
        <v/>
      </c>
      <c r="H526" s="31" t="n"/>
      <c r="I526" s="17" t="inlineStr">
        <is>
          <t>override</t>
        </is>
      </c>
      <c r="J526" s="32" t="n">
        <v>1</v>
      </c>
      <c r="K526" s="33">
        <f>IF(AND(IF($I527&lt;&gt;"",$I527,$I526)="override",$J526&lt;&gt;""),$J526,SUMIFS(Assumptions!$K$4:$K$8,Assumptions!$J$4:$J$8,$C526))*Assumptions!$S$10*(1-MIN(1,MAX(N($H526),N($H527))))</f>
        <v/>
      </c>
      <c r="L526" s="32" t="n"/>
      <c r="M526" s="34">
        <f>IF(AND(IF($I527&lt;&gt;"",$I527,$I526)="override",$L526&lt;&gt;""),$L526,SUMIFS(Assumptions!$P$4:$P$103,Assumptions!$M$4:$M$103,$C526,Assumptions!$N$4:$N$103,$E526,Assumptions!$O$4:$O$103,"LVN"))</f>
        <v/>
      </c>
      <c r="N526" s="32" t="n"/>
      <c r="O526" s="34">
        <f>IF(AND(IF($I527&lt;&gt;"",$I527,$I526)="override",$N526&lt;&gt;""),$N526,SUMIFS(Assumptions!$P$4:$P$103,Assumptions!$M$4:$M$103,$C526,Assumptions!$N$4:$N$103,$E526,Assumptions!$O$4:$O$103,"HVN"))</f>
        <v/>
      </c>
      <c r="P526" s="34">
        <f>(M526+O526)*Assumptions!$S$11</f>
        <v/>
      </c>
      <c r="Q526" s="35">
        <f>$F526*$K526*$P526</f>
        <v/>
      </c>
    </row>
    <row r="527">
      <c r="A527" s="24" t="inlineStr">
        <is>
          <t>TOTAL</t>
        </is>
      </c>
      <c r="B527" s="36" t="inlineStr">
        <is>
          <t>VALERO_HOUSTON</t>
        </is>
      </c>
      <c r="C527" s="36" t="n">
        <v>3</v>
      </c>
      <c r="D527" s="36" t="inlineStr">
        <is>
          <t>NET NAPHTHA</t>
        </is>
      </c>
      <c r="H527" s="31" t="n"/>
      <c r="I527" s="17" t="n"/>
      <c r="Q527" s="37">
        <f>SUM(Q521:Q526)</f>
        <v/>
      </c>
    </row>
    <row r="529" ht="20" customHeight="1">
      <c r="A529" s="8">
        <f>"  Valero Sunray  [VALERO_SUNRAY]   —   Valero   —   PADD 3   —   crude "&amp;TEXT(SUMIFS(Data!$G$3:$G$125,Data!$A$3:$A$125,"VALERO_SUNRAY"),"#,##0")&amp;" kbd"</f>
        <v/>
      </c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</row>
    <row r="530">
      <c r="A530" s="11" t="inlineStr">
        <is>
          <t>UNIT</t>
        </is>
      </c>
      <c r="B530" s="28" t="inlineStr">
        <is>
          <t>VALERO_SUNRAY</t>
        </is>
      </c>
      <c r="C530" s="28" t="n">
        <v>3</v>
      </c>
      <c r="D530" s="28" t="inlineStr">
        <is>
          <t>CDU</t>
        </is>
      </c>
      <c r="E530" s="28" t="inlineStr">
        <is>
          <t>CDU</t>
        </is>
      </c>
      <c r="F530" s="29" t="n">
        <v>200</v>
      </c>
      <c r="G530" s="30">
        <f>IFERROR(IF(INDEX(Effective!$E$3:$R$125,MATCH($B530,Effective!$A$3:$A$125,0),MATCH($D530,Effective!$E$2:$R$2,0))=0,"",INDEX(Effective!$E$3:$R$125,MATCH($B530,Effective!$A$3:$A$125,0),MATCH($D530,Effective!$E$2:$R$2,0))),"")</f>
        <v/>
      </c>
      <c r="H530" s="31" t="n"/>
      <c r="I530" s="17" t="inlineStr">
        <is>
          <t>override</t>
        </is>
      </c>
      <c r="J530" s="32" t="n">
        <v>0.756</v>
      </c>
      <c r="K530" s="33">
        <f>IF(AND(IF($I538&lt;&gt;"",$I538,$I530)="override",$J530&lt;&gt;""),$J530,SUMIFS(Assumptions!$K$4:$K$8,Assumptions!$J$4:$J$8,$C530))*Assumptions!$S$10*(1-MIN(1,MAX(N($H530),N($H538))))</f>
        <v/>
      </c>
      <c r="L530" s="32" t="n"/>
      <c r="M530" s="34">
        <f>IF(AND(IF($I538&lt;&gt;"",$I538,$I530)="override",$L530&lt;&gt;""),$L530,SUMIFS(Assumptions!$P$4:$P$103,Assumptions!$M$4:$M$103,$C530,Assumptions!$N$4:$N$103,$E530,Assumptions!$O$4:$O$103,"LVN"))</f>
        <v/>
      </c>
      <c r="N530" s="32" t="n"/>
      <c r="O530" s="34">
        <f>IF(AND(IF($I538&lt;&gt;"",$I538,$I530)="override",$N530&lt;&gt;""),$N530,SUMIFS(Assumptions!$P$4:$P$103,Assumptions!$M$4:$M$103,$C530,Assumptions!$N$4:$N$103,$E530,Assumptions!$O$4:$O$103,"HVN"))</f>
        <v/>
      </c>
      <c r="P530" s="34">
        <f>(M530+O530)*Assumptions!$S$11</f>
        <v/>
      </c>
      <c r="Q530" s="35">
        <f>$F530*$K530*$P530</f>
        <v/>
      </c>
    </row>
    <row r="531">
      <c r="A531" s="11" t="inlineStr">
        <is>
          <t>UNIT</t>
        </is>
      </c>
      <c r="B531" s="28" t="inlineStr">
        <is>
          <t>VALERO_SUNRAY</t>
        </is>
      </c>
      <c r="C531" s="28" t="n">
        <v>3</v>
      </c>
      <c r="D531" s="28" t="inlineStr">
        <is>
          <t>VDU</t>
        </is>
      </c>
      <c r="E531" s="28" t="inlineStr">
        <is>
          <t>VDU</t>
        </is>
      </c>
      <c r="F531" s="29" t="n">
        <v>50</v>
      </c>
      <c r="G531" s="30">
        <f>IFERROR(IF(INDEX(Effective!$E$3:$R$125,MATCH($B531,Effective!$A$3:$A$125,0),MATCH($D531,Effective!$E$2:$R$2,0))=0,"",INDEX(Effective!$E$3:$R$125,MATCH($B531,Effective!$A$3:$A$125,0),MATCH($D531,Effective!$E$2:$R$2,0))),"")</f>
        <v/>
      </c>
      <c r="H531" s="31" t="n"/>
      <c r="I531" s="17" t="inlineStr">
        <is>
          <t>override</t>
        </is>
      </c>
      <c r="J531" s="32" t="n">
        <v>0.908</v>
      </c>
      <c r="K531" s="33">
        <f>IF(AND(IF($I538&lt;&gt;"",$I538,$I531)="override",$J531&lt;&gt;""),$J531,SUMIFS(Assumptions!$K$4:$K$8,Assumptions!$J$4:$J$8,$C531))*Assumptions!$S$10*(1-MIN(1,MAX(N($H531),N($H538))))</f>
        <v/>
      </c>
      <c r="L531" s="32" t="n"/>
      <c r="M531" s="34">
        <f>IF(AND(IF($I538&lt;&gt;"",$I538,$I531)="override",$L531&lt;&gt;""),$L531,SUMIFS(Assumptions!$P$4:$P$103,Assumptions!$M$4:$M$103,$C531,Assumptions!$N$4:$N$103,$E531,Assumptions!$O$4:$O$103,"LVN"))</f>
        <v/>
      </c>
      <c r="N531" s="32" t="n"/>
      <c r="O531" s="34">
        <f>IF(AND(IF($I538&lt;&gt;"",$I538,$I531)="override",$N531&lt;&gt;""),$N531,SUMIFS(Assumptions!$P$4:$P$103,Assumptions!$M$4:$M$103,$C531,Assumptions!$N$4:$N$103,$E531,Assumptions!$O$4:$O$103,"HVN"))</f>
        <v/>
      </c>
      <c r="P531" s="34">
        <f>(M531+O531)*Assumptions!$S$11</f>
        <v/>
      </c>
      <c r="Q531" s="35">
        <f>$F531*$K531*$P531</f>
        <v/>
      </c>
    </row>
    <row r="532">
      <c r="A532" s="11" t="inlineStr">
        <is>
          <t>UNIT</t>
        </is>
      </c>
      <c r="B532" s="28" t="inlineStr">
        <is>
          <t>VALERO_SUNRAY</t>
        </is>
      </c>
      <c r="C532" s="28" t="n">
        <v>3</v>
      </c>
      <c r="D532" s="28" t="inlineStr">
        <is>
          <t>FCC</t>
        </is>
      </c>
      <c r="E532" s="28" t="inlineStr">
        <is>
          <t>FCC</t>
        </is>
      </c>
      <c r="F532" s="29" t="n">
        <v>56</v>
      </c>
      <c r="G532" s="30">
        <f>IFERROR(IF(INDEX(Effective!$E$3:$R$125,MATCH($B532,Effective!$A$3:$A$125,0),MATCH($D532,Effective!$E$2:$R$2,0))=0,"",INDEX(Effective!$E$3:$R$125,MATCH($B532,Effective!$A$3:$A$125,0),MATCH($D532,Effective!$E$2:$R$2,0))),"")</f>
        <v/>
      </c>
      <c r="H532" s="31" t="n"/>
      <c r="I532" s="17" t="inlineStr">
        <is>
          <t>override</t>
        </is>
      </c>
      <c r="J532" s="32" t="n">
        <v>0.616</v>
      </c>
      <c r="K532" s="33">
        <f>IF(AND(IF($I538&lt;&gt;"",$I538,$I532)="override",$J532&lt;&gt;""),$J532,SUMIFS(Assumptions!$K$4:$K$8,Assumptions!$J$4:$J$8,$C532))*Assumptions!$S$10*(1-MIN(1,MAX(N($H532),N($H538))))</f>
        <v/>
      </c>
      <c r="L532" s="32" t="n"/>
      <c r="M532" s="34">
        <f>IF(AND(IF($I538&lt;&gt;"",$I538,$I532)="override",$L532&lt;&gt;""),$L532,SUMIFS(Assumptions!$P$4:$P$103,Assumptions!$M$4:$M$103,$C532,Assumptions!$N$4:$N$103,$E532,Assumptions!$O$4:$O$103,"LVN"))</f>
        <v/>
      </c>
      <c r="N532" s="32" t="n"/>
      <c r="O532" s="34">
        <f>IF(AND(IF($I538&lt;&gt;"",$I538,$I532)="override",$N532&lt;&gt;""),$N532,SUMIFS(Assumptions!$P$4:$P$103,Assumptions!$M$4:$M$103,$C532,Assumptions!$N$4:$N$103,$E532,Assumptions!$O$4:$O$103,"HVN"))</f>
        <v/>
      </c>
      <c r="P532" s="34">
        <f>(M532+O532)*Assumptions!$S$11</f>
        <v/>
      </c>
      <c r="Q532" s="35">
        <f>$F532*$K532*$P532</f>
        <v/>
      </c>
    </row>
    <row r="533">
      <c r="A533" s="11" t="inlineStr">
        <is>
          <t>UNIT</t>
        </is>
      </c>
      <c r="B533" s="28" t="inlineStr">
        <is>
          <t>VALERO_SUNRAY</t>
        </is>
      </c>
      <c r="C533" s="28" t="n">
        <v>3</v>
      </c>
      <c r="D533" s="28" t="inlineStr">
        <is>
          <t>DHCU</t>
        </is>
      </c>
      <c r="E533" s="28" t="inlineStr">
        <is>
          <t>HYDROCRACKER</t>
        </is>
      </c>
      <c r="F533" s="29" t="n">
        <v>29</v>
      </c>
      <c r="G533" s="30">
        <f>IFERROR(IF(INDEX(Effective!$E$3:$R$125,MATCH($B533,Effective!$A$3:$A$125,0),MATCH($D533,Effective!$E$2:$R$2,0))=0,"",INDEX(Effective!$E$3:$R$125,MATCH($B533,Effective!$A$3:$A$125,0),MATCH($D533,Effective!$E$2:$R$2,0))),"")</f>
        <v/>
      </c>
      <c r="H533" s="31" t="n"/>
      <c r="I533" s="17" t="inlineStr">
        <is>
          <t>override</t>
        </is>
      </c>
      <c r="J533" s="32" t="n">
        <v>0.448</v>
      </c>
      <c r="K533" s="33">
        <f>IF(AND(IF($I538&lt;&gt;"",$I538,$I533)="override",$J533&lt;&gt;""),$J533,SUMIFS(Assumptions!$K$4:$K$8,Assumptions!$J$4:$J$8,$C533))*Assumptions!$S$10*(1-MIN(1,MAX(N($H533),N($H538))))</f>
        <v/>
      </c>
      <c r="L533" s="32" t="n"/>
      <c r="M533" s="34">
        <f>IF(AND(IF($I538&lt;&gt;"",$I538,$I533)="override",$L533&lt;&gt;""),$L533,SUMIFS(Assumptions!$P$4:$P$103,Assumptions!$M$4:$M$103,$C533,Assumptions!$N$4:$N$103,$E533,Assumptions!$O$4:$O$103,"LVN"))</f>
        <v/>
      </c>
      <c r="N533" s="32" t="n"/>
      <c r="O533" s="34">
        <f>IF(AND(IF($I538&lt;&gt;"",$I538,$I533)="override",$N533&lt;&gt;""),$N533,SUMIFS(Assumptions!$P$4:$P$103,Assumptions!$M$4:$M$103,$C533,Assumptions!$N$4:$N$103,$E533,Assumptions!$O$4:$O$103,"HVN"))</f>
        <v/>
      </c>
      <c r="P533" s="34">
        <f>(M533+O533)*Assumptions!$S$11</f>
        <v/>
      </c>
      <c r="Q533" s="35">
        <f>$F533*$K533*$P533</f>
        <v/>
      </c>
    </row>
    <row r="534">
      <c r="A534" s="11" t="inlineStr">
        <is>
          <t>UNIT</t>
        </is>
      </c>
      <c r="B534" s="28" t="inlineStr">
        <is>
          <t>VALERO_SUNRAY</t>
        </is>
      </c>
      <c r="C534" s="28" t="n">
        <v>3</v>
      </c>
      <c r="D534" s="28" t="inlineStr">
        <is>
          <t>CCR</t>
        </is>
      </c>
      <c r="E534" s="28" t="inlineStr">
        <is>
          <t>REFORMER</t>
        </is>
      </c>
      <c r="F534" s="29" t="n">
        <v>29</v>
      </c>
      <c r="G534" s="30">
        <f>IFERROR(IF(INDEX(Effective!$E$3:$R$125,MATCH($B534,Effective!$A$3:$A$125,0),MATCH($D534,Effective!$E$2:$R$2,0))=0,"",INDEX(Effective!$E$3:$R$125,MATCH($B534,Effective!$A$3:$A$125,0),MATCH($D534,Effective!$E$2:$R$2,0))),"")</f>
        <v/>
      </c>
      <c r="H534" s="31" t="n"/>
      <c r="I534" s="17" t="inlineStr">
        <is>
          <t>override</t>
        </is>
      </c>
      <c r="J534" s="32" t="n">
        <v>0.9</v>
      </c>
      <c r="K534" s="33">
        <f>IF(AND(IF($I538&lt;&gt;"",$I538,$I534)="override",$J534&lt;&gt;""),$J534,SUMIFS(Assumptions!$K$4:$K$8,Assumptions!$J$4:$J$8,$C534))*Assumptions!$S$10*(1-MIN(1,MAX(N($H534),N($H538))))</f>
        <v/>
      </c>
      <c r="L534" s="32" t="n"/>
      <c r="M534" s="34">
        <f>IF(AND(IF($I538&lt;&gt;"",$I538,$I534)="override",$L534&lt;&gt;""),$L534,SUMIFS(Assumptions!$P$4:$P$103,Assumptions!$M$4:$M$103,$C534,Assumptions!$N$4:$N$103,$E534,Assumptions!$O$4:$O$103,"LVN"))</f>
        <v/>
      </c>
      <c r="N534" s="32" t="n"/>
      <c r="O534" s="34">
        <f>IF(AND(IF($I538&lt;&gt;"",$I538,$I534)="override",$N534&lt;&gt;""),$N534,SUMIFS(Assumptions!$P$4:$P$103,Assumptions!$M$4:$M$103,$C534,Assumptions!$N$4:$N$103,$E534,Assumptions!$O$4:$O$103,"HVN"))</f>
        <v/>
      </c>
      <c r="P534" s="34">
        <f>(M534+O534)*Assumptions!$S$11</f>
        <v/>
      </c>
      <c r="Q534" s="35">
        <f>$F534*$K534*$P534</f>
        <v/>
      </c>
    </row>
    <row r="535">
      <c r="A535" s="11" t="inlineStr">
        <is>
          <t>UNIT</t>
        </is>
      </c>
      <c r="B535" s="28" t="inlineStr">
        <is>
          <t>VALERO_SUNRAY</t>
        </is>
      </c>
      <c r="C535" s="28" t="n">
        <v>3</v>
      </c>
      <c r="D535" s="28" t="inlineStr">
        <is>
          <t>REF</t>
        </is>
      </c>
      <c r="E535" s="28" t="inlineStr">
        <is>
          <t>REFORMER</t>
        </is>
      </c>
      <c r="F535" s="29" t="n">
        <v>18</v>
      </c>
      <c r="G535" s="30">
        <f>IFERROR(IF(INDEX(Effective!$E$3:$R$125,MATCH($B535,Effective!$A$3:$A$125,0),MATCH($D535,Effective!$E$2:$R$2,0))=0,"",INDEX(Effective!$E$3:$R$125,MATCH($B535,Effective!$A$3:$A$125,0),MATCH($D535,Effective!$E$2:$R$2,0))),"")</f>
        <v/>
      </c>
      <c r="H535" s="31" t="n"/>
      <c r="I535" s="17" t="inlineStr">
        <is>
          <t>override</t>
        </is>
      </c>
      <c r="J535" s="32" t="n">
        <v>0.959</v>
      </c>
      <c r="K535" s="33">
        <f>IF(AND(IF($I538&lt;&gt;"",$I538,$I535)="override",$J535&lt;&gt;""),$J535,SUMIFS(Assumptions!$K$4:$K$8,Assumptions!$J$4:$J$8,$C535))*Assumptions!$S$10*(1-MIN(1,MAX(N($H535),N($H538))))</f>
        <v/>
      </c>
      <c r="L535" s="32" t="n"/>
      <c r="M535" s="34">
        <f>IF(AND(IF($I538&lt;&gt;"",$I538,$I535)="override",$L535&lt;&gt;""),$L535,SUMIFS(Assumptions!$P$4:$P$103,Assumptions!$M$4:$M$103,$C535,Assumptions!$N$4:$N$103,$E535,Assumptions!$O$4:$O$103,"LVN"))</f>
        <v/>
      </c>
      <c r="N535" s="32" t="n"/>
      <c r="O535" s="34">
        <f>IF(AND(IF($I538&lt;&gt;"",$I538,$I535)="override",$N535&lt;&gt;""),$N535,SUMIFS(Assumptions!$P$4:$P$103,Assumptions!$M$4:$M$103,$C535,Assumptions!$N$4:$N$103,$E535,Assumptions!$O$4:$O$103,"HVN"))</f>
        <v/>
      </c>
      <c r="P535" s="34">
        <f>(M535+O535)*Assumptions!$S$11</f>
        <v/>
      </c>
      <c r="Q535" s="35">
        <f>$F535*$K535*$P535</f>
        <v/>
      </c>
    </row>
    <row r="536">
      <c r="A536" s="11" t="inlineStr">
        <is>
          <t>UNIT</t>
        </is>
      </c>
      <c r="B536" s="28" t="inlineStr">
        <is>
          <t>VALERO_SUNRAY</t>
        </is>
      </c>
      <c r="C536" s="28" t="n">
        <v>3</v>
      </c>
      <c r="D536" s="28" t="inlineStr">
        <is>
          <t>ALKY</t>
        </is>
      </c>
      <c r="E536" s="28" t="inlineStr">
        <is>
          <t>ALKY</t>
        </is>
      </c>
      <c r="F536" s="29" t="n">
        <v>9.800000000000001</v>
      </c>
      <c r="G536" s="30">
        <f>IFERROR(IF(INDEX(Effective!$E$3:$R$125,MATCH($B536,Effective!$A$3:$A$125,0),MATCH($D536,Effective!$E$2:$R$2,0))=0,"",INDEX(Effective!$E$3:$R$125,MATCH($B536,Effective!$A$3:$A$125,0),MATCH($D536,Effective!$E$2:$R$2,0))),"")</f>
        <v/>
      </c>
      <c r="H536" s="31" t="n"/>
      <c r="I536" s="17" t="inlineStr">
        <is>
          <t>override</t>
        </is>
      </c>
      <c r="J536" s="32" t="n">
        <v>1.1</v>
      </c>
      <c r="K536" s="33">
        <f>IF(AND(IF($I538&lt;&gt;"",$I538,$I536)="override",$J536&lt;&gt;""),$J536,SUMIFS(Assumptions!$K$4:$K$8,Assumptions!$J$4:$J$8,$C536))*Assumptions!$S$10*(1-MIN(1,MAX(N($H536),N($H538))))</f>
        <v/>
      </c>
      <c r="L536" s="32" t="n"/>
      <c r="M536" s="34">
        <f>IF(AND(IF($I538&lt;&gt;"",$I538,$I536)="override",$L536&lt;&gt;""),$L536,SUMIFS(Assumptions!$P$4:$P$103,Assumptions!$M$4:$M$103,$C536,Assumptions!$N$4:$N$103,$E536,Assumptions!$O$4:$O$103,"LVN"))</f>
        <v/>
      </c>
      <c r="N536" s="32" t="n"/>
      <c r="O536" s="34">
        <f>IF(AND(IF($I538&lt;&gt;"",$I538,$I536)="override",$N536&lt;&gt;""),$N536,SUMIFS(Assumptions!$P$4:$P$103,Assumptions!$M$4:$M$103,$C536,Assumptions!$N$4:$N$103,$E536,Assumptions!$O$4:$O$103,"HVN"))</f>
        <v/>
      </c>
      <c r="P536" s="34">
        <f>(M536+O536)*Assumptions!$S$11</f>
        <v/>
      </c>
      <c r="Q536" s="35">
        <f>$F536*$K536*$P536</f>
        <v/>
      </c>
    </row>
    <row r="537">
      <c r="A537" s="11" t="inlineStr">
        <is>
          <t>UNIT</t>
        </is>
      </c>
      <c r="B537" s="28" t="inlineStr">
        <is>
          <t>VALERO_SUNRAY</t>
        </is>
      </c>
      <c r="C537" s="28" t="n">
        <v>3</v>
      </c>
      <c r="D537" s="28" t="inlineStr">
        <is>
          <t>NHT</t>
        </is>
      </c>
      <c r="E537" s="28" t="inlineStr">
        <is>
          <t>NHT</t>
        </is>
      </c>
      <c r="F537" s="29" t="n">
        <v>44.4</v>
      </c>
      <c r="G537" s="30">
        <f>IFERROR(IF(INDEX(Effective!$E$3:$R$125,MATCH($B537,Effective!$A$3:$A$125,0),MATCH($D537,Effective!$E$2:$R$2,0))=0,"",INDEX(Effective!$E$3:$R$125,MATCH($B537,Effective!$A$3:$A$125,0),MATCH($D537,Effective!$E$2:$R$2,0))),"")</f>
        <v/>
      </c>
      <c r="H537" s="31" t="n"/>
      <c r="I537" s="17" t="inlineStr">
        <is>
          <t>override</t>
        </is>
      </c>
      <c r="J537" s="32" t="n">
        <v>0.958</v>
      </c>
      <c r="K537" s="33">
        <f>IF(AND(IF($I538&lt;&gt;"",$I538,$I537)="override",$J537&lt;&gt;""),$J537,SUMIFS(Assumptions!$K$4:$K$8,Assumptions!$J$4:$J$8,$C537))*Assumptions!$S$10*(1-MIN(1,MAX(N($H537),N($H538))))</f>
        <v/>
      </c>
      <c r="L537" s="32" t="n"/>
      <c r="M537" s="34">
        <f>IF(AND(IF($I538&lt;&gt;"",$I538,$I537)="override",$L537&lt;&gt;""),$L537,SUMIFS(Assumptions!$P$4:$P$103,Assumptions!$M$4:$M$103,$C537,Assumptions!$N$4:$N$103,$E537,Assumptions!$O$4:$O$103,"LVN"))</f>
        <v/>
      </c>
      <c r="N537" s="32" t="n"/>
      <c r="O537" s="34">
        <f>IF(AND(IF($I538&lt;&gt;"",$I538,$I537)="override",$N537&lt;&gt;""),$N537,SUMIFS(Assumptions!$P$4:$P$103,Assumptions!$M$4:$M$103,$C537,Assumptions!$N$4:$N$103,$E537,Assumptions!$O$4:$O$103,"HVN"))</f>
        <v/>
      </c>
      <c r="P537" s="34">
        <f>(M537+O537)*Assumptions!$S$11</f>
        <v/>
      </c>
      <c r="Q537" s="35">
        <f>$F537*$K537*$P537</f>
        <v/>
      </c>
    </row>
    <row r="538">
      <c r="A538" s="24" t="inlineStr">
        <is>
          <t>TOTAL</t>
        </is>
      </c>
      <c r="B538" s="36" t="inlineStr">
        <is>
          <t>VALERO_SUNRAY</t>
        </is>
      </c>
      <c r="C538" s="36" t="n">
        <v>3</v>
      </c>
      <c r="D538" s="36" t="inlineStr">
        <is>
          <t>NET NAPHTHA</t>
        </is>
      </c>
      <c r="H538" s="31" t="n"/>
      <c r="I538" s="17" t="n"/>
      <c r="Q538" s="37">
        <f>SUM(Q530:Q537)</f>
        <v/>
      </c>
    </row>
    <row r="540" ht="20" customHeight="1">
      <c r="A540" s="8">
        <f>"  PBF Energy Company LLC Chalmette  [PBF_CHALMETTE]   —   PBF Energy Company LLC   —   PADD 3   —   crude "&amp;TEXT(SUMIFS(Data!$G$3:$G$125,Data!$A$3:$A$125,"PBF_CHALMETTE"),"#,##0")&amp;" kbd"</f>
        <v/>
      </c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</row>
    <row r="541">
      <c r="A541" s="11" t="inlineStr">
        <is>
          <t>UNIT</t>
        </is>
      </c>
      <c r="B541" s="28" t="inlineStr">
        <is>
          <t>PBF_CHALMETTE</t>
        </is>
      </c>
      <c r="C541" s="28" t="n">
        <v>3</v>
      </c>
      <c r="D541" s="28" t="inlineStr">
        <is>
          <t>CDU</t>
        </is>
      </c>
      <c r="E541" s="28" t="inlineStr">
        <is>
          <t>CDU</t>
        </is>
      </c>
      <c r="F541" s="29" t="n">
        <v>197</v>
      </c>
      <c r="G541" s="30">
        <f>IFERROR(IF(INDEX(Effective!$E$3:$R$125,MATCH($B541,Effective!$A$3:$A$125,0),MATCH($D541,Effective!$E$2:$R$2,0))=0,"",INDEX(Effective!$E$3:$R$125,MATCH($B541,Effective!$A$3:$A$125,0),MATCH($D541,Effective!$E$2:$R$2,0))),"")</f>
        <v/>
      </c>
      <c r="H541" s="31" t="n"/>
      <c r="I541" s="17" t="inlineStr">
        <is>
          <t>override</t>
        </is>
      </c>
      <c r="J541" s="32" t="n">
        <v>0.656</v>
      </c>
      <c r="K541" s="33">
        <f>IF(AND(IF($I550&lt;&gt;"",$I550,$I541)="override",$J541&lt;&gt;""),$J541,SUMIFS(Assumptions!$K$4:$K$8,Assumptions!$J$4:$J$8,$C541))*Assumptions!$S$10*(1-MIN(1,MAX(N($H541),N($H550))))</f>
        <v/>
      </c>
      <c r="L541" s="32" t="n"/>
      <c r="M541" s="34">
        <f>IF(AND(IF($I550&lt;&gt;"",$I550,$I541)="override",$L541&lt;&gt;""),$L541,SUMIFS(Assumptions!$P$4:$P$103,Assumptions!$M$4:$M$103,$C541,Assumptions!$N$4:$N$103,$E541,Assumptions!$O$4:$O$103,"LVN"))</f>
        <v/>
      </c>
      <c r="N541" s="32" t="n"/>
      <c r="O541" s="34">
        <f>IF(AND(IF($I550&lt;&gt;"",$I550,$I541)="override",$N541&lt;&gt;""),$N541,SUMIFS(Assumptions!$P$4:$P$103,Assumptions!$M$4:$M$103,$C541,Assumptions!$N$4:$N$103,$E541,Assumptions!$O$4:$O$103,"HVN"))</f>
        <v/>
      </c>
      <c r="P541" s="34">
        <f>(M541+O541)*Assumptions!$S$11</f>
        <v/>
      </c>
      <c r="Q541" s="35">
        <f>$F541*$K541*$P541</f>
        <v/>
      </c>
    </row>
    <row r="542">
      <c r="A542" s="11" t="inlineStr">
        <is>
          <t>UNIT</t>
        </is>
      </c>
      <c r="B542" s="28" t="inlineStr">
        <is>
          <t>PBF_CHALMETTE</t>
        </is>
      </c>
      <c r="C542" s="28" t="n">
        <v>3</v>
      </c>
      <c r="D542" s="28" t="inlineStr">
        <is>
          <t>VDU</t>
        </is>
      </c>
      <c r="E542" s="28" t="inlineStr">
        <is>
          <t>VDU</t>
        </is>
      </c>
      <c r="F542" s="29" t="n">
        <v>169</v>
      </c>
      <c r="G542" s="30">
        <f>IFERROR(IF(INDEX(Effective!$E$3:$R$125,MATCH($B542,Effective!$A$3:$A$125,0),MATCH($D542,Effective!$E$2:$R$2,0))=0,"",INDEX(Effective!$E$3:$R$125,MATCH($B542,Effective!$A$3:$A$125,0),MATCH($D542,Effective!$E$2:$R$2,0))),"")</f>
        <v/>
      </c>
      <c r="H542" s="31" t="n"/>
      <c r="I542" s="17" t="inlineStr">
        <is>
          <t>override</t>
        </is>
      </c>
      <c r="J542" s="32" t="n">
        <v>0.488</v>
      </c>
      <c r="K542" s="33">
        <f>IF(AND(IF($I550&lt;&gt;"",$I550,$I542)="override",$J542&lt;&gt;""),$J542,SUMIFS(Assumptions!$K$4:$K$8,Assumptions!$J$4:$J$8,$C542))*Assumptions!$S$10*(1-MIN(1,MAX(N($H542),N($H550))))</f>
        <v/>
      </c>
      <c r="L542" s="32" t="n"/>
      <c r="M542" s="34">
        <f>IF(AND(IF($I550&lt;&gt;"",$I550,$I542)="override",$L542&lt;&gt;""),$L542,SUMIFS(Assumptions!$P$4:$P$103,Assumptions!$M$4:$M$103,$C542,Assumptions!$N$4:$N$103,$E542,Assumptions!$O$4:$O$103,"LVN"))</f>
        <v/>
      </c>
      <c r="N542" s="32" t="n"/>
      <c r="O542" s="34">
        <f>IF(AND(IF($I550&lt;&gt;"",$I550,$I542)="override",$N542&lt;&gt;""),$N542,SUMIFS(Assumptions!$P$4:$P$103,Assumptions!$M$4:$M$103,$C542,Assumptions!$N$4:$N$103,$E542,Assumptions!$O$4:$O$103,"HVN"))</f>
        <v/>
      </c>
      <c r="P542" s="34">
        <f>(M542+O542)*Assumptions!$S$11</f>
        <v/>
      </c>
      <c r="Q542" s="35">
        <f>$F542*$K542*$P542</f>
        <v/>
      </c>
    </row>
    <row r="543">
      <c r="A543" s="11" t="inlineStr">
        <is>
          <t>UNIT</t>
        </is>
      </c>
      <c r="B543" s="28" t="inlineStr">
        <is>
          <t>PBF_CHALMETTE</t>
        </is>
      </c>
      <c r="C543" s="28" t="n">
        <v>3</v>
      </c>
      <c r="D543" s="28" t="inlineStr">
        <is>
          <t>FCC</t>
        </is>
      </c>
      <c r="E543" s="28" t="inlineStr">
        <is>
          <t>FCC</t>
        </is>
      </c>
      <c r="F543" s="29" t="n">
        <v>75.59999999999999</v>
      </c>
      <c r="G543" s="30">
        <f>IFERROR(IF(INDEX(Effective!$E$3:$R$125,MATCH($B543,Effective!$A$3:$A$125,0),MATCH($D543,Effective!$E$2:$R$2,0))=0,"",INDEX(Effective!$E$3:$R$125,MATCH($B543,Effective!$A$3:$A$125,0),MATCH($D543,Effective!$E$2:$R$2,0))),"")</f>
        <v/>
      </c>
      <c r="H543" s="31" t="n"/>
      <c r="I543" s="17" t="inlineStr">
        <is>
          <t>override</t>
        </is>
      </c>
      <c r="J543" s="32" t="n">
        <v>0.744</v>
      </c>
      <c r="K543" s="33">
        <f>IF(AND(IF($I550&lt;&gt;"",$I550,$I543)="override",$J543&lt;&gt;""),$J543,SUMIFS(Assumptions!$K$4:$K$8,Assumptions!$J$4:$J$8,$C543))*Assumptions!$S$10*(1-MIN(1,MAX(N($H543),N($H550))))</f>
        <v/>
      </c>
      <c r="L543" s="32" t="n"/>
      <c r="M543" s="34">
        <f>IF(AND(IF($I550&lt;&gt;"",$I550,$I543)="override",$L543&lt;&gt;""),$L543,SUMIFS(Assumptions!$P$4:$P$103,Assumptions!$M$4:$M$103,$C543,Assumptions!$N$4:$N$103,$E543,Assumptions!$O$4:$O$103,"LVN"))</f>
        <v/>
      </c>
      <c r="N543" s="32" t="n"/>
      <c r="O543" s="34">
        <f>IF(AND(IF($I550&lt;&gt;"",$I550,$I543)="override",$N543&lt;&gt;""),$N543,SUMIFS(Assumptions!$P$4:$P$103,Assumptions!$M$4:$M$103,$C543,Assumptions!$N$4:$N$103,$E543,Assumptions!$O$4:$O$103,"HVN"))</f>
        <v/>
      </c>
      <c r="P543" s="34">
        <f>(M543+O543)*Assumptions!$S$11</f>
        <v/>
      </c>
      <c r="Q543" s="35">
        <f>$F543*$K543*$P543</f>
        <v/>
      </c>
    </row>
    <row r="544">
      <c r="A544" s="11" t="inlineStr">
        <is>
          <t>UNIT</t>
        </is>
      </c>
      <c r="B544" s="28" t="inlineStr">
        <is>
          <t>PBF_CHALMETTE</t>
        </is>
      </c>
      <c r="C544" s="28" t="n">
        <v>3</v>
      </c>
      <c r="D544" s="28" t="inlineStr">
        <is>
          <t>COKER</t>
        </is>
      </c>
      <c r="E544" s="28" t="inlineStr">
        <is>
          <t>COKER</t>
        </is>
      </c>
      <c r="F544" s="29" t="n">
        <v>42</v>
      </c>
      <c r="G544" s="30">
        <f>IFERROR(IF(INDEX(Effective!$E$3:$R$125,MATCH($B544,Effective!$A$3:$A$125,0),MATCH($D544,Effective!$E$2:$R$2,0))=0,"",INDEX(Effective!$E$3:$R$125,MATCH($B544,Effective!$A$3:$A$125,0),MATCH($D544,Effective!$E$2:$R$2,0))),"")</f>
        <v/>
      </c>
      <c r="H544" s="31" t="n"/>
      <c r="I544" s="17" t="inlineStr">
        <is>
          <t>override</t>
        </is>
      </c>
      <c r="J544" s="32" t="n">
        <v>0.801</v>
      </c>
      <c r="K544" s="33">
        <f>IF(AND(IF($I550&lt;&gt;"",$I550,$I544)="override",$J544&lt;&gt;""),$J544,SUMIFS(Assumptions!$K$4:$K$8,Assumptions!$J$4:$J$8,$C544))*Assumptions!$S$10*(1-MIN(1,MAX(N($H544),N($H550))))</f>
        <v/>
      </c>
      <c r="L544" s="32" t="n"/>
      <c r="M544" s="34">
        <f>IF(AND(IF($I550&lt;&gt;"",$I550,$I544)="override",$L544&lt;&gt;""),$L544,SUMIFS(Assumptions!$P$4:$P$103,Assumptions!$M$4:$M$103,$C544,Assumptions!$N$4:$N$103,$E544,Assumptions!$O$4:$O$103,"LVN"))</f>
        <v/>
      </c>
      <c r="N544" s="32" t="n"/>
      <c r="O544" s="34">
        <f>IF(AND(IF($I550&lt;&gt;"",$I550,$I544)="override",$N544&lt;&gt;""),$N544,SUMIFS(Assumptions!$P$4:$P$103,Assumptions!$M$4:$M$103,$C544,Assumptions!$N$4:$N$103,$E544,Assumptions!$O$4:$O$103,"HVN"))</f>
        <v/>
      </c>
      <c r="P544" s="34">
        <f>(M544+O544)*Assumptions!$S$11</f>
        <v/>
      </c>
      <c r="Q544" s="35">
        <f>$F544*$K544*$P544</f>
        <v/>
      </c>
    </row>
    <row r="545">
      <c r="A545" s="11" t="inlineStr">
        <is>
          <t>UNIT</t>
        </is>
      </c>
      <c r="B545" s="28" t="inlineStr">
        <is>
          <t>PBF_CHALMETTE</t>
        </is>
      </c>
      <c r="C545" s="28" t="n">
        <v>3</v>
      </c>
      <c r="D545" s="28" t="inlineStr">
        <is>
          <t>CCR</t>
        </is>
      </c>
      <c r="E545" s="28" t="inlineStr">
        <is>
          <t>REFORMER</t>
        </is>
      </c>
      <c r="F545" s="29" t="n">
        <v>22.7</v>
      </c>
      <c r="G545" s="30">
        <f>IFERROR(IF(INDEX(Effective!$E$3:$R$125,MATCH($B545,Effective!$A$3:$A$125,0),MATCH($D545,Effective!$E$2:$R$2,0))=0,"",INDEX(Effective!$E$3:$R$125,MATCH($B545,Effective!$A$3:$A$125,0),MATCH($D545,Effective!$E$2:$R$2,0))),"")</f>
        <v/>
      </c>
      <c r="H545" s="31" t="n">
        <v>1</v>
      </c>
      <c r="I545" s="17" t="inlineStr">
        <is>
          <t>override</t>
        </is>
      </c>
      <c r="J545" s="32" t="n">
        <v>0.769</v>
      </c>
      <c r="K545" s="33">
        <f>IF(AND(IF($I550&lt;&gt;"",$I550,$I545)="override",$J545&lt;&gt;""),$J545,SUMIFS(Assumptions!$K$4:$K$8,Assumptions!$J$4:$J$8,$C545))*Assumptions!$S$10*(1-MIN(1,MAX(N($H545),N($H550))))</f>
        <v/>
      </c>
      <c r="L545" s="32" t="n"/>
      <c r="M545" s="34">
        <f>IF(AND(IF($I550&lt;&gt;"",$I550,$I545)="override",$L545&lt;&gt;""),$L545,SUMIFS(Assumptions!$P$4:$P$103,Assumptions!$M$4:$M$103,$C545,Assumptions!$N$4:$N$103,$E545,Assumptions!$O$4:$O$103,"LVN"))</f>
        <v/>
      </c>
      <c r="N545" s="32" t="n"/>
      <c r="O545" s="34">
        <f>IF(AND(IF($I550&lt;&gt;"",$I550,$I545)="override",$N545&lt;&gt;""),$N545,SUMIFS(Assumptions!$P$4:$P$103,Assumptions!$M$4:$M$103,$C545,Assumptions!$N$4:$N$103,$E545,Assumptions!$O$4:$O$103,"HVN"))</f>
        <v/>
      </c>
      <c r="P545" s="34">
        <f>(M545+O545)*Assumptions!$S$11</f>
        <v/>
      </c>
      <c r="Q545" s="35">
        <f>$F545*$K545*$P545</f>
        <v/>
      </c>
    </row>
    <row r="546">
      <c r="A546" s="11" t="inlineStr">
        <is>
          <t>UNIT</t>
        </is>
      </c>
      <c r="B546" s="28" t="inlineStr">
        <is>
          <t>PBF_CHALMETTE</t>
        </is>
      </c>
      <c r="C546" s="28" t="n">
        <v>3</v>
      </c>
      <c r="D546" s="28" t="inlineStr">
        <is>
          <t>REF</t>
        </is>
      </c>
      <c r="E546" s="28" t="inlineStr">
        <is>
          <t>REFORMER</t>
        </is>
      </c>
      <c r="F546" s="29" t="n">
        <v>30</v>
      </c>
      <c r="G546" s="30">
        <f>IFERROR(IF(INDEX(Effective!$E$3:$R$125,MATCH($B546,Effective!$A$3:$A$125,0),MATCH($D546,Effective!$E$2:$R$2,0))=0,"",INDEX(Effective!$E$3:$R$125,MATCH($B546,Effective!$A$3:$A$125,0),MATCH($D546,Effective!$E$2:$R$2,0))),"")</f>
        <v/>
      </c>
      <c r="H546" s="31" t="n"/>
      <c r="I546" s="17" t="inlineStr">
        <is>
          <t>override</t>
        </is>
      </c>
      <c r="J546" s="32" t="n">
        <v>0</v>
      </c>
      <c r="K546" s="33">
        <f>IF(AND(IF($I550&lt;&gt;"",$I550,$I546)="override",$J546&lt;&gt;""),$J546,SUMIFS(Assumptions!$K$4:$K$8,Assumptions!$J$4:$J$8,$C546))*Assumptions!$S$10*(1-MIN(1,MAX(N($H546),N($H550))))</f>
        <v/>
      </c>
      <c r="L546" s="32" t="n"/>
      <c r="M546" s="34">
        <f>IF(AND(IF($I550&lt;&gt;"",$I550,$I546)="override",$L546&lt;&gt;""),$L546,SUMIFS(Assumptions!$P$4:$P$103,Assumptions!$M$4:$M$103,$C546,Assumptions!$N$4:$N$103,$E546,Assumptions!$O$4:$O$103,"LVN"))</f>
        <v/>
      </c>
      <c r="N546" s="32" t="n"/>
      <c r="O546" s="34">
        <f>IF(AND(IF($I550&lt;&gt;"",$I550,$I546)="override",$N546&lt;&gt;""),$N546,SUMIFS(Assumptions!$P$4:$P$103,Assumptions!$M$4:$M$103,$C546,Assumptions!$N$4:$N$103,$E546,Assumptions!$O$4:$O$103,"HVN"))</f>
        <v/>
      </c>
      <c r="P546" s="34">
        <f>(M546+O546)*Assumptions!$S$11</f>
        <v/>
      </c>
      <c r="Q546" s="35">
        <f>$F546*$K546*$P546</f>
        <v/>
      </c>
    </row>
    <row r="547">
      <c r="A547" s="11" t="inlineStr">
        <is>
          <t>UNIT</t>
        </is>
      </c>
      <c r="B547" s="28" t="inlineStr">
        <is>
          <t>PBF_CHALMETTE</t>
        </is>
      </c>
      <c r="C547" s="28" t="n">
        <v>3</v>
      </c>
      <c r="D547" s="28" t="inlineStr">
        <is>
          <t>ISOM</t>
        </is>
      </c>
      <c r="E547" s="28" t="inlineStr">
        <is>
          <t>ISOM</t>
        </is>
      </c>
      <c r="F547" s="29" t="n">
        <v>8.199999999999999</v>
      </c>
      <c r="G547" s="30">
        <f>IFERROR(IF(INDEX(Effective!$E$3:$R$125,MATCH($B547,Effective!$A$3:$A$125,0),MATCH($D547,Effective!$E$2:$R$2,0))=0,"",INDEX(Effective!$E$3:$R$125,MATCH($B547,Effective!$A$3:$A$125,0),MATCH($D547,Effective!$E$2:$R$2,0))),"")</f>
        <v/>
      </c>
      <c r="H547" s="31" t="n"/>
      <c r="I547" s="17" t="inlineStr">
        <is>
          <t>override</t>
        </is>
      </c>
      <c r="J547" s="32" t="n"/>
      <c r="K547" s="33">
        <f>IF(AND(IF($I550&lt;&gt;"",$I550,$I547)="override",$J547&lt;&gt;""),$J547,SUMIFS(Assumptions!$K$4:$K$8,Assumptions!$J$4:$J$8,$C547))*Assumptions!$S$10*(1-MIN(1,MAX(N($H547),N($H550))))</f>
        <v/>
      </c>
      <c r="L547" s="32" t="n"/>
      <c r="M547" s="34">
        <f>IF(AND(IF($I550&lt;&gt;"",$I550,$I547)="override",$L547&lt;&gt;""),$L547,SUMIFS(Assumptions!$P$4:$P$103,Assumptions!$M$4:$M$103,$C547,Assumptions!$N$4:$N$103,$E547,Assumptions!$O$4:$O$103,"LVN"))</f>
        <v/>
      </c>
      <c r="N547" s="32" t="n"/>
      <c r="O547" s="34">
        <f>IF(AND(IF($I550&lt;&gt;"",$I550,$I547)="override",$N547&lt;&gt;""),$N547,SUMIFS(Assumptions!$P$4:$P$103,Assumptions!$M$4:$M$103,$C547,Assumptions!$N$4:$N$103,$E547,Assumptions!$O$4:$O$103,"HVN"))</f>
        <v/>
      </c>
      <c r="P547" s="34">
        <f>(M547+O547)*Assumptions!$S$11</f>
        <v/>
      </c>
      <c r="Q547" s="35">
        <f>$F547*$K547*$P547</f>
        <v/>
      </c>
    </row>
    <row r="548">
      <c r="A548" s="11" t="inlineStr">
        <is>
          <t>UNIT</t>
        </is>
      </c>
      <c r="B548" s="28" t="inlineStr">
        <is>
          <t>PBF_CHALMETTE</t>
        </is>
      </c>
      <c r="C548" s="28" t="n">
        <v>3</v>
      </c>
      <c r="D548" s="28" t="inlineStr">
        <is>
          <t>ALKY</t>
        </is>
      </c>
      <c r="E548" s="28" t="inlineStr">
        <is>
          <t>ALKY</t>
        </is>
      </c>
      <c r="F548" s="29" t="n">
        <v>16.8</v>
      </c>
      <c r="G548" s="30">
        <f>IFERROR(IF(INDEX(Effective!$E$3:$R$125,MATCH($B548,Effective!$A$3:$A$125,0),MATCH($D548,Effective!$E$2:$R$2,0))=0,"",INDEX(Effective!$E$3:$R$125,MATCH($B548,Effective!$A$3:$A$125,0),MATCH($D548,Effective!$E$2:$R$2,0))),"")</f>
        <v/>
      </c>
      <c r="H548" s="31" t="n"/>
      <c r="I548" s="17" t="inlineStr">
        <is>
          <t>override</t>
        </is>
      </c>
      <c r="J548" s="32" t="n">
        <v>0.707</v>
      </c>
      <c r="K548" s="33">
        <f>IF(AND(IF($I550&lt;&gt;"",$I550,$I548)="override",$J548&lt;&gt;""),$J548,SUMIFS(Assumptions!$K$4:$K$8,Assumptions!$J$4:$J$8,$C548))*Assumptions!$S$10*(1-MIN(1,MAX(N($H548),N($H550))))</f>
        <v/>
      </c>
      <c r="L548" s="32" t="n"/>
      <c r="M548" s="34">
        <f>IF(AND(IF($I550&lt;&gt;"",$I550,$I548)="override",$L548&lt;&gt;""),$L548,SUMIFS(Assumptions!$P$4:$P$103,Assumptions!$M$4:$M$103,$C548,Assumptions!$N$4:$N$103,$E548,Assumptions!$O$4:$O$103,"LVN"))</f>
        <v/>
      </c>
      <c r="N548" s="32" t="n"/>
      <c r="O548" s="34">
        <f>IF(AND(IF($I550&lt;&gt;"",$I550,$I548)="override",$N548&lt;&gt;""),$N548,SUMIFS(Assumptions!$P$4:$P$103,Assumptions!$M$4:$M$103,$C548,Assumptions!$N$4:$N$103,$E548,Assumptions!$O$4:$O$103,"HVN"))</f>
        <v/>
      </c>
      <c r="P548" s="34">
        <f>(M548+O548)*Assumptions!$S$11</f>
        <v/>
      </c>
      <c r="Q548" s="35">
        <f>$F548*$K548*$P548</f>
        <v/>
      </c>
    </row>
    <row r="549">
      <c r="A549" s="11" t="inlineStr">
        <is>
          <t>UNIT</t>
        </is>
      </c>
      <c r="B549" s="28" t="inlineStr">
        <is>
          <t>PBF_CHALMETTE</t>
        </is>
      </c>
      <c r="C549" s="28" t="n">
        <v>3</v>
      </c>
      <c r="D549" s="28" t="inlineStr">
        <is>
          <t>NHT</t>
        </is>
      </c>
      <c r="E549" s="28" t="inlineStr">
        <is>
          <t>NHT</t>
        </is>
      </c>
      <c r="F549" s="29" t="n">
        <v>42</v>
      </c>
      <c r="G549" s="30">
        <f>IFERROR(IF(INDEX(Effective!$E$3:$R$125,MATCH($B549,Effective!$A$3:$A$125,0),MATCH($D549,Effective!$E$2:$R$2,0))=0,"",INDEX(Effective!$E$3:$R$125,MATCH($B549,Effective!$A$3:$A$125,0),MATCH($D549,Effective!$E$2:$R$2,0))),"")</f>
        <v/>
      </c>
      <c r="H549" s="31" t="n"/>
      <c r="I549" s="17" t="inlineStr">
        <is>
          <t>override</t>
        </is>
      </c>
      <c r="J549" s="32" t="n">
        <v>0.616</v>
      </c>
      <c r="K549" s="33">
        <f>IF(AND(IF($I550&lt;&gt;"",$I550,$I549)="override",$J549&lt;&gt;""),$J549,SUMIFS(Assumptions!$K$4:$K$8,Assumptions!$J$4:$J$8,$C549))*Assumptions!$S$10*(1-MIN(1,MAX(N($H549),N($H550))))</f>
        <v/>
      </c>
      <c r="L549" s="32" t="n"/>
      <c r="M549" s="34">
        <f>IF(AND(IF($I550&lt;&gt;"",$I550,$I549)="override",$L549&lt;&gt;""),$L549,SUMIFS(Assumptions!$P$4:$P$103,Assumptions!$M$4:$M$103,$C549,Assumptions!$N$4:$N$103,$E549,Assumptions!$O$4:$O$103,"LVN"))</f>
        <v/>
      </c>
      <c r="N549" s="32" t="n"/>
      <c r="O549" s="34">
        <f>IF(AND(IF($I550&lt;&gt;"",$I550,$I549)="override",$N549&lt;&gt;""),$N549,SUMIFS(Assumptions!$P$4:$P$103,Assumptions!$M$4:$M$103,$C549,Assumptions!$N$4:$N$103,$E549,Assumptions!$O$4:$O$103,"HVN"))</f>
        <v/>
      </c>
      <c r="P549" s="34">
        <f>(M549+O549)*Assumptions!$S$11</f>
        <v/>
      </c>
      <c r="Q549" s="35">
        <f>$F549*$K549*$P549</f>
        <v/>
      </c>
    </row>
    <row r="550">
      <c r="A550" s="24" t="inlineStr">
        <is>
          <t>TOTAL</t>
        </is>
      </c>
      <c r="B550" s="36" t="inlineStr">
        <is>
          <t>PBF_CHALMETTE</t>
        </is>
      </c>
      <c r="C550" s="36" t="n">
        <v>3</v>
      </c>
      <c r="D550" s="36" t="inlineStr">
        <is>
          <t>NET NAPHTHA</t>
        </is>
      </c>
      <c r="H550" s="31" t="n"/>
      <c r="I550" s="17" t="n"/>
      <c r="Q550" s="37">
        <f>SUM(Q541:Q549)</f>
        <v/>
      </c>
    </row>
    <row r="552" ht="20" customHeight="1">
      <c r="A552" s="8">
        <f>"  Citgo Corpus Christi  [CITGO_CORPUS_CHRISTI]   —   PDVSA   —   PADD 3   —   crude "&amp;TEXT(SUMIFS(Data!$G$3:$G$125,Data!$A$3:$A$125,"CITGO_CORPUS_CHRISTI"),"#,##0")&amp;" kbd"</f>
        <v/>
      </c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</row>
    <row r="553">
      <c r="A553" s="11" t="inlineStr">
        <is>
          <t>UNIT</t>
        </is>
      </c>
      <c r="B553" s="28" t="inlineStr">
        <is>
          <t>CITGO_CORPUS_CHRISTI</t>
        </is>
      </c>
      <c r="C553" s="28" t="n">
        <v>3</v>
      </c>
      <c r="D553" s="28" t="inlineStr">
        <is>
          <t>CDU</t>
        </is>
      </c>
      <c r="E553" s="28" t="inlineStr">
        <is>
          <t>CDU</t>
        </is>
      </c>
      <c r="F553" s="29" t="n">
        <v>175.55</v>
      </c>
      <c r="G553" s="30">
        <f>IFERROR(IF(INDEX(Effective!$E$3:$R$125,MATCH($B553,Effective!$A$3:$A$125,0),MATCH($D553,Effective!$E$2:$R$2,0))=0,"",INDEX(Effective!$E$3:$R$125,MATCH($B553,Effective!$A$3:$A$125,0),MATCH($D553,Effective!$E$2:$R$2,0))),"")</f>
        <v/>
      </c>
      <c r="H553" s="31" t="n"/>
      <c r="I553" s="17" t="inlineStr">
        <is>
          <t>override</t>
        </is>
      </c>
      <c r="J553" s="32" t="n">
        <v>0.842</v>
      </c>
      <c r="K553" s="33">
        <f>IF(AND(IF($I560&lt;&gt;"",$I560,$I553)="override",$J553&lt;&gt;""),$J553,SUMIFS(Assumptions!$K$4:$K$8,Assumptions!$J$4:$J$8,$C553))*Assumptions!$S$10*(1-MIN(1,MAX(N($H553),N($H560))))</f>
        <v/>
      </c>
      <c r="L553" s="32" t="n"/>
      <c r="M553" s="34">
        <f>IF(AND(IF($I560&lt;&gt;"",$I560,$I553)="override",$L553&lt;&gt;""),$L553,SUMIFS(Assumptions!$P$4:$P$103,Assumptions!$M$4:$M$103,$C553,Assumptions!$N$4:$N$103,$E553,Assumptions!$O$4:$O$103,"LVN"))</f>
        <v/>
      </c>
      <c r="N553" s="32" t="n"/>
      <c r="O553" s="34">
        <f>IF(AND(IF($I560&lt;&gt;"",$I560,$I553)="override",$N553&lt;&gt;""),$N553,SUMIFS(Assumptions!$P$4:$P$103,Assumptions!$M$4:$M$103,$C553,Assumptions!$N$4:$N$103,$E553,Assumptions!$O$4:$O$103,"HVN"))</f>
        <v/>
      </c>
      <c r="P553" s="34">
        <f>(M553+O553)*Assumptions!$S$11</f>
        <v/>
      </c>
      <c r="Q553" s="35">
        <f>$F553*$K553*$P553</f>
        <v/>
      </c>
    </row>
    <row r="554">
      <c r="A554" s="11" t="inlineStr">
        <is>
          <t>UNIT</t>
        </is>
      </c>
      <c r="B554" s="28" t="inlineStr">
        <is>
          <t>CITGO_CORPUS_CHRISTI</t>
        </is>
      </c>
      <c r="C554" s="28" t="n">
        <v>3</v>
      </c>
      <c r="D554" s="28" t="inlineStr">
        <is>
          <t>VDU</t>
        </is>
      </c>
      <c r="E554" s="28" t="inlineStr">
        <is>
          <t>VDU</t>
        </is>
      </c>
      <c r="F554" s="29" t="n">
        <v>85.3</v>
      </c>
      <c r="G554" s="30">
        <f>IFERROR(IF(INDEX(Effective!$E$3:$R$125,MATCH($B554,Effective!$A$3:$A$125,0),MATCH($D554,Effective!$E$2:$R$2,0))=0,"",INDEX(Effective!$E$3:$R$125,MATCH($B554,Effective!$A$3:$A$125,0),MATCH($D554,Effective!$E$2:$R$2,0))),"")</f>
        <v/>
      </c>
      <c r="H554" s="31" t="n"/>
      <c r="I554" s="17" t="inlineStr">
        <is>
          <t>override</t>
        </is>
      </c>
      <c r="J554" s="32" t="n">
        <v>0.784</v>
      </c>
      <c r="K554" s="33">
        <f>IF(AND(IF($I560&lt;&gt;"",$I560,$I554)="override",$J554&lt;&gt;""),$J554,SUMIFS(Assumptions!$K$4:$K$8,Assumptions!$J$4:$J$8,$C554))*Assumptions!$S$10*(1-MIN(1,MAX(N($H554),N($H560))))</f>
        <v/>
      </c>
      <c r="L554" s="32" t="n"/>
      <c r="M554" s="34">
        <f>IF(AND(IF($I560&lt;&gt;"",$I560,$I554)="override",$L554&lt;&gt;""),$L554,SUMIFS(Assumptions!$P$4:$P$103,Assumptions!$M$4:$M$103,$C554,Assumptions!$N$4:$N$103,$E554,Assumptions!$O$4:$O$103,"LVN"))</f>
        <v/>
      </c>
      <c r="N554" s="32" t="n"/>
      <c r="O554" s="34">
        <f>IF(AND(IF($I560&lt;&gt;"",$I560,$I554)="override",$N554&lt;&gt;""),$N554,SUMIFS(Assumptions!$P$4:$P$103,Assumptions!$M$4:$M$103,$C554,Assumptions!$N$4:$N$103,$E554,Assumptions!$O$4:$O$103,"HVN"))</f>
        <v/>
      </c>
      <c r="P554" s="34">
        <f>(M554+O554)*Assumptions!$S$11</f>
        <v/>
      </c>
      <c r="Q554" s="35">
        <f>$F554*$K554*$P554</f>
        <v/>
      </c>
    </row>
    <row r="555">
      <c r="A555" s="11" t="inlineStr">
        <is>
          <t>UNIT</t>
        </is>
      </c>
      <c r="B555" s="28" t="inlineStr">
        <is>
          <t>CITGO_CORPUS_CHRISTI</t>
        </is>
      </c>
      <c r="C555" s="28" t="n">
        <v>3</v>
      </c>
      <c r="D555" s="28" t="inlineStr">
        <is>
          <t>FCC</t>
        </is>
      </c>
      <c r="E555" s="28" t="inlineStr">
        <is>
          <t>FCC</t>
        </is>
      </c>
      <c r="F555" s="29" t="n">
        <v>70.7</v>
      </c>
      <c r="G555" s="30">
        <f>IFERROR(IF(INDEX(Effective!$E$3:$R$125,MATCH($B555,Effective!$A$3:$A$125,0),MATCH($D555,Effective!$E$2:$R$2,0))=0,"",INDEX(Effective!$E$3:$R$125,MATCH($B555,Effective!$A$3:$A$125,0),MATCH($D555,Effective!$E$2:$R$2,0))),"")</f>
        <v/>
      </c>
      <c r="H555" s="31" t="n"/>
      <c r="I555" s="17" t="inlineStr">
        <is>
          <t>override</t>
        </is>
      </c>
      <c r="J555" s="32" t="n">
        <v>0.639</v>
      </c>
      <c r="K555" s="33">
        <f>IF(AND(IF($I560&lt;&gt;"",$I560,$I555)="override",$J555&lt;&gt;""),$J555,SUMIFS(Assumptions!$K$4:$K$8,Assumptions!$J$4:$J$8,$C555))*Assumptions!$S$10*(1-MIN(1,MAX(N($H555),N($H560))))</f>
        <v/>
      </c>
      <c r="L555" s="32" t="n"/>
      <c r="M555" s="34">
        <f>IF(AND(IF($I560&lt;&gt;"",$I560,$I555)="override",$L555&lt;&gt;""),$L555,SUMIFS(Assumptions!$P$4:$P$103,Assumptions!$M$4:$M$103,$C555,Assumptions!$N$4:$N$103,$E555,Assumptions!$O$4:$O$103,"LVN"))</f>
        <v/>
      </c>
      <c r="N555" s="32" t="n"/>
      <c r="O555" s="34">
        <f>IF(AND(IF($I560&lt;&gt;"",$I560,$I555)="override",$N555&lt;&gt;""),$N555,SUMIFS(Assumptions!$P$4:$P$103,Assumptions!$M$4:$M$103,$C555,Assumptions!$N$4:$N$103,$E555,Assumptions!$O$4:$O$103,"HVN"))</f>
        <v/>
      </c>
      <c r="P555" s="34">
        <f>(M555+O555)*Assumptions!$S$11</f>
        <v/>
      </c>
      <c r="Q555" s="35">
        <f>$F555*$K555*$P555</f>
        <v/>
      </c>
    </row>
    <row r="556">
      <c r="A556" s="11" t="inlineStr">
        <is>
          <t>UNIT</t>
        </is>
      </c>
      <c r="B556" s="28" t="inlineStr">
        <is>
          <t>CITGO_CORPUS_CHRISTI</t>
        </is>
      </c>
      <c r="C556" s="28" t="n">
        <v>3</v>
      </c>
      <c r="D556" s="28" t="inlineStr">
        <is>
          <t>COKER</t>
        </is>
      </c>
      <c r="E556" s="28" t="inlineStr">
        <is>
          <t>COKER</t>
        </is>
      </c>
      <c r="F556" s="29" t="n">
        <v>45.13</v>
      </c>
      <c r="G556" s="30">
        <f>IFERROR(IF(INDEX(Effective!$E$3:$R$125,MATCH($B556,Effective!$A$3:$A$125,0),MATCH($D556,Effective!$E$2:$R$2,0))=0,"",INDEX(Effective!$E$3:$R$125,MATCH($B556,Effective!$A$3:$A$125,0),MATCH($D556,Effective!$E$2:$R$2,0))),"")</f>
        <v/>
      </c>
      <c r="H556" s="31" t="n"/>
      <c r="I556" s="17" t="inlineStr">
        <is>
          <t>override</t>
        </is>
      </c>
      <c r="J556" s="32" t="n">
        <v>0.449</v>
      </c>
      <c r="K556" s="33">
        <f>IF(AND(IF($I560&lt;&gt;"",$I560,$I556)="override",$J556&lt;&gt;""),$J556,SUMIFS(Assumptions!$K$4:$K$8,Assumptions!$J$4:$J$8,$C556))*Assumptions!$S$10*(1-MIN(1,MAX(N($H556),N($H560))))</f>
        <v/>
      </c>
      <c r="L556" s="32" t="n"/>
      <c r="M556" s="34">
        <f>IF(AND(IF($I560&lt;&gt;"",$I560,$I556)="override",$L556&lt;&gt;""),$L556,SUMIFS(Assumptions!$P$4:$P$103,Assumptions!$M$4:$M$103,$C556,Assumptions!$N$4:$N$103,$E556,Assumptions!$O$4:$O$103,"LVN"))</f>
        <v/>
      </c>
      <c r="N556" s="32" t="n"/>
      <c r="O556" s="34">
        <f>IF(AND(IF($I560&lt;&gt;"",$I560,$I556)="override",$N556&lt;&gt;""),$N556,SUMIFS(Assumptions!$P$4:$P$103,Assumptions!$M$4:$M$103,$C556,Assumptions!$N$4:$N$103,$E556,Assumptions!$O$4:$O$103,"HVN"))</f>
        <v/>
      </c>
      <c r="P556" s="34">
        <f>(M556+O556)*Assumptions!$S$11</f>
        <v/>
      </c>
      <c r="Q556" s="35">
        <f>$F556*$K556*$P556</f>
        <v/>
      </c>
    </row>
    <row r="557">
      <c r="A557" s="11" t="inlineStr">
        <is>
          <t>UNIT</t>
        </is>
      </c>
      <c r="B557" s="28" t="inlineStr">
        <is>
          <t>CITGO_CORPUS_CHRISTI</t>
        </is>
      </c>
      <c r="C557" s="28" t="n">
        <v>3</v>
      </c>
      <c r="D557" s="28" t="inlineStr">
        <is>
          <t>CCR</t>
        </is>
      </c>
      <c r="E557" s="28" t="inlineStr">
        <is>
          <t>REFORMER</t>
        </is>
      </c>
      <c r="F557" s="29" t="n">
        <v>51.5</v>
      </c>
      <c r="G557" s="30">
        <f>IFERROR(IF(INDEX(Effective!$E$3:$R$125,MATCH($B557,Effective!$A$3:$A$125,0),MATCH($D557,Effective!$E$2:$R$2,0))=0,"",INDEX(Effective!$E$3:$R$125,MATCH($B557,Effective!$A$3:$A$125,0),MATCH($D557,Effective!$E$2:$R$2,0))),"")</f>
        <v/>
      </c>
      <c r="H557" s="31" t="n"/>
      <c r="I557" s="17" t="inlineStr">
        <is>
          <t>override</t>
        </is>
      </c>
      <c r="J557" s="32" t="n">
        <v>0.589</v>
      </c>
      <c r="K557" s="33">
        <f>IF(AND(IF($I560&lt;&gt;"",$I560,$I557)="override",$J557&lt;&gt;""),$J557,SUMIFS(Assumptions!$K$4:$K$8,Assumptions!$J$4:$J$8,$C557))*Assumptions!$S$10*(1-MIN(1,MAX(N($H557),N($H560))))</f>
        <v/>
      </c>
      <c r="L557" s="32" t="n"/>
      <c r="M557" s="34">
        <f>IF(AND(IF($I560&lt;&gt;"",$I560,$I557)="override",$L557&lt;&gt;""),$L557,SUMIFS(Assumptions!$P$4:$P$103,Assumptions!$M$4:$M$103,$C557,Assumptions!$N$4:$N$103,$E557,Assumptions!$O$4:$O$103,"LVN"))</f>
        <v/>
      </c>
      <c r="N557" s="32" t="n"/>
      <c r="O557" s="34">
        <f>IF(AND(IF($I560&lt;&gt;"",$I560,$I557)="override",$N557&lt;&gt;""),$N557,SUMIFS(Assumptions!$P$4:$P$103,Assumptions!$M$4:$M$103,$C557,Assumptions!$N$4:$N$103,$E557,Assumptions!$O$4:$O$103,"HVN"))</f>
        <v/>
      </c>
      <c r="P557" s="34">
        <f>(M557+O557)*Assumptions!$S$11</f>
        <v/>
      </c>
      <c r="Q557" s="35">
        <f>$F557*$K557*$P557</f>
        <v/>
      </c>
    </row>
    <row r="558">
      <c r="A558" s="11" t="inlineStr">
        <is>
          <t>UNIT</t>
        </is>
      </c>
      <c r="B558" s="28" t="inlineStr">
        <is>
          <t>CITGO_CORPUS_CHRISTI</t>
        </is>
      </c>
      <c r="C558" s="28" t="n">
        <v>3</v>
      </c>
      <c r="D558" s="28" t="inlineStr">
        <is>
          <t>ALKY</t>
        </is>
      </c>
      <c r="E558" s="28" t="inlineStr">
        <is>
          <t>ALKY</t>
        </is>
      </c>
      <c r="F558" s="29" t="n">
        <v>24.35</v>
      </c>
      <c r="G558" s="30">
        <f>IFERROR(IF(INDEX(Effective!$E$3:$R$125,MATCH($B558,Effective!$A$3:$A$125,0),MATCH($D558,Effective!$E$2:$R$2,0))=0,"",INDEX(Effective!$E$3:$R$125,MATCH($B558,Effective!$A$3:$A$125,0),MATCH($D558,Effective!$E$2:$R$2,0))),"")</f>
        <v/>
      </c>
      <c r="H558" s="31" t="n"/>
      <c r="I558" s="17" t="inlineStr">
        <is>
          <t>override</t>
        </is>
      </c>
      <c r="J558" s="32" t="n">
        <v>1.1</v>
      </c>
      <c r="K558" s="33">
        <f>IF(AND(IF($I560&lt;&gt;"",$I560,$I558)="override",$J558&lt;&gt;""),$J558,SUMIFS(Assumptions!$K$4:$K$8,Assumptions!$J$4:$J$8,$C558))*Assumptions!$S$10*(1-MIN(1,MAX(N($H558),N($H560))))</f>
        <v/>
      </c>
      <c r="L558" s="32" t="n"/>
      <c r="M558" s="34">
        <f>IF(AND(IF($I560&lt;&gt;"",$I560,$I558)="override",$L558&lt;&gt;""),$L558,SUMIFS(Assumptions!$P$4:$P$103,Assumptions!$M$4:$M$103,$C558,Assumptions!$N$4:$N$103,$E558,Assumptions!$O$4:$O$103,"LVN"))</f>
        <v/>
      </c>
      <c r="N558" s="32" t="n"/>
      <c r="O558" s="34">
        <f>IF(AND(IF($I560&lt;&gt;"",$I560,$I558)="override",$N558&lt;&gt;""),$N558,SUMIFS(Assumptions!$P$4:$P$103,Assumptions!$M$4:$M$103,$C558,Assumptions!$N$4:$N$103,$E558,Assumptions!$O$4:$O$103,"HVN"))</f>
        <v/>
      </c>
      <c r="P558" s="34">
        <f>(M558+O558)*Assumptions!$S$11</f>
        <v/>
      </c>
      <c r="Q558" s="35">
        <f>$F558*$K558*$P558</f>
        <v/>
      </c>
    </row>
    <row r="559">
      <c r="A559" s="11" t="inlineStr">
        <is>
          <t>UNIT</t>
        </is>
      </c>
      <c r="B559" s="28" t="inlineStr">
        <is>
          <t>CITGO_CORPUS_CHRISTI</t>
        </is>
      </c>
      <c r="C559" s="28" t="n">
        <v>3</v>
      </c>
      <c r="D559" s="28" t="inlineStr">
        <is>
          <t>NHT</t>
        </is>
      </c>
      <c r="E559" s="28" t="inlineStr">
        <is>
          <t>NHT</t>
        </is>
      </c>
      <c r="F559" s="29" t="n">
        <v>52.8</v>
      </c>
      <c r="G559" s="30">
        <f>IFERROR(IF(INDEX(Effective!$E$3:$R$125,MATCH($B559,Effective!$A$3:$A$125,0),MATCH($D559,Effective!$E$2:$R$2,0))=0,"",INDEX(Effective!$E$3:$R$125,MATCH($B559,Effective!$A$3:$A$125,0),MATCH($D559,Effective!$E$2:$R$2,0))),"")</f>
        <v/>
      </c>
      <c r="H559" s="31" t="n"/>
      <c r="I559" s="17" t="inlineStr">
        <is>
          <t>override</t>
        </is>
      </c>
      <c r="J559" s="32" t="n">
        <v>0.763</v>
      </c>
      <c r="K559" s="33">
        <f>IF(AND(IF($I560&lt;&gt;"",$I560,$I559)="override",$J559&lt;&gt;""),$J559,SUMIFS(Assumptions!$K$4:$K$8,Assumptions!$J$4:$J$8,$C559))*Assumptions!$S$10*(1-MIN(1,MAX(N($H559),N($H560))))</f>
        <v/>
      </c>
      <c r="L559" s="32" t="n"/>
      <c r="M559" s="34">
        <f>IF(AND(IF($I560&lt;&gt;"",$I560,$I559)="override",$L559&lt;&gt;""),$L559,SUMIFS(Assumptions!$P$4:$P$103,Assumptions!$M$4:$M$103,$C559,Assumptions!$N$4:$N$103,$E559,Assumptions!$O$4:$O$103,"LVN"))</f>
        <v/>
      </c>
      <c r="N559" s="32" t="n"/>
      <c r="O559" s="34">
        <f>IF(AND(IF($I560&lt;&gt;"",$I560,$I559)="override",$N559&lt;&gt;""),$N559,SUMIFS(Assumptions!$P$4:$P$103,Assumptions!$M$4:$M$103,$C559,Assumptions!$N$4:$N$103,$E559,Assumptions!$O$4:$O$103,"HVN"))</f>
        <v/>
      </c>
      <c r="P559" s="34">
        <f>(M559+O559)*Assumptions!$S$11</f>
        <v/>
      </c>
      <c r="Q559" s="35">
        <f>$F559*$K559*$P559</f>
        <v/>
      </c>
    </row>
    <row r="560">
      <c r="A560" s="24" t="inlineStr">
        <is>
          <t>TOTAL</t>
        </is>
      </c>
      <c r="B560" s="36" t="inlineStr">
        <is>
          <t>CITGO_CORPUS_CHRISTI</t>
        </is>
      </c>
      <c r="C560" s="36" t="n">
        <v>3</v>
      </c>
      <c r="D560" s="36" t="inlineStr">
        <is>
          <t>NET NAPHTHA</t>
        </is>
      </c>
      <c r="H560" s="31" t="n"/>
      <c r="I560" s="17" t="n"/>
      <c r="Q560" s="37">
        <f>SUM(Q553:Q559)</f>
        <v/>
      </c>
    </row>
    <row r="562" ht="20" customHeight="1">
      <c r="A562" s="8">
        <f>"  WRB Refining Borger  [WRB_BORGER]   —   Cenovus (50%) / Phillips 66 Co. (50%)   —   PADD 3   —   crude "&amp;TEXT(SUMIFS(Data!$G$3:$G$125,Data!$A$3:$A$125,"WRB_BORGER"),"#,##0")&amp;" kbd"</f>
        <v/>
      </c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</row>
    <row r="563">
      <c r="A563" s="11" t="inlineStr">
        <is>
          <t>UNIT</t>
        </is>
      </c>
      <c r="B563" s="28" t="inlineStr">
        <is>
          <t>WRB_BORGER</t>
        </is>
      </c>
      <c r="C563" s="28" t="n">
        <v>3</v>
      </c>
      <c r="D563" s="28" t="inlineStr">
        <is>
          <t>CDU</t>
        </is>
      </c>
      <c r="E563" s="28" t="inlineStr">
        <is>
          <t>CDU</t>
        </is>
      </c>
      <c r="F563" s="29" t="n">
        <v>157</v>
      </c>
      <c r="G563" s="30">
        <f>IFERROR(IF(INDEX(Effective!$E$3:$R$125,MATCH($B563,Effective!$A$3:$A$125,0),MATCH($D563,Effective!$E$2:$R$2,0))=0,"",INDEX(Effective!$E$3:$R$125,MATCH($B563,Effective!$A$3:$A$125,0),MATCH($D563,Effective!$E$2:$R$2,0))),"")</f>
        <v/>
      </c>
      <c r="H563" s="31" t="n"/>
      <c r="I563" s="17" t="inlineStr">
        <is>
          <t>override</t>
        </is>
      </c>
      <c r="J563" s="32" t="n">
        <v>0.888</v>
      </c>
      <c r="K563" s="33">
        <f>IF(AND(IF($I571&lt;&gt;"",$I571,$I563)="override",$J563&lt;&gt;""),$J563,SUMIFS(Assumptions!$K$4:$K$8,Assumptions!$J$4:$J$8,$C563))*Assumptions!$S$10*(1-MIN(1,MAX(N($H563),N($H571))))</f>
        <v/>
      </c>
      <c r="L563" s="32" t="n"/>
      <c r="M563" s="34">
        <f>IF(AND(IF($I571&lt;&gt;"",$I571,$I563)="override",$L563&lt;&gt;""),$L563,SUMIFS(Assumptions!$P$4:$P$103,Assumptions!$M$4:$M$103,$C563,Assumptions!$N$4:$N$103,$E563,Assumptions!$O$4:$O$103,"LVN"))</f>
        <v/>
      </c>
      <c r="N563" s="32" t="n"/>
      <c r="O563" s="34">
        <f>IF(AND(IF($I571&lt;&gt;"",$I571,$I563)="override",$N563&lt;&gt;""),$N563,SUMIFS(Assumptions!$P$4:$P$103,Assumptions!$M$4:$M$103,$C563,Assumptions!$N$4:$N$103,$E563,Assumptions!$O$4:$O$103,"HVN"))</f>
        <v/>
      </c>
      <c r="P563" s="34">
        <f>(M563+O563)*Assumptions!$S$11</f>
        <v/>
      </c>
      <c r="Q563" s="35">
        <f>$F563*$K563*$P563</f>
        <v/>
      </c>
    </row>
    <row r="564">
      <c r="A564" s="11" t="inlineStr">
        <is>
          <t>UNIT</t>
        </is>
      </c>
      <c r="B564" s="28" t="inlineStr">
        <is>
          <t>WRB_BORGER</t>
        </is>
      </c>
      <c r="C564" s="28" t="n">
        <v>3</v>
      </c>
      <c r="D564" s="28" t="inlineStr">
        <is>
          <t>VDU</t>
        </is>
      </c>
      <c r="E564" s="28" t="inlineStr">
        <is>
          <t>VDU</t>
        </is>
      </c>
      <c r="F564" s="29" t="n">
        <v>80</v>
      </c>
      <c r="G564" s="30">
        <f>IFERROR(IF(INDEX(Effective!$E$3:$R$125,MATCH($B564,Effective!$A$3:$A$125,0),MATCH($D564,Effective!$E$2:$R$2,0))=0,"",INDEX(Effective!$E$3:$R$125,MATCH($B564,Effective!$A$3:$A$125,0),MATCH($D564,Effective!$E$2:$R$2,0))),"")</f>
        <v/>
      </c>
      <c r="H564" s="31" t="n"/>
      <c r="I564" s="17" t="inlineStr">
        <is>
          <t>override</t>
        </is>
      </c>
      <c r="J564" s="32" t="n">
        <v>0.635</v>
      </c>
      <c r="K564" s="33">
        <f>IF(AND(IF($I571&lt;&gt;"",$I571,$I564)="override",$J564&lt;&gt;""),$J564,SUMIFS(Assumptions!$K$4:$K$8,Assumptions!$J$4:$J$8,$C564))*Assumptions!$S$10*(1-MIN(1,MAX(N($H564),N($H571))))</f>
        <v/>
      </c>
      <c r="L564" s="32" t="n"/>
      <c r="M564" s="34">
        <f>IF(AND(IF($I571&lt;&gt;"",$I571,$I564)="override",$L564&lt;&gt;""),$L564,SUMIFS(Assumptions!$P$4:$P$103,Assumptions!$M$4:$M$103,$C564,Assumptions!$N$4:$N$103,$E564,Assumptions!$O$4:$O$103,"LVN"))</f>
        <v/>
      </c>
      <c r="N564" s="32" t="n"/>
      <c r="O564" s="34">
        <f>IF(AND(IF($I571&lt;&gt;"",$I571,$I564)="override",$N564&lt;&gt;""),$N564,SUMIFS(Assumptions!$P$4:$P$103,Assumptions!$M$4:$M$103,$C564,Assumptions!$N$4:$N$103,$E564,Assumptions!$O$4:$O$103,"HVN"))</f>
        <v/>
      </c>
      <c r="P564" s="34">
        <f>(M564+O564)*Assumptions!$S$11</f>
        <v/>
      </c>
      <c r="Q564" s="35">
        <f>$F564*$K564*$P564</f>
        <v/>
      </c>
    </row>
    <row r="565">
      <c r="A565" s="11" t="inlineStr">
        <is>
          <t>UNIT</t>
        </is>
      </c>
      <c r="B565" s="28" t="inlineStr">
        <is>
          <t>WRB_BORGER</t>
        </is>
      </c>
      <c r="C565" s="28" t="n">
        <v>3</v>
      </c>
      <c r="D565" s="28" t="inlineStr">
        <is>
          <t>FCC</t>
        </is>
      </c>
      <c r="E565" s="28" t="inlineStr">
        <is>
          <t>FCC</t>
        </is>
      </c>
      <c r="F565" s="29" t="n">
        <v>56</v>
      </c>
      <c r="G565" s="30">
        <f>IFERROR(IF(INDEX(Effective!$E$3:$R$125,MATCH($B565,Effective!$A$3:$A$125,0),MATCH($D565,Effective!$E$2:$R$2,0))=0,"",INDEX(Effective!$E$3:$R$125,MATCH($B565,Effective!$A$3:$A$125,0),MATCH($D565,Effective!$E$2:$R$2,0))),"")</f>
        <v/>
      </c>
      <c r="H565" s="31" t="n"/>
      <c r="I565" s="17" t="inlineStr">
        <is>
          <t>override</t>
        </is>
      </c>
      <c r="J565" s="32" t="n">
        <v>0.592</v>
      </c>
      <c r="K565" s="33">
        <f>IF(AND(IF($I571&lt;&gt;"",$I571,$I565)="override",$J565&lt;&gt;""),$J565,SUMIFS(Assumptions!$K$4:$K$8,Assumptions!$J$4:$J$8,$C565))*Assumptions!$S$10*(1-MIN(1,MAX(N($H565),N($H571))))</f>
        <v/>
      </c>
      <c r="L565" s="32" t="n"/>
      <c r="M565" s="34">
        <f>IF(AND(IF($I571&lt;&gt;"",$I571,$I565)="override",$L565&lt;&gt;""),$L565,SUMIFS(Assumptions!$P$4:$P$103,Assumptions!$M$4:$M$103,$C565,Assumptions!$N$4:$N$103,$E565,Assumptions!$O$4:$O$103,"LVN"))</f>
        <v/>
      </c>
      <c r="N565" s="32" t="n"/>
      <c r="O565" s="34">
        <f>IF(AND(IF($I571&lt;&gt;"",$I571,$I565)="override",$N565&lt;&gt;""),$N565,SUMIFS(Assumptions!$P$4:$P$103,Assumptions!$M$4:$M$103,$C565,Assumptions!$N$4:$N$103,$E565,Assumptions!$O$4:$O$103,"HVN"))</f>
        <v/>
      </c>
      <c r="P565" s="34">
        <f>(M565+O565)*Assumptions!$S$11</f>
        <v/>
      </c>
      <c r="Q565" s="35">
        <f>$F565*$K565*$P565</f>
        <v/>
      </c>
    </row>
    <row r="566">
      <c r="A566" s="11" t="inlineStr">
        <is>
          <t>UNIT</t>
        </is>
      </c>
      <c r="B566" s="28" t="inlineStr">
        <is>
          <t>WRB_BORGER</t>
        </is>
      </c>
      <c r="C566" s="28" t="n">
        <v>3</v>
      </c>
      <c r="D566" s="28" t="inlineStr">
        <is>
          <t>COKER</t>
        </is>
      </c>
      <c r="E566" s="28" t="inlineStr">
        <is>
          <t>COKER</t>
        </is>
      </c>
      <c r="F566" s="29" t="n">
        <v>28.38</v>
      </c>
      <c r="G566" s="30">
        <f>IFERROR(IF(INDEX(Effective!$E$3:$R$125,MATCH($B566,Effective!$A$3:$A$125,0),MATCH($D566,Effective!$E$2:$R$2,0))=0,"",INDEX(Effective!$E$3:$R$125,MATCH($B566,Effective!$A$3:$A$125,0),MATCH($D566,Effective!$E$2:$R$2,0))),"")</f>
        <v/>
      </c>
      <c r="H566" s="31" t="n"/>
      <c r="I566" s="17" t="inlineStr">
        <is>
          <t>override</t>
        </is>
      </c>
      <c r="J566" s="32" t="n">
        <v>0.764</v>
      </c>
      <c r="K566" s="33">
        <f>IF(AND(IF($I571&lt;&gt;"",$I571,$I566)="override",$J566&lt;&gt;""),$J566,SUMIFS(Assumptions!$K$4:$K$8,Assumptions!$J$4:$J$8,$C566))*Assumptions!$S$10*(1-MIN(1,MAX(N($H566),N($H571))))</f>
        <v/>
      </c>
      <c r="L566" s="32" t="n"/>
      <c r="M566" s="34">
        <f>IF(AND(IF($I571&lt;&gt;"",$I571,$I566)="override",$L566&lt;&gt;""),$L566,SUMIFS(Assumptions!$P$4:$P$103,Assumptions!$M$4:$M$103,$C566,Assumptions!$N$4:$N$103,$E566,Assumptions!$O$4:$O$103,"LVN"))</f>
        <v/>
      </c>
      <c r="N566" s="32" t="n"/>
      <c r="O566" s="34">
        <f>IF(AND(IF($I571&lt;&gt;"",$I571,$I566)="override",$N566&lt;&gt;""),$N566,SUMIFS(Assumptions!$P$4:$P$103,Assumptions!$M$4:$M$103,$C566,Assumptions!$N$4:$N$103,$E566,Assumptions!$O$4:$O$103,"HVN"))</f>
        <v/>
      </c>
      <c r="P566" s="34">
        <f>(M566+O566)*Assumptions!$S$11</f>
        <v/>
      </c>
      <c r="Q566" s="35">
        <f>$F566*$K566*$P566</f>
        <v/>
      </c>
    </row>
    <row r="567">
      <c r="A567" s="11" t="inlineStr">
        <is>
          <t>UNIT</t>
        </is>
      </c>
      <c r="B567" s="28" t="inlineStr">
        <is>
          <t>WRB_BORGER</t>
        </is>
      </c>
      <c r="C567" s="28" t="n">
        <v>3</v>
      </c>
      <c r="D567" s="28" t="inlineStr">
        <is>
          <t>REF</t>
        </is>
      </c>
      <c r="E567" s="28" t="inlineStr">
        <is>
          <t>REFORMER</t>
        </is>
      </c>
      <c r="F567" s="29" t="n">
        <v>31.28</v>
      </c>
      <c r="G567" s="30">
        <f>IFERROR(IF(INDEX(Effective!$E$3:$R$125,MATCH($B567,Effective!$A$3:$A$125,0),MATCH($D567,Effective!$E$2:$R$2,0))=0,"",INDEX(Effective!$E$3:$R$125,MATCH($B567,Effective!$A$3:$A$125,0),MATCH($D567,Effective!$E$2:$R$2,0))),"")</f>
        <v/>
      </c>
      <c r="H567" s="31" t="n"/>
      <c r="I567" s="17" t="inlineStr">
        <is>
          <t>override</t>
        </is>
      </c>
      <c r="J567" s="32" t="n">
        <v>0.876</v>
      </c>
      <c r="K567" s="33">
        <f>IF(AND(IF($I571&lt;&gt;"",$I571,$I567)="override",$J567&lt;&gt;""),$J567,SUMIFS(Assumptions!$K$4:$K$8,Assumptions!$J$4:$J$8,$C567))*Assumptions!$S$10*(1-MIN(1,MAX(N($H567),N($H571))))</f>
        <v/>
      </c>
      <c r="L567" s="32" t="n"/>
      <c r="M567" s="34">
        <f>IF(AND(IF($I571&lt;&gt;"",$I571,$I567)="override",$L567&lt;&gt;""),$L567,SUMIFS(Assumptions!$P$4:$P$103,Assumptions!$M$4:$M$103,$C567,Assumptions!$N$4:$N$103,$E567,Assumptions!$O$4:$O$103,"LVN"))</f>
        <v/>
      </c>
      <c r="N567" s="32" t="n"/>
      <c r="O567" s="34">
        <f>IF(AND(IF($I571&lt;&gt;"",$I571,$I567)="override",$N567&lt;&gt;""),$N567,SUMIFS(Assumptions!$P$4:$P$103,Assumptions!$M$4:$M$103,$C567,Assumptions!$N$4:$N$103,$E567,Assumptions!$O$4:$O$103,"HVN"))</f>
        <v/>
      </c>
      <c r="P567" s="34">
        <f>(M567+O567)*Assumptions!$S$11</f>
        <v/>
      </c>
      <c r="Q567" s="35">
        <f>$F567*$K567*$P567</f>
        <v/>
      </c>
    </row>
    <row r="568">
      <c r="A568" s="11" t="inlineStr">
        <is>
          <t>UNIT</t>
        </is>
      </c>
      <c r="B568" s="28" t="inlineStr">
        <is>
          <t>WRB_BORGER</t>
        </is>
      </c>
      <c r="C568" s="28" t="n">
        <v>3</v>
      </c>
      <c r="D568" s="28" t="inlineStr">
        <is>
          <t>ISOM</t>
        </is>
      </c>
      <c r="E568" s="28" t="inlineStr">
        <is>
          <t>ISOM</t>
        </is>
      </c>
      <c r="F568" s="29" t="n">
        <v>31</v>
      </c>
      <c r="G568" s="30">
        <f>IFERROR(IF(INDEX(Effective!$E$3:$R$125,MATCH($B568,Effective!$A$3:$A$125,0),MATCH($D568,Effective!$E$2:$R$2,0))=0,"",INDEX(Effective!$E$3:$R$125,MATCH($B568,Effective!$A$3:$A$125,0),MATCH($D568,Effective!$E$2:$R$2,0))),"")</f>
        <v/>
      </c>
      <c r="H568" s="31" t="n"/>
      <c r="I568" s="17" t="inlineStr">
        <is>
          <t>override</t>
        </is>
      </c>
      <c r="J568" s="32" t="n">
        <v>0.508</v>
      </c>
      <c r="K568" s="33">
        <f>IF(AND(IF($I571&lt;&gt;"",$I571,$I568)="override",$J568&lt;&gt;""),$J568,SUMIFS(Assumptions!$K$4:$K$8,Assumptions!$J$4:$J$8,$C568))*Assumptions!$S$10*(1-MIN(1,MAX(N($H568),N($H571))))</f>
        <v/>
      </c>
      <c r="L568" s="32" t="n"/>
      <c r="M568" s="34">
        <f>IF(AND(IF($I571&lt;&gt;"",$I571,$I568)="override",$L568&lt;&gt;""),$L568,SUMIFS(Assumptions!$P$4:$P$103,Assumptions!$M$4:$M$103,$C568,Assumptions!$N$4:$N$103,$E568,Assumptions!$O$4:$O$103,"LVN"))</f>
        <v/>
      </c>
      <c r="N568" s="32" t="n"/>
      <c r="O568" s="34">
        <f>IF(AND(IF($I571&lt;&gt;"",$I571,$I568)="override",$N568&lt;&gt;""),$N568,SUMIFS(Assumptions!$P$4:$P$103,Assumptions!$M$4:$M$103,$C568,Assumptions!$N$4:$N$103,$E568,Assumptions!$O$4:$O$103,"HVN"))</f>
        <v/>
      </c>
      <c r="P568" s="34">
        <f>(M568+O568)*Assumptions!$S$11</f>
        <v/>
      </c>
      <c r="Q568" s="35">
        <f>$F568*$K568*$P568</f>
        <v/>
      </c>
    </row>
    <row r="569">
      <c r="A569" s="11" t="inlineStr">
        <is>
          <t>UNIT</t>
        </is>
      </c>
      <c r="B569" s="28" t="inlineStr">
        <is>
          <t>WRB_BORGER</t>
        </is>
      </c>
      <c r="C569" s="28" t="n">
        <v>3</v>
      </c>
      <c r="D569" s="28" t="inlineStr">
        <is>
          <t>ALKY</t>
        </is>
      </c>
      <c r="E569" s="28" t="inlineStr">
        <is>
          <t>ALKY</t>
        </is>
      </c>
      <c r="F569" s="29" t="n">
        <v>14</v>
      </c>
      <c r="G569" s="30">
        <f>IFERROR(IF(INDEX(Effective!$E$3:$R$125,MATCH($B569,Effective!$A$3:$A$125,0),MATCH($D569,Effective!$E$2:$R$2,0))=0,"",INDEX(Effective!$E$3:$R$125,MATCH($B569,Effective!$A$3:$A$125,0),MATCH($D569,Effective!$E$2:$R$2,0))),"")</f>
        <v/>
      </c>
      <c r="H569" s="31" t="n"/>
      <c r="I569" s="17" t="inlineStr">
        <is>
          <t>override</t>
        </is>
      </c>
      <c r="J569" s="32" t="n">
        <v>0.669</v>
      </c>
      <c r="K569" s="33">
        <f>IF(AND(IF($I571&lt;&gt;"",$I571,$I569)="override",$J569&lt;&gt;""),$J569,SUMIFS(Assumptions!$K$4:$K$8,Assumptions!$J$4:$J$8,$C569))*Assumptions!$S$10*(1-MIN(1,MAX(N($H569),N($H571))))</f>
        <v/>
      </c>
      <c r="L569" s="32" t="n"/>
      <c r="M569" s="34">
        <f>IF(AND(IF($I571&lt;&gt;"",$I571,$I569)="override",$L569&lt;&gt;""),$L569,SUMIFS(Assumptions!$P$4:$P$103,Assumptions!$M$4:$M$103,$C569,Assumptions!$N$4:$N$103,$E569,Assumptions!$O$4:$O$103,"LVN"))</f>
        <v/>
      </c>
      <c r="N569" s="32" t="n"/>
      <c r="O569" s="34">
        <f>IF(AND(IF($I571&lt;&gt;"",$I571,$I569)="override",$N569&lt;&gt;""),$N569,SUMIFS(Assumptions!$P$4:$P$103,Assumptions!$M$4:$M$103,$C569,Assumptions!$N$4:$N$103,$E569,Assumptions!$O$4:$O$103,"HVN"))</f>
        <v/>
      </c>
      <c r="P569" s="34">
        <f>(M569+O569)*Assumptions!$S$11</f>
        <v/>
      </c>
      <c r="Q569" s="35">
        <f>$F569*$K569*$P569</f>
        <v/>
      </c>
    </row>
    <row r="570">
      <c r="A570" s="11" t="inlineStr">
        <is>
          <t>UNIT</t>
        </is>
      </c>
      <c r="B570" s="28" t="inlineStr">
        <is>
          <t>WRB_BORGER</t>
        </is>
      </c>
      <c r="C570" s="28" t="n">
        <v>3</v>
      </c>
      <c r="D570" s="28" t="inlineStr">
        <is>
          <t>NHT</t>
        </is>
      </c>
      <c r="E570" s="28" t="inlineStr">
        <is>
          <t>NHT</t>
        </is>
      </c>
      <c r="F570" s="29" t="n">
        <v>65.54000000000001</v>
      </c>
      <c r="G570" s="30">
        <f>IFERROR(IF(INDEX(Effective!$E$3:$R$125,MATCH($B570,Effective!$A$3:$A$125,0),MATCH($D570,Effective!$E$2:$R$2,0))=0,"",INDEX(Effective!$E$3:$R$125,MATCH($B570,Effective!$A$3:$A$125,0),MATCH($D570,Effective!$E$2:$R$2,0))),"")</f>
        <v/>
      </c>
      <c r="H570" s="31" t="n"/>
      <c r="I570" s="17" t="inlineStr">
        <is>
          <t>override</t>
        </is>
      </c>
      <c r="J570" s="32" t="n">
        <v>0.475</v>
      </c>
      <c r="K570" s="33">
        <f>IF(AND(IF($I571&lt;&gt;"",$I571,$I570)="override",$J570&lt;&gt;""),$J570,SUMIFS(Assumptions!$K$4:$K$8,Assumptions!$J$4:$J$8,$C570))*Assumptions!$S$10*(1-MIN(1,MAX(N($H570),N($H571))))</f>
        <v/>
      </c>
      <c r="L570" s="32" t="n"/>
      <c r="M570" s="34">
        <f>IF(AND(IF($I571&lt;&gt;"",$I571,$I570)="override",$L570&lt;&gt;""),$L570,SUMIFS(Assumptions!$P$4:$P$103,Assumptions!$M$4:$M$103,$C570,Assumptions!$N$4:$N$103,$E570,Assumptions!$O$4:$O$103,"LVN"))</f>
        <v/>
      </c>
      <c r="N570" s="32" t="n"/>
      <c r="O570" s="34">
        <f>IF(AND(IF($I571&lt;&gt;"",$I571,$I570)="override",$N570&lt;&gt;""),$N570,SUMIFS(Assumptions!$P$4:$P$103,Assumptions!$M$4:$M$103,$C570,Assumptions!$N$4:$N$103,$E570,Assumptions!$O$4:$O$103,"HVN"))</f>
        <v/>
      </c>
      <c r="P570" s="34">
        <f>(M570+O570)*Assumptions!$S$11</f>
        <v/>
      </c>
      <c r="Q570" s="35">
        <f>$F570*$K570*$P570</f>
        <v/>
      </c>
    </row>
    <row r="571">
      <c r="A571" s="24" t="inlineStr">
        <is>
          <t>TOTAL</t>
        </is>
      </c>
      <c r="B571" s="36" t="inlineStr">
        <is>
          <t>WRB_BORGER</t>
        </is>
      </c>
      <c r="C571" s="36" t="n">
        <v>3</v>
      </c>
      <c r="D571" s="36" t="inlineStr">
        <is>
          <t>NET NAPHTHA</t>
        </is>
      </c>
      <c r="H571" s="31" t="n"/>
      <c r="I571" s="17" t="n"/>
      <c r="Q571" s="37">
        <f>SUM(Q563:Q570)</f>
        <v/>
      </c>
    </row>
    <row r="573" ht="20" customHeight="1">
      <c r="A573" s="8">
        <f>"  Marathon Petroleum El Paso  [MARATHON_EL_PASO]   —   Marathon Petroleum   —   PADD 3   —   crude "&amp;TEXT(SUMIFS(Data!$G$3:$G$125,Data!$A$3:$A$125,"MARATHON_EL_PASO"),"#,##0")&amp;" kbd"</f>
        <v/>
      </c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</row>
    <row r="574">
      <c r="A574" s="11" t="inlineStr">
        <is>
          <t>UNIT</t>
        </is>
      </c>
      <c r="B574" s="28" t="inlineStr">
        <is>
          <t>MARATHON_EL_PASO</t>
        </is>
      </c>
      <c r="C574" s="28" t="n">
        <v>3</v>
      </c>
      <c r="D574" s="28" t="inlineStr">
        <is>
          <t>CDU</t>
        </is>
      </c>
      <c r="E574" s="28" t="inlineStr">
        <is>
          <t>CDU</t>
        </is>
      </c>
      <c r="F574" s="29" t="n">
        <v>138</v>
      </c>
      <c r="G574" s="30">
        <f>IFERROR(IF(INDEX(Effective!$E$3:$R$125,MATCH($B574,Effective!$A$3:$A$125,0),MATCH($D574,Effective!$E$2:$R$2,0))=0,"",INDEX(Effective!$E$3:$R$125,MATCH($B574,Effective!$A$3:$A$125,0),MATCH($D574,Effective!$E$2:$R$2,0))),"")</f>
        <v/>
      </c>
      <c r="H574" s="31" t="n"/>
      <c r="I574" s="17" t="inlineStr">
        <is>
          <t>override</t>
        </is>
      </c>
      <c r="J574" s="32" t="n">
        <v>0.902</v>
      </c>
      <c r="K574" s="33">
        <f>IF(AND(IF($I580&lt;&gt;"",$I580,$I574)="override",$J574&lt;&gt;""),$J574,SUMIFS(Assumptions!$K$4:$K$8,Assumptions!$J$4:$J$8,$C574))*Assumptions!$S$10*(1-MIN(1,MAX(N($H574),N($H580))))</f>
        <v/>
      </c>
      <c r="L574" s="32" t="n"/>
      <c r="M574" s="34">
        <f>IF(AND(IF($I580&lt;&gt;"",$I580,$I574)="override",$L574&lt;&gt;""),$L574,SUMIFS(Assumptions!$P$4:$P$103,Assumptions!$M$4:$M$103,$C574,Assumptions!$N$4:$N$103,$E574,Assumptions!$O$4:$O$103,"LVN"))</f>
        <v/>
      </c>
      <c r="N574" s="32" t="n"/>
      <c r="O574" s="34">
        <f>IF(AND(IF($I580&lt;&gt;"",$I580,$I574)="override",$N574&lt;&gt;""),$N574,SUMIFS(Assumptions!$P$4:$P$103,Assumptions!$M$4:$M$103,$C574,Assumptions!$N$4:$N$103,$E574,Assumptions!$O$4:$O$103,"HVN"))</f>
        <v/>
      </c>
      <c r="P574" s="34">
        <f>(M574+O574)*Assumptions!$S$11</f>
        <v/>
      </c>
      <c r="Q574" s="35">
        <f>$F574*$K574*$P574</f>
        <v/>
      </c>
    </row>
    <row r="575">
      <c r="A575" s="11" t="inlineStr">
        <is>
          <t>UNIT</t>
        </is>
      </c>
      <c r="B575" s="28" t="inlineStr">
        <is>
          <t>MARATHON_EL_PASO</t>
        </is>
      </c>
      <c r="C575" s="28" t="n">
        <v>3</v>
      </c>
      <c r="D575" s="28" t="inlineStr">
        <is>
          <t>VDU</t>
        </is>
      </c>
      <c r="E575" s="28" t="inlineStr">
        <is>
          <t>VDU</t>
        </is>
      </c>
      <c r="F575" s="29" t="n">
        <v>55.5</v>
      </c>
      <c r="G575" s="30">
        <f>IFERROR(IF(INDEX(Effective!$E$3:$R$125,MATCH($B575,Effective!$A$3:$A$125,0),MATCH($D575,Effective!$E$2:$R$2,0))=0,"",INDEX(Effective!$E$3:$R$125,MATCH($B575,Effective!$A$3:$A$125,0),MATCH($D575,Effective!$E$2:$R$2,0))),"")</f>
        <v/>
      </c>
      <c r="H575" s="31" t="n"/>
      <c r="I575" s="17" t="inlineStr">
        <is>
          <t>override</t>
        </is>
      </c>
      <c r="J575" s="32" t="n">
        <v>0.651</v>
      </c>
      <c r="K575" s="33">
        <f>IF(AND(IF($I580&lt;&gt;"",$I580,$I575)="override",$J575&lt;&gt;""),$J575,SUMIFS(Assumptions!$K$4:$K$8,Assumptions!$J$4:$J$8,$C575))*Assumptions!$S$10*(1-MIN(1,MAX(N($H575),N($H580))))</f>
        <v/>
      </c>
      <c r="L575" s="32" t="n"/>
      <c r="M575" s="34">
        <f>IF(AND(IF($I580&lt;&gt;"",$I580,$I575)="override",$L575&lt;&gt;""),$L575,SUMIFS(Assumptions!$P$4:$P$103,Assumptions!$M$4:$M$103,$C575,Assumptions!$N$4:$N$103,$E575,Assumptions!$O$4:$O$103,"LVN"))</f>
        <v/>
      </c>
      <c r="N575" s="32" t="n"/>
      <c r="O575" s="34">
        <f>IF(AND(IF($I580&lt;&gt;"",$I580,$I575)="override",$N575&lt;&gt;""),$N575,SUMIFS(Assumptions!$P$4:$P$103,Assumptions!$M$4:$M$103,$C575,Assumptions!$N$4:$N$103,$E575,Assumptions!$O$4:$O$103,"HVN"))</f>
        <v/>
      </c>
      <c r="P575" s="34">
        <f>(M575+O575)*Assumptions!$S$11</f>
        <v/>
      </c>
      <c r="Q575" s="35">
        <f>$F575*$K575*$P575</f>
        <v/>
      </c>
    </row>
    <row r="576">
      <c r="A576" s="11" t="inlineStr">
        <is>
          <t>UNIT</t>
        </is>
      </c>
      <c r="B576" s="28" t="inlineStr">
        <is>
          <t>MARATHON_EL_PASO</t>
        </is>
      </c>
      <c r="C576" s="28" t="n">
        <v>3</v>
      </c>
      <c r="D576" s="28" t="inlineStr">
        <is>
          <t>FCC</t>
        </is>
      </c>
      <c r="E576" s="28" t="inlineStr">
        <is>
          <t>FCC</t>
        </is>
      </c>
      <c r="F576" s="29" t="n">
        <v>35</v>
      </c>
      <c r="G576" s="30">
        <f>IFERROR(IF(INDEX(Effective!$E$3:$R$125,MATCH($B576,Effective!$A$3:$A$125,0),MATCH($D576,Effective!$E$2:$R$2,0))=0,"",INDEX(Effective!$E$3:$R$125,MATCH($B576,Effective!$A$3:$A$125,0),MATCH($D576,Effective!$E$2:$R$2,0))),"")</f>
        <v/>
      </c>
      <c r="H576" s="31" t="n"/>
      <c r="I576" s="17" t="inlineStr">
        <is>
          <t>override</t>
        </is>
      </c>
      <c r="J576" s="32" t="n">
        <v>0.946</v>
      </c>
      <c r="K576" s="33">
        <f>IF(AND(IF($I580&lt;&gt;"",$I580,$I576)="override",$J576&lt;&gt;""),$J576,SUMIFS(Assumptions!$K$4:$K$8,Assumptions!$J$4:$J$8,$C576))*Assumptions!$S$10*(1-MIN(1,MAX(N($H576),N($H580))))</f>
        <v/>
      </c>
      <c r="L576" s="32" t="n"/>
      <c r="M576" s="34">
        <f>IF(AND(IF($I580&lt;&gt;"",$I580,$I576)="override",$L576&lt;&gt;""),$L576,SUMIFS(Assumptions!$P$4:$P$103,Assumptions!$M$4:$M$103,$C576,Assumptions!$N$4:$N$103,$E576,Assumptions!$O$4:$O$103,"LVN"))</f>
        <v/>
      </c>
      <c r="N576" s="32" t="n"/>
      <c r="O576" s="34">
        <f>IF(AND(IF($I580&lt;&gt;"",$I580,$I576)="override",$N576&lt;&gt;""),$N576,SUMIFS(Assumptions!$P$4:$P$103,Assumptions!$M$4:$M$103,$C576,Assumptions!$N$4:$N$103,$E576,Assumptions!$O$4:$O$103,"HVN"))</f>
        <v/>
      </c>
      <c r="P576" s="34">
        <f>(M576+O576)*Assumptions!$S$11</f>
        <v/>
      </c>
      <c r="Q576" s="35">
        <f>$F576*$K576*$P576</f>
        <v/>
      </c>
    </row>
    <row r="577">
      <c r="A577" s="11" t="inlineStr">
        <is>
          <t>UNIT</t>
        </is>
      </c>
      <c r="B577" s="28" t="inlineStr">
        <is>
          <t>MARATHON_EL_PASO</t>
        </is>
      </c>
      <c r="C577" s="28" t="n">
        <v>3</v>
      </c>
      <c r="D577" s="28" t="inlineStr">
        <is>
          <t>CCR</t>
        </is>
      </c>
      <c r="E577" s="28" t="inlineStr">
        <is>
          <t>REFORMER</t>
        </is>
      </c>
      <c r="F577" s="29" t="n">
        <v>28</v>
      </c>
      <c r="G577" s="30">
        <f>IFERROR(IF(INDEX(Effective!$E$3:$R$125,MATCH($B577,Effective!$A$3:$A$125,0),MATCH($D577,Effective!$E$2:$R$2,0))=0,"",INDEX(Effective!$E$3:$R$125,MATCH($B577,Effective!$A$3:$A$125,0),MATCH($D577,Effective!$E$2:$R$2,0))),"")</f>
        <v/>
      </c>
      <c r="H577" s="31" t="n"/>
      <c r="I577" s="17" t="inlineStr">
        <is>
          <t>override</t>
        </is>
      </c>
      <c r="J577" s="32" t="n">
        <v>0.793</v>
      </c>
      <c r="K577" s="33">
        <f>IF(AND(IF($I580&lt;&gt;"",$I580,$I577)="override",$J577&lt;&gt;""),$J577,SUMIFS(Assumptions!$K$4:$K$8,Assumptions!$J$4:$J$8,$C577))*Assumptions!$S$10*(1-MIN(1,MAX(N($H577),N($H580))))</f>
        <v/>
      </c>
      <c r="L577" s="32" t="n"/>
      <c r="M577" s="34">
        <f>IF(AND(IF($I580&lt;&gt;"",$I580,$I577)="override",$L577&lt;&gt;""),$L577,SUMIFS(Assumptions!$P$4:$P$103,Assumptions!$M$4:$M$103,$C577,Assumptions!$N$4:$N$103,$E577,Assumptions!$O$4:$O$103,"LVN"))</f>
        <v/>
      </c>
      <c r="N577" s="32" t="n"/>
      <c r="O577" s="34">
        <f>IF(AND(IF($I580&lt;&gt;"",$I580,$I577)="override",$N577&lt;&gt;""),$N577,SUMIFS(Assumptions!$P$4:$P$103,Assumptions!$M$4:$M$103,$C577,Assumptions!$N$4:$N$103,$E577,Assumptions!$O$4:$O$103,"HVN"))</f>
        <v/>
      </c>
      <c r="P577" s="34">
        <f>(M577+O577)*Assumptions!$S$11</f>
        <v/>
      </c>
      <c r="Q577" s="35">
        <f>$F577*$K577*$P577</f>
        <v/>
      </c>
    </row>
    <row r="578">
      <c r="A578" s="11" t="inlineStr">
        <is>
          <t>UNIT</t>
        </is>
      </c>
      <c r="B578" s="28" t="inlineStr">
        <is>
          <t>MARATHON_EL_PASO</t>
        </is>
      </c>
      <c r="C578" s="28" t="n">
        <v>3</v>
      </c>
      <c r="D578" s="28" t="inlineStr">
        <is>
          <t>ALKY</t>
        </is>
      </c>
      <c r="E578" s="28" t="inlineStr">
        <is>
          <t>ALKY</t>
        </is>
      </c>
      <c r="F578" s="29" t="n">
        <v>12.5</v>
      </c>
      <c r="G578" s="30">
        <f>IFERROR(IF(INDEX(Effective!$E$3:$R$125,MATCH($B578,Effective!$A$3:$A$125,0),MATCH($D578,Effective!$E$2:$R$2,0))=0,"",INDEX(Effective!$E$3:$R$125,MATCH($B578,Effective!$A$3:$A$125,0),MATCH($D578,Effective!$E$2:$R$2,0))),"")</f>
        <v/>
      </c>
      <c r="H578" s="31" t="n"/>
      <c r="I578" s="17" t="inlineStr">
        <is>
          <t>override</t>
        </is>
      </c>
      <c r="J578" s="32" t="n">
        <v>1.1</v>
      </c>
      <c r="K578" s="33">
        <f>IF(AND(IF($I580&lt;&gt;"",$I580,$I578)="override",$J578&lt;&gt;""),$J578,SUMIFS(Assumptions!$K$4:$K$8,Assumptions!$J$4:$J$8,$C578))*Assumptions!$S$10*(1-MIN(1,MAX(N($H578),N($H580))))</f>
        <v/>
      </c>
      <c r="L578" s="32" t="n"/>
      <c r="M578" s="34">
        <f>IF(AND(IF($I580&lt;&gt;"",$I580,$I578)="override",$L578&lt;&gt;""),$L578,SUMIFS(Assumptions!$P$4:$P$103,Assumptions!$M$4:$M$103,$C578,Assumptions!$N$4:$N$103,$E578,Assumptions!$O$4:$O$103,"LVN"))</f>
        <v/>
      </c>
      <c r="N578" s="32" t="n"/>
      <c r="O578" s="34">
        <f>IF(AND(IF($I580&lt;&gt;"",$I580,$I578)="override",$N578&lt;&gt;""),$N578,SUMIFS(Assumptions!$P$4:$P$103,Assumptions!$M$4:$M$103,$C578,Assumptions!$N$4:$N$103,$E578,Assumptions!$O$4:$O$103,"HVN"))</f>
        <v/>
      </c>
      <c r="P578" s="34">
        <f>(M578+O578)*Assumptions!$S$11</f>
        <v/>
      </c>
      <c r="Q578" s="35">
        <f>$F578*$K578*$P578</f>
        <v/>
      </c>
    </row>
    <row r="579">
      <c r="A579" s="11" t="inlineStr">
        <is>
          <t>UNIT</t>
        </is>
      </c>
      <c r="B579" s="28" t="inlineStr">
        <is>
          <t>MARATHON_EL_PASO</t>
        </is>
      </c>
      <c r="C579" s="28" t="n">
        <v>3</v>
      </c>
      <c r="D579" s="28" t="inlineStr">
        <is>
          <t>NHT</t>
        </is>
      </c>
      <c r="E579" s="28" t="inlineStr">
        <is>
          <t>NHT</t>
        </is>
      </c>
      <c r="F579" s="29" t="n">
        <v>30.5</v>
      </c>
      <c r="G579" s="30">
        <f>IFERROR(IF(INDEX(Effective!$E$3:$R$125,MATCH($B579,Effective!$A$3:$A$125,0),MATCH($D579,Effective!$E$2:$R$2,0))=0,"",INDEX(Effective!$E$3:$R$125,MATCH($B579,Effective!$A$3:$A$125,0),MATCH($D579,Effective!$E$2:$R$2,0))),"")</f>
        <v/>
      </c>
      <c r="H579" s="31" t="n"/>
      <c r="I579" s="17" t="inlineStr">
        <is>
          <t>override</t>
        </is>
      </c>
      <c r="J579" s="32" t="n">
        <v>0.948</v>
      </c>
      <c r="K579" s="33">
        <f>IF(AND(IF($I580&lt;&gt;"",$I580,$I579)="override",$J579&lt;&gt;""),$J579,SUMIFS(Assumptions!$K$4:$K$8,Assumptions!$J$4:$J$8,$C579))*Assumptions!$S$10*(1-MIN(1,MAX(N($H579),N($H580))))</f>
        <v/>
      </c>
      <c r="L579" s="32" t="n"/>
      <c r="M579" s="34">
        <f>IF(AND(IF($I580&lt;&gt;"",$I580,$I579)="override",$L579&lt;&gt;""),$L579,SUMIFS(Assumptions!$P$4:$P$103,Assumptions!$M$4:$M$103,$C579,Assumptions!$N$4:$N$103,$E579,Assumptions!$O$4:$O$103,"LVN"))</f>
        <v/>
      </c>
      <c r="N579" s="32" t="n"/>
      <c r="O579" s="34">
        <f>IF(AND(IF($I580&lt;&gt;"",$I580,$I579)="override",$N579&lt;&gt;""),$N579,SUMIFS(Assumptions!$P$4:$P$103,Assumptions!$M$4:$M$103,$C579,Assumptions!$N$4:$N$103,$E579,Assumptions!$O$4:$O$103,"HVN"))</f>
        <v/>
      </c>
      <c r="P579" s="34">
        <f>(M579+O579)*Assumptions!$S$11</f>
        <v/>
      </c>
      <c r="Q579" s="35">
        <f>$F579*$K579*$P579</f>
        <v/>
      </c>
    </row>
    <row r="580">
      <c r="A580" s="24" t="inlineStr">
        <is>
          <t>TOTAL</t>
        </is>
      </c>
      <c r="B580" s="36" t="inlineStr">
        <is>
          <t>MARATHON_EL_PASO</t>
        </is>
      </c>
      <c r="C580" s="36" t="n">
        <v>3</v>
      </c>
      <c r="D580" s="36" t="inlineStr">
        <is>
          <t>NET NAPHTHA</t>
        </is>
      </c>
      <c r="H580" s="31" t="n"/>
      <c r="I580" s="17" t="n"/>
      <c r="Q580" s="37">
        <f>SUM(Q574:Q579)</f>
        <v/>
      </c>
    </row>
    <row r="582" ht="20" customHeight="1">
      <c r="A582" s="8">
        <f>"  Chevron Pasadena  [CHEVRON_PASADENA]   —   Chevron   —   PADD 3   —   crude "&amp;TEXT(SUMIFS(Data!$G$3:$G$125,Data!$A$3:$A$125,"CHEVRON_PASADENA"),"#,##0")&amp;" kbd"</f>
        <v/>
      </c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</row>
    <row r="583">
      <c r="A583" s="11" t="inlineStr">
        <is>
          <t>UNIT</t>
        </is>
      </c>
      <c r="B583" s="28" t="inlineStr">
        <is>
          <t>CHEVRON_PASADENA</t>
        </is>
      </c>
      <c r="C583" s="28" t="n">
        <v>3</v>
      </c>
      <c r="D583" s="28" t="inlineStr">
        <is>
          <t>CDU</t>
        </is>
      </c>
      <c r="E583" s="28" t="inlineStr">
        <is>
          <t>CDU</t>
        </is>
      </c>
      <c r="F583" s="29" t="n">
        <v>125</v>
      </c>
      <c r="G583" s="30">
        <f>IFERROR(IF(INDEX(Effective!$E$3:$R$125,MATCH($B583,Effective!$A$3:$A$125,0),MATCH($D583,Effective!$E$2:$R$2,0))=0,"",INDEX(Effective!$E$3:$R$125,MATCH($B583,Effective!$A$3:$A$125,0),MATCH($D583,Effective!$E$2:$R$2,0))),"")</f>
        <v/>
      </c>
      <c r="H583" s="31" t="n"/>
      <c r="I583" s="17" t="inlineStr">
        <is>
          <t>override</t>
        </is>
      </c>
      <c r="J583" s="32" t="n">
        <v>0.5620000000000001</v>
      </c>
      <c r="K583" s="33">
        <f>IF(AND(IF($I589&lt;&gt;"",$I589,$I583)="override",$J583&lt;&gt;""),$J583,SUMIFS(Assumptions!$K$4:$K$8,Assumptions!$J$4:$J$8,$C583))*Assumptions!$S$10*(1-MIN(1,MAX(N($H583),N($H589))))</f>
        <v/>
      </c>
      <c r="L583" s="32" t="n"/>
      <c r="M583" s="34">
        <f>IF(AND(IF($I589&lt;&gt;"",$I589,$I583)="override",$L583&lt;&gt;""),$L583,SUMIFS(Assumptions!$P$4:$P$103,Assumptions!$M$4:$M$103,$C583,Assumptions!$N$4:$N$103,$E583,Assumptions!$O$4:$O$103,"LVN"))</f>
        <v/>
      </c>
      <c r="N583" s="32" t="n"/>
      <c r="O583" s="34">
        <f>IF(AND(IF($I589&lt;&gt;"",$I589,$I583)="override",$N583&lt;&gt;""),$N583,SUMIFS(Assumptions!$P$4:$P$103,Assumptions!$M$4:$M$103,$C583,Assumptions!$N$4:$N$103,$E583,Assumptions!$O$4:$O$103,"HVN"))</f>
        <v/>
      </c>
      <c r="P583" s="34">
        <f>(M583+O583)*Assumptions!$S$11</f>
        <v/>
      </c>
      <c r="Q583" s="35">
        <f>$F583*$K583*$P583</f>
        <v/>
      </c>
    </row>
    <row r="584">
      <c r="A584" s="11" t="inlineStr">
        <is>
          <t>UNIT</t>
        </is>
      </c>
      <c r="B584" s="28" t="inlineStr">
        <is>
          <t>CHEVRON_PASADENA</t>
        </is>
      </c>
      <c r="C584" s="28" t="n">
        <v>3</v>
      </c>
      <c r="D584" s="28" t="inlineStr">
        <is>
          <t>VDU</t>
        </is>
      </c>
      <c r="E584" s="28" t="inlineStr">
        <is>
          <t>VDU</t>
        </is>
      </c>
      <c r="F584" s="29" t="n">
        <v>38</v>
      </c>
      <c r="G584" s="30">
        <f>IFERROR(IF(INDEX(Effective!$E$3:$R$125,MATCH($B584,Effective!$A$3:$A$125,0),MATCH($D584,Effective!$E$2:$R$2,0))=0,"",INDEX(Effective!$E$3:$R$125,MATCH($B584,Effective!$A$3:$A$125,0),MATCH($D584,Effective!$E$2:$R$2,0))),"")</f>
        <v/>
      </c>
      <c r="H584" s="31" t="n"/>
      <c r="I584" s="17" t="inlineStr">
        <is>
          <t>override</t>
        </is>
      </c>
      <c r="J584" s="32" t="n">
        <v>0</v>
      </c>
      <c r="K584" s="33">
        <f>IF(AND(IF($I589&lt;&gt;"",$I589,$I584)="override",$J584&lt;&gt;""),$J584,SUMIFS(Assumptions!$K$4:$K$8,Assumptions!$J$4:$J$8,$C584))*Assumptions!$S$10*(1-MIN(1,MAX(N($H584),N($H589))))</f>
        <v/>
      </c>
      <c r="L584" s="32" t="n"/>
      <c r="M584" s="34">
        <f>IF(AND(IF($I589&lt;&gt;"",$I589,$I584)="override",$L584&lt;&gt;""),$L584,SUMIFS(Assumptions!$P$4:$P$103,Assumptions!$M$4:$M$103,$C584,Assumptions!$N$4:$N$103,$E584,Assumptions!$O$4:$O$103,"LVN"))</f>
        <v/>
      </c>
      <c r="N584" s="32" t="n"/>
      <c r="O584" s="34">
        <f>IF(AND(IF($I589&lt;&gt;"",$I589,$I584)="override",$N584&lt;&gt;""),$N584,SUMIFS(Assumptions!$P$4:$P$103,Assumptions!$M$4:$M$103,$C584,Assumptions!$N$4:$N$103,$E584,Assumptions!$O$4:$O$103,"HVN"))</f>
        <v/>
      </c>
      <c r="P584" s="34">
        <f>(M584+O584)*Assumptions!$S$11</f>
        <v/>
      </c>
      <c r="Q584" s="35">
        <f>$F584*$K584*$P584</f>
        <v/>
      </c>
    </row>
    <row r="585">
      <c r="A585" s="11" t="inlineStr">
        <is>
          <t>UNIT</t>
        </is>
      </c>
      <c r="B585" s="28" t="inlineStr">
        <is>
          <t>CHEVRON_PASADENA</t>
        </is>
      </c>
      <c r="C585" s="28" t="n">
        <v>3</v>
      </c>
      <c r="D585" s="28" t="inlineStr">
        <is>
          <t>FCC</t>
        </is>
      </c>
      <c r="E585" s="28" t="inlineStr">
        <is>
          <t>FCC</t>
        </is>
      </c>
      <c r="F585" s="29" t="n">
        <v>52</v>
      </c>
      <c r="G585" s="30">
        <f>IFERROR(IF(INDEX(Effective!$E$3:$R$125,MATCH($B585,Effective!$A$3:$A$125,0),MATCH($D585,Effective!$E$2:$R$2,0))=0,"",INDEX(Effective!$E$3:$R$125,MATCH($B585,Effective!$A$3:$A$125,0),MATCH($D585,Effective!$E$2:$R$2,0))),"")</f>
        <v/>
      </c>
      <c r="H585" s="31" t="n"/>
      <c r="I585" s="17" t="inlineStr">
        <is>
          <t>override</t>
        </is>
      </c>
      <c r="J585" s="32" t="n">
        <v>0</v>
      </c>
      <c r="K585" s="33">
        <f>IF(AND(IF($I589&lt;&gt;"",$I589,$I585)="override",$J585&lt;&gt;""),$J585,SUMIFS(Assumptions!$K$4:$K$8,Assumptions!$J$4:$J$8,$C585))*Assumptions!$S$10*(1-MIN(1,MAX(N($H585),N($H589))))</f>
        <v/>
      </c>
      <c r="L585" s="32" t="n"/>
      <c r="M585" s="34">
        <f>IF(AND(IF($I589&lt;&gt;"",$I589,$I585)="override",$L585&lt;&gt;""),$L585,SUMIFS(Assumptions!$P$4:$P$103,Assumptions!$M$4:$M$103,$C585,Assumptions!$N$4:$N$103,$E585,Assumptions!$O$4:$O$103,"LVN"))</f>
        <v/>
      </c>
      <c r="N585" s="32" t="n"/>
      <c r="O585" s="34">
        <f>IF(AND(IF($I589&lt;&gt;"",$I589,$I585)="override",$N585&lt;&gt;""),$N585,SUMIFS(Assumptions!$P$4:$P$103,Assumptions!$M$4:$M$103,$C585,Assumptions!$N$4:$N$103,$E585,Assumptions!$O$4:$O$103,"HVN"))</f>
        <v/>
      </c>
      <c r="P585" s="34">
        <f>(M585+O585)*Assumptions!$S$11</f>
        <v/>
      </c>
      <c r="Q585" s="35">
        <f>$F585*$K585*$P585</f>
        <v/>
      </c>
    </row>
    <row r="586">
      <c r="A586" s="11" t="inlineStr">
        <is>
          <t>UNIT</t>
        </is>
      </c>
      <c r="B586" s="28" t="inlineStr">
        <is>
          <t>CHEVRON_PASADENA</t>
        </is>
      </c>
      <c r="C586" s="28" t="n">
        <v>3</v>
      </c>
      <c r="D586" s="28" t="inlineStr">
        <is>
          <t>CCR</t>
        </is>
      </c>
      <c r="E586" s="28" t="inlineStr">
        <is>
          <t>REFORMER</t>
        </is>
      </c>
      <c r="F586" s="29" t="n">
        <v>23</v>
      </c>
      <c r="G586" s="30">
        <f>IFERROR(IF(INDEX(Effective!$E$3:$R$125,MATCH($B586,Effective!$A$3:$A$125,0),MATCH($D586,Effective!$E$2:$R$2,0))=0,"",INDEX(Effective!$E$3:$R$125,MATCH($B586,Effective!$A$3:$A$125,0),MATCH($D586,Effective!$E$2:$R$2,0))),"")</f>
        <v/>
      </c>
      <c r="H586" s="31" t="n"/>
      <c r="I586" s="17" t="inlineStr">
        <is>
          <t>override</t>
        </is>
      </c>
      <c r="J586" s="32" t="n">
        <v>0.493</v>
      </c>
      <c r="K586" s="33">
        <f>IF(AND(IF($I589&lt;&gt;"",$I589,$I586)="override",$J586&lt;&gt;""),$J586,SUMIFS(Assumptions!$K$4:$K$8,Assumptions!$J$4:$J$8,$C586))*Assumptions!$S$10*(1-MIN(1,MAX(N($H586),N($H589))))</f>
        <v/>
      </c>
      <c r="L586" s="32" t="n"/>
      <c r="M586" s="34">
        <f>IF(AND(IF($I589&lt;&gt;"",$I589,$I586)="override",$L586&lt;&gt;""),$L586,SUMIFS(Assumptions!$P$4:$P$103,Assumptions!$M$4:$M$103,$C586,Assumptions!$N$4:$N$103,$E586,Assumptions!$O$4:$O$103,"LVN"))</f>
        <v/>
      </c>
      <c r="N586" s="32" t="n"/>
      <c r="O586" s="34">
        <f>IF(AND(IF($I589&lt;&gt;"",$I589,$I586)="override",$N586&lt;&gt;""),$N586,SUMIFS(Assumptions!$P$4:$P$103,Assumptions!$M$4:$M$103,$C586,Assumptions!$N$4:$N$103,$E586,Assumptions!$O$4:$O$103,"HVN"))</f>
        <v/>
      </c>
      <c r="P586" s="34">
        <f>(M586+O586)*Assumptions!$S$11</f>
        <v/>
      </c>
      <c r="Q586" s="35">
        <f>$F586*$K586*$P586</f>
        <v/>
      </c>
    </row>
    <row r="587">
      <c r="A587" s="11" t="inlineStr">
        <is>
          <t>UNIT</t>
        </is>
      </c>
      <c r="B587" s="28" t="inlineStr">
        <is>
          <t>CHEVRON_PASADENA</t>
        </is>
      </c>
      <c r="C587" s="28" t="n">
        <v>3</v>
      </c>
      <c r="D587" s="28" t="inlineStr">
        <is>
          <t>ALKY</t>
        </is>
      </c>
      <c r="E587" s="28" t="inlineStr">
        <is>
          <t>ALKY</t>
        </is>
      </c>
      <c r="F587" s="29" t="n">
        <v>12.5</v>
      </c>
      <c r="G587" s="30">
        <f>IFERROR(IF(INDEX(Effective!$E$3:$R$125,MATCH($B587,Effective!$A$3:$A$125,0),MATCH($D587,Effective!$E$2:$R$2,0))=0,"",INDEX(Effective!$E$3:$R$125,MATCH($B587,Effective!$A$3:$A$125,0),MATCH($D587,Effective!$E$2:$R$2,0))),"")</f>
        <v/>
      </c>
      <c r="H587" s="31" t="n"/>
      <c r="I587" s="17" t="inlineStr">
        <is>
          <t>override</t>
        </is>
      </c>
      <c r="J587" s="32" t="n">
        <v>0</v>
      </c>
      <c r="K587" s="33">
        <f>IF(AND(IF($I589&lt;&gt;"",$I589,$I587)="override",$J587&lt;&gt;""),$J587,SUMIFS(Assumptions!$K$4:$K$8,Assumptions!$J$4:$J$8,$C587))*Assumptions!$S$10*(1-MIN(1,MAX(N($H587),N($H589))))</f>
        <v/>
      </c>
      <c r="L587" s="32" t="n"/>
      <c r="M587" s="34">
        <f>IF(AND(IF($I589&lt;&gt;"",$I589,$I587)="override",$L587&lt;&gt;""),$L587,SUMIFS(Assumptions!$P$4:$P$103,Assumptions!$M$4:$M$103,$C587,Assumptions!$N$4:$N$103,$E587,Assumptions!$O$4:$O$103,"LVN"))</f>
        <v/>
      </c>
      <c r="N587" s="32" t="n"/>
      <c r="O587" s="34">
        <f>IF(AND(IF($I589&lt;&gt;"",$I589,$I587)="override",$N587&lt;&gt;""),$N587,SUMIFS(Assumptions!$P$4:$P$103,Assumptions!$M$4:$M$103,$C587,Assumptions!$N$4:$N$103,$E587,Assumptions!$O$4:$O$103,"HVN"))</f>
        <v/>
      </c>
      <c r="P587" s="34">
        <f>(M587+O587)*Assumptions!$S$11</f>
        <v/>
      </c>
      <c r="Q587" s="35">
        <f>$F587*$K587*$P587</f>
        <v/>
      </c>
    </row>
    <row r="588">
      <c r="A588" s="11" t="inlineStr">
        <is>
          <t>UNIT</t>
        </is>
      </c>
      <c r="B588" s="28" t="inlineStr">
        <is>
          <t>CHEVRON_PASADENA</t>
        </is>
      </c>
      <c r="C588" s="28" t="n">
        <v>3</v>
      </c>
      <c r="D588" s="28" t="inlineStr">
        <is>
          <t>NHT</t>
        </is>
      </c>
      <c r="E588" s="28" t="inlineStr">
        <is>
          <t>NHT</t>
        </is>
      </c>
      <c r="F588" s="29" t="n">
        <v>23</v>
      </c>
      <c r="G588" s="30">
        <f>IFERROR(IF(INDEX(Effective!$E$3:$R$125,MATCH($B588,Effective!$A$3:$A$125,0),MATCH($D588,Effective!$E$2:$R$2,0))=0,"",INDEX(Effective!$E$3:$R$125,MATCH($B588,Effective!$A$3:$A$125,0),MATCH($D588,Effective!$E$2:$R$2,0))),"")</f>
        <v/>
      </c>
      <c r="H588" s="31" t="n"/>
      <c r="I588" s="17" t="inlineStr">
        <is>
          <t>override</t>
        </is>
      </c>
      <c r="J588" s="32" t="n">
        <v>0.538</v>
      </c>
      <c r="K588" s="33">
        <f>IF(AND(IF($I589&lt;&gt;"",$I589,$I588)="override",$J588&lt;&gt;""),$J588,SUMIFS(Assumptions!$K$4:$K$8,Assumptions!$J$4:$J$8,$C588))*Assumptions!$S$10*(1-MIN(1,MAX(N($H588),N($H589))))</f>
        <v/>
      </c>
      <c r="L588" s="32" t="n"/>
      <c r="M588" s="34">
        <f>IF(AND(IF($I589&lt;&gt;"",$I589,$I588)="override",$L588&lt;&gt;""),$L588,SUMIFS(Assumptions!$P$4:$P$103,Assumptions!$M$4:$M$103,$C588,Assumptions!$N$4:$N$103,$E588,Assumptions!$O$4:$O$103,"LVN"))</f>
        <v/>
      </c>
      <c r="N588" s="32" t="n"/>
      <c r="O588" s="34">
        <f>IF(AND(IF($I589&lt;&gt;"",$I589,$I588)="override",$N588&lt;&gt;""),$N588,SUMIFS(Assumptions!$P$4:$P$103,Assumptions!$M$4:$M$103,$C588,Assumptions!$N$4:$N$103,$E588,Assumptions!$O$4:$O$103,"HVN"))</f>
        <v/>
      </c>
      <c r="P588" s="34">
        <f>(M588+O588)*Assumptions!$S$11</f>
        <v/>
      </c>
      <c r="Q588" s="35">
        <f>$F588*$K588*$P588</f>
        <v/>
      </c>
    </row>
    <row r="589">
      <c r="A589" s="24" t="inlineStr">
        <is>
          <t>TOTAL</t>
        </is>
      </c>
      <c r="B589" s="36" t="inlineStr">
        <is>
          <t>CHEVRON_PASADENA</t>
        </is>
      </c>
      <c r="C589" s="36" t="n">
        <v>3</v>
      </c>
      <c r="D589" s="36" t="inlineStr">
        <is>
          <t>NET NAPHTHA</t>
        </is>
      </c>
      <c r="H589" s="31" t="n"/>
      <c r="I589" s="17" t="n"/>
      <c r="Q589" s="37">
        <f>SUM(Q583:Q588)</f>
        <v/>
      </c>
    </row>
    <row r="591" ht="20" customHeight="1">
      <c r="A591" s="8">
        <f>"  Valero Meraux  [VALERO_MERAUX]   —   Valero   —   PADD 3   —   crude "&amp;TEXT(SUMIFS(Data!$G$3:$G$125,Data!$A$3:$A$125,"VALERO_MERAUX"),"#,##0")&amp;" kbd"</f>
        <v/>
      </c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</row>
    <row r="592">
      <c r="A592" s="11" t="inlineStr">
        <is>
          <t>UNIT</t>
        </is>
      </c>
      <c r="B592" s="28" t="inlineStr">
        <is>
          <t>VALERO_MERAUX</t>
        </is>
      </c>
      <c r="C592" s="28" t="n">
        <v>3</v>
      </c>
      <c r="D592" s="28" t="inlineStr">
        <is>
          <t>CDU</t>
        </is>
      </c>
      <c r="E592" s="28" t="inlineStr">
        <is>
          <t>CDU</t>
        </is>
      </c>
      <c r="F592" s="29" t="n">
        <v>128</v>
      </c>
      <c r="G592" s="30">
        <f>IFERROR(IF(INDEX(Effective!$E$3:$R$125,MATCH($B592,Effective!$A$3:$A$125,0),MATCH($D592,Effective!$E$2:$R$2,0))=0,"",INDEX(Effective!$E$3:$R$125,MATCH($B592,Effective!$A$3:$A$125,0),MATCH($D592,Effective!$E$2:$R$2,0))),"")</f>
        <v/>
      </c>
      <c r="H592" s="31" t="n"/>
      <c r="I592" s="17" t="inlineStr">
        <is>
          <t>override</t>
        </is>
      </c>
      <c r="J592" s="32" t="n">
        <v>0.927</v>
      </c>
      <c r="K592" s="33">
        <f>IF(AND(IF($I597&lt;&gt;"",$I597,$I592)="override",$J592&lt;&gt;""),$J592,SUMIFS(Assumptions!$K$4:$K$8,Assumptions!$J$4:$J$8,$C592))*Assumptions!$S$10*(1-MIN(1,MAX(N($H592),N($H597))))</f>
        <v/>
      </c>
      <c r="L592" s="32" t="n"/>
      <c r="M592" s="34">
        <f>IF(AND(IF($I597&lt;&gt;"",$I597,$I592)="override",$L592&lt;&gt;""),$L592,SUMIFS(Assumptions!$P$4:$P$103,Assumptions!$M$4:$M$103,$C592,Assumptions!$N$4:$N$103,$E592,Assumptions!$O$4:$O$103,"LVN"))</f>
        <v/>
      </c>
      <c r="N592" s="32" t="n"/>
      <c r="O592" s="34">
        <f>IF(AND(IF($I597&lt;&gt;"",$I597,$I592)="override",$N592&lt;&gt;""),$N592,SUMIFS(Assumptions!$P$4:$P$103,Assumptions!$M$4:$M$103,$C592,Assumptions!$N$4:$N$103,$E592,Assumptions!$O$4:$O$103,"HVN"))</f>
        <v/>
      </c>
      <c r="P592" s="34">
        <f>(M592+O592)*Assumptions!$S$11</f>
        <v/>
      </c>
      <c r="Q592" s="35">
        <f>$F592*$K592*$P592</f>
        <v/>
      </c>
    </row>
    <row r="593">
      <c r="A593" s="11" t="inlineStr">
        <is>
          <t>UNIT</t>
        </is>
      </c>
      <c r="B593" s="28" t="inlineStr">
        <is>
          <t>VALERO_MERAUX</t>
        </is>
      </c>
      <c r="C593" s="28" t="n">
        <v>3</v>
      </c>
      <c r="D593" s="28" t="inlineStr">
        <is>
          <t>VDU</t>
        </is>
      </c>
      <c r="E593" s="28" t="inlineStr">
        <is>
          <t>VDU</t>
        </is>
      </c>
      <c r="F593" s="29" t="n">
        <v>60</v>
      </c>
      <c r="G593" s="30">
        <f>IFERROR(IF(INDEX(Effective!$E$3:$R$125,MATCH($B593,Effective!$A$3:$A$125,0),MATCH($D593,Effective!$E$2:$R$2,0))=0,"",INDEX(Effective!$E$3:$R$125,MATCH($B593,Effective!$A$3:$A$125,0),MATCH($D593,Effective!$E$2:$R$2,0))),"")</f>
        <v/>
      </c>
      <c r="H593" s="31" t="n"/>
      <c r="I593" s="17" t="inlineStr">
        <is>
          <t>override</t>
        </is>
      </c>
      <c r="J593" s="32" t="n">
        <v>0.718</v>
      </c>
      <c r="K593" s="33">
        <f>IF(AND(IF($I597&lt;&gt;"",$I597,$I593)="override",$J593&lt;&gt;""),$J593,SUMIFS(Assumptions!$K$4:$K$8,Assumptions!$J$4:$J$8,$C593))*Assumptions!$S$10*(1-MIN(1,MAX(N($H593),N($H597))))</f>
        <v/>
      </c>
      <c r="L593" s="32" t="n"/>
      <c r="M593" s="34">
        <f>IF(AND(IF($I597&lt;&gt;"",$I597,$I593)="override",$L593&lt;&gt;""),$L593,SUMIFS(Assumptions!$P$4:$P$103,Assumptions!$M$4:$M$103,$C593,Assumptions!$N$4:$N$103,$E593,Assumptions!$O$4:$O$103,"LVN"))</f>
        <v/>
      </c>
      <c r="N593" s="32" t="n"/>
      <c r="O593" s="34">
        <f>IF(AND(IF($I597&lt;&gt;"",$I597,$I593)="override",$N593&lt;&gt;""),$N593,SUMIFS(Assumptions!$P$4:$P$103,Assumptions!$M$4:$M$103,$C593,Assumptions!$N$4:$N$103,$E593,Assumptions!$O$4:$O$103,"HVN"))</f>
        <v/>
      </c>
      <c r="P593" s="34">
        <f>(M593+O593)*Assumptions!$S$11</f>
        <v/>
      </c>
      <c r="Q593" s="35">
        <f>$F593*$K593*$P593</f>
        <v/>
      </c>
    </row>
    <row r="594">
      <c r="A594" s="11" t="inlineStr">
        <is>
          <t>UNIT</t>
        </is>
      </c>
      <c r="B594" s="28" t="inlineStr">
        <is>
          <t>VALERO_MERAUX</t>
        </is>
      </c>
      <c r="C594" s="28" t="n">
        <v>3</v>
      </c>
      <c r="D594" s="28" t="inlineStr">
        <is>
          <t>DHCU</t>
        </is>
      </c>
      <c r="E594" s="28" t="inlineStr">
        <is>
          <t>HYDROCRACKER</t>
        </is>
      </c>
      <c r="F594" s="29" t="n">
        <v>48.7</v>
      </c>
      <c r="G594" s="30">
        <f>IFERROR(IF(INDEX(Effective!$E$3:$R$125,MATCH($B594,Effective!$A$3:$A$125,0),MATCH($D594,Effective!$E$2:$R$2,0))=0,"",INDEX(Effective!$E$3:$R$125,MATCH($B594,Effective!$A$3:$A$125,0),MATCH($D594,Effective!$E$2:$R$2,0))),"")</f>
        <v/>
      </c>
      <c r="H594" s="31" t="n"/>
      <c r="I594" s="17" t="inlineStr">
        <is>
          <t>override</t>
        </is>
      </c>
      <c r="J594" s="32" t="n">
        <v>0.712</v>
      </c>
      <c r="K594" s="33">
        <f>IF(AND(IF($I597&lt;&gt;"",$I597,$I594)="override",$J594&lt;&gt;""),$J594,SUMIFS(Assumptions!$K$4:$K$8,Assumptions!$J$4:$J$8,$C594))*Assumptions!$S$10*(1-MIN(1,MAX(N($H594),N($H597))))</f>
        <v/>
      </c>
      <c r="L594" s="32" t="n"/>
      <c r="M594" s="34">
        <f>IF(AND(IF($I597&lt;&gt;"",$I597,$I594)="override",$L594&lt;&gt;""),$L594,SUMIFS(Assumptions!$P$4:$P$103,Assumptions!$M$4:$M$103,$C594,Assumptions!$N$4:$N$103,$E594,Assumptions!$O$4:$O$103,"LVN"))</f>
        <v/>
      </c>
      <c r="N594" s="32" t="n"/>
      <c r="O594" s="34">
        <f>IF(AND(IF($I597&lt;&gt;"",$I597,$I594)="override",$N594&lt;&gt;""),$N594,SUMIFS(Assumptions!$P$4:$P$103,Assumptions!$M$4:$M$103,$C594,Assumptions!$N$4:$N$103,$E594,Assumptions!$O$4:$O$103,"HVN"))</f>
        <v/>
      </c>
      <c r="P594" s="34">
        <f>(M594+O594)*Assumptions!$S$11</f>
        <v/>
      </c>
      <c r="Q594" s="35">
        <f>$F594*$K594*$P594</f>
        <v/>
      </c>
    </row>
    <row r="595">
      <c r="A595" s="11" t="inlineStr">
        <is>
          <t>UNIT</t>
        </is>
      </c>
      <c r="B595" s="28" t="inlineStr">
        <is>
          <t>VALERO_MERAUX</t>
        </is>
      </c>
      <c r="C595" s="28" t="n">
        <v>3</v>
      </c>
      <c r="D595" s="28" t="inlineStr">
        <is>
          <t>CCR</t>
        </is>
      </c>
      <c r="E595" s="28" t="inlineStr">
        <is>
          <t>REFORMER</t>
        </is>
      </c>
      <c r="F595" s="29" t="n">
        <v>32</v>
      </c>
      <c r="G595" s="30">
        <f>IFERROR(IF(INDEX(Effective!$E$3:$R$125,MATCH($B595,Effective!$A$3:$A$125,0),MATCH($D595,Effective!$E$2:$R$2,0))=0,"",INDEX(Effective!$E$3:$R$125,MATCH($B595,Effective!$A$3:$A$125,0),MATCH($D595,Effective!$E$2:$R$2,0))),"")</f>
        <v/>
      </c>
      <c r="H595" s="31" t="n"/>
      <c r="I595" s="17" t="inlineStr">
        <is>
          <t>override</t>
        </is>
      </c>
      <c r="J595" s="32" t="n">
        <v>0.9389999999999999</v>
      </c>
      <c r="K595" s="33">
        <f>IF(AND(IF($I597&lt;&gt;"",$I597,$I595)="override",$J595&lt;&gt;""),$J595,SUMIFS(Assumptions!$K$4:$K$8,Assumptions!$J$4:$J$8,$C595))*Assumptions!$S$10*(1-MIN(1,MAX(N($H595),N($H597))))</f>
        <v/>
      </c>
      <c r="L595" s="32" t="n"/>
      <c r="M595" s="34">
        <f>IF(AND(IF($I597&lt;&gt;"",$I597,$I595)="override",$L595&lt;&gt;""),$L595,SUMIFS(Assumptions!$P$4:$P$103,Assumptions!$M$4:$M$103,$C595,Assumptions!$N$4:$N$103,$E595,Assumptions!$O$4:$O$103,"LVN"))</f>
        <v/>
      </c>
      <c r="N595" s="32" t="n"/>
      <c r="O595" s="34">
        <f>IF(AND(IF($I597&lt;&gt;"",$I597,$I595)="override",$N595&lt;&gt;""),$N595,SUMIFS(Assumptions!$P$4:$P$103,Assumptions!$M$4:$M$103,$C595,Assumptions!$N$4:$N$103,$E595,Assumptions!$O$4:$O$103,"HVN"))</f>
        <v/>
      </c>
      <c r="P595" s="34">
        <f>(M595+O595)*Assumptions!$S$11</f>
        <v/>
      </c>
      <c r="Q595" s="35">
        <f>$F595*$K595*$P595</f>
        <v/>
      </c>
    </row>
    <row r="596">
      <c r="A596" s="11" t="inlineStr">
        <is>
          <t>UNIT</t>
        </is>
      </c>
      <c r="B596" s="28" t="inlineStr">
        <is>
          <t>VALERO_MERAUX</t>
        </is>
      </c>
      <c r="C596" s="28" t="n">
        <v>3</v>
      </c>
      <c r="D596" s="28" t="inlineStr">
        <is>
          <t>NHT</t>
        </is>
      </c>
      <c r="E596" s="28" t="inlineStr">
        <is>
          <t>NHT</t>
        </is>
      </c>
      <c r="F596" s="29" t="n">
        <v>40</v>
      </c>
      <c r="G596" s="30">
        <f>IFERROR(IF(INDEX(Effective!$E$3:$R$125,MATCH($B596,Effective!$A$3:$A$125,0),MATCH($D596,Effective!$E$2:$R$2,0))=0,"",INDEX(Effective!$E$3:$R$125,MATCH($B596,Effective!$A$3:$A$125,0),MATCH($D596,Effective!$E$2:$R$2,0))),"")</f>
        <v/>
      </c>
      <c r="H596" s="31" t="n"/>
      <c r="I596" s="17" t="inlineStr">
        <is>
          <t>override</t>
        </is>
      </c>
      <c r="J596" s="32" t="n">
        <v>0.719</v>
      </c>
      <c r="K596" s="33">
        <f>IF(AND(IF($I597&lt;&gt;"",$I597,$I596)="override",$J596&lt;&gt;""),$J596,SUMIFS(Assumptions!$K$4:$K$8,Assumptions!$J$4:$J$8,$C596))*Assumptions!$S$10*(1-MIN(1,MAX(N($H596),N($H597))))</f>
        <v/>
      </c>
      <c r="L596" s="32" t="n"/>
      <c r="M596" s="34">
        <f>IF(AND(IF($I597&lt;&gt;"",$I597,$I596)="override",$L596&lt;&gt;""),$L596,SUMIFS(Assumptions!$P$4:$P$103,Assumptions!$M$4:$M$103,$C596,Assumptions!$N$4:$N$103,$E596,Assumptions!$O$4:$O$103,"LVN"))</f>
        <v/>
      </c>
      <c r="N596" s="32" t="n"/>
      <c r="O596" s="34">
        <f>IF(AND(IF($I597&lt;&gt;"",$I597,$I596)="override",$N596&lt;&gt;""),$N596,SUMIFS(Assumptions!$P$4:$P$103,Assumptions!$M$4:$M$103,$C596,Assumptions!$N$4:$N$103,$E596,Assumptions!$O$4:$O$103,"HVN"))</f>
        <v/>
      </c>
      <c r="P596" s="34">
        <f>(M596+O596)*Assumptions!$S$11</f>
        <v/>
      </c>
      <c r="Q596" s="35">
        <f>$F596*$K596*$P596</f>
        <v/>
      </c>
    </row>
    <row r="597">
      <c r="A597" s="24" t="inlineStr">
        <is>
          <t>TOTAL</t>
        </is>
      </c>
      <c r="B597" s="36" t="inlineStr">
        <is>
          <t>VALERO_MERAUX</t>
        </is>
      </c>
      <c r="C597" s="36" t="n">
        <v>3</v>
      </c>
      <c r="D597" s="36" t="inlineStr">
        <is>
          <t>NET NAPHTHA</t>
        </is>
      </c>
      <c r="H597" s="31" t="n"/>
      <c r="I597" s="17" t="n"/>
      <c r="Q597" s="37">
        <f>SUM(Q592:Q596)</f>
        <v/>
      </c>
    </row>
    <row r="599" ht="20" customHeight="1">
      <c r="A599" s="8">
        <f>"  Kinder Morgan Houston  [KINDER_HOUSTON]   —   Kinder Morgan   —   PADD 3   —   crude "&amp;TEXT(SUMIFS(Data!$G$3:$G$125,Data!$A$3:$A$125,"KINDER_HOUSTON"),"#,##0")&amp;" kbd"</f>
        <v/>
      </c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</row>
    <row r="600">
      <c r="A600" s="11" t="inlineStr">
        <is>
          <t>UNIT</t>
        </is>
      </c>
      <c r="B600" s="28" t="inlineStr">
        <is>
          <t>KINDER_HOUSTON</t>
        </is>
      </c>
      <c r="C600" s="28" t="n">
        <v>3</v>
      </c>
      <c r="D600" s="28" t="inlineStr">
        <is>
          <t>CDU</t>
        </is>
      </c>
      <c r="E600" s="28" t="inlineStr">
        <is>
          <t>CDU</t>
        </is>
      </c>
      <c r="F600" s="29" t="n">
        <v>100</v>
      </c>
      <c r="G600" s="30">
        <f>IFERROR(IF(INDEX(Effective!$E$3:$R$125,MATCH($B600,Effective!$A$3:$A$125,0),MATCH($D600,Effective!$E$2:$R$2,0))=0,"",INDEX(Effective!$E$3:$R$125,MATCH($B600,Effective!$A$3:$A$125,0),MATCH($D600,Effective!$E$2:$R$2,0))),"")</f>
        <v/>
      </c>
      <c r="H600" s="31" t="n"/>
      <c r="I600" s="17" t="inlineStr">
        <is>
          <t>override</t>
        </is>
      </c>
      <c r="J600" s="32" t="n"/>
      <c r="K600" s="33">
        <f>IF(AND(IF($I601&lt;&gt;"",$I601,$I600)="override",$J600&lt;&gt;""),$J600,SUMIFS(Assumptions!$K$4:$K$8,Assumptions!$J$4:$J$8,$C600))*Assumptions!$S$10*(1-MIN(1,MAX(N($H600),N($H601))))</f>
        <v/>
      </c>
      <c r="L600" s="32" t="n"/>
      <c r="M600" s="34">
        <f>IF(AND(IF($I601&lt;&gt;"",$I601,$I600)="override",$L600&lt;&gt;""),$L600,SUMIFS(Assumptions!$P$4:$P$103,Assumptions!$M$4:$M$103,$C600,Assumptions!$N$4:$N$103,$E600,Assumptions!$O$4:$O$103,"LVN"))</f>
        <v/>
      </c>
      <c r="N600" s="32" t="n"/>
      <c r="O600" s="34">
        <f>IF(AND(IF($I601&lt;&gt;"",$I601,$I600)="override",$N600&lt;&gt;""),$N600,SUMIFS(Assumptions!$P$4:$P$103,Assumptions!$M$4:$M$103,$C600,Assumptions!$N$4:$N$103,$E600,Assumptions!$O$4:$O$103,"HVN"))</f>
        <v/>
      </c>
      <c r="P600" s="34">
        <f>(M600+O600)*Assumptions!$S$11</f>
        <v/>
      </c>
      <c r="Q600" s="35">
        <f>$F600*$K600*$P600</f>
        <v/>
      </c>
    </row>
    <row r="601">
      <c r="A601" s="24" t="inlineStr">
        <is>
          <t>TOTAL</t>
        </is>
      </c>
      <c r="B601" s="36" t="inlineStr">
        <is>
          <t>KINDER_HOUSTON</t>
        </is>
      </c>
      <c r="C601" s="36" t="n">
        <v>3</v>
      </c>
      <c r="D601" s="36" t="inlineStr">
        <is>
          <t>NET NAPHTHA</t>
        </is>
      </c>
      <c r="H601" s="31" t="n"/>
      <c r="I601" s="17" t="n"/>
      <c r="Q601" s="37">
        <f>SUM(Q600:Q600)</f>
        <v/>
      </c>
    </row>
    <row r="603" ht="20" customHeight="1">
      <c r="A603" s="8">
        <f>"  Calcasieu Refining Co. Lake Charles  [CALCASIEU_LAKE_CHARLES]   —   TransWorld Oil   —   PADD 3   —   crude "&amp;TEXT(SUMIFS(Data!$G$3:$G$125,Data!$A$3:$A$125,"CALCASIEU_LAKE_CHARLES"),"#,##0")&amp;" kbd"</f>
        <v/>
      </c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</row>
    <row r="604">
      <c r="A604" s="11" t="inlineStr">
        <is>
          <t>UNIT</t>
        </is>
      </c>
      <c r="B604" s="28" t="inlineStr">
        <is>
          <t>CALCASIEU_LAKE_CHARLES</t>
        </is>
      </c>
      <c r="C604" s="28" t="n">
        <v>3</v>
      </c>
      <c r="D604" s="28" t="inlineStr">
        <is>
          <t>CDU</t>
        </is>
      </c>
      <c r="E604" s="28" t="inlineStr">
        <is>
          <t>CDU</t>
        </is>
      </c>
      <c r="F604" s="29" t="n">
        <v>137</v>
      </c>
      <c r="G604" s="30">
        <f>IFERROR(IF(INDEX(Effective!$E$3:$R$125,MATCH($B604,Effective!$A$3:$A$125,0),MATCH($D604,Effective!$E$2:$R$2,0))=0,"",INDEX(Effective!$E$3:$R$125,MATCH($B604,Effective!$A$3:$A$125,0),MATCH($D604,Effective!$E$2:$R$2,0))),"")</f>
        <v/>
      </c>
      <c r="H604" s="31" t="n"/>
      <c r="I604" s="17" t="inlineStr">
        <is>
          <t>override</t>
        </is>
      </c>
      <c r="J604" s="32" t="n"/>
      <c r="K604" s="33">
        <f>IF(AND(IF($I606&lt;&gt;"",$I606,$I604)="override",$J604&lt;&gt;""),$J604,SUMIFS(Assumptions!$K$4:$K$8,Assumptions!$J$4:$J$8,$C604))*Assumptions!$S$10*(1-MIN(1,MAX(N($H604),N($H606))))</f>
        <v/>
      </c>
      <c r="L604" s="32" t="n"/>
      <c r="M604" s="34">
        <f>IF(AND(IF($I606&lt;&gt;"",$I606,$I604)="override",$L604&lt;&gt;""),$L604,SUMIFS(Assumptions!$P$4:$P$103,Assumptions!$M$4:$M$103,$C604,Assumptions!$N$4:$N$103,$E604,Assumptions!$O$4:$O$103,"LVN"))</f>
        <v/>
      </c>
      <c r="N604" s="32" t="n"/>
      <c r="O604" s="34">
        <f>IF(AND(IF($I606&lt;&gt;"",$I606,$I604)="override",$N604&lt;&gt;""),$N604,SUMIFS(Assumptions!$P$4:$P$103,Assumptions!$M$4:$M$103,$C604,Assumptions!$N$4:$N$103,$E604,Assumptions!$O$4:$O$103,"HVN"))</f>
        <v/>
      </c>
      <c r="P604" s="34">
        <f>(M604+O604)*Assumptions!$S$11</f>
        <v/>
      </c>
      <c r="Q604" s="35">
        <f>$F604*$K604*$P604</f>
        <v/>
      </c>
    </row>
    <row r="605">
      <c r="A605" s="11" t="inlineStr">
        <is>
          <t>UNIT</t>
        </is>
      </c>
      <c r="B605" s="28" t="inlineStr">
        <is>
          <t>CALCASIEU_LAKE_CHARLES</t>
        </is>
      </c>
      <c r="C605" s="28" t="n">
        <v>3</v>
      </c>
      <c r="D605" s="28" t="inlineStr">
        <is>
          <t>VDU</t>
        </is>
      </c>
      <c r="E605" s="28" t="inlineStr">
        <is>
          <t>VDU</t>
        </is>
      </c>
      <c r="F605" s="29" t="n">
        <v>36</v>
      </c>
      <c r="G605" s="30">
        <f>IFERROR(IF(INDEX(Effective!$E$3:$R$125,MATCH($B605,Effective!$A$3:$A$125,0),MATCH($D605,Effective!$E$2:$R$2,0))=0,"",INDEX(Effective!$E$3:$R$125,MATCH($B605,Effective!$A$3:$A$125,0),MATCH($D605,Effective!$E$2:$R$2,0))),"")</f>
        <v/>
      </c>
      <c r="H605" s="31" t="n"/>
      <c r="I605" s="17" t="inlineStr">
        <is>
          <t>override</t>
        </is>
      </c>
      <c r="J605" s="32" t="n"/>
      <c r="K605" s="33">
        <f>IF(AND(IF($I606&lt;&gt;"",$I606,$I605)="override",$J605&lt;&gt;""),$J605,SUMIFS(Assumptions!$K$4:$K$8,Assumptions!$J$4:$J$8,$C605))*Assumptions!$S$10*(1-MIN(1,MAX(N($H605),N($H606))))</f>
        <v/>
      </c>
      <c r="L605" s="32" t="n"/>
      <c r="M605" s="34">
        <f>IF(AND(IF($I606&lt;&gt;"",$I606,$I605)="override",$L605&lt;&gt;""),$L605,SUMIFS(Assumptions!$P$4:$P$103,Assumptions!$M$4:$M$103,$C605,Assumptions!$N$4:$N$103,$E605,Assumptions!$O$4:$O$103,"LVN"))</f>
        <v/>
      </c>
      <c r="N605" s="32" t="n"/>
      <c r="O605" s="34">
        <f>IF(AND(IF($I606&lt;&gt;"",$I606,$I605)="override",$N605&lt;&gt;""),$N605,SUMIFS(Assumptions!$P$4:$P$103,Assumptions!$M$4:$M$103,$C605,Assumptions!$N$4:$N$103,$E605,Assumptions!$O$4:$O$103,"HVN"))</f>
        <v/>
      </c>
      <c r="P605" s="34">
        <f>(M605+O605)*Assumptions!$S$11</f>
        <v/>
      </c>
      <c r="Q605" s="35">
        <f>$F605*$K605*$P605</f>
        <v/>
      </c>
    </row>
    <row r="606">
      <c r="A606" s="24" t="inlineStr">
        <is>
          <t>TOTAL</t>
        </is>
      </c>
      <c r="B606" s="36" t="inlineStr">
        <is>
          <t>CALCASIEU_LAKE_CHARLES</t>
        </is>
      </c>
      <c r="C606" s="36" t="n">
        <v>3</v>
      </c>
      <c r="D606" s="36" t="inlineStr">
        <is>
          <t>NET NAPHTHA</t>
        </is>
      </c>
      <c r="H606" s="31" t="n"/>
      <c r="I606" s="17" t="n"/>
      <c r="Q606" s="37">
        <f>SUM(Q604:Q605)</f>
        <v/>
      </c>
    </row>
    <row r="608" ht="20" customHeight="1">
      <c r="A608" s="8">
        <f>"  HF Sinclair Artesia  [HF_ARTESIA]   —   HF Sinclair   —   PADD 3   —   crude "&amp;TEXT(SUMIFS(Data!$G$3:$G$125,Data!$A$3:$A$125,"HF_ARTESIA"),"#,##0")&amp;" kbd"</f>
        <v/>
      </c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</row>
    <row r="609">
      <c r="A609" s="11" t="inlineStr">
        <is>
          <t>UNIT</t>
        </is>
      </c>
      <c r="B609" s="28" t="inlineStr">
        <is>
          <t>HF_ARTESIA</t>
        </is>
      </c>
      <c r="C609" s="28" t="n">
        <v>3</v>
      </c>
      <c r="D609" s="28" t="inlineStr">
        <is>
          <t>CDU</t>
        </is>
      </c>
      <c r="E609" s="28" t="inlineStr">
        <is>
          <t>CDU</t>
        </is>
      </c>
      <c r="F609" s="29" t="n">
        <v>124</v>
      </c>
      <c r="G609" s="30">
        <f>IFERROR(IF(INDEX(Effective!$E$3:$R$125,MATCH($B609,Effective!$A$3:$A$125,0),MATCH($D609,Effective!$E$2:$R$2,0))=0,"",INDEX(Effective!$E$3:$R$125,MATCH($B609,Effective!$A$3:$A$125,0),MATCH($D609,Effective!$E$2:$R$2,0))),"")</f>
        <v/>
      </c>
      <c r="H609" s="31" t="n"/>
      <c r="I609" s="17" t="inlineStr">
        <is>
          <t>override</t>
        </is>
      </c>
      <c r="J609" s="32" t="n">
        <v>0.742</v>
      </c>
      <c r="K609" s="33">
        <f>IF(AND(IF($I617&lt;&gt;"",$I617,$I609)="override",$J609&lt;&gt;""),$J609,SUMIFS(Assumptions!$K$4:$K$8,Assumptions!$J$4:$J$8,$C609))*Assumptions!$S$10*(1-MIN(1,MAX(N($H609),N($H617))))</f>
        <v/>
      </c>
      <c r="L609" s="32" t="n"/>
      <c r="M609" s="34">
        <f>IF(AND(IF($I617&lt;&gt;"",$I617,$I609)="override",$L609&lt;&gt;""),$L609,SUMIFS(Assumptions!$P$4:$P$103,Assumptions!$M$4:$M$103,$C609,Assumptions!$N$4:$N$103,$E609,Assumptions!$O$4:$O$103,"LVN"))</f>
        <v/>
      </c>
      <c r="N609" s="32" t="n"/>
      <c r="O609" s="34">
        <f>IF(AND(IF($I617&lt;&gt;"",$I617,$I609)="override",$N609&lt;&gt;""),$N609,SUMIFS(Assumptions!$P$4:$P$103,Assumptions!$M$4:$M$103,$C609,Assumptions!$N$4:$N$103,$E609,Assumptions!$O$4:$O$103,"HVN"))</f>
        <v/>
      </c>
      <c r="P609" s="34">
        <f>(M609+O609)*Assumptions!$S$11</f>
        <v/>
      </c>
      <c r="Q609" s="35">
        <f>$F609*$K609*$P609</f>
        <v/>
      </c>
    </row>
    <row r="610">
      <c r="A610" s="11" t="inlineStr">
        <is>
          <t>UNIT</t>
        </is>
      </c>
      <c r="B610" s="28" t="inlineStr">
        <is>
          <t>HF_ARTESIA</t>
        </is>
      </c>
      <c r="C610" s="28" t="n">
        <v>3</v>
      </c>
      <c r="D610" s="28" t="inlineStr">
        <is>
          <t>VDU</t>
        </is>
      </c>
      <c r="E610" s="28" t="inlineStr">
        <is>
          <t>VDU</t>
        </is>
      </c>
      <c r="F610" s="29" t="n">
        <v>34.3</v>
      </c>
      <c r="G610" s="30">
        <f>IFERROR(IF(INDEX(Effective!$E$3:$R$125,MATCH($B610,Effective!$A$3:$A$125,0),MATCH($D610,Effective!$E$2:$R$2,0))=0,"",INDEX(Effective!$E$3:$R$125,MATCH($B610,Effective!$A$3:$A$125,0),MATCH($D610,Effective!$E$2:$R$2,0))),"")</f>
        <v/>
      </c>
      <c r="H610" s="31" t="n"/>
      <c r="I610" s="17" t="inlineStr">
        <is>
          <t>override</t>
        </is>
      </c>
      <c r="J610" s="32" t="n">
        <v>0.921</v>
      </c>
      <c r="K610" s="33">
        <f>IF(AND(IF($I617&lt;&gt;"",$I617,$I610)="override",$J610&lt;&gt;""),$J610,SUMIFS(Assumptions!$K$4:$K$8,Assumptions!$J$4:$J$8,$C610))*Assumptions!$S$10*(1-MIN(1,MAX(N($H610),N($H617))))</f>
        <v/>
      </c>
      <c r="L610" s="32" t="n"/>
      <c r="M610" s="34">
        <f>IF(AND(IF($I617&lt;&gt;"",$I617,$I610)="override",$L610&lt;&gt;""),$L610,SUMIFS(Assumptions!$P$4:$P$103,Assumptions!$M$4:$M$103,$C610,Assumptions!$N$4:$N$103,$E610,Assumptions!$O$4:$O$103,"LVN"))</f>
        <v/>
      </c>
      <c r="N610" s="32" t="n"/>
      <c r="O610" s="34">
        <f>IF(AND(IF($I617&lt;&gt;"",$I617,$I610)="override",$N610&lt;&gt;""),$N610,SUMIFS(Assumptions!$P$4:$P$103,Assumptions!$M$4:$M$103,$C610,Assumptions!$N$4:$N$103,$E610,Assumptions!$O$4:$O$103,"HVN"))</f>
        <v/>
      </c>
      <c r="P610" s="34">
        <f>(M610+O610)*Assumptions!$S$11</f>
        <v/>
      </c>
      <c r="Q610" s="35">
        <f>$F610*$K610*$P610</f>
        <v/>
      </c>
    </row>
    <row r="611">
      <c r="A611" s="11" t="inlineStr">
        <is>
          <t>UNIT</t>
        </is>
      </c>
      <c r="B611" s="28" t="inlineStr">
        <is>
          <t>HF_ARTESIA</t>
        </is>
      </c>
      <c r="C611" s="28" t="n">
        <v>3</v>
      </c>
      <c r="D611" s="28" t="inlineStr">
        <is>
          <t>FCC</t>
        </is>
      </c>
      <c r="E611" s="28" t="inlineStr">
        <is>
          <t>FCC</t>
        </is>
      </c>
      <c r="F611" s="29" t="n">
        <v>30</v>
      </c>
      <c r="G611" s="30">
        <f>IFERROR(IF(INDEX(Effective!$E$3:$R$125,MATCH($B611,Effective!$A$3:$A$125,0),MATCH($D611,Effective!$E$2:$R$2,0))=0,"",INDEX(Effective!$E$3:$R$125,MATCH($B611,Effective!$A$3:$A$125,0),MATCH($D611,Effective!$E$2:$R$2,0))),"")</f>
        <v/>
      </c>
      <c r="H611" s="31" t="n"/>
      <c r="I611" s="17" t="inlineStr">
        <is>
          <t>override</t>
        </is>
      </c>
      <c r="J611" s="32" t="n">
        <v>0.912</v>
      </c>
      <c r="K611" s="33">
        <f>IF(AND(IF($I617&lt;&gt;"",$I617,$I611)="override",$J611&lt;&gt;""),$J611,SUMIFS(Assumptions!$K$4:$K$8,Assumptions!$J$4:$J$8,$C611))*Assumptions!$S$10*(1-MIN(1,MAX(N($H611),N($H617))))</f>
        <v/>
      </c>
      <c r="L611" s="32" t="n"/>
      <c r="M611" s="34">
        <f>IF(AND(IF($I617&lt;&gt;"",$I617,$I611)="override",$L611&lt;&gt;""),$L611,SUMIFS(Assumptions!$P$4:$P$103,Assumptions!$M$4:$M$103,$C611,Assumptions!$N$4:$N$103,$E611,Assumptions!$O$4:$O$103,"LVN"))</f>
        <v/>
      </c>
      <c r="N611" s="32" t="n"/>
      <c r="O611" s="34">
        <f>IF(AND(IF($I617&lt;&gt;"",$I617,$I611)="override",$N611&lt;&gt;""),$N611,SUMIFS(Assumptions!$P$4:$P$103,Assumptions!$M$4:$M$103,$C611,Assumptions!$N$4:$N$103,$E611,Assumptions!$O$4:$O$103,"HVN"))</f>
        <v/>
      </c>
      <c r="P611" s="34">
        <f>(M611+O611)*Assumptions!$S$11</f>
        <v/>
      </c>
      <c r="Q611" s="35">
        <f>$F611*$K611*$P611</f>
        <v/>
      </c>
    </row>
    <row r="612">
      <c r="A612" s="11" t="inlineStr">
        <is>
          <t>UNIT</t>
        </is>
      </c>
      <c r="B612" s="28" t="inlineStr">
        <is>
          <t>HF_ARTESIA</t>
        </is>
      </c>
      <c r="C612" s="28" t="n">
        <v>3</v>
      </c>
      <c r="D612" s="28" t="inlineStr">
        <is>
          <t>DHCU</t>
        </is>
      </c>
      <c r="E612" s="28" t="inlineStr">
        <is>
          <t>HYDROCRACKER</t>
        </is>
      </c>
      <c r="F612" s="29" t="n">
        <v>18</v>
      </c>
      <c r="G612" s="30">
        <f>IFERROR(IF(INDEX(Effective!$E$3:$R$125,MATCH($B612,Effective!$A$3:$A$125,0),MATCH($D612,Effective!$E$2:$R$2,0))=0,"",INDEX(Effective!$E$3:$R$125,MATCH($B612,Effective!$A$3:$A$125,0),MATCH($D612,Effective!$E$2:$R$2,0))),"")</f>
        <v/>
      </c>
      <c r="H612" s="31" t="n"/>
      <c r="I612" s="17" t="inlineStr">
        <is>
          <t>override</t>
        </is>
      </c>
      <c r="J612" s="32" t="n">
        <v>0.971</v>
      </c>
      <c r="K612" s="33">
        <f>IF(AND(IF($I617&lt;&gt;"",$I617,$I612)="override",$J612&lt;&gt;""),$J612,SUMIFS(Assumptions!$K$4:$K$8,Assumptions!$J$4:$J$8,$C612))*Assumptions!$S$10*(1-MIN(1,MAX(N($H612),N($H617))))</f>
        <v/>
      </c>
      <c r="L612" s="32" t="n"/>
      <c r="M612" s="34">
        <f>IF(AND(IF($I617&lt;&gt;"",$I617,$I612)="override",$L612&lt;&gt;""),$L612,SUMIFS(Assumptions!$P$4:$P$103,Assumptions!$M$4:$M$103,$C612,Assumptions!$N$4:$N$103,$E612,Assumptions!$O$4:$O$103,"LVN"))</f>
        <v/>
      </c>
      <c r="N612" s="32" t="n"/>
      <c r="O612" s="34">
        <f>IF(AND(IF($I617&lt;&gt;"",$I617,$I612)="override",$N612&lt;&gt;""),$N612,SUMIFS(Assumptions!$P$4:$P$103,Assumptions!$M$4:$M$103,$C612,Assumptions!$N$4:$N$103,$E612,Assumptions!$O$4:$O$103,"HVN"))</f>
        <v/>
      </c>
      <c r="P612" s="34">
        <f>(M612+O612)*Assumptions!$S$11</f>
        <v/>
      </c>
      <c r="Q612" s="35">
        <f>$F612*$K612*$P612</f>
        <v/>
      </c>
    </row>
    <row r="613">
      <c r="A613" s="11" t="inlineStr">
        <is>
          <t>UNIT</t>
        </is>
      </c>
      <c r="B613" s="28" t="inlineStr">
        <is>
          <t>HF_ARTESIA</t>
        </is>
      </c>
      <c r="C613" s="28" t="n">
        <v>3</v>
      </c>
      <c r="D613" s="28" t="inlineStr">
        <is>
          <t>CCR</t>
        </is>
      </c>
      <c r="E613" s="28" t="inlineStr">
        <is>
          <t>REFORMER</t>
        </is>
      </c>
      <c r="F613" s="29" t="n">
        <v>24</v>
      </c>
      <c r="G613" s="30">
        <f>IFERROR(IF(INDEX(Effective!$E$3:$R$125,MATCH($B613,Effective!$A$3:$A$125,0),MATCH($D613,Effective!$E$2:$R$2,0))=0,"",INDEX(Effective!$E$3:$R$125,MATCH($B613,Effective!$A$3:$A$125,0),MATCH($D613,Effective!$E$2:$R$2,0))),"")</f>
        <v/>
      </c>
      <c r="H613" s="31" t="n"/>
      <c r="I613" s="17" t="inlineStr">
        <is>
          <t>override</t>
        </is>
      </c>
      <c r="J613" s="32" t="n">
        <v>0.979</v>
      </c>
      <c r="K613" s="33">
        <f>IF(AND(IF($I617&lt;&gt;"",$I617,$I613)="override",$J613&lt;&gt;""),$J613,SUMIFS(Assumptions!$K$4:$K$8,Assumptions!$J$4:$J$8,$C613))*Assumptions!$S$10*(1-MIN(1,MAX(N($H613),N($H617))))</f>
        <v/>
      </c>
      <c r="L613" s="32" t="n"/>
      <c r="M613" s="34">
        <f>IF(AND(IF($I617&lt;&gt;"",$I617,$I613)="override",$L613&lt;&gt;""),$L613,SUMIFS(Assumptions!$P$4:$P$103,Assumptions!$M$4:$M$103,$C613,Assumptions!$N$4:$N$103,$E613,Assumptions!$O$4:$O$103,"LVN"))</f>
        <v/>
      </c>
      <c r="N613" s="32" t="n"/>
      <c r="O613" s="34">
        <f>IF(AND(IF($I617&lt;&gt;"",$I617,$I613)="override",$N613&lt;&gt;""),$N613,SUMIFS(Assumptions!$P$4:$P$103,Assumptions!$M$4:$M$103,$C613,Assumptions!$N$4:$N$103,$E613,Assumptions!$O$4:$O$103,"HVN"))</f>
        <v/>
      </c>
      <c r="P613" s="34">
        <f>(M613+O613)*Assumptions!$S$11</f>
        <v/>
      </c>
      <c r="Q613" s="35">
        <f>$F613*$K613*$P613</f>
        <v/>
      </c>
    </row>
    <row r="614">
      <c r="A614" s="11" t="inlineStr">
        <is>
          <t>UNIT</t>
        </is>
      </c>
      <c r="B614" s="28" t="inlineStr">
        <is>
          <t>HF_ARTESIA</t>
        </is>
      </c>
      <c r="C614" s="28" t="n">
        <v>3</v>
      </c>
      <c r="D614" s="28" t="inlineStr">
        <is>
          <t>ISOM</t>
        </is>
      </c>
      <c r="E614" s="28" t="inlineStr">
        <is>
          <t>ISOM</t>
        </is>
      </c>
      <c r="F614" s="29" t="n">
        <v>9.539999999999999</v>
      </c>
      <c r="G614" s="30">
        <f>IFERROR(IF(INDEX(Effective!$E$3:$R$125,MATCH($B614,Effective!$A$3:$A$125,0),MATCH($D614,Effective!$E$2:$R$2,0))=0,"",INDEX(Effective!$E$3:$R$125,MATCH($B614,Effective!$A$3:$A$125,0),MATCH($D614,Effective!$E$2:$R$2,0))),"")</f>
        <v/>
      </c>
      <c r="H614" s="31" t="n"/>
      <c r="I614" s="17" t="inlineStr">
        <is>
          <t>override</t>
        </is>
      </c>
      <c r="J614" s="32" t="n">
        <v>0.657</v>
      </c>
      <c r="K614" s="33">
        <f>IF(AND(IF($I617&lt;&gt;"",$I617,$I614)="override",$J614&lt;&gt;""),$J614,SUMIFS(Assumptions!$K$4:$K$8,Assumptions!$J$4:$J$8,$C614))*Assumptions!$S$10*(1-MIN(1,MAX(N($H614),N($H617))))</f>
        <v/>
      </c>
      <c r="L614" s="32" t="n"/>
      <c r="M614" s="34">
        <f>IF(AND(IF($I617&lt;&gt;"",$I617,$I614)="override",$L614&lt;&gt;""),$L614,SUMIFS(Assumptions!$P$4:$P$103,Assumptions!$M$4:$M$103,$C614,Assumptions!$N$4:$N$103,$E614,Assumptions!$O$4:$O$103,"LVN"))</f>
        <v/>
      </c>
      <c r="N614" s="32" t="n"/>
      <c r="O614" s="34">
        <f>IF(AND(IF($I617&lt;&gt;"",$I617,$I614)="override",$N614&lt;&gt;""),$N614,SUMIFS(Assumptions!$P$4:$P$103,Assumptions!$M$4:$M$103,$C614,Assumptions!$N$4:$N$103,$E614,Assumptions!$O$4:$O$103,"HVN"))</f>
        <v/>
      </c>
      <c r="P614" s="34">
        <f>(M614+O614)*Assumptions!$S$11</f>
        <v/>
      </c>
      <c r="Q614" s="35">
        <f>$F614*$K614*$P614</f>
        <v/>
      </c>
    </row>
    <row r="615">
      <c r="A615" s="11" t="inlineStr">
        <is>
          <t>UNIT</t>
        </is>
      </c>
      <c r="B615" s="28" t="inlineStr">
        <is>
          <t>HF_ARTESIA</t>
        </is>
      </c>
      <c r="C615" s="28" t="n">
        <v>3</v>
      </c>
      <c r="D615" s="28" t="inlineStr">
        <is>
          <t>ALKY</t>
        </is>
      </c>
      <c r="E615" s="28" t="inlineStr">
        <is>
          <t>ALKY</t>
        </is>
      </c>
      <c r="F615" s="29" t="n">
        <v>9.5</v>
      </c>
      <c r="G615" s="30">
        <f>IFERROR(IF(INDEX(Effective!$E$3:$R$125,MATCH($B615,Effective!$A$3:$A$125,0),MATCH($D615,Effective!$E$2:$R$2,0))=0,"",INDEX(Effective!$E$3:$R$125,MATCH($B615,Effective!$A$3:$A$125,0),MATCH($D615,Effective!$E$2:$R$2,0))),"")</f>
        <v/>
      </c>
      <c r="H615" s="31" t="n"/>
      <c r="I615" s="17" t="inlineStr">
        <is>
          <t>override</t>
        </is>
      </c>
      <c r="J615" s="32" t="n">
        <v>0.762</v>
      </c>
      <c r="K615" s="33">
        <f>IF(AND(IF($I617&lt;&gt;"",$I617,$I615)="override",$J615&lt;&gt;""),$J615,SUMIFS(Assumptions!$K$4:$K$8,Assumptions!$J$4:$J$8,$C615))*Assumptions!$S$10*(1-MIN(1,MAX(N($H615),N($H617))))</f>
        <v/>
      </c>
      <c r="L615" s="32" t="n"/>
      <c r="M615" s="34">
        <f>IF(AND(IF($I617&lt;&gt;"",$I617,$I615)="override",$L615&lt;&gt;""),$L615,SUMIFS(Assumptions!$P$4:$P$103,Assumptions!$M$4:$M$103,$C615,Assumptions!$N$4:$N$103,$E615,Assumptions!$O$4:$O$103,"LVN"))</f>
        <v/>
      </c>
      <c r="N615" s="32" t="n"/>
      <c r="O615" s="34">
        <f>IF(AND(IF($I617&lt;&gt;"",$I617,$I615)="override",$N615&lt;&gt;""),$N615,SUMIFS(Assumptions!$P$4:$P$103,Assumptions!$M$4:$M$103,$C615,Assumptions!$N$4:$N$103,$E615,Assumptions!$O$4:$O$103,"HVN"))</f>
        <v/>
      </c>
      <c r="P615" s="34">
        <f>(M615+O615)*Assumptions!$S$11</f>
        <v/>
      </c>
      <c r="Q615" s="35">
        <f>$F615*$K615*$P615</f>
        <v/>
      </c>
    </row>
    <row r="616">
      <c r="A616" s="11" t="inlineStr">
        <is>
          <t>UNIT</t>
        </is>
      </c>
      <c r="B616" s="28" t="inlineStr">
        <is>
          <t>HF_ARTESIA</t>
        </is>
      </c>
      <c r="C616" s="28" t="n">
        <v>3</v>
      </c>
      <c r="D616" s="28" t="inlineStr">
        <is>
          <t>NHT</t>
        </is>
      </c>
      <c r="E616" s="28" t="inlineStr">
        <is>
          <t>NHT</t>
        </is>
      </c>
      <c r="F616" s="29" t="n">
        <v>42</v>
      </c>
      <c r="G616" s="30">
        <f>IFERROR(IF(INDEX(Effective!$E$3:$R$125,MATCH($B616,Effective!$A$3:$A$125,0),MATCH($D616,Effective!$E$2:$R$2,0))=0,"",INDEX(Effective!$E$3:$R$125,MATCH($B616,Effective!$A$3:$A$125,0),MATCH($D616,Effective!$E$2:$R$2,0))),"")</f>
        <v/>
      </c>
      <c r="H616" s="31" t="n"/>
      <c r="I616" s="17" t="inlineStr">
        <is>
          <t>override</t>
        </is>
      </c>
      <c r="J616" s="32" t="n">
        <v>0.882</v>
      </c>
      <c r="K616" s="33">
        <f>IF(AND(IF($I617&lt;&gt;"",$I617,$I616)="override",$J616&lt;&gt;""),$J616,SUMIFS(Assumptions!$K$4:$K$8,Assumptions!$J$4:$J$8,$C616))*Assumptions!$S$10*(1-MIN(1,MAX(N($H616),N($H617))))</f>
        <v/>
      </c>
      <c r="L616" s="32" t="n"/>
      <c r="M616" s="34">
        <f>IF(AND(IF($I617&lt;&gt;"",$I617,$I616)="override",$L616&lt;&gt;""),$L616,SUMIFS(Assumptions!$P$4:$P$103,Assumptions!$M$4:$M$103,$C616,Assumptions!$N$4:$N$103,$E616,Assumptions!$O$4:$O$103,"LVN"))</f>
        <v/>
      </c>
      <c r="N616" s="32" t="n"/>
      <c r="O616" s="34">
        <f>IF(AND(IF($I617&lt;&gt;"",$I617,$I616)="override",$N616&lt;&gt;""),$N616,SUMIFS(Assumptions!$P$4:$P$103,Assumptions!$M$4:$M$103,$C616,Assumptions!$N$4:$N$103,$E616,Assumptions!$O$4:$O$103,"HVN"))</f>
        <v/>
      </c>
      <c r="P616" s="34">
        <f>(M616+O616)*Assumptions!$S$11</f>
        <v/>
      </c>
      <c r="Q616" s="35">
        <f>$F616*$K616*$P616</f>
        <v/>
      </c>
    </row>
    <row r="617">
      <c r="A617" s="24" t="inlineStr">
        <is>
          <t>TOTAL</t>
        </is>
      </c>
      <c r="B617" s="36" t="inlineStr">
        <is>
          <t>HF_ARTESIA</t>
        </is>
      </c>
      <c r="C617" s="36" t="n">
        <v>3</v>
      </c>
      <c r="D617" s="36" t="inlineStr">
        <is>
          <t>NET NAPHTHA</t>
        </is>
      </c>
      <c r="H617" s="31" t="n"/>
      <c r="I617" s="17" t="n"/>
      <c r="Q617" s="37">
        <f>SUM(Q609:Q616)</f>
        <v/>
      </c>
    </row>
    <row r="619" ht="20" customHeight="1">
      <c r="A619" s="8">
        <f>"  Valero Three Rivers  [VALERO_THREE_RIVERS]   —   Valero   —   PADD 3   —   crude "&amp;TEXT(SUMIFS(Data!$G$3:$G$125,Data!$A$3:$A$125,"VALERO_THREE_RIVERS"),"#,##0")&amp;" kbd"</f>
        <v/>
      </c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</row>
    <row r="620">
      <c r="A620" s="11" t="inlineStr">
        <is>
          <t>UNIT</t>
        </is>
      </c>
      <c r="B620" s="28" t="inlineStr">
        <is>
          <t>VALERO_THREE_RIVERS</t>
        </is>
      </c>
      <c r="C620" s="28" t="n">
        <v>3</v>
      </c>
      <c r="D620" s="28" t="inlineStr">
        <is>
          <t>CDU</t>
        </is>
      </c>
      <c r="E620" s="28" t="inlineStr">
        <is>
          <t>CDU</t>
        </is>
      </c>
      <c r="F620" s="29" t="n">
        <v>91</v>
      </c>
      <c r="G620" s="30">
        <f>IFERROR(IF(INDEX(Effective!$E$3:$R$125,MATCH($B620,Effective!$A$3:$A$125,0),MATCH($D620,Effective!$E$2:$R$2,0))=0,"",INDEX(Effective!$E$3:$R$125,MATCH($B620,Effective!$A$3:$A$125,0),MATCH($D620,Effective!$E$2:$R$2,0))),"")</f>
        <v/>
      </c>
      <c r="H620" s="31" t="n"/>
      <c r="I620" s="17" t="inlineStr">
        <is>
          <t>override</t>
        </is>
      </c>
      <c r="J620" s="32" t="n">
        <v>0.954</v>
      </c>
      <c r="K620" s="33">
        <f>IF(AND(IF($I628&lt;&gt;"",$I628,$I620)="override",$J620&lt;&gt;""),$J620,SUMIFS(Assumptions!$K$4:$K$8,Assumptions!$J$4:$J$8,$C620))*Assumptions!$S$10*(1-MIN(1,MAX(N($H620),N($H628))))</f>
        <v/>
      </c>
      <c r="L620" s="32" t="n"/>
      <c r="M620" s="34">
        <f>IF(AND(IF($I628&lt;&gt;"",$I628,$I620)="override",$L620&lt;&gt;""),$L620,SUMIFS(Assumptions!$P$4:$P$103,Assumptions!$M$4:$M$103,$C620,Assumptions!$N$4:$N$103,$E620,Assumptions!$O$4:$O$103,"LVN"))</f>
        <v/>
      </c>
      <c r="N620" s="32" t="n"/>
      <c r="O620" s="34">
        <f>IF(AND(IF($I628&lt;&gt;"",$I628,$I620)="override",$N620&lt;&gt;""),$N620,SUMIFS(Assumptions!$P$4:$P$103,Assumptions!$M$4:$M$103,$C620,Assumptions!$N$4:$N$103,$E620,Assumptions!$O$4:$O$103,"HVN"))</f>
        <v/>
      </c>
      <c r="P620" s="34">
        <f>(M620+O620)*Assumptions!$S$11</f>
        <v/>
      </c>
      <c r="Q620" s="35">
        <f>$F620*$K620*$P620</f>
        <v/>
      </c>
    </row>
    <row r="621">
      <c r="A621" s="11" t="inlineStr">
        <is>
          <t>UNIT</t>
        </is>
      </c>
      <c r="B621" s="28" t="inlineStr">
        <is>
          <t>VALERO_THREE_RIVERS</t>
        </is>
      </c>
      <c r="C621" s="28" t="n">
        <v>3</v>
      </c>
      <c r="D621" s="28" t="inlineStr">
        <is>
          <t>VDU</t>
        </is>
      </c>
      <c r="E621" s="28" t="inlineStr">
        <is>
          <t>VDU</t>
        </is>
      </c>
      <c r="F621" s="29" t="n">
        <v>33.5</v>
      </c>
      <c r="G621" s="30">
        <f>IFERROR(IF(INDEX(Effective!$E$3:$R$125,MATCH($B621,Effective!$A$3:$A$125,0),MATCH($D621,Effective!$E$2:$R$2,0))=0,"",INDEX(Effective!$E$3:$R$125,MATCH($B621,Effective!$A$3:$A$125,0),MATCH($D621,Effective!$E$2:$R$2,0))),"")</f>
        <v/>
      </c>
      <c r="H621" s="31" t="n"/>
      <c r="I621" s="17" t="inlineStr">
        <is>
          <t>override</t>
        </is>
      </c>
      <c r="J621" s="32" t="n">
        <v>0.8179999999999999</v>
      </c>
      <c r="K621" s="33">
        <f>IF(AND(IF($I628&lt;&gt;"",$I628,$I621)="override",$J621&lt;&gt;""),$J621,SUMIFS(Assumptions!$K$4:$K$8,Assumptions!$J$4:$J$8,$C621))*Assumptions!$S$10*(1-MIN(1,MAX(N($H621),N($H628))))</f>
        <v/>
      </c>
      <c r="L621" s="32" t="n"/>
      <c r="M621" s="34">
        <f>IF(AND(IF($I628&lt;&gt;"",$I628,$I621)="override",$L621&lt;&gt;""),$L621,SUMIFS(Assumptions!$P$4:$P$103,Assumptions!$M$4:$M$103,$C621,Assumptions!$N$4:$N$103,$E621,Assumptions!$O$4:$O$103,"LVN"))</f>
        <v/>
      </c>
      <c r="N621" s="32" t="n"/>
      <c r="O621" s="34">
        <f>IF(AND(IF($I628&lt;&gt;"",$I628,$I621)="override",$N621&lt;&gt;""),$N621,SUMIFS(Assumptions!$P$4:$P$103,Assumptions!$M$4:$M$103,$C621,Assumptions!$N$4:$N$103,$E621,Assumptions!$O$4:$O$103,"HVN"))</f>
        <v/>
      </c>
      <c r="P621" s="34">
        <f>(M621+O621)*Assumptions!$S$11</f>
        <v/>
      </c>
      <c r="Q621" s="35">
        <f>$F621*$K621*$P621</f>
        <v/>
      </c>
    </row>
    <row r="622">
      <c r="A622" s="11" t="inlineStr">
        <is>
          <t>UNIT</t>
        </is>
      </c>
      <c r="B622" s="28" t="inlineStr">
        <is>
          <t>VALERO_THREE_RIVERS</t>
        </is>
      </c>
      <c r="C622" s="28" t="n">
        <v>3</v>
      </c>
      <c r="D622" s="28" t="inlineStr">
        <is>
          <t>FCC</t>
        </is>
      </c>
      <c r="E622" s="28" t="inlineStr">
        <is>
          <t>FCC</t>
        </is>
      </c>
      <c r="F622" s="29" t="n">
        <v>23.84</v>
      </c>
      <c r="G622" s="30">
        <f>IFERROR(IF(INDEX(Effective!$E$3:$R$125,MATCH($B622,Effective!$A$3:$A$125,0),MATCH($D622,Effective!$E$2:$R$2,0))=0,"",INDEX(Effective!$E$3:$R$125,MATCH($B622,Effective!$A$3:$A$125,0),MATCH($D622,Effective!$E$2:$R$2,0))),"")</f>
        <v/>
      </c>
      <c r="H622" s="31" t="n"/>
      <c r="I622" s="17" t="inlineStr">
        <is>
          <t>override</t>
        </is>
      </c>
      <c r="J622" s="32" t="n">
        <v>0.832</v>
      </c>
      <c r="K622" s="33">
        <f>IF(AND(IF($I628&lt;&gt;"",$I628,$I622)="override",$J622&lt;&gt;""),$J622,SUMIFS(Assumptions!$K$4:$K$8,Assumptions!$J$4:$J$8,$C622))*Assumptions!$S$10*(1-MIN(1,MAX(N($H622),N($H628))))</f>
        <v/>
      </c>
      <c r="L622" s="32" t="n"/>
      <c r="M622" s="34">
        <f>IF(AND(IF($I628&lt;&gt;"",$I628,$I622)="override",$L622&lt;&gt;""),$L622,SUMIFS(Assumptions!$P$4:$P$103,Assumptions!$M$4:$M$103,$C622,Assumptions!$N$4:$N$103,$E622,Assumptions!$O$4:$O$103,"LVN"))</f>
        <v/>
      </c>
      <c r="N622" s="32" t="n"/>
      <c r="O622" s="34">
        <f>IF(AND(IF($I628&lt;&gt;"",$I628,$I622)="override",$N622&lt;&gt;""),$N622,SUMIFS(Assumptions!$P$4:$P$103,Assumptions!$M$4:$M$103,$C622,Assumptions!$N$4:$N$103,$E622,Assumptions!$O$4:$O$103,"HVN"))</f>
        <v/>
      </c>
      <c r="P622" s="34">
        <f>(M622+O622)*Assumptions!$S$11</f>
        <v/>
      </c>
      <c r="Q622" s="35">
        <f>$F622*$K622*$P622</f>
        <v/>
      </c>
    </row>
    <row r="623">
      <c r="A623" s="11" t="inlineStr">
        <is>
          <t>UNIT</t>
        </is>
      </c>
      <c r="B623" s="28" t="inlineStr">
        <is>
          <t>VALERO_THREE_RIVERS</t>
        </is>
      </c>
      <c r="C623" s="28" t="n">
        <v>3</v>
      </c>
      <c r="D623" s="28" t="inlineStr">
        <is>
          <t>DHCU</t>
        </is>
      </c>
      <c r="E623" s="28" t="inlineStr">
        <is>
          <t>HYDROCRACKER</t>
        </is>
      </c>
      <c r="F623" s="29" t="n">
        <v>28</v>
      </c>
      <c r="G623" s="30">
        <f>IFERROR(IF(INDEX(Effective!$E$3:$R$125,MATCH($B623,Effective!$A$3:$A$125,0),MATCH($D623,Effective!$E$2:$R$2,0))=0,"",INDEX(Effective!$E$3:$R$125,MATCH($B623,Effective!$A$3:$A$125,0),MATCH($D623,Effective!$E$2:$R$2,0))),"")</f>
        <v/>
      </c>
      <c r="H623" s="31" t="n"/>
      <c r="I623" s="17" t="inlineStr">
        <is>
          <t>override</t>
        </is>
      </c>
      <c r="J623" s="32" t="n">
        <v>0.293</v>
      </c>
      <c r="K623" s="33">
        <f>IF(AND(IF($I628&lt;&gt;"",$I628,$I623)="override",$J623&lt;&gt;""),$J623,SUMIFS(Assumptions!$K$4:$K$8,Assumptions!$J$4:$J$8,$C623))*Assumptions!$S$10*(1-MIN(1,MAX(N($H623),N($H628))))</f>
        <v/>
      </c>
      <c r="L623" s="32" t="n"/>
      <c r="M623" s="34">
        <f>IF(AND(IF($I628&lt;&gt;"",$I628,$I623)="override",$L623&lt;&gt;""),$L623,SUMIFS(Assumptions!$P$4:$P$103,Assumptions!$M$4:$M$103,$C623,Assumptions!$N$4:$N$103,$E623,Assumptions!$O$4:$O$103,"LVN"))</f>
        <v/>
      </c>
      <c r="N623" s="32" t="n"/>
      <c r="O623" s="34">
        <f>IF(AND(IF($I628&lt;&gt;"",$I628,$I623)="override",$N623&lt;&gt;""),$N623,SUMIFS(Assumptions!$P$4:$P$103,Assumptions!$M$4:$M$103,$C623,Assumptions!$N$4:$N$103,$E623,Assumptions!$O$4:$O$103,"HVN"))</f>
        <v/>
      </c>
      <c r="P623" s="34">
        <f>(M623+O623)*Assumptions!$S$11</f>
        <v/>
      </c>
      <c r="Q623" s="35">
        <f>$F623*$K623*$P623</f>
        <v/>
      </c>
    </row>
    <row r="624">
      <c r="A624" s="11" t="inlineStr">
        <is>
          <t>UNIT</t>
        </is>
      </c>
      <c r="B624" s="28" t="inlineStr">
        <is>
          <t>VALERO_THREE_RIVERS</t>
        </is>
      </c>
      <c r="C624" s="28" t="n">
        <v>3</v>
      </c>
      <c r="D624" s="28" t="inlineStr">
        <is>
          <t>CCR</t>
        </is>
      </c>
      <c r="E624" s="28" t="inlineStr">
        <is>
          <t>REFORMER</t>
        </is>
      </c>
      <c r="F624" s="29" t="n">
        <v>23.5</v>
      </c>
      <c r="G624" s="30">
        <f>IFERROR(IF(INDEX(Effective!$E$3:$R$125,MATCH($B624,Effective!$A$3:$A$125,0),MATCH($D624,Effective!$E$2:$R$2,0))=0,"",INDEX(Effective!$E$3:$R$125,MATCH($B624,Effective!$A$3:$A$125,0),MATCH($D624,Effective!$E$2:$R$2,0))),"")</f>
        <v/>
      </c>
      <c r="H624" s="31" t="n"/>
      <c r="I624" s="17" t="inlineStr">
        <is>
          <t>override</t>
        </is>
      </c>
      <c r="J624" s="32" t="n">
        <v>0.901</v>
      </c>
      <c r="K624" s="33">
        <f>IF(AND(IF($I628&lt;&gt;"",$I628,$I624)="override",$J624&lt;&gt;""),$J624,SUMIFS(Assumptions!$K$4:$K$8,Assumptions!$J$4:$J$8,$C624))*Assumptions!$S$10*(1-MIN(1,MAX(N($H624),N($H628))))</f>
        <v/>
      </c>
      <c r="L624" s="32" t="n"/>
      <c r="M624" s="34">
        <f>IF(AND(IF($I628&lt;&gt;"",$I628,$I624)="override",$L624&lt;&gt;""),$L624,SUMIFS(Assumptions!$P$4:$P$103,Assumptions!$M$4:$M$103,$C624,Assumptions!$N$4:$N$103,$E624,Assumptions!$O$4:$O$103,"LVN"))</f>
        <v/>
      </c>
      <c r="N624" s="32" t="n"/>
      <c r="O624" s="34">
        <f>IF(AND(IF($I628&lt;&gt;"",$I628,$I624)="override",$N624&lt;&gt;""),$N624,SUMIFS(Assumptions!$P$4:$P$103,Assumptions!$M$4:$M$103,$C624,Assumptions!$N$4:$N$103,$E624,Assumptions!$O$4:$O$103,"HVN"))</f>
        <v/>
      </c>
      <c r="P624" s="34">
        <f>(M624+O624)*Assumptions!$S$11</f>
        <v/>
      </c>
      <c r="Q624" s="35">
        <f>$F624*$K624*$P624</f>
        <v/>
      </c>
    </row>
    <row r="625">
      <c r="A625" s="11" t="inlineStr">
        <is>
          <t>UNIT</t>
        </is>
      </c>
      <c r="B625" s="28" t="inlineStr">
        <is>
          <t>VALERO_THREE_RIVERS</t>
        </is>
      </c>
      <c r="C625" s="28" t="n">
        <v>3</v>
      </c>
      <c r="D625" s="28" t="inlineStr">
        <is>
          <t>REF</t>
        </is>
      </c>
      <c r="E625" s="28" t="inlineStr">
        <is>
          <t>REFORMER</t>
        </is>
      </c>
      <c r="F625" s="29" t="n">
        <v>10</v>
      </c>
      <c r="G625" s="30">
        <f>IFERROR(IF(INDEX(Effective!$E$3:$R$125,MATCH($B625,Effective!$A$3:$A$125,0),MATCH($D625,Effective!$E$2:$R$2,0))=0,"",INDEX(Effective!$E$3:$R$125,MATCH($B625,Effective!$A$3:$A$125,0),MATCH($D625,Effective!$E$2:$R$2,0))),"")</f>
        <v/>
      </c>
      <c r="H625" s="31" t="n"/>
      <c r="I625" s="17" t="inlineStr">
        <is>
          <t>override</t>
        </is>
      </c>
      <c r="J625" s="32" t="n">
        <v>0.769</v>
      </c>
      <c r="K625" s="33">
        <f>IF(AND(IF($I628&lt;&gt;"",$I628,$I625)="override",$J625&lt;&gt;""),$J625,SUMIFS(Assumptions!$K$4:$K$8,Assumptions!$J$4:$J$8,$C625))*Assumptions!$S$10*(1-MIN(1,MAX(N($H625),N($H628))))</f>
        <v/>
      </c>
      <c r="L625" s="32" t="n"/>
      <c r="M625" s="34">
        <f>IF(AND(IF($I628&lt;&gt;"",$I628,$I625)="override",$L625&lt;&gt;""),$L625,SUMIFS(Assumptions!$P$4:$P$103,Assumptions!$M$4:$M$103,$C625,Assumptions!$N$4:$N$103,$E625,Assumptions!$O$4:$O$103,"LVN"))</f>
        <v/>
      </c>
      <c r="N625" s="32" t="n"/>
      <c r="O625" s="34">
        <f>IF(AND(IF($I628&lt;&gt;"",$I628,$I625)="override",$N625&lt;&gt;""),$N625,SUMIFS(Assumptions!$P$4:$P$103,Assumptions!$M$4:$M$103,$C625,Assumptions!$N$4:$N$103,$E625,Assumptions!$O$4:$O$103,"HVN"))</f>
        <v/>
      </c>
      <c r="P625" s="34">
        <f>(M625+O625)*Assumptions!$S$11</f>
        <v/>
      </c>
      <c r="Q625" s="35">
        <f>$F625*$K625*$P625</f>
        <v/>
      </c>
    </row>
    <row r="626">
      <c r="A626" s="11" t="inlineStr">
        <is>
          <t>UNIT</t>
        </is>
      </c>
      <c r="B626" s="28" t="inlineStr">
        <is>
          <t>VALERO_THREE_RIVERS</t>
        </is>
      </c>
      <c r="C626" s="28" t="n">
        <v>3</v>
      </c>
      <c r="D626" s="28" t="inlineStr">
        <is>
          <t>ALKY</t>
        </is>
      </c>
      <c r="E626" s="28" t="inlineStr">
        <is>
          <t>ALKY</t>
        </is>
      </c>
      <c r="F626" s="29" t="n">
        <v>7</v>
      </c>
      <c r="G626" s="30">
        <f>IFERROR(IF(INDEX(Effective!$E$3:$R$125,MATCH($B626,Effective!$A$3:$A$125,0),MATCH($D626,Effective!$E$2:$R$2,0))=0,"",INDEX(Effective!$E$3:$R$125,MATCH($B626,Effective!$A$3:$A$125,0),MATCH($D626,Effective!$E$2:$R$2,0))),"")</f>
        <v/>
      </c>
      <c r="H626" s="31" t="n"/>
      <c r="I626" s="17" t="inlineStr">
        <is>
          <t>override</t>
        </is>
      </c>
      <c r="J626" s="32" t="n">
        <v>1.1</v>
      </c>
      <c r="K626" s="33">
        <f>IF(AND(IF($I628&lt;&gt;"",$I628,$I626)="override",$J626&lt;&gt;""),$J626,SUMIFS(Assumptions!$K$4:$K$8,Assumptions!$J$4:$J$8,$C626))*Assumptions!$S$10*(1-MIN(1,MAX(N($H626),N($H628))))</f>
        <v/>
      </c>
      <c r="L626" s="32" t="n"/>
      <c r="M626" s="34">
        <f>IF(AND(IF($I628&lt;&gt;"",$I628,$I626)="override",$L626&lt;&gt;""),$L626,SUMIFS(Assumptions!$P$4:$P$103,Assumptions!$M$4:$M$103,$C626,Assumptions!$N$4:$N$103,$E626,Assumptions!$O$4:$O$103,"LVN"))</f>
        <v/>
      </c>
      <c r="N626" s="32" t="n"/>
      <c r="O626" s="34">
        <f>IF(AND(IF($I628&lt;&gt;"",$I628,$I626)="override",$N626&lt;&gt;""),$N626,SUMIFS(Assumptions!$P$4:$P$103,Assumptions!$M$4:$M$103,$C626,Assumptions!$N$4:$N$103,$E626,Assumptions!$O$4:$O$103,"HVN"))</f>
        <v/>
      </c>
      <c r="P626" s="34">
        <f>(M626+O626)*Assumptions!$S$11</f>
        <v/>
      </c>
      <c r="Q626" s="35">
        <f>$F626*$K626*$P626</f>
        <v/>
      </c>
    </row>
    <row r="627">
      <c r="A627" s="11" t="inlineStr">
        <is>
          <t>UNIT</t>
        </is>
      </c>
      <c r="B627" s="28" t="inlineStr">
        <is>
          <t>VALERO_THREE_RIVERS</t>
        </is>
      </c>
      <c r="C627" s="28" t="n">
        <v>3</v>
      </c>
      <c r="D627" s="28" t="inlineStr">
        <is>
          <t>NHT</t>
        </is>
      </c>
      <c r="E627" s="28" t="inlineStr">
        <is>
          <t>NHT</t>
        </is>
      </c>
      <c r="F627" s="29" t="n">
        <v>35</v>
      </c>
      <c r="G627" s="30">
        <f>IFERROR(IF(INDEX(Effective!$E$3:$R$125,MATCH($B627,Effective!$A$3:$A$125,0),MATCH($D627,Effective!$E$2:$R$2,0))=0,"",INDEX(Effective!$E$3:$R$125,MATCH($B627,Effective!$A$3:$A$125,0),MATCH($D627,Effective!$E$2:$R$2,0))),"")</f>
        <v/>
      </c>
      <c r="H627" s="31" t="n"/>
      <c r="I627" s="17" t="inlineStr">
        <is>
          <t>override</t>
        </is>
      </c>
      <c r="J627" s="32" t="n">
        <v>0.97</v>
      </c>
      <c r="K627" s="33">
        <f>IF(AND(IF($I628&lt;&gt;"",$I628,$I627)="override",$J627&lt;&gt;""),$J627,SUMIFS(Assumptions!$K$4:$K$8,Assumptions!$J$4:$J$8,$C627))*Assumptions!$S$10*(1-MIN(1,MAX(N($H627),N($H628))))</f>
        <v/>
      </c>
      <c r="L627" s="32" t="n"/>
      <c r="M627" s="34">
        <f>IF(AND(IF($I628&lt;&gt;"",$I628,$I627)="override",$L627&lt;&gt;""),$L627,SUMIFS(Assumptions!$P$4:$P$103,Assumptions!$M$4:$M$103,$C627,Assumptions!$N$4:$N$103,$E627,Assumptions!$O$4:$O$103,"LVN"))</f>
        <v/>
      </c>
      <c r="N627" s="32" t="n"/>
      <c r="O627" s="34">
        <f>IF(AND(IF($I628&lt;&gt;"",$I628,$I627)="override",$N627&lt;&gt;""),$N627,SUMIFS(Assumptions!$P$4:$P$103,Assumptions!$M$4:$M$103,$C627,Assumptions!$N$4:$N$103,$E627,Assumptions!$O$4:$O$103,"HVN"))</f>
        <v/>
      </c>
      <c r="P627" s="34">
        <f>(M627+O627)*Assumptions!$S$11</f>
        <v/>
      </c>
      <c r="Q627" s="35">
        <f>$F627*$K627*$P627</f>
        <v/>
      </c>
    </row>
    <row r="628">
      <c r="A628" s="24" t="inlineStr">
        <is>
          <t>TOTAL</t>
        </is>
      </c>
      <c r="B628" s="36" t="inlineStr">
        <is>
          <t>VALERO_THREE_RIVERS</t>
        </is>
      </c>
      <c r="C628" s="36" t="n">
        <v>3</v>
      </c>
      <c r="D628" s="36" t="inlineStr">
        <is>
          <t>NET NAPHTHA</t>
        </is>
      </c>
      <c r="H628" s="31" t="n"/>
      <c r="I628" s="17" t="n"/>
      <c r="Q628" s="37">
        <f>SUM(Q620:Q627)</f>
        <v/>
      </c>
    </row>
    <row r="630" ht="20" customHeight="1">
      <c r="A630" s="8">
        <f>"  Vertex Energy Inc. Mobile  [VERTEX_MOBILE]   —   Vertex Energy Inc.   —   PADD 3   —   crude "&amp;TEXT(SUMIFS(Data!$G$3:$G$125,Data!$A$3:$A$125,"VERTEX_MOBILE"),"#,##0")&amp;" kbd"</f>
        <v/>
      </c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</row>
    <row r="631">
      <c r="A631" s="11" t="inlineStr">
        <is>
          <t>UNIT</t>
        </is>
      </c>
      <c r="B631" s="28" t="inlineStr">
        <is>
          <t>VERTEX_MOBILE</t>
        </is>
      </c>
      <c r="C631" s="28" t="n">
        <v>3</v>
      </c>
      <c r="D631" s="28" t="inlineStr">
        <is>
          <t>CDU</t>
        </is>
      </c>
      <c r="E631" s="28" t="inlineStr">
        <is>
          <t>CDU</t>
        </is>
      </c>
      <c r="F631" s="29" t="n">
        <v>90.59999999999999</v>
      </c>
      <c r="G631" s="30">
        <f>IFERROR(IF(INDEX(Effective!$E$3:$R$125,MATCH($B631,Effective!$A$3:$A$125,0),MATCH($D631,Effective!$E$2:$R$2,0))=0,"",INDEX(Effective!$E$3:$R$125,MATCH($B631,Effective!$A$3:$A$125,0),MATCH($D631,Effective!$E$2:$R$2,0))),"")</f>
        <v/>
      </c>
      <c r="H631" s="31" t="n"/>
      <c r="I631" s="17" t="inlineStr">
        <is>
          <t>override</t>
        </is>
      </c>
      <c r="J631" s="32" t="n">
        <v>0.672</v>
      </c>
      <c r="K631" s="33">
        <f>IF(AND(IF($I636&lt;&gt;"",$I636,$I631)="override",$J631&lt;&gt;""),$J631,SUMIFS(Assumptions!$K$4:$K$8,Assumptions!$J$4:$J$8,$C631))*Assumptions!$S$10*(1-MIN(1,MAX(N($H631),N($H636))))</f>
        <v/>
      </c>
      <c r="L631" s="32" t="n"/>
      <c r="M631" s="34">
        <f>IF(AND(IF($I636&lt;&gt;"",$I636,$I631)="override",$L631&lt;&gt;""),$L631,SUMIFS(Assumptions!$P$4:$P$103,Assumptions!$M$4:$M$103,$C631,Assumptions!$N$4:$N$103,$E631,Assumptions!$O$4:$O$103,"LVN"))</f>
        <v/>
      </c>
      <c r="N631" s="32" t="n"/>
      <c r="O631" s="34">
        <f>IF(AND(IF($I636&lt;&gt;"",$I636,$I631)="override",$N631&lt;&gt;""),$N631,SUMIFS(Assumptions!$P$4:$P$103,Assumptions!$M$4:$M$103,$C631,Assumptions!$N$4:$N$103,$E631,Assumptions!$O$4:$O$103,"HVN"))</f>
        <v/>
      </c>
      <c r="P631" s="34">
        <f>(M631+O631)*Assumptions!$S$11</f>
        <v/>
      </c>
      <c r="Q631" s="35">
        <f>$F631*$K631*$P631</f>
        <v/>
      </c>
    </row>
    <row r="632">
      <c r="A632" s="11" t="inlineStr">
        <is>
          <t>UNIT</t>
        </is>
      </c>
      <c r="B632" s="28" t="inlineStr">
        <is>
          <t>VERTEX_MOBILE</t>
        </is>
      </c>
      <c r="C632" s="28" t="n">
        <v>3</v>
      </c>
      <c r="D632" s="28" t="inlineStr">
        <is>
          <t>VDU</t>
        </is>
      </c>
      <c r="E632" s="28" t="inlineStr">
        <is>
          <t>VDU</t>
        </is>
      </c>
      <c r="F632" s="29" t="n">
        <v>29</v>
      </c>
      <c r="G632" s="30">
        <f>IFERROR(IF(INDEX(Effective!$E$3:$R$125,MATCH($B632,Effective!$A$3:$A$125,0),MATCH($D632,Effective!$E$2:$R$2,0))=0,"",INDEX(Effective!$E$3:$R$125,MATCH($B632,Effective!$A$3:$A$125,0),MATCH($D632,Effective!$E$2:$R$2,0))),"")</f>
        <v/>
      </c>
      <c r="H632" s="31" t="n"/>
      <c r="I632" s="17" t="inlineStr">
        <is>
          <t>override</t>
        </is>
      </c>
      <c r="J632" s="32" t="n">
        <v>0.626</v>
      </c>
      <c r="K632" s="33">
        <f>IF(AND(IF($I636&lt;&gt;"",$I636,$I632)="override",$J632&lt;&gt;""),$J632,SUMIFS(Assumptions!$K$4:$K$8,Assumptions!$J$4:$J$8,$C632))*Assumptions!$S$10*(1-MIN(1,MAX(N($H632),N($H636))))</f>
        <v/>
      </c>
      <c r="L632" s="32" t="n"/>
      <c r="M632" s="34">
        <f>IF(AND(IF($I636&lt;&gt;"",$I636,$I632)="override",$L632&lt;&gt;""),$L632,SUMIFS(Assumptions!$P$4:$P$103,Assumptions!$M$4:$M$103,$C632,Assumptions!$N$4:$N$103,$E632,Assumptions!$O$4:$O$103,"LVN"))</f>
        <v/>
      </c>
      <c r="N632" s="32" t="n"/>
      <c r="O632" s="34">
        <f>IF(AND(IF($I636&lt;&gt;"",$I636,$I632)="override",$N632&lt;&gt;""),$N632,SUMIFS(Assumptions!$P$4:$P$103,Assumptions!$M$4:$M$103,$C632,Assumptions!$N$4:$N$103,$E632,Assumptions!$O$4:$O$103,"HVN"))</f>
        <v/>
      </c>
      <c r="P632" s="34">
        <f>(M632+O632)*Assumptions!$S$11</f>
        <v/>
      </c>
      <c r="Q632" s="35">
        <f>$F632*$K632*$P632</f>
        <v/>
      </c>
    </row>
    <row r="633">
      <c r="A633" s="11" t="inlineStr">
        <is>
          <t>UNIT</t>
        </is>
      </c>
      <c r="B633" s="28" t="inlineStr">
        <is>
          <t>VERTEX_MOBILE</t>
        </is>
      </c>
      <c r="C633" s="28" t="n">
        <v>3</v>
      </c>
      <c r="D633" s="28" t="inlineStr">
        <is>
          <t>REF</t>
        </is>
      </c>
      <c r="E633" s="28" t="inlineStr">
        <is>
          <t>REFORMER</t>
        </is>
      </c>
      <c r="F633" s="29" t="n">
        <v>22</v>
      </c>
      <c r="G633" s="30">
        <f>IFERROR(IF(INDEX(Effective!$E$3:$R$125,MATCH($B633,Effective!$A$3:$A$125,0),MATCH($D633,Effective!$E$2:$R$2,0))=0,"",INDEX(Effective!$E$3:$R$125,MATCH($B633,Effective!$A$3:$A$125,0),MATCH($D633,Effective!$E$2:$R$2,0))),"")</f>
        <v/>
      </c>
      <c r="H633" s="31" t="n"/>
      <c r="I633" s="17" t="inlineStr">
        <is>
          <t>override</t>
        </is>
      </c>
      <c r="J633" s="32" t="n">
        <v>0.655</v>
      </c>
      <c r="K633" s="33">
        <f>IF(AND(IF($I636&lt;&gt;"",$I636,$I633)="override",$J633&lt;&gt;""),$J633,SUMIFS(Assumptions!$K$4:$K$8,Assumptions!$J$4:$J$8,$C633))*Assumptions!$S$10*(1-MIN(1,MAX(N($H633),N($H636))))</f>
        <v/>
      </c>
      <c r="L633" s="32" t="n"/>
      <c r="M633" s="34">
        <f>IF(AND(IF($I636&lt;&gt;"",$I636,$I633)="override",$L633&lt;&gt;""),$L633,SUMIFS(Assumptions!$P$4:$P$103,Assumptions!$M$4:$M$103,$C633,Assumptions!$N$4:$N$103,$E633,Assumptions!$O$4:$O$103,"LVN"))</f>
        <v/>
      </c>
      <c r="N633" s="32" t="n"/>
      <c r="O633" s="34">
        <f>IF(AND(IF($I636&lt;&gt;"",$I636,$I633)="override",$N633&lt;&gt;""),$N633,SUMIFS(Assumptions!$P$4:$P$103,Assumptions!$M$4:$M$103,$C633,Assumptions!$N$4:$N$103,$E633,Assumptions!$O$4:$O$103,"HVN"))</f>
        <v/>
      </c>
      <c r="P633" s="34">
        <f>(M633+O633)*Assumptions!$S$11</f>
        <v/>
      </c>
      <c r="Q633" s="35">
        <f>$F633*$K633*$P633</f>
        <v/>
      </c>
    </row>
    <row r="634">
      <c r="A634" s="11" t="inlineStr">
        <is>
          <t>UNIT</t>
        </is>
      </c>
      <c r="B634" s="28" t="inlineStr">
        <is>
          <t>VERTEX_MOBILE</t>
        </is>
      </c>
      <c r="C634" s="28" t="n">
        <v>3</v>
      </c>
      <c r="D634" s="28" t="inlineStr">
        <is>
          <t>ISOM</t>
        </is>
      </c>
      <c r="E634" s="28" t="inlineStr">
        <is>
          <t>ISOM</t>
        </is>
      </c>
      <c r="F634" s="29" t="n">
        <v>2</v>
      </c>
      <c r="G634" s="30">
        <f>IFERROR(IF(INDEX(Effective!$E$3:$R$125,MATCH($B634,Effective!$A$3:$A$125,0),MATCH($D634,Effective!$E$2:$R$2,0))=0,"",INDEX(Effective!$E$3:$R$125,MATCH($B634,Effective!$A$3:$A$125,0),MATCH($D634,Effective!$E$2:$R$2,0))),"")</f>
        <v/>
      </c>
      <c r="H634" s="31" t="n"/>
      <c r="I634" s="17" t="inlineStr">
        <is>
          <t>override</t>
        </is>
      </c>
      <c r="J634" s="32" t="n">
        <v>0.95</v>
      </c>
      <c r="K634" s="33">
        <f>IF(AND(IF($I636&lt;&gt;"",$I636,$I634)="override",$J634&lt;&gt;""),$J634,SUMIFS(Assumptions!$K$4:$K$8,Assumptions!$J$4:$J$8,$C634))*Assumptions!$S$10*(1-MIN(1,MAX(N($H634),N($H636))))</f>
        <v/>
      </c>
      <c r="L634" s="32" t="n"/>
      <c r="M634" s="34">
        <f>IF(AND(IF($I636&lt;&gt;"",$I636,$I634)="override",$L634&lt;&gt;""),$L634,SUMIFS(Assumptions!$P$4:$P$103,Assumptions!$M$4:$M$103,$C634,Assumptions!$N$4:$N$103,$E634,Assumptions!$O$4:$O$103,"LVN"))</f>
        <v/>
      </c>
      <c r="N634" s="32" t="n"/>
      <c r="O634" s="34">
        <f>IF(AND(IF($I636&lt;&gt;"",$I636,$I634)="override",$N634&lt;&gt;""),$N634,SUMIFS(Assumptions!$P$4:$P$103,Assumptions!$M$4:$M$103,$C634,Assumptions!$N$4:$N$103,$E634,Assumptions!$O$4:$O$103,"HVN"))</f>
        <v/>
      </c>
      <c r="P634" s="34">
        <f>(M634+O634)*Assumptions!$S$11</f>
        <v/>
      </c>
      <c r="Q634" s="35">
        <f>$F634*$K634*$P634</f>
        <v/>
      </c>
    </row>
    <row r="635">
      <c r="A635" s="11" t="inlineStr">
        <is>
          <t>UNIT</t>
        </is>
      </c>
      <c r="B635" s="28" t="inlineStr">
        <is>
          <t>VERTEX_MOBILE</t>
        </is>
      </c>
      <c r="C635" s="28" t="n">
        <v>3</v>
      </c>
      <c r="D635" s="28" t="inlineStr">
        <is>
          <t>NHT</t>
        </is>
      </c>
      <c r="E635" s="28" t="inlineStr">
        <is>
          <t>NHT</t>
        </is>
      </c>
      <c r="F635" s="29" t="n">
        <v>28</v>
      </c>
      <c r="G635" s="30">
        <f>IFERROR(IF(INDEX(Effective!$E$3:$R$125,MATCH($B635,Effective!$A$3:$A$125,0),MATCH($D635,Effective!$E$2:$R$2,0))=0,"",INDEX(Effective!$E$3:$R$125,MATCH($B635,Effective!$A$3:$A$125,0),MATCH($D635,Effective!$E$2:$R$2,0))),"")</f>
        <v/>
      </c>
      <c r="H635" s="31" t="n"/>
      <c r="I635" s="17" t="inlineStr">
        <is>
          <t>override</t>
        </is>
      </c>
      <c r="J635" s="32" t="n">
        <v>0.68</v>
      </c>
      <c r="K635" s="33">
        <f>IF(AND(IF($I636&lt;&gt;"",$I636,$I635)="override",$J635&lt;&gt;""),$J635,SUMIFS(Assumptions!$K$4:$K$8,Assumptions!$J$4:$J$8,$C635))*Assumptions!$S$10*(1-MIN(1,MAX(N($H635),N($H636))))</f>
        <v/>
      </c>
      <c r="L635" s="32" t="n"/>
      <c r="M635" s="34">
        <f>IF(AND(IF($I636&lt;&gt;"",$I636,$I635)="override",$L635&lt;&gt;""),$L635,SUMIFS(Assumptions!$P$4:$P$103,Assumptions!$M$4:$M$103,$C635,Assumptions!$N$4:$N$103,$E635,Assumptions!$O$4:$O$103,"LVN"))</f>
        <v/>
      </c>
      <c r="N635" s="32" t="n"/>
      <c r="O635" s="34">
        <f>IF(AND(IF($I636&lt;&gt;"",$I636,$I635)="override",$N635&lt;&gt;""),$N635,SUMIFS(Assumptions!$P$4:$P$103,Assumptions!$M$4:$M$103,$C635,Assumptions!$N$4:$N$103,$E635,Assumptions!$O$4:$O$103,"HVN"))</f>
        <v/>
      </c>
      <c r="P635" s="34">
        <f>(M635+O635)*Assumptions!$S$11</f>
        <v/>
      </c>
      <c r="Q635" s="35">
        <f>$F635*$K635*$P635</f>
        <v/>
      </c>
    </row>
    <row r="636">
      <c r="A636" s="24" t="inlineStr">
        <is>
          <t>TOTAL</t>
        </is>
      </c>
      <c r="B636" s="36" t="inlineStr">
        <is>
          <t>VERTEX_MOBILE</t>
        </is>
      </c>
      <c r="C636" s="36" t="n">
        <v>3</v>
      </c>
      <c r="D636" s="36" t="inlineStr">
        <is>
          <t>NET NAPHTHA</t>
        </is>
      </c>
      <c r="H636" s="31" t="n"/>
      <c r="I636" s="17" t="n"/>
      <c r="Q636" s="37">
        <f>SUM(Q631:Q635)</f>
        <v/>
      </c>
    </row>
    <row r="638" ht="20" customHeight="1">
      <c r="A638" s="8">
        <f>"  Delek Group El Dorado (AR)  [DELEK_EL_DORADO_AR]   —   Delek Group   —   PADD 3   —   crude "&amp;TEXT(SUMIFS(Data!$G$3:$G$125,Data!$A$3:$A$125,"DELEK_EL_DORADO_AR"),"#,##0")&amp;" kbd"</f>
        <v/>
      </c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</row>
    <row r="639">
      <c r="A639" s="11" t="inlineStr">
        <is>
          <t>UNIT</t>
        </is>
      </c>
      <c r="B639" s="28" t="inlineStr">
        <is>
          <t>DELEK_EL_DORADO_AR</t>
        </is>
      </c>
      <c r="C639" s="28" t="n">
        <v>3</v>
      </c>
      <c r="D639" s="28" t="inlineStr">
        <is>
          <t>CDU</t>
        </is>
      </c>
      <c r="E639" s="28" t="inlineStr">
        <is>
          <t>CDU</t>
        </is>
      </c>
      <c r="F639" s="29" t="n">
        <v>85</v>
      </c>
      <c r="G639" s="30">
        <f>IFERROR(IF(INDEX(Effective!$E$3:$R$125,MATCH($B639,Effective!$A$3:$A$125,0),MATCH($D639,Effective!$E$2:$R$2,0))=0,"",INDEX(Effective!$E$3:$R$125,MATCH($B639,Effective!$A$3:$A$125,0),MATCH($D639,Effective!$E$2:$R$2,0))),"")</f>
        <v/>
      </c>
      <c r="H639" s="31" t="n"/>
      <c r="I639" s="17" t="inlineStr">
        <is>
          <t>override</t>
        </is>
      </c>
      <c r="J639" s="32" t="n">
        <v>0.918</v>
      </c>
      <c r="K639" s="33">
        <f>IF(AND(IF($I646&lt;&gt;"",$I646,$I639)="override",$J639&lt;&gt;""),$J639,SUMIFS(Assumptions!$K$4:$K$8,Assumptions!$J$4:$J$8,$C639))*Assumptions!$S$10*(1-MIN(1,MAX(N($H639),N($H646))))</f>
        <v/>
      </c>
      <c r="L639" s="32" t="n"/>
      <c r="M639" s="34">
        <f>IF(AND(IF($I646&lt;&gt;"",$I646,$I639)="override",$L639&lt;&gt;""),$L639,SUMIFS(Assumptions!$P$4:$P$103,Assumptions!$M$4:$M$103,$C639,Assumptions!$N$4:$N$103,$E639,Assumptions!$O$4:$O$103,"LVN"))</f>
        <v/>
      </c>
      <c r="N639" s="32" t="n"/>
      <c r="O639" s="34">
        <f>IF(AND(IF($I646&lt;&gt;"",$I646,$I639)="override",$N639&lt;&gt;""),$N639,SUMIFS(Assumptions!$P$4:$P$103,Assumptions!$M$4:$M$103,$C639,Assumptions!$N$4:$N$103,$E639,Assumptions!$O$4:$O$103,"HVN"))</f>
        <v/>
      </c>
      <c r="P639" s="34">
        <f>(M639+O639)*Assumptions!$S$11</f>
        <v/>
      </c>
      <c r="Q639" s="35">
        <f>$F639*$K639*$P639</f>
        <v/>
      </c>
    </row>
    <row r="640">
      <c r="A640" s="11" t="inlineStr">
        <is>
          <t>UNIT</t>
        </is>
      </c>
      <c r="B640" s="28" t="inlineStr">
        <is>
          <t>DELEK_EL_DORADO_AR</t>
        </is>
      </c>
      <c r="C640" s="28" t="n">
        <v>3</v>
      </c>
      <c r="D640" s="28" t="inlineStr">
        <is>
          <t>VDU</t>
        </is>
      </c>
      <c r="E640" s="28" t="inlineStr">
        <is>
          <t>VDU</t>
        </is>
      </c>
      <c r="F640" s="29" t="n">
        <v>45</v>
      </c>
      <c r="G640" s="30">
        <f>IFERROR(IF(INDEX(Effective!$E$3:$R$125,MATCH($B640,Effective!$A$3:$A$125,0),MATCH($D640,Effective!$E$2:$R$2,0))=0,"",INDEX(Effective!$E$3:$R$125,MATCH($B640,Effective!$A$3:$A$125,0),MATCH($D640,Effective!$E$2:$R$2,0))),"")</f>
        <v/>
      </c>
      <c r="H640" s="31" t="n"/>
      <c r="I640" s="17" t="inlineStr">
        <is>
          <t>override</t>
        </is>
      </c>
      <c r="J640" s="32" t="n">
        <v>0.571</v>
      </c>
      <c r="K640" s="33">
        <f>IF(AND(IF($I646&lt;&gt;"",$I646,$I640)="override",$J640&lt;&gt;""),$J640,SUMIFS(Assumptions!$K$4:$K$8,Assumptions!$J$4:$J$8,$C640))*Assumptions!$S$10*(1-MIN(1,MAX(N($H640),N($H646))))</f>
        <v/>
      </c>
      <c r="L640" s="32" t="n"/>
      <c r="M640" s="34">
        <f>IF(AND(IF($I646&lt;&gt;"",$I646,$I640)="override",$L640&lt;&gt;""),$L640,SUMIFS(Assumptions!$P$4:$P$103,Assumptions!$M$4:$M$103,$C640,Assumptions!$N$4:$N$103,$E640,Assumptions!$O$4:$O$103,"LVN"))</f>
        <v/>
      </c>
      <c r="N640" s="32" t="n"/>
      <c r="O640" s="34">
        <f>IF(AND(IF($I646&lt;&gt;"",$I646,$I640)="override",$N640&lt;&gt;""),$N640,SUMIFS(Assumptions!$P$4:$P$103,Assumptions!$M$4:$M$103,$C640,Assumptions!$N$4:$N$103,$E640,Assumptions!$O$4:$O$103,"HVN"))</f>
        <v/>
      </c>
      <c r="P640" s="34">
        <f>(M640+O640)*Assumptions!$S$11</f>
        <v/>
      </c>
      <c r="Q640" s="35">
        <f>$F640*$K640*$P640</f>
        <v/>
      </c>
    </row>
    <row r="641">
      <c r="A641" s="11" t="inlineStr">
        <is>
          <t>UNIT</t>
        </is>
      </c>
      <c r="B641" s="28" t="inlineStr">
        <is>
          <t>DELEK_EL_DORADO_AR</t>
        </is>
      </c>
      <c r="C641" s="28" t="n">
        <v>3</v>
      </c>
      <c r="D641" s="28" t="inlineStr">
        <is>
          <t>FCC</t>
        </is>
      </c>
      <c r="E641" s="28" t="inlineStr">
        <is>
          <t>FCC</t>
        </is>
      </c>
      <c r="F641" s="29" t="n">
        <v>21</v>
      </c>
      <c r="G641" s="30">
        <f>IFERROR(IF(INDEX(Effective!$E$3:$R$125,MATCH($B641,Effective!$A$3:$A$125,0),MATCH($D641,Effective!$E$2:$R$2,0))=0,"",INDEX(Effective!$E$3:$R$125,MATCH($B641,Effective!$A$3:$A$125,0),MATCH($D641,Effective!$E$2:$R$2,0))),"")</f>
        <v/>
      </c>
      <c r="H641" s="31" t="n"/>
      <c r="I641" s="17" t="inlineStr">
        <is>
          <t>override</t>
        </is>
      </c>
      <c r="J641" s="32" t="n">
        <v>0.794</v>
      </c>
      <c r="K641" s="33">
        <f>IF(AND(IF($I646&lt;&gt;"",$I646,$I641)="override",$J641&lt;&gt;""),$J641,SUMIFS(Assumptions!$K$4:$K$8,Assumptions!$J$4:$J$8,$C641))*Assumptions!$S$10*(1-MIN(1,MAX(N($H641),N($H646))))</f>
        <v/>
      </c>
      <c r="L641" s="32" t="n"/>
      <c r="M641" s="34">
        <f>IF(AND(IF($I646&lt;&gt;"",$I646,$I641)="override",$L641&lt;&gt;""),$L641,SUMIFS(Assumptions!$P$4:$P$103,Assumptions!$M$4:$M$103,$C641,Assumptions!$N$4:$N$103,$E641,Assumptions!$O$4:$O$103,"LVN"))</f>
        <v/>
      </c>
      <c r="N641" s="32" t="n"/>
      <c r="O641" s="34">
        <f>IF(AND(IF($I646&lt;&gt;"",$I646,$I641)="override",$N641&lt;&gt;""),$N641,SUMIFS(Assumptions!$P$4:$P$103,Assumptions!$M$4:$M$103,$C641,Assumptions!$N$4:$N$103,$E641,Assumptions!$O$4:$O$103,"HVN"))</f>
        <v/>
      </c>
      <c r="P641" s="34">
        <f>(M641+O641)*Assumptions!$S$11</f>
        <v/>
      </c>
      <c r="Q641" s="35">
        <f>$F641*$K641*$P641</f>
        <v/>
      </c>
    </row>
    <row r="642">
      <c r="A642" s="11" t="inlineStr">
        <is>
          <t>UNIT</t>
        </is>
      </c>
      <c r="B642" s="28" t="inlineStr">
        <is>
          <t>DELEK_EL_DORADO_AR</t>
        </is>
      </c>
      <c r="C642" s="28" t="n">
        <v>3</v>
      </c>
      <c r="D642" s="28" t="inlineStr">
        <is>
          <t>CCR</t>
        </is>
      </c>
      <c r="E642" s="28" t="inlineStr">
        <is>
          <t>REFORMER</t>
        </is>
      </c>
      <c r="F642" s="29" t="n">
        <v>15.3</v>
      </c>
      <c r="G642" s="30">
        <f>IFERROR(IF(INDEX(Effective!$E$3:$R$125,MATCH($B642,Effective!$A$3:$A$125,0),MATCH($D642,Effective!$E$2:$R$2,0))=0,"",INDEX(Effective!$E$3:$R$125,MATCH($B642,Effective!$A$3:$A$125,0),MATCH($D642,Effective!$E$2:$R$2,0))),"")</f>
        <v/>
      </c>
      <c r="H642" s="31" t="n"/>
      <c r="I642" s="17" t="inlineStr">
        <is>
          <t>override</t>
        </is>
      </c>
      <c r="J642" s="32" t="n">
        <v>0.98</v>
      </c>
      <c r="K642" s="33">
        <f>IF(AND(IF($I646&lt;&gt;"",$I646,$I642)="override",$J642&lt;&gt;""),$J642,SUMIFS(Assumptions!$K$4:$K$8,Assumptions!$J$4:$J$8,$C642))*Assumptions!$S$10*(1-MIN(1,MAX(N($H642),N($H646))))</f>
        <v/>
      </c>
      <c r="L642" s="32" t="n"/>
      <c r="M642" s="34">
        <f>IF(AND(IF($I646&lt;&gt;"",$I646,$I642)="override",$L642&lt;&gt;""),$L642,SUMIFS(Assumptions!$P$4:$P$103,Assumptions!$M$4:$M$103,$C642,Assumptions!$N$4:$N$103,$E642,Assumptions!$O$4:$O$103,"LVN"))</f>
        <v/>
      </c>
      <c r="N642" s="32" t="n"/>
      <c r="O642" s="34">
        <f>IF(AND(IF($I646&lt;&gt;"",$I646,$I642)="override",$N642&lt;&gt;""),$N642,SUMIFS(Assumptions!$P$4:$P$103,Assumptions!$M$4:$M$103,$C642,Assumptions!$N$4:$N$103,$E642,Assumptions!$O$4:$O$103,"HVN"))</f>
        <v/>
      </c>
      <c r="P642" s="34">
        <f>(M642+O642)*Assumptions!$S$11</f>
        <v/>
      </c>
      <c r="Q642" s="35">
        <f>$F642*$K642*$P642</f>
        <v/>
      </c>
    </row>
    <row r="643">
      <c r="A643" s="11" t="inlineStr">
        <is>
          <t>UNIT</t>
        </is>
      </c>
      <c r="B643" s="28" t="inlineStr">
        <is>
          <t>DELEK_EL_DORADO_AR</t>
        </is>
      </c>
      <c r="C643" s="28" t="n">
        <v>3</v>
      </c>
      <c r="D643" s="28" t="inlineStr">
        <is>
          <t>ISOM</t>
        </is>
      </c>
      <c r="E643" s="28" t="inlineStr">
        <is>
          <t>ISOM</t>
        </is>
      </c>
      <c r="F643" s="29" t="n">
        <v>7.5</v>
      </c>
      <c r="G643" s="30">
        <f>IFERROR(IF(INDEX(Effective!$E$3:$R$125,MATCH($B643,Effective!$A$3:$A$125,0),MATCH($D643,Effective!$E$2:$R$2,0))=0,"",INDEX(Effective!$E$3:$R$125,MATCH($B643,Effective!$A$3:$A$125,0),MATCH($D643,Effective!$E$2:$R$2,0))),"")</f>
        <v/>
      </c>
      <c r="H643" s="31" t="n"/>
      <c r="I643" s="17" t="inlineStr">
        <is>
          <t>override</t>
        </is>
      </c>
      <c r="J643" s="32" t="n">
        <v>0.868</v>
      </c>
      <c r="K643" s="33">
        <f>IF(AND(IF($I646&lt;&gt;"",$I646,$I643)="override",$J643&lt;&gt;""),$J643,SUMIFS(Assumptions!$K$4:$K$8,Assumptions!$J$4:$J$8,$C643))*Assumptions!$S$10*(1-MIN(1,MAX(N($H643),N($H646))))</f>
        <v/>
      </c>
      <c r="L643" s="32" t="n"/>
      <c r="M643" s="34">
        <f>IF(AND(IF($I646&lt;&gt;"",$I646,$I643)="override",$L643&lt;&gt;""),$L643,SUMIFS(Assumptions!$P$4:$P$103,Assumptions!$M$4:$M$103,$C643,Assumptions!$N$4:$N$103,$E643,Assumptions!$O$4:$O$103,"LVN"))</f>
        <v/>
      </c>
      <c r="N643" s="32" t="n"/>
      <c r="O643" s="34">
        <f>IF(AND(IF($I646&lt;&gt;"",$I646,$I643)="override",$N643&lt;&gt;""),$N643,SUMIFS(Assumptions!$P$4:$P$103,Assumptions!$M$4:$M$103,$C643,Assumptions!$N$4:$N$103,$E643,Assumptions!$O$4:$O$103,"HVN"))</f>
        <v/>
      </c>
      <c r="P643" s="34">
        <f>(M643+O643)*Assumptions!$S$11</f>
        <v/>
      </c>
      <c r="Q643" s="35">
        <f>$F643*$K643*$P643</f>
        <v/>
      </c>
    </row>
    <row r="644">
      <c r="A644" s="11" t="inlineStr">
        <is>
          <t>UNIT</t>
        </is>
      </c>
      <c r="B644" s="28" t="inlineStr">
        <is>
          <t>DELEK_EL_DORADO_AR</t>
        </is>
      </c>
      <c r="C644" s="28" t="n">
        <v>3</v>
      </c>
      <c r="D644" s="28" t="inlineStr">
        <is>
          <t>ALKY</t>
        </is>
      </c>
      <c r="E644" s="28" t="inlineStr">
        <is>
          <t>ALKY</t>
        </is>
      </c>
      <c r="F644" s="29" t="n">
        <v>5</v>
      </c>
      <c r="G644" s="30">
        <f>IFERROR(IF(INDEX(Effective!$E$3:$R$125,MATCH($B644,Effective!$A$3:$A$125,0),MATCH($D644,Effective!$E$2:$R$2,0))=0,"",INDEX(Effective!$E$3:$R$125,MATCH($B644,Effective!$A$3:$A$125,0),MATCH($D644,Effective!$E$2:$R$2,0))),"")</f>
        <v/>
      </c>
      <c r="H644" s="31" t="n"/>
      <c r="I644" s="17" t="inlineStr">
        <is>
          <t>override</t>
        </is>
      </c>
      <c r="J644" s="32" t="n">
        <v>0.521</v>
      </c>
      <c r="K644" s="33">
        <f>IF(AND(IF($I646&lt;&gt;"",$I646,$I644)="override",$J644&lt;&gt;""),$J644,SUMIFS(Assumptions!$K$4:$K$8,Assumptions!$J$4:$J$8,$C644))*Assumptions!$S$10*(1-MIN(1,MAX(N($H644),N($H646))))</f>
        <v/>
      </c>
      <c r="L644" s="32" t="n"/>
      <c r="M644" s="34">
        <f>IF(AND(IF($I646&lt;&gt;"",$I646,$I644)="override",$L644&lt;&gt;""),$L644,SUMIFS(Assumptions!$P$4:$P$103,Assumptions!$M$4:$M$103,$C644,Assumptions!$N$4:$N$103,$E644,Assumptions!$O$4:$O$103,"LVN"))</f>
        <v/>
      </c>
      <c r="N644" s="32" t="n"/>
      <c r="O644" s="34">
        <f>IF(AND(IF($I646&lt;&gt;"",$I646,$I644)="override",$N644&lt;&gt;""),$N644,SUMIFS(Assumptions!$P$4:$P$103,Assumptions!$M$4:$M$103,$C644,Assumptions!$N$4:$N$103,$E644,Assumptions!$O$4:$O$103,"HVN"))</f>
        <v/>
      </c>
      <c r="P644" s="34">
        <f>(M644+O644)*Assumptions!$S$11</f>
        <v/>
      </c>
      <c r="Q644" s="35">
        <f>$F644*$K644*$P644</f>
        <v/>
      </c>
    </row>
    <row r="645">
      <c r="A645" s="11" t="inlineStr">
        <is>
          <t>UNIT</t>
        </is>
      </c>
      <c r="B645" s="28" t="inlineStr">
        <is>
          <t>DELEK_EL_DORADO_AR</t>
        </is>
      </c>
      <c r="C645" s="28" t="n">
        <v>3</v>
      </c>
      <c r="D645" s="28" t="inlineStr">
        <is>
          <t>NHT</t>
        </is>
      </c>
      <c r="E645" s="28" t="inlineStr">
        <is>
          <t>NHT</t>
        </is>
      </c>
      <c r="F645" s="29" t="n">
        <v>20</v>
      </c>
      <c r="G645" s="30">
        <f>IFERROR(IF(INDEX(Effective!$E$3:$R$125,MATCH($B645,Effective!$A$3:$A$125,0),MATCH($D645,Effective!$E$2:$R$2,0))=0,"",INDEX(Effective!$E$3:$R$125,MATCH($B645,Effective!$A$3:$A$125,0),MATCH($D645,Effective!$E$2:$R$2,0))),"")</f>
        <v/>
      </c>
      <c r="H645" s="31" t="n"/>
      <c r="I645" s="17" t="inlineStr">
        <is>
          <t>override</t>
        </is>
      </c>
      <c r="J645" s="32" t="n">
        <v>0.945</v>
      </c>
      <c r="K645" s="33">
        <f>IF(AND(IF($I646&lt;&gt;"",$I646,$I645)="override",$J645&lt;&gt;""),$J645,SUMIFS(Assumptions!$K$4:$K$8,Assumptions!$J$4:$J$8,$C645))*Assumptions!$S$10*(1-MIN(1,MAX(N($H645),N($H646))))</f>
        <v/>
      </c>
      <c r="L645" s="32" t="n"/>
      <c r="M645" s="34">
        <f>IF(AND(IF($I646&lt;&gt;"",$I646,$I645)="override",$L645&lt;&gt;""),$L645,SUMIFS(Assumptions!$P$4:$P$103,Assumptions!$M$4:$M$103,$C645,Assumptions!$N$4:$N$103,$E645,Assumptions!$O$4:$O$103,"LVN"))</f>
        <v/>
      </c>
      <c r="N645" s="32" t="n"/>
      <c r="O645" s="34">
        <f>IF(AND(IF($I646&lt;&gt;"",$I646,$I645)="override",$N645&lt;&gt;""),$N645,SUMIFS(Assumptions!$P$4:$P$103,Assumptions!$M$4:$M$103,$C645,Assumptions!$N$4:$N$103,$E645,Assumptions!$O$4:$O$103,"HVN"))</f>
        <v/>
      </c>
      <c r="P645" s="34">
        <f>(M645+O645)*Assumptions!$S$11</f>
        <v/>
      </c>
      <c r="Q645" s="35">
        <f>$F645*$K645*$P645</f>
        <v/>
      </c>
    </row>
    <row r="646">
      <c r="A646" s="24" t="inlineStr">
        <is>
          <t>TOTAL</t>
        </is>
      </c>
      <c r="B646" s="36" t="inlineStr">
        <is>
          <t>DELEK_EL_DORADO_AR</t>
        </is>
      </c>
      <c r="C646" s="36" t="n">
        <v>3</v>
      </c>
      <c r="D646" s="36" t="inlineStr">
        <is>
          <t>NET NAPHTHA</t>
        </is>
      </c>
      <c r="H646" s="31" t="n"/>
      <c r="I646" s="17" t="n"/>
      <c r="Q646" s="37">
        <f>SUM(Q639:Q645)</f>
        <v/>
      </c>
    </row>
    <row r="648" ht="20" customHeight="1">
      <c r="A648" s="8">
        <f>"  BASF FINA Petrochemicals Port Arthur  [BASF_PORT_ARTHUR]   —   BASF (60%) / Total (40%)   —   PADD 3   —   crude "&amp;TEXT(SUMIFS(Data!$G$3:$G$125,Data!$A$3:$A$125,"BASF_PORT_ARTHUR"),"#,##0")&amp;" kbd"</f>
        <v/>
      </c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</row>
    <row r="649">
      <c r="A649" s="11" t="inlineStr">
        <is>
          <t>UNIT</t>
        </is>
      </c>
      <c r="B649" s="28" t="inlineStr">
        <is>
          <t>BASF_PORT_ARTHUR</t>
        </is>
      </c>
      <c r="C649" s="28" t="n">
        <v>3</v>
      </c>
      <c r="D649" s="28" t="inlineStr">
        <is>
          <t>CRUDE-EST</t>
        </is>
      </c>
      <c r="E649" s="28" t="inlineStr">
        <is>
          <t>est. yield</t>
        </is>
      </c>
      <c r="F649" s="30">
        <f>SUMIFS(Data!$G$3:$G$125,Data!$A$3:$A$125,$B649)</f>
        <v/>
      </c>
      <c r="G649" s="30">
        <f>IFERROR(IF(INDEX(Effective!$E$3:$R$125,MATCH($B649,Effective!$A$3:$A$125,0),MATCH($D649,Effective!$E$2:$R$2,0))=0,"",INDEX(Effective!$E$3:$R$125,MATCH($B649,Effective!$A$3:$A$125,0),MATCH($D649,Effective!$E$2:$R$2,0))),"")</f>
        <v/>
      </c>
      <c r="H649" s="31" t="n"/>
      <c r="I649" s="17" t="inlineStr">
        <is>
          <t>override</t>
        </is>
      </c>
      <c r="J649" s="32" t="n"/>
      <c r="K649" s="33">
        <f>IF(AND(IF($I650&lt;&gt;"",$I650,$I649)="override",$J649&lt;&gt;""),$J649,SUMIFS(Assumptions!$K$4:$K$8,Assumptions!$J$4:$J$8,$C649))*Assumptions!$S$10*(1-MIN(1,MAX(N($H649),N($H650))))</f>
        <v/>
      </c>
      <c r="L649" s="32" t="n"/>
      <c r="M649" s="34">
        <f>IF(AND(IF($I650&lt;&gt;"",$I650,$I649)="override",$L649&lt;&gt;""),$L649,SUMIFS(Data!$N$3:$N$125,Data!$A$3:$A$125,$B649)*Assumptions!$S$4)</f>
        <v/>
      </c>
      <c r="N649" s="32" t="n"/>
      <c r="O649" s="34">
        <f>IF(AND(IF($I650&lt;&gt;"",$I650,$I649)="override",$N649&lt;&gt;""),$N649,SUMIFS(Data!$N$3:$N$125,Data!$A$3:$A$125,$B649)*Assumptions!$S$5)</f>
        <v/>
      </c>
      <c r="P649" s="34">
        <f>(M649+O649)*Assumptions!$S$11</f>
        <v/>
      </c>
      <c r="Q649" s="35">
        <f>$F649*$K649*$P649</f>
        <v/>
      </c>
    </row>
    <row r="650">
      <c r="A650" s="24" t="inlineStr">
        <is>
          <t>TOTAL</t>
        </is>
      </c>
      <c r="B650" s="36" t="inlineStr">
        <is>
          <t>BASF_PORT_ARTHUR</t>
        </is>
      </c>
      <c r="C650" s="36" t="n">
        <v>3</v>
      </c>
      <c r="D650" s="36" t="inlineStr">
        <is>
          <t>NET NAPHTHA</t>
        </is>
      </c>
      <c r="H650" s="31" t="n"/>
      <c r="I650" s="17" t="n"/>
      <c r="Q650" s="37">
        <f>SUM(Q649:Q649)</f>
        <v/>
      </c>
    </row>
    <row r="652" ht="20" customHeight="1">
      <c r="A652" s="8">
        <f>"  Delek Refining Ltd. Tyler  [DELEK_TYLER]   —   Delek Group   —   PADD 3   —   crude "&amp;TEXT(SUMIFS(Data!$G$3:$G$125,Data!$A$3:$A$125,"DELEK_TYLER"),"#,##0")&amp;" kbd"</f>
        <v/>
      </c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</row>
    <row r="653">
      <c r="A653" s="11" t="inlineStr">
        <is>
          <t>UNIT</t>
        </is>
      </c>
      <c r="B653" s="28" t="inlineStr">
        <is>
          <t>DELEK_TYLER</t>
        </is>
      </c>
      <c r="C653" s="28" t="n">
        <v>3</v>
      </c>
      <c r="D653" s="28" t="inlineStr">
        <is>
          <t>CDU</t>
        </is>
      </c>
      <c r="E653" s="28" t="inlineStr">
        <is>
          <t>CDU</t>
        </is>
      </c>
      <c r="F653" s="29" t="n">
        <v>76</v>
      </c>
      <c r="G653" s="30">
        <f>IFERROR(IF(INDEX(Effective!$E$3:$R$125,MATCH($B653,Effective!$A$3:$A$125,0),MATCH($D653,Effective!$E$2:$R$2,0))=0,"",INDEX(Effective!$E$3:$R$125,MATCH($B653,Effective!$A$3:$A$125,0),MATCH($D653,Effective!$E$2:$R$2,0))),"")</f>
        <v/>
      </c>
      <c r="H653" s="31" t="n"/>
      <c r="I653" s="17" t="inlineStr">
        <is>
          <t>override</t>
        </is>
      </c>
      <c r="J653" s="32" t="n">
        <v>0.951</v>
      </c>
      <c r="K653" s="33">
        <f>IF(AND(IF($I662&lt;&gt;"",$I662,$I653)="override",$J653&lt;&gt;""),$J653,SUMIFS(Assumptions!$K$4:$K$8,Assumptions!$J$4:$J$8,$C653))*Assumptions!$S$10*(1-MIN(1,MAX(N($H653),N($H662))))</f>
        <v/>
      </c>
      <c r="L653" s="32" t="n"/>
      <c r="M653" s="34">
        <f>IF(AND(IF($I662&lt;&gt;"",$I662,$I653)="override",$L653&lt;&gt;""),$L653,SUMIFS(Assumptions!$P$4:$P$103,Assumptions!$M$4:$M$103,$C653,Assumptions!$N$4:$N$103,$E653,Assumptions!$O$4:$O$103,"LVN"))</f>
        <v/>
      </c>
      <c r="N653" s="32" t="n"/>
      <c r="O653" s="34">
        <f>IF(AND(IF($I662&lt;&gt;"",$I662,$I653)="override",$N653&lt;&gt;""),$N653,SUMIFS(Assumptions!$P$4:$P$103,Assumptions!$M$4:$M$103,$C653,Assumptions!$N$4:$N$103,$E653,Assumptions!$O$4:$O$103,"HVN"))</f>
        <v/>
      </c>
      <c r="P653" s="34">
        <f>(M653+O653)*Assumptions!$S$11</f>
        <v/>
      </c>
      <c r="Q653" s="35">
        <f>$F653*$K653*$P653</f>
        <v/>
      </c>
    </row>
    <row r="654">
      <c r="A654" s="11" t="inlineStr">
        <is>
          <t>UNIT</t>
        </is>
      </c>
      <c r="B654" s="28" t="inlineStr">
        <is>
          <t>DELEK_TYLER</t>
        </is>
      </c>
      <c r="C654" s="28" t="n">
        <v>3</v>
      </c>
      <c r="D654" s="28" t="inlineStr">
        <is>
          <t>VDU</t>
        </is>
      </c>
      <c r="E654" s="28" t="inlineStr">
        <is>
          <t>VDU</t>
        </is>
      </c>
      <c r="F654" s="29" t="n">
        <v>28</v>
      </c>
      <c r="G654" s="30">
        <f>IFERROR(IF(INDEX(Effective!$E$3:$R$125,MATCH($B654,Effective!$A$3:$A$125,0),MATCH($D654,Effective!$E$2:$R$2,0))=0,"",INDEX(Effective!$E$3:$R$125,MATCH($B654,Effective!$A$3:$A$125,0),MATCH($D654,Effective!$E$2:$R$2,0))),"")</f>
        <v/>
      </c>
      <c r="H654" s="31" t="n"/>
      <c r="I654" s="17" t="inlineStr">
        <is>
          <t>override</t>
        </is>
      </c>
      <c r="J654" s="32" t="n">
        <v>0.746</v>
      </c>
      <c r="K654" s="33">
        <f>IF(AND(IF($I662&lt;&gt;"",$I662,$I654)="override",$J654&lt;&gt;""),$J654,SUMIFS(Assumptions!$K$4:$K$8,Assumptions!$J$4:$J$8,$C654))*Assumptions!$S$10*(1-MIN(1,MAX(N($H654),N($H662))))</f>
        <v/>
      </c>
      <c r="L654" s="32" t="n"/>
      <c r="M654" s="34">
        <f>IF(AND(IF($I662&lt;&gt;"",$I662,$I654)="override",$L654&lt;&gt;""),$L654,SUMIFS(Assumptions!$P$4:$P$103,Assumptions!$M$4:$M$103,$C654,Assumptions!$N$4:$N$103,$E654,Assumptions!$O$4:$O$103,"LVN"))</f>
        <v/>
      </c>
      <c r="N654" s="32" t="n"/>
      <c r="O654" s="34">
        <f>IF(AND(IF($I662&lt;&gt;"",$I662,$I654)="override",$N654&lt;&gt;""),$N654,SUMIFS(Assumptions!$P$4:$P$103,Assumptions!$M$4:$M$103,$C654,Assumptions!$N$4:$N$103,$E654,Assumptions!$O$4:$O$103,"HVN"))</f>
        <v/>
      </c>
      <c r="P654" s="34">
        <f>(M654+O654)*Assumptions!$S$11</f>
        <v/>
      </c>
      <c r="Q654" s="35">
        <f>$F654*$K654*$P654</f>
        <v/>
      </c>
    </row>
    <row r="655">
      <c r="A655" s="11" t="inlineStr">
        <is>
          <t>UNIT</t>
        </is>
      </c>
      <c r="B655" s="28" t="inlineStr">
        <is>
          <t>DELEK_TYLER</t>
        </is>
      </c>
      <c r="C655" s="28" t="n">
        <v>3</v>
      </c>
      <c r="D655" s="28" t="inlineStr">
        <is>
          <t>FCC</t>
        </is>
      </c>
      <c r="E655" s="28" t="inlineStr">
        <is>
          <t>FCC</t>
        </is>
      </c>
      <c r="F655" s="29" t="n">
        <v>20.25</v>
      </c>
      <c r="G655" s="30">
        <f>IFERROR(IF(INDEX(Effective!$E$3:$R$125,MATCH($B655,Effective!$A$3:$A$125,0),MATCH($D655,Effective!$E$2:$R$2,0))=0,"",INDEX(Effective!$E$3:$R$125,MATCH($B655,Effective!$A$3:$A$125,0),MATCH($D655,Effective!$E$2:$R$2,0))),"")</f>
        <v/>
      </c>
      <c r="H655" s="31" t="n"/>
      <c r="I655" s="17" t="inlineStr">
        <is>
          <t>override</t>
        </is>
      </c>
      <c r="J655" s="32" t="n">
        <v>0.819</v>
      </c>
      <c r="K655" s="33">
        <f>IF(AND(IF($I662&lt;&gt;"",$I662,$I655)="override",$J655&lt;&gt;""),$J655,SUMIFS(Assumptions!$K$4:$K$8,Assumptions!$J$4:$J$8,$C655))*Assumptions!$S$10*(1-MIN(1,MAX(N($H655),N($H662))))</f>
        <v/>
      </c>
      <c r="L655" s="32" t="n"/>
      <c r="M655" s="34">
        <f>IF(AND(IF($I662&lt;&gt;"",$I662,$I655)="override",$L655&lt;&gt;""),$L655,SUMIFS(Assumptions!$P$4:$P$103,Assumptions!$M$4:$M$103,$C655,Assumptions!$N$4:$N$103,$E655,Assumptions!$O$4:$O$103,"LVN"))</f>
        <v/>
      </c>
      <c r="N655" s="32" t="n"/>
      <c r="O655" s="34">
        <f>IF(AND(IF($I662&lt;&gt;"",$I662,$I655)="override",$N655&lt;&gt;""),$N655,SUMIFS(Assumptions!$P$4:$P$103,Assumptions!$M$4:$M$103,$C655,Assumptions!$N$4:$N$103,$E655,Assumptions!$O$4:$O$103,"HVN"))</f>
        <v/>
      </c>
      <c r="P655" s="34">
        <f>(M655+O655)*Assumptions!$S$11</f>
        <v/>
      </c>
      <c r="Q655" s="35">
        <f>$F655*$K655*$P655</f>
        <v/>
      </c>
    </row>
    <row r="656">
      <c r="A656" s="11" t="inlineStr">
        <is>
          <t>UNIT</t>
        </is>
      </c>
      <c r="B656" s="28" t="inlineStr">
        <is>
          <t>DELEK_TYLER</t>
        </is>
      </c>
      <c r="C656" s="28" t="n">
        <v>3</v>
      </c>
      <c r="D656" s="28" t="inlineStr">
        <is>
          <t>COKER</t>
        </is>
      </c>
      <c r="E656" s="28" t="inlineStr">
        <is>
          <t>COKER</t>
        </is>
      </c>
      <c r="F656" s="29" t="n">
        <v>7.5</v>
      </c>
      <c r="G656" s="30">
        <f>IFERROR(IF(INDEX(Effective!$E$3:$R$125,MATCH($B656,Effective!$A$3:$A$125,0),MATCH($D656,Effective!$E$2:$R$2,0))=0,"",INDEX(Effective!$E$3:$R$125,MATCH($B656,Effective!$A$3:$A$125,0),MATCH($D656,Effective!$E$2:$R$2,0))),"")</f>
        <v/>
      </c>
      <c r="H656" s="31" t="n"/>
      <c r="I656" s="17" t="inlineStr">
        <is>
          <t>override</t>
        </is>
      </c>
      <c r="J656" s="32" t="n">
        <v>0.974</v>
      </c>
      <c r="K656" s="33">
        <f>IF(AND(IF($I662&lt;&gt;"",$I662,$I656)="override",$J656&lt;&gt;""),$J656,SUMIFS(Assumptions!$K$4:$K$8,Assumptions!$J$4:$J$8,$C656))*Assumptions!$S$10*(1-MIN(1,MAX(N($H656),N($H662))))</f>
        <v/>
      </c>
      <c r="L656" s="32" t="n"/>
      <c r="M656" s="34">
        <f>IF(AND(IF($I662&lt;&gt;"",$I662,$I656)="override",$L656&lt;&gt;""),$L656,SUMIFS(Assumptions!$P$4:$P$103,Assumptions!$M$4:$M$103,$C656,Assumptions!$N$4:$N$103,$E656,Assumptions!$O$4:$O$103,"LVN"))</f>
        <v/>
      </c>
      <c r="N656" s="32" t="n"/>
      <c r="O656" s="34">
        <f>IF(AND(IF($I662&lt;&gt;"",$I662,$I656)="override",$N656&lt;&gt;""),$N656,SUMIFS(Assumptions!$P$4:$P$103,Assumptions!$M$4:$M$103,$C656,Assumptions!$N$4:$N$103,$E656,Assumptions!$O$4:$O$103,"HVN"))</f>
        <v/>
      </c>
      <c r="P656" s="34">
        <f>(M656+O656)*Assumptions!$S$11</f>
        <v/>
      </c>
      <c r="Q656" s="35">
        <f>$F656*$K656*$P656</f>
        <v/>
      </c>
    </row>
    <row r="657">
      <c r="A657" s="11" t="inlineStr">
        <is>
          <t>UNIT</t>
        </is>
      </c>
      <c r="B657" s="28" t="inlineStr">
        <is>
          <t>DELEK_TYLER</t>
        </is>
      </c>
      <c r="C657" s="28" t="n">
        <v>3</v>
      </c>
      <c r="D657" s="28" t="inlineStr">
        <is>
          <t>CCR</t>
        </is>
      </c>
      <c r="E657" s="28" t="inlineStr">
        <is>
          <t>REFORMER</t>
        </is>
      </c>
      <c r="F657" s="29" t="n">
        <v>13</v>
      </c>
      <c r="G657" s="30">
        <f>IFERROR(IF(INDEX(Effective!$E$3:$R$125,MATCH($B657,Effective!$A$3:$A$125,0),MATCH($D657,Effective!$E$2:$R$2,0))=0,"",INDEX(Effective!$E$3:$R$125,MATCH($B657,Effective!$A$3:$A$125,0),MATCH($D657,Effective!$E$2:$R$2,0))),"")</f>
        <v/>
      </c>
      <c r="H657" s="31" t="n"/>
      <c r="I657" s="17" t="inlineStr">
        <is>
          <t>override</t>
        </is>
      </c>
      <c r="J657" s="32" t="n">
        <v>0.962</v>
      </c>
      <c r="K657" s="33">
        <f>IF(AND(IF($I662&lt;&gt;"",$I662,$I657)="override",$J657&lt;&gt;""),$J657,SUMIFS(Assumptions!$K$4:$K$8,Assumptions!$J$4:$J$8,$C657))*Assumptions!$S$10*(1-MIN(1,MAX(N($H657),N($H662))))</f>
        <v/>
      </c>
      <c r="L657" s="32" t="n"/>
      <c r="M657" s="34">
        <f>IF(AND(IF($I662&lt;&gt;"",$I662,$I657)="override",$L657&lt;&gt;""),$L657,SUMIFS(Assumptions!$P$4:$P$103,Assumptions!$M$4:$M$103,$C657,Assumptions!$N$4:$N$103,$E657,Assumptions!$O$4:$O$103,"LVN"))</f>
        <v/>
      </c>
      <c r="N657" s="32" t="n"/>
      <c r="O657" s="34">
        <f>IF(AND(IF($I662&lt;&gt;"",$I662,$I657)="override",$N657&lt;&gt;""),$N657,SUMIFS(Assumptions!$P$4:$P$103,Assumptions!$M$4:$M$103,$C657,Assumptions!$N$4:$N$103,$E657,Assumptions!$O$4:$O$103,"HVN"))</f>
        <v/>
      </c>
      <c r="P657" s="34">
        <f>(M657+O657)*Assumptions!$S$11</f>
        <v/>
      </c>
      <c r="Q657" s="35">
        <f>$F657*$K657*$P657</f>
        <v/>
      </c>
    </row>
    <row r="658">
      <c r="A658" s="11" t="inlineStr">
        <is>
          <t>UNIT</t>
        </is>
      </c>
      <c r="B658" s="28" t="inlineStr">
        <is>
          <t>DELEK_TYLER</t>
        </is>
      </c>
      <c r="C658" s="28" t="n">
        <v>3</v>
      </c>
      <c r="D658" s="28" t="inlineStr">
        <is>
          <t>REF</t>
        </is>
      </c>
      <c r="E658" s="28" t="inlineStr">
        <is>
          <t>REFORMER</t>
        </is>
      </c>
      <c r="F658" s="29" t="n">
        <v>4.5</v>
      </c>
      <c r="G658" s="30">
        <f>IFERROR(IF(INDEX(Effective!$E$3:$R$125,MATCH($B658,Effective!$A$3:$A$125,0),MATCH($D658,Effective!$E$2:$R$2,0))=0,"",INDEX(Effective!$E$3:$R$125,MATCH($B658,Effective!$A$3:$A$125,0),MATCH($D658,Effective!$E$2:$R$2,0))),"")</f>
        <v/>
      </c>
      <c r="H658" s="31" t="n"/>
      <c r="I658" s="17" t="inlineStr">
        <is>
          <t>override</t>
        </is>
      </c>
      <c r="J658" s="32" t="n">
        <v>0.889</v>
      </c>
      <c r="K658" s="33">
        <f>IF(AND(IF($I662&lt;&gt;"",$I662,$I658)="override",$J658&lt;&gt;""),$J658,SUMIFS(Assumptions!$K$4:$K$8,Assumptions!$J$4:$J$8,$C658))*Assumptions!$S$10*(1-MIN(1,MAX(N($H658),N($H662))))</f>
        <v/>
      </c>
      <c r="L658" s="32" t="n"/>
      <c r="M658" s="34">
        <f>IF(AND(IF($I662&lt;&gt;"",$I662,$I658)="override",$L658&lt;&gt;""),$L658,SUMIFS(Assumptions!$P$4:$P$103,Assumptions!$M$4:$M$103,$C658,Assumptions!$N$4:$N$103,$E658,Assumptions!$O$4:$O$103,"LVN"))</f>
        <v/>
      </c>
      <c r="N658" s="32" t="n"/>
      <c r="O658" s="34">
        <f>IF(AND(IF($I662&lt;&gt;"",$I662,$I658)="override",$N658&lt;&gt;""),$N658,SUMIFS(Assumptions!$P$4:$P$103,Assumptions!$M$4:$M$103,$C658,Assumptions!$N$4:$N$103,$E658,Assumptions!$O$4:$O$103,"HVN"))</f>
        <v/>
      </c>
      <c r="P658" s="34">
        <f>(M658+O658)*Assumptions!$S$11</f>
        <v/>
      </c>
      <c r="Q658" s="35">
        <f>$F658*$K658*$P658</f>
        <v/>
      </c>
    </row>
    <row r="659">
      <c r="A659" s="11" t="inlineStr">
        <is>
          <t>UNIT</t>
        </is>
      </c>
      <c r="B659" s="28" t="inlineStr">
        <is>
          <t>DELEK_TYLER</t>
        </is>
      </c>
      <c r="C659" s="28" t="n">
        <v>3</v>
      </c>
      <c r="D659" s="28" t="inlineStr">
        <is>
          <t>ISOM</t>
        </is>
      </c>
      <c r="E659" s="28" t="inlineStr">
        <is>
          <t>ISOM</t>
        </is>
      </c>
      <c r="F659" s="29" t="n">
        <v>5</v>
      </c>
      <c r="G659" s="30">
        <f>IFERROR(IF(INDEX(Effective!$E$3:$R$125,MATCH($B659,Effective!$A$3:$A$125,0),MATCH($D659,Effective!$E$2:$R$2,0))=0,"",INDEX(Effective!$E$3:$R$125,MATCH($B659,Effective!$A$3:$A$125,0),MATCH($D659,Effective!$E$2:$R$2,0))),"")</f>
        <v/>
      </c>
      <c r="H659" s="31" t="n"/>
      <c r="I659" s="17" t="inlineStr">
        <is>
          <t>override</t>
        </is>
      </c>
      <c r="J659" s="32" t="n">
        <v>0.6</v>
      </c>
      <c r="K659" s="33">
        <f>IF(AND(IF($I662&lt;&gt;"",$I662,$I659)="override",$J659&lt;&gt;""),$J659,SUMIFS(Assumptions!$K$4:$K$8,Assumptions!$J$4:$J$8,$C659))*Assumptions!$S$10*(1-MIN(1,MAX(N($H659),N($H662))))</f>
        <v/>
      </c>
      <c r="L659" s="32" t="n"/>
      <c r="M659" s="34">
        <f>IF(AND(IF($I662&lt;&gt;"",$I662,$I659)="override",$L659&lt;&gt;""),$L659,SUMIFS(Assumptions!$P$4:$P$103,Assumptions!$M$4:$M$103,$C659,Assumptions!$N$4:$N$103,$E659,Assumptions!$O$4:$O$103,"LVN"))</f>
        <v/>
      </c>
      <c r="N659" s="32" t="n"/>
      <c r="O659" s="34">
        <f>IF(AND(IF($I662&lt;&gt;"",$I662,$I659)="override",$N659&lt;&gt;""),$N659,SUMIFS(Assumptions!$P$4:$P$103,Assumptions!$M$4:$M$103,$C659,Assumptions!$N$4:$N$103,$E659,Assumptions!$O$4:$O$103,"HVN"))</f>
        <v/>
      </c>
      <c r="P659" s="34">
        <f>(M659+O659)*Assumptions!$S$11</f>
        <v/>
      </c>
      <c r="Q659" s="35">
        <f>$F659*$K659*$P659</f>
        <v/>
      </c>
    </row>
    <row r="660">
      <c r="A660" s="11" t="inlineStr">
        <is>
          <t>UNIT</t>
        </is>
      </c>
      <c r="B660" s="28" t="inlineStr">
        <is>
          <t>DELEK_TYLER</t>
        </is>
      </c>
      <c r="C660" s="28" t="n">
        <v>3</v>
      </c>
      <c r="D660" s="28" t="inlineStr">
        <is>
          <t>ALKY</t>
        </is>
      </c>
      <c r="E660" s="28" t="inlineStr">
        <is>
          <t>ALKY</t>
        </is>
      </c>
      <c r="F660" s="29" t="n">
        <v>4.7</v>
      </c>
      <c r="G660" s="30">
        <f>IFERROR(IF(INDEX(Effective!$E$3:$R$125,MATCH($B660,Effective!$A$3:$A$125,0),MATCH($D660,Effective!$E$2:$R$2,0))=0,"",INDEX(Effective!$E$3:$R$125,MATCH($B660,Effective!$A$3:$A$125,0),MATCH($D660,Effective!$E$2:$R$2,0))),"")</f>
        <v/>
      </c>
      <c r="H660" s="31" t="n"/>
      <c r="I660" s="17" t="inlineStr">
        <is>
          <t>override</t>
        </is>
      </c>
      <c r="J660" s="32" t="n">
        <v>0.928</v>
      </c>
      <c r="K660" s="33">
        <f>IF(AND(IF($I662&lt;&gt;"",$I662,$I660)="override",$J660&lt;&gt;""),$J660,SUMIFS(Assumptions!$K$4:$K$8,Assumptions!$J$4:$J$8,$C660))*Assumptions!$S$10*(1-MIN(1,MAX(N($H660),N($H662))))</f>
        <v/>
      </c>
      <c r="L660" s="32" t="n"/>
      <c r="M660" s="34">
        <f>IF(AND(IF($I662&lt;&gt;"",$I662,$I660)="override",$L660&lt;&gt;""),$L660,SUMIFS(Assumptions!$P$4:$P$103,Assumptions!$M$4:$M$103,$C660,Assumptions!$N$4:$N$103,$E660,Assumptions!$O$4:$O$103,"LVN"))</f>
        <v/>
      </c>
      <c r="N660" s="32" t="n"/>
      <c r="O660" s="34">
        <f>IF(AND(IF($I662&lt;&gt;"",$I662,$I660)="override",$N660&lt;&gt;""),$N660,SUMIFS(Assumptions!$P$4:$P$103,Assumptions!$M$4:$M$103,$C660,Assumptions!$N$4:$N$103,$E660,Assumptions!$O$4:$O$103,"HVN"))</f>
        <v/>
      </c>
      <c r="P660" s="34">
        <f>(M660+O660)*Assumptions!$S$11</f>
        <v/>
      </c>
      <c r="Q660" s="35">
        <f>$F660*$K660*$P660</f>
        <v/>
      </c>
    </row>
    <row r="661">
      <c r="A661" s="11" t="inlineStr">
        <is>
          <t>UNIT</t>
        </is>
      </c>
      <c r="B661" s="28" t="inlineStr">
        <is>
          <t>DELEK_TYLER</t>
        </is>
      </c>
      <c r="C661" s="28" t="n">
        <v>3</v>
      </c>
      <c r="D661" s="28" t="inlineStr">
        <is>
          <t>NHT</t>
        </is>
      </c>
      <c r="E661" s="28" t="inlineStr">
        <is>
          <t>NHT</t>
        </is>
      </c>
      <c r="F661" s="29" t="n">
        <v>28</v>
      </c>
      <c r="G661" s="30">
        <f>IFERROR(IF(INDEX(Effective!$E$3:$R$125,MATCH($B661,Effective!$A$3:$A$125,0),MATCH($D661,Effective!$E$2:$R$2,0))=0,"",INDEX(Effective!$E$3:$R$125,MATCH($B661,Effective!$A$3:$A$125,0),MATCH($D661,Effective!$E$2:$R$2,0))),"")</f>
        <v/>
      </c>
      <c r="H661" s="31" t="n"/>
      <c r="I661" s="17" t="inlineStr">
        <is>
          <t>override</t>
        </is>
      </c>
      <c r="J661" s="32" t="n">
        <v>0.909</v>
      </c>
      <c r="K661" s="33">
        <f>IF(AND(IF($I662&lt;&gt;"",$I662,$I661)="override",$J661&lt;&gt;""),$J661,SUMIFS(Assumptions!$K$4:$K$8,Assumptions!$J$4:$J$8,$C661))*Assumptions!$S$10*(1-MIN(1,MAX(N($H661),N($H662))))</f>
        <v/>
      </c>
      <c r="L661" s="32" t="n"/>
      <c r="M661" s="34">
        <f>IF(AND(IF($I662&lt;&gt;"",$I662,$I661)="override",$L661&lt;&gt;""),$L661,SUMIFS(Assumptions!$P$4:$P$103,Assumptions!$M$4:$M$103,$C661,Assumptions!$N$4:$N$103,$E661,Assumptions!$O$4:$O$103,"LVN"))</f>
        <v/>
      </c>
      <c r="N661" s="32" t="n"/>
      <c r="O661" s="34">
        <f>IF(AND(IF($I662&lt;&gt;"",$I662,$I661)="override",$N661&lt;&gt;""),$N661,SUMIFS(Assumptions!$P$4:$P$103,Assumptions!$M$4:$M$103,$C661,Assumptions!$N$4:$N$103,$E661,Assumptions!$O$4:$O$103,"HVN"))</f>
        <v/>
      </c>
      <c r="P661" s="34">
        <f>(M661+O661)*Assumptions!$S$11</f>
        <v/>
      </c>
      <c r="Q661" s="35">
        <f>$F661*$K661*$P661</f>
        <v/>
      </c>
    </row>
    <row r="662">
      <c r="A662" s="24" t="inlineStr">
        <is>
          <t>TOTAL</t>
        </is>
      </c>
      <c r="B662" s="36" t="inlineStr">
        <is>
          <t>DELEK_TYLER</t>
        </is>
      </c>
      <c r="C662" s="36" t="n">
        <v>3</v>
      </c>
      <c r="D662" s="36" t="inlineStr">
        <is>
          <t>NET NAPHTHA</t>
        </is>
      </c>
      <c r="H662" s="31" t="n"/>
      <c r="I662" s="17" t="n"/>
      <c r="Q662" s="37">
        <f>SUM(Q653:Q661)</f>
        <v/>
      </c>
    </row>
    <row r="664" ht="20" customHeight="1">
      <c r="A664" s="8">
        <f>"  Placid Refining Port Allen  [PLACID_PORT_ALLEN]   —   Placid Refining   —   PADD 3   —   crude "&amp;TEXT(SUMIFS(Data!$G$3:$G$125,Data!$A$3:$A$125,"PLACID_PORT_ALLEN"),"#,##0")&amp;" kbd"</f>
        <v/>
      </c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</row>
    <row r="665">
      <c r="A665" s="11" t="inlineStr">
        <is>
          <t>UNIT</t>
        </is>
      </c>
      <c r="B665" s="28" t="inlineStr">
        <is>
          <t>PLACID_PORT_ALLEN</t>
        </is>
      </c>
      <c r="C665" s="28" t="n">
        <v>3</v>
      </c>
      <c r="D665" s="28" t="inlineStr">
        <is>
          <t>CDU</t>
        </is>
      </c>
      <c r="E665" s="28" t="inlineStr">
        <is>
          <t>CDU</t>
        </is>
      </c>
      <c r="F665" s="29" t="n">
        <v>82.5</v>
      </c>
      <c r="G665" s="30">
        <f>IFERROR(IF(INDEX(Effective!$E$3:$R$125,MATCH($B665,Effective!$A$3:$A$125,0),MATCH($D665,Effective!$E$2:$R$2,0))=0,"",INDEX(Effective!$E$3:$R$125,MATCH($B665,Effective!$A$3:$A$125,0),MATCH($D665,Effective!$E$2:$R$2,0))),"")</f>
        <v/>
      </c>
      <c r="H665" s="31" t="n"/>
      <c r="I665" s="17" t="inlineStr">
        <is>
          <t>override</t>
        </is>
      </c>
      <c r="J665" s="32" t="n">
        <v>0.868</v>
      </c>
      <c r="K665" s="33">
        <f>IF(AND(IF($I671&lt;&gt;"",$I671,$I665)="override",$J665&lt;&gt;""),$J665,SUMIFS(Assumptions!$K$4:$K$8,Assumptions!$J$4:$J$8,$C665))*Assumptions!$S$10*(1-MIN(1,MAX(N($H665),N($H671))))</f>
        <v/>
      </c>
      <c r="L665" s="32" t="n"/>
      <c r="M665" s="34">
        <f>IF(AND(IF($I671&lt;&gt;"",$I671,$I665)="override",$L665&lt;&gt;""),$L665,SUMIFS(Assumptions!$P$4:$P$103,Assumptions!$M$4:$M$103,$C665,Assumptions!$N$4:$N$103,$E665,Assumptions!$O$4:$O$103,"LVN"))</f>
        <v/>
      </c>
      <c r="N665" s="32" t="n"/>
      <c r="O665" s="34">
        <f>IF(AND(IF($I671&lt;&gt;"",$I671,$I665)="override",$N665&lt;&gt;""),$N665,SUMIFS(Assumptions!$P$4:$P$103,Assumptions!$M$4:$M$103,$C665,Assumptions!$N$4:$N$103,$E665,Assumptions!$O$4:$O$103,"HVN"))</f>
        <v/>
      </c>
      <c r="P665" s="34">
        <f>(M665+O665)*Assumptions!$S$11</f>
        <v/>
      </c>
      <c r="Q665" s="35">
        <f>$F665*$K665*$P665</f>
        <v/>
      </c>
    </row>
    <row r="666">
      <c r="A666" s="11" t="inlineStr">
        <is>
          <t>UNIT</t>
        </is>
      </c>
      <c r="B666" s="28" t="inlineStr">
        <is>
          <t>PLACID_PORT_ALLEN</t>
        </is>
      </c>
      <c r="C666" s="28" t="n">
        <v>3</v>
      </c>
      <c r="D666" s="28" t="inlineStr">
        <is>
          <t>VDU</t>
        </is>
      </c>
      <c r="E666" s="28" t="inlineStr">
        <is>
          <t>VDU</t>
        </is>
      </c>
      <c r="F666" s="29" t="n">
        <v>27</v>
      </c>
      <c r="G666" s="30">
        <f>IFERROR(IF(INDEX(Effective!$E$3:$R$125,MATCH($B666,Effective!$A$3:$A$125,0),MATCH($D666,Effective!$E$2:$R$2,0))=0,"",INDEX(Effective!$E$3:$R$125,MATCH($B666,Effective!$A$3:$A$125,0),MATCH($D666,Effective!$E$2:$R$2,0))),"")</f>
        <v/>
      </c>
      <c r="H666" s="31" t="n"/>
      <c r="I666" s="17" t="inlineStr">
        <is>
          <t>override</t>
        </is>
      </c>
      <c r="J666" s="32" t="n">
        <v>0.9340000000000001</v>
      </c>
      <c r="K666" s="33">
        <f>IF(AND(IF($I671&lt;&gt;"",$I671,$I666)="override",$J666&lt;&gt;""),$J666,SUMIFS(Assumptions!$K$4:$K$8,Assumptions!$J$4:$J$8,$C666))*Assumptions!$S$10*(1-MIN(1,MAX(N($H666),N($H671))))</f>
        <v/>
      </c>
      <c r="L666" s="32" t="n"/>
      <c r="M666" s="34">
        <f>IF(AND(IF($I671&lt;&gt;"",$I671,$I666)="override",$L666&lt;&gt;""),$L666,SUMIFS(Assumptions!$P$4:$P$103,Assumptions!$M$4:$M$103,$C666,Assumptions!$N$4:$N$103,$E666,Assumptions!$O$4:$O$103,"LVN"))</f>
        <v/>
      </c>
      <c r="N666" s="32" t="n"/>
      <c r="O666" s="34">
        <f>IF(AND(IF($I671&lt;&gt;"",$I671,$I666)="override",$N666&lt;&gt;""),$N666,SUMIFS(Assumptions!$P$4:$P$103,Assumptions!$M$4:$M$103,$C666,Assumptions!$N$4:$N$103,$E666,Assumptions!$O$4:$O$103,"HVN"))</f>
        <v/>
      </c>
      <c r="P666" s="34">
        <f>(M666+O666)*Assumptions!$S$11</f>
        <v/>
      </c>
      <c r="Q666" s="35">
        <f>$F666*$K666*$P666</f>
        <v/>
      </c>
    </row>
    <row r="667">
      <c r="A667" s="11" t="inlineStr">
        <is>
          <t>UNIT</t>
        </is>
      </c>
      <c r="B667" s="28" t="inlineStr">
        <is>
          <t>PLACID_PORT_ALLEN</t>
        </is>
      </c>
      <c r="C667" s="28" t="n">
        <v>3</v>
      </c>
      <c r="D667" s="28" t="inlineStr">
        <is>
          <t>FCC</t>
        </is>
      </c>
      <c r="E667" s="28" t="inlineStr">
        <is>
          <t>FCC</t>
        </is>
      </c>
      <c r="F667" s="29" t="n">
        <v>25</v>
      </c>
      <c r="G667" s="30">
        <f>IFERROR(IF(INDEX(Effective!$E$3:$R$125,MATCH($B667,Effective!$A$3:$A$125,0),MATCH($D667,Effective!$E$2:$R$2,0))=0,"",INDEX(Effective!$E$3:$R$125,MATCH($B667,Effective!$A$3:$A$125,0),MATCH($D667,Effective!$E$2:$R$2,0))),"")</f>
        <v/>
      </c>
      <c r="H667" s="31" t="n"/>
      <c r="I667" s="17" t="inlineStr">
        <is>
          <t>override</t>
        </is>
      </c>
      <c r="J667" s="32" t="n">
        <v>0.949</v>
      </c>
      <c r="K667" s="33">
        <f>IF(AND(IF($I671&lt;&gt;"",$I671,$I667)="override",$J667&lt;&gt;""),$J667,SUMIFS(Assumptions!$K$4:$K$8,Assumptions!$J$4:$J$8,$C667))*Assumptions!$S$10*(1-MIN(1,MAX(N($H667),N($H671))))</f>
        <v/>
      </c>
      <c r="L667" s="32" t="n"/>
      <c r="M667" s="34">
        <f>IF(AND(IF($I671&lt;&gt;"",$I671,$I667)="override",$L667&lt;&gt;""),$L667,SUMIFS(Assumptions!$P$4:$P$103,Assumptions!$M$4:$M$103,$C667,Assumptions!$N$4:$N$103,$E667,Assumptions!$O$4:$O$103,"LVN"))</f>
        <v/>
      </c>
      <c r="N667" s="32" t="n"/>
      <c r="O667" s="34">
        <f>IF(AND(IF($I671&lt;&gt;"",$I671,$I667)="override",$N667&lt;&gt;""),$N667,SUMIFS(Assumptions!$P$4:$P$103,Assumptions!$M$4:$M$103,$C667,Assumptions!$N$4:$N$103,$E667,Assumptions!$O$4:$O$103,"HVN"))</f>
        <v/>
      </c>
      <c r="P667" s="34">
        <f>(M667+O667)*Assumptions!$S$11</f>
        <v/>
      </c>
      <c r="Q667" s="35">
        <f>$F667*$K667*$P667</f>
        <v/>
      </c>
    </row>
    <row r="668">
      <c r="A668" s="11" t="inlineStr">
        <is>
          <t>UNIT</t>
        </is>
      </c>
      <c r="B668" s="28" t="inlineStr">
        <is>
          <t>PLACID_PORT_ALLEN</t>
        </is>
      </c>
      <c r="C668" s="28" t="n">
        <v>3</v>
      </c>
      <c r="D668" s="28" t="inlineStr">
        <is>
          <t>CCR</t>
        </is>
      </c>
      <c r="E668" s="28" t="inlineStr">
        <is>
          <t>REFORMER</t>
        </is>
      </c>
      <c r="F668" s="29" t="n">
        <v>11.5</v>
      </c>
      <c r="G668" s="30">
        <f>IFERROR(IF(INDEX(Effective!$E$3:$R$125,MATCH($B668,Effective!$A$3:$A$125,0),MATCH($D668,Effective!$E$2:$R$2,0))=0,"",INDEX(Effective!$E$3:$R$125,MATCH($B668,Effective!$A$3:$A$125,0),MATCH($D668,Effective!$E$2:$R$2,0))),"")</f>
        <v/>
      </c>
      <c r="H668" s="31" t="n"/>
      <c r="I668" s="17" t="inlineStr">
        <is>
          <t>override</t>
        </is>
      </c>
      <c r="J668" s="32" t="n"/>
      <c r="K668" s="33">
        <f>IF(AND(IF($I671&lt;&gt;"",$I671,$I668)="override",$J668&lt;&gt;""),$J668,SUMIFS(Assumptions!$K$4:$K$8,Assumptions!$J$4:$J$8,$C668))*Assumptions!$S$10*(1-MIN(1,MAX(N($H668),N($H671))))</f>
        <v/>
      </c>
      <c r="L668" s="32" t="n"/>
      <c r="M668" s="34">
        <f>IF(AND(IF($I671&lt;&gt;"",$I671,$I668)="override",$L668&lt;&gt;""),$L668,SUMIFS(Assumptions!$P$4:$P$103,Assumptions!$M$4:$M$103,$C668,Assumptions!$N$4:$N$103,$E668,Assumptions!$O$4:$O$103,"LVN"))</f>
        <v/>
      </c>
      <c r="N668" s="32" t="n"/>
      <c r="O668" s="34">
        <f>IF(AND(IF($I671&lt;&gt;"",$I671,$I668)="override",$N668&lt;&gt;""),$N668,SUMIFS(Assumptions!$P$4:$P$103,Assumptions!$M$4:$M$103,$C668,Assumptions!$N$4:$N$103,$E668,Assumptions!$O$4:$O$103,"HVN"))</f>
        <v/>
      </c>
      <c r="P668" s="34">
        <f>(M668+O668)*Assumptions!$S$11</f>
        <v/>
      </c>
      <c r="Q668" s="35">
        <f>$F668*$K668*$P668</f>
        <v/>
      </c>
    </row>
    <row r="669">
      <c r="A669" s="11" t="inlineStr">
        <is>
          <t>UNIT</t>
        </is>
      </c>
      <c r="B669" s="28" t="inlineStr">
        <is>
          <t>PLACID_PORT_ALLEN</t>
        </is>
      </c>
      <c r="C669" s="28" t="n">
        <v>3</v>
      </c>
      <c r="D669" s="28" t="inlineStr">
        <is>
          <t>ALKY</t>
        </is>
      </c>
      <c r="E669" s="28" t="inlineStr">
        <is>
          <t>ALKY</t>
        </is>
      </c>
      <c r="F669" s="29" t="n">
        <v>7.5</v>
      </c>
      <c r="G669" s="30">
        <f>IFERROR(IF(INDEX(Effective!$E$3:$R$125,MATCH($B669,Effective!$A$3:$A$125,0),MATCH($D669,Effective!$E$2:$R$2,0))=0,"",INDEX(Effective!$E$3:$R$125,MATCH($B669,Effective!$A$3:$A$125,0),MATCH($D669,Effective!$E$2:$R$2,0))),"")</f>
        <v/>
      </c>
      <c r="H669" s="31" t="n"/>
      <c r="I669" s="17" t="inlineStr">
        <is>
          <t>override</t>
        </is>
      </c>
      <c r="J669" s="32" t="n">
        <v>0.896</v>
      </c>
      <c r="K669" s="33">
        <f>IF(AND(IF($I671&lt;&gt;"",$I671,$I669)="override",$J669&lt;&gt;""),$J669,SUMIFS(Assumptions!$K$4:$K$8,Assumptions!$J$4:$J$8,$C669))*Assumptions!$S$10*(1-MIN(1,MAX(N($H669),N($H671))))</f>
        <v/>
      </c>
      <c r="L669" s="32" t="n"/>
      <c r="M669" s="34">
        <f>IF(AND(IF($I671&lt;&gt;"",$I671,$I669)="override",$L669&lt;&gt;""),$L669,SUMIFS(Assumptions!$P$4:$P$103,Assumptions!$M$4:$M$103,$C669,Assumptions!$N$4:$N$103,$E669,Assumptions!$O$4:$O$103,"LVN"))</f>
        <v/>
      </c>
      <c r="N669" s="32" t="n"/>
      <c r="O669" s="34">
        <f>IF(AND(IF($I671&lt;&gt;"",$I671,$I669)="override",$N669&lt;&gt;""),$N669,SUMIFS(Assumptions!$P$4:$P$103,Assumptions!$M$4:$M$103,$C669,Assumptions!$N$4:$N$103,$E669,Assumptions!$O$4:$O$103,"HVN"))</f>
        <v/>
      </c>
      <c r="P669" s="34">
        <f>(M669+O669)*Assumptions!$S$11</f>
        <v/>
      </c>
      <c r="Q669" s="35">
        <f>$F669*$K669*$P669</f>
        <v/>
      </c>
    </row>
    <row r="670">
      <c r="A670" s="11" t="inlineStr">
        <is>
          <t>UNIT</t>
        </is>
      </c>
      <c r="B670" s="28" t="inlineStr">
        <is>
          <t>PLACID_PORT_ALLEN</t>
        </is>
      </c>
      <c r="C670" s="28" t="n">
        <v>3</v>
      </c>
      <c r="D670" s="28" t="inlineStr">
        <is>
          <t>NHT</t>
        </is>
      </c>
      <c r="E670" s="28" t="inlineStr">
        <is>
          <t>NHT</t>
        </is>
      </c>
      <c r="F670" s="29" t="n">
        <v>12</v>
      </c>
      <c r="G670" s="30">
        <f>IFERROR(IF(INDEX(Effective!$E$3:$R$125,MATCH($B670,Effective!$A$3:$A$125,0),MATCH($D670,Effective!$E$2:$R$2,0))=0,"",INDEX(Effective!$E$3:$R$125,MATCH($B670,Effective!$A$3:$A$125,0),MATCH($D670,Effective!$E$2:$R$2,0))),"")</f>
        <v/>
      </c>
      <c r="H670" s="31" t="n"/>
      <c r="I670" s="17" t="inlineStr">
        <is>
          <t>override</t>
        </is>
      </c>
      <c r="J670" s="32" t="n">
        <v>0.755</v>
      </c>
      <c r="K670" s="33">
        <f>IF(AND(IF($I671&lt;&gt;"",$I671,$I670)="override",$J670&lt;&gt;""),$J670,SUMIFS(Assumptions!$K$4:$K$8,Assumptions!$J$4:$J$8,$C670))*Assumptions!$S$10*(1-MIN(1,MAX(N($H670),N($H671))))</f>
        <v/>
      </c>
      <c r="L670" s="32" t="n"/>
      <c r="M670" s="34">
        <f>IF(AND(IF($I671&lt;&gt;"",$I671,$I670)="override",$L670&lt;&gt;""),$L670,SUMIFS(Assumptions!$P$4:$P$103,Assumptions!$M$4:$M$103,$C670,Assumptions!$N$4:$N$103,$E670,Assumptions!$O$4:$O$103,"LVN"))</f>
        <v/>
      </c>
      <c r="N670" s="32" t="n"/>
      <c r="O670" s="34">
        <f>IF(AND(IF($I671&lt;&gt;"",$I671,$I670)="override",$N670&lt;&gt;""),$N670,SUMIFS(Assumptions!$P$4:$P$103,Assumptions!$M$4:$M$103,$C670,Assumptions!$N$4:$N$103,$E670,Assumptions!$O$4:$O$103,"HVN"))</f>
        <v/>
      </c>
      <c r="P670" s="34">
        <f>(M670+O670)*Assumptions!$S$11</f>
        <v/>
      </c>
      <c r="Q670" s="35">
        <f>$F670*$K670*$P670</f>
        <v/>
      </c>
    </row>
    <row r="671">
      <c r="A671" s="24" t="inlineStr">
        <is>
          <t>TOTAL</t>
        </is>
      </c>
      <c r="B671" s="36" t="inlineStr">
        <is>
          <t>PLACID_PORT_ALLEN</t>
        </is>
      </c>
      <c r="C671" s="36" t="n">
        <v>3</v>
      </c>
      <c r="D671" s="36" t="inlineStr">
        <is>
          <t>NET NAPHTHA</t>
        </is>
      </c>
      <c r="H671" s="31" t="n"/>
      <c r="I671" s="17" t="n"/>
      <c r="Q671" s="37">
        <f>SUM(Q665:Q670)</f>
        <v/>
      </c>
    </row>
    <row r="673" ht="20" customHeight="1">
      <c r="A673" s="8">
        <f>"  Delek Group Krotz Springs  [DELEK_KROTZ_SPRINGS]   —   Delek Group   —   PADD 3   —   crude "&amp;TEXT(SUMIFS(Data!$G$3:$G$125,Data!$A$3:$A$125,"DELEK_KROTZ_SPRINGS"),"#,##0")&amp;" kbd"</f>
        <v/>
      </c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</row>
    <row r="674">
      <c r="A674" s="11" t="inlineStr">
        <is>
          <t>UNIT</t>
        </is>
      </c>
      <c r="B674" s="28" t="inlineStr">
        <is>
          <t>DELEK_KROTZ_SPRINGS</t>
        </is>
      </c>
      <c r="C674" s="28" t="n">
        <v>3</v>
      </c>
      <c r="D674" s="28" t="inlineStr">
        <is>
          <t>CDU</t>
        </is>
      </c>
      <c r="E674" s="28" t="inlineStr">
        <is>
          <t>CDU</t>
        </is>
      </c>
      <c r="F674" s="29" t="n">
        <v>83</v>
      </c>
      <c r="G674" s="30">
        <f>IFERROR(IF(INDEX(Effective!$E$3:$R$125,MATCH($B674,Effective!$A$3:$A$125,0),MATCH($D674,Effective!$E$2:$R$2,0))=0,"",INDEX(Effective!$E$3:$R$125,MATCH($B674,Effective!$A$3:$A$125,0),MATCH($D674,Effective!$E$2:$R$2,0))),"")</f>
        <v/>
      </c>
      <c r="H674" s="31" t="n"/>
      <c r="I674" s="17" t="inlineStr">
        <is>
          <t>override</t>
        </is>
      </c>
      <c r="J674" s="32" t="n">
        <v>0.8090000000000001</v>
      </c>
      <c r="K674" s="33">
        <f>IF(AND(IF($I681&lt;&gt;"",$I681,$I674)="override",$J674&lt;&gt;""),$J674,SUMIFS(Assumptions!$K$4:$K$8,Assumptions!$J$4:$J$8,$C674))*Assumptions!$S$10*(1-MIN(1,MAX(N($H674),N($H681))))</f>
        <v/>
      </c>
      <c r="L674" s="32" t="n"/>
      <c r="M674" s="34">
        <f>IF(AND(IF($I681&lt;&gt;"",$I681,$I674)="override",$L674&lt;&gt;""),$L674,SUMIFS(Assumptions!$P$4:$P$103,Assumptions!$M$4:$M$103,$C674,Assumptions!$N$4:$N$103,$E674,Assumptions!$O$4:$O$103,"LVN"))</f>
        <v/>
      </c>
      <c r="N674" s="32" t="n"/>
      <c r="O674" s="34">
        <f>IF(AND(IF($I681&lt;&gt;"",$I681,$I674)="override",$N674&lt;&gt;""),$N674,SUMIFS(Assumptions!$P$4:$P$103,Assumptions!$M$4:$M$103,$C674,Assumptions!$N$4:$N$103,$E674,Assumptions!$O$4:$O$103,"HVN"))</f>
        <v/>
      </c>
      <c r="P674" s="34">
        <f>(M674+O674)*Assumptions!$S$11</f>
        <v/>
      </c>
      <c r="Q674" s="35">
        <f>$F674*$K674*$P674</f>
        <v/>
      </c>
    </row>
    <row r="675">
      <c r="A675" s="11" t="inlineStr">
        <is>
          <t>UNIT</t>
        </is>
      </c>
      <c r="B675" s="28" t="inlineStr">
        <is>
          <t>DELEK_KROTZ_SPRINGS</t>
        </is>
      </c>
      <c r="C675" s="28" t="n">
        <v>3</v>
      </c>
      <c r="D675" s="28" t="inlineStr">
        <is>
          <t>VDU</t>
        </is>
      </c>
      <c r="E675" s="28" t="inlineStr">
        <is>
          <t>VDU</t>
        </is>
      </c>
      <c r="F675" s="29" t="n">
        <v>36.2</v>
      </c>
      <c r="G675" s="30">
        <f>IFERROR(IF(INDEX(Effective!$E$3:$R$125,MATCH($B675,Effective!$A$3:$A$125,0),MATCH($D675,Effective!$E$2:$R$2,0))=0,"",INDEX(Effective!$E$3:$R$125,MATCH($B675,Effective!$A$3:$A$125,0),MATCH($D675,Effective!$E$2:$R$2,0))),"")</f>
        <v/>
      </c>
      <c r="H675" s="31" t="n"/>
      <c r="I675" s="17" t="inlineStr">
        <is>
          <t>override</t>
        </is>
      </c>
      <c r="J675" s="32" t="n">
        <v>0.512</v>
      </c>
      <c r="K675" s="33">
        <f>IF(AND(IF($I681&lt;&gt;"",$I681,$I675)="override",$J675&lt;&gt;""),$J675,SUMIFS(Assumptions!$K$4:$K$8,Assumptions!$J$4:$J$8,$C675))*Assumptions!$S$10*(1-MIN(1,MAX(N($H675),N($H681))))</f>
        <v/>
      </c>
      <c r="L675" s="32" t="n"/>
      <c r="M675" s="34">
        <f>IF(AND(IF($I681&lt;&gt;"",$I681,$I675)="override",$L675&lt;&gt;""),$L675,SUMIFS(Assumptions!$P$4:$P$103,Assumptions!$M$4:$M$103,$C675,Assumptions!$N$4:$N$103,$E675,Assumptions!$O$4:$O$103,"LVN"))</f>
        <v/>
      </c>
      <c r="N675" s="32" t="n"/>
      <c r="O675" s="34">
        <f>IF(AND(IF($I681&lt;&gt;"",$I681,$I675)="override",$N675&lt;&gt;""),$N675,SUMIFS(Assumptions!$P$4:$P$103,Assumptions!$M$4:$M$103,$C675,Assumptions!$N$4:$N$103,$E675,Assumptions!$O$4:$O$103,"HVN"))</f>
        <v/>
      </c>
      <c r="P675" s="34">
        <f>(M675+O675)*Assumptions!$S$11</f>
        <v/>
      </c>
      <c r="Q675" s="35">
        <f>$F675*$K675*$P675</f>
        <v/>
      </c>
    </row>
    <row r="676">
      <c r="A676" s="11" t="inlineStr">
        <is>
          <t>UNIT</t>
        </is>
      </c>
      <c r="B676" s="28" t="inlineStr">
        <is>
          <t>DELEK_KROTZ_SPRINGS</t>
        </is>
      </c>
      <c r="C676" s="28" t="n">
        <v>3</v>
      </c>
      <c r="D676" s="28" t="inlineStr">
        <is>
          <t>RCC</t>
        </is>
      </c>
      <c r="E676" s="28" t="inlineStr">
        <is>
          <t>FCC</t>
        </is>
      </c>
      <c r="F676" s="29" t="n">
        <v>34</v>
      </c>
      <c r="G676" s="30">
        <f>IFERROR(IF(INDEX(Effective!$E$3:$R$125,MATCH($B676,Effective!$A$3:$A$125,0),MATCH($D676,Effective!$E$2:$R$2,0))=0,"",INDEX(Effective!$E$3:$R$125,MATCH($B676,Effective!$A$3:$A$125,0),MATCH($D676,Effective!$E$2:$R$2,0))),"")</f>
        <v/>
      </c>
      <c r="H676" s="31" t="n"/>
      <c r="I676" s="17" t="inlineStr">
        <is>
          <t>override</t>
        </is>
      </c>
      <c r="J676" s="32" t="n">
        <v>0.79</v>
      </c>
      <c r="K676" s="33">
        <f>IF(AND(IF($I681&lt;&gt;"",$I681,$I676)="override",$J676&lt;&gt;""),$J676,SUMIFS(Assumptions!$K$4:$K$8,Assumptions!$J$4:$J$8,$C676))*Assumptions!$S$10*(1-MIN(1,MAX(N($H676),N($H681))))</f>
        <v/>
      </c>
      <c r="L676" s="32" t="n"/>
      <c r="M676" s="34">
        <f>IF(AND(IF($I681&lt;&gt;"",$I681,$I676)="override",$L676&lt;&gt;""),$L676,SUMIFS(Assumptions!$P$4:$P$103,Assumptions!$M$4:$M$103,$C676,Assumptions!$N$4:$N$103,$E676,Assumptions!$O$4:$O$103,"LVN"))</f>
        <v/>
      </c>
      <c r="N676" s="32" t="n"/>
      <c r="O676" s="34">
        <f>IF(AND(IF($I681&lt;&gt;"",$I681,$I676)="override",$N676&lt;&gt;""),$N676,SUMIFS(Assumptions!$P$4:$P$103,Assumptions!$M$4:$M$103,$C676,Assumptions!$N$4:$N$103,$E676,Assumptions!$O$4:$O$103,"HVN"))</f>
        <v/>
      </c>
      <c r="P676" s="34">
        <f>(M676+O676)*Assumptions!$S$11</f>
        <v/>
      </c>
      <c r="Q676" s="35">
        <f>$F676*$K676*$P676</f>
        <v/>
      </c>
    </row>
    <row r="677">
      <c r="A677" s="11" t="inlineStr">
        <is>
          <t>UNIT</t>
        </is>
      </c>
      <c r="B677" s="28" t="inlineStr">
        <is>
          <t>DELEK_KROTZ_SPRINGS</t>
        </is>
      </c>
      <c r="C677" s="28" t="n">
        <v>3</v>
      </c>
      <c r="D677" s="28" t="inlineStr">
        <is>
          <t>REF</t>
        </is>
      </c>
      <c r="E677" s="28" t="inlineStr">
        <is>
          <t>REFORMER</t>
        </is>
      </c>
      <c r="F677" s="29" t="n">
        <v>13</v>
      </c>
      <c r="G677" s="30">
        <f>IFERROR(IF(INDEX(Effective!$E$3:$R$125,MATCH($B677,Effective!$A$3:$A$125,0),MATCH($D677,Effective!$E$2:$R$2,0))=0,"",INDEX(Effective!$E$3:$R$125,MATCH($B677,Effective!$A$3:$A$125,0),MATCH($D677,Effective!$E$2:$R$2,0))),"")</f>
        <v/>
      </c>
      <c r="H677" s="31" t="n"/>
      <c r="I677" s="17" t="inlineStr">
        <is>
          <t>override</t>
        </is>
      </c>
      <c r="J677" s="32" t="n">
        <v>0.8100000000000001</v>
      </c>
      <c r="K677" s="33">
        <f>IF(AND(IF($I681&lt;&gt;"",$I681,$I677)="override",$J677&lt;&gt;""),$J677,SUMIFS(Assumptions!$K$4:$K$8,Assumptions!$J$4:$J$8,$C677))*Assumptions!$S$10*(1-MIN(1,MAX(N($H677),N($H681))))</f>
        <v/>
      </c>
      <c r="L677" s="32" t="n"/>
      <c r="M677" s="34">
        <f>IF(AND(IF($I681&lt;&gt;"",$I681,$I677)="override",$L677&lt;&gt;""),$L677,SUMIFS(Assumptions!$P$4:$P$103,Assumptions!$M$4:$M$103,$C677,Assumptions!$N$4:$N$103,$E677,Assumptions!$O$4:$O$103,"LVN"))</f>
        <v/>
      </c>
      <c r="N677" s="32" t="n"/>
      <c r="O677" s="34">
        <f>IF(AND(IF($I681&lt;&gt;"",$I681,$I677)="override",$N677&lt;&gt;""),$N677,SUMIFS(Assumptions!$P$4:$P$103,Assumptions!$M$4:$M$103,$C677,Assumptions!$N$4:$N$103,$E677,Assumptions!$O$4:$O$103,"HVN"))</f>
        <v/>
      </c>
      <c r="P677" s="34">
        <f>(M677+O677)*Assumptions!$S$11</f>
        <v/>
      </c>
      <c r="Q677" s="35">
        <f>$F677*$K677*$P677</f>
        <v/>
      </c>
    </row>
    <row r="678">
      <c r="A678" s="11" t="inlineStr">
        <is>
          <t>UNIT</t>
        </is>
      </c>
      <c r="B678" s="28" t="inlineStr">
        <is>
          <t>DELEK_KROTZ_SPRINGS</t>
        </is>
      </c>
      <c r="C678" s="28" t="n">
        <v>3</v>
      </c>
      <c r="D678" s="28" t="inlineStr">
        <is>
          <t>ISOM</t>
        </is>
      </c>
      <c r="E678" s="28" t="inlineStr">
        <is>
          <t>ISOM</t>
        </is>
      </c>
      <c r="F678" s="29" t="n">
        <v>6.22</v>
      </c>
      <c r="G678" s="30">
        <f>IFERROR(IF(INDEX(Effective!$E$3:$R$125,MATCH($B678,Effective!$A$3:$A$125,0),MATCH($D678,Effective!$E$2:$R$2,0))=0,"",INDEX(Effective!$E$3:$R$125,MATCH($B678,Effective!$A$3:$A$125,0),MATCH($D678,Effective!$E$2:$R$2,0))),"")</f>
        <v/>
      </c>
      <c r="H678" s="31" t="n"/>
      <c r="I678" s="17" t="inlineStr">
        <is>
          <t>override</t>
        </is>
      </c>
      <c r="J678" s="32" t="n">
        <v>0.913</v>
      </c>
      <c r="K678" s="33">
        <f>IF(AND(IF($I681&lt;&gt;"",$I681,$I678)="override",$J678&lt;&gt;""),$J678,SUMIFS(Assumptions!$K$4:$K$8,Assumptions!$J$4:$J$8,$C678))*Assumptions!$S$10*(1-MIN(1,MAX(N($H678),N($H681))))</f>
        <v/>
      </c>
      <c r="L678" s="32" t="n"/>
      <c r="M678" s="34">
        <f>IF(AND(IF($I681&lt;&gt;"",$I681,$I678)="override",$L678&lt;&gt;""),$L678,SUMIFS(Assumptions!$P$4:$P$103,Assumptions!$M$4:$M$103,$C678,Assumptions!$N$4:$N$103,$E678,Assumptions!$O$4:$O$103,"LVN"))</f>
        <v/>
      </c>
      <c r="N678" s="32" t="n"/>
      <c r="O678" s="34">
        <f>IF(AND(IF($I681&lt;&gt;"",$I681,$I678)="override",$N678&lt;&gt;""),$N678,SUMIFS(Assumptions!$P$4:$P$103,Assumptions!$M$4:$M$103,$C678,Assumptions!$N$4:$N$103,$E678,Assumptions!$O$4:$O$103,"HVN"))</f>
        <v/>
      </c>
      <c r="P678" s="34">
        <f>(M678+O678)*Assumptions!$S$11</f>
        <v/>
      </c>
      <c r="Q678" s="35">
        <f>$F678*$K678*$P678</f>
        <v/>
      </c>
    </row>
    <row r="679">
      <c r="A679" s="11" t="inlineStr">
        <is>
          <t>UNIT</t>
        </is>
      </c>
      <c r="B679" s="28" t="inlineStr">
        <is>
          <t>DELEK_KROTZ_SPRINGS</t>
        </is>
      </c>
      <c r="C679" s="28" t="n">
        <v>3</v>
      </c>
      <c r="D679" s="28" t="inlineStr">
        <is>
          <t>ALKY</t>
        </is>
      </c>
      <c r="E679" s="28" t="inlineStr">
        <is>
          <t>ALKY</t>
        </is>
      </c>
      <c r="F679" s="29" t="n">
        <v>6</v>
      </c>
      <c r="G679" s="30">
        <f>IFERROR(IF(INDEX(Effective!$E$3:$R$125,MATCH($B679,Effective!$A$3:$A$125,0),MATCH($D679,Effective!$E$2:$R$2,0))=0,"",INDEX(Effective!$E$3:$R$125,MATCH($B679,Effective!$A$3:$A$125,0),MATCH($D679,Effective!$E$2:$R$2,0))),"")</f>
        <v/>
      </c>
      <c r="H679" s="31" t="n"/>
      <c r="I679" s="17" t="inlineStr">
        <is>
          <t>override</t>
        </is>
      </c>
      <c r="J679" s="32" t="n">
        <v>1.1</v>
      </c>
      <c r="K679" s="33">
        <f>IF(AND(IF($I681&lt;&gt;"",$I681,$I679)="override",$J679&lt;&gt;""),$J679,SUMIFS(Assumptions!$K$4:$K$8,Assumptions!$J$4:$J$8,$C679))*Assumptions!$S$10*(1-MIN(1,MAX(N($H679),N($H681))))</f>
        <v/>
      </c>
      <c r="L679" s="32" t="n"/>
      <c r="M679" s="34">
        <f>IF(AND(IF($I681&lt;&gt;"",$I681,$I679)="override",$L679&lt;&gt;""),$L679,SUMIFS(Assumptions!$P$4:$P$103,Assumptions!$M$4:$M$103,$C679,Assumptions!$N$4:$N$103,$E679,Assumptions!$O$4:$O$103,"LVN"))</f>
        <v/>
      </c>
      <c r="N679" s="32" t="n"/>
      <c r="O679" s="34">
        <f>IF(AND(IF($I681&lt;&gt;"",$I681,$I679)="override",$N679&lt;&gt;""),$N679,SUMIFS(Assumptions!$P$4:$P$103,Assumptions!$M$4:$M$103,$C679,Assumptions!$N$4:$N$103,$E679,Assumptions!$O$4:$O$103,"HVN"))</f>
        <v/>
      </c>
      <c r="P679" s="34">
        <f>(M679+O679)*Assumptions!$S$11</f>
        <v/>
      </c>
      <c r="Q679" s="35">
        <f>$F679*$K679*$P679</f>
        <v/>
      </c>
    </row>
    <row r="680">
      <c r="A680" s="11" t="inlineStr">
        <is>
          <t>UNIT</t>
        </is>
      </c>
      <c r="B680" s="28" t="inlineStr">
        <is>
          <t>DELEK_KROTZ_SPRINGS</t>
        </is>
      </c>
      <c r="C680" s="28" t="n">
        <v>3</v>
      </c>
      <c r="D680" s="28" t="inlineStr">
        <is>
          <t>NHT</t>
        </is>
      </c>
      <c r="E680" s="28" t="inlineStr">
        <is>
          <t>NHT</t>
        </is>
      </c>
      <c r="F680" s="29" t="n">
        <v>14</v>
      </c>
      <c r="G680" s="30">
        <f>IFERROR(IF(INDEX(Effective!$E$3:$R$125,MATCH($B680,Effective!$A$3:$A$125,0),MATCH($D680,Effective!$E$2:$R$2,0))=0,"",INDEX(Effective!$E$3:$R$125,MATCH($B680,Effective!$A$3:$A$125,0),MATCH($D680,Effective!$E$2:$R$2,0))),"")</f>
        <v/>
      </c>
      <c r="H680" s="31" t="n"/>
      <c r="I680" s="17" t="inlineStr">
        <is>
          <t>override</t>
        </is>
      </c>
      <c r="J680" s="32" t="n">
        <v>0.507</v>
      </c>
      <c r="K680" s="33">
        <f>IF(AND(IF($I681&lt;&gt;"",$I681,$I680)="override",$J680&lt;&gt;""),$J680,SUMIFS(Assumptions!$K$4:$K$8,Assumptions!$J$4:$J$8,$C680))*Assumptions!$S$10*(1-MIN(1,MAX(N($H680),N($H681))))</f>
        <v/>
      </c>
      <c r="L680" s="32" t="n"/>
      <c r="M680" s="34">
        <f>IF(AND(IF($I681&lt;&gt;"",$I681,$I680)="override",$L680&lt;&gt;""),$L680,SUMIFS(Assumptions!$P$4:$P$103,Assumptions!$M$4:$M$103,$C680,Assumptions!$N$4:$N$103,$E680,Assumptions!$O$4:$O$103,"LVN"))</f>
        <v/>
      </c>
      <c r="N680" s="32" t="n"/>
      <c r="O680" s="34">
        <f>IF(AND(IF($I681&lt;&gt;"",$I681,$I680)="override",$N680&lt;&gt;""),$N680,SUMIFS(Assumptions!$P$4:$P$103,Assumptions!$M$4:$M$103,$C680,Assumptions!$N$4:$N$103,$E680,Assumptions!$O$4:$O$103,"HVN"))</f>
        <v/>
      </c>
      <c r="P680" s="34">
        <f>(M680+O680)*Assumptions!$S$11</f>
        <v/>
      </c>
      <c r="Q680" s="35">
        <f>$F680*$K680*$P680</f>
        <v/>
      </c>
    </row>
    <row r="681">
      <c r="A681" s="24" t="inlineStr">
        <is>
          <t>TOTAL</t>
        </is>
      </c>
      <c r="B681" s="36" t="inlineStr">
        <is>
          <t>DELEK_KROTZ_SPRINGS</t>
        </is>
      </c>
      <c r="C681" s="36" t="n">
        <v>3</v>
      </c>
      <c r="D681" s="36" t="inlineStr">
        <is>
          <t>NET NAPHTHA</t>
        </is>
      </c>
      <c r="H681" s="31" t="n"/>
      <c r="I681" s="17" t="n"/>
      <c r="Q681" s="37">
        <f>SUM(Q674:Q680)</f>
        <v/>
      </c>
    </row>
    <row r="683" ht="20" customHeight="1">
      <c r="A683" s="8">
        <f>"  Alon Big Springs  [ALON_BIG_SPRINGS]   —   Delek Group   —   PADD 3   —   crude "&amp;TEXT(SUMIFS(Data!$G$3:$G$125,Data!$A$3:$A$125,"ALON_BIG_SPRINGS"),"#,##0")&amp;" kbd"</f>
        <v/>
      </c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</row>
    <row r="684">
      <c r="A684" s="11" t="inlineStr">
        <is>
          <t>UNIT</t>
        </is>
      </c>
      <c r="B684" s="28" t="inlineStr">
        <is>
          <t>ALON_BIG_SPRINGS</t>
        </is>
      </c>
      <c r="C684" s="28" t="n">
        <v>3</v>
      </c>
      <c r="D684" s="28" t="inlineStr">
        <is>
          <t>CDU</t>
        </is>
      </c>
      <c r="E684" s="28" t="inlineStr">
        <is>
          <t>CDU</t>
        </is>
      </c>
      <c r="F684" s="29" t="n">
        <v>74</v>
      </c>
      <c r="G684" s="30">
        <f>IFERROR(IF(INDEX(Effective!$E$3:$R$125,MATCH($B684,Effective!$A$3:$A$125,0),MATCH($D684,Effective!$E$2:$R$2,0))=0,"",INDEX(Effective!$E$3:$R$125,MATCH($B684,Effective!$A$3:$A$125,0),MATCH($D684,Effective!$E$2:$R$2,0))),"")</f>
        <v/>
      </c>
      <c r="H684" s="31" t="n"/>
      <c r="I684" s="17" t="inlineStr">
        <is>
          <t>override</t>
        </is>
      </c>
      <c r="J684" s="32" t="n">
        <v>0.894</v>
      </c>
      <c r="K684" s="33">
        <f>IF(AND(IF($I690&lt;&gt;"",$I690,$I684)="override",$J684&lt;&gt;""),$J684,SUMIFS(Assumptions!$K$4:$K$8,Assumptions!$J$4:$J$8,$C684))*Assumptions!$S$10*(1-MIN(1,MAX(N($H684),N($H690))))</f>
        <v/>
      </c>
      <c r="L684" s="32" t="n"/>
      <c r="M684" s="34">
        <f>IF(AND(IF($I690&lt;&gt;"",$I690,$I684)="override",$L684&lt;&gt;""),$L684,SUMIFS(Assumptions!$P$4:$P$103,Assumptions!$M$4:$M$103,$C684,Assumptions!$N$4:$N$103,$E684,Assumptions!$O$4:$O$103,"LVN"))</f>
        <v/>
      </c>
      <c r="N684" s="32" t="n"/>
      <c r="O684" s="34">
        <f>IF(AND(IF($I690&lt;&gt;"",$I690,$I684)="override",$N684&lt;&gt;""),$N684,SUMIFS(Assumptions!$P$4:$P$103,Assumptions!$M$4:$M$103,$C684,Assumptions!$N$4:$N$103,$E684,Assumptions!$O$4:$O$103,"HVN"))</f>
        <v/>
      </c>
      <c r="P684" s="34">
        <f>(M684+O684)*Assumptions!$S$11</f>
        <v/>
      </c>
      <c r="Q684" s="35">
        <f>$F684*$K684*$P684</f>
        <v/>
      </c>
    </row>
    <row r="685">
      <c r="A685" s="11" t="inlineStr">
        <is>
          <t>UNIT</t>
        </is>
      </c>
      <c r="B685" s="28" t="inlineStr">
        <is>
          <t>ALON_BIG_SPRINGS</t>
        </is>
      </c>
      <c r="C685" s="28" t="n">
        <v>3</v>
      </c>
      <c r="D685" s="28" t="inlineStr">
        <is>
          <t>VDU</t>
        </is>
      </c>
      <c r="E685" s="28" t="inlineStr">
        <is>
          <t>VDU</t>
        </is>
      </c>
      <c r="F685" s="29" t="n">
        <v>28</v>
      </c>
      <c r="G685" s="30">
        <f>IFERROR(IF(INDEX(Effective!$E$3:$R$125,MATCH($B685,Effective!$A$3:$A$125,0),MATCH($D685,Effective!$E$2:$R$2,0))=0,"",INDEX(Effective!$E$3:$R$125,MATCH($B685,Effective!$A$3:$A$125,0),MATCH($D685,Effective!$E$2:$R$2,0))),"")</f>
        <v/>
      </c>
      <c r="H685" s="31" t="n"/>
      <c r="I685" s="17" t="inlineStr">
        <is>
          <t>override</t>
        </is>
      </c>
      <c r="J685" s="32" t="n">
        <v>0.719</v>
      </c>
      <c r="K685" s="33">
        <f>IF(AND(IF($I690&lt;&gt;"",$I690,$I685)="override",$J685&lt;&gt;""),$J685,SUMIFS(Assumptions!$K$4:$K$8,Assumptions!$J$4:$J$8,$C685))*Assumptions!$S$10*(1-MIN(1,MAX(N($H685),N($H690))))</f>
        <v/>
      </c>
      <c r="L685" s="32" t="n"/>
      <c r="M685" s="34">
        <f>IF(AND(IF($I690&lt;&gt;"",$I690,$I685)="override",$L685&lt;&gt;""),$L685,SUMIFS(Assumptions!$P$4:$P$103,Assumptions!$M$4:$M$103,$C685,Assumptions!$N$4:$N$103,$E685,Assumptions!$O$4:$O$103,"LVN"))</f>
        <v/>
      </c>
      <c r="N685" s="32" t="n"/>
      <c r="O685" s="34">
        <f>IF(AND(IF($I690&lt;&gt;"",$I690,$I685)="override",$N685&lt;&gt;""),$N685,SUMIFS(Assumptions!$P$4:$P$103,Assumptions!$M$4:$M$103,$C685,Assumptions!$N$4:$N$103,$E685,Assumptions!$O$4:$O$103,"HVN"))</f>
        <v/>
      </c>
      <c r="P685" s="34">
        <f>(M685+O685)*Assumptions!$S$11</f>
        <v/>
      </c>
      <c r="Q685" s="35">
        <f>$F685*$K685*$P685</f>
        <v/>
      </c>
    </row>
    <row r="686">
      <c r="A686" s="11" t="inlineStr">
        <is>
          <t>UNIT</t>
        </is>
      </c>
      <c r="B686" s="28" t="inlineStr">
        <is>
          <t>ALON_BIG_SPRINGS</t>
        </is>
      </c>
      <c r="C686" s="28" t="n">
        <v>3</v>
      </c>
      <c r="D686" s="28" t="inlineStr">
        <is>
          <t>FCC</t>
        </is>
      </c>
      <c r="E686" s="28" t="inlineStr">
        <is>
          <t>FCC</t>
        </is>
      </c>
      <c r="F686" s="29" t="n">
        <v>23.5</v>
      </c>
      <c r="G686" s="30">
        <f>IFERROR(IF(INDEX(Effective!$E$3:$R$125,MATCH($B686,Effective!$A$3:$A$125,0),MATCH($D686,Effective!$E$2:$R$2,0))=0,"",INDEX(Effective!$E$3:$R$125,MATCH($B686,Effective!$A$3:$A$125,0),MATCH($D686,Effective!$E$2:$R$2,0))),"")</f>
        <v/>
      </c>
      <c r="H686" s="31" t="n"/>
      <c r="I686" s="17" t="inlineStr">
        <is>
          <t>override</t>
        </is>
      </c>
      <c r="J686" s="32" t="n">
        <v>0.775</v>
      </c>
      <c r="K686" s="33">
        <f>IF(AND(IF($I690&lt;&gt;"",$I690,$I686)="override",$J686&lt;&gt;""),$J686,SUMIFS(Assumptions!$K$4:$K$8,Assumptions!$J$4:$J$8,$C686))*Assumptions!$S$10*(1-MIN(1,MAX(N($H686),N($H690))))</f>
        <v/>
      </c>
      <c r="L686" s="32" t="n"/>
      <c r="M686" s="34">
        <f>IF(AND(IF($I690&lt;&gt;"",$I690,$I686)="override",$L686&lt;&gt;""),$L686,SUMIFS(Assumptions!$P$4:$P$103,Assumptions!$M$4:$M$103,$C686,Assumptions!$N$4:$N$103,$E686,Assumptions!$O$4:$O$103,"LVN"))</f>
        <v/>
      </c>
      <c r="N686" s="32" t="n"/>
      <c r="O686" s="34">
        <f>IF(AND(IF($I690&lt;&gt;"",$I690,$I686)="override",$N686&lt;&gt;""),$N686,SUMIFS(Assumptions!$P$4:$P$103,Assumptions!$M$4:$M$103,$C686,Assumptions!$N$4:$N$103,$E686,Assumptions!$O$4:$O$103,"HVN"))</f>
        <v/>
      </c>
      <c r="P686" s="34">
        <f>(M686+O686)*Assumptions!$S$11</f>
        <v/>
      </c>
      <c r="Q686" s="35">
        <f>$F686*$K686*$P686</f>
        <v/>
      </c>
    </row>
    <row r="687">
      <c r="A687" s="11" t="inlineStr">
        <is>
          <t>UNIT</t>
        </is>
      </c>
      <c r="B687" s="28" t="inlineStr">
        <is>
          <t>ALON_BIG_SPRINGS</t>
        </is>
      </c>
      <c r="C687" s="28" t="n">
        <v>3</v>
      </c>
      <c r="D687" s="28" t="inlineStr">
        <is>
          <t>CCR</t>
        </is>
      </c>
      <c r="E687" s="28" t="inlineStr">
        <is>
          <t>REFORMER</t>
        </is>
      </c>
      <c r="F687" s="29" t="n">
        <v>21.5</v>
      </c>
      <c r="G687" s="30">
        <f>IFERROR(IF(INDEX(Effective!$E$3:$R$125,MATCH($B687,Effective!$A$3:$A$125,0),MATCH($D687,Effective!$E$2:$R$2,0))=0,"",INDEX(Effective!$E$3:$R$125,MATCH($B687,Effective!$A$3:$A$125,0),MATCH($D687,Effective!$E$2:$R$2,0))),"")</f>
        <v/>
      </c>
      <c r="H687" s="31" t="n"/>
      <c r="I687" s="17" t="inlineStr">
        <is>
          <t>override</t>
        </is>
      </c>
      <c r="J687" s="32" t="n">
        <v>0.977</v>
      </c>
      <c r="K687" s="33">
        <f>IF(AND(IF($I690&lt;&gt;"",$I690,$I687)="override",$J687&lt;&gt;""),$J687,SUMIFS(Assumptions!$K$4:$K$8,Assumptions!$J$4:$J$8,$C687))*Assumptions!$S$10*(1-MIN(1,MAX(N($H687),N($H690))))</f>
        <v/>
      </c>
      <c r="L687" s="32" t="n"/>
      <c r="M687" s="34">
        <f>IF(AND(IF($I690&lt;&gt;"",$I690,$I687)="override",$L687&lt;&gt;""),$L687,SUMIFS(Assumptions!$P$4:$P$103,Assumptions!$M$4:$M$103,$C687,Assumptions!$N$4:$N$103,$E687,Assumptions!$O$4:$O$103,"LVN"))</f>
        <v/>
      </c>
      <c r="N687" s="32" t="n"/>
      <c r="O687" s="34">
        <f>IF(AND(IF($I690&lt;&gt;"",$I690,$I687)="override",$N687&lt;&gt;""),$N687,SUMIFS(Assumptions!$P$4:$P$103,Assumptions!$M$4:$M$103,$C687,Assumptions!$N$4:$N$103,$E687,Assumptions!$O$4:$O$103,"HVN"))</f>
        <v/>
      </c>
      <c r="P687" s="34">
        <f>(M687+O687)*Assumptions!$S$11</f>
        <v/>
      </c>
      <c r="Q687" s="35">
        <f>$F687*$K687*$P687</f>
        <v/>
      </c>
    </row>
    <row r="688">
      <c r="A688" s="11" t="inlineStr">
        <is>
          <t>UNIT</t>
        </is>
      </c>
      <c r="B688" s="28" t="inlineStr">
        <is>
          <t>ALON_BIG_SPRINGS</t>
        </is>
      </c>
      <c r="C688" s="28" t="n">
        <v>3</v>
      </c>
      <c r="D688" s="28" t="inlineStr">
        <is>
          <t>ALKY</t>
        </is>
      </c>
      <c r="E688" s="28" t="inlineStr">
        <is>
          <t>ALKY</t>
        </is>
      </c>
      <c r="F688" s="29" t="n">
        <v>5</v>
      </c>
      <c r="G688" s="30">
        <f>IFERROR(IF(INDEX(Effective!$E$3:$R$125,MATCH($B688,Effective!$A$3:$A$125,0),MATCH($D688,Effective!$E$2:$R$2,0))=0,"",INDEX(Effective!$E$3:$R$125,MATCH($B688,Effective!$A$3:$A$125,0),MATCH($D688,Effective!$E$2:$R$2,0))),"")</f>
        <v/>
      </c>
      <c r="H688" s="31" t="n"/>
      <c r="I688" s="17" t="inlineStr">
        <is>
          <t>override</t>
        </is>
      </c>
      <c r="J688" s="32" t="n">
        <v>0.861</v>
      </c>
      <c r="K688" s="33">
        <f>IF(AND(IF($I690&lt;&gt;"",$I690,$I688)="override",$J688&lt;&gt;""),$J688,SUMIFS(Assumptions!$K$4:$K$8,Assumptions!$J$4:$J$8,$C688))*Assumptions!$S$10*(1-MIN(1,MAX(N($H688),N($H690))))</f>
        <v/>
      </c>
      <c r="L688" s="32" t="n"/>
      <c r="M688" s="34">
        <f>IF(AND(IF($I690&lt;&gt;"",$I690,$I688)="override",$L688&lt;&gt;""),$L688,SUMIFS(Assumptions!$P$4:$P$103,Assumptions!$M$4:$M$103,$C688,Assumptions!$N$4:$N$103,$E688,Assumptions!$O$4:$O$103,"LVN"))</f>
        <v/>
      </c>
      <c r="N688" s="32" t="n"/>
      <c r="O688" s="34">
        <f>IF(AND(IF($I690&lt;&gt;"",$I690,$I688)="override",$N688&lt;&gt;""),$N688,SUMIFS(Assumptions!$P$4:$P$103,Assumptions!$M$4:$M$103,$C688,Assumptions!$N$4:$N$103,$E688,Assumptions!$O$4:$O$103,"HVN"))</f>
        <v/>
      </c>
      <c r="P688" s="34">
        <f>(M688+O688)*Assumptions!$S$11</f>
        <v/>
      </c>
      <c r="Q688" s="35">
        <f>$F688*$K688*$P688</f>
        <v/>
      </c>
    </row>
    <row r="689">
      <c r="A689" s="11" t="inlineStr">
        <is>
          <t>UNIT</t>
        </is>
      </c>
      <c r="B689" s="28" t="inlineStr">
        <is>
          <t>ALON_BIG_SPRINGS</t>
        </is>
      </c>
      <c r="C689" s="28" t="n">
        <v>3</v>
      </c>
      <c r="D689" s="28" t="inlineStr">
        <is>
          <t>NHT</t>
        </is>
      </c>
      <c r="E689" s="28" t="inlineStr">
        <is>
          <t>NHT</t>
        </is>
      </c>
      <c r="F689" s="29" t="n">
        <v>25.5</v>
      </c>
      <c r="G689" s="30">
        <f>IFERROR(IF(INDEX(Effective!$E$3:$R$125,MATCH($B689,Effective!$A$3:$A$125,0),MATCH($D689,Effective!$E$2:$R$2,0))=0,"",INDEX(Effective!$E$3:$R$125,MATCH($B689,Effective!$A$3:$A$125,0),MATCH($D689,Effective!$E$2:$R$2,0))),"")</f>
        <v/>
      </c>
      <c r="H689" s="31" t="n"/>
      <c r="I689" s="17" t="inlineStr">
        <is>
          <t>override</t>
        </is>
      </c>
      <c r="J689" s="32" t="n">
        <v>0.986</v>
      </c>
      <c r="K689" s="33">
        <f>IF(AND(IF($I690&lt;&gt;"",$I690,$I689)="override",$J689&lt;&gt;""),$J689,SUMIFS(Assumptions!$K$4:$K$8,Assumptions!$J$4:$J$8,$C689))*Assumptions!$S$10*(1-MIN(1,MAX(N($H689),N($H690))))</f>
        <v/>
      </c>
      <c r="L689" s="32" t="n"/>
      <c r="M689" s="34">
        <f>IF(AND(IF($I690&lt;&gt;"",$I690,$I689)="override",$L689&lt;&gt;""),$L689,SUMIFS(Assumptions!$P$4:$P$103,Assumptions!$M$4:$M$103,$C689,Assumptions!$N$4:$N$103,$E689,Assumptions!$O$4:$O$103,"LVN"))</f>
        <v/>
      </c>
      <c r="N689" s="32" t="n"/>
      <c r="O689" s="34">
        <f>IF(AND(IF($I690&lt;&gt;"",$I690,$I689)="override",$N689&lt;&gt;""),$N689,SUMIFS(Assumptions!$P$4:$P$103,Assumptions!$M$4:$M$103,$C689,Assumptions!$N$4:$N$103,$E689,Assumptions!$O$4:$O$103,"HVN"))</f>
        <v/>
      </c>
      <c r="P689" s="34">
        <f>(M689+O689)*Assumptions!$S$11</f>
        <v/>
      </c>
      <c r="Q689" s="35">
        <f>$F689*$K689*$P689</f>
        <v/>
      </c>
    </row>
    <row r="690">
      <c r="A690" s="24" t="inlineStr">
        <is>
          <t>TOTAL</t>
        </is>
      </c>
      <c r="B690" s="36" t="inlineStr">
        <is>
          <t>ALON_BIG_SPRINGS</t>
        </is>
      </c>
      <c r="C690" s="36" t="n">
        <v>3</v>
      </c>
      <c r="D690" s="36" t="inlineStr">
        <is>
          <t>NET NAPHTHA</t>
        </is>
      </c>
      <c r="H690" s="31" t="n"/>
      <c r="I690" s="17" t="n"/>
      <c r="Q690" s="37">
        <f>SUM(Q684:Q689)</f>
        <v/>
      </c>
    </row>
    <row r="692" ht="20" customHeight="1">
      <c r="A692" s="8">
        <f>"  Buckeye Partners Corpus Christi  [BUCKEYE_CORPUS_CHRISTI]   —   Buckeye Partners (80%) / Trafigura (20%)   —   PADD 3   —   crude "&amp;TEXT(SUMIFS(Data!$G$3:$G$125,Data!$A$3:$A$125,"BUCKEYE_CORPUS_CHRISTI"),"#,##0")&amp;" kbd"</f>
        <v/>
      </c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</row>
    <row r="693">
      <c r="A693" s="11" t="inlineStr">
        <is>
          <t>UNIT</t>
        </is>
      </c>
      <c r="B693" s="28" t="inlineStr">
        <is>
          <t>BUCKEYE_CORPUS_CHRISTI</t>
        </is>
      </c>
      <c r="C693" s="28" t="n">
        <v>3</v>
      </c>
      <c r="D693" s="28" t="inlineStr">
        <is>
          <t>CDU</t>
        </is>
      </c>
      <c r="E693" s="28" t="inlineStr">
        <is>
          <t>CDU</t>
        </is>
      </c>
      <c r="F693" s="29" t="n">
        <v>65</v>
      </c>
      <c r="G693" s="30">
        <f>IFERROR(IF(INDEX(Effective!$E$3:$R$125,MATCH($B693,Effective!$A$3:$A$125,0),MATCH($D693,Effective!$E$2:$R$2,0))=0,"",INDEX(Effective!$E$3:$R$125,MATCH($B693,Effective!$A$3:$A$125,0),MATCH($D693,Effective!$E$2:$R$2,0))),"")</f>
        <v/>
      </c>
      <c r="H693" s="31" t="n"/>
      <c r="I693" s="17" t="inlineStr">
        <is>
          <t>override</t>
        </is>
      </c>
      <c r="J693" s="32" t="n"/>
      <c r="K693" s="33">
        <f>IF(AND(IF($I694&lt;&gt;"",$I694,$I693)="override",$J693&lt;&gt;""),$J693,SUMIFS(Assumptions!$K$4:$K$8,Assumptions!$J$4:$J$8,$C693))*Assumptions!$S$10*(1-MIN(1,MAX(N($H693),N($H694))))</f>
        <v/>
      </c>
      <c r="L693" s="32" t="n"/>
      <c r="M693" s="34">
        <f>IF(AND(IF($I694&lt;&gt;"",$I694,$I693)="override",$L693&lt;&gt;""),$L693,SUMIFS(Assumptions!$P$4:$P$103,Assumptions!$M$4:$M$103,$C693,Assumptions!$N$4:$N$103,$E693,Assumptions!$O$4:$O$103,"LVN"))</f>
        <v/>
      </c>
      <c r="N693" s="32" t="n"/>
      <c r="O693" s="34">
        <f>IF(AND(IF($I694&lt;&gt;"",$I694,$I693)="override",$N693&lt;&gt;""),$N693,SUMIFS(Assumptions!$P$4:$P$103,Assumptions!$M$4:$M$103,$C693,Assumptions!$N$4:$N$103,$E693,Assumptions!$O$4:$O$103,"HVN"))</f>
        <v/>
      </c>
      <c r="P693" s="34">
        <f>(M693+O693)*Assumptions!$S$11</f>
        <v/>
      </c>
      <c r="Q693" s="35">
        <f>$F693*$K693*$P693</f>
        <v/>
      </c>
    </row>
    <row r="694">
      <c r="A694" s="24" t="inlineStr">
        <is>
          <t>TOTAL</t>
        </is>
      </c>
      <c r="B694" s="36" t="inlineStr">
        <is>
          <t>BUCKEYE_CORPUS_CHRISTI</t>
        </is>
      </c>
      <c r="C694" s="36" t="n">
        <v>3</v>
      </c>
      <c r="D694" s="36" t="inlineStr">
        <is>
          <t>NET NAPHTHA</t>
        </is>
      </c>
      <c r="H694" s="31" t="n"/>
      <c r="I694" s="17" t="n"/>
      <c r="Q694" s="37">
        <f>SUM(Q693:Q693)</f>
        <v/>
      </c>
    </row>
    <row r="696" ht="20" customHeight="1">
      <c r="A696" s="8">
        <f>"  Calumet Lubricants Co. Shreveport  [CALUMET_SHREVEPORT]   —   Calumet Lubricants Co.   —   PADD 3   —   crude "&amp;TEXT(SUMIFS(Data!$G$3:$G$125,Data!$A$3:$A$125,"CALUMET_SHREVEPORT"),"#,##0")&amp;" kbd"</f>
        <v/>
      </c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</row>
    <row r="697">
      <c r="A697" s="11" t="inlineStr">
        <is>
          <t>UNIT</t>
        </is>
      </c>
      <c r="B697" s="28" t="inlineStr">
        <is>
          <t>CALUMET_SHREVEPORT</t>
        </is>
      </c>
      <c r="C697" s="28" t="n">
        <v>3</v>
      </c>
      <c r="D697" s="28" t="inlineStr">
        <is>
          <t>CDU</t>
        </is>
      </c>
      <c r="E697" s="28" t="inlineStr">
        <is>
          <t>CDU</t>
        </is>
      </c>
      <c r="F697" s="29" t="n">
        <v>60</v>
      </c>
      <c r="G697" s="30">
        <f>IFERROR(IF(INDEX(Effective!$E$3:$R$125,MATCH($B697,Effective!$A$3:$A$125,0),MATCH($D697,Effective!$E$2:$R$2,0))=0,"",INDEX(Effective!$E$3:$R$125,MATCH($B697,Effective!$A$3:$A$125,0),MATCH($D697,Effective!$E$2:$R$2,0))),"")</f>
        <v/>
      </c>
      <c r="H697" s="31" t="n"/>
      <c r="I697" s="17" t="inlineStr">
        <is>
          <t>override</t>
        </is>
      </c>
      <c r="J697" s="32" t="n">
        <v>0.666</v>
      </c>
      <c r="K697" s="33">
        <f>IF(AND(IF($I701&lt;&gt;"",$I701,$I697)="override",$J697&lt;&gt;""),$J697,SUMIFS(Assumptions!$K$4:$K$8,Assumptions!$J$4:$J$8,$C697))*Assumptions!$S$10*(1-MIN(1,MAX(N($H697),N($H701))))</f>
        <v/>
      </c>
      <c r="L697" s="32" t="n"/>
      <c r="M697" s="34">
        <f>IF(AND(IF($I701&lt;&gt;"",$I701,$I697)="override",$L697&lt;&gt;""),$L697,SUMIFS(Assumptions!$P$4:$P$103,Assumptions!$M$4:$M$103,$C697,Assumptions!$N$4:$N$103,$E697,Assumptions!$O$4:$O$103,"LVN"))</f>
        <v/>
      </c>
      <c r="N697" s="32" t="n"/>
      <c r="O697" s="34">
        <f>IF(AND(IF($I701&lt;&gt;"",$I701,$I697)="override",$N697&lt;&gt;""),$N697,SUMIFS(Assumptions!$P$4:$P$103,Assumptions!$M$4:$M$103,$C697,Assumptions!$N$4:$N$103,$E697,Assumptions!$O$4:$O$103,"HVN"))</f>
        <v/>
      </c>
      <c r="P697" s="34">
        <f>(M697+O697)*Assumptions!$S$11</f>
        <v/>
      </c>
      <c r="Q697" s="35">
        <f>$F697*$K697*$P697</f>
        <v/>
      </c>
    </row>
    <row r="698">
      <c r="A698" s="11" t="inlineStr">
        <is>
          <t>UNIT</t>
        </is>
      </c>
      <c r="B698" s="28" t="inlineStr">
        <is>
          <t>CALUMET_SHREVEPORT</t>
        </is>
      </c>
      <c r="C698" s="28" t="n">
        <v>3</v>
      </c>
      <c r="D698" s="28" t="inlineStr">
        <is>
          <t>VDU</t>
        </is>
      </c>
      <c r="E698" s="28" t="inlineStr">
        <is>
          <t>VDU</t>
        </is>
      </c>
      <c r="F698" s="29" t="n">
        <v>28</v>
      </c>
      <c r="G698" s="30">
        <f>IFERROR(IF(INDEX(Effective!$E$3:$R$125,MATCH($B698,Effective!$A$3:$A$125,0),MATCH($D698,Effective!$E$2:$R$2,0))=0,"",INDEX(Effective!$E$3:$R$125,MATCH($B698,Effective!$A$3:$A$125,0),MATCH($D698,Effective!$E$2:$R$2,0))),"")</f>
        <v/>
      </c>
      <c r="H698" s="31" t="n"/>
      <c r="I698" s="17" t="inlineStr">
        <is>
          <t>override</t>
        </is>
      </c>
      <c r="J698" s="32" t="n">
        <v>0.456</v>
      </c>
      <c r="K698" s="33">
        <f>IF(AND(IF($I701&lt;&gt;"",$I701,$I698)="override",$J698&lt;&gt;""),$J698,SUMIFS(Assumptions!$K$4:$K$8,Assumptions!$J$4:$J$8,$C698))*Assumptions!$S$10*(1-MIN(1,MAX(N($H698),N($H701))))</f>
        <v/>
      </c>
      <c r="L698" s="32" t="n"/>
      <c r="M698" s="34">
        <f>IF(AND(IF($I701&lt;&gt;"",$I701,$I698)="override",$L698&lt;&gt;""),$L698,SUMIFS(Assumptions!$P$4:$P$103,Assumptions!$M$4:$M$103,$C698,Assumptions!$N$4:$N$103,$E698,Assumptions!$O$4:$O$103,"LVN"))</f>
        <v/>
      </c>
      <c r="N698" s="32" t="n"/>
      <c r="O698" s="34">
        <f>IF(AND(IF($I701&lt;&gt;"",$I701,$I698)="override",$N698&lt;&gt;""),$N698,SUMIFS(Assumptions!$P$4:$P$103,Assumptions!$M$4:$M$103,$C698,Assumptions!$N$4:$N$103,$E698,Assumptions!$O$4:$O$103,"HVN"))</f>
        <v/>
      </c>
      <c r="P698" s="34">
        <f>(M698+O698)*Assumptions!$S$11</f>
        <v/>
      </c>
      <c r="Q698" s="35">
        <f>$F698*$K698*$P698</f>
        <v/>
      </c>
    </row>
    <row r="699">
      <c r="A699" s="11" t="inlineStr">
        <is>
          <t>UNIT</t>
        </is>
      </c>
      <c r="B699" s="28" t="inlineStr">
        <is>
          <t>CALUMET_SHREVEPORT</t>
        </is>
      </c>
      <c r="C699" s="28" t="n">
        <v>3</v>
      </c>
      <c r="D699" s="28" t="inlineStr">
        <is>
          <t>CCR</t>
        </is>
      </c>
      <c r="E699" s="28" t="inlineStr">
        <is>
          <t>REFORMER</t>
        </is>
      </c>
      <c r="F699" s="29" t="n">
        <v>12</v>
      </c>
      <c r="G699" s="30">
        <f>IFERROR(IF(INDEX(Effective!$E$3:$R$125,MATCH($B699,Effective!$A$3:$A$125,0),MATCH($D699,Effective!$E$2:$R$2,0))=0,"",INDEX(Effective!$E$3:$R$125,MATCH($B699,Effective!$A$3:$A$125,0),MATCH($D699,Effective!$E$2:$R$2,0))),"")</f>
        <v/>
      </c>
      <c r="H699" s="31" t="n"/>
      <c r="I699" s="17" t="inlineStr">
        <is>
          <t>override</t>
        </is>
      </c>
      <c r="J699" s="32" t="n"/>
      <c r="K699" s="33">
        <f>IF(AND(IF($I701&lt;&gt;"",$I701,$I699)="override",$J699&lt;&gt;""),$J699,SUMIFS(Assumptions!$K$4:$K$8,Assumptions!$J$4:$J$8,$C699))*Assumptions!$S$10*(1-MIN(1,MAX(N($H699),N($H701))))</f>
        <v/>
      </c>
      <c r="L699" s="32" t="n"/>
      <c r="M699" s="34">
        <f>IF(AND(IF($I701&lt;&gt;"",$I701,$I699)="override",$L699&lt;&gt;""),$L699,SUMIFS(Assumptions!$P$4:$P$103,Assumptions!$M$4:$M$103,$C699,Assumptions!$N$4:$N$103,$E699,Assumptions!$O$4:$O$103,"LVN"))</f>
        <v/>
      </c>
      <c r="N699" s="32" t="n"/>
      <c r="O699" s="34">
        <f>IF(AND(IF($I701&lt;&gt;"",$I701,$I699)="override",$N699&lt;&gt;""),$N699,SUMIFS(Assumptions!$P$4:$P$103,Assumptions!$M$4:$M$103,$C699,Assumptions!$N$4:$N$103,$E699,Assumptions!$O$4:$O$103,"HVN"))</f>
        <v/>
      </c>
      <c r="P699" s="34">
        <f>(M699+O699)*Assumptions!$S$11</f>
        <v/>
      </c>
      <c r="Q699" s="35">
        <f>$F699*$K699*$P699</f>
        <v/>
      </c>
    </row>
    <row r="700">
      <c r="A700" s="11" t="inlineStr">
        <is>
          <t>UNIT</t>
        </is>
      </c>
      <c r="B700" s="28" t="inlineStr">
        <is>
          <t>CALUMET_SHREVEPORT</t>
        </is>
      </c>
      <c r="C700" s="28" t="n">
        <v>3</v>
      </c>
      <c r="D700" s="28" t="inlineStr">
        <is>
          <t>NHT</t>
        </is>
      </c>
      <c r="E700" s="28" t="inlineStr">
        <is>
          <t>NHT</t>
        </is>
      </c>
      <c r="F700" s="29" t="n">
        <v>16</v>
      </c>
      <c r="G700" s="30">
        <f>IFERROR(IF(INDEX(Effective!$E$3:$R$125,MATCH($B700,Effective!$A$3:$A$125,0),MATCH($D700,Effective!$E$2:$R$2,0))=0,"",INDEX(Effective!$E$3:$R$125,MATCH($B700,Effective!$A$3:$A$125,0),MATCH($D700,Effective!$E$2:$R$2,0))),"")</f>
        <v/>
      </c>
      <c r="H700" s="31" t="n"/>
      <c r="I700" s="17" t="inlineStr">
        <is>
          <t>override</t>
        </is>
      </c>
      <c r="J700" s="32" t="n">
        <v>0.964</v>
      </c>
      <c r="K700" s="33">
        <f>IF(AND(IF($I701&lt;&gt;"",$I701,$I700)="override",$J700&lt;&gt;""),$J700,SUMIFS(Assumptions!$K$4:$K$8,Assumptions!$J$4:$J$8,$C700))*Assumptions!$S$10*(1-MIN(1,MAX(N($H700),N($H701))))</f>
        <v/>
      </c>
      <c r="L700" s="32" t="n"/>
      <c r="M700" s="34">
        <f>IF(AND(IF($I701&lt;&gt;"",$I701,$I700)="override",$L700&lt;&gt;""),$L700,SUMIFS(Assumptions!$P$4:$P$103,Assumptions!$M$4:$M$103,$C700,Assumptions!$N$4:$N$103,$E700,Assumptions!$O$4:$O$103,"LVN"))</f>
        <v/>
      </c>
      <c r="N700" s="32" t="n"/>
      <c r="O700" s="34">
        <f>IF(AND(IF($I701&lt;&gt;"",$I701,$I700)="override",$N700&lt;&gt;""),$N700,SUMIFS(Assumptions!$P$4:$P$103,Assumptions!$M$4:$M$103,$C700,Assumptions!$N$4:$N$103,$E700,Assumptions!$O$4:$O$103,"HVN"))</f>
        <v/>
      </c>
      <c r="P700" s="34">
        <f>(M700+O700)*Assumptions!$S$11</f>
        <v/>
      </c>
      <c r="Q700" s="35">
        <f>$F700*$K700*$P700</f>
        <v/>
      </c>
    </row>
    <row r="701">
      <c r="A701" s="24" t="inlineStr">
        <is>
          <t>TOTAL</t>
        </is>
      </c>
      <c r="B701" s="36" t="inlineStr">
        <is>
          <t>CALUMET_SHREVEPORT</t>
        </is>
      </c>
      <c r="C701" s="36" t="n">
        <v>3</v>
      </c>
      <c r="D701" s="36" t="inlineStr">
        <is>
          <t>NET NAPHTHA</t>
        </is>
      </c>
      <c r="H701" s="31" t="n"/>
      <c r="I701" s="17" t="n"/>
      <c r="Q701" s="37">
        <f>SUM(Q697:Q700)</f>
        <v/>
      </c>
    </row>
    <row r="703" ht="20" customHeight="1">
      <c r="A703" s="8">
        <f>"  Marathon Petroleum Texas City (Galveston Bay)  [MARATHON_TEXAS_CITY_GALVESTON_BAY]   —   Marathon Petroleum   —   PADD 3   —   crude "&amp;TEXT(SUMIFS(Data!$G$3:$G$125,Data!$A$3:$A$125,"MARATHON_TEXAS_CITY_GALVESTON_BAY"),"#,##0")&amp;" kbd"</f>
        <v/>
      </c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</row>
    <row r="704">
      <c r="A704" s="11" t="inlineStr">
        <is>
          <t>UNIT</t>
        </is>
      </c>
      <c r="B704" s="28" t="inlineStr">
        <is>
          <t>MARATHON_TEXAS_CITY_GALVESTON_BAY</t>
        </is>
      </c>
      <c r="C704" s="28" t="n">
        <v>3</v>
      </c>
      <c r="D704" s="28" t="inlineStr">
        <is>
          <t>CRUDE-EST</t>
        </is>
      </c>
      <c r="E704" s="28" t="inlineStr">
        <is>
          <t>est. yield</t>
        </is>
      </c>
      <c r="F704" s="30">
        <f>SUMIFS(Data!$G$3:$G$125,Data!$A$3:$A$125,$B704)</f>
        <v/>
      </c>
      <c r="G704" s="30">
        <f>IFERROR(IF(INDEX(Effective!$E$3:$R$125,MATCH($B704,Effective!$A$3:$A$125,0),MATCH($D704,Effective!$E$2:$R$2,0))=0,"",INDEX(Effective!$E$3:$R$125,MATCH($B704,Effective!$A$3:$A$125,0),MATCH($D704,Effective!$E$2:$R$2,0))),"")</f>
        <v/>
      </c>
      <c r="H704" s="31" t="n"/>
      <c r="I704" s="17" t="inlineStr">
        <is>
          <t>override</t>
        </is>
      </c>
      <c r="J704" s="32" t="n"/>
      <c r="K704" s="33">
        <f>IF(AND(IF($I705&lt;&gt;"",$I705,$I704)="override",$J704&lt;&gt;""),$J704,SUMIFS(Assumptions!$K$4:$K$8,Assumptions!$J$4:$J$8,$C704))*Assumptions!$S$10*(1-MIN(1,MAX(N($H704),N($H705))))</f>
        <v/>
      </c>
      <c r="L704" s="32" t="n"/>
      <c r="M704" s="34">
        <f>IF(AND(IF($I705&lt;&gt;"",$I705,$I704)="override",$L704&lt;&gt;""),$L704,SUMIFS(Data!$N$3:$N$125,Data!$A$3:$A$125,$B704)*Assumptions!$S$4)</f>
        <v/>
      </c>
      <c r="N704" s="32" t="n"/>
      <c r="O704" s="34">
        <f>IF(AND(IF($I705&lt;&gt;"",$I705,$I704)="override",$N704&lt;&gt;""),$N704,SUMIFS(Data!$N$3:$N$125,Data!$A$3:$A$125,$B704)*Assumptions!$S$5)</f>
        <v/>
      </c>
      <c r="P704" s="34">
        <f>(M704+O704)*Assumptions!$S$11</f>
        <v/>
      </c>
      <c r="Q704" s="35">
        <f>$F704*$K704*$P704</f>
        <v/>
      </c>
    </row>
    <row r="705">
      <c r="A705" s="24" t="inlineStr">
        <is>
          <t>TOTAL</t>
        </is>
      </c>
      <c r="B705" s="36" t="inlineStr">
        <is>
          <t>MARATHON_TEXAS_CITY_GALVESTON_BAY</t>
        </is>
      </c>
      <c r="C705" s="36" t="n">
        <v>3</v>
      </c>
      <c r="D705" s="36" t="inlineStr">
        <is>
          <t>NET NAPHTHA</t>
        </is>
      </c>
      <c r="H705" s="31" t="n"/>
      <c r="I705" s="17" t="n"/>
      <c r="Q705" s="37">
        <f>SUM(Q704:Q704)</f>
        <v/>
      </c>
    </row>
    <row r="707" ht="20" customHeight="1">
      <c r="A707" s="8">
        <f>"  Hunt Refining Consolidated Tuscaloosa  [HUNT_TUSCALOOSA]   —   Hunt Refining Consolidated   —   PADD 3   —   crude "&amp;TEXT(SUMIFS(Data!$G$3:$G$125,Data!$A$3:$A$125,"HUNT_TUSCALOOSA"),"#,##0")&amp;" kbd"</f>
        <v/>
      </c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</row>
    <row r="708">
      <c r="A708" s="11" t="inlineStr">
        <is>
          <t>UNIT</t>
        </is>
      </c>
      <c r="B708" s="28" t="inlineStr">
        <is>
          <t>HUNT_TUSCALOOSA</t>
        </is>
      </c>
      <c r="C708" s="28" t="n">
        <v>3</v>
      </c>
      <c r="D708" s="28" t="inlineStr">
        <is>
          <t>CDU</t>
        </is>
      </c>
      <c r="E708" s="28" t="inlineStr">
        <is>
          <t>CDU</t>
        </is>
      </c>
      <c r="F708" s="29" t="n">
        <v>50</v>
      </c>
      <c r="G708" s="30">
        <f>IFERROR(IF(INDEX(Effective!$E$3:$R$125,MATCH($B708,Effective!$A$3:$A$125,0),MATCH($D708,Effective!$E$2:$R$2,0))=0,"",INDEX(Effective!$E$3:$R$125,MATCH($B708,Effective!$A$3:$A$125,0),MATCH($D708,Effective!$E$2:$R$2,0))),"")</f>
        <v/>
      </c>
      <c r="H708" s="31" t="n"/>
      <c r="I708" s="17" t="inlineStr">
        <is>
          <t>override</t>
        </is>
      </c>
      <c r="J708" s="32" t="n">
        <v>0.792</v>
      </c>
      <c r="K708" s="33">
        <f>IF(AND(IF($I715&lt;&gt;"",$I715,$I708)="override",$J708&lt;&gt;""),$J708,SUMIFS(Assumptions!$K$4:$K$8,Assumptions!$J$4:$J$8,$C708))*Assumptions!$S$10*(1-MIN(1,MAX(N($H708),N($H715))))</f>
        <v/>
      </c>
      <c r="L708" s="32" t="n"/>
      <c r="M708" s="34">
        <f>IF(AND(IF($I715&lt;&gt;"",$I715,$I708)="override",$L708&lt;&gt;""),$L708,SUMIFS(Assumptions!$P$4:$P$103,Assumptions!$M$4:$M$103,$C708,Assumptions!$N$4:$N$103,$E708,Assumptions!$O$4:$O$103,"LVN"))</f>
        <v/>
      </c>
      <c r="N708" s="32" t="n"/>
      <c r="O708" s="34">
        <f>IF(AND(IF($I715&lt;&gt;"",$I715,$I708)="override",$N708&lt;&gt;""),$N708,SUMIFS(Assumptions!$P$4:$P$103,Assumptions!$M$4:$M$103,$C708,Assumptions!$N$4:$N$103,$E708,Assumptions!$O$4:$O$103,"HVN"))</f>
        <v/>
      </c>
      <c r="P708" s="34">
        <f>(M708+O708)*Assumptions!$S$11</f>
        <v/>
      </c>
      <c r="Q708" s="35">
        <f>$F708*$K708*$P708</f>
        <v/>
      </c>
    </row>
    <row r="709">
      <c r="A709" s="11" t="inlineStr">
        <is>
          <t>UNIT</t>
        </is>
      </c>
      <c r="B709" s="28" t="inlineStr">
        <is>
          <t>HUNT_TUSCALOOSA</t>
        </is>
      </c>
      <c r="C709" s="28" t="n">
        <v>3</v>
      </c>
      <c r="D709" s="28" t="inlineStr">
        <is>
          <t>VDU</t>
        </is>
      </c>
      <c r="E709" s="28" t="inlineStr">
        <is>
          <t>VDU</t>
        </is>
      </c>
      <c r="F709" s="29" t="n">
        <v>25</v>
      </c>
      <c r="G709" s="30">
        <f>IFERROR(IF(INDEX(Effective!$E$3:$R$125,MATCH($B709,Effective!$A$3:$A$125,0),MATCH($D709,Effective!$E$2:$R$2,0))=0,"",INDEX(Effective!$E$3:$R$125,MATCH($B709,Effective!$A$3:$A$125,0),MATCH($D709,Effective!$E$2:$R$2,0))),"")</f>
        <v/>
      </c>
      <c r="H709" s="31" t="n"/>
      <c r="I709" s="17" t="inlineStr">
        <is>
          <t>override</t>
        </is>
      </c>
      <c r="J709" s="32" t="n">
        <v>0.926</v>
      </c>
      <c r="K709" s="33">
        <f>IF(AND(IF($I715&lt;&gt;"",$I715,$I709)="override",$J709&lt;&gt;""),$J709,SUMIFS(Assumptions!$K$4:$K$8,Assumptions!$J$4:$J$8,$C709))*Assumptions!$S$10*(1-MIN(1,MAX(N($H709),N($H715))))</f>
        <v/>
      </c>
      <c r="L709" s="32" t="n"/>
      <c r="M709" s="34">
        <f>IF(AND(IF($I715&lt;&gt;"",$I715,$I709)="override",$L709&lt;&gt;""),$L709,SUMIFS(Assumptions!$P$4:$P$103,Assumptions!$M$4:$M$103,$C709,Assumptions!$N$4:$N$103,$E709,Assumptions!$O$4:$O$103,"LVN"))</f>
        <v/>
      </c>
      <c r="N709" s="32" t="n"/>
      <c r="O709" s="34">
        <f>IF(AND(IF($I715&lt;&gt;"",$I715,$I709)="override",$N709&lt;&gt;""),$N709,SUMIFS(Assumptions!$P$4:$P$103,Assumptions!$M$4:$M$103,$C709,Assumptions!$N$4:$N$103,$E709,Assumptions!$O$4:$O$103,"HVN"))</f>
        <v/>
      </c>
      <c r="P709" s="34">
        <f>(M709+O709)*Assumptions!$S$11</f>
        <v/>
      </c>
      <c r="Q709" s="35">
        <f>$F709*$K709*$P709</f>
        <v/>
      </c>
    </row>
    <row r="710">
      <c r="A710" s="11" t="inlineStr">
        <is>
          <t>UNIT</t>
        </is>
      </c>
      <c r="B710" s="28" t="inlineStr">
        <is>
          <t>HUNT_TUSCALOOSA</t>
        </is>
      </c>
      <c r="C710" s="28" t="n">
        <v>3</v>
      </c>
      <c r="D710" s="28" t="inlineStr">
        <is>
          <t>DHCU</t>
        </is>
      </c>
      <c r="E710" s="28" t="inlineStr">
        <is>
          <t>HYDROCRACKER</t>
        </is>
      </c>
      <c r="F710" s="29" t="n">
        <v>20.5</v>
      </c>
      <c r="G710" s="30">
        <f>IFERROR(IF(INDEX(Effective!$E$3:$R$125,MATCH($B710,Effective!$A$3:$A$125,0),MATCH($D710,Effective!$E$2:$R$2,0))=0,"",INDEX(Effective!$E$3:$R$125,MATCH($B710,Effective!$A$3:$A$125,0),MATCH($D710,Effective!$E$2:$R$2,0))),"")</f>
        <v/>
      </c>
      <c r="H710" s="31" t="n"/>
      <c r="I710" s="17" t="inlineStr">
        <is>
          <t>override</t>
        </is>
      </c>
      <c r="J710" s="32" t="n">
        <v>0.602</v>
      </c>
      <c r="K710" s="33">
        <f>IF(AND(IF($I715&lt;&gt;"",$I715,$I710)="override",$J710&lt;&gt;""),$J710,SUMIFS(Assumptions!$K$4:$K$8,Assumptions!$J$4:$J$8,$C710))*Assumptions!$S$10*(1-MIN(1,MAX(N($H710),N($H715))))</f>
        <v/>
      </c>
      <c r="L710" s="32" t="n"/>
      <c r="M710" s="34">
        <f>IF(AND(IF($I715&lt;&gt;"",$I715,$I710)="override",$L710&lt;&gt;""),$L710,SUMIFS(Assumptions!$P$4:$P$103,Assumptions!$M$4:$M$103,$C710,Assumptions!$N$4:$N$103,$E710,Assumptions!$O$4:$O$103,"LVN"))</f>
        <v/>
      </c>
      <c r="N710" s="32" t="n"/>
      <c r="O710" s="34">
        <f>IF(AND(IF($I715&lt;&gt;"",$I715,$I710)="override",$N710&lt;&gt;""),$N710,SUMIFS(Assumptions!$P$4:$P$103,Assumptions!$M$4:$M$103,$C710,Assumptions!$N$4:$N$103,$E710,Assumptions!$O$4:$O$103,"HVN"))</f>
        <v/>
      </c>
      <c r="P710" s="34">
        <f>(M710+O710)*Assumptions!$S$11</f>
        <v/>
      </c>
      <c r="Q710" s="35">
        <f>$F710*$K710*$P710</f>
        <v/>
      </c>
    </row>
    <row r="711">
      <c r="A711" s="11" t="inlineStr">
        <is>
          <t>UNIT</t>
        </is>
      </c>
      <c r="B711" s="28" t="inlineStr">
        <is>
          <t>HUNT_TUSCALOOSA</t>
        </is>
      </c>
      <c r="C711" s="28" t="n">
        <v>3</v>
      </c>
      <c r="D711" s="28" t="inlineStr">
        <is>
          <t>COKER</t>
        </is>
      </c>
      <c r="E711" s="28" t="inlineStr">
        <is>
          <t>COKER</t>
        </is>
      </c>
      <c r="F711" s="29" t="n">
        <v>34</v>
      </c>
      <c r="G711" s="30">
        <f>IFERROR(IF(INDEX(Effective!$E$3:$R$125,MATCH($B711,Effective!$A$3:$A$125,0),MATCH($D711,Effective!$E$2:$R$2,0))=0,"",INDEX(Effective!$E$3:$R$125,MATCH($B711,Effective!$A$3:$A$125,0),MATCH($D711,Effective!$E$2:$R$2,0))),"")</f>
        <v/>
      </c>
      <c r="H711" s="31" t="n"/>
      <c r="I711" s="17" t="inlineStr">
        <is>
          <t>override</t>
        </is>
      </c>
      <c r="J711" s="32" t="n">
        <v>0.144</v>
      </c>
      <c r="K711" s="33">
        <f>IF(AND(IF($I715&lt;&gt;"",$I715,$I711)="override",$J711&lt;&gt;""),$J711,SUMIFS(Assumptions!$K$4:$K$8,Assumptions!$J$4:$J$8,$C711))*Assumptions!$S$10*(1-MIN(1,MAX(N($H711),N($H715))))</f>
        <v/>
      </c>
      <c r="L711" s="32" t="n"/>
      <c r="M711" s="34">
        <f>IF(AND(IF($I715&lt;&gt;"",$I715,$I711)="override",$L711&lt;&gt;""),$L711,SUMIFS(Assumptions!$P$4:$P$103,Assumptions!$M$4:$M$103,$C711,Assumptions!$N$4:$N$103,$E711,Assumptions!$O$4:$O$103,"LVN"))</f>
        <v/>
      </c>
      <c r="N711" s="32" t="n"/>
      <c r="O711" s="34">
        <f>IF(AND(IF($I715&lt;&gt;"",$I715,$I711)="override",$N711&lt;&gt;""),$N711,SUMIFS(Assumptions!$P$4:$P$103,Assumptions!$M$4:$M$103,$C711,Assumptions!$N$4:$N$103,$E711,Assumptions!$O$4:$O$103,"HVN"))</f>
        <v/>
      </c>
      <c r="P711" s="34">
        <f>(M711+O711)*Assumptions!$S$11</f>
        <v/>
      </c>
      <c r="Q711" s="35">
        <f>$F711*$K711*$P711</f>
        <v/>
      </c>
    </row>
    <row r="712">
      <c r="A712" s="11" t="inlineStr">
        <is>
          <t>UNIT</t>
        </is>
      </c>
      <c r="B712" s="28" t="inlineStr">
        <is>
          <t>HUNT_TUSCALOOSA</t>
        </is>
      </c>
      <c r="C712" s="28" t="n">
        <v>3</v>
      </c>
      <c r="D712" s="28" t="inlineStr">
        <is>
          <t>CCR</t>
        </is>
      </c>
      <c r="E712" s="28" t="inlineStr">
        <is>
          <t>REFORMER</t>
        </is>
      </c>
      <c r="F712" s="29" t="n">
        <v>15.3</v>
      </c>
      <c r="G712" s="30">
        <f>IFERROR(IF(INDEX(Effective!$E$3:$R$125,MATCH($B712,Effective!$A$3:$A$125,0),MATCH($D712,Effective!$E$2:$R$2,0))=0,"",INDEX(Effective!$E$3:$R$125,MATCH($B712,Effective!$A$3:$A$125,0),MATCH($D712,Effective!$E$2:$R$2,0))),"")</f>
        <v/>
      </c>
      <c r="H712" s="31" t="n"/>
      <c r="I712" s="17" t="inlineStr">
        <is>
          <t>override</t>
        </is>
      </c>
      <c r="J712" s="32" t="n">
        <v>0.375</v>
      </c>
      <c r="K712" s="33">
        <f>IF(AND(IF($I715&lt;&gt;"",$I715,$I712)="override",$J712&lt;&gt;""),$J712,SUMIFS(Assumptions!$K$4:$K$8,Assumptions!$J$4:$J$8,$C712))*Assumptions!$S$10*(1-MIN(1,MAX(N($H712),N($H715))))</f>
        <v/>
      </c>
      <c r="L712" s="32" t="n"/>
      <c r="M712" s="34">
        <f>IF(AND(IF($I715&lt;&gt;"",$I715,$I712)="override",$L712&lt;&gt;""),$L712,SUMIFS(Assumptions!$P$4:$P$103,Assumptions!$M$4:$M$103,$C712,Assumptions!$N$4:$N$103,$E712,Assumptions!$O$4:$O$103,"LVN"))</f>
        <v/>
      </c>
      <c r="N712" s="32" t="n"/>
      <c r="O712" s="34">
        <f>IF(AND(IF($I715&lt;&gt;"",$I715,$I712)="override",$N712&lt;&gt;""),$N712,SUMIFS(Assumptions!$P$4:$P$103,Assumptions!$M$4:$M$103,$C712,Assumptions!$N$4:$N$103,$E712,Assumptions!$O$4:$O$103,"HVN"))</f>
        <v/>
      </c>
      <c r="P712" s="34">
        <f>(M712+O712)*Assumptions!$S$11</f>
        <v/>
      </c>
      <c r="Q712" s="35">
        <f>$F712*$K712*$P712</f>
        <v/>
      </c>
    </row>
    <row r="713">
      <c r="A713" s="11" t="inlineStr">
        <is>
          <t>UNIT</t>
        </is>
      </c>
      <c r="B713" s="28" t="inlineStr">
        <is>
          <t>HUNT_TUSCALOOSA</t>
        </is>
      </c>
      <c r="C713" s="28" t="n">
        <v>3</v>
      </c>
      <c r="D713" s="28" t="inlineStr">
        <is>
          <t>ISOM</t>
        </is>
      </c>
      <c r="E713" s="28" t="inlineStr">
        <is>
          <t>ISOM</t>
        </is>
      </c>
      <c r="F713" s="29" t="n">
        <v>4.2</v>
      </c>
      <c r="G713" s="30">
        <f>IFERROR(IF(INDEX(Effective!$E$3:$R$125,MATCH($B713,Effective!$A$3:$A$125,0),MATCH($D713,Effective!$E$2:$R$2,0))=0,"",INDEX(Effective!$E$3:$R$125,MATCH($B713,Effective!$A$3:$A$125,0),MATCH($D713,Effective!$E$2:$R$2,0))),"")</f>
        <v/>
      </c>
      <c r="H713" s="31" t="n"/>
      <c r="I713" s="17" t="inlineStr">
        <is>
          <t>override</t>
        </is>
      </c>
      <c r="J713" s="32" t="n">
        <v>0.761</v>
      </c>
      <c r="K713" s="33">
        <f>IF(AND(IF($I715&lt;&gt;"",$I715,$I713)="override",$J713&lt;&gt;""),$J713,SUMIFS(Assumptions!$K$4:$K$8,Assumptions!$J$4:$J$8,$C713))*Assumptions!$S$10*(1-MIN(1,MAX(N($H713),N($H715))))</f>
        <v/>
      </c>
      <c r="L713" s="32" t="n"/>
      <c r="M713" s="34">
        <f>IF(AND(IF($I715&lt;&gt;"",$I715,$I713)="override",$L713&lt;&gt;""),$L713,SUMIFS(Assumptions!$P$4:$P$103,Assumptions!$M$4:$M$103,$C713,Assumptions!$N$4:$N$103,$E713,Assumptions!$O$4:$O$103,"LVN"))</f>
        <v/>
      </c>
      <c r="N713" s="32" t="n"/>
      <c r="O713" s="34">
        <f>IF(AND(IF($I715&lt;&gt;"",$I715,$I713)="override",$N713&lt;&gt;""),$N713,SUMIFS(Assumptions!$P$4:$P$103,Assumptions!$M$4:$M$103,$C713,Assumptions!$N$4:$N$103,$E713,Assumptions!$O$4:$O$103,"HVN"))</f>
        <v/>
      </c>
      <c r="P713" s="34">
        <f>(M713+O713)*Assumptions!$S$11</f>
        <v/>
      </c>
      <c r="Q713" s="35">
        <f>$F713*$K713*$P713</f>
        <v/>
      </c>
    </row>
    <row r="714">
      <c r="A714" s="11" t="inlineStr">
        <is>
          <t>UNIT</t>
        </is>
      </c>
      <c r="B714" s="28" t="inlineStr">
        <is>
          <t>HUNT_TUSCALOOSA</t>
        </is>
      </c>
      <c r="C714" s="28" t="n">
        <v>3</v>
      </c>
      <c r="D714" s="28" t="inlineStr">
        <is>
          <t>NHT</t>
        </is>
      </c>
      <c r="E714" s="28" t="inlineStr">
        <is>
          <t>NHT</t>
        </is>
      </c>
      <c r="F714" s="29" t="n">
        <v>12.1</v>
      </c>
      <c r="G714" s="30">
        <f>IFERROR(IF(INDEX(Effective!$E$3:$R$125,MATCH($B714,Effective!$A$3:$A$125,0),MATCH($D714,Effective!$E$2:$R$2,0))=0,"",INDEX(Effective!$E$3:$R$125,MATCH($B714,Effective!$A$3:$A$125,0),MATCH($D714,Effective!$E$2:$R$2,0))),"")</f>
        <v/>
      </c>
      <c r="H714" s="31" t="n"/>
      <c r="I714" s="17" t="inlineStr">
        <is>
          <t>override</t>
        </is>
      </c>
      <c r="J714" s="32" t="n">
        <v>0.352</v>
      </c>
      <c r="K714" s="33">
        <f>IF(AND(IF($I715&lt;&gt;"",$I715,$I714)="override",$J714&lt;&gt;""),$J714,SUMIFS(Assumptions!$K$4:$K$8,Assumptions!$J$4:$J$8,$C714))*Assumptions!$S$10*(1-MIN(1,MAX(N($H714),N($H715))))</f>
        <v/>
      </c>
      <c r="L714" s="32" t="n"/>
      <c r="M714" s="34">
        <f>IF(AND(IF($I715&lt;&gt;"",$I715,$I714)="override",$L714&lt;&gt;""),$L714,SUMIFS(Assumptions!$P$4:$P$103,Assumptions!$M$4:$M$103,$C714,Assumptions!$N$4:$N$103,$E714,Assumptions!$O$4:$O$103,"LVN"))</f>
        <v/>
      </c>
      <c r="N714" s="32" t="n"/>
      <c r="O714" s="34">
        <f>IF(AND(IF($I715&lt;&gt;"",$I715,$I714)="override",$N714&lt;&gt;""),$N714,SUMIFS(Assumptions!$P$4:$P$103,Assumptions!$M$4:$M$103,$C714,Assumptions!$N$4:$N$103,$E714,Assumptions!$O$4:$O$103,"HVN"))</f>
        <v/>
      </c>
      <c r="P714" s="34">
        <f>(M714+O714)*Assumptions!$S$11</f>
        <v/>
      </c>
      <c r="Q714" s="35">
        <f>$F714*$K714*$P714</f>
        <v/>
      </c>
    </row>
    <row r="715">
      <c r="A715" s="24" t="inlineStr">
        <is>
          <t>TOTAL</t>
        </is>
      </c>
      <c r="B715" s="36" t="inlineStr">
        <is>
          <t>HUNT_TUSCALOOSA</t>
        </is>
      </c>
      <c r="C715" s="36" t="n">
        <v>3</v>
      </c>
      <c r="D715" s="36" t="inlineStr">
        <is>
          <t>NET NAPHTHA</t>
        </is>
      </c>
      <c r="H715" s="31" t="n"/>
      <c r="I715" s="17" t="n"/>
      <c r="Q715" s="37">
        <f>SUM(Q708:Q714)</f>
        <v/>
      </c>
    </row>
    <row r="717" ht="20" customHeight="1">
      <c r="A717" s="8">
        <f>"  Ergon Vicksburg  [ERGON_VICKSBURG]   —   Ergon   —   PADD 3   —   crude "&amp;TEXT(SUMIFS(Data!$G$3:$G$125,Data!$A$3:$A$125,"ERGON_VICKSBURG"),"#,##0")&amp;" kbd"</f>
        <v/>
      </c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</row>
    <row r="718">
      <c r="A718" s="11" t="inlineStr">
        <is>
          <t>UNIT</t>
        </is>
      </c>
      <c r="B718" s="28" t="inlineStr">
        <is>
          <t>ERGON_VICKSBURG</t>
        </is>
      </c>
      <c r="C718" s="28" t="n">
        <v>3</v>
      </c>
      <c r="D718" s="28" t="inlineStr">
        <is>
          <t>CDU</t>
        </is>
      </c>
      <c r="E718" s="28" t="inlineStr">
        <is>
          <t>CDU</t>
        </is>
      </c>
      <c r="F718" s="29" t="n">
        <v>27.3</v>
      </c>
      <c r="G718" s="30">
        <f>IFERROR(IF(INDEX(Effective!$E$3:$R$125,MATCH($B718,Effective!$A$3:$A$125,0),MATCH($D718,Effective!$E$2:$R$2,0))=0,"",INDEX(Effective!$E$3:$R$125,MATCH($B718,Effective!$A$3:$A$125,0),MATCH($D718,Effective!$E$2:$R$2,0))),"")</f>
        <v/>
      </c>
      <c r="H718" s="31" t="n"/>
      <c r="I718" s="17" t="inlineStr">
        <is>
          <t>override</t>
        </is>
      </c>
      <c r="J718" s="32" t="n"/>
      <c r="K718" s="33">
        <f>IF(AND(IF($I721&lt;&gt;"",$I721,$I718)="override",$J718&lt;&gt;""),$J718,SUMIFS(Assumptions!$K$4:$K$8,Assumptions!$J$4:$J$8,$C718))*Assumptions!$S$10*(1-MIN(1,MAX(N($H718),N($H721))))</f>
        <v/>
      </c>
      <c r="L718" s="32" t="n"/>
      <c r="M718" s="34">
        <f>IF(AND(IF($I721&lt;&gt;"",$I721,$I718)="override",$L718&lt;&gt;""),$L718,SUMIFS(Assumptions!$P$4:$P$103,Assumptions!$M$4:$M$103,$C718,Assumptions!$N$4:$N$103,$E718,Assumptions!$O$4:$O$103,"LVN"))</f>
        <v/>
      </c>
      <c r="N718" s="32" t="n"/>
      <c r="O718" s="34">
        <f>IF(AND(IF($I721&lt;&gt;"",$I721,$I718)="override",$N718&lt;&gt;""),$N718,SUMIFS(Assumptions!$P$4:$P$103,Assumptions!$M$4:$M$103,$C718,Assumptions!$N$4:$N$103,$E718,Assumptions!$O$4:$O$103,"HVN"))</f>
        <v/>
      </c>
      <c r="P718" s="34">
        <f>(M718+O718)*Assumptions!$S$11</f>
        <v/>
      </c>
      <c r="Q718" s="35">
        <f>$F718*$K718*$P718</f>
        <v/>
      </c>
    </row>
    <row r="719">
      <c r="A719" s="11" t="inlineStr">
        <is>
          <t>UNIT</t>
        </is>
      </c>
      <c r="B719" s="28" t="inlineStr">
        <is>
          <t>ERGON_VICKSBURG</t>
        </is>
      </c>
      <c r="C719" s="28" t="n">
        <v>3</v>
      </c>
      <c r="D719" s="28" t="inlineStr">
        <is>
          <t>VDU</t>
        </is>
      </c>
      <c r="E719" s="28" t="inlineStr">
        <is>
          <t>VDU</t>
        </is>
      </c>
      <c r="F719" s="29" t="n">
        <v>18</v>
      </c>
      <c r="G719" s="30">
        <f>IFERROR(IF(INDEX(Effective!$E$3:$R$125,MATCH($B719,Effective!$A$3:$A$125,0),MATCH($D719,Effective!$E$2:$R$2,0))=0,"",INDEX(Effective!$E$3:$R$125,MATCH($B719,Effective!$A$3:$A$125,0),MATCH($D719,Effective!$E$2:$R$2,0))),"")</f>
        <v/>
      </c>
      <c r="H719" s="31" t="n"/>
      <c r="I719" s="17" t="inlineStr">
        <is>
          <t>override</t>
        </is>
      </c>
      <c r="J719" s="32" t="n"/>
      <c r="K719" s="33">
        <f>IF(AND(IF($I721&lt;&gt;"",$I721,$I719)="override",$J719&lt;&gt;""),$J719,SUMIFS(Assumptions!$K$4:$K$8,Assumptions!$J$4:$J$8,$C719))*Assumptions!$S$10*(1-MIN(1,MAX(N($H719),N($H721))))</f>
        <v/>
      </c>
      <c r="L719" s="32" t="n"/>
      <c r="M719" s="34">
        <f>IF(AND(IF($I721&lt;&gt;"",$I721,$I719)="override",$L719&lt;&gt;""),$L719,SUMIFS(Assumptions!$P$4:$P$103,Assumptions!$M$4:$M$103,$C719,Assumptions!$N$4:$N$103,$E719,Assumptions!$O$4:$O$103,"LVN"))</f>
        <v/>
      </c>
      <c r="N719" s="32" t="n"/>
      <c r="O719" s="34">
        <f>IF(AND(IF($I721&lt;&gt;"",$I721,$I719)="override",$N719&lt;&gt;""),$N719,SUMIFS(Assumptions!$P$4:$P$103,Assumptions!$M$4:$M$103,$C719,Assumptions!$N$4:$N$103,$E719,Assumptions!$O$4:$O$103,"HVN"))</f>
        <v/>
      </c>
      <c r="P719" s="34">
        <f>(M719+O719)*Assumptions!$S$11</f>
        <v/>
      </c>
      <c r="Q719" s="35">
        <f>$F719*$K719*$P719</f>
        <v/>
      </c>
    </row>
    <row r="720">
      <c r="A720" s="11" t="inlineStr">
        <is>
          <t>UNIT</t>
        </is>
      </c>
      <c r="B720" s="28" t="inlineStr">
        <is>
          <t>ERGON_VICKSBURG</t>
        </is>
      </c>
      <c r="C720" s="28" t="n">
        <v>3</v>
      </c>
      <c r="D720" s="28" t="inlineStr">
        <is>
          <t>NHT</t>
        </is>
      </c>
      <c r="E720" s="28" t="inlineStr">
        <is>
          <t>NHT</t>
        </is>
      </c>
      <c r="F720" s="29" t="n">
        <v>20.5</v>
      </c>
      <c r="G720" s="30">
        <f>IFERROR(IF(INDEX(Effective!$E$3:$R$125,MATCH($B720,Effective!$A$3:$A$125,0),MATCH($D720,Effective!$E$2:$R$2,0))=0,"",INDEX(Effective!$E$3:$R$125,MATCH($B720,Effective!$A$3:$A$125,0),MATCH($D720,Effective!$E$2:$R$2,0))),"")</f>
        <v/>
      </c>
      <c r="H720" s="31" t="n"/>
      <c r="I720" s="17" t="inlineStr">
        <is>
          <t>override</t>
        </is>
      </c>
      <c r="J720" s="32" t="n"/>
      <c r="K720" s="33">
        <f>IF(AND(IF($I721&lt;&gt;"",$I721,$I720)="override",$J720&lt;&gt;""),$J720,SUMIFS(Assumptions!$K$4:$K$8,Assumptions!$J$4:$J$8,$C720))*Assumptions!$S$10*(1-MIN(1,MAX(N($H720),N($H721))))</f>
        <v/>
      </c>
      <c r="L720" s="32" t="n"/>
      <c r="M720" s="34">
        <f>IF(AND(IF($I721&lt;&gt;"",$I721,$I720)="override",$L720&lt;&gt;""),$L720,SUMIFS(Assumptions!$P$4:$P$103,Assumptions!$M$4:$M$103,$C720,Assumptions!$N$4:$N$103,$E720,Assumptions!$O$4:$O$103,"LVN"))</f>
        <v/>
      </c>
      <c r="N720" s="32" t="n"/>
      <c r="O720" s="34">
        <f>IF(AND(IF($I721&lt;&gt;"",$I721,$I720)="override",$N720&lt;&gt;""),$N720,SUMIFS(Assumptions!$P$4:$P$103,Assumptions!$M$4:$M$103,$C720,Assumptions!$N$4:$N$103,$E720,Assumptions!$O$4:$O$103,"HVN"))</f>
        <v/>
      </c>
      <c r="P720" s="34">
        <f>(M720+O720)*Assumptions!$S$11</f>
        <v/>
      </c>
      <c r="Q720" s="35">
        <f>$F720*$K720*$P720</f>
        <v/>
      </c>
    </row>
    <row r="721">
      <c r="A721" s="24" t="inlineStr">
        <is>
          <t>TOTAL</t>
        </is>
      </c>
      <c r="B721" s="36" t="inlineStr">
        <is>
          <t>ERGON_VICKSBURG</t>
        </is>
      </c>
      <c r="C721" s="36" t="n">
        <v>3</v>
      </c>
      <c r="D721" s="36" t="inlineStr">
        <is>
          <t>NET NAPHTHA</t>
        </is>
      </c>
      <c r="H721" s="31" t="n"/>
      <c r="I721" s="17" t="n"/>
      <c r="Q721" s="37">
        <f>SUM(Q718:Q720)</f>
        <v/>
      </c>
    </row>
    <row r="723" ht="20" customHeight="1">
      <c r="A723" s="8">
        <f>"  Lazarus Energy San Antonio  [LAZARUS_SAN_ANTONIO]   —   Starlight Relativity Acquisition Co. LLC   —   PADD 3   —   crude "&amp;TEXT(SUMIFS(Data!$G$3:$G$125,Data!$A$3:$A$125,"LAZARUS_SAN_ANTONIO"),"#,##0")&amp;" kbd"</f>
        <v/>
      </c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</row>
    <row r="724">
      <c r="A724" s="11" t="inlineStr">
        <is>
          <t>UNIT</t>
        </is>
      </c>
      <c r="B724" s="28" t="inlineStr">
        <is>
          <t>LAZARUS_SAN_ANTONIO</t>
        </is>
      </c>
      <c r="C724" s="28" t="n">
        <v>3</v>
      </c>
      <c r="D724" s="28" t="inlineStr">
        <is>
          <t>CDU</t>
        </is>
      </c>
      <c r="E724" s="28" t="inlineStr">
        <is>
          <t>CDU</t>
        </is>
      </c>
      <c r="F724" s="29" t="n">
        <v>21</v>
      </c>
      <c r="G724" s="30">
        <f>IFERROR(IF(INDEX(Effective!$E$3:$R$125,MATCH($B724,Effective!$A$3:$A$125,0),MATCH($D724,Effective!$E$2:$R$2,0))=0,"",INDEX(Effective!$E$3:$R$125,MATCH($B724,Effective!$A$3:$A$125,0),MATCH($D724,Effective!$E$2:$R$2,0))),"")</f>
        <v/>
      </c>
      <c r="H724" s="31" t="n"/>
      <c r="I724" s="17" t="inlineStr">
        <is>
          <t>override</t>
        </is>
      </c>
      <c r="J724" s="32" t="n"/>
      <c r="K724" s="33">
        <f>IF(AND(IF($I727&lt;&gt;"",$I727,$I724)="override",$J724&lt;&gt;""),$J724,SUMIFS(Assumptions!$K$4:$K$8,Assumptions!$J$4:$J$8,$C724))*Assumptions!$S$10*(1-MIN(1,MAX(N($H724),N($H727))))</f>
        <v/>
      </c>
      <c r="L724" s="32" t="n"/>
      <c r="M724" s="34">
        <f>IF(AND(IF($I727&lt;&gt;"",$I727,$I724)="override",$L724&lt;&gt;""),$L724,SUMIFS(Assumptions!$P$4:$P$103,Assumptions!$M$4:$M$103,$C724,Assumptions!$N$4:$N$103,$E724,Assumptions!$O$4:$O$103,"LVN"))</f>
        <v/>
      </c>
      <c r="N724" s="32" t="n"/>
      <c r="O724" s="34">
        <f>IF(AND(IF($I727&lt;&gt;"",$I727,$I724)="override",$N724&lt;&gt;""),$N724,SUMIFS(Assumptions!$P$4:$P$103,Assumptions!$M$4:$M$103,$C724,Assumptions!$N$4:$N$103,$E724,Assumptions!$O$4:$O$103,"HVN"))</f>
        <v/>
      </c>
      <c r="P724" s="34">
        <f>(M724+O724)*Assumptions!$S$11</f>
        <v/>
      </c>
      <c r="Q724" s="35">
        <f>$F724*$K724*$P724</f>
        <v/>
      </c>
    </row>
    <row r="725">
      <c r="A725" s="11" t="inlineStr">
        <is>
          <t>UNIT</t>
        </is>
      </c>
      <c r="B725" s="28" t="inlineStr">
        <is>
          <t>LAZARUS_SAN_ANTONIO</t>
        </is>
      </c>
      <c r="C725" s="28" t="n">
        <v>3</v>
      </c>
      <c r="D725" s="28" t="inlineStr">
        <is>
          <t>REF</t>
        </is>
      </c>
      <c r="E725" s="28" t="inlineStr">
        <is>
          <t>REFORMER</t>
        </is>
      </c>
      <c r="F725" s="29" t="n">
        <v>6</v>
      </c>
      <c r="G725" s="30">
        <f>IFERROR(IF(INDEX(Effective!$E$3:$R$125,MATCH($B725,Effective!$A$3:$A$125,0),MATCH($D725,Effective!$E$2:$R$2,0))=0,"",INDEX(Effective!$E$3:$R$125,MATCH($B725,Effective!$A$3:$A$125,0),MATCH($D725,Effective!$E$2:$R$2,0))),"")</f>
        <v/>
      </c>
      <c r="H725" s="31" t="n"/>
      <c r="I725" s="17" t="inlineStr">
        <is>
          <t>override</t>
        </is>
      </c>
      <c r="J725" s="32" t="n"/>
      <c r="K725" s="33">
        <f>IF(AND(IF($I727&lt;&gt;"",$I727,$I725)="override",$J725&lt;&gt;""),$J725,SUMIFS(Assumptions!$K$4:$K$8,Assumptions!$J$4:$J$8,$C725))*Assumptions!$S$10*(1-MIN(1,MAX(N($H725),N($H727))))</f>
        <v/>
      </c>
      <c r="L725" s="32" t="n"/>
      <c r="M725" s="34">
        <f>IF(AND(IF($I727&lt;&gt;"",$I727,$I725)="override",$L725&lt;&gt;""),$L725,SUMIFS(Assumptions!$P$4:$P$103,Assumptions!$M$4:$M$103,$C725,Assumptions!$N$4:$N$103,$E725,Assumptions!$O$4:$O$103,"LVN"))</f>
        <v/>
      </c>
      <c r="N725" s="32" t="n"/>
      <c r="O725" s="34">
        <f>IF(AND(IF($I727&lt;&gt;"",$I727,$I725)="override",$N725&lt;&gt;""),$N725,SUMIFS(Assumptions!$P$4:$P$103,Assumptions!$M$4:$M$103,$C725,Assumptions!$N$4:$N$103,$E725,Assumptions!$O$4:$O$103,"HVN"))</f>
        <v/>
      </c>
      <c r="P725" s="34">
        <f>(M725+O725)*Assumptions!$S$11</f>
        <v/>
      </c>
      <c r="Q725" s="35">
        <f>$F725*$K725*$P725</f>
        <v/>
      </c>
    </row>
    <row r="726">
      <c r="A726" s="11" t="inlineStr">
        <is>
          <t>UNIT</t>
        </is>
      </c>
      <c r="B726" s="28" t="inlineStr">
        <is>
          <t>LAZARUS_SAN_ANTONIO</t>
        </is>
      </c>
      <c r="C726" s="28" t="n">
        <v>3</v>
      </c>
      <c r="D726" s="28" t="inlineStr">
        <is>
          <t>NHT</t>
        </is>
      </c>
      <c r="E726" s="28" t="inlineStr">
        <is>
          <t>NHT</t>
        </is>
      </c>
      <c r="F726" s="29" t="n">
        <v>7</v>
      </c>
      <c r="G726" s="30">
        <f>IFERROR(IF(INDEX(Effective!$E$3:$R$125,MATCH($B726,Effective!$A$3:$A$125,0),MATCH($D726,Effective!$E$2:$R$2,0))=0,"",INDEX(Effective!$E$3:$R$125,MATCH($B726,Effective!$A$3:$A$125,0),MATCH($D726,Effective!$E$2:$R$2,0))),"")</f>
        <v/>
      </c>
      <c r="H726" s="31" t="n"/>
      <c r="I726" s="17" t="inlineStr">
        <is>
          <t>override</t>
        </is>
      </c>
      <c r="J726" s="32" t="n"/>
      <c r="K726" s="33">
        <f>IF(AND(IF($I727&lt;&gt;"",$I727,$I726)="override",$J726&lt;&gt;""),$J726,SUMIFS(Assumptions!$K$4:$K$8,Assumptions!$J$4:$J$8,$C726))*Assumptions!$S$10*(1-MIN(1,MAX(N($H726),N($H727))))</f>
        <v/>
      </c>
      <c r="L726" s="32" t="n"/>
      <c r="M726" s="34">
        <f>IF(AND(IF($I727&lt;&gt;"",$I727,$I726)="override",$L726&lt;&gt;""),$L726,SUMIFS(Assumptions!$P$4:$P$103,Assumptions!$M$4:$M$103,$C726,Assumptions!$N$4:$N$103,$E726,Assumptions!$O$4:$O$103,"LVN"))</f>
        <v/>
      </c>
      <c r="N726" s="32" t="n"/>
      <c r="O726" s="34">
        <f>IF(AND(IF($I727&lt;&gt;"",$I727,$I726)="override",$N726&lt;&gt;""),$N726,SUMIFS(Assumptions!$P$4:$P$103,Assumptions!$M$4:$M$103,$C726,Assumptions!$N$4:$N$103,$E726,Assumptions!$O$4:$O$103,"HVN"))</f>
        <v/>
      </c>
      <c r="P726" s="34">
        <f>(M726+O726)*Assumptions!$S$11</f>
        <v/>
      </c>
      <c r="Q726" s="35">
        <f>$F726*$K726*$P726</f>
        <v/>
      </c>
    </row>
    <row r="727">
      <c r="A727" s="24" t="inlineStr">
        <is>
          <t>TOTAL</t>
        </is>
      </c>
      <c r="B727" s="36" t="inlineStr">
        <is>
          <t>LAZARUS_SAN_ANTONIO</t>
        </is>
      </c>
      <c r="C727" s="36" t="n">
        <v>3</v>
      </c>
      <c r="D727" s="36" t="inlineStr">
        <is>
          <t>NET NAPHTHA</t>
        </is>
      </c>
      <c r="H727" s="31" t="n"/>
      <c r="I727" s="17" t="n"/>
      <c r="Q727" s="37">
        <f>SUM(Q724:Q726)</f>
        <v/>
      </c>
    </row>
    <row r="729" ht="20" customHeight="1">
      <c r="A729" s="8">
        <f>"  Blue Dolphin Energy Nixon  [BLUE_NIXON]   —   Blue Dolphin Energy   —   PADD 3   —   crude "&amp;TEXT(SUMIFS(Data!$G$3:$G$125,Data!$A$3:$A$125,"BLUE_NIXON"),"#,##0")&amp;" kbd"</f>
        <v/>
      </c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</row>
    <row r="730">
      <c r="A730" s="11" t="inlineStr">
        <is>
          <t>UNIT</t>
        </is>
      </c>
      <c r="B730" s="28" t="inlineStr">
        <is>
          <t>BLUE_NIXON</t>
        </is>
      </c>
      <c r="C730" s="28" t="n">
        <v>3</v>
      </c>
      <c r="D730" s="28" t="inlineStr">
        <is>
          <t>CDU</t>
        </is>
      </c>
      <c r="E730" s="28" t="inlineStr">
        <is>
          <t>CDU</t>
        </is>
      </c>
      <c r="F730" s="29" t="n">
        <v>15</v>
      </c>
      <c r="G730" s="30">
        <f>IFERROR(IF(INDEX(Effective!$E$3:$R$125,MATCH($B730,Effective!$A$3:$A$125,0),MATCH($D730,Effective!$E$2:$R$2,0))=0,"",INDEX(Effective!$E$3:$R$125,MATCH($B730,Effective!$A$3:$A$125,0),MATCH($D730,Effective!$E$2:$R$2,0))),"")</f>
        <v/>
      </c>
      <c r="H730" s="31" t="n"/>
      <c r="I730" s="17" t="inlineStr">
        <is>
          <t>override</t>
        </is>
      </c>
      <c r="J730" s="32" t="n"/>
      <c r="K730" s="33">
        <f>IF(AND(IF($I731&lt;&gt;"",$I731,$I730)="override",$J730&lt;&gt;""),$J730,SUMIFS(Assumptions!$K$4:$K$8,Assumptions!$J$4:$J$8,$C730))*Assumptions!$S$10*(1-MIN(1,MAX(N($H730),N($H731))))</f>
        <v/>
      </c>
      <c r="L730" s="32" t="n"/>
      <c r="M730" s="34">
        <f>IF(AND(IF($I731&lt;&gt;"",$I731,$I730)="override",$L730&lt;&gt;""),$L730,SUMIFS(Assumptions!$P$4:$P$103,Assumptions!$M$4:$M$103,$C730,Assumptions!$N$4:$N$103,$E730,Assumptions!$O$4:$O$103,"LVN"))</f>
        <v/>
      </c>
      <c r="N730" s="32" t="n"/>
      <c r="O730" s="34">
        <f>IF(AND(IF($I731&lt;&gt;"",$I731,$I730)="override",$N730&lt;&gt;""),$N730,SUMIFS(Assumptions!$P$4:$P$103,Assumptions!$M$4:$M$103,$C730,Assumptions!$N$4:$N$103,$E730,Assumptions!$O$4:$O$103,"HVN"))</f>
        <v/>
      </c>
      <c r="P730" s="34">
        <f>(M730+O730)*Assumptions!$S$11</f>
        <v/>
      </c>
      <c r="Q730" s="35">
        <f>$F730*$K730*$P730</f>
        <v/>
      </c>
    </row>
    <row r="731">
      <c r="A731" s="24" t="inlineStr">
        <is>
          <t>TOTAL</t>
        </is>
      </c>
      <c r="B731" s="36" t="inlineStr">
        <is>
          <t>BLUE_NIXON</t>
        </is>
      </c>
      <c r="C731" s="36" t="n">
        <v>3</v>
      </c>
      <c r="D731" s="36" t="inlineStr">
        <is>
          <t>NET NAPHTHA</t>
        </is>
      </c>
      <c r="H731" s="31" t="n"/>
      <c r="I731" s="17" t="n"/>
      <c r="Q731" s="37">
        <f>SUM(Q730:Q730)</f>
        <v/>
      </c>
    </row>
    <row r="733" ht="20" customHeight="1">
      <c r="A733" s="8">
        <f>"  Calumet Lubricants Co. Cotton Valley  [CALUMET_COTTON_VALLEY]   —   Calumet Lubricants Co.   —   PADD 3   —   crude "&amp;TEXT(SUMIFS(Data!$G$3:$G$125,Data!$A$3:$A$125,"CALUMET_COTTON_VALLEY"),"#,##0")&amp;" kbd"</f>
        <v/>
      </c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</row>
    <row r="734">
      <c r="A734" s="11" t="inlineStr">
        <is>
          <t>UNIT</t>
        </is>
      </c>
      <c r="B734" s="28" t="inlineStr">
        <is>
          <t>CALUMET_COTTON_VALLEY</t>
        </is>
      </c>
      <c r="C734" s="28" t="n">
        <v>3</v>
      </c>
      <c r="D734" s="28" t="inlineStr">
        <is>
          <t>CDU</t>
        </is>
      </c>
      <c r="E734" s="28" t="inlineStr">
        <is>
          <t>CDU</t>
        </is>
      </c>
      <c r="F734" s="29" t="n">
        <v>14</v>
      </c>
      <c r="G734" s="30">
        <f>IFERROR(IF(INDEX(Effective!$E$3:$R$125,MATCH($B734,Effective!$A$3:$A$125,0),MATCH($D734,Effective!$E$2:$R$2,0))=0,"",INDEX(Effective!$E$3:$R$125,MATCH($B734,Effective!$A$3:$A$125,0),MATCH($D734,Effective!$E$2:$R$2,0))),"")</f>
        <v/>
      </c>
      <c r="H734" s="31" t="n"/>
      <c r="I734" s="17" t="inlineStr">
        <is>
          <t>override</t>
        </is>
      </c>
      <c r="J734" s="32" t="n"/>
      <c r="K734" s="33">
        <f>IF(AND(IF($I737&lt;&gt;"",$I737,$I734)="override",$J734&lt;&gt;""),$J734,SUMIFS(Assumptions!$K$4:$K$8,Assumptions!$J$4:$J$8,$C734))*Assumptions!$S$10*(1-MIN(1,MAX(N($H734),N($H737))))</f>
        <v/>
      </c>
      <c r="L734" s="32" t="n"/>
      <c r="M734" s="34">
        <f>IF(AND(IF($I737&lt;&gt;"",$I737,$I734)="override",$L734&lt;&gt;""),$L734,SUMIFS(Assumptions!$P$4:$P$103,Assumptions!$M$4:$M$103,$C734,Assumptions!$N$4:$N$103,$E734,Assumptions!$O$4:$O$103,"LVN"))</f>
        <v/>
      </c>
      <c r="N734" s="32" t="n"/>
      <c r="O734" s="34">
        <f>IF(AND(IF($I737&lt;&gt;"",$I737,$I734)="override",$N734&lt;&gt;""),$N734,SUMIFS(Assumptions!$P$4:$P$103,Assumptions!$M$4:$M$103,$C734,Assumptions!$N$4:$N$103,$E734,Assumptions!$O$4:$O$103,"HVN"))</f>
        <v/>
      </c>
      <c r="P734" s="34">
        <f>(M734+O734)*Assumptions!$S$11</f>
        <v/>
      </c>
      <c r="Q734" s="35">
        <f>$F734*$K734*$P734</f>
        <v/>
      </c>
    </row>
    <row r="735">
      <c r="A735" s="11" t="inlineStr">
        <is>
          <t>UNIT</t>
        </is>
      </c>
      <c r="B735" s="28" t="inlineStr">
        <is>
          <t>CALUMET_COTTON_VALLEY</t>
        </is>
      </c>
      <c r="C735" s="28" t="n">
        <v>3</v>
      </c>
      <c r="D735" s="28" t="inlineStr">
        <is>
          <t>ISOM</t>
        </is>
      </c>
      <c r="E735" s="28" t="inlineStr">
        <is>
          <t>ISOM</t>
        </is>
      </c>
      <c r="F735" s="29" t="n">
        <v>0.5</v>
      </c>
      <c r="G735" s="30">
        <f>IFERROR(IF(INDEX(Effective!$E$3:$R$125,MATCH($B735,Effective!$A$3:$A$125,0),MATCH($D735,Effective!$E$2:$R$2,0))=0,"",INDEX(Effective!$E$3:$R$125,MATCH($B735,Effective!$A$3:$A$125,0),MATCH($D735,Effective!$E$2:$R$2,0))),"")</f>
        <v/>
      </c>
      <c r="H735" s="31" t="n"/>
      <c r="I735" s="17" t="inlineStr">
        <is>
          <t>override</t>
        </is>
      </c>
      <c r="J735" s="32" t="n"/>
      <c r="K735" s="33">
        <f>IF(AND(IF($I737&lt;&gt;"",$I737,$I735)="override",$J735&lt;&gt;""),$J735,SUMIFS(Assumptions!$K$4:$K$8,Assumptions!$J$4:$J$8,$C735))*Assumptions!$S$10*(1-MIN(1,MAX(N($H735),N($H737))))</f>
        <v/>
      </c>
      <c r="L735" s="32" t="n"/>
      <c r="M735" s="34">
        <f>IF(AND(IF($I737&lt;&gt;"",$I737,$I735)="override",$L735&lt;&gt;""),$L735,SUMIFS(Assumptions!$P$4:$P$103,Assumptions!$M$4:$M$103,$C735,Assumptions!$N$4:$N$103,$E735,Assumptions!$O$4:$O$103,"LVN"))</f>
        <v/>
      </c>
      <c r="N735" s="32" t="n"/>
      <c r="O735" s="34">
        <f>IF(AND(IF($I737&lt;&gt;"",$I737,$I735)="override",$N735&lt;&gt;""),$N735,SUMIFS(Assumptions!$P$4:$P$103,Assumptions!$M$4:$M$103,$C735,Assumptions!$N$4:$N$103,$E735,Assumptions!$O$4:$O$103,"HVN"))</f>
        <v/>
      </c>
      <c r="P735" s="34">
        <f>(M735+O735)*Assumptions!$S$11</f>
        <v/>
      </c>
      <c r="Q735" s="35">
        <f>$F735*$K735*$P735</f>
        <v/>
      </c>
    </row>
    <row r="736">
      <c r="A736" s="11" t="inlineStr">
        <is>
          <t>UNIT</t>
        </is>
      </c>
      <c r="B736" s="28" t="inlineStr">
        <is>
          <t>CALUMET_COTTON_VALLEY</t>
        </is>
      </c>
      <c r="C736" s="28" t="n">
        <v>3</v>
      </c>
      <c r="D736" s="28" t="inlineStr">
        <is>
          <t>NHT</t>
        </is>
      </c>
      <c r="E736" s="28" t="inlineStr">
        <is>
          <t>NHT</t>
        </is>
      </c>
      <c r="F736" s="29" t="n">
        <v>6.5</v>
      </c>
      <c r="G736" s="30">
        <f>IFERROR(IF(INDEX(Effective!$E$3:$R$125,MATCH($B736,Effective!$A$3:$A$125,0),MATCH($D736,Effective!$E$2:$R$2,0))=0,"",INDEX(Effective!$E$3:$R$125,MATCH($B736,Effective!$A$3:$A$125,0),MATCH($D736,Effective!$E$2:$R$2,0))),"")</f>
        <v/>
      </c>
      <c r="H736" s="31" t="n"/>
      <c r="I736" s="17" t="inlineStr">
        <is>
          <t>override</t>
        </is>
      </c>
      <c r="J736" s="32" t="n"/>
      <c r="K736" s="33">
        <f>IF(AND(IF($I737&lt;&gt;"",$I737,$I736)="override",$J736&lt;&gt;""),$J736,SUMIFS(Assumptions!$K$4:$K$8,Assumptions!$J$4:$J$8,$C736))*Assumptions!$S$10*(1-MIN(1,MAX(N($H736),N($H737))))</f>
        <v/>
      </c>
      <c r="L736" s="32" t="n"/>
      <c r="M736" s="34">
        <f>IF(AND(IF($I737&lt;&gt;"",$I737,$I736)="override",$L736&lt;&gt;""),$L736,SUMIFS(Assumptions!$P$4:$P$103,Assumptions!$M$4:$M$103,$C736,Assumptions!$N$4:$N$103,$E736,Assumptions!$O$4:$O$103,"LVN"))</f>
        <v/>
      </c>
      <c r="N736" s="32" t="n"/>
      <c r="O736" s="34">
        <f>IF(AND(IF($I737&lt;&gt;"",$I737,$I736)="override",$N736&lt;&gt;""),$N736,SUMIFS(Assumptions!$P$4:$P$103,Assumptions!$M$4:$M$103,$C736,Assumptions!$N$4:$N$103,$E736,Assumptions!$O$4:$O$103,"HVN"))</f>
        <v/>
      </c>
      <c r="P736" s="34">
        <f>(M736+O736)*Assumptions!$S$11</f>
        <v/>
      </c>
      <c r="Q736" s="35">
        <f>$F736*$K736*$P736</f>
        <v/>
      </c>
    </row>
    <row r="737">
      <c r="A737" s="24" t="inlineStr">
        <is>
          <t>TOTAL</t>
        </is>
      </c>
      <c r="B737" s="36" t="inlineStr">
        <is>
          <t>CALUMET_COTTON_VALLEY</t>
        </is>
      </c>
      <c r="C737" s="36" t="n">
        <v>3</v>
      </c>
      <c r="D737" s="36" t="inlineStr">
        <is>
          <t>NET NAPHTHA</t>
        </is>
      </c>
      <c r="H737" s="31" t="n"/>
      <c r="I737" s="17" t="n"/>
      <c r="Q737" s="37">
        <f>SUM(Q734:Q736)</f>
        <v/>
      </c>
    </row>
    <row r="739" ht="20" customHeight="1">
      <c r="A739" s="8">
        <f>"  Hunt Refining Consolidated Sandersville  [HUNT_SANDERSVILLE]   —   Hunt Refining Consolidated   —   PADD 3   —   crude "&amp;TEXT(SUMIFS(Data!$G$3:$G$125,Data!$A$3:$A$125,"HUNT_SANDERSVILLE"),"#,##0")&amp;" kbd"</f>
        <v/>
      </c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</row>
    <row r="740">
      <c r="A740" s="11" t="inlineStr">
        <is>
          <t>UNIT</t>
        </is>
      </c>
      <c r="B740" s="28" t="inlineStr">
        <is>
          <t>HUNT_SANDERSVILLE</t>
        </is>
      </c>
      <c r="C740" s="28" t="n">
        <v>3</v>
      </c>
      <c r="D740" s="28" t="inlineStr">
        <is>
          <t>CDU</t>
        </is>
      </c>
      <c r="E740" s="28" t="inlineStr">
        <is>
          <t>CDU</t>
        </is>
      </c>
      <c r="F740" s="29" t="n">
        <v>12.5</v>
      </c>
      <c r="G740" s="30">
        <f>IFERROR(IF(INDEX(Effective!$E$3:$R$125,MATCH($B740,Effective!$A$3:$A$125,0),MATCH($D740,Effective!$E$2:$R$2,0))=0,"",INDEX(Effective!$E$3:$R$125,MATCH($B740,Effective!$A$3:$A$125,0),MATCH($D740,Effective!$E$2:$R$2,0))),"")</f>
        <v/>
      </c>
      <c r="H740" s="31" t="n"/>
      <c r="I740" s="17" t="inlineStr">
        <is>
          <t>override</t>
        </is>
      </c>
      <c r="J740" s="32" t="n"/>
      <c r="K740" s="33">
        <f>IF(AND(IF($I742&lt;&gt;"",$I742,$I740)="override",$J740&lt;&gt;""),$J740,SUMIFS(Assumptions!$K$4:$K$8,Assumptions!$J$4:$J$8,$C740))*Assumptions!$S$10*(1-MIN(1,MAX(N($H740),N($H742))))</f>
        <v/>
      </c>
      <c r="L740" s="32" t="n"/>
      <c r="M740" s="34">
        <f>IF(AND(IF($I742&lt;&gt;"",$I742,$I740)="override",$L740&lt;&gt;""),$L740,SUMIFS(Assumptions!$P$4:$P$103,Assumptions!$M$4:$M$103,$C740,Assumptions!$N$4:$N$103,$E740,Assumptions!$O$4:$O$103,"LVN"))</f>
        <v/>
      </c>
      <c r="N740" s="32" t="n"/>
      <c r="O740" s="34">
        <f>IF(AND(IF($I742&lt;&gt;"",$I742,$I740)="override",$N740&lt;&gt;""),$N740,SUMIFS(Assumptions!$P$4:$P$103,Assumptions!$M$4:$M$103,$C740,Assumptions!$N$4:$N$103,$E740,Assumptions!$O$4:$O$103,"HVN"))</f>
        <v/>
      </c>
      <c r="P740" s="34">
        <f>(M740+O740)*Assumptions!$S$11</f>
        <v/>
      </c>
      <c r="Q740" s="35">
        <f>$F740*$K740*$P740</f>
        <v/>
      </c>
    </row>
    <row r="741">
      <c r="A741" s="11" t="inlineStr">
        <is>
          <t>UNIT</t>
        </is>
      </c>
      <c r="B741" s="28" t="inlineStr">
        <is>
          <t>HUNT_SANDERSVILLE</t>
        </is>
      </c>
      <c r="C741" s="28" t="n">
        <v>3</v>
      </c>
      <c r="D741" s="28" t="inlineStr">
        <is>
          <t>VDU</t>
        </is>
      </c>
      <c r="E741" s="28" t="inlineStr">
        <is>
          <t>VDU</t>
        </is>
      </c>
      <c r="F741" s="29" t="n">
        <v>6.88</v>
      </c>
      <c r="G741" s="30">
        <f>IFERROR(IF(INDEX(Effective!$E$3:$R$125,MATCH($B741,Effective!$A$3:$A$125,0),MATCH($D741,Effective!$E$2:$R$2,0))=0,"",INDEX(Effective!$E$3:$R$125,MATCH($B741,Effective!$A$3:$A$125,0),MATCH($D741,Effective!$E$2:$R$2,0))),"")</f>
        <v/>
      </c>
      <c r="H741" s="31" t="n"/>
      <c r="I741" s="17" t="inlineStr">
        <is>
          <t>override</t>
        </is>
      </c>
      <c r="J741" s="32" t="n"/>
      <c r="K741" s="33">
        <f>IF(AND(IF($I742&lt;&gt;"",$I742,$I741)="override",$J741&lt;&gt;""),$J741,SUMIFS(Assumptions!$K$4:$K$8,Assumptions!$J$4:$J$8,$C741))*Assumptions!$S$10*(1-MIN(1,MAX(N($H741),N($H742))))</f>
        <v/>
      </c>
      <c r="L741" s="32" t="n"/>
      <c r="M741" s="34">
        <f>IF(AND(IF($I742&lt;&gt;"",$I742,$I741)="override",$L741&lt;&gt;""),$L741,SUMIFS(Assumptions!$P$4:$P$103,Assumptions!$M$4:$M$103,$C741,Assumptions!$N$4:$N$103,$E741,Assumptions!$O$4:$O$103,"LVN"))</f>
        <v/>
      </c>
      <c r="N741" s="32" t="n"/>
      <c r="O741" s="34">
        <f>IF(AND(IF($I742&lt;&gt;"",$I742,$I741)="override",$N741&lt;&gt;""),$N741,SUMIFS(Assumptions!$P$4:$P$103,Assumptions!$M$4:$M$103,$C741,Assumptions!$N$4:$N$103,$E741,Assumptions!$O$4:$O$103,"HVN"))</f>
        <v/>
      </c>
      <c r="P741" s="34">
        <f>(M741+O741)*Assumptions!$S$11</f>
        <v/>
      </c>
      <c r="Q741" s="35">
        <f>$F741*$K741*$P741</f>
        <v/>
      </c>
    </row>
    <row r="742">
      <c r="A742" s="24" t="inlineStr">
        <is>
          <t>TOTAL</t>
        </is>
      </c>
      <c r="B742" s="36" t="inlineStr">
        <is>
          <t>HUNT_SANDERSVILLE</t>
        </is>
      </c>
      <c r="C742" s="36" t="n">
        <v>3</v>
      </c>
      <c r="D742" s="36" t="inlineStr">
        <is>
          <t>NET NAPHTHA</t>
        </is>
      </c>
      <c r="H742" s="31" t="n"/>
      <c r="I742" s="17" t="n"/>
      <c r="Q742" s="37">
        <f>SUM(Q740:Q741)</f>
        <v/>
      </c>
    </row>
    <row r="744" ht="20" customHeight="1">
      <c r="A744" s="8">
        <f>"  Calumet Lubricants Co. Princeton  [CALUMET_PRINCETON]   —   Calumet Lubricants Co.   —   PADD 3   —   crude "&amp;TEXT(SUMIFS(Data!$G$3:$G$125,Data!$A$3:$A$125,"CALUMET_PRINCETON"),"#,##0")&amp;" kbd"</f>
        <v/>
      </c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</row>
    <row r="745">
      <c r="A745" s="11" t="inlineStr">
        <is>
          <t>UNIT</t>
        </is>
      </c>
      <c r="B745" s="28" t="inlineStr">
        <is>
          <t>CALUMET_PRINCETON</t>
        </is>
      </c>
      <c r="C745" s="28" t="n">
        <v>3</v>
      </c>
      <c r="D745" s="28" t="inlineStr">
        <is>
          <t>CDU</t>
        </is>
      </c>
      <c r="E745" s="28" t="inlineStr">
        <is>
          <t>CDU</t>
        </is>
      </c>
      <c r="F745" s="29" t="n">
        <v>8.65</v>
      </c>
      <c r="G745" s="30">
        <f>IFERROR(IF(INDEX(Effective!$E$3:$R$125,MATCH($B745,Effective!$A$3:$A$125,0),MATCH($D745,Effective!$E$2:$R$2,0))=0,"",INDEX(Effective!$E$3:$R$125,MATCH($B745,Effective!$A$3:$A$125,0),MATCH($D745,Effective!$E$2:$R$2,0))),"")</f>
        <v/>
      </c>
      <c r="H745" s="31" t="n"/>
      <c r="I745" s="17" t="inlineStr">
        <is>
          <t>override</t>
        </is>
      </c>
      <c r="J745" s="32" t="n"/>
      <c r="K745" s="33">
        <f>IF(AND(IF($I747&lt;&gt;"",$I747,$I745)="override",$J745&lt;&gt;""),$J745,SUMIFS(Assumptions!$K$4:$K$8,Assumptions!$J$4:$J$8,$C745))*Assumptions!$S$10*(1-MIN(1,MAX(N($H745),N($H747))))</f>
        <v/>
      </c>
      <c r="L745" s="32" t="n"/>
      <c r="M745" s="34">
        <f>IF(AND(IF($I747&lt;&gt;"",$I747,$I745)="override",$L745&lt;&gt;""),$L745,SUMIFS(Assumptions!$P$4:$P$103,Assumptions!$M$4:$M$103,$C745,Assumptions!$N$4:$N$103,$E745,Assumptions!$O$4:$O$103,"LVN"))</f>
        <v/>
      </c>
      <c r="N745" s="32" t="n"/>
      <c r="O745" s="34">
        <f>IF(AND(IF($I747&lt;&gt;"",$I747,$I745)="override",$N745&lt;&gt;""),$N745,SUMIFS(Assumptions!$P$4:$P$103,Assumptions!$M$4:$M$103,$C745,Assumptions!$N$4:$N$103,$E745,Assumptions!$O$4:$O$103,"HVN"))</f>
        <v/>
      </c>
      <c r="P745" s="34">
        <f>(M745+O745)*Assumptions!$S$11</f>
        <v/>
      </c>
      <c r="Q745" s="35">
        <f>$F745*$K745*$P745</f>
        <v/>
      </c>
    </row>
    <row r="746">
      <c r="A746" s="11" t="inlineStr">
        <is>
          <t>UNIT</t>
        </is>
      </c>
      <c r="B746" s="28" t="inlineStr">
        <is>
          <t>CALUMET_PRINCETON</t>
        </is>
      </c>
      <c r="C746" s="28" t="n">
        <v>3</v>
      </c>
      <c r="D746" s="28" t="inlineStr">
        <is>
          <t>VDU</t>
        </is>
      </c>
      <c r="E746" s="28" t="inlineStr">
        <is>
          <t>VDU</t>
        </is>
      </c>
      <c r="F746" s="29" t="n">
        <v>7</v>
      </c>
      <c r="G746" s="30">
        <f>IFERROR(IF(INDEX(Effective!$E$3:$R$125,MATCH($B746,Effective!$A$3:$A$125,0),MATCH($D746,Effective!$E$2:$R$2,0))=0,"",INDEX(Effective!$E$3:$R$125,MATCH($B746,Effective!$A$3:$A$125,0),MATCH($D746,Effective!$E$2:$R$2,0))),"")</f>
        <v/>
      </c>
      <c r="H746" s="31" t="n"/>
      <c r="I746" s="17" t="inlineStr">
        <is>
          <t>override</t>
        </is>
      </c>
      <c r="J746" s="32" t="n"/>
      <c r="K746" s="33">
        <f>IF(AND(IF($I747&lt;&gt;"",$I747,$I746)="override",$J746&lt;&gt;""),$J746,SUMIFS(Assumptions!$K$4:$K$8,Assumptions!$J$4:$J$8,$C746))*Assumptions!$S$10*(1-MIN(1,MAX(N($H746),N($H747))))</f>
        <v/>
      </c>
      <c r="L746" s="32" t="n"/>
      <c r="M746" s="34">
        <f>IF(AND(IF($I747&lt;&gt;"",$I747,$I746)="override",$L746&lt;&gt;""),$L746,SUMIFS(Assumptions!$P$4:$P$103,Assumptions!$M$4:$M$103,$C746,Assumptions!$N$4:$N$103,$E746,Assumptions!$O$4:$O$103,"LVN"))</f>
        <v/>
      </c>
      <c r="N746" s="32" t="n"/>
      <c r="O746" s="34">
        <f>IF(AND(IF($I747&lt;&gt;"",$I747,$I746)="override",$N746&lt;&gt;""),$N746,SUMIFS(Assumptions!$P$4:$P$103,Assumptions!$M$4:$M$103,$C746,Assumptions!$N$4:$N$103,$E746,Assumptions!$O$4:$O$103,"HVN"))</f>
        <v/>
      </c>
      <c r="P746" s="34">
        <f>(M746+O746)*Assumptions!$S$11</f>
        <v/>
      </c>
      <c r="Q746" s="35">
        <f>$F746*$K746*$P746</f>
        <v/>
      </c>
    </row>
    <row r="747">
      <c r="A747" s="24" t="inlineStr">
        <is>
          <t>TOTAL</t>
        </is>
      </c>
      <c r="B747" s="36" t="inlineStr">
        <is>
          <t>CALUMET_PRINCETON</t>
        </is>
      </c>
      <c r="C747" s="36" t="n">
        <v>3</v>
      </c>
      <c r="D747" s="36" t="inlineStr">
        <is>
          <t>NET NAPHTHA</t>
        </is>
      </c>
      <c r="H747" s="31" t="n"/>
      <c r="I747" s="17" t="n"/>
      <c r="Q747" s="37">
        <f>SUM(Q745:Q746)</f>
        <v/>
      </c>
    </row>
    <row r="749" ht="20" customHeight="1">
      <c r="A749" s="8">
        <f>"  Cross Oil and Ref.Co. Smackover  [CROSS_SMACKOVER]   —   Cross Oil and Ref.Co.   —   PADD 3   —   crude "&amp;TEXT(SUMIFS(Data!$G$3:$G$125,Data!$A$3:$A$125,"CROSS_SMACKOVER"),"#,##0")&amp;" kbd"</f>
        <v/>
      </c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</row>
    <row r="750">
      <c r="A750" s="11" t="inlineStr">
        <is>
          <t>UNIT</t>
        </is>
      </c>
      <c r="B750" s="28" t="inlineStr">
        <is>
          <t>CROSS_SMACKOVER</t>
        </is>
      </c>
      <c r="C750" s="28" t="n">
        <v>3</v>
      </c>
      <c r="D750" s="28" t="inlineStr">
        <is>
          <t>CDU</t>
        </is>
      </c>
      <c r="E750" s="28" t="inlineStr">
        <is>
          <t>CDU</t>
        </is>
      </c>
      <c r="F750" s="29" t="n">
        <v>7.7</v>
      </c>
      <c r="G750" s="30">
        <f>IFERROR(IF(INDEX(Effective!$E$3:$R$125,MATCH($B750,Effective!$A$3:$A$125,0),MATCH($D750,Effective!$E$2:$R$2,0))=0,"",INDEX(Effective!$E$3:$R$125,MATCH($B750,Effective!$A$3:$A$125,0),MATCH($D750,Effective!$E$2:$R$2,0))),"")</f>
        <v/>
      </c>
      <c r="H750" s="31" t="n"/>
      <c r="I750" s="17" t="inlineStr">
        <is>
          <t>override</t>
        </is>
      </c>
      <c r="J750" s="32" t="n"/>
      <c r="K750" s="33">
        <f>IF(AND(IF($I752&lt;&gt;"",$I752,$I750)="override",$J750&lt;&gt;""),$J750,SUMIFS(Assumptions!$K$4:$K$8,Assumptions!$J$4:$J$8,$C750))*Assumptions!$S$10*(1-MIN(1,MAX(N($H750),N($H752))))</f>
        <v/>
      </c>
      <c r="L750" s="32" t="n"/>
      <c r="M750" s="34">
        <f>IF(AND(IF($I752&lt;&gt;"",$I752,$I750)="override",$L750&lt;&gt;""),$L750,SUMIFS(Assumptions!$P$4:$P$103,Assumptions!$M$4:$M$103,$C750,Assumptions!$N$4:$N$103,$E750,Assumptions!$O$4:$O$103,"LVN"))</f>
        <v/>
      </c>
      <c r="N750" s="32" t="n"/>
      <c r="O750" s="34">
        <f>IF(AND(IF($I752&lt;&gt;"",$I752,$I750)="override",$N750&lt;&gt;""),$N750,SUMIFS(Assumptions!$P$4:$P$103,Assumptions!$M$4:$M$103,$C750,Assumptions!$N$4:$N$103,$E750,Assumptions!$O$4:$O$103,"HVN"))</f>
        <v/>
      </c>
      <c r="P750" s="34">
        <f>(M750+O750)*Assumptions!$S$11</f>
        <v/>
      </c>
      <c r="Q750" s="35">
        <f>$F750*$K750*$P750</f>
        <v/>
      </c>
    </row>
    <row r="751">
      <c r="A751" s="11" t="inlineStr">
        <is>
          <t>UNIT</t>
        </is>
      </c>
      <c r="B751" s="28" t="inlineStr">
        <is>
          <t>CROSS_SMACKOVER</t>
        </is>
      </c>
      <c r="C751" s="28" t="n">
        <v>3</v>
      </c>
      <c r="D751" s="28" t="inlineStr">
        <is>
          <t>VDU</t>
        </is>
      </c>
      <c r="E751" s="28" t="inlineStr">
        <is>
          <t>VDU</t>
        </is>
      </c>
      <c r="F751" s="29" t="n">
        <v>3.85</v>
      </c>
      <c r="G751" s="30">
        <f>IFERROR(IF(INDEX(Effective!$E$3:$R$125,MATCH($B751,Effective!$A$3:$A$125,0),MATCH($D751,Effective!$E$2:$R$2,0))=0,"",INDEX(Effective!$E$3:$R$125,MATCH($B751,Effective!$A$3:$A$125,0),MATCH($D751,Effective!$E$2:$R$2,0))),"")</f>
        <v/>
      </c>
      <c r="H751" s="31" t="n"/>
      <c r="I751" s="17" t="inlineStr">
        <is>
          <t>override</t>
        </is>
      </c>
      <c r="J751" s="32" t="n"/>
      <c r="K751" s="33">
        <f>IF(AND(IF($I752&lt;&gt;"",$I752,$I751)="override",$J751&lt;&gt;""),$J751,SUMIFS(Assumptions!$K$4:$K$8,Assumptions!$J$4:$J$8,$C751))*Assumptions!$S$10*(1-MIN(1,MAX(N($H751),N($H752))))</f>
        <v/>
      </c>
      <c r="L751" s="32" t="n"/>
      <c r="M751" s="34">
        <f>IF(AND(IF($I752&lt;&gt;"",$I752,$I751)="override",$L751&lt;&gt;""),$L751,SUMIFS(Assumptions!$P$4:$P$103,Assumptions!$M$4:$M$103,$C751,Assumptions!$N$4:$N$103,$E751,Assumptions!$O$4:$O$103,"LVN"))</f>
        <v/>
      </c>
      <c r="N751" s="32" t="n"/>
      <c r="O751" s="34">
        <f>IF(AND(IF($I752&lt;&gt;"",$I752,$I751)="override",$N751&lt;&gt;""),$N751,SUMIFS(Assumptions!$P$4:$P$103,Assumptions!$M$4:$M$103,$C751,Assumptions!$N$4:$N$103,$E751,Assumptions!$O$4:$O$103,"HVN"))</f>
        <v/>
      </c>
      <c r="P751" s="34">
        <f>(M751+O751)*Assumptions!$S$11</f>
        <v/>
      </c>
      <c r="Q751" s="35">
        <f>$F751*$K751*$P751</f>
        <v/>
      </c>
    </row>
    <row r="752">
      <c r="A752" s="24" t="inlineStr">
        <is>
          <t>TOTAL</t>
        </is>
      </c>
      <c r="B752" s="36" t="inlineStr">
        <is>
          <t>CROSS_SMACKOVER</t>
        </is>
      </c>
      <c r="C752" s="36" t="n">
        <v>3</v>
      </c>
      <c r="D752" s="36" t="inlineStr">
        <is>
          <t>NET NAPHTHA</t>
        </is>
      </c>
      <c r="H752" s="31" t="n"/>
      <c r="I752" s="17" t="n"/>
      <c r="Q752" s="37">
        <f>SUM(Q750:Q751)</f>
        <v/>
      </c>
    </row>
    <row r="754" ht="20" customHeight="1">
      <c r="A754" s="8">
        <f>"  Goodway Refining Atmore  [GOODWAY_ATMORE]   —   Goodway Refining   —   PADD 3   —   crude "&amp;TEXT(SUMIFS(Data!$G$3:$G$125,Data!$A$3:$A$125,"GOODWAY_ATMORE"),"#,##0")&amp;" kbd"</f>
        <v/>
      </c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</row>
    <row r="755">
      <c r="A755" s="11" t="inlineStr">
        <is>
          <t>UNIT</t>
        </is>
      </c>
      <c r="B755" s="28" t="inlineStr">
        <is>
          <t>GOODWAY_ATMORE</t>
        </is>
      </c>
      <c r="C755" s="28" t="n">
        <v>3</v>
      </c>
      <c r="D755" s="28" t="inlineStr">
        <is>
          <t>CDU</t>
        </is>
      </c>
      <c r="E755" s="28" t="inlineStr">
        <is>
          <t>CDU</t>
        </is>
      </c>
      <c r="F755" s="29" t="n">
        <v>5</v>
      </c>
      <c r="G755" s="30">
        <f>IFERROR(IF(INDEX(Effective!$E$3:$R$125,MATCH($B755,Effective!$A$3:$A$125,0),MATCH($D755,Effective!$E$2:$R$2,0))=0,"",INDEX(Effective!$E$3:$R$125,MATCH($B755,Effective!$A$3:$A$125,0),MATCH($D755,Effective!$E$2:$R$2,0))),"")</f>
        <v/>
      </c>
      <c r="H755" s="31" t="n"/>
      <c r="I755" s="17" t="inlineStr">
        <is>
          <t>override</t>
        </is>
      </c>
      <c r="J755" s="32" t="n"/>
      <c r="K755" s="33">
        <f>IF(AND(IF($I756&lt;&gt;"",$I756,$I755)="override",$J755&lt;&gt;""),$J755,SUMIFS(Assumptions!$K$4:$K$8,Assumptions!$J$4:$J$8,$C755))*Assumptions!$S$10*(1-MIN(1,MAX(N($H755),N($H756))))</f>
        <v/>
      </c>
      <c r="L755" s="32" t="n"/>
      <c r="M755" s="34">
        <f>IF(AND(IF($I756&lt;&gt;"",$I756,$I755)="override",$L755&lt;&gt;""),$L755,SUMIFS(Assumptions!$P$4:$P$103,Assumptions!$M$4:$M$103,$C755,Assumptions!$N$4:$N$103,$E755,Assumptions!$O$4:$O$103,"LVN"))</f>
        <v/>
      </c>
      <c r="N755" s="32" t="n"/>
      <c r="O755" s="34">
        <f>IF(AND(IF($I756&lt;&gt;"",$I756,$I755)="override",$N755&lt;&gt;""),$N755,SUMIFS(Assumptions!$P$4:$P$103,Assumptions!$M$4:$M$103,$C755,Assumptions!$N$4:$N$103,$E755,Assumptions!$O$4:$O$103,"HVN"))</f>
        <v/>
      </c>
      <c r="P755" s="34">
        <f>(M755+O755)*Assumptions!$S$11</f>
        <v/>
      </c>
      <c r="Q755" s="35">
        <f>$F755*$K755*$P755</f>
        <v/>
      </c>
    </row>
    <row r="756">
      <c r="A756" s="24" t="inlineStr">
        <is>
          <t>TOTAL</t>
        </is>
      </c>
      <c r="B756" s="36" t="inlineStr">
        <is>
          <t>GOODWAY_ATMORE</t>
        </is>
      </c>
      <c r="C756" s="36" t="n">
        <v>3</v>
      </c>
      <c r="D756" s="36" t="inlineStr">
        <is>
          <t>NET NAPHTHA</t>
        </is>
      </c>
      <c r="H756" s="31" t="n"/>
      <c r="I756" s="17" t="n"/>
      <c r="Q756" s="37">
        <f>SUM(Q755:Q755)</f>
        <v/>
      </c>
    </row>
    <row r="758" ht="20" customHeight="1">
      <c r="A758" s="8">
        <f>"  LyondellBasell Refining Houston  [LYONDELLBASELL_HOUSTON]   —   Access Industries   —   PADD 3   —   crude "&amp;TEXT(SUMIFS(Data!$G$3:$G$125,Data!$A$3:$A$125,"LYONDELLBASELL_HOUSTON"),"#,##0")&amp;" kbd"</f>
        <v/>
      </c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</row>
    <row r="759">
      <c r="A759" s="11" t="inlineStr">
        <is>
          <t>UNIT</t>
        </is>
      </c>
      <c r="B759" s="28" t="inlineStr">
        <is>
          <t>LYONDELLBASELL_HOUSTON</t>
        </is>
      </c>
      <c r="C759" s="28" t="n">
        <v>3</v>
      </c>
      <c r="D759" s="28" t="inlineStr">
        <is>
          <t>CRUDE-EST</t>
        </is>
      </c>
      <c r="E759" s="28" t="inlineStr">
        <is>
          <t>est. yield</t>
        </is>
      </c>
      <c r="F759" s="30">
        <f>SUMIFS(Data!$G$3:$G$125,Data!$A$3:$A$125,$B759)</f>
        <v/>
      </c>
      <c r="G759" s="30">
        <f>IFERROR(IF(INDEX(Effective!$E$3:$R$125,MATCH($B759,Effective!$A$3:$A$125,0),MATCH($D759,Effective!$E$2:$R$2,0))=0,"",INDEX(Effective!$E$3:$R$125,MATCH($B759,Effective!$A$3:$A$125,0),MATCH($D759,Effective!$E$2:$R$2,0))),"")</f>
        <v/>
      </c>
      <c r="H759" s="31" t="n"/>
      <c r="I759" s="17" t="inlineStr">
        <is>
          <t>override</t>
        </is>
      </c>
      <c r="J759" s="32" t="n"/>
      <c r="K759" s="33">
        <f>IF(AND(IF($I760&lt;&gt;"",$I760,$I759)="override",$J759&lt;&gt;""),$J759,SUMIFS(Assumptions!$K$4:$K$8,Assumptions!$J$4:$J$8,$C759))*Assumptions!$S$10*(1-MIN(1,MAX(N($H759),N($H760))))</f>
        <v/>
      </c>
      <c r="L759" s="32" t="n"/>
      <c r="M759" s="34">
        <f>IF(AND(IF($I760&lt;&gt;"",$I760,$I759)="override",$L759&lt;&gt;""),$L759,SUMIFS(Data!$N$3:$N$125,Data!$A$3:$A$125,$B759)*Assumptions!$S$4)</f>
        <v/>
      </c>
      <c r="N759" s="32" t="n"/>
      <c r="O759" s="34">
        <f>IF(AND(IF($I760&lt;&gt;"",$I760,$I759)="override",$N759&lt;&gt;""),$N759,SUMIFS(Data!$N$3:$N$125,Data!$A$3:$A$125,$B759)*Assumptions!$S$5)</f>
        <v/>
      </c>
      <c r="P759" s="34">
        <f>(M759+O759)*Assumptions!$S$11</f>
        <v/>
      </c>
      <c r="Q759" s="35">
        <f>$F759*$K759*$P759</f>
        <v/>
      </c>
    </row>
    <row r="760">
      <c r="A760" s="24" t="inlineStr">
        <is>
          <t>TOTAL</t>
        </is>
      </c>
      <c r="B760" s="36" t="inlineStr">
        <is>
          <t>LYONDELLBASELL_HOUSTON</t>
        </is>
      </c>
      <c r="C760" s="36" t="n">
        <v>3</v>
      </c>
      <c r="D760" s="36" t="inlineStr">
        <is>
          <t>NET NAPHTHA</t>
        </is>
      </c>
      <c r="H760" s="31" t="n"/>
      <c r="I760" s="17" t="n"/>
      <c r="Q760" s="37">
        <f>SUM(Q759:Q759)</f>
        <v/>
      </c>
    </row>
    <row r="762" ht="20" customHeight="1">
      <c r="A762" s="8">
        <f>"  Shell Convent  [SHELL_CONVENT]   —   Shell   —   PADD 3   —   crude "&amp;TEXT(SUMIFS(Data!$G$3:$G$125,Data!$A$3:$A$125,"SHELL_CONVENT"),"#,##0")&amp;" kbd"</f>
        <v/>
      </c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</row>
    <row r="763">
      <c r="A763" s="11" t="inlineStr">
        <is>
          <t>UNIT</t>
        </is>
      </c>
      <c r="B763" s="28" t="inlineStr">
        <is>
          <t>SHELL_CONVENT</t>
        </is>
      </c>
      <c r="C763" s="28" t="n">
        <v>3</v>
      </c>
      <c r="D763" s="28" t="inlineStr">
        <is>
          <t>CRUDE-EST</t>
        </is>
      </c>
      <c r="E763" s="28" t="inlineStr">
        <is>
          <t>est. yield</t>
        </is>
      </c>
      <c r="F763" s="30">
        <f>SUMIFS(Data!$G$3:$G$125,Data!$A$3:$A$125,$B763)</f>
        <v/>
      </c>
      <c r="G763" s="30">
        <f>IFERROR(IF(INDEX(Effective!$E$3:$R$125,MATCH($B763,Effective!$A$3:$A$125,0),MATCH($D763,Effective!$E$2:$R$2,0))=0,"",INDEX(Effective!$E$3:$R$125,MATCH($B763,Effective!$A$3:$A$125,0),MATCH($D763,Effective!$E$2:$R$2,0))),"")</f>
        <v/>
      </c>
      <c r="H763" s="31" t="n"/>
      <c r="I763" s="17" t="inlineStr">
        <is>
          <t>override</t>
        </is>
      </c>
      <c r="J763" s="32" t="n"/>
      <c r="K763" s="33">
        <f>IF(AND(IF($I764&lt;&gt;"",$I764,$I763)="override",$J763&lt;&gt;""),$J763,SUMIFS(Assumptions!$K$4:$K$8,Assumptions!$J$4:$J$8,$C763))*Assumptions!$S$10*(1-MIN(1,MAX(N($H763),N($H764))))</f>
        <v/>
      </c>
      <c r="L763" s="32" t="n"/>
      <c r="M763" s="34">
        <f>IF(AND(IF($I764&lt;&gt;"",$I764,$I763)="override",$L763&lt;&gt;""),$L763,SUMIFS(Data!$N$3:$N$125,Data!$A$3:$A$125,$B763)*Assumptions!$S$4)</f>
        <v/>
      </c>
      <c r="N763" s="32" t="n"/>
      <c r="O763" s="34">
        <f>IF(AND(IF($I764&lt;&gt;"",$I764,$I763)="override",$N763&lt;&gt;""),$N763,SUMIFS(Data!$N$3:$N$125,Data!$A$3:$A$125,$B763)*Assumptions!$S$5)</f>
        <v/>
      </c>
      <c r="P763" s="34">
        <f>(M763+O763)*Assumptions!$S$11</f>
        <v/>
      </c>
      <c r="Q763" s="35">
        <f>$F763*$K763*$P763</f>
        <v/>
      </c>
    </row>
    <row r="764">
      <c r="A764" s="24" t="inlineStr">
        <is>
          <t>TOTAL</t>
        </is>
      </c>
      <c r="B764" s="36" t="inlineStr">
        <is>
          <t>SHELL_CONVENT</t>
        </is>
      </c>
      <c r="C764" s="36" t="n">
        <v>3</v>
      </c>
      <c r="D764" s="36" t="inlineStr">
        <is>
          <t>NET NAPHTHA</t>
        </is>
      </c>
      <c r="H764" s="31" t="n"/>
      <c r="I764" s="17" t="n"/>
      <c r="Q764" s="37">
        <f>SUM(Q763:Q763)</f>
        <v/>
      </c>
    </row>
    <row r="766" ht="20" customHeight="1">
      <c r="A766" s="8">
        <f>"  Shell Oil Co. USA Saint Rose  [SHELL_SAINT_ROSE]   —   Shell   —   PADD 3   —   crude "&amp;TEXT(SUMIFS(Data!$G$3:$G$125,Data!$A$3:$A$125,"SHELL_SAINT_ROSE"),"#,##0")&amp;" kbd"</f>
        <v/>
      </c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</row>
    <row r="767">
      <c r="A767" s="11" t="inlineStr">
        <is>
          <t>UNIT</t>
        </is>
      </c>
      <c r="B767" s="28" t="inlineStr">
        <is>
          <t>SHELL_SAINT_ROSE</t>
        </is>
      </c>
      <c r="C767" s="28" t="n">
        <v>3</v>
      </c>
      <c r="D767" s="28" t="inlineStr">
        <is>
          <t>CRUDE-EST</t>
        </is>
      </c>
      <c r="E767" s="28" t="inlineStr">
        <is>
          <t>est. yield</t>
        </is>
      </c>
      <c r="F767" s="30">
        <f>SUMIFS(Data!$G$3:$G$125,Data!$A$3:$A$125,$B767)</f>
        <v/>
      </c>
      <c r="G767" s="30">
        <f>IFERROR(IF(INDEX(Effective!$E$3:$R$125,MATCH($B767,Effective!$A$3:$A$125,0),MATCH($D767,Effective!$E$2:$R$2,0))=0,"",INDEX(Effective!$E$3:$R$125,MATCH($B767,Effective!$A$3:$A$125,0),MATCH($D767,Effective!$E$2:$R$2,0))),"")</f>
        <v/>
      </c>
      <c r="H767" s="31" t="n"/>
      <c r="I767" s="17" t="inlineStr">
        <is>
          <t>override</t>
        </is>
      </c>
      <c r="J767" s="32" t="n"/>
      <c r="K767" s="33">
        <f>IF(AND(IF($I768&lt;&gt;"",$I768,$I767)="override",$J767&lt;&gt;""),$J767,SUMIFS(Assumptions!$K$4:$K$8,Assumptions!$J$4:$J$8,$C767))*Assumptions!$S$10*(1-MIN(1,MAX(N($H767),N($H768))))</f>
        <v/>
      </c>
      <c r="L767" s="32" t="n"/>
      <c r="M767" s="34">
        <f>IF(AND(IF($I768&lt;&gt;"",$I768,$I767)="override",$L767&lt;&gt;""),$L767,SUMIFS(Data!$N$3:$N$125,Data!$A$3:$A$125,$B767)*Assumptions!$S$4)</f>
        <v/>
      </c>
      <c r="N767" s="32" t="n"/>
      <c r="O767" s="34">
        <f>IF(AND(IF($I768&lt;&gt;"",$I768,$I767)="override",$N767&lt;&gt;""),$N767,SUMIFS(Data!$N$3:$N$125,Data!$A$3:$A$125,$B767)*Assumptions!$S$5)</f>
        <v/>
      </c>
      <c r="P767" s="34">
        <f>(M767+O767)*Assumptions!$S$11</f>
        <v/>
      </c>
      <c r="Q767" s="35">
        <f>$F767*$K767*$P767</f>
        <v/>
      </c>
    </row>
    <row r="768">
      <c r="A768" s="24" t="inlineStr">
        <is>
          <t>TOTAL</t>
        </is>
      </c>
      <c r="B768" s="36" t="inlineStr">
        <is>
          <t>SHELL_SAINT_ROSE</t>
        </is>
      </c>
      <c r="C768" s="36" t="n">
        <v>3</v>
      </c>
      <c r="D768" s="36" t="inlineStr">
        <is>
          <t>NET NAPHTHA</t>
        </is>
      </c>
      <c r="H768" s="31" t="n"/>
      <c r="I768" s="17" t="n"/>
      <c r="Q768" s="37">
        <f>SUM(Q767:Q767)</f>
        <v/>
      </c>
    </row>
    <row r="770" ht="20" customHeight="1">
      <c r="A770" s="8">
        <f>"  Suncor Denver  [SUNCOR_DENVER]   —   Suncor   —   PADD 4   —   crude "&amp;TEXT(SUMIFS(Data!$G$3:$G$125,Data!$A$3:$A$125,"SUNCOR_DENVER"),"#,##0")&amp;" kbd"</f>
        <v/>
      </c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</row>
    <row r="771">
      <c r="A771" s="11" t="inlineStr">
        <is>
          <t>UNIT</t>
        </is>
      </c>
      <c r="B771" s="28" t="inlineStr">
        <is>
          <t>SUNCOR_DENVER</t>
        </is>
      </c>
      <c r="C771" s="28" t="n">
        <v>4</v>
      </c>
      <c r="D771" s="28" t="inlineStr">
        <is>
          <t>CDU</t>
        </is>
      </c>
      <c r="E771" s="28" t="inlineStr">
        <is>
          <t>CDU</t>
        </is>
      </c>
      <c r="F771" s="29" t="n">
        <v>98</v>
      </c>
      <c r="G771" s="30">
        <f>IFERROR(IF(INDEX(Effective!$E$3:$R$125,MATCH($B771,Effective!$A$3:$A$125,0),MATCH($D771,Effective!$E$2:$R$2,0))=0,"",INDEX(Effective!$E$3:$R$125,MATCH($B771,Effective!$A$3:$A$125,0),MATCH($D771,Effective!$E$2:$R$2,0))),"")</f>
        <v/>
      </c>
      <c r="H771" s="31" t="n"/>
      <c r="I771" s="17" t="inlineStr">
        <is>
          <t>override</t>
        </is>
      </c>
      <c r="J771" s="32" t="n">
        <v>0.326</v>
      </c>
      <c r="K771" s="33">
        <f>IF(AND(IF($I776&lt;&gt;"",$I776,$I771)="override",$J771&lt;&gt;""),$J771,SUMIFS(Assumptions!$K$4:$K$8,Assumptions!$J$4:$J$8,$C771))*Assumptions!$S$10*(1-MIN(1,MAX(N($H771),N($H776))))</f>
        <v/>
      </c>
      <c r="L771" s="32" t="n"/>
      <c r="M771" s="34">
        <f>IF(AND(IF($I776&lt;&gt;"",$I776,$I771)="override",$L771&lt;&gt;""),$L771,SUMIFS(Assumptions!$P$4:$P$103,Assumptions!$M$4:$M$103,$C771,Assumptions!$N$4:$N$103,$E771,Assumptions!$O$4:$O$103,"LVN"))</f>
        <v/>
      </c>
      <c r="N771" s="32" t="n"/>
      <c r="O771" s="34">
        <f>IF(AND(IF($I776&lt;&gt;"",$I776,$I771)="override",$N771&lt;&gt;""),$N771,SUMIFS(Assumptions!$P$4:$P$103,Assumptions!$M$4:$M$103,$C771,Assumptions!$N$4:$N$103,$E771,Assumptions!$O$4:$O$103,"HVN"))</f>
        <v/>
      </c>
      <c r="P771" s="34">
        <f>(M771+O771)*Assumptions!$S$11</f>
        <v/>
      </c>
      <c r="Q771" s="35">
        <f>$F771*$K771*$P771</f>
        <v/>
      </c>
    </row>
    <row r="772">
      <c r="A772" s="11" t="inlineStr">
        <is>
          <t>UNIT</t>
        </is>
      </c>
      <c r="B772" s="28" t="inlineStr">
        <is>
          <t>SUNCOR_DENVER</t>
        </is>
      </c>
      <c r="C772" s="28" t="n">
        <v>4</v>
      </c>
      <c r="D772" s="28" t="inlineStr">
        <is>
          <t>VDU</t>
        </is>
      </c>
      <c r="E772" s="28" t="inlineStr">
        <is>
          <t>VDU</t>
        </is>
      </c>
      <c r="F772" s="29" t="n">
        <v>33.5</v>
      </c>
      <c r="G772" s="30">
        <f>IFERROR(IF(INDEX(Effective!$E$3:$R$125,MATCH($B772,Effective!$A$3:$A$125,0),MATCH($D772,Effective!$E$2:$R$2,0))=0,"",INDEX(Effective!$E$3:$R$125,MATCH($B772,Effective!$A$3:$A$125,0),MATCH($D772,Effective!$E$2:$R$2,0))),"")</f>
        <v/>
      </c>
      <c r="H772" s="31" t="n"/>
      <c r="I772" s="17" t="inlineStr">
        <is>
          <t>override</t>
        </is>
      </c>
      <c r="J772" s="32" t="n">
        <v>0.9370000000000001</v>
      </c>
      <c r="K772" s="33">
        <f>IF(AND(IF($I776&lt;&gt;"",$I776,$I772)="override",$J772&lt;&gt;""),$J772,SUMIFS(Assumptions!$K$4:$K$8,Assumptions!$J$4:$J$8,$C772))*Assumptions!$S$10*(1-MIN(1,MAX(N($H772),N($H776))))</f>
        <v/>
      </c>
      <c r="L772" s="32" t="n"/>
      <c r="M772" s="34">
        <f>IF(AND(IF($I776&lt;&gt;"",$I776,$I772)="override",$L772&lt;&gt;""),$L772,SUMIFS(Assumptions!$P$4:$P$103,Assumptions!$M$4:$M$103,$C772,Assumptions!$N$4:$N$103,$E772,Assumptions!$O$4:$O$103,"LVN"))</f>
        <v/>
      </c>
      <c r="N772" s="32" t="n"/>
      <c r="O772" s="34">
        <f>IF(AND(IF($I776&lt;&gt;"",$I776,$I772)="override",$N772&lt;&gt;""),$N772,SUMIFS(Assumptions!$P$4:$P$103,Assumptions!$M$4:$M$103,$C772,Assumptions!$N$4:$N$103,$E772,Assumptions!$O$4:$O$103,"HVN"))</f>
        <v/>
      </c>
      <c r="P772" s="34">
        <f>(M772+O772)*Assumptions!$S$11</f>
        <v/>
      </c>
      <c r="Q772" s="35">
        <f>$F772*$K772*$P772</f>
        <v/>
      </c>
    </row>
    <row r="773">
      <c r="A773" s="11" t="inlineStr">
        <is>
          <t>UNIT</t>
        </is>
      </c>
      <c r="B773" s="28" t="inlineStr">
        <is>
          <t>SUNCOR_DENVER</t>
        </is>
      </c>
      <c r="C773" s="28" t="n">
        <v>4</v>
      </c>
      <c r="D773" s="28" t="inlineStr">
        <is>
          <t>FCC</t>
        </is>
      </c>
      <c r="E773" s="28" t="inlineStr">
        <is>
          <t>FCC</t>
        </is>
      </c>
      <c r="F773" s="29" t="n">
        <v>30</v>
      </c>
      <c r="G773" s="30">
        <f>IFERROR(IF(INDEX(Effective!$E$3:$R$125,MATCH($B773,Effective!$A$3:$A$125,0),MATCH($D773,Effective!$E$2:$R$2,0))=0,"",INDEX(Effective!$E$3:$R$125,MATCH($B773,Effective!$A$3:$A$125,0),MATCH($D773,Effective!$E$2:$R$2,0))),"")</f>
        <v/>
      </c>
      <c r="H773" s="31" t="n"/>
      <c r="I773" s="17" t="inlineStr">
        <is>
          <t>override</t>
        </is>
      </c>
      <c r="J773" s="32" t="n">
        <v>0.776</v>
      </c>
      <c r="K773" s="33">
        <f>IF(AND(IF($I776&lt;&gt;"",$I776,$I773)="override",$J773&lt;&gt;""),$J773,SUMIFS(Assumptions!$K$4:$K$8,Assumptions!$J$4:$J$8,$C773))*Assumptions!$S$10*(1-MIN(1,MAX(N($H773),N($H776))))</f>
        <v/>
      </c>
      <c r="L773" s="32" t="n"/>
      <c r="M773" s="34">
        <f>IF(AND(IF($I776&lt;&gt;"",$I776,$I773)="override",$L773&lt;&gt;""),$L773,SUMIFS(Assumptions!$P$4:$P$103,Assumptions!$M$4:$M$103,$C773,Assumptions!$N$4:$N$103,$E773,Assumptions!$O$4:$O$103,"LVN"))</f>
        <v/>
      </c>
      <c r="N773" s="32" t="n"/>
      <c r="O773" s="34">
        <f>IF(AND(IF($I776&lt;&gt;"",$I776,$I773)="override",$N773&lt;&gt;""),$N773,SUMIFS(Assumptions!$P$4:$P$103,Assumptions!$M$4:$M$103,$C773,Assumptions!$N$4:$N$103,$E773,Assumptions!$O$4:$O$103,"HVN"))</f>
        <v/>
      </c>
      <c r="P773" s="34">
        <f>(M773+O773)*Assumptions!$S$11</f>
        <v/>
      </c>
      <c r="Q773" s="35">
        <f>$F773*$K773*$P773</f>
        <v/>
      </c>
    </row>
    <row r="774">
      <c r="A774" s="11" t="inlineStr">
        <is>
          <t>UNIT</t>
        </is>
      </c>
      <c r="B774" s="28" t="inlineStr">
        <is>
          <t>SUNCOR_DENVER</t>
        </is>
      </c>
      <c r="C774" s="28" t="n">
        <v>4</v>
      </c>
      <c r="D774" s="28" t="inlineStr">
        <is>
          <t>CCR</t>
        </is>
      </c>
      <c r="E774" s="28" t="inlineStr">
        <is>
          <t>REFORMER</t>
        </is>
      </c>
      <c r="F774" s="29" t="n">
        <v>21.9</v>
      </c>
      <c r="G774" s="30">
        <f>IFERROR(IF(INDEX(Effective!$E$3:$R$125,MATCH($B774,Effective!$A$3:$A$125,0),MATCH($D774,Effective!$E$2:$R$2,0))=0,"",INDEX(Effective!$E$3:$R$125,MATCH($B774,Effective!$A$3:$A$125,0),MATCH($D774,Effective!$E$2:$R$2,0))),"")</f>
        <v/>
      </c>
      <c r="H774" s="31" t="n"/>
      <c r="I774" s="17" t="inlineStr">
        <is>
          <t>override</t>
        </is>
      </c>
      <c r="J774" s="32" t="n"/>
      <c r="K774" s="33">
        <f>IF(AND(IF($I776&lt;&gt;"",$I776,$I774)="override",$J774&lt;&gt;""),$J774,SUMIFS(Assumptions!$K$4:$K$8,Assumptions!$J$4:$J$8,$C774))*Assumptions!$S$10*(1-MIN(1,MAX(N($H774),N($H776))))</f>
        <v/>
      </c>
      <c r="L774" s="32" t="n"/>
      <c r="M774" s="34">
        <f>IF(AND(IF($I776&lt;&gt;"",$I776,$I774)="override",$L774&lt;&gt;""),$L774,SUMIFS(Assumptions!$P$4:$P$103,Assumptions!$M$4:$M$103,$C774,Assumptions!$N$4:$N$103,$E774,Assumptions!$O$4:$O$103,"LVN"))</f>
        <v/>
      </c>
      <c r="N774" s="32" t="n"/>
      <c r="O774" s="34">
        <f>IF(AND(IF($I776&lt;&gt;"",$I776,$I774)="override",$N774&lt;&gt;""),$N774,SUMIFS(Assumptions!$P$4:$P$103,Assumptions!$M$4:$M$103,$C774,Assumptions!$N$4:$N$103,$E774,Assumptions!$O$4:$O$103,"HVN"))</f>
        <v/>
      </c>
      <c r="P774" s="34">
        <f>(M774+O774)*Assumptions!$S$11</f>
        <v/>
      </c>
      <c r="Q774" s="35">
        <f>$F774*$K774*$P774</f>
        <v/>
      </c>
    </row>
    <row r="775">
      <c r="A775" s="11" t="inlineStr">
        <is>
          <t>UNIT</t>
        </is>
      </c>
      <c r="B775" s="28" t="inlineStr">
        <is>
          <t>SUNCOR_DENVER</t>
        </is>
      </c>
      <c r="C775" s="28" t="n">
        <v>4</v>
      </c>
      <c r="D775" s="28" t="inlineStr">
        <is>
          <t>NHT</t>
        </is>
      </c>
      <c r="E775" s="28" t="inlineStr">
        <is>
          <t>NHT</t>
        </is>
      </c>
      <c r="F775" s="29" t="n">
        <v>22</v>
      </c>
      <c r="G775" s="30">
        <f>IFERROR(IF(INDEX(Effective!$E$3:$R$125,MATCH($B775,Effective!$A$3:$A$125,0),MATCH($D775,Effective!$E$2:$R$2,0))=0,"",INDEX(Effective!$E$3:$R$125,MATCH($B775,Effective!$A$3:$A$125,0),MATCH($D775,Effective!$E$2:$R$2,0))),"")</f>
        <v/>
      </c>
      <c r="H775" s="31" t="n"/>
      <c r="I775" s="17" t="inlineStr">
        <is>
          <t>override</t>
        </is>
      </c>
      <c r="J775" s="32" t="n">
        <v>0.96</v>
      </c>
      <c r="K775" s="33">
        <f>IF(AND(IF($I776&lt;&gt;"",$I776,$I775)="override",$J775&lt;&gt;""),$J775,SUMIFS(Assumptions!$K$4:$K$8,Assumptions!$J$4:$J$8,$C775))*Assumptions!$S$10*(1-MIN(1,MAX(N($H775),N($H776))))</f>
        <v/>
      </c>
      <c r="L775" s="32" t="n"/>
      <c r="M775" s="34">
        <f>IF(AND(IF($I776&lt;&gt;"",$I776,$I775)="override",$L775&lt;&gt;""),$L775,SUMIFS(Assumptions!$P$4:$P$103,Assumptions!$M$4:$M$103,$C775,Assumptions!$N$4:$N$103,$E775,Assumptions!$O$4:$O$103,"LVN"))</f>
        <v/>
      </c>
      <c r="N775" s="32" t="n"/>
      <c r="O775" s="34">
        <f>IF(AND(IF($I776&lt;&gt;"",$I776,$I775)="override",$N775&lt;&gt;""),$N775,SUMIFS(Assumptions!$P$4:$P$103,Assumptions!$M$4:$M$103,$C775,Assumptions!$N$4:$N$103,$E775,Assumptions!$O$4:$O$103,"HVN"))</f>
        <v/>
      </c>
      <c r="P775" s="34">
        <f>(M775+O775)*Assumptions!$S$11</f>
        <v/>
      </c>
      <c r="Q775" s="35">
        <f>$F775*$K775*$P775</f>
        <v/>
      </c>
    </row>
    <row r="776">
      <c r="A776" s="24" t="inlineStr">
        <is>
          <t>TOTAL</t>
        </is>
      </c>
      <c r="B776" s="36" t="inlineStr">
        <is>
          <t>SUNCOR_DENVER</t>
        </is>
      </c>
      <c r="C776" s="36" t="n">
        <v>4</v>
      </c>
      <c r="D776" s="36" t="inlineStr">
        <is>
          <t>NET NAPHTHA</t>
        </is>
      </c>
      <c r="H776" s="31" t="n"/>
      <c r="I776" s="17" t="n"/>
      <c r="Q776" s="37">
        <f>SUM(Q771:Q775)</f>
        <v/>
      </c>
    </row>
    <row r="778" ht="20" customHeight="1">
      <c r="A778" s="8">
        <f>"  Sinclair Sinclair  [SINCLAIR_SINCLAIR]   —   Sinclair   —   PADD 4   —   crude "&amp;TEXT(SUMIFS(Data!$G$3:$G$125,Data!$A$3:$A$125,"SINCLAIR_SINCLAIR"),"#,##0")&amp;" kbd"</f>
        <v/>
      </c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</row>
    <row r="779">
      <c r="A779" s="11" t="inlineStr">
        <is>
          <t>UNIT</t>
        </is>
      </c>
      <c r="B779" s="28" t="inlineStr">
        <is>
          <t>SINCLAIR_SINCLAIR</t>
        </is>
      </c>
      <c r="C779" s="28" t="n">
        <v>4</v>
      </c>
      <c r="D779" s="28" t="inlineStr">
        <is>
          <t>CDU</t>
        </is>
      </c>
      <c r="E779" s="28" t="inlineStr">
        <is>
          <t>CDU</t>
        </is>
      </c>
      <c r="F779" s="29" t="n">
        <v>94</v>
      </c>
      <c r="G779" s="30">
        <f>IFERROR(IF(INDEX(Effective!$E$3:$R$125,MATCH($B779,Effective!$A$3:$A$125,0),MATCH($D779,Effective!$E$2:$R$2,0))=0,"",INDEX(Effective!$E$3:$R$125,MATCH($B779,Effective!$A$3:$A$125,0),MATCH($D779,Effective!$E$2:$R$2,0))),"")</f>
        <v/>
      </c>
      <c r="H779" s="31" t="n"/>
      <c r="I779" s="17" t="inlineStr">
        <is>
          <t>override</t>
        </is>
      </c>
      <c r="J779" s="32" t="n">
        <v>0.95</v>
      </c>
      <c r="K779" s="33">
        <f>IF(AND(IF($I787&lt;&gt;"",$I787,$I779)="override",$J779&lt;&gt;""),$J779,SUMIFS(Assumptions!$K$4:$K$8,Assumptions!$J$4:$J$8,$C779))*Assumptions!$S$10*(1-MIN(1,MAX(N($H779),N($H787))))</f>
        <v/>
      </c>
      <c r="L779" s="32" t="n"/>
      <c r="M779" s="34">
        <f>IF(AND(IF($I787&lt;&gt;"",$I787,$I779)="override",$L779&lt;&gt;""),$L779,SUMIFS(Assumptions!$P$4:$P$103,Assumptions!$M$4:$M$103,$C779,Assumptions!$N$4:$N$103,$E779,Assumptions!$O$4:$O$103,"LVN"))</f>
        <v/>
      </c>
      <c r="N779" s="32" t="n"/>
      <c r="O779" s="34">
        <f>IF(AND(IF($I787&lt;&gt;"",$I787,$I779)="override",$N779&lt;&gt;""),$N779,SUMIFS(Assumptions!$P$4:$P$103,Assumptions!$M$4:$M$103,$C779,Assumptions!$N$4:$N$103,$E779,Assumptions!$O$4:$O$103,"HVN"))</f>
        <v/>
      </c>
      <c r="P779" s="34">
        <f>(M779+O779)*Assumptions!$S$11</f>
        <v/>
      </c>
      <c r="Q779" s="35">
        <f>$F779*$K779*$P779</f>
        <v/>
      </c>
    </row>
    <row r="780">
      <c r="A780" s="11" t="inlineStr">
        <is>
          <t>UNIT</t>
        </is>
      </c>
      <c r="B780" s="28" t="inlineStr">
        <is>
          <t>SINCLAIR_SINCLAIR</t>
        </is>
      </c>
      <c r="C780" s="28" t="n">
        <v>4</v>
      </c>
      <c r="D780" s="28" t="inlineStr">
        <is>
          <t>VDU</t>
        </is>
      </c>
      <c r="E780" s="28" t="inlineStr">
        <is>
          <t>VDU</t>
        </is>
      </c>
      <c r="F780" s="29" t="n">
        <v>51</v>
      </c>
      <c r="G780" s="30">
        <f>IFERROR(IF(INDEX(Effective!$E$3:$R$125,MATCH($B780,Effective!$A$3:$A$125,0),MATCH($D780,Effective!$E$2:$R$2,0))=0,"",INDEX(Effective!$E$3:$R$125,MATCH($B780,Effective!$A$3:$A$125,0),MATCH($D780,Effective!$E$2:$R$2,0))),"")</f>
        <v/>
      </c>
      <c r="H780" s="31" t="n"/>
      <c r="I780" s="17" t="inlineStr">
        <is>
          <t>override</t>
        </is>
      </c>
      <c r="J780" s="32" t="n">
        <v>0.822</v>
      </c>
      <c r="K780" s="33">
        <f>IF(AND(IF($I787&lt;&gt;"",$I787,$I780)="override",$J780&lt;&gt;""),$J780,SUMIFS(Assumptions!$K$4:$K$8,Assumptions!$J$4:$J$8,$C780))*Assumptions!$S$10*(1-MIN(1,MAX(N($H780),N($H787))))</f>
        <v/>
      </c>
      <c r="L780" s="32" t="n"/>
      <c r="M780" s="34">
        <f>IF(AND(IF($I787&lt;&gt;"",$I787,$I780)="override",$L780&lt;&gt;""),$L780,SUMIFS(Assumptions!$P$4:$P$103,Assumptions!$M$4:$M$103,$C780,Assumptions!$N$4:$N$103,$E780,Assumptions!$O$4:$O$103,"LVN"))</f>
        <v/>
      </c>
      <c r="N780" s="32" t="n"/>
      <c r="O780" s="34">
        <f>IF(AND(IF($I787&lt;&gt;"",$I787,$I780)="override",$N780&lt;&gt;""),$N780,SUMIFS(Assumptions!$P$4:$P$103,Assumptions!$M$4:$M$103,$C780,Assumptions!$N$4:$N$103,$E780,Assumptions!$O$4:$O$103,"HVN"))</f>
        <v/>
      </c>
      <c r="P780" s="34">
        <f>(M780+O780)*Assumptions!$S$11</f>
        <v/>
      </c>
      <c r="Q780" s="35">
        <f>$F780*$K780*$P780</f>
        <v/>
      </c>
    </row>
    <row r="781">
      <c r="A781" s="11" t="inlineStr">
        <is>
          <t>UNIT</t>
        </is>
      </c>
      <c r="B781" s="28" t="inlineStr">
        <is>
          <t>SINCLAIR_SINCLAIR</t>
        </is>
      </c>
      <c r="C781" s="28" t="n">
        <v>4</v>
      </c>
      <c r="D781" s="28" t="inlineStr">
        <is>
          <t>FCC</t>
        </is>
      </c>
      <c r="E781" s="28" t="inlineStr">
        <is>
          <t>FCC</t>
        </is>
      </c>
      <c r="F781" s="29" t="n">
        <v>22</v>
      </c>
      <c r="G781" s="30">
        <f>IFERROR(IF(INDEX(Effective!$E$3:$R$125,MATCH($B781,Effective!$A$3:$A$125,0),MATCH($D781,Effective!$E$2:$R$2,0))=0,"",INDEX(Effective!$E$3:$R$125,MATCH($B781,Effective!$A$3:$A$125,0),MATCH($D781,Effective!$E$2:$R$2,0))),"")</f>
        <v/>
      </c>
      <c r="H781" s="31" t="n"/>
      <c r="I781" s="17" t="inlineStr">
        <is>
          <t>override</t>
        </is>
      </c>
      <c r="J781" s="32" t="n">
        <v>0.85</v>
      </c>
      <c r="K781" s="33">
        <f>IF(AND(IF($I787&lt;&gt;"",$I787,$I781)="override",$J781&lt;&gt;""),$J781,SUMIFS(Assumptions!$K$4:$K$8,Assumptions!$J$4:$J$8,$C781))*Assumptions!$S$10*(1-MIN(1,MAX(N($H781),N($H787))))</f>
        <v/>
      </c>
      <c r="L781" s="32" t="n"/>
      <c r="M781" s="34">
        <f>IF(AND(IF($I787&lt;&gt;"",$I787,$I781)="override",$L781&lt;&gt;""),$L781,SUMIFS(Assumptions!$P$4:$P$103,Assumptions!$M$4:$M$103,$C781,Assumptions!$N$4:$N$103,$E781,Assumptions!$O$4:$O$103,"LVN"))</f>
        <v/>
      </c>
      <c r="N781" s="32" t="n"/>
      <c r="O781" s="34">
        <f>IF(AND(IF($I787&lt;&gt;"",$I787,$I781)="override",$N781&lt;&gt;""),$N781,SUMIFS(Assumptions!$P$4:$P$103,Assumptions!$M$4:$M$103,$C781,Assumptions!$N$4:$N$103,$E781,Assumptions!$O$4:$O$103,"HVN"))</f>
        <v/>
      </c>
      <c r="P781" s="34">
        <f>(M781+O781)*Assumptions!$S$11</f>
        <v/>
      </c>
      <c r="Q781" s="35">
        <f>$F781*$K781*$P781</f>
        <v/>
      </c>
    </row>
    <row r="782">
      <c r="A782" s="11" t="inlineStr">
        <is>
          <t>UNIT</t>
        </is>
      </c>
      <c r="B782" s="28" t="inlineStr">
        <is>
          <t>SINCLAIR_SINCLAIR</t>
        </is>
      </c>
      <c r="C782" s="28" t="n">
        <v>4</v>
      </c>
      <c r="D782" s="28" t="inlineStr">
        <is>
          <t>DHCU</t>
        </is>
      </c>
      <c r="E782" s="28" t="inlineStr">
        <is>
          <t>HYDROCRACKER</t>
        </is>
      </c>
      <c r="F782" s="29" t="n">
        <v>16</v>
      </c>
      <c r="G782" s="30">
        <f>IFERROR(IF(INDEX(Effective!$E$3:$R$125,MATCH($B782,Effective!$A$3:$A$125,0),MATCH($D782,Effective!$E$2:$R$2,0))=0,"",INDEX(Effective!$E$3:$R$125,MATCH($B782,Effective!$A$3:$A$125,0),MATCH($D782,Effective!$E$2:$R$2,0))),"")</f>
        <v/>
      </c>
      <c r="H782" s="31" t="n"/>
      <c r="I782" s="17" t="inlineStr">
        <is>
          <t>override</t>
        </is>
      </c>
      <c r="J782" s="32" t="n">
        <v>0.38</v>
      </c>
      <c r="K782" s="33">
        <f>IF(AND(IF($I787&lt;&gt;"",$I787,$I782)="override",$J782&lt;&gt;""),$J782,SUMIFS(Assumptions!$K$4:$K$8,Assumptions!$J$4:$J$8,$C782))*Assumptions!$S$10*(1-MIN(1,MAX(N($H782),N($H787))))</f>
        <v/>
      </c>
      <c r="L782" s="32" t="n"/>
      <c r="M782" s="34">
        <f>IF(AND(IF($I787&lt;&gt;"",$I787,$I782)="override",$L782&lt;&gt;""),$L782,SUMIFS(Assumptions!$P$4:$P$103,Assumptions!$M$4:$M$103,$C782,Assumptions!$N$4:$N$103,$E782,Assumptions!$O$4:$O$103,"LVN"))</f>
        <v/>
      </c>
      <c r="N782" s="32" t="n"/>
      <c r="O782" s="34">
        <f>IF(AND(IF($I787&lt;&gt;"",$I787,$I782)="override",$N782&lt;&gt;""),$N782,SUMIFS(Assumptions!$P$4:$P$103,Assumptions!$M$4:$M$103,$C782,Assumptions!$N$4:$N$103,$E782,Assumptions!$O$4:$O$103,"HVN"))</f>
        <v/>
      </c>
      <c r="P782" s="34">
        <f>(M782+O782)*Assumptions!$S$11</f>
        <v/>
      </c>
      <c r="Q782" s="35">
        <f>$F782*$K782*$P782</f>
        <v/>
      </c>
    </row>
    <row r="783">
      <c r="A783" s="11" t="inlineStr">
        <is>
          <t>UNIT</t>
        </is>
      </c>
      <c r="B783" s="28" t="inlineStr">
        <is>
          <t>SINCLAIR_SINCLAIR</t>
        </is>
      </c>
      <c r="C783" s="28" t="n">
        <v>4</v>
      </c>
      <c r="D783" s="28" t="inlineStr">
        <is>
          <t>COKER</t>
        </is>
      </c>
      <c r="E783" s="28" t="inlineStr">
        <is>
          <t>COKER</t>
        </is>
      </c>
      <c r="F783" s="29" t="n">
        <v>20</v>
      </c>
      <c r="G783" s="30">
        <f>IFERROR(IF(INDEX(Effective!$E$3:$R$125,MATCH($B783,Effective!$A$3:$A$125,0),MATCH($D783,Effective!$E$2:$R$2,0))=0,"",INDEX(Effective!$E$3:$R$125,MATCH($B783,Effective!$A$3:$A$125,0),MATCH($D783,Effective!$E$2:$R$2,0))),"")</f>
        <v/>
      </c>
      <c r="H783" s="31" t="n"/>
      <c r="I783" s="17" t="inlineStr">
        <is>
          <t>override</t>
        </is>
      </c>
      <c r="J783" s="32" t="n">
        <v>0.243</v>
      </c>
      <c r="K783" s="33">
        <f>IF(AND(IF($I787&lt;&gt;"",$I787,$I783)="override",$J783&lt;&gt;""),$J783,SUMIFS(Assumptions!$K$4:$K$8,Assumptions!$J$4:$J$8,$C783))*Assumptions!$S$10*(1-MIN(1,MAX(N($H783),N($H787))))</f>
        <v/>
      </c>
      <c r="L783" s="32" t="n"/>
      <c r="M783" s="34">
        <f>IF(AND(IF($I787&lt;&gt;"",$I787,$I783)="override",$L783&lt;&gt;""),$L783,SUMIFS(Assumptions!$P$4:$P$103,Assumptions!$M$4:$M$103,$C783,Assumptions!$N$4:$N$103,$E783,Assumptions!$O$4:$O$103,"LVN"))</f>
        <v/>
      </c>
      <c r="N783" s="32" t="n"/>
      <c r="O783" s="34">
        <f>IF(AND(IF($I787&lt;&gt;"",$I787,$I783)="override",$N783&lt;&gt;""),$N783,SUMIFS(Assumptions!$P$4:$P$103,Assumptions!$M$4:$M$103,$C783,Assumptions!$N$4:$N$103,$E783,Assumptions!$O$4:$O$103,"HVN"))</f>
        <v/>
      </c>
      <c r="P783" s="34">
        <f>(M783+O783)*Assumptions!$S$11</f>
        <v/>
      </c>
      <c r="Q783" s="35">
        <f>$F783*$K783*$P783</f>
        <v/>
      </c>
    </row>
    <row r="784">
      <c r="A784" s="11" t="inlineStr">
        <is>
          <t>UNIT</t>
        </is>
      </c>
      <c r="B784" s="28" t="inlineStr">
        <is>
          <t>SINCLAIR_SINCLAIR</t>
        </is>
      </c>
      <c r="C784" s="28" t="n">
        <v>4</v>
      </c>
      <c r="D784" s="28" t="inlineStr">
        <is>
          <t>REF</t>
        </is>
      </c>
      <c r="E784" s="28" t="inlineStr">
        <is>
          <t>REFORMER</t>
        </is>
      </c>
      <c r="F784" s="29" t="n">
        <v>13</v>
      </c>
      <c r="G784" s="30">
        <f>IFERROR(IF(INDEX(Effective!$E$3:$R$125,MATCH($B784,Effective!$A$3:$A$125,0),MATCH($D784,Effective!$E$2:$R$2,0))=0,"",INDEX(Effective!$E$3:$R$125,MATCH($B784,Effective!$A$3:$A$125,0),MATCH($D784,Effective!$E$2:$R$2,0))),"")</f>
        <v/>
      </c>
      <c r="H784" s="31" t="n"/>
      <c r="I784" s="17" t="inlineStr">
        <is>
          <t>override</t>
        </is>
      </c>
      <c r="J784" s="32" t="n">
        <v>0.966</v>
      </c>
      <c r="K784" s="33">
        <f>IF(AND(IF($I787&lt;&gt;"",$I787,$I784)="override",$J784&lt;&gt;""),$J784,SUMIFS(Assumptions!$K$4:$K$8,Assumptions!$J$4:$J$8,$C784))*Assumptions!$S$10*(1-MIN(1,MAX(N($H784),N($H787))))</f>
        <v/>
      </c>
      <c r="L784" s="32" t="n"/>
      <c r="M784" s="34">
        <f>IF(AND(IF($I787&lt;&gt;"",$I787,$I784)="override",$L784&lt;&gt;""),$L784,SUMIFS(Assumptions!$P$4:$P$103,Assumptions!$M$4:$M$103,$C784,Assumptions!$N$4:$N$103,$E784,Assumptions!$O$4:$O$103,"LVN"))</f>
        <v/>
      </c>
      <c r="N784" s="32" t="n"/>
      <c r="O784" s="34">
        <f>IF(AND(IF($I787&lt;&gt;"",$I787,$I784)="override",$N784&lt;&gt;""),$N784,SUMIFS(Assumptions!$P$4:$P$103,Assumptions!$M$4:$M$103,$C784,Assumptions!$N$4:$N$103,$E784,Assumptions!$O$4:$O$103,"HVN"))</f>
        <v/>
      </c>
      <c r="P784" s="34">
        <f>(M784+O784)*Assumptions!$S$11</f>
        <v/>
      </c>
      <c r="Q784" s="35">
        <f>$F784*$K784*$P784</f>
        <v/>
      </c>
    </row>
    <row r="785">
      <c r="A785" s="11" t="inlineStr">
        <is>
          <t>UNIT</t>
        </is>
      </c>
      <c r="B785" s="28" t="inlineStr">
        <is>
          <t>SINCLAIR_SINCLAIR</t>
        </is>
      </c>
      <c r="C785" s="28" t="n">
        <v>4</v>
      </c>
      <c r="D785" s="28" t="inlineStr">
        <is>
          <t>ALKY</t>
        </is>
      </c>
      <c r="E785" s="28" t="inlineStr">
        <is>
          <t>ALKY</t>
        </is>
      </c>
      <c r="F785" s="29" t="n">
        <v>5</v>
      </c>
      <c r="G785" s="30">
        <f>IFERROR(IF(INDEX(Effective!$E$3:$R$125,MATCH($B785,Effective!$A$3:$A$125,0),MATCH($D785,Effective!$E$2:$R$2,0))=0,"",INDEX(Effective!$E$3:$R$125,MATCH($B785,Effective!$A$3:$A$125,0),MATCH($D785,Effective!$E$2:$R$2,0))),"")</f>
        <v/>
      </c>
      <c r="H785" s="31" t="n"/>
      <c r="I785" s="17" t="inlineStr">
        <is>
          <t>override</t>
        </is>
      </c>
      <c r="J785" s="32" t="n">
        <v>0.789</v>
      </c>
      <c r="K785" s="33">
        <f>IF(AND(IF($I787&lt;&gt;"",$I787,$I785)="override",$J785&lt;&gt;""),$J785,SUMIFS(Assumptions!$K$4:$K$8,Assumptions!$J$4:$J$8,$C785))*Assumptions!$S$10*(1-MIN(1,MAX(N($H785),N($H787))))</f>
        <v/>
      </c>
      <c r="L785" s="32" t="n"/>
      <c r="M785" s="34">
        <f>IF(AND(IF($I787&lt;&gt;"",$I787,$I785)="override",$L785&lt;&gt;""),$L785,SUMIFS(Assumptions!$P$4:$P$103,Assumptions!$M$4:$M$103,$C785,Assumptions!$N$4:$N$103,$E785,Assumptions!$O$4:$O$103,"LVN"))</f>
        <v/>
      </c>
      <c r="N785" s="32" t="n"/>
      <c r="O785" s="34">
        <f>IF(AND(IF($I787&lt;&gt;"",$I787,$I785)="override",$N785&lt;&gt;""),$N785,SUMIFS(Assumptions!$P$4:$P$103,Assumptions!$M$4:$M$103,$C785,Assumptions!$N$4:$N$103,$E785,Assumptions!$O$4:$O$103,"HVN"))</f>
        <v/>
      </c>
      <c r="P785" s="34">
        <f>(M785+O785)*Assumptions!$S$11</f>
        <v/>
      </c>
      <c r="Q785" s="35">
        <f>$F785*$K785*$P785</f>
        <v/>
      </c>
    </row>
    <row r="786">
      <c r="A786" s="11" t="inlineStr">
        <is>
          <t>UNIT</t>
        </is>
      </c>
      <c r="B786" s="28" t="inlineStr">
        <is>
          <t>SINCLAIR_SINCLAIR</t>
        </is>
      </c>
      <c r="C786" s="28" t="n">
        <v>4</v>
      </c>
      <c r="D786" s="28" t="inlineStr">
        <is>
          <t>NHT</t>
        </is>
      </c>
      <c r="E786" s="28" t="inlineStr">
        <is>
          <t>NHT</t>
        </is>
      </c>
      <c r="F786" s="29" t="n">
        <v>21.5</v>
      </c>
      <c r="G786" s="30">
        <f>IFERROR(IF(INDEX(Effective!$E$3:$R$125,MATCH($B786,Effective!$A$3:$A$125,0),MATCH($D786,Effective!$E$2:$R$2,0))=0,"",INDEX(Effective!$E$3:$R$125,MATCH($B786,Effective!$A$3:$A$125,0),MATCH($D786,Effective!$E$2:$R$2,0))),"")</f>
        <v/>
      </c>
      <c r="H786" s="31" t="n"/>
      <c r="I786" s="17" t="inlineStr">
        <is>
          <t>override</t>
        </is>
      </c>
      <c r="J786" s="32" t="n">
        <v>0.997</v>
      </c>
      <c r="K786" s="33">
        <f>IF(AND(IF($I787&lt;&gt;"",$I787,$I786)="override",$J786&lt;&gt;""),$J786,SUMIFS(Assumptions!$K$4:$K$8,Assumptions!$J$4:$J$8,$C786))*Assumptions!$S$10*(1-MIN(1,MAX(N($H786),N($H787))))</f>
        <v/>
      </c>
      <c r="L786" s="32" t="n"/>
      <c r="M786" s="34">
        <f>IF(AND(IF($I787&lt;&gt;"",$I787,$I786)="override",$L786&lt;&gt;""),$L786,SUMIFS(Assumptions!$P$4:$P$103,Assumptions!$M$4:$M$103,$C786,Assumptions!$N$4:$N$103,$E786,Assumptions!$O$4:$O$103,"LVN"))</f>
        <v/>
      </c>
      <c r="N786" s="32" t="n"/>
      <c r="O786" s="34">
        <f>IF(AND(IF($I787&lt;&gt;"",$I787,$I786)="override",$N786&lt;&gt;""),$N786,SUMIFS(Assumptions!$P$4:$P$103,Assumptions!$M$4:$M$103,$C786,Assumptions!$N$4:$N$103,$E786,Assumptions!$O$4:$O$103,"HVN"))</f>
        <v/>
      </c>
      <c r="P786" s="34">
        <f>(M786+O786)*Assumptions!$S$11</f>
        <v/>
      </c>
      <c r="Q786" s="35">
        <f>$F786*$K786*$P786</f>
        <v/>
      </c>
    </row>
    <row r="787">
      <c r="A787" s="24" t="inlineStr">
        <is>
          <t>TOTAL</t>
        </is>
      </c>
      <c r="B787" s="36" t="inlineStr">
        <is>
          <t>SINCLAIR_SINCLAIR</t>
        </is>
      </c>
      <c r="C787" s="36" t="n">
        <v>4</v>
      </c>
      <c r="D787" s="36" t="inlineStr">
        <is>
          <t>NET NAPHTHA</t>
        </is>
      </c>
      <c r="H787" s="31" t="n"/>
      <c r="I787" s="17" t="n"/>
      <c r="Q787" s="37">
        <f>SUM(Q779:Q786)</f>
        <v/>
      </c>
    </row>
    <row r="789" ht="20" customHeight="1">
      <c r="A789" s="8">
        <f>"  Marathon Petroleum Salt Lake City  [MARATHON_SALT_LAKE_CITY]   —   Marathon Petroleum   —   PADD 4   —   crude "&amp;TEXT(SUMIFS(Data!$G$3:$G$125,Data!$A$3:$A$125,"MARATHON_SALT_LAKE_CITY"),"#,##0")&amp;" kbd"</f>
        <v/>
      </c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</row>
    <row r="790">
      <c r="A790" s="11" t="inlineStr">
        <is>
          <t>UNIT</t>
        </is>
      </c>
      <c r="B790" s="28" t="inlineStr">
        <is>
          <t>MARATHON_SALT_LAKE_CITY</t>
        </is>
      </c>
      <c r="C790" s="28" t="n">
        <v>4</v>
      </c>
      <c r="D790" s="28" t="inlineStr">
        <is>
          <t>CDU</t>
        </is>
      </c>
      <c r="E790" s="28" t="inlineStr">
        <is>
          <t>CDU</t>
        </is>
      </c>
      <c r="F790" s="29" t="n">
        <v>71.58</v>
      </c>
      <c r="G790" s="30">
        <f>IFERROR(IF(INDEX(Effective!$E$3:$R$125,MATCH($B790,Effective!$A$3:$A$125,0),MATCH($D790,Effective!$E$2:$R$2,0))=0,"",INDEX(Effective!$E$3:$R$125,MATCH($B790,Effective!$A$3:$A$125,0),MATCH($D790,Effective!$E$2:$R$2,0))),"")</f>
        <v/>
      </c>
      <c r="H790" s="31" t="n"/>
      <c r="I790" s="17" t="inlineStr">
        <is>
          <t>override</t>
        </is>
      </c>
      <c r="J790" s="32" t="n">
        <v>0.88</v>
      </c>
      <c r="K790" s="33">
        <f>IF(AND(IF($I795&lt;&gt;"",$I795,$I790)="override",$J790&lt;&gt;""),$J790,SUMIFS(Assumptions!$K$4:$K$8,Assumptions!$J$4:$J$8,$C790))*Assumptions!$S$10*(1-MIN(1,MAX(N($H790),N($H795))))</f>
        <v/>
      </c>
      <c r="L790" s="32" t="n"/>
      <c r="M790" s="34">
        <f>IF(AND(IF($I795&lt;&gt;"",$I795,$I790)="override",$L790&lt;&gt;""),$L790,SUMIFS(Assumptions!$P$4:$P$103,Assumptions!$M$4:$M$103,$C790,Assumptions!$N$4:$N$103,$E790,Assumptions!$O$4:$O$103,"LVN"))</f>
        <v/>
      </c>
      <c r="N790" s="32" t="n"/>
      <c r="O790" s="34">
        <f>IF(AND(IF($I795&lt;&gt;"",$I795,$I790)="override",$N790&lt;&gt;""),$N790,SUMIFS(Assumptions!$P$4:$P$103,Assumptions!$M$4:$M$103,$C790,Assumptions!$N$4:$N$103,$E790,Assumptions!$O$4:$O$103,"HVN"))</f>
        <v/>
      </c>
      <c r="P790" s="34">
        <f>(M790+O790)*Assumptions!$S$11</f>
        <v/>
      </c>
      <c r="Q790" s="35">
        <f>$F790*$K790*$P790</f>
        <v/>
      </c>
    </row>
    <row r="791">
      <c r="A791" s="11" t="inlineStr">
        <is>
          <t>UNIT</t>
        </is>
      </c>
      <c r="B791" s="28" t="inlineStr">
        <is>
          <t>MARATHON_SALT_LAKE_CITY</t>
        </is>
      </c>
      <c r="C791" s="28" t="n">
        <v>4</v>
      </c>
      <c r="D791" s="28" t="inlineStr">
        <is>
          <t>RCC</t>
        </is>
      </c>
      <c r="E791" s="28" t="inlineStr">
        <is>
          <t>FCC</t>
        </is>
      </c>
      <c r="F791" s="29" t="n">
        <v>24.5</v>
      </c>
      <c r="G791" s="30">
        <f>IFERROR(IF(INDEX(Effective!$E$3:$R$125,MATCH($B791,Effective!$A$3:$A$125,0),MATCH($D791,Effective!$E$2:$R$2,0))=0,"",INDEX(Effective!$E$3:$R$125,MATCH($B791,Effective!$A$3:$A$125,0),MATCH($D791,Effective!$E$2:$R$2,0))),"")</f>
        <v/>
      </c>
      <c r="H791" s="31" t="n"/>
      <c r="I791" s="17" t="inlineStr">
        <is>
          <t>override</t>
        </is>
      </c>
      <c r="J791" s="32" t="n">
        <v>0.9330000000000001</v>
      </c>
      <c r="K791" s="33">
        <f>IF(AND(IF($I795&lt;&gt;"",$I795,$I791)="override",$J791&lt;&gt;""),$J791,SUMIFS(Assumptions!$K$4:$K$8,Assumptions!$J$4:$J$8,$C791))*Assumptions!$S$10*(1-MIN(1,MAX(N($H791),N($H795))))</f>
        <v/>
      </c>
      <c r="L791" s="32" t="n"/>
      <c r="M791" s="34">
        <f>IF(AND(IF($I795&lt;&gt;"",$I795,$I791)="override",$L791&lt;&gt;""),$L791,SUMIFS(Assumptions!$P$4:$P$103,Assumptions!$M$4:$M$103,$C791,Assumptions!$N$4:$N$103,$E791,Assumptions!$O$4:$O$103,"LVN"))</f>
        <v/>
      </c>
      <c r="N791" s="32" t="n"/>
      <c r="O791" s="34">
        <f>IF(AND(IF($I795&lt;&gt;"",$I795,$I791)="override",$N791&lt;&gt;""),$N791,SUMIFS(Assumptions!$P$4:$P$103,Assumptions!$M$4:$M$103,$C791,Assumptions!$N$4:$N$103,$E791,Assumptions!$O$4:$O$103,"HVN"))</f>
        <v/>
      </c>
      <c r="P791" s="34">
        <f>(M791+O791)*Assumptions!$S$11</f>
        <v/>
      </c>
      <c r="Q791" s="35">
        <f>$F791*$K791*$P791</f>
        <v/>
      </c>
    </row>
    <row r="792">
      <c r="A792" s="11" t="inlineStr">
        <is>
          <t>UNIT</t>
        </is>
      </c>
      <c r="B792" s="28" t="inlineStr">
        <is>
          <t>MARATHON_SALT_LAKE_CITY</t>
        </is>
      </c>
      <c r="C792" s="28" t="n">
        <v>4</v>
      </c>
      <c r="D792" s="28" t="inlineStr">
        <is>
          <t>REF</t>
        </is>
      </c>
      <c r="E792" s="28" t="inlineStr">
        <is>
          <t>REFORMER</t>
        </is>
      </c>
      <c r="F792" s="29" t="n">
        <v>11.5</v>
      </c>
      <c r="G792" s="30">
        <f>IFERROR(IF(INDEX(Effective!$E$3:$R$125,MATCH($B792,Effective!$A$3:$A$125,0),MATCH($D792,Effective!$E$2:$R$2,0))=0,"",INDEX(Effective!$E$3:$R$125,MATCH($B792,Effective!$A$3:$A$125,0),MATCH($D792,Effective!$E$2:$R$2,0))),"")</f>
        <v/>
      </c>
      <c r="H792" s="31" t="n"/>
      <c r="I792" s="17" t="inlineStr">
        <is>
          <t>override</t>
        </is>
      </c>
      <c r="J792" s="32" t="n">
        <v>0.6</v>
      </c>
      <c r="K792" s="33">
        <f>IF(AND(IF($I795&lt;&gt;"",$I795,$I792)="override",$J792&lt;&gt;""),$J792,SUMIFS(Assumptions!$K$4:$K$8,Assumptions!$J$4:$J$8,$C792))*Assumptions!$S$10*(1-MIN(1,MAX(N($H792),N($H795))))</f>
        <v/>
      </c>
      <c r="L792" s="32" t="n"/>
      <c r="M792" s="34">
        <f>IF(AND(IF($I795&lt;&gt;"",$I795,$I792)="override",$L792&lt;&gt;""),$L792,SUMIFS(Assumptions!$P$4:$P$103,Assumptions!$M$4:$M$103,$C792,Assumptions!$N$4:$N$103,$E792,Assumptions!$O$4:$O$103,"LVN"))</f>
        <v/>
      </c>
      <c r="N792" s="32" t="n"/>
      <c r="O792" s="34">
        <f>IF(AND(IF($I795&lt;&gt;"",$I795,$I792)="override",$N792&lt;&gt;""),$N792,SUMIFS(Assumptions!$P$4:$P$103,Assumptions!$M$4:$M$103,$C792,Assumptions!$N$4:$N$103,$E792,Assumptions!$O$4:$O$103,"HVN"))</f>
        <v/>
      </c>
      <c r="P792" s="34">
        <f>(M792+O792)*Assumptions!$S$11</f>
        <v/>
      </c>
      <c r="Q792" s="35">
        <f>$F792*$K792*$P792</f>
        <v/>
      </c>
    </row>
    <row r="793">
      <c r="A793" s="11" t="inlineStr">
        <is>
          <t>UNIT</t>
        </is>
      </c>
      <c r="B793" s="28" t="inlineStr">
        <is>
          <t>MARATHON_SALT_LAKE_CITY</t>
        </is>
      </c>
      <c r="C793" s="28" t="n">
        <v>4</v>
      </c>
      <c r="D793" s="28" t="inlineStr">
        <is>
          <t>ALKY</t>
        </is>
      </c>
      <c r="E793" s="28" t="inlineStr">
        <is>
          <t>ALKY</t>
        </is>
      </c>
      <c r="F793" s="29" t="n">
        <v>7.5</v>
      </c>
      <c r="G793" s="30">
        <f>IFERROR(IF(INDEX(Effective!$E$3:$R$125,MATCH($B793,Effective!$A$3:$A$125,0),MATCH($D793,Effective!$E$2:$R$2,0))=0,"",INDEX(Effective!$E$3:$R$125,MATCH($B793,Effective!$A$3:$A$125,0),MATCH($D793,Effective!$E$2:$R$2,0))),"")</f>
        <v/>
      </c>
      <c r="H793" s="31" t="n"/>
      <c r="I793" s="17" t="inlineStr">
        <is>
          <t>override</t>
        </is>
      </c>
      <c r="J793" s="32" t="n">
        <v>0.782</v>
      </c>
      <c r="K793" s="33">
        <f>IF(AND(IF($I795&lt;&gt;"",$I795,$I793)="override",$J793&lt;&gt;""),$J793,SUMIFS(Assumptions!$K$4:$K$8,Assumptions!$J$4:$J$8,$C793))*Assumptions!$S$10*(1-MIN(1,MAX(N($H793),N($H795))))</f>
        <v/>
      </c>
      <c r="L793" s="32" t="n"/>
      <c r="M793" s="34">
        <f>IF(AND(IF($I795&lt;&gt;"",$I795,$I793)="override",$L793&lt;&gt;""),$L793,SUMIFS(Assumptions!$P$4:$P$103,Assumptions!$M$4:$M$103,$C793,Assumptions!$N$4:$N$103,$E793,Assumptions!$O$4:$O$103,"LVN"))</f>
        <v/>
      </c>
      <c r="N793" s="32" t="n"/>
      <c r="O793" s="34">
        <f>IF(AND(IF($I795&lt;&gt;"",$I795,$I793)="override",$N793&lt;&gt;""),$N793,SUMIFS(Assumptions!$P$4:$P$103,Assumptions!$M$4:$M$103,$C793,Assumptions!$N$4:$N$103,$E793,Assumptions!$O$4:$O$103,"HVN"))</f>
        <v/>
      </c>
      <c r="P793" s="34">
        <f>(M793+O793)*Assumptions!$S$11</f>
        <v/>
      </c>
      <c r="Q793" s="35">
        <f>$F793*$K793*$P793</f>
        <v/>
      </c>
    </row>
    <row r="794">
      <c r="A794" s="11" t="inlineStr">
        <is>
          <t>UNIT</t>
        </is>
      </c>
      <c r="B794" s="28" t="inlineStr">
        <is>
          <t>MARATHON_SALT_LAKE_CITY</t>
        </is>
      </c>
      <c r="C794" s="28" t="n">
        <v>4</v>
      </c>
      <c r="D794" s="28" t="inlineStr">
        <is>
          <t>NHT</t>
        </is>
      </c>
      <c r="E794" s="28" t="inlineStr">
        <is>
          <t>NHT</t>
        </is>
      </c>
      <c r="F794" s="29" t="n">
        <v>11.5</v>
      </c>
      <c r="G794" s="30">
        <f>IFERROR(IF(INDEX(Effective!$E$3:$R$125,MATCH($B794,Effective!$A$3:$A$125,0),MATCH($D794,Effective!$E$2:$R$2,0))=0,"",INDEX(Effective!$E$3:$R$125,MATCH($B794,Effective!$A$3:$A$125,0),MATCH($D794,Effective!$E$2:$R$2,0))),"")</f>
        <v/>
      </c>
      <c r="H794" s="31" t="n"/>
      <c r="I794" s="17" t="inlineStr">
        <is>
          <t>override</t>
        </is>
      </c>
      <c r="J794" s="32" t="n">
        <v>1.1</v>
      </c>
      <c r="K794" s="33">
        <f>IF(AND(IF($I795&lt;&gt;"",$I795,$I794)="override",$J794&lt;&gt;""),$J794,SUMIFS(Assumptions!$K$4:$K$8,Assumptions!$J$4:$J$8,$C794))*Assumptions!$S$10*(1-MIN(1,MAX(N($H794),N($H795))))</f>
        <v/>
      </c>
      <c r="L794" s="32" t="n"/>
      <c r="M794" s="34">
        <f>IF(AND(IF($I795&lt;&gt;"",$I795,$I794)="override",$L794&lt;&gt;""),$L794,SUMIFS(Assumptions!$P$4:$P$103,Assumptions!$M$4:$M$103,$C794,Assumptions!$N$4:$N$103,$E794,Assumptions!$O$4:$O$103,"LVN"))</f>
        <v/>
      </c>
      <c r="N794" s="32" t="n"/>
      <c r="O794" s="34">
        <f>IF(AND(IF($I795&lt;&gt;"",$I795,$I794)="override",$N794&lt;&gt;""),$N794,SUMIFS(Assumptions!$P$4:$P$103,Assumptions!$M$4:$M$103,$C794,Assumptions!$N$4:$N$103,$E794,Assumptions!$O$4:$O$103,"HVN"))</f>
        <v/>
      </c>
      <c r="P794" s="34">
        <f>(M794+O794)*Assumptions!$S$11</f>
        <v/>
      </c>
      <c r="Q794" s="35">
        <f>$F794*$K794*$P794</f>
        <v/>
      </c>
    </row>
    <row r="795">
      <c r="A795" s="24" t="inlineStr">
        <is>
          <t>TOTAL</t>
        </is>
      </c>
      <c r="B795" s="36" t="inlineStr">
        <is>
          <t>MARATHON_SALT_LAKE_CITY</t>
        </is>
      </c>
      <c r="C795" s="36" t="n">
        <v>4</v>
      </c>
      <c r="D795" s="36" t="inlineStr">
        <is>
          <t>NET NAPHTHA</t>
        </is>
      </c>
      <c r="H795" s="31" t="n"/>
      <c r="I795" s="17" t="n"/>
      <c r="Q795" s="37">
        <f>SUM(Q790:Q794)</f>
        <v/>
      </c>
    </row>
    <row r="797" ht="20" customHeight="1">
      <c r="A797" s="8">
        <f>"  Phillips 66 Co. Billings  [PHILLIPS_BILLINGS]   —   Phillips 66 Co.   —   PADD 4   —   crude "&amp;TEXT(SUMIFS(Data!$G$3:$G$125,Data!$A$3:$A$125,"PHILLIPS_BILLINGS"),"#,##0")&amp;" kbd"</f>
        <v/>
      </c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</row>
    <row r="798">
      <c r="A798" s="11" t="inlineStr">
        <is>
          <t>UNIT</t>
        </is>
      </c>
      <c r="B798" s="28" t="inlineStr">
        <is>
          <t>PHILLIPS_BILLINGS</t>
        </is>
      </c>
      <c r="C798" s="28" t="n">
        <v>4</v>
      </c>
      <c r="D798" s="28" t="inlineStr">
        <is>
          <t>CDU</t>
        </is>
      </c>
      <c r="E798" s="28" t="inlineStr">
        <is>
          <t>CDU</t>
        </is>
      </c>
      <c r="F798" s="29" t="n">
        <v>69.5</v>
      </c>
      <c r="G798" s="30">
        <f>IFERROR(IF(INDEX(Effective!$E$3:$R$125,MATCH($B798,Effective!$A$3:$A$125,0),MATCH($D798,Effective!$E$2:$R$2,0))=0,"",INDEX(Effective!$E$3:$R$125,MATCH($B798,Effective!$A$3:$A$125,0),MATCH($D798,Effective!$E$2:$R$2,0))),"")</f>
        <v/>
      </c>
      <c r="H798" s="31" t="n"/>
      <c r="I798" s="17" t="inlineStr">
        <is>
          <t>override</t>
        </is>
      </c>
      <c r="J798" s="32" t="n">
        <v>0.9399999999999999</v>
      </c>
      <c r="K798" s="33">
        <f>IF(AND(IF($I805&lt;&gt;"",$I805,$I798)="override",$J798&lt;&gt;""),$J798,SUMIFS(Assumptions!$K$4:$K$8,Assumptions!$J$4:$J$8,$C798))*Assumptions!$S$10*(1-MIN(1,MAX(N($H798),N($H805))))</f>
        <v/>
      </c>
      <c r="L798" s="32" t="n"/>
      <c r="M798" s="34">
        <f>IF(AND(IF($I805&lt;&gt;"",$I805,$I798)="override",$L798&lt;&gt;""),$L798,SUMIFS(Assumptions!$P$4:$P$103,Assumptions!$M$4:$M$103,$C798,Assumptions!$N$4:$N$103,$E798,Assumptions!$O$4:$O$103,"LVN"))</f>
        <v/>
      </c>
      <c r="N798" s="32" t="n"/>
      <c r="O798" s="34">
        <f>IF(AND(IF($I805&lt;&gt;"",$I805,$I798)="override",$N798&lt;&gt;""),$N798,SUMIFS(Assumptions!$P$4:$P$103,Assumptions!$M$4:$M$103,$C798,Assumptions!$N$4:$N$103,$E798,Assumptions!$O$4:$O$103,"HVN"))</f>
        <v/>
      </c>
      <c r="P798" s="34">
        <f>(M798+O798)*Assumptions!$S$11</f>
        <v/>
      </c>
      <c r="Q798" s="35">
        <f>$F798*$K798*$P798</f>
        <v/>
      </c>
    </row>
    <row r="799">
      <c r="A799" s="11" t="inlineStr">
        <is>
          <t>UNIT</t>
        </is>
      </c>
      <c r="B799" s="28" t="inlineStr">
        <is>
          <t>PHILLIPS_BILLINGS</t>
        </is>
      </c>
      <c r="C799" s="28" t="n">
        <v>4</v>
      </c>
      <c r="D799" s="28" t="inlineStr">
        <is>
          <t>VDU</t>
        </is>
      </c>
      <c r="E799" s="28" t="inlineStr">
        <is>
          <t>VDU</t>
        </is>
      </c>
      <c r="F799" s="29" t="n">
        <v>45.1</v>
      </c>
      <c r="G799" s="30">
        <f>IFERROR(IF(INDEX(Effective!$E$3:$R$125,MATCH($B799,Effective!$A$3:$A$125,0),MATCH($D799,Effective!$E$2:$R$2,0))=0,"",INDEX(Effective!$E$3:$R$125,MATCH($B799,Effective!$A$3:$A$125,0),MATCH($D799,Effective!$E$2:$R$2,0))),"")</f>
        <v/>
      </c>
      <c r="H799" s="31" t="n"/>
      <c r="I799" s="17" t="inlineStr">
        <is>
          <t>override</t>
        </is>
      </c>
      <c r="J799" s="32" t="n">
        <v>0.656</v>
      </c>
      <c r="K799" s="33">
        <f>IF(AND(IF($I805&lt;&gt;"",$I805,$I799)="override",$J799&lt;&gt;""),$J799,SUMIFS(Assumptions!$K$4:$K$8,Assumptions!$J$4:$J$8,$C799))*Assumptions!$S$10*(1-MIN(1,MAX(N($H799),N($H805))))</f>
        <v/>
      </c>
      <c r="L799" s="32" t="n"/>
      <c r="M799" s="34">
        <f>IF(AND(IF($I805&lt;&gt;"",$I805,$I799)="override",$L799&lt;&gt;""),$L799,SUMIFS(Assumptions!$P$4:$P$103,Assumptions!$M$4:$M$103,$C799,Assumptions!$N$4:$N$103,$E799,Assumptions!$O$4:$O$103,"LVN"))</f>
        <v/>
      </c>
      <c r="N799" s="32" t="n"/>
      <c r="O799" s="34">
        <f>IF(AND(IF($I805&lt;&gt;"",$I805,$I799)="override",$N799&lt;&gt;""),$N799,SUMIFS(Assumptions!$P$4:$P$103,Assumptions!$M$4:$M$103,$C799,Assumptions!$N$4:$N$103,$E799,Assumptions!$O$4:$O$103,"HVN"))</f>
        <v/>
      </c>
      <c r="P799" s="34">
        <f>(M799+O799)*Assumptions!$S$11</f>
        <v/>
      </c>
      <c r="Q799" s="35">
        <f>$F799*$K799*$P799</f>
        <v/>
      </c>
    </row>
    <row r="800">
      <c r="A800" s="11" t="inlineStr">
        <is>
          <t>UNIT</t>
        </is>
      </c>
      <c r="B800" s="28" t="inlineStr">
        <is>
          <t>PHILLIPS_BILLINGS</t>
        </is>
      </c>
      <c r="C800" s="28" t="n">
        <v>4</v>
      </c>
      <c r="D800" s="28" t="inlineStr">
        <is>
          <t>FCC</t>
        </is>
      </c>
      <c r="E800" s="28" t="inlineStr">
        <is>
          <t>FCC</t>
        </is>
      </c>
      <c r="F800" s="29" t="n">
        <v>23.5</v>
      </c>
      <c r="G800" s="30">
        <f>IFERROR(IF(INDEX(Effective!$E$3:$R$125,MATCH($B800,Effective!$A$3:$A$125,0),MATCH($D800,Effective!$E$2:$R$2,0))=0,"",INDEX(Effective!$E$3:$R$125,MATCH($B800,Effective!$A$3:$A$125,0),MATCH($D800,Effective!$E$2:$R$2,0))),"")</f>
        <v/>
      </c>
      <c r="H800" s="31" t="n"/>
      <c r="I800" s="17" t="inlineStr">
        <is>
          <t>override</t>
        </is>
      </c>
      <c r="J800" s="32" t="n">
        <v>0.823</v>
      </c>
      <c r="K800" s="33">
        <f>IF(AND(IF($I805&lt;&gt;"",$I805,$I800)="override",$J800&lt;&gt;""),$J800,SUMIFS(Assumptions!$K$4:$K$8,Assumptions!$J$4:$J$8,$C800))*Assumptions!$S$10*(1-MIN(1,MAX(N($H800),N($H805))))</f>
        <v/>
      </c>
      <c r="L800" s="32" t="n"/>
      <c r="M800" s="34">
        <f>IF(AND(IF($I805&lt;&gt;"",$I805,$I800)="override",$L800&lt;&gt;""),$L800,SUMIFS(Assumptions!$P$4:$P$103,Assumptions!$M$4:$M$103,$C800,Assumptions!$N$4:$N$103,$E800,Assumptions!$O$4:$O$103,"LVN"))</f>
        <v/>
      </c>
      <c r="N800" s="32" t="n"/>
      <c r="O800" s="34">
        <f>IF(AND(IF($I805&lt;&gt;"",$I805,$I800)="override",$N800&lt;&gt;""),$N800,SUMIFS(Assumptions!$P$4:$P$103,Assumptions!$M$4:$M$103,$C800,Assumptions!$N$4:$N$103,$E800,Assumptions!$O$4:$O$103,"HVN"))</f>
        <v/>
      </c>
      <c r="P800" s="34">
        <f>(M800+O800)*Assumptions!$S$11</f>
        <v/>
      </c>
      <c r="Q800" s="35">
        <f>$F800*$K800*$P800</f>
        <v/>
      </c>
    </row>
    <row r="801">
      <c r="A801" s="11" t="inlineStr">
        <is>
          <t>UNIT</t>
        </is>
      </c>
      <c r="B801" s="28" t="inlineStr">
        <is>
          <t>PHILLIPS_BILLINGS</t>
        </is>
      </c>
      <c r="C801" s="28" t="n">
        <v>4</v>
      </c>
      <c r="D801" s="28" t="inlineStr">
        <is>
          <t>COKER</t>
        </is>
      </c>
      <c r="E801" s="28" t="inlineStr">
        <is>
          <t>COKER</t>
        </is>
      </c>
      <c r="F801" s="29" t="n">
        <v>18.27</v>
      </c>
      <c r="G801" s="30">
        <f>IFERROR(IF(INDEX(Effective!$E$3:$R$125,MATCH($B801,Effective!$A$3:$A$125,0),MATCH($D801,Effective!$E$2:$R$2,0))=0,"",INDEX(Effective!$E$3:$R$125,MATCH($B801,Effective!$A$3:$A$125,0),MATCH($D801,Effective!$E$2:$R$2,0))),"")</f>
        <v/>
      </c>
      <c r="H801" s="31" t="n"/>
      <c r="I801" s="17" t="inlineStr">
        <is>
          <t>override</t>
        </is>
      </c>
      <c r="J801" s="32" t="n">
        <v>0.864</v>
      </c>
      <c r="K801" s="33">
        <f>IF(AND(IF($I805&lt;&gt;"",$I805,$I801)="override",$J801&lt;&gt;""),$J801,SUMIFS(Assumptions!$K$4:$K$8,Assumptions!$J$4:$J$8,$C801))*Assumptions!$S$10*(1-MIN(1,MAX(N($H801),N($H805))))</f>
        <v/>
      </c>
      <c r="L801" s="32" t="n"/>
      <c r="M801" s="34">
        <f>IF(AND(IF($I805&lt;&gt;"",$I805,$I801)="override",$L801&lt;&gt;""),$L801,SUMIFS(Assumptions!$P$4:$P$103,Assumptions!$M$4:$M$103,$C801,Assumptions!$N$4:$N$103,$E801,Assumptions!$O$4:$O$103,"LVN"))</f>
        <v/>
      </c>
      <c r="N801" s="32" t="n"/>
      <c r="O801" s="34">
        <f>IF(AND(IF($I805&lt;&gt;"",$I805,$I801)="override",$N801&lt;&gt;""),$N801,SUMIFS(Assumptions!$P$4:$P$103,Assumptions!$M$4:$M$103,$C801,Assumptions!$N$4:$N$103,$E801,Assumptions!$O$4:$O$103,"HVN"))</f>
        <v/>
      </c>
      <c r="P801" s="34">
        <f>(M801+O801)*Assumptions!$S$11</f>
        <v/>
      </c>
      <c r="Q801" s="35">
        <f>$F801*$K801*$P801</f>
        <v/>
      </c>
    </row>
    <row r="802">
      <c r="A802" s="11" t="inlineStr">
        <is>
          <t>UNIT</t>
        </is>
      </c>
      <c r="B802" s="28" t="inlineStr">
        <is>
          <t>PHILLIPS_BILLINGS</t>
        </is>
      </c>
      <c r="C802" s="28" t="n">
        <v>4</v>
      </c>
      <c r="D802" s="28" t="inlineStr">
        <is>
          <t>REF</t>
        </is>
      </c>
      <c r="E802" s="28" t="inlineStr">
        <is>
          <t>REFORMER</t>
        </is>
      </c>
      <c r="F802" s="29" t="n">
        <v>9.199999999999999</v>
      </c>
      <c r="G802" s="30">
        <f>IFERROR(IF(INDEX(Effective!$E$3:$R$125,MATCH($B802,Effective!$A$3:$A$125,0),MATCH($D802,Effective!$E$2:$R$2,0))=0,"",INDEX(Effective!$E$3:$R$125,MATCH($B802,Effective!$A$3:$A$125,0),MATCH($D802,Effective!$E$2:$R$2,0))),"")</f>
        <v/>
      </c>
      <c r="H802" s="31" t="n"/>
      <c r="I802" s="17" t="inlineStr">
        <is>
          <t>override</t>
        </is>
      </c>
      <c r="J802" s="32" t="n">
        <v>0.911</v>
      </c>
      <c r="K802" s="33">
        <f>IF(AND(IF($I805&lt;&gt;"",$I805,$I802)="override",$J802&lt;&gt;""),$J802,SUMIFS(Assumptions!$K$4:$K$8,Assumptions!$J$4:$J$8,$C802))*Assumptions!$S$10*(1-MIN(1,MAX(N($H802),N($H805))))</f>
        <v/>
      </c>
      <c r="L802" s="32" t="n"/>
      <c r="M802" s="34">
        <f>IF(AND(IF($I805&lt;&gt;"",$I805,$I802)="override",$L802&lt;&gt;""),$L802,SUMIFS(Assumptions!$P$4:$P$103,Assumptions!$M$4:$M$103,$C802,Assumptions!$N$4:$N$103,$E802,Assumptions!$O$4:$O$103,"LVN"))</f>
        <v/>
      </c>
      <c r="N802" s="32" t="n"/>
      <c r="O802" s="34">
        <f>IF(AND(IF($I805&lt;&gt;"",$I805,$I802)="override",$N802&lt;&gt;""),$N802,SUMIFS(Assumptions!$P$4:$P$103,Assumptions!$M$4:$M$103,$C802,Assumptions!$N$4:$N$103,$E802,Assumptions!$O$4:$O$103,"HVN"))</f>
        <v/>
      </c>
      <c r="P802" s="34">
        <f>(M802+O802)*Assumptions!$S$11</f>
        <v/>
      </c>
      <c r="Q802" s="35">
        <f>$F802*$K802*$P802</f>
        <v/>
      </c>
    </row>
    <row r="803">
      <c r="A803" s="11" t="inlineStr">
        <is>
          <t>UNIT</t>
        </is>
      </c>
      <c r="B803" s="28" t="inlineStr">
        <is>
          <t>PHILLIPS_BILLINGS</t>
        </is>
      </c>
      <c r="C803" s="28" t="n">
        <v>4</v>
      </c>
      <c r="D803" s="28" t="inlineStr">
        <is>
          <t>ALKY</t>
        </is>
      </c>
      <c r="E803" s="28" t="inlineStr">
        <is>
          <t>ALKY</t>
        </is>
      </c>
      <c r="F803" s="29" t="n">
        <v>7.3</v>
      </c>
      <c r="G803" s="30">
        <f>IFERROR(IF(INDEX(Effective!$E$3:$R$125,MATCH($B803,Effective!$A$3:$A$125,0),MATCH($D803,Effective!$E$2:$R$2,0))=0,"",INDEX(Effective!$E$3:$R$125,MATCH($B803,Effective!$A$3:$A$125,0),MATCH($D803,Effective!$E$2:$R$2,0))),"")</f>
        <v/>
      </c>
      <c r="H803" s="31" t="n"/>
      <c r="I803" s="17" t="inlineStr">
        <is>
          <t>override</t>
        </is>
      </c>
      <c r="J803" s="32" t="n">
        <v>0.767</v>
      </c>
      <c r="K803" s="33">
        <f>IF(AND(IF($I805&lt;&gt;"",$I805,$I803)="override",$J803&lt;&gt;""),$J803,SUMIFS(Assumptions!$K$4:$K$8,Assumptions!$J$4:$J$8,$C803))*Assumptions!$S$10*(1-MIN(1,MAX(N($H803),N($H805))))</f>
        <v/>
      </c>
      <c r="L803" s="32" t="n"/>
      <c r="M803" s="34">
        <f>IF(AND(IF($I805&lt;&gt;"",$I805,$I803)="override",$L803&lt;&gt;""),$L803,SUMIFS(Assumptions!$P$4:$P$103,Assumptions!$M$4:$M$103,$C803,Assumptions!$N$4:$N$103,$E803,Assumptions!$O$4:$O$103,"LVN"))</f>
        <v/>
      </c>
      <c r="N803" s="32" t="n"/>
      <c r="O803" s="34">
        <f>IF(AND(IF($I805&lt;&gt;"",$I805,$I803)="override",$N803&lt;&gt;""),$N803,SUMIFS(Assumptions!$P$4:$P$103,Assumptions!$M$4:$M$103,$C803,Assumptions!$N$4:$N$103,$E803,Assumptions!$O$4:$O$103,"HVN"))</f>
        <v/>
      </c>
      <c r="P803" s="34">
        <f>(M803+O803)*Assumptions!$S$11</f>
        <v/>
      </c>
      <c r="Q803" s="35">
        <f>$F803*$K803*$P803</f>
        <v/>
      </c>
    </row>
    <row r="804">
      <c r="A804" s="11" t="inlineStr">
        <is>
          <t>UNIT</t>
        </is>
      </c>
      <c r="B804" s="28" t="inlineStr">
        <is>
          <t>PHILLIPS_BILLINGS</t>
        </is>
      </c>
      <c r="C804" s="28" t="n">
        <v>4</v>
      </c>
      <c r="D804" s="28" t="inlineStr">
        <is>
          <t>NHT</t>
        </is>
      </c>
      <c r="E804" s="28" t="inlineStr">
        <is>
          <t>NHT</t>
        </is>
      </c>
      <c r="F804" s="29" t="n">
        <v>12.25</v>
      </c>
      <c r="G804" s="30">
        <f>IFERROR(IF(INDEX(Effective!$E$3:$R$125,MATCH($B804,Effective!$A$3:$A$125,0),MATCH($D804,Effective!$E$2:$R$2,0))=0,"",INDEX(Effective!$E$3:$R$125,MATCH($B804,Effective!$A$3:$A$125,0),MATCH($D804,Effective!$E$2:$R$2,0))),"")</f>
        <v/>
      </c>
      <c r="H804" s="31" t="n"/>
      <c r="I804" s="17" t="inlineStr">
        <is>
          <t>override</t>
        </is>
      </c>
      <c r="J804" s="32" t="n">
        <v>1</v>
      </c>
      <c r="K804" s="33">
        <f>IF(AND(IF($I805&lt;&gt;"",$I805,$I804)="override",$J804&lt;&gt;""),$J804,SUMIFS(Assumptions!$K$4:$K$8,Assumptions!$J$4:$J$8,$C804))*Assumptions!$S$10*(1-MIN(1,MAX(N($H804),N($H805))))</f>
        <v/>
      </c>
      <c r="L804" s="32" t="n"/>
      <c r="M804" s="34">
        <f>IF(AND(IF($I805&lt;&gt;"",$I805,$I804)="override",$L804&lt;&gt;""),$L804,SUMIFS(Assumptions!$P$4:$P$103,Assumptions!$M$4:$M$103,$C804,Assumptions!$N$4:$N$103,$E804,Assumptions!$O$4:$O$103,"LVN"))</f>
        <v/>
      </c>
      <c r="N804" s="32" t="n"/>
      <c r="O804" s="34">
        <f>IF(AND(IF($I805&lt;&gt;"",$I805,$I804)="override",$N804&lt;&gt;""),$N804,SUMIFS(Assumptions!$P$4:$P$103,Assumptions!$M$4:$M$103,$C804,Assumptions!$N$4:$N$103,$E804,Assumptions!$O$4:$O$103,"HVN"))</f>
        <v/>
      </c>
      <c r="P804" s="34">
        <f>(M804+O804)*Assumptions!$S$11</f>
        <v/>
      </c>
      <c r="Q804" s="35">
        <f>$F804*$K804*$P804</f>
        <v/>
      </c>
    </row>
    <row r="805">
      <c r="A805" s="24" t="inlineStr">
        <is>
          <t>TOTAL</t>
        </is>
      </c>
      <c r="B805" s="36" t="inlineStr">
        <is>
          <t>PHILLIPS_BILLINGS</t>
        </is>
      </c>
      <c r="C805" s="36" t="n">
        <v>4</v>
      </c>
      <c r="D805" s="36" t="inlineStr">
        <is>
          <t>NET NAPHTHA</t>
        </is>
      </c>
      <c r="H805" s="31" t="n"/>
      <c r="I805" s="17" t="n"/>
      <c r="Q805" s="37">
        <f>SUM(Q798:Q804)</f>
        <v/>
      </c>
    </row>
    <row r="807" ht="20" customHeight="1">
      <c r="A807" s="8">
        <f>"  Par Petroleum Billings  [PAR_BILLINGS]   —   Par Petroleum   —   PADD 4   —   crude "&amp;TEXT(SUMIFS(Data!$G$3:$G$125,Data!$A$3:$A$125,"PAR_BILLINGS"),"#,##0")&amp;" kbd"</f>
        <v/>
      </c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</row>
    <row r="808">
      <c r="A808" s="11" t="inlineStr">
        <is>
          <t>UNIT</t>
        </is>
      </c>
      <c r="B808" s="28" t="inlineStr">
        <is>
          <t>PAR_BILLINGS</t>
        </is>
      </c>
      <c r="C808" s="28" t="n">
        <v>4</v>
      </c>
      <c r="D808" s="28" t="inlineStr">
        <is>
          <t>CDU</t>
        </is>
      </c>
      <c r="E808" s="28" t="inlineStr">
        <is>
          <t>CDU</t>
        </is>
      </c>
      <c r="F808" s="29" t="n">
        <v>62.9</v>
      </c>
      <c r="G808" s="30">
        <f>IFERROR(IF(INDEX(Effective!$E$3:$R$125,MATCH($B808,Effective!$A$3:$A$125,0),MATCH($D808,Effective!$E$2:$R$2,0))=0,"",INDEX(Effective!$E$3:$R$125,MATCH($B808,Effective!$A$3:$A$125,0),MATCH($D808,Effective!$E$2:$R$2,0))),"")</f>
        <v/>
      </c>
      <c r="H808" s="31" t="n"/>
      <c r="I808" s="17" t="inlineStr">
        <is>
          <t>override</t>
        </is>
      </c>
      <c r="J808" s="32" t="n">
        <v>0.79</v>
      </c>
      <c r="K808" s="33">
        <f>IF(AND(IF($I816&lt;&gt;"",$I816,$I808)="override",$J808&lt;&gt;""),$J808,SUMIFS(Assumptions!$K$4:$K$8,Assumptions!$J$4:$J$8,$C808))*Assumptions!$S$10*(1-MIN(1,MAX(N($H808),N($H816))))</f>
        <v/>
      </c>
      <c r="L808" s="32" t="n"/>
      <c r="M808" s="34">
        <f>IF(AND(IF($I816&lt;&gt;"",$I816,$I808)="override",$L808&lt;&gt;""),$L808,SUMIFS(Assumptions!$P$4:$P$103,Assumptions!$M$4:$M$103,$C808,Assumptions!$N$4:$N$103,$E808,Assumptions!$O$4:$O$103,"LVN"))</f>
        <v/>
      </c>
      <c r="N808" s="32" t="n"/>
      <c r="O808" s="34">
        <f>IF(AND(IF($I816&lt;&gt;"",$I816,$I808)="override",$N808&lt;&gt;""),$N808,SUMIFS(Assumptions!$P$4:$P$103,Assumptions!$M$4:$M$103,$C808,Assumptions!$N$4:$N$103,$E808,Assumptions!$O$4:$O$103,"HVN"))</f>
        <v/>
      </c>
      <c r="P808" s="34">
        <f>(M808+O808)*Assumptions!$S$11</f>
        <v/>
      </c>
      <c r="Q808" s="35">
        <f>$F808*$K808*$P808</f>
        <v/>
      </c>
    </row>
    <row r="809">
      <c r="A809" s="11" t="inlineStr">
        <is>
          <t>UNIT</t>
        </is>
      </c>
      <c r="B809" s="28" t="inlineStr">
        <is>
          <t>PAR_BILLINGS</t>
        </is>
      </c>
      <c r="C809" s="28" t="n">
        <v>4</v>
      </c>
      <c r="D809" s="28" t="inlineStr">
        <is>
          <t>VDU</t>
        </is>
      </c>
      <c r="E809" s="28" t="inlineStr">
        <is>
          <t>VDU</t>
        </is>
      </c>
      <c r="F809" s="29" t="n">
        <v>32.3</v>
      </c>
      <c r="G809" s="30">
        <f>IFERROR(IF(INDEX(Effective!$E$3:$R$125,MATCH($B809,Effective!$A$3:$A$125,0),MATCH($D809,Effective!$E$2:$R$2,0))=0,"",INDEX(Effective!$E$3:$R$125,MATCH($B809,Effective!$A$3:$A$125,0),MATCH($D809,Effective!$E$2:$R$2,0))),"")</f>
        <v/>
      </c>
      <c r="H809" s="31" t="n"/>
      <c r="I809" s="17" t="inlineStr">
        <is>
          <t>override</t>
        </is>
      </c>
      <c r="J809" s="32" t="n">
        <v>0.741</v>
      </c>
      <c r="K809" s="33">
        <f>IF(AND(IF($I816&lt;&gt;"",$I816,$I809)="override",$J809&lt;&gt;""),$J809,SUMIFS(Assumptions!$K$4:$K$8,Assumptions!$J$4:$J$8,$C809))*Assumptions!$S$10*(1-MIN(1,MAX(N($H809),N($H816))))</f>
        <v/>
      </c>
      <c r="L809" s="32" t="n"/>
      <c r="M809" s="34">
        <f>IF(AND(IF($I816&lt;&gt;"",$I816,$I809)="override",$L809&lt;&gt;""),$L809,SUMIFS(Assumptions!$P$4:$P$103,Assumptions!$M$4:$M$103,$C809,Assumptions!$N$4:$N$103,$E809,Assumptions!$O$4:$O$103,"LVN"))</f>
        <v/>
      </c>
      <c r="N809" s="32" t="n"/>
      <c r="O809" s="34">
        <f>IF(AND(IF($I816&lt;&gt;"",$I816,$I809)="override",$N809&lt;&gt;""),$N809,SUMIFS(Assumptions!$P$4:$P$103,Assumptions!$M$4:$M$103,$C809,Assumptions!$N$4:$N$103,$E809,Assumptions!$O$4:$O$103,"HVN"))</f>
        <v/>
      </c>
      <c r="P809" s="34">
        <f>(M809+O809)*Assumptions!$S$11</f>
        <v/>
      </c>
      <c r="Q809" s="35">
        <f>$F809*$K809*$P809</f>
        <v/>
      </c>
    </row>
    <row r="810">
      <c r="A810" s="11" t="inlineStr">
        <is>
          <t>UNIT</t>
        </is>
      </c>
      <c r="B810" s="28" t="inlineStr">
        <is>
          <t>PAR_BILLINGS</t>
        </is>
      </c>
      <c r="C810" s="28" t="n">
        <v>4</v>
      </c>
      <c r="D810" s="28" t="inlineStr">
        <is>
          <t>FCC</t>
        </is>
      </c>
      <c r="E810" s="28" t="inlineStr">
        <is>
          <t>FCC</t>
        </is>
      </c>
      <c r="F810" s="29" t="n">
        <v>23.66</v>
      </c>
      <c r="G810" s="30">
        <f>IFERROR(IF(INDEX(Effective!$E$3:$R$125,MATCH($B810,Effective!$A$3:$A$125,0),MATCH($D810,Effective!$E$2:$R$2,0))=0,"",INDEX(Effective!$E$3:$R$125,MATCH($B810,Effective!$A$3:$A$125,0),MATCH($D810,Effective!$E$2:$R$2,0))),"")</f>
        <v/>
      </c>
      <c r="H810" s="31" t="n"/>
      <c r="I810" s="17" t="inlineStr">
        <is>
          <t>override</t>
        </is>
      </c>
      <c r="J810" s="32" t="n">
        <v>0.571</v>
      </c>
      <c r="K810" s="33">
        <f>IF(AND(IF($I816&lt;&gt;"",$I816,$I810)="override",$J810&lt;&gt;""),$J810,SUMIFS(Assumptions!$K$4:$K$8,Assumptions!$J$4:$J$8,$C810))*Assumptions!$S$10*(1-MIN(1,MAX(N($H810),N($H816))))</f>
        <v/>
      </c>
      <c r="L810" s="32" t="n"/>
      <c r="M810" s="34">
        <f>IF(AND(IF($I816&lt;&gt;"",$I816,$I810)="override",$L810&lt;&gt;""),$L810,SUMIFS(Assumptions!$P$4:$P$103,Assumptions!$M$4:$M$103,$C810,Assumptions!$N$4:$N$103,$E810,Assumptions!$O$4:$O$103,"LVN"))</f>
        <v/>
      </c>
      <c r="N810" s="32" t="n"/>
      <c r="O810" s="34">
        <f>IF(AND(IF($I816&lt;&gt;"",$I816,$I810)="override",$N810&lt;&gt;""),$N810,SUMIFS(Assumptions!$P$4:$P$103,Assumptions!$M$4:$M$103,$C810,Assumptions!$N$4:$N$103,$E810,Assumptions!$O$4:$O$103,"HVN"))</f>
        <v/>
      </c>
      <c r="P810" s="34">
        <f>(M810+O810)*Assumptions!$S$11</f>
        <v/>
      </c>
      <c r="Q810" s="35">
        <f>$F810*$K810*$P810</f>
        <v/>
      </c>
    </row>
    <row r="811">
      <c r="A811" s="11" t="inlineStr">
        <is>
          <t>UNIT</t>
        </is>
      </c>
      <c r="B811" s="28" t="inlineStr">
        <is>
          <t>PAR_BILLINGS</t>
        </is>
      </c>
      <c r="C811" s="28" t="n">
        <v>4</v>
      </c>
      <c r="D811" s="28" t="inlineStr">
        <is>
          <t>DHCU</t>
        </is>
      </c>
      <c r="E811" s="28" t="inlineStr">
        <is>
          <t>HYDROCRACKER</t>
        </is>
      </c>
      <c r="F811" s="29" t="n">
        <v>6.2</v>
      </c>
      <c r="G811" s="30">
        <f>IFERROR(IF(INDEX(Effective!$E$3:$R$125,MATCH($B811,Effective!$A$3:$A$125,0),MATCH($D811,Effective!$E$2:$R$2,0))=0,"",INDEX(Effective!$E$3:$R$125,MATCH($B811,Effective!$A$3:$A$125,0),MATCH($D811,Effective!$E$2:$R$2,0))),"")</f>
        <v/>
      </c>
      <c r="H811" s="31" t="n"/>
      <c r="I811" s="17" t="inlineStr">
        <is>
          <t>override</t>
        </is>
      </c>
      <c r="J811" s="32" t="n">
        <v>0.758</v>
      </c>
      <c r="K811" s="33">
        <f>IF(AND(IF($I816&lt;&gt;"",$I816,$I811)="override",$J811&lt;&gt;""),$J811,SUMIFS(Assumptions!$K$4:$K$8,Assumptions!$J$4:$J$8,$C811))*Assumptions!$S$10*(1-MIN(1,MAX(N($H811),N($H816))))</f>
        <v/>
      </c>
      <c r="L811" s="32" t="n"/>
      <c r="M811" s="34">
        <f>IF(AND(IF($I816&lt;&gt;"",$I816,$I811)="override",$L811&lt;&gt;""),$L811,SUMIFS(Assumptions!$P$4:$P$103,Assumptions!$M$4:$M$103,$C811,Assumptions!$N$4:$N$103,$E811,Assumptions!$O$4:$O$103,"LVN"))</f>
        <v/>
      </c>
      <c r="N811" s="32" t="n"/>
      <c r="O811" s="34">
        <f>IF(AND(IF($I816&lt;&gt;"",$I816,$I811)="override",$N811&lt;&gt;""),$N811,SUMIFS(Assumptions!$P$4:$P$103,Assumptions!$M$4:$M$103,$C811,Assumptions!$N$4:$N$103,$E811,Assumptions!$O$4:$O$103,"HVN"))</f>
        <v/>
      </c>
      <c r="P811" s="34">
        <f>(M811+O811)*Assumptions!$S$11</f>
        <v/>
      </c>
      <c r="Q811" s="35">
        <f>$F811*$K811*$P811</f>
        <v/>
      </c>
    </row>
    <row r="812">
      <c r="A812" s="11" t="inlineStr">
        <is>
          <t>UNIT</t>
        </is>
      </c>
      <c r="B812" s="28" t="inlineStr">
        <is>
          <t>PAR_BILLINGS</t>
        </is>
      </c>
      <c r="C812" s="28" t="n">
        <v>4</v>
      </c>
      <c r="D812" s="28" t="inlineStr">
        <is>
          <t>FCOKER</t>
        </is>
      </c>
      <c r="E812" s="28" t="inlineStr">
        <is>
          <t>COKER</t>
        </is>
      </c>
      <c r="F812" s="29" t="n">
        <v>10</v>
      </c>
      <c r="G812" s="30">
        <f>IFERROR(IF(INDEX(Effective!$E$3:$R$125,MATCH($B812,Effective!$A$3:$A$125,0),MATCH($D812,Effective!$E$2:$R$2,0))=0,"",INDEX(Effective!$E$3:$R$125,MATCH($B812,Effective!$A$3:$A$125,0),MATCH($D812,Effective!$E$2:$R$2,0))),"")</f>
        <v/>
      </c>
      <c r="H812" s="31" t="n"/>
      <c r="I812" s="17" t="inlineStr">
        <is>
          <t>override</t>
        </is>
      </c>
      <c r="J812" s="32" t="n">
        <v>0.605</v>
      </c>
      <c r="K812" s="33">
        <f>IF(AND(IF($I816&lt;&gt;"",$I816,$I812)="override",$J812&lt;&gt;""),$J812,SUMIFS(Assumptions!$K$4:$K$8,Assumptions!$J$4:$J$8,$C812))*Assumptions!$S$10*(1-MIN(1,MAX(N($H812),N($H816))))</f>
        <v/>
      </c>
      <c r="L812" s="32" t="n"/>
      <c r="M812" s="34">
        <f>IF(AND(IF($I816&lt;&gt;"",$I816,$I812)="override",$L812&lt;&gt;""),$L812,SUMIFS(Assumptions!$P$4:$P$103,Assumptions!$M$4:$M$103,$C812,Assumptions!$N$4:$N$103,$E812,Assumptions!$O$4:$O$103,"LVN"))</f>
        <v/>
      </c>
      <c r="N812" s="32" t="n"/>
      <c r="O812" s="34">
        <f>IF(AND(IF($I816&lt;&gt;"",$I816,$I812)="override",$N812&lt;&gt;""),$N812,SUMIFS(Assumptions!$P$4:$P$103,Assumptions!$M$4:$M$103,$C812,Assumptions!$N$4:$N$103,$E812,Assumptions!$O$4:$O$103,"HVN"))</f>
        <v/>
      </c>
      <c r="P812" s="34">
        <f>(M812+O812)*Assumptions!$S$11</f>
        <v/>
      </c>
      <c r="Q812" s="35">
        <f>$F812*$K812*$P812</f>
        <v/>
      </c>
    </row>
    <row r="813">
      <c r="A813" s="11" t="inlineStr">
        <is>
          <t>UNIT</t>
        </is>
      </c>
      <c r="B813" s="28" t="inlineStr">
        <is>
          <t>PAR_BILLINGS</t>
        </is>
      </c>
      <c r="C813" s="28" t="n">
        <v>4</v>
      </c>
      <c r="D813" s="28" t="inlineStr">
        <is>
          <t>REF</t>
        </is>
      </c>
      <c r="E813" s="28" t="inlineStr">
        <is>
          <t>REFORMER</t>
        </is>
      </c>
      <c r="F813" s="29" t="n">
        <v>12.5</v>
      </c>
      <c r="G813" s="30">
        <f>IFERROR(IF(INDEX(Effective!$E$3:$R$125,MATCH($B813,Effective!$A$3:$A$125,0),MATCH($D813,Effective!$E$2:$R$2,0))=0,"",INDEX(Effective!$E$3:$R$125,MATCH($B813,Effective!$A$3:$A$125,0),MATCH($D813,Effective!$E$2:$R$2,0))),"")</f>
        <v/>
      </c>
      <c r="H813" s="31" t="n"/>
      <c r="I813" s="17" t="inlineStr">
        <is>
          <t>override</t>
        </is>
      </c>
      <c r="J813" s="32" t="n">
        <v>0.6879999999999999</v>
      </c>
      <c r="K813" s="33">
        <f>IF(AND(IF($I816&lt;&gt;"",$I816,$I813)="override",$J813&lt;&gt;""),$J813,SUMIFS(Assumptions!$K$4:$K$8,Assumptions!$J$4:$J$8,$C813))*Assumptions!$S$10*(1-MIN(1,MAX(N($H813),N($H816))))</f>
        <v/>
      </c>
      <c r="L813" s="32" t="n"/>
      <c r="M813" s="34">
        <f>IF(AND(IF($I816&lt;&gt;"",$I816,$I813)="override",$L813&lt;&gt;""),$L813,SUMIFS(Assumptions!$P$4:$P$103,Assumptions!$M$4:$M$103,$C813,Assumptions!$N$4:$N$103,$E813,Assumptions!$O$4:$O$103,"LVN"))</f>
        <v/>
      </c>
      <c r="N813" s="32" t="n"/>
      <c r="O813" s="34">
        <f>IF(AND(IF($I816&lt;&gt;"",$I816,$I813)="override",$N813&lt;&gt;""),$N813,SUMIFS(Assumptions!$P$4:$P$103,Assumptions!$M$4:$M$103,$C813,Assumptions!$N$4:$N$103,$E813,Assumptions!$O$4:$O$103,"HVN"))</f>
        <v/>
      </c>
      <c r="P813" s="34">
        <f>(M813+O813)*Assumptions!$S$11</f>
        <v/>
      </c>
      <c r="Q813" s="35">
        <f>$F813*$K813*$P813</f>
        <v/>
      </c>
    </row>
    <row r="814">
      <c r="A814" s="11" t="inlineStr">
        <is>
          <t>UNIT</t>
        </is>
      </c>
      <c r="B814" s="28" t="inlineStr">
        <is>
          <t>PAR_BILLINGS</t>
        </is>
      </c>
      <c r="C814" s="28" t="n">
        <v>4</v>
      </c>
      <c r="D814" s="28" t="inlineStr">
        <is>
          <t>ALKY</t>
        </is>
      </c>
      <c r="E814" s="28" t="inlineStr">
        <is>
          <t>ALKY</t>
        </is>
      </c>
      <c r="F814" s="29" t="n">
        <v>5.1</v>
      </c>
      <c r="G814" s="30">
        <f>IFERROR(IF(INDEX(Effective!$E$3:$R$125,MATCH($B814,Effective!$A$3:$A$125,0),MATCH($D814,Effective!$E$2:$R$2,0))=0,"",INDEX(Effective!$E$3:$R$125,MATCH($B814,Effective!$A$3:$A$125,0),MATCH($D814,Effective!$E$2:$R$2,0))),"")</f>
        <v/>
      </c>
      <c r="H814" s="31" t="n"/>
      <c r="I814" s="17" t="inlineStr">
        <is>
          <t>override</t>
        </is>
      </c>
      <c r="J814" s="32" t="n">
        <v>0.927</v>
      </c>
      <c r="K814" s="33">
        <f>IF(AND(IF($I816&lt;&gt;"",$I816,$I814)="override",$J814&lt;&gt;""),$J814,SUMIFS(Assumptions!$K$4:$K$8,Assumptions!$J$4:$J$8,$C814))*Assumptions!$S$10*(1-MIN(1,MAX(N($H814),N($H816))))</f>
        <v/>
      </c>
      <c r="L814" s="32" t="n"/>
      <c r="M814" s="34">
        <f>IF(AND(IF($I816&lt;&gt;"",$I816,$I814)="override",$L814&lt;&gt;""),$L814,SUMIFS(Assumptions!$P$4:$P$103,Assumptions!$M$4:$M$103,$C814,Assumptions!$N$4:$N$103,$E814,Assumptions!$O$4:$O$103,"LVN"))</f>
        <v/>
      </c>
      <c r="N814" s="32" t="n"/>
      <c r="O814" s="34">
        <f>IF(AND(IF($I816&lt;&gt;"",$I816,$I814)="override",$N814&lt;&gt;""),$N814,SUMIFS(Assumptions!$P$4:$P$103,Assumptions!$M$4:$M$103,$C814,Assumptions!$N$4:$N$103,$E814,Assumptions!$O$4:$O$103,"HVN"))</f>
        <v/>
      </c>
      <c r="P814" s="34">
        <f>(M814+O814)*Assumptions!$S$11</f>
        <v/>
      </c>
      <c r="Q814" s="35">
        <f>$F814*$K814*$P814</f>
        <v/>
      </c>
    </row>
    <row r="815">
      <c r="A815" s="11" t="inlineStr">
        <is>
          <t>UNIT</t>
        </is>
      </c>
      <c r="B815" s="28" t="inlineStr">
        <is>
          <t>PAR_BILLINGS</t>
        </is>
      </c>
      <c r="C815" s="28" t="n">
        <v>4</v>
      </c>
      <c r="D815" s="28" t="inlineStr">
        <is>
          <t>NHT</t>
        </is>
      </c>
      <c r="E815" s="28" t="inlineStr">
        <is>
          <t>NHT</t>
        </is>
      </c>
      <c r="F815" s="29" t="n">
        <v>13.9</v>
      </c>
      <c r="G815" s="30">
        <f>IFERROR(IF(INDEX(Effective!$E$3:$R$125,MATCH($B815,Effective!$A$3:$A$125,0),MATCH($D815,Effective!$E$2:$R$2,0))=0,"",INDEX(Effective!$E$3:$R$125,MATCH($B815,Effective!$A$3:$A$125,0),MATCH($D815,Effective!$E$2:$R$2,0))),"")</f>
        <v/>
      </c>
      <c r="H815" s="31" t="n"/>
      <c r="I815" s="17" t="inlineStr">
        <is>
          <t>override</t>
        </is>
      </c>
      <c r="J815" s="32" t="n">
        <v>0.8139999999999999</v>
      </c>
      <c r="K815" s="33">
        <f>IF(AND(IF($I816&lt;&gt;"",$I816,$I815)="override",$J815&lt;&gt;""),$J815,SUMIFS(Assumptions!$K$4:$K$8,Assumptions!$J$4:$J$8,$C815))*Assumptions!$S$10*(1-MIN(1,MAX(N($H815),N($H816))))</f>
        <v/>
      </c>
      <c r="L815" s="32" t="n"/>
      <c r="M815" s="34">
        <f>IF(AND(IF($I816&lt;&gt;"",$I816,$I815)="override",$L815&lt;&gt;""),$L815,SUMIFS(Assumptions!$P$4:$P$103,Assumptions!$M$4:$M$103,$C815,Assumptions!$N$4:$N$103,$E815,Assumptions!$O$4:$O$103,"LVN"))</f>
        <v/>
      </c>
      <c r="N815" s="32" t="n"/>
      <c r="O815" s="34">
        <f>IF(AND(IF($I816&lt;&gt;"",$I816,$I815)="override",$N815&lt;&gt;""),$N815,SUMIFS(Assumptions!$P$4:$P$103,Assumptions!$M$4:$M$103,$C815,Assumptions!$N$4:$N$103,$E815,Assumptions!$O$4:$O$103,"HVN"))</f>
        <v/>
      </c>
      <c r="P815" s="34">
        <f>(M815+O815)*Assumptions!$S$11</f>
        <v/>
      </c>
      <c r="Q815" s="35">
        <f>$F815*$K815*$P815</f>
        <v/>
      </c>
    </row>
    <row r="816">
      <c r="A816" s="24" t="inlineStr">
        <is>
          <t>TOTAL</t>
        </is>
      </c>
      <c r="B816" s="36" t="inlineStr">
        <is>
          <t>PAR_BILLINGS</t>
        </is>
      </c>
      <c r="C816" s="36" t="n">
        <v>4</v>
      </c>
      <c r="D816" s="36" t="inlineStr">
        <is>
          <t>NET NAPHTHA</t>
        </is>
      </c>
      <c r="H816" s="31" t="n"/>
      <c r="I816" s="17" t="n"/>
      <c r="Q816" s="37">
        <f>SUM(Q808:Q815)</f>
        <v/>
      </c>
    </row>
    <row r="818" ht="20" customHeight="1">
      <c r="A818" s="8">
        <f>"  CHS Laurel  [CHS_LAUREL]   —   CHS   —   PADD 4   —   crude "&amp;TEXT(SUMIFS(Data!$G$3:$G$125,Data!$A$3:$A$125,"CHS_LAUREL"),"#,##0")&amp;" kbd"</f>
        <v/>
      </c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</row>
    <row r="819">
      <c r="A819" s="11" t="inlineStr">
        <is>
          <t>UNIT</t>
        </is>
      </c>
      <c r="B819" s="28" t="inlineStr">
        <is>
          <t>CHS_LAUREL</t>
        </is>
      </c>
      <c r="C819" s="28" t="n">
        <v>4</v>
      </c>
      <c r="D819" s="28" t="inlineStr">
        <is>
          <t>CDU</t>
        </is>
      </c>
      <c r="E819" s="28" t="inlineStr">
        <is>
          <t>CDU</t>
        </is>
      </c>
      <c r="F819" s="29" t="n">
        <v>65</v>
      </c>
      <c r="G819" s="30">
        <f>IFERROR(IF(INDEX(Effective!$E$3:$R$125,MATCH($B819,Effective!$A$3:$A$125,0),MATCH($D819,Effective!$E$2:$R$2,0))=0,"",INDEX(Effective!$E$3:$R$125,MATCH($B819,Effective!$A$3:$A$125,0),MATCH($D819,Effective!$E$2:$R$2,0))),"")</f>
        <v/>
      </c>
      <c r="H819" s="31" t="n"/>
      <c r="I819" s="17" t="inlineStr">
        <is>
          <t>override</t>
        </is>
      </c>
      <c r="J819" s="32" t="n">
        <v>0.997</v>
      </c>
      <c r="K819" s="33">
        <f>IF(AND(IF($I827&lt;&gt;"",$I827,$I819)="override",$J819&lt;&gt;""),$J819,SUMIFS(Assumptions!$K$4:$K$8,Assumptions!$J$4:$J$8,$C819))*Assumptions!$S$10*(1-MIN(1,MAX(N($H819),N($H827))))</f>
        <v/>
      </c>
      <c r="L819" s="32" t="n"/>
      <c r="M819" s="34">
        <f>IF(AND(IF($I827&lt;&gt;"",$I827,$I819)="override",$L819&lt;&gt;""),$L819,SUMIFS(Assumptions!$P$4:$P$103,Assumptions!$M$4:$M$103,$C819,Assumptions!$N$4:$N$103,$E819,Assumptions!$O$4:$O$103,"LVN"))</f>
        <v/>
      </c>
      <c r="N819" s="32" t="n"/>
      <c r="O819" s="34">
        <f>IF(AND(IF($I827&lt;&gt;"",$I827,$I819)="override",$N819&lt;&gt;""),$N819,SUMIFS(Assumptions!$P$4:$P$103,Assumptions!$M$4:$M$103,$C819,Assumptions!$N$4:$N$103,$E819,Assumptions!$O$4:$O$103,"HVN"))</f>
        <v/>
      </c>
      <c r="P819" s="34">
        <f>(M819+O819)*Assumptions!$S$11</f>
        <v/>
      </c>
      <c r="Q819" s="35">
        <f>$F819*$K819*$P819</f>
        <v/>
      </c>
    </row>
    <row r="820">
      <c r="A820" s="11" t="inlineStr">
        <is>
          <t>UNIT</t>
        </is>
      </c>
      <c r="B820" s="28" t="inlineStr">
        <is>
          <t>CHS_LAUREL</t>
        </is>
      </c>
      <c r="C820" s="28" t="n">
        <v>4</v>
      </c>
      <c r="D820" s="28" t="inlineStr">
        <is>
          <t>VDU</t>
        </is>
      </c>
      <c r="E820" s="28" t="inlineStr">
        <is>
          <t>VDU</t>
        </is>
      </c>
      <c r="F820" s="29" t="n">
        <v>32.2</v>
      </c>
      <c r="G820" s="30">
        <f>IFERROR(IF(INDEX(Effective!$E$3:$R$125,MATCH($B820,Effective!$A$3:$A$125,0),MATCH($D820,Effective!$E$2:$R$2,0))=0,"",INDEX(Effective!$E$3:$R$125,MATCH($B820,Effective!$A$3:$A$125,0),MATCH($D820,Effective!$E$2:$R$2,0))),"")</f>
        <v/>
      </c>
      <c r="H820" s="31" t="n"/>
      <c r="I820" s="17" t="inlineStr">
        <is>
          <t>override</t>
        </is>
      </c>
      <c r="J820" s="32" t="n">
        <v>0.978</v>
      </c>
      <c r="K820" s="33">
        <f>IF(AND(IF($I827&lt;&gt;"",$I827,$I820)="override",$J820&lt;&gt;""),$J820,SUMIFS(Assumptions!$K$4:$K$8,Assumptions!$J$4:$J$8,$C820))*Assumptions!$S$10*(1-MIN(1,MAX(N($H820),N($H827))))</f>
        <v/>
      </c>
      <c r="L820" s="32" t="n"/>
      <c r="M820" s="34">
        <f>IF(AND(IF($I827&lt;&gt;"",$I827,$I820)="override",$L820&lt;&gt;""),$L820,SUMIFS(Assumptions!$P$4:$P$103,Assumptions!$M$4:$M$103,$C820,Assumptions!$N$4:$N$103,$E820,Assumptions!$O$4:$O$103,"LVN"))</f>
        <v/>
      </c>
      <c r="N820" s="32" t="n"/>
      <c r="O820" s="34">
        <f>IF(AND(IF($I827&lt;&gt;"",$I827,$I820)="override",$N820&lt;&gt;""),$N820,SUMIFS(Assumptions!$P$4:$P$103,Assumptions!$M$4:$M$103,$C820,Assumptions!$N$4:$N$103,$E820,Assumptions!$O$4:$O$103,"HVN"))</f>
        <v/>
      </c>
      <c r="P820" s="34">
        <f>(M820+O820)*Assumptions!$S$11</f>
        <v/>
      </c>
      <c r="Q820" s="35">
        <f>$F820*$K820*$P820</f>
        <v/>
      </c>
    </row>
    <row r="821">
      <c r="A821" s="11" t="inlineStr">
        <is>
          <t>UNIT</t>
        </is>
      </c>
      <c r="B821" s="28" t="inlineStr">
        <is>
          <t>CHS_LAUREL</t>
        </is>
      </c>
      <c r="C821" s="28" t="n">
        <v>4</v>
      </c>
      <c r="D821" s="28" t="inlineStr">
        <is>
          <t>FCC</t>
        </is>
      </c>
      <c r="E821" s="28" t="inlineStr">
        <is>
          <t>FCC</t>
        </is>
      </c>
      <c r="F821" s="29" t="n">
        <v>16.5</v>
      </c>
      <c r="G821" s="30">
        <f>IFERROR(IF(INDEX(Effective!$E$3:$R$125,MATCH($B821,Effective!$A$3:$A$125,0),MATCH($D821,Effective!$E$2:$R$2,0))=0,"",INDEX(Effective!$E$3:$R$125,MATCH($B821,Effective!$A$3:$A$125,0),MATCH($D821,Effective!$E$2:$R$2,0))),"")</f>
        <v/>
      </c>
      <c r="H821" s="31" t="n"/>
      <c r="I821" s="17" t="inlineStr">
        <is>
          <t>override</t>
        </is>
      </c>
      <c r="J821" s="32" t="n">
        <v>0.99</v>
      </c>
      <c r="K821" s="33">
        <f>IF(AND(IF($I827&lt;&gt;"",$I827,$I821)="override",$J821&lt;&gt;""),$J821,SUMIFS(Assumptions!$K$4:$K$8,Assumptions!$J$4:$J$8,$C821))*Assumptions!$S$10*(1-MIN(1,MAX(N($H821),N($H827))))</f>
        <v/>
      </c>
      <c r="L821" s="32" t="n"/>
      <c r="M821" s="34">
        <f>IF(AND(IF($I827&lt;&gt;"",$I827,$I821)="override",$L821&lt;&gt;""),$L821,SUMIFS(Assumptions!$P$4:$P$103,Assumptions!$M$4:$M$103,$C821,Assumptions!$N$4:$N$103,$E821,Assumptions!$O$4:$O$103,"LVN"))</f>
        <v/>
      </c>
      <c r="N821" s="32" t="n"/>
      <c r="O821" s="34">
        <f>IF(AND(IF($I827&lt;&gt;"",$I827,$I821)="override",$N821&lt;&gt;""),$N821,SUMIFS(Assumptions!$P$4:$P$103,Assumptions!$M$4:$M$103,$C821,Assumptions!$N$4:$N$103,$E821,Assumptions!$O$4:$O$103,"HVN"))</f>
        <v/>
      </c>
      <c r="P821" s="34">
        <f>(M821+O821)*Assumptions!$S$11</f>
        <v/>
      </c>
      <c r="Q821" s="35">
        <f>$F821*$K821*$P821</f>
        <v/>
      </c>
    </row>
    <row r="822">
      <c r="A822" s="11" t="inlineStr">
        <is>
          <t>UNIT</t>
        </is>
      </c>
      <c r="B822" s="28" t="inlineStr">
        <is>
          <t>CHS_LAUREL</t>
        </is>
      </c>
      <c r="C822" s="28" t="n">
        <v>4</v>
      </c>
      <c r="D822" s="28" t="inlineStr">
        <is>
          <t>COKER</t>
        </is>
      </c>
      <c r="E822" s="28" t="inlineStr">
        <is>
          <t>COKER</t>
        </is>
      </c>
      <c r="F822" s="29" t="n">
        <v>16</v>
      </c>
      <c r="G822" s="30">
        <f>IFERROR(IF(INDEX(Effective!$E$3:$R$125,MATCH($B822,Effective!$A$3:$A$125,0),MATCH($D822,Effective!$E$2:$R$2,0))=0,"",INDEX(Effective!$E$3:$R$125,MATCH($B822,Effective!$A$3:$A$125,0),MATCH($D822,Effective!$E$2:$R$2,0))),"")</f>
        <v/>
      </c>
      <c r="H822" s="31" t="n"/>
      <c r="I822" s="17" t="inlineStr">
        <is>
          <t>override</t>
        </is>
      </c>
      <c r="J822" s="32" t="n">
        <v>0.887</v>
      </c>
      <c r="K822" s="33">
        <f>IF(AND(IF($I827&lt;&gt;"",$I827,$I822)="override",$J822&lt;&gt;""),$J822,SUMIFS(Assumptions!$K$4:$K$8,Assumptions!$J$4:$J$8,$C822))*Assumptions!$S$10*(1-MIN(1,MAX(N($H822),N($H827))))</f>
        <v/>
      </c>
      <c r="L822" s="32" t="n"/>
      <c r="M822" s="34">
        <f>IF(AND(IF($I827&lt;&gt;"",$I827,$I822)="override",$L822&lt;&gt;""),$L822,SUMIFS(Assumptions!$P$4:$P$103,Assumptions!$M$4:$M$103,$C822,Assumptions!$N$4:$N$103,$E822,Assumptions!$O$4:$O$103,"LVN"))</f>
        <v/>
      </c>
      <c r="N822" s="32" t="n"/>
      <c r="O822" s="34">
        <f>IF(AND(IF($I827&lt;&gt;"",$I827,$I822)="override",$N822&lt;&gt;""),$N822,SUMIFS(Assumptions!$P$4:$P$103,Assumptions!$M$4:$M$103,$C822,Assumptions!$N$4:$N$103,$E822,Assumptions!$O$4:$O$103,"HVN"))</f>
        <v/>
      </c>
      <c r="P822" s="34">
        <f>(M822+O822)*Assumptions!$S$11</f>
        <v/>
      </c>
      <c r="Q822" s="35">
        <f>$F822*$K822*$P822</f>
        <v/>
      </c>
    </row>
    <row r="823">
      <c r="A823" s="11" t="inlineStr">
        <is>
          <t>UNIT</t>
        </is>
      </c>
      <c r="B823" s="28" t="inlineStr">
        <is>
          <t>CHS_LAUREL</t>
        </is>
      </c>
      <c r="C823" s="28" t="n">
        <v>4</v>
      </c>
      <c r="D823" s="28" t="inlineStr">
        <is>
          <t>CCR</t>
        </is>
      </c>
      <c r="E823" s="28" t="inlineStr">
        <is>
          <t>REFORMER</t>
        </is>
      </c>
      <c r="F823" s="29" t="n">
        <v>12.5</v>
      </c>
      <c r="G823" s="30">
        <f>IFERROR(IF(INDEX(Effective!$E$3:$R$125,MATCH($B823,Effective!$A$3:$A$125,0),MATCH($D823,Effective!$E$2:$R$2,0))=0,"",INDEX(Effective!$E$3:$R$125,MATCH($B823,Effective!$A$3:$A$125,0),MATCH($D823,Effective!$E$2:$R$2,0))),"")</f>
        <v/>
      </c>
      <c r="H823" s="31" t="n"/>
      <c r="I823" s="17" t="inlineStr">
        <is>
          <t>override</t>
        </is>
      </c>
      <c r="J823" s="32" t="n"/>
      <c r="K823" s="33">
        <f>IF(AND(IF($I827&lt;&gt;"",$I827,$I823)="override",$J823&lt;&gt;""),$J823,SUMIFS(Assumptions!$K$4:$K$8,Assumptions!$J$4:$J$8,$C823))*Assumptions!$S$10*(1-MIN(1,MAX(N($H823),N($H827))))</f>
        <v/>
      </c>
      <c r="L823" s="32" t="n"/>
      <c r="M823" s="34">
        <f>IF(AND(IF($I827&lt;&gt;"",$I827,$I823)="override",$L823&lt;&gt;""),$L823,SUMIFS(Assumptions!$P$4:$P$103,Assumptions!$M$4:$M$103,$C823,Assumptions!$N$4:$N$103,$E823,Assumptions!$O$4:$O$103,"LVN"))</f>
        <v/>
      </c>
      <c r="N823" s="32" t="n"/>
      <c r="O823" s="34">
        <f>IF(AND(IF($I827&lt;&gt;"",$I827,$I823)="override",$N823&lt;&gt;""),$N823,SUMIFS(Assumptions!$P$4:$P$103,Assumptions!$M$4:$M$103,$C823,Assumptions!$N$4:$N$103,$E823,Assumptions!$O$4:$O$103,"HVN"))</f>
        <v/>
      </c>
      <c r="P823" s="34">
        <f>(M823+O823)*Assumptions!$S$11</f>
        <v/>
      </c>
      <c r="Q823" s="35">
        <f>$F823*$K823*$P823</f>
        <v/>
      </c>
    </row>
    <row r="824">
      <c r="A824" s="11" t="inlineStr">
        <is>
          <t>UNIT</t>
        </is>
      </c>
      <c r="B824" s="28" t="inlineStr">
        <is>
          <t>CHS_LAUREL</t>
        </is>
      </c>
      <c r="C824" s="28" t="n">
        <v>4</v>
      </c>
      <c r="D824" s="28" t="inlineStr">
        <is>
          <t>REF</t>
        </is>
      </c>
      <c r="E824" s="28" t="inlineStr">
        <is>
          <t>REFORMER</t>
        </is>
      </c>
      <c r="F824" s="29" t="n">
        <v>12</v>
      </c>
      <c r="G824" s="30">
        <f>IFERROR(IF(INDEX(Effective!$E$3:$R$125,MATCH($B824,Effective!$A$3:$A$125,0),MATCH($D824,Effective!$E$2:$R$2,0))=0,"",INDEX(Effective!$E$3:$R$125,MATCH($B824,Effective!$A$3:$A$125,0),MATCH($D824,Effective!$E$2:$R$2,0))),"")</f>
        <v/>
      </c>
      <c r="H824" s="31" t="n"/>
      <c r="I824" s="17" t="inlineStr">
        <is>
          <t>override</t>
        </is>
      </c>
      <c r="J824" s="32" t="n">
        <v>0.923</v>
      </c>
      <c r="K824" s="33">
        <f>IF(AND(IF($I827&lt;&gt;"",$I827,$I824)="override",$J824&lt;&gt;""),$J824,SUMIFS(Assumptions!$K$4:$K$8,Assumptions!$J$4:$J$8,$C824))*Assumptions!$S$10*(1-MIN(1,MAX(N($H824),N($H827))))</f>
        <v/>
      </c>
      <c r="L824" s="32" t="n"/>
      <c r="M824" s="34">
        <f>IF(AND(IF($I827&lt;&gt;"",$I827,$I824)="override",$L824&lt;&gt;""),$L824,SUMIFS(Assumptions!$P$4:$P$103,Assumptions!$M$4:$M$103,$C824,Assumptions!$N$4:$N$103,$E824,Assumptions!$O$4:$O$103,"LVN"))</f>
        <v/>
      </c>
      <c r="N824" s="32" t="n"/>
      <c r="O824" s="34">
        <f>IF(AND(IF($I827&lt;&gt;"",$I827,$I824)="override",$N824&lt;&gt;""),$N824,SUMIFS(Assumptions!$P$4:$P$103,Assumptions!$M$4:$M$103,$C824,Assumptions!$N$4:$N$103,$E824,Assumptions!$O$4:$O$103,"HVN"))</f>
        <v/>
      </c>
      <c r="P824" s="34">
        <f>(M824+O824)*Assumptions!$S$11</f>
        <v/>
      </c>
      <c r="Q824" s="35">
        <f>$F824*$K824*$P824</f>
        <v/>
      </c>
    </row>
    <row r="825">
      <c r="A825" s="11" t="inlineStr">
        <is>
          <t>UNIT</t>
        </is>
      </c>
      <c r="B825" s="28" t="inlineStr">
        <is>
          <t>CHS_LAUREL</t>
        </is>
      </c>
      <c r="C825" s="28" t="n">
        <v>4</v>
      </c>
      <c r="D825" s="28" t="inlineStr">
        <is>
          <t>ALKY</t>
        </is>
      </c>
      <c r="E825" s="28" t="inlineStr">
        <is>
          <t>ALKY</t>
        </is>
      </c>
      <c r="F825" s="29" t="n">
        <v>4</v>
      </c>
      <c r="G825" s="30">
        <f>IFERROR(IF(INDEX(Effective!$E$3:$R$125,MATCH($B825,Effective!$A$3:$A$125,0),MATCH($D825,Effective!$E$2:$R$2,0))=0,"",INDEX(Effective!$E$3:$R$125,MATCH($B825,Effective!$A$3:$A$125,0),MATCH($D825,Effective!$E$2:$R$2,0))),"")</f>
        <v/>
      </c>
      <c r="H825" s="31" t="n"/>
      <c r="I825" s="17" t="inlineStr">
        <is>
          <t>override</t>
        </is>
      </c>
      <c r="J825" s="32" t="n">
        <v>0.747</v>
      </c>
      <c r="K825" s="33">
        <f>IF(AND(IF($I827&lt;&gt;"",$I827,$I825)="override",$J825&lt;&gt;""),$J825,SUMIFS(Assumptions!$K$4:$K$8,Assumptions!$J$4:$J$8,$C825))*Assumptions!$S$10*(1-MIN(1,MAX(N($H825),N($H827))))</f>
        <v/>
      </c>
      <c r="L825" s="32" t="n"/>
      <c r="M825" s="34">
        <f>IF(AND(IF($I827&lt;&gt;"",$I827,$I825)="override",$L825&lt;&gt;""),$L825,SUMIFS(Assumptions!$P$4:$P$103,Assumptions!$M$4:$M$103,$C825,Assumptions!$N$4:$N$103,$E825,Assumptions!$O$4:$O$103,"LVN"))</f>
        <v/>
      </c>
      <c r="N825" s="32" t="n"/>
      <c r="O825" s="34">
        <f>IF(AND(IF($I827&lt;&gt;"",$I827,$I825)="override",$N825&lt;&gt;""),$N825,SUMIFS(Assumptions!$P$4:$P$103,Assumptions!$M$4:$M$103,$C825,Assumptions!$N$4:$N$103,$E825,Assumptions!$O$4:$O$103,"HVN"))</f>
        <v/>
      </c>
      <c r="P825" s="34">
        <f>(M825+O825)*Assumptions!$S$11</f>
        <v/>
      </c>
      <c r="Q825" s="35">
        <f>$F825*$K825*$P825</f>
        <v/>
      </c>
    </row>
    <row r="826">
      <c r="A826" s="11" t="inlineStr">
        <is>
          <t>UNIT</t>
        </is>
      </c>
      <c r="B826" s="28" t="inlineStr">
        <is>
          <t>CHS_LAUREL</t>
        </is>
      </c>
      <c r="C826" s="28" t="n">
        <v>4</v>
      </c>
      <c r="D826" s="28" t="inlineStr">
        <is>
          <t>NHT</t>
        </is>
      </c>
      <c r="E826" s="28" t="inlineStr">
        <is>
          <t>NHT</t>
        </is>
      </c>
      <c r="F826" s="29" t="n">
        <v>17</v>
      </c>
      <c r="G826" s="30">
        <f>IFERROR(IF(INDEX(Effective!$E$3:$R$125,MATCH($B826,Effective!$A$3:$A$125,0),MATCH($D826,Effective!$E$2:$R$2,0))=0,"",INDEX(Effective!$E$3:$R$125,MATCH($B826,Effective!$A$3:$A$125,0),MATCH($D826,Effective!$E$2:$R$2,0))),"")</f>
        <v/>
      </c>
      <c r="H826" s="31" t="n"/>
      <c r="I826" s="17" t="inlineStr">
        <is>
          <t>override</t>
        </is>
      </c>
      <c r="J826" s="32" t="n">
        <v>0.978</v>
      </c>
      <c r="K826" s="33">
        <f>IF(AND(IF($I827&lt;&gt;"",$I827,$I826)="override",$J826&lt;&gt;""),$J826,SUMIFS(Assumptions!$K$4:$K$8,Assumptions!$J$4:$J$8,$C826))*Assumptions!$S$10*(1-MIN(1,MAX(N($H826),N($H827))))</f>
        <v/>
      </c>
      <c r="L826" s="32" t="n"/>
      <c r="M826" s="34">
        <f>IF(AND(IF($I827&lt;&gt;"",$I827,$I826)="override",$L826&lt;&gt;""),$L826,SUMIFS(Assumptions!$P$4:$P$103,Assumptions!$M$4:$M$103,$C826,Assumptions!$N$4:$N$103,$E826,Assumptions!$O$4:$O$103,"LVN"))</f>
        <v/>
      </c>
      <c r="N826" s="32" t="n"/>
      <c r="O826" s="34">
        <f>IF(AND(IF($I827&lt;&gt;"",$I827,$I826)="override",$N826&lt;&gt;""),$N826,SUMIFS(Assumptions!$P$4:$P$103,Assumptions!$M$4:$M$103,$C826,Assumptions!$N$4:$N$103,$E826,Assumptions!$O$4:$O$103,"HVN"))</f>
        <v/>
      </c>
      <c r="P826" s="34">
        <f>(M826+O826)*Assumptions!$S$11</f>
        <v/>
      </c>
      <c r="Q826" s="35">
        <f>$F826*$K826*$P826</f>
        <v/>
      </c>
    </row>
    <row r="827">
      <c r="A827" s="24" t="inlineStr">
        <is>
          <t>TOTAL</t>
        </is>
      </c>
      <c r="B827" s="36" t="inlineStr">
        <is>
          <t>CHS_LAUREL</t>
        </is>
      </c>
      <c r="C827" s="36" t="n">
        <v>4</v>
      </c>
      <c r="D827" s="36" t="inlineStr">
        <is>
          <t>NET NAPHTHA</t>
        </is>
      </c>
      <c r="H827" s="31" t="n"/>
      <c r="I827" s="17" t="n"/>
      <c r="Q827" s="37">
        <f>SUM(Q819:Q826)</f>
        <v/>
      </c>
    </row>
    <row r="829" ht="20" customHeight="1">
      <c r="A829" s="8">
        <f>"  Chevron Salt Lake City  [CHEVRON_SALT_LAKE_CITY]   —   Chevron   —   PADD 4   —   crude "&amp;TEXT(SUMIFS(Data!$G$3:$G$125,Data!$A$3:$A$125,"CHEVRON_SALT_LAKE_CITY"),"#,##0")&amp;" kbd"</f>
        <v/>
      </c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</row>
    <row r="830">
      <c r="A830" s="11" t="inlineStr">
        <is>
          <t>UNIT</t>
        </is>
      </c>
      <c r="B830" s="28" t="inlineStr">
        <is>
          <t>CHEVRON_SALT_LAKE_CITY</t>
        </is>
      </c>
      <c r="C830" s="28" t="n">
        <v>4</v>
      </c>
      <c r="D830" s="28" t="inlineStr">
        <is>
          <t>CDU</t>
        </is>
      </c>
      <c r="E830" s="28" t="inlineStr">
        <is>
          <t>CDU</t>
        </is>
      </c>
      <c r="F830" s="29" t="n">
        <v>57.6</v>
      </c>
      <c r="G830" s="30">
        <f>IFERROR(IF(INDEX(Effective!$E$3:$R$125,MATCH($B830,Effective!$A$3:$A$125,0),MATCH($D830,Effective!$E$2:$R$2,0))=0,"",INDEX(Effective!$E$3:$R$125,MATCH($B830,Effective!$A$3:$A$125,0),MATCH($D830,Effective!$E$2:$R$2,0))),"")</f>
        <v/>
      </c>
      <c r="H830" s="31" t="n"/>
      <c r="I830" s="17" t="inlineStr">
        <is>
          <t>override</t>
        </is>
      </c>
      <c r="J830" s="32" t="n">
        <v>0.851</v>
      </c>
      <c r="K830" s="33">
        <f>IF(AND(IF($I837&lt;&gt;"",$I837,$I830)="override",$J830&lt;&gt;""),$J830,SUMIFS(Assumptions!$K$4:$K$8,Assumptions!$J$4:$J$8,$C830))*Assumptions!$S$10*(1-MIN(1,MAX(N($H830),N($H837))))</f>
        <v/>
      </c>
      <c r="L830" s="32" t="n"/>
      <c r="M830" s="34">
        <f>IF(AND(IF($I837&lt;&gt;"",$I837,$I830)="override",$L830&lt;&gt;""),$L830,SUMIFS(Assumptions!$P$4:$P$103,Assumptions!$M$4:$M$103,$C830,Assumptions!$N$4:$N$103,$E830,Assumptions!$O$4:$O$103,"LVN"))</f>
        <v/>
      </c>
      <c r="N830" s="32" t="n"/>
      <c r="O830" s="34">
        <f>IF(AND(IF($I837&lt;&gt;"",$I837,$I830)="override",$N830&lt;&gt;""),$N830,SUMIFS(Assumptions!$P$4:$P$103,Assumptions!$M$4:$M$103,$C830,Assumptions!$N$4:$N$103,$E830,Assumptions!$O$4:$O$103,"HVN"))</f>
        <v/>
      </c>
      <c r="P830" s="34">
        <f>(M830+O830)*Assumptions!$S$11</f>
        <v/>
      </c>
      <c r="Q830" s="35">
        <f>$F830*$K830*$P830</f>
        <v/>
      </c>
    </row>
    <row r="831">
      <c r="A831" s="11" t="inlineStr">
        <is>
          <t>UNIT</t>
        </is>
      </c>
      <c r="B831" s="28" t="inlineStr">
        <is>
          <t>CHEVRON_SALT_LAKE_CITY</t>
        </is>
      </c>
      <c r="C831" s="28" t="n">
        <v>4</v>
      </c>
      <c r="D831" s="28" t="inlineStr">
        <is>
          <t>VDU</t>
        </is>
      </c>
      <c r="E831" s="28" t="inlineStr">
        <is>
          <t>VDU</t>
        </is>
      </c>
      <c r="F831" s="29" t="n">
        <v>27.9</v>
      </c>
      <c r="G831" s="30">
        <f>IFERROR(IF(INDEX(Effective!$E$3:$R$125,MATCH($B831,Effective!$A$3:$A$125,0),MATCH($D831,Effective!$E$2:$R$2,0))=0,"",INDEX(Effective!$E$3:$R$125,MATCH($B831,Effective!$A$3:$A$125,0),MATCH($D831,Effective!$E$2:$R$2,0))),"")</f>
        <v/>
      </c>
      <c r="H831" s="31" t="n"/>
      <c r="I831" s="17" t="inlineStr">
        <is>
          <t>override</t>
        </is>
      </c>
      <c r="J831" s="32" t="n">
        <v>0.5679999999999999</v>
      </c>
      <c r="K831" s="33">
        <f>IF(AND(IF($I837&lt;&gt;"",$I837,$I831)="override",$J831&lt;&gt;""),$J831,SUMIFS(Assumptions!$K$4:$K$8,Assumptions!$J$4:$J$8,$C831))*Assumptions!$S$10*(1-MIN(1,MAX(N($H831),N($H837))))</f>
        <v/>
      </c>
      <c r="L831" s="32" t="n"/>
      <c r="M831" s="34">
        <f>IF(AND(IF($I837&lt;&gt;"",$I837,$I831)="override",$L831&lt;&gt;""),$L831,SUMIFS(Assumptions!$P$4:$P$103,Assumptions!$M$4:$M$103,$C831,Assumptions!$N$4:$N$103,$E831,Assumptions!$O$4:$O$103,"LVN"))</f>
        <v/>
      </c>
      <c r="N831" s="32" t="n"/>
      <c r="O831" s="34">
        <f>IF(AND(IF($I837&lt;&gt;"",$I837,$I831)="override",$N831&lt;&gt;""),$N831,SUMIFS(Assumptions!$P$4:$P$103,Assumptions!$M$4:$M$103,$C831,Assumptions!$N$4:$N$103,$E831,Assumptions!$O$4:$O$103,"HVN"))</f>
        <v/>
      </c>
      <c r="P831" s="34">
        <f>(M831+O831)*Assumptions!$S$11</f>
        <v/>
      </c>
      <c r="Q831" s="35">
        <f>$F831*$K831*$P831</f>
        <v/>
      </c>
    </row>
    <row r="832">
      <c r="A832" s="11" t="inlineStr">
        <is>
          <t>UNIT</t>
        </is>
      </c>
      <c r="B832" s="28" t="inlineStr">
        <is>
          <t>CHEVRON_SALT_LAKE_CITY</t>
        </is>
      </c>
      <c r="C832" s="28" t="n">
        <v>4</v>
      </c>
      <c r="D832" s="28" t="inlineStr">
        <is>
          <t>FCC</t>
        </is>
      </c>
      <c r="E832" s="28" t="inlineStr">
        <is>
          <t>FCC</t>
        </is>
      </c>
      <c r="F832" s="29" t="n">
        <v>15.5</v>
      </c>
      <c r="G832" s="30">
        <f>IFERROR(IF(INDEX(Effective!$E$3:$R$125,MATCH($B832,Effective!$A$3:$A$125,0),MATCH($D832,Effective!$E$2:$R$2,0))=0,"",INDEX(Effective!$E$3:$R$125,MATCH($B832,Effective!$A$3:$A$125,0),MATCH($D832,Effective!$E$2:$R$2,0))),"")</f>
        <v/>
      </c>
      <c r="H832" s="31" t="n"/>
      <c r="I832" s="17" t="inlineStr">
        <is>
          <t>override</t>
        </is>
      </c>
      <c r="J832" s="32" t="n">
        <v>0.749</v>
      </c>
      <c r="K832" s="33">
        <f>IF(AND(IF($I837&lt;&gt;"",$I837,$I832)="override",$J832&lt;&gt;""),$J832,SUMIFS(Assumptions!$K$4:$K$8,Assumptions!$J$4:$J$8,$C832))*Assumptions!$S$10*(1-MIN(1,MAX(N($H832),N($H837))))</f>
        <v/>
      </c>
      <c r="L832" s="32" t="n"/>
      <c r="M832" s="34">
        <f>IF(AND(IF($I837&lt;&gt;"",$I837,$I832)="override",$L832&lt;&gt;""),$L832,SUMIFS(Assumptions!$P$4:$P$103,Assumptions!$M$4:$M$103,$C832,Assumptions!$N$4:$N$103,$E832,Assumptions!$O$4:$O$103,"LVN"))</f>
        <v/>
      </c>
      <c r="N832" s="32" t="n"/>
      <c r="O832" s="34">
        <f>IF(AND(IF($I837&lt;&gt;"",$I837,$I832)="override",$N832&lt;&gt;""),$N832,SUMIFS(Assumptions!$P$4:$P$103,Assumptions!$M$4:$M$103,$C832,Assumptions!$N$4:$N$103,$E832,Assumptions!$O$4:$O$103,"HVN"))</f>
        <v/>
      </c>
      <c r="P832" s="34">
        <f>(M832+O832)*Assumptions!$S$11</f>
        <v/>
      </c>
      <c r="Q832" s="35">
        <f>$F832*$K832*$P832</f>
        <v/>
      </c>
    </row>
    <row r="833">
      <c r="A833" s="11" t="inlineStr">
        <is>
          <t>UNIT</t>
        </is>
      </c>
      <c r="B833" s="28" t="inlineStr">
        <is>
          <t>CHEVRON_SALT_LAKE_CITY</t>
        </is>
      </c>
      <c r="C833" s="28" t="n">
        <v>4</v>
      </c>
      <c r="D833" s="28" t="inlineStr">
        <is>
          <t>COKER</t>
        </is>
      </c>
      <c r="E833" s="28" t="inlineStr">
        <is>
          <t>COKER</t>
        </is>
      </c>
      <c r="F833" s="29" t="n">
        <v>10</v>
      </c>
      <c r="G833" s="30">
        <f>IFERROR(IF(INDEX(Effective!$E$3:$R$125,MATCH($B833,Effective!$A$3:$A$125,0),MATCH($D833,Effective!$E$2:$R$2,0))=0,"",INDEX(Effective!$E$3:$R$125,MATCH($B833,Effective!$A$3:$A$125,0),MATCH($D833,Effective!$E$2:$R$2,0))),"")</f>
        <v/>
      </c>
      <c r="H833" s="31" t="n"/>
      <c r="I833" s="17" t="inlineStr">
        <is>
          <t>override</t>
        </is>
      </c>
      <c r="J833" s="32" t="n">
        <v>0.334</v>
      </c>
      <c r="K833" s="33">
        <f>IF(AND(IF($I837&lt;&gt;"",$I837,$I833)="override",$J833&lt;&gt;""),$J833,SUMIFS(Assumptions!$K$4:$K$8,Assumptions!$J$4:$J$8,$C833))*Assumptions!$S$10*(1-MIN(1,MAX(N($H833),N($H837))))</f>
        <v/>
      </c>
      <c r="L833" s="32" t="n"/>
      <c r="M833" s="34">
        <f>IF(AND(IF($I837&lt;&gt;"",$I837,$I833)="override",$L833&lt;&gt;""),$L833,SUMIFS(Assumptions!$P$4:$P$103,Assumptions!$M$4:$M$103,$C833,Assumptions!$N$4:$N$103,$E833,Assumptions!$O$4:$O$103,"LVN"))</f>
        <v/>
      </c>
      <c r="N833" s="32" t="n"/>
      <c r="O833" s="34">
        <f>IF(AND(IF($I837&lt;&gt;"",$I837,$I833)="override",$N833&lt;&gt;""),$N833,SUMIFS(Assumptions!$P$4:$P$103,Assumptions!$M$4:$M$103,$C833,Assumptions!$N$4:$N$103,$E833,Assumptions!$O$4:$O$103,"HVN"))</f>
        <v/>
      </c>
      <c r="P833" s="34">
        <f>(M833+O833)*Assumptions!$S$11</f>
        <v/>
      </c>
      <c r="Q833" s="35">
        <f>$F833*$K833*$P833</f>
        <v/>
      </c>
    </row>
    <row r="834">
      <c r="A834" s="11" t="inlineStr">
        <is>
          <t>UNIT</t>
        </is>
      </c>
      <c r="B834" s="28" t="inlineStr">
        <is>
          <t>CHEVRON_SALT_LAKE_CITY</t>
        </is>
      </c>
      <c r="C834" s="28" t="n">
        <v>4</v>
      </c>
      <c r="D834" s="28" t="inlineStr">
        <is>
          <t>REF</t>
        </is>
      </c>
      <c r="E834" s="28" t="inlineStr">
        <is>
          <t>REFORMER</t>
        </is>
      </c>
      <c r="F834" s="29" t="n">
        <v>9.1</v>
      </c>
      <c r="G834" s="30">
        <f>IFERROR(IF(INDEX(Effective!$E$3:$R$125,MATCH($B834,Effective!$A$3:$A$125,0),MATCH($D834,Effective!$E$2:$R$2,0))=0,"",INDEX(Effective!$E$3:$R$125,MATCH($B834,Effective!$A$3:$A$125,0),MATCH($D834,Effective!$E$2:$R$2,0))),"")</f>
        <v/>
      </c>
      <c r="H834" s="31" t="n"/>
      <c r="I834" s="17" t="inlineStr">
        <is>
          <t>override</t>
        </is>
      </c>
      <c r="J834" s="32" t="n">
        <v>0.644</v>
      </c>
      <c r="K834" s="33">
        <f>IF(AND(IF($I837&lt;&gt;"",$I837,$I834)="override",$J834&lt;&gt;""),$J834,SUMIFS(Assumptions!$K$4:$K$8,Assumptions!$J$4:$J$8,$C834))*Assumptions!$S$10*(1-MIN(1,MAX(N($H834),N($H837))))</f>
        <v/>
      </c>
      <c r="L834" s="32" t="n"/>
      <c r="M834" s="34">
        <f>IF(AND(IF($I837&lt;&gt;"",$I837,$I834)="override",$L834&lt;&gt;""),$L834,SUMIFS(Assumptions!$P$4:$P$103,Assumptions!$M$4:$M$103,$C834,Assumptions!$N$4:$N$103,$E834,Assumptions!$O$4:$O$103,"LVN"))</f>
        <v/>
      </c>
      <c r="N834" s="32" t="n"/>
      <c r="O834" s="34">
        <f>IF(AND(IF($I837&lt;&gt;"",$I837,$I834)="override",$N834&lt;&gt;""),$N834,SUMIFS(Assumptions!$P$4:$P$103,Assumptions!$M$4:$M$103,$C834,Assumptions!$N$4:$N$103,$E834,Assumptions!$O$4:$O$103,"HVN"))</f>
        <v/>
      </c>
      <c r="P834" s="34">
        <f>(M834+O834)*Assumptions!$S$11</f>
        <v/>
      </c>
      <c r="Q834" s="35">
        <f>$F834*$K834*$P834</f>
        <v/>
      </c>
    </row>
    <row r="835">
      <c r="A835" s="11" t="inlineStr">
        <is>
          <t>UNIT</t>
        </is>
      </c>
      <c r="B835" s="28" t="inlineStr">
        <is>
          <t>CHEVRON_SALT_LAKE_CITY</t>
        </is>
      </c>
      <c r="C835" s="28" t="n">
        <v>4</v>
      </c>
      <c r="D835" s="28" t="inlineStr">
        <is>
          <t>ALKY</t>
        </is>
      </c>
      <c r="E835" s="28" t="inlineStr">
        <is>
          <t>ALKY</t>
        </is>
      </c>
      <c r="F835" s="29" t="n">
        <v>5.6</v>
      </c>
      <c r="G835" s="30">
        <f>IFERROR(IF(INDEX(Effective!$E$3:$R$125,MATCH($B835,Effective!$A$3:$A$125,0),MATCH($D835,Effective!$E$2:$R$2,0))=0,"",INDEX(Effective!$E$3:$R$125,MATCH($B835,Effective!$A$3:$A$125,0),MATCH($D835,Effective!$E$2:$R$2,0))),"")</f>
        <v/>
      </c>
      <c r="H835" s="31" t="n"/>
      <c r="I835" s="17" t="inlineStr">
        <is>
          <t>override</t>
        </is>
      </c>
      <c r="J835" s="32" t="n">
        <v>0.901</v>
      </c>
      <c r="K835" s="33">
        <f>IF(AND(IF($I837&lt;&gt;"",$I837,$I835)="override",$J835&lt;&gt;""),$J835,SUMIFS(Assumptions!$K$4:$K$8,Assumptions!$J$4:$J$8,$C835))*Assumptions!$S$10*(1-MIN(1,MAX(N($H835),N($H837))))</f>
        <v/>
      </c>
      <c r="L835" s="32" t="n"/>
      <c r="M835" s="34">
        <f>IF(AND(IF($I837&lt;&gt;"",$I837,$I835)="override",$L835&lt;&gt;""),$L835,SUMIFS(Assumptions!$P$4:$P$103,Assumptions!$M$4:$M$103,$C835,Assumptions!$N$4:$N$103,$E835,Assumptions!$O$4:$O$103,"LVN"))</f>
        <v/>
      </c>
      <c r="N835" s="32" t="n"/>
      <c r="O835" s="34">
        <f>IF(AND(IF($I837&lt;&gt;"",$I837,$I835)="override",$N835&lt;&gt;""),$N835,SUMIFS(Assumptions!$P$4:$P$103,Assumptions!$M$4:$M$103,$C835,Assumptions!$N$4:$N$103,$E835,Assumptions!$O$4:$O$103,"HVN"))</f>
        <v/>
      </c>
      <c r="P835" s="34">
        <f>(M835+O835)*Assumptions!$S$11</f>
        <v/>
      </c>
      <c r="Q835" s="35">
        <f>$F835*$K835*$P835</f>
        <v/>
      </c>
    </row>
    <row r="836">
      <c r="A836" s="11" t="inlineStr">
        <is>
          <t>UNIT</t>
        </is>
      </c>
      <c r="B836" s="28" t="inlineStr">
        <is>
          <t>CHEVRON_SALT_LAKE_CITY</t>
        </is>
      </c>
      <c r="C836" s="28" t="n">
        <v>4</v>
      </c>
      <c r="D836" s="28" t="inlineStr">
        <is>
          <t>NHT</t>
        </is>
      </c>
      <c r="E836" s="28" t="inlineStr">
        <is>
          <t>NHT</t>
        </is>
      </c>
      <c r="F836" s="29" t="n">
        <v>9.1</v>
      </c>
      <c r="G836" s="30">
        <f>IFERROR(IF(INDEX(Effective!$E$3:$R$125,MATCH($B836,Effective!$A$3:$A$125,0),MATCH($D836,Effective!$E$2:$R$2,0))=0,"",INDEX(Effective!$E$3:$R$125,MATCH($B836,Effective!$A$3:$A$125,0),MATCH($D836,Effective!$E$2:$R$2,0))),"")</f>
        <v/>
      </c>
      <c r="H836" s="31" t="n"/>
      <c r="I836" s="17" t="inlineStr">
        <is>
          <t>override</t>
        </is>
      </c>
      <c r="J836" s="32" t="n">
        <v>0.996</v>
      </c>
      <c r="K836" s="33">
        <f>IF(AND(IF($I837&lt;&gt;"",$I837,$I836)="override",$J836&lt;&gt;""),$J836,SUMIFS(Assumptions!$K$4:$K$8,Assumptions!$J$4:$J$8,$C836))*Assumptions!$S$10*(1-MIN(1,MAX(N($H836),N($H837))))</f>
        <v/>
      </c>
      <c r="L836" s="32" t="n"/>
      <c r="M836" s="34">
        <f>IF(AND(IF($I837&lt;&gt;"",$I837,$I836)="override",$L836&lt;&gt;""),$L836,SUMIFS(Assumptions!$P$4:$P$103,Assumptions!$M$4:$M$103,$C836,Assumptions!$N$4:$N$103,$E836,Assumptions!$O$4:$O$103,"LVN"))</f>
        <v/>
      </c>
      <c r="N836" s="32" t="n"/>
      <c r="O836" s="34">
        <f>IF(AND(IF($I837&lt;&gt;"",$I837,$I836)="override",$N836&lt;&gt;""),$N836,SUMIFS(Assumptions!$P$4:$P$103,Assumptions!$M$4:$M$103,$C836,Assumptions!$N$4:$N$103,$E836,Assumptions!$O$4:$O$103,"HVN"))</f>
        <v/>
      </c>
      <c r="P836" s="34">
        <f>(M836+O836)*Assumptions!$S$11</f>
        <v/>
      </c>
      <c r="Q836" s="35">
        <f>$F836*$K836*$P836</f>
        <v/>
      </c>
    </row>
    <row r="837">
      <c r="A837" s="24" t="inlineStr">
        <is>
          <t>TOTAL</t>
        </is>
      </c>
      <c r="B837" s="36" t="inlineStr">
        <is>
          <t>CHEVRON_SALT_LAKE_CITY</t>
        </is>
      </c>
      <c r="C837" s="36" t="n">
        <v>4</v>
      </c>
      <c r="D837" s="36" t="inlineStr">
        <is>
          <t>NET NAPHTHA</t>
        </is>
      </c>
      <c r="H837" s="31" t="n"/>
      <c r="I837" s="17" t="n"/>
      <c r="Q837" s="37">
        <f>SUM(Q830:Q836)</f>
        <v/>
      </c>
    </row>
    <row r="839" ht="20" customHeight="1">
      <c r="A839" s="8">
        <f>"  HF Sinclair Woods Cross  [HF_WOODS_CROSS]   —   HF Sinclair   —   PADD 4   —   crude "&amp;TEXT(SUMIFS(Data!$G$3:$G$125,Data!$A$3:$A$125,"HF_WOODS_CROSS"),"#,##0")&amp;" kbd"</f>
        <v/>
      </c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</row>
    <row r="840">
      <c r="A840" s="11" t="inlineStr">
        <is>
          <t>UNIT</t>
        </is>
      </c>
      <c r="B840" s="28" t="inlineStr">
        <is>
          <t>HF_WOODS_CROSS</t>
        </is>
      </c>
      <c r="C840" s="28" t="n">
        <v>4</v>
      </c>
      <c r="D840" s="28" t="inlineStr">
        <is>
          <t>CDU</t>
        </is>
      </c>
      <c r="E840" s="28" t="inlineStr">
        <is>
          <t>CDU</t>
        </is>
      </c>
      <c r="F840" s="29" t="n">
        <v>45</v>
      </c>
      <c r="G840" s="30">
        <f>IFERROR(IF(INDEX(Effective!$E$3:$R$125,MATCH($B840,Effective!$A$3:$A$125,0),MATCH($D840,Effective!$E$2:$R$2,0))=0,"",INDEX(Effective!$E$3:$R$125,MATCH($B840,Effective!$A$3:$A$125,0),MATCH($D840,Effective!$E$2:$R$2,0))),"")</f>
        <v/>
      </c>
      <c r="H840" s="31" t="n"/>
      <c r="I840" s="17" t="inlineStr">
        <is>
          <t>override</t>
        </is>
      </c>
      <c r="J840" s="32" t="n">
        <v>0.95</v>
      </c>
      <c r="K840" s="33">
        <f>IF(AND(IF($I847&lt;&gt;"",$I847,$I840)="override",$J840&lt;&gt;""),$J840,SUMIFS(Assumptions!$K$4:$K$8,Assumptions!$J$4:$J$8,$C840))*Assumptions!$S$10*(1-MIN(1,MAX(N($H840),N($H847))))</f>
        <v/>
      </c>
      <c r="L840" s="32" t="n"/>
      <c r="M840" s="34">
        <f>IF(AND(IF($I847&lt;&gt;"",$I847,$I840)="override",$L840&lt;&gt;""),$L840,SUMIFS(Assumptions!$P$4:$P$103,Assumptions!$M$4:$M$103,$C840,Assumptions!$N$4:$N$103,$E840,Assumptions!$O$4:$O$103,"LVN"))</f>
        <v/>
      </c>
      <c r="N840" s="32" t="n"/>
      <c r="O840" s="34">
        <f>IF(AND(IF($I847&lt;&gt;"",$I847,$I840)="override",$N840&lt;&gt;""),$N840,SUMIFS(Assumptions!$P$4:$P$103,Assumptions!$M$4:$M$103,$C840,Assumptions!$N$4:$N$103,$E840,Assumptions!$O$4:$O$103,"HVN"))</f>
        <v/>
      </c>
      <c r="P840" s="34">
        <f>(M840+O840)*Assumptions!$S$11</f>
        <v/>
      </c>
      <c r="Q840" s="35">
        <f>$F840*$K840*$P840</f>
        <v/>
      </c>
    </row>
    <row r="841">
      <c r="A841" s="11" t="inlineStr">
        <is>
          <t>UNIT</t>
        </is>
      </c>
      <c r="B841" s="28" t="inlineStr">
        <is>
          <t>HF_WOODS_CROSS</t>
        </is>
      </c>
      <c r="C841" s="28" t="n">
        <v>4</v>
      </c>
      <c r="D841" s="28" t="inlineStr">
        <is>
          <t>RCC</t>
        </is>
      </c>
      <c r="E841" s="28" t="inlineStr">
        <is>
          <t>FCC</t>
        </is>
      </c>
      <c r="F841" s="29" t="n">
        <v>17.5</v>
      </c>
      <c r="G841" s="30">
        <f>IFERROR(IF(INDEX(Effective!$E$3:$R$125,MATCH($B841,Effective!$A$3:$A$125,0),MATCH($D841,Effective!$E$2:$R$2,0))=0,"",INDEX(Effective!$E$3:$R$125,MATCH($B841,Effective!$A$3:$A$125,0),MATCH($D841,Effective!$E$2:$R$2,0))),"")</f>
        <v/>
      </c>
      <c r="H841" s="31" t="n"/>
      <c r="I841" s="17" t="inlineStr">
        <is>
          <t>override</t>
        </is>
      </c>
      <c r="J841" s="32" t="n"/>
      <c r="K841" s="33">
        <f>IF(AND(IF($I847&lt;&gt;"",$I847,$I841)="override",$J841&lt;&gt;""),$J841,SUMIFS(Assumptions!$K$4:$K$8,Assumptions!$J$4:$J$8,$C841))*Assumptions!$S$10*(1-MIN(1,MAX(N($H841),N($H847))))</f>
        <v/>
      </c>
      <c r="L841" s="32" t="n"/>
      <c r="M841" s="34">
        <f>IF(AND(IF($I847&lt;&gt;"",$I847,$I841)="override",$L841&lt;&gt;""),$L841,SUMIFS(Assumptions!$P$4:$P$103,Assumptions!$M$4:$M$103,$C841,Assumptions!$N$4:$N$103,$E841,Assumptions!$O$4:$O$103,"LVN"))</f>
        <v/>
      </c>
      <c r="N841" s="32" t="n"/>
      <c r="O841" s="34">
        <f>IF(AND(IF($I847&lt;&gt;"",$I847,$I841)="override",$N841&lt;&gt;""),$N841,SUMIFS(Assumptions!$P$4:$P$103,Assumptions!$M$4:$M$103,$C841,Assumptions!$N$4:$N$103,$E841,Assumptions!$O$4:$O$103,"HVN"))</f>
        <v/>
      </c>
      <c r="P841" s="34">
        <f>(M841+O841)*Assumptions!$S$11</f>
        <v/>
      </c>
      <c r="Q841" s="35">
        <f>$F841*$K841*$P841</f>
        <v/>
      </c>
    </row>
    <row r="842">
      <c r="A842" s="11" t="inlineStr">
        <is>
          <t>UNIT</t>
        </is>
      </c>
      <c r="B842" s="28" t="inlineStr">
        <is>
          <t>HF_WOODS_CROSS</t>
        </is>
      </c>
      <c r="C842" s="28" t="n">
        <v>4</v>
      </c>
      <c r="D842" s="28" t="inlineStr">
        <is>
          <t>DHCU</t>
        </is>
      </c>
      <c r="E842" s="28" t="inlineStr">
        <is>
          <t>HYDROCRACKER</t>
        </is>
      </c>
      <c r="F842" s="29" t="n">
        <v>15</v>
      </c>
      <c r="G842" s="30">
        <f>IFERROR(IF(INDEX(Effective!$E$3:$R$125,MATCH($B842,Effective!$A$3:$A$125,0),MATCH($D842,Effective!$E$2:$R$2,0))=0,"",INDEX(Effective!$E$3:$R$125,MATCH($B842,Effective!$A$3:$A$125,0),MATCH($D842,Effective!$E$2:$R$2,0))),"")</f>
        <v/>
      </c>
      <c r="H842" s="31" t="n"/>
      <c r="I842" s="17" t="inlineStr">
        <is>
          <t>override</t>
        </is>
      </c>
      <c r="J842" s="32" t="n">
        <v>0.653</v>
      </c>
      <c r="K842" s="33">
        <f>IF(AND(IF($I847&lt;&gt;"",$I847,$I842)="override",$J842&lt;&gt;""),$J842,SUMIFS(Assumptions!$K$4:$K$8,Assumptions!$J$4:$J$8,$C842))*Assumptions!$S$10*(1-MIN(1,MAX(N($H842),N($H847))))</f>
        <v/>
      </c>
      <c r="L842" s="32" t="n"/>
      <c r="M842" s="34">
        <f>IF(AND(IF($I847&lt;&gt;"",$I847,$I842)="override",$L842&lt;&gt;""),$L842,SUMIFS(Assumptions!$P$4:$P$103,Assumptions!$M$4:$M$103,$C842,Assumptions!$N$4:$N$103,$E842,Assumptions!$O$4:$O$103,"LVN"))</f>
        <v/>
      </c>
      <c r="N842" s="32" t="n"/>
      <c r="O842" s="34">
        <f>IF(AND(IF($I847&lt;&gt;"",$I847,$I842)="override",$N842&lt;&gt;""),$N842,SUMIFS(Assumptions!$P$4:$P$103,Assumptions!$M$4:$M$103,$C842,Assumptions!$N$4:$N$103,$E842,Assumptions!$O$4:$O$103,"HVN"))</f>
        <v/>
      </c>
      <c r="P842" s="34">
        <f>(M842+O842)*Assumptions!$S$11</f>
        <v/>
      </c>
      <c r="Q842" s="35">
        <f>$F842*$K842*$P842</f>
        <v/>
      </c>
    </row>
    <row r="843">
      <c r="A843" s="11" t="inlineStr">
        <is>
          <t>UNIT</t>
        </is>
      </c>
      <c r="B843" s="28" t="inlineStr">
        <is>
          <t>HF_WOODS_CROSS</t>
        </is>
      </c>
      <c r="C843" s="28" t="n">
        <v>4</v>
      </c>
      <c r="D843" s="28" t="inlineStr">
        <is>
          <t>REF</t>
        </is>
      </c>
      <c r="E843" s="28" t="inlineStr">
        <is>
          <t>REFORMER</t>
        </is>
      </c>
      <c r="F843" s="29" t="n">
        <v>8.4</v>
      </c>
      <c r="G843" s="30">
        <f>IFERROR(IF(INDEX(Effective!$E$3:$R$125,MATCH($B843,Effective!$A$3:$A$125,0),MATCH($D843,Effective!$E$2:$R$2,0))=0,"",INDEX(Effective!$E$3:$R$125,MATCH($B843,Effective!$A$3:$A$125,0),MATCH($D843,Effective!$E$2:$R$2,0))),"")</f>
        <v/>
      </c>
      <c r="H843" s="31" t="n"/>
      <c r="I843" s="17" t="inlineStr">
        <is>
          <t>override</t>
        </is>
      </c>
      <c r="J843" s="32" t="n">
        <v>0.357</v>
      </c>
      <c r="K843" s="33">
        <f>IF(AND(IF($I847&lt;&gt;"",$I847,$I843)="override",$J843&lt;&gt;""),$J843,SUMIFS(Assumptions!$K$4:$K$8,Assumptions!$J$4:$J$8,$C843))*Assumptions!$S$10*(1-MIN(1,MAX(N($H843),N($H847))))</f>
        <v/>
      </c>
      <c r="L843" s="32" t="n"/>
      <c r="M843" s="34">
        <f>IF(AND(IF($I847&lt;&gt;"",$I847,$I843)="override",$L843&lt;&gt;""),$L843,SUMIFS(Assumptions!$P$4:$P$103,Assumptions!$M$4:$M$103,$C843,Assumptions!$N$4:$N$103,$E843,Assumptions!$O$4:$O$103,"LVN"))</f>
        <v/>
      </c>
      <c r="N843" s="32" t="n"/>
      <c r="O843" s="34">
        <f>IF(AND(IF($I847&lt;&gt;"",$I847,$I843)="override",$N843&lt;&gt;""),$N843,SUMIFS(Assumptions!$P$4:$P$103,Assumptions!$M$4:$M$103,$C843,Assumptions!$N$4:$N$103,$E843,Assumptions!$O$4:$O$103,"HVN"))</f>
        <v/>
      </c>
      <c r="P843" s="34">
        <f>(M843+O843)*Assumptions!$S$11</f>
        <v/>
      </c>
      <c r="Q843" s="35">
        <f>$F843*$K843*$P843</f>
        <v/>
      </c>
    </row>
    <row r="844">
      <c r="A844" s="11" t="inlineStr">
        <is>
          <t>UNIT</t>
        </is>
      </c>
      <c r="B844" s="28" t="inlineStr">
        <is>
          <t>HF_WOODS_CROSS</t>
        </is>
      </c>
      <c r="C844" s="28" t="n">
        <v>4</v>
      </c>
      <c r="D844" s="28" t="inlineStr">
        <is>
          <t>ISOM</t>
        </is>
      </c>
      <c r="E844" s="28" t="inlineStr">
        <is>
          <t>ISOM</t>
        </is>
      </c>
      <c r="F844" s="29" t="n">
        <v>3</v>
      </c>
      <c r="G844" s="30">
        <f>IFERROR(IF(INDEX(Effective!$E$3:$R$125,MATCH($B844,Effective!$A$3:$A$125,0),MATCH($D844,Effective!$E$2:$R$2,0))=0,"",INDEX(Effective!$E$3:$R$125,MATCH($B844,Effective!$A$3:$A$125,0),MATCH($D844,Effective!$E$2:$R$2,0))),"")</f>
        <v/>
      </c>
      <c r="H844" s="31" t="n"/>
      <c r="I844" s="17" t="inlineStr">
        <is>
          <t>override</t>
        </is>
      </c>
      <c r="J844" s="32" t="n">
        <v>1</v>
      </c>
      <c r="K844" s="33">
        <f>IF(AND(IF($I847&lt;&gt;"",$I847,$I844)="override",$J844&lt;&gt;""),$J844,SUMIFS(Assumptions!$K$4:$K$8,Assumptions!$J$4:$J$8,$C844))*Assumptions!$S$10*(1-MIN(1,MAX(N($H844),N($H847))))</f>
        <v/>
      </c>
      <c r="L844" s="32" t="n"/>
      <c r="M844" s="34">
        <f>IF(AND(IF($I847&lt;&gt;"",$I847,$I844)="override",$L844&lt;&gt;""),$L844,SUMIFS(Assumptions!$P$4:$P$103,Assumptions!$M$4:$M$103,$C844,Assumptions!$N$4:$N$103,$E844,Assumptions!$O$4:$O$103,"LVN"))</f>
        <v/>
      </c>
      <c r="N844" s="32" t="n"/>
      <c r="O844" s="34">
        <f>IF(AND(IF($I847&lt;&gt;"",$I847,$I844)="override",$N844&lt;&gt;""),$N844,SUMIFS(Assumptions!$P$4:$P$103,Assumptions!$M$4:$M$103,$C844,Assumptions!$N$4:$N$103,$E844,Assumptions!$O$4:$O$103,"HVN"))</f>
        <v/>
      </c>
      <c r="P844" s="34">
        <f>(M844+O844)*Assumptions!$S$11</f>
        <v/>
      </c>
      <c r="Q844" s="35">
        <f>$F844*$K844*$P844</f>
        <v/>
      </c>
    </row>
    <row r="845">
      <c r="A845" s="11" t="inlineStr">
        <is>
          <t>UNIT</t>
        </is>
      </c>
      <c r="B845" s="28" t="inlineStr">
        <is>
          <t>HF_WOODS_CROSS</t>
        </is>
      </c>
      <c r="C845" s="28" t="n">
        <v>4</v>
      </c>
      <c r="D845" s="28" t="inlineStr">
        <is>
          <t>ALKY</t>
        </is>
      </c>
      <c r="E845" s="28" t="inlineStr">
        <is>
          <t>ALKY</t>
        </is>
      </c>
      <c r="F845" s="29" t="n">
        <v>5.3</v>
      </c>
      <c r="G845" s="30">
        <f>IFERROR(IF(INDEX(Effective!$E$3:$R$125,MATCH($B845,Effective!$A$3:$A$125,0),MATCH($D845,Effective!$E$2:$R$2,0))=0,"",INDEX(Effective!$E$3:$R$125,MATCH($B845,Effective!$A$3:$A$125,0),MATCH($D845,Effective!$E$2:$R$2,0))),"")</f>
        <v/>
      </c>
      <c r="H845" s="31" t="n"/>
      <c r="I845" s="17" t="inlineStr">
        <is>
          <t>override</t>
        </is>
      </c>
      <c r="J845" s="32" t="n">
        <v>1.1</v>
      </c>
      <c r="K845" s="33">
        <f>IF(AND(IF($I847&lt;&gt;"",$I847,$I845)="override",$J845&lt;&gt;""),$J845,SUMIFS(Assumptions!$K$4:$K$8,Assumptions!$J$4:$J$8,$C845))*Assumptions!$S$10*(1-MIN(1,MAX(N($H845),N($H847))))</f>
        <v/>
      </c>
      <c r="L845" s="32" t="n"/>
      <c r="M845" s="34">
        <f>IF(AND(IF($I847&lt;&gt;"",$I847,$I845)="override",$L845&lt;&gt;""),$L845,SUMIFS(Assumptions!$P$4:$P$103,Assumptions!$M$4:$M$103,$C845,Assumptions!$N$4:$N$103,$E845,Assumptions!$O$4:$O$103,"LVN"))</f>
        <v/>
      </c>
      <c r="N845" s="32" t="n"/>
      <c r="O845" s="34">
        <f>IF(AND(IF($I847&lt;&gt;"",$I847,$I845)="override",$N845&lt;&gt;""),$N845,SUMIFS(Assumptions!$P$4:$P$103,Assumptions!$M$4:$M$103,$C845,Assumptions!$N$4:$N$103,$E845,Assumptions!$O$4:$O$103,"HVN"))</f>
        <v/>
      </c>
      <c r="P845" s="34">
        <f>(M845+O845)*Assumptions!$S$11</f>
        <v/>
      </c>
      <c r="Q845" s="35">
        <f>$F845*$K845*$P845</f>
        <v/>
      </c>
    </row>
    <row r="846">
      <c r="A846" s="11" t="inlineStr">
        <is>
          <t>UNIT</t>
        </is>
      </c>
      <c r="B846" s="28" t="inlineStr">
        <is>
          <t>HF_WOODS_CROSS</t>
        </is>
      </c>
      <c r="C846" s="28" t="n">
        <v>4</v>
      </c>
      <c r="D846" s="28" t="inlineStr">
        <is>
          <t>NHT</t>
        </is>
      </c>
      <c r="E846" s="28" t="inlineStr">
        <is>
          <t>NHT</t>
        </is>
      </c>
      <c r="F846" s="29" t="n">
        <v>12.5</v>
      </c>
      <c r="G846" s="30">
        <f>IFERROR(IF(INDEX(Effective!$E$3:$R$125,MATCH($B846,Effective!$A$3:$A$125,0),MATCH($D846,Effective!$E$2:$R$2,0))=0,"",INDEX(Effective!$E$3:$R$125,MATCH($B846,Effective!$A$3:$A$125,0),MATCH($D846,Effective!$E$2:$R$2,0))),"")</f>
        <v/>
      </c>
      <c r="H846" s="31" t="n"/>
      <c r="I846" s="17" t="inlineStr">
        <is>
          <t>override</t>
        </is>
      </c>
      <c r="J846" s="32" t="n">
        <v>0.647</v>
      </c>
      <c r="K846" s="33">
        <f>IF(AND(IF($I847&lt;&gt;"",$I847,$I846)="override",$J846&lt;&gt;""),$J846,SUMIFS(Assumptions!$K$4:$K$8,Assumptions!$J$4:$J$8,$C846))*Assumptions!$S$10*(1-MIN(1,MAX(N($H846),N($H847))))</f>
        <v/>
      </c>
      <c r="L846" s="32" t="n"/>
      <c r="M846" s="34">
        <f>IF(AND(IF($I847&lt;&gt;"",$I847,$I846)="override",$L846&lt;&gt;""),$L846,SUMIFS(Assumptions!$P$4:$P$103,Assumptions!$M$4:$M$103,$C846,Assumptions!$N$4:$N$103,$E846,Assumptions!$O$4:$O$103,"LVN"))</f>
        <v/>
      </c>
      <c r="N846" s="32" t="n"/>
      <c r="O846" s="34">
        <f>IF(AND(IF($I847&lt;&gt;"",$I847,$I846)="override",$N846&lt;&gt;""),$N846,SUMIFS(Assumptions!$P$4:$P$103,Assumptions!$M$4:$M$103,$C846,Assumptions!$N$4:$N$103,$E846,Assumptions!$O$4:$O$103,"HVN"))</f>
        <v/>
      </c>
      <c r="P846" s="34">
        <f>(M846+O846)*Assumptions!$S$11</f>
        <v/>
      </c>
      <c r="Q846" s="35">
        <f>$F846*$K846*$P846</f>
        <v/>
      </c>
    </row>
    <row r="847">
      <c r="A847" s="24" t="inlineStr">
        <is>
          <t>TOTAL</t>
        </is>
      </c>
      <c r="B847" s="36" t="inlineStr">
        <is>
          <t>HF_WOODS_CROSS</t>
        </is>
      </c>
      <c r="C847" s="36" t="n">
        <v>4</v>
      </c>
      <c r="D847" s="36" t="inlineStr">
        <is>
          <t>NET NAPHTHA</t>
        </is>
      </c>
      <c r="H847" s="31" t="n"/>
      <c r="I847" s="17" t="n"/>
      <c r="Q847" s="37">
        <f>SUM(Q840:Q846)</f>
        <v/>
      </c>
    </row>
    <row r="849" ht="20" customHeight="1">
      <c r="A849" s="8">
        <f>"  Big West Oil Co North Slaterville Canal  [BIG_NORTH_SLATERVILLE_CANAL]   —   Flying J   —   PADD 4   —   crude "&amp;TEXT(SUMIFS(Data!$G$3:$G$125,Data!$A$3:$A$125,"BIG_NORTH_SLATERVILLE_CANAL"),"#,##0")&amp;" kbd"</f>
        <v/>
      </c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</row>
    <row r="850">
      <c r="A850" s="11" t="inlineStr">
        <is>
          <t>UNIT</t>
        </is>
      </c>
      <c r="B850" s="28" t="inlineStr">
        <is>
          <t>BIG_NORTH_SLATERVILLE_CANAL</t>
        </is>
      </c>
      <c r="C850" s="28" t="n">
        <v>4</v>
      </c>
      <c r="D850" s="28" t="inlineStr">
        <is>
          <t>CDU</t>
        </is>
      </c>
      <c r="E850" s="28" t="inlineStr">
        <is>
          <t>CDU</t>
        </is>
      </c>
      <c r="F850" s="29" t="n">
        <v>33</v>
      </c>
      <c r="G850" s="30">
        <f>IFERROR(IF(INDEX(Effective!$E$3:$R$125,MATCH($B850,Effective!$A$3:$A$125,0),MATCH($D850,Effective!$E$2:$R$2,0))=0,"",INDEX(Effective!$E$3:$R$125,MATCH($B850,Effective!$A$3:$A$125,0),MATCH($D850,Effective!$E$2:$R$2,0))),"")</f>
        <v/>
      </c>
      <c r="H850" s="31" t="n"/>
      <c r="I850" s="17" t="inlineStr">
        <is>
          <t>override</t>
        </is>
      </c>
      <c r="J850" s="32" t="n">
        <v>0.9389999999999999</v>
      </c>
      <c r="K850" s="33">
        <f>IF(AND(IF($I856&lt;&gt;"",$I856,$I850)="override",$J850&lt;&gt;""),$J850,SUMIFS(Assumptions!$K$4:$K$8,Assumptions!$J$4:$J$8,$C850))*Assumptions!$S$10*(1-MIN(1,MAX(N($H850),N($H856))))</f>
        <v/>
      </c>
      <c r="L850" s="32" t="n"/>
      <c r="M850" s="34">
        <f>IF(AND(IF($I856&lt;&gt;"",$I856,$I850)="override",$L850&lt;&gt;""),$L850,SUMIFS(Assumptions!$P$4:$P$103,Assumptions!$M$4:$M$103,$C850,Assumptions!$N$4:$N$103,$E850,Assumptions!$O$4:$O$103,"LVN"))</f>
        <v/>
      </c>
      <c r="N850" s="32" t="n"/>
      <c r="O850" s="34">
        <f>IF(AND(IF($I856&lt;&gt;"",$I856,$I850)="override",$N850&lt;&gt;""),$N850,SUMIFS(Assumptions!$P$4:$P$103,Assumptions!$M$4:$M$103,$C850,Assumptions!$N$4:$N$103,$E850,Assumptions!$O$4:$O$103,"HVN"))</f>
        <v/>
      </c>
      <c r="P850" s="34">
        <f>(M850+O850)*Assumptions!$S$11</f>
        <v/>
      </c>
      <c r="Q850" s="35">
        <f>$F850*$K850*$P850</f>
        <v/>
      </c>
    </row>
    <row r="851">
      <c r="A851" s="11" t="inlineStr">
        <is>
          <t>UNIT</t>
        </is>
      </c>
      <c r="B851" s="28" t="inlineStr">
        <is>
          <t>BIG_NORTH_SLATERVILLE_CANAL</t>
        </is>
      </c>
      <c r="C851" s="28" t="n">
        <v>4</v>
      </c>
      <c r="D851" s="28" t="inlineStr">
        <is>
          <t>FCC</t>
        </is>
      </c>
      <c r="E851" s="28" t="inlineStr">
        <is>
          <t>FCC</t>
        </is>
      </c>
      <c r="F851" s="29" t="n">
        <v>12.5</v>
      </c>
      <c r="G851" s="30">
        <f>IFERROR(IF(INDEX(Effective!$E$3:$R$125,MATCH($B851,Effective!$A$3:$A$125,0),MATCH($D851,Effective!$E$2:$R$2,0))=0,"",INDEX(Effective!$E$3:$R$125,MATCH($B851,Effective!$A$3:$A$125,0),MATCH($D851,Effective!$E$2:$R$2,0))),"")</f>
        <v/>
      </c>
      <c r="H851" s="31" t="n"/>
      <c r="I851" s="17" t="inlineStr">
        <is>
          <t>override</t>
        </is>
      </c>
      <c r="J851" s="32" t="n">
        <v>0.982</v>
      </c>
      <c r="K851" s="33">
        <f>IF(AND(IF($I856&lt;&gt;"",$I856,$I851)="override",$J851&lt;&gt;""),$J851,SUMIFS(Assumptions!$K$4:$K$8,Assumptions!$J$4:$J$8,$C851))*Assumptions!$S$10*(1-MIN(1,MAX(N($H851),N($H856))))</f>
        <v/>
      </c>
      <c r="L851" s="32" t="n"/>
      <c r="M851" s="34">
        <f>IF(AND(IF($I856&lt;&gt;"",$I856,$I851)="override",$L851&lt;&gt;""),$L851,SUMIFS(Assumptions!$P$4:$P$103,Assumptions!$M$4:$M$103,$C851,Assumptions!$N$4:$N$103,$E851,Assumptions!$O$4:$O$103,"LVN"))</f>
        <v/>
      </c>
      <c r="N851" s="32" t="n"/>
      <c r="O851" s="34">
        <f>IF(AND(IF($I856&lt;&gt;"",$I856,$I851)="override",$N851&lt;&gt;""),$N851,SUMIFS(Assumptions!$P$4:$P$103,Assumptions!$M$4:$M$103,$C851,Assumptions!$N$4:$N$103,$E851,Assumptions!$O$4:$O$103,"HVN"))</f>
        <v/>
      </c>
      <c r="P851" s="34">
        <f>(M851+O851)*Assumptions!$S$11</f>
        <v/>
      </c>
      <c r="Q851" s="35">
        <f>$F851*$K851*$P851</f>
        <v/>
      </c>
    </row>
    <row r="852">
      <c r="A852" s="11" t="inlineStr">
        <is>
          <t>UNIT</t>
        </is>
      </c>
      <c r="B852" s="28" t="inlineStr">
        <is>
          <t>BIG_NORTH_SLATERVILLE_CANAL</t>
        </is>
      </c>
      <c r="C852" s="28" t="n">
        <v>4</v>
      </c>
      <c r="D852" s="28" t="inlineStr">
        <is>
          <t>REF</t>
        </is>
      </c>
      <c r="E852" s="28" t="inlineStr">
        <is>
          <t>REFORMER</t>
        </is>
      </c>
      <c r="F852" s="29" t="n">
        <v>8.5</v>
      </c>
      <c r="G852" s="30">
        <f>IFERROR(IF(INDEX(Effective!$E$3:$R$125,MATCH($B852,Effective!$A$3:$A$125,0),MATCH($D852,Effective!$E$2:$R$2,0))=0,"",INDEX(Effective!$E$3:$R$125,MATCH($B852,Effective!$A$3:$A$125,0),MATCH($D852,Effective!$E$2:$R$2,0))),"")</f>
        <v/>
      </c>
      <c r="H852" s="31" t="n"/>
      <c r="I852" s="17" t="inlineStr">
        <is>
          <t>override</t>
        </is>
      </c>
      <c r="J852" s="32" t="n"/>
      <c r="K852" s="33">
        <f>IF(AND(IF($I856&lt;&gt;"",$I856,$I852)="override",$J852&lt;&gt;""),$J852,SUMIFS(Assumptions!$K$4:$K$8,Assumptions!$J$4:$J$8,$C852))*Assumptions!$S$10*(1-MIN(1,MAX(N($H852),N($H856))))</f>
        <v/>
      </c>
      <c r="L852" s="32" t="n"/>
      <c r="M852" s="34">
        <f>IF(AND(IF($I856&lt;&gt;"",$I856,$I852)="override",$L852&lt;&gt;""),$L852,SUMIFS(Assumptions!$P$4:$P$103,Assumptions!$M$4:$M$103,$C852,Assumptions!$N$4:$N$103,$E852,Assumptions!$O$4:$O$103,"LVN"))</f>
        <v/>
      </c>
      <c r="N852" s="32" t="n"/>
      <c r="O852" s="34">
        <f>IF(AND(IF($I856&lt;&gt;"",$I856,$I852)="override",$N852&lt;&gt;""),$N852,SUMIFS(Assumptions!$P$4:$P$103,Assumptions!$M$4:$M$103,$C852,Assumptions!$N$4:$N$103,$E852,Assumptions!$O$4:$O$103,"HVN"))</f>
        <v/>
      </c>
      <c r="P852" s="34">
        <f>(M852+O852)*Assumptions!$S$11</f>
        <v/>
      </c>
      <c r="Q852" s="35">
        <f>$F852*$K852*$P852</f>
        <v/>
      </c>
    </row>
    <row r="853">
      <c r="A853" s="11" t="inlineStr">
        <is>
          <t>UNIT</t>
        </is>
      </c>
      <c r="B853" s="28" t="inlineStr">
        <is>
          <t>BIG_NORTH_SLATERVILLE_CANAL</t>
        </is>
      </c>
      <c r="C853" s="28" t="n">
        <v>4</v>
      </c>
      <c r="D853" s="28" t="inlineStr">
        <is>
          <t>ISOM</t>
        </is>
      </c>
      <c r="E853" s="28" t="inlineStr">
        <is>
          <t>ISOM</t>
        </is>
      </c>
      <c r="F853" s="29" t="n">
        <v>3</v>
      </c>
      <c r="G853" s="30">
        <f>IFERROR(IF(INDEX(Effective!$E$3:$R$125,MATCH($B853,Effective!$A$3:$A$125,0),MATCH($D853,Effective!$E$2:$R$2,0))=0,"",INDEX(Effective!$E$3:$R$125,MATCH($B853,Effective!$A$3:$A$125,0),MATCH($D853,Effective!$E$2:$R$2,0))),"")</f>
        <v/>
      </c>
      <c r="H853" s="31" t="n"/>
      <c r="I853" s="17" t="inlineStr">
        <is>
          <t>override</t>
        </is>
      </c>
      <c r="J853" s="32" t="n">
        <v>0.742</v>
      </c>
      <c r="K853" s="33">
        <f>IF(AND(IF($I856&lt;&gt;"",$I856,$I853)="override",$J853&lt;&gt;""),$J853,SUMIFS(Assumptions!$K$4:$K$8,Assumptions!$J$4:$J$8,$C853))*Assumptions!$S$10*(1-MIN(1,MAX(N($H853),N($H856))))</f>
        <v/>
      </c>
      <c r="L853" s="32" t="n"/>
      <c r="M853" s="34">
        <f>IF(AND(IF($I856&lt;&gt;"",$I856,$I853)="override",$L853&lt;&gt;""),$L853,SUMIFS(Assumptions!$P$4:$P$103,Assumptions!$M$4:$M$103,$C853,Assumptions!$N$4:$N$103,$E853,Assumptions!$O$4:$O$103,"LVN"))</f>
        <v/>
      </c>
      <c r="N853" s="32" t="n"/>
      <c r="O853" s="34">
        <f>IF(AND(IF($I856&lt;&gt;"",$I856,$I853)="override",$N853&lt;&gt;""),$N853,SUMIFS(Assumptions!$P$4:$P$103,Assumptions!$M$4:$M$103,$C853,Assumptions!$N$4:$N$103,$E853,Assumptions!$O$4:$O$103,"HVN"))</f>
        <v/>
      </c>
      <c r="P853" s="34">
        <f>(M853+O853)*Assumptions!$S$11</f>
        <v/>
      </c>
      <c r="Q853" s="35">
        <f>$F853*$K853*$P853</f>
        <v/>
      </c>
    </row>
    <row r="854">
      <c r="A854" s="11" t="inlineStr">
        <is>
          <t>UNIT</t>
        </is>
      </c>
      <c r="B854" s="28" t="inlineStr">
        <is>
          <t>BIG_NORTH_SLATERVILLE_CANAL</t>
        </is>
      </c>
      <c r="C854" s="28" t="n">
        <v>4</v>
      </c>
      <c r="D854" s="28" t="inlineStr">
        <is>
          <t>ALKY</t>
        </is>
      </c>
      <c r="E854" s="28" t="inlineStr">
        <is>
          <t>ALKY</t>
        </is>
      </c>
      <c r="F854" s="29" t="n">
        <v>3.1</v>
      </c>
      <c r="G854" s="30">
        <f>IFERROR(IF(INDEX(Effective!$E$3:$R$125,MATCH($B854,Effective!$A$3:$A$125,0),MATCH($D854,Effective!$E$2:$R$2,0))=0,"",INDEX(Effective!$E$3:$R$125,MATCH($B854,Effective!$A$3:$A$125,0),MATCH($D854,Effective!$E$2:$R$2,0))),"")</f>
        <v/>
      </c>
      <c r="H854" s="31" t="n"/>
      <c r="I854" s="17" t="inlineStr">
        <is>
          <t>override</t>
        </is>
      </c>
      <c r="J854" s="32" t="n">
        <v>0.866</v>
      </c>
      <c r="K854" s="33">
        <f>IF(AND(IF($I856&lt;&gt;"",$I856,$I854)="override",$J854&lt;&gt;""),$J854,SUMIFS(Assumptions!$K$4:$K$8,Assumptions!$J$4:$J$8,$C854))*Assumptions!$S$10*(1-MIN(1,MAX(N($H854),N($H856))))</f>
        <v/>
      </c>
      <c r="L854" s="32" t="n"/>
      <c r="M854" s="34">
        <f>IF(AND(IF($I856&lt;&gt;"",$I856,$I854)="override",$L854&lt;&gt;""),$L854,SUMIFS(Assumptions!$P$4:$P$103,Assumptions!$M$4:$M$103,$C854,Assumptions!$N$4:$N$103,$E854,Assumptions!$O$4:$O$103,"LVN"))</f>
        <v/>
      </c>
      <c r="N854" s="32" t="n"/>
      <c r="O854" s="34">
        <f>IF(AND(IF($I856&lt;&gt;"",$I856,$I854)="override",$N854&lt;&gt;""),$N854,SUMIFS(Assumptions!$P$4:$P$103,Assumptions!$M$4:$M$103,$C854,Assumptions!$N$4:$N$103,$E854,Assumptions!$O$4:$O$103,"HVN"))</f>
        <v/>
      </c>
      <c r="P854" s="34">
        <f>(M854+O854)*Assumptions!$S$11</f>
        <v/>
      </c>
      <c r="Q854" s="35">
        <f>$F854*$K854*$P854</f>
        <v/>
      </c>
    </row>
    <row r="855">
      <c r="A855" s="11" t="inlineStr">
        <is>
          <t>UNIT</t>
        </is>
      </c>
      <c r="B855" s="28" t="inlineStr">
        <is>
          <t>BIG_NORTH_SLATERVILLE_CANAL</t>
        </is>
      </c>
      <c r="C855" s="28" t="n">
        <v>4</v>
      </c>
      <c r="D855" s="28" t="inlineStr">
        <is>
          <t>NHT</t>
        </is>
      </c>
      <c r="E855" s="28" t="inlineStr">
        <is>
          <t>NHT</t>
        </is>
      </c>
      <c r="F855" s="29" t="n">
        <v>11.8</v>
      </c>
      <c r="G855" s="30">
        <f>IFERROR(IF(INDEX(Effective!$E$3:$R$125,MATCH($B855,Effective!$A$3:$A$125,0),MATCH($D855,Effective!$E$2:$R$2,0))=0,"",INDEX(Effective!$E$3:$R$125,MATCH($B855,Effective!$A$3:$A$125,0),MATCH($D855,Effective!$E$2:$R$2,0))),"")</f>
        <v/>
      </c>
      <c r="H855" s="31" t="n"/>
      <c r="I855" s="17" t="inlineStr">
        <is>
          <t>override</t>
        </is>
      </c>
      <c r="J855" s="32" t="n">
        <v>0.618</v>
      </c>
      <c r="K855" s="33">
        <f>IF(AND(IF($I856&lt;&gt;"",$I856,$I855)="override",$J855&lt;&gt;""),$J855,SUMIFS(Assumptions!$K$4:$K$8,Assumptions!$J$4:$J$8,$C855))*Assumptions!$S$10*(1-MIN(1,MAX(N($H855),N($H856))))</f>
        <v/>
      </c>
      <c r="L855" s="32" t="n"/>
      <c r="M855" s="34">
        <f>IF(AND(IF($I856&lt;&gt;"",$I856,$I855)="override",$L855&lt;&gt;""),$L855,SUMIFS(Assumptions!$P$4:$P$103,Assumptions!$M$4:$M$103,$C855,Assumptions!$N$4:$N$103,$E855,Assumptions!$O$4:$O$103,"LVN"))</f>
        <v/>
      </c>
      <c r="N855" s="32" t="n"/>
      <c r="O855" s="34">
        <f>IF(AND(IF($I856&lt;&gt;"",$I856,$I855)="override",$N855&lt;&gt;""),$N855,SUMIFS(Assumptions!$P$4:$P$103,Assumptions!$M$4:$M$103,$C855,Assumptions!$N$4:$N$103,$E855,Assumptions!$O$4:$O$103,"HVN"))</f>
        <v/>
      </c>
      <c r="P855" s="34">
        <f>(M855+O855)*Assumptions!$S$11</f>
        <v/>
      </c>
      <c r="Q855" s="35">
        <f>$F855*$K855*$P855</f>
        <v/>
      </c>
    </row>
    <row r="856">
      <c r="A856" s="24" t="inlineStr">
        <is>
          <t>TOTAL</t>
        </is>
      </c>
      <c r="B856" s="36" t="inlineStr">
        <is>
          <t>BIG_NORTH_SLATERVILLE_CANAL</t>
        </is>
      </c>
      <c r="C856" s="36" t="n">
        <v>4</v>
      </c>
      <c r="D856" s="36" t="inlineStr">
        <is>
          <t>NET NAPHTHA</t>
        </is>
      </c>
      <c r="H856" s="31" t="n"/>
      <c r="I856" s="17" t="n"/>
      <c r="Q856" s="37">
        <f>SUM(Q850:Q855)</f>
        <v/>
      </c>
    </row>
    <row r="858" ht="20" customHeight="1">
      <c r="A858" s="8">
        <f>"  HF Sinclair Casper  [HF_CASPER]   —   HF Sinclair   —   PADD 4   —   crude "&amp;TEXT(SUMIFS(Data!$G$3:$G$125,Data!$A$3:$A$125,"HF_CASPER"),"#,##0")&amp;" kbd"</f>
        <v/>
      </c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</row>
    <row r="859">
      <c r="A859" s="11" t="inlineStr">
        <is>
          <t>UNIT</t>
        </is>
      </c>
      <c r="B859" s="28" t="inlineStr">
        <is>
          <t>HF_CASPER</t>
        </is>
      </c>
      <c r="C859" s="28" t="n">
        <v>4</v>
      </c>
      <c r="D859" s="28" t="inlineStr">
        <is>
          <t>CDU</t>
        </is>
      </c>
      <c r="E859" s="28" t="inlineStr">
        <is>
          <t>CDU</t>
        </is>
      </c>
      <c r="F859" s="29" t="n">
        <v>30</v>
      </c>
      <c r="G859" s="30">
        <f>IFERROR(IF(INDEX(Effective!$E$3:$R$125,MATCH($B859,Effective!$A$3:$A$125,0),MATCH($D859,Effective!$E$2:$R$2,0))=0,"",INDEX(Effective!$E$3:$R$125,MATCH($B859,Effective!$A$3:$A$125,0),MATCH($D859,Effective!$E$2:$R$2,0))),"")</f>
        <v/>
      </c>
      <c r="H859" s="31" t="n"/>
      <c r="I859" s="17" t="inlineStr">
        <is>
          <t>override</t>
        </is>
      </c>
      <c r="J859" s="32" t="n"/>
      <c r="K859" s="33">
        <f>IF(AND(IF($I863&lt;&gt;"",$I863,$I859)="override",$J859&lt;&gt;""),$J859,SUMIFS(Assumptions!$K$4:$K$8,Assumptions!$J$4:$J$8,$C859))*Assumptions!$S$10*(1-MIN(1,MAX(N($H859),N($H863))))</f>
        <v/>
      </c>
      <c r="L859" s="32" t="n"/>
      <c r="M859" s="34">
        <f>IF(AND(IF($I863&lt;&gt;"",$I863,$I859)="override",$L859&lt;&gt;""),$L859,SUMIFS(Assumptions!$P$4:$P$103,Assumptions!$M$4:$M$103,$C859,Assumptions!$N$4:$N$103,$E859,Assumptions!$O$4:$O$103,"LVN"))</f>
        <v/>
      </c>
      <c r="N859" s="32" t="n"/>
      <c r="O859" s="34">
        <f>IF(AND(IF($I863&lt;&gt;"",$I863,$I859)="override",$N859&lt;&gt;""),$N859,SUMIFS(Assumptions!$P$4:$P$103,Assumptions!$M$4:$M$103,$C859,Assumptions!$N$4:$N$103,$E859,Assumptions!$O$4:$O$103,"HVN"))</f>
        <v/>
      </c>
      <c r="P859" s="34">
        <f>(M859+O859)*Assumptions!$S$11</f>
        <v/>
      </c>
      <c r="Q859" s="35">
        <f>$F859*$K859*$P859</f>
        <v/>
      </c>
    </row>
    <row r="860">
      <c r="A860" s="11" t="inlineStr">
        <is>
          <t>UNIT</t>
        </is>
      </c>
      <c r="B860" s="28" t="inlineStr">
        <is>
          <t>HF_CASPER</t>
        </is>
      </c>
      <c r="C860" s="28" t="n">
        <v>4</v>
      </c>
      <c r="D860" s="28" t="inlineStr">
        <is>
          <t>FCC</t>
        </is>
      </c>
      <c r="E860" s="28" t="inlineStr">
        <is>
          <t>FCC</t>
        </is>
      </c>
      <c r="F860" s="29" t="n">
        <v>10.5</v>
      </c>
      <c r="G860" s="30">
        <f>IFERROR(IF(INDEX(Effective!$E$3:$R$125,MATCH($B860,Effective!$A$3:$A$125,0),MATCH($D860,Effective!$E$2:$R$2,0))=0,"",INDEX(Effective!$E$3:$R$125,MATCH($B860,Effective!$A$3:$A$125,0),MATCH($D860,Effective!$E$2:$R$2,0))),"")</f>
        <v/>
      </c>
      <c r="H860" s="31" t="n"/>
      <c r="I860" s="17" t="inlineStr">
        <is>
          <t>override</t>
        </is>
      </c>
      <c r="J860" s="32" t="n"/>
      <c r="K860" s="33">
        <f>IF(AND(IF($I863&lt;&gt;"",$I863,$I860)="override",$J860&lt;&gt;""),$J860,SUMIFS(Assumptions!$K$4:$K$8,Assumptions!$J$4:$J$8,$C860))*Assumptions!$S$10*(1-MIN(1,MAX(N($H860),N($H863))))</f>
        <v/>
      </c>
      <c r="L860" s="32" t="n"/>
      <c r="M860" s="34">
        <f>IF(AND(IF($I863&lt;&gt;"",$I863,$I860)="override",$L860&lt;&gt;""),$L860,SUMIFS(Assumptions!$P$4:$P$103,Assumptions!$M$4:$M$103,$C860,Assumptions!$N$4:$N$103,$E860,Assumptions!$O$4:$O$103,"LVN"))</f>
        <v/>
      </c>
      <c r="N860" s="32" t="n"/>
      <c r="O860" s="34">
        <f>IF(AND(IF($I863&lt;&gt;"",$I863,$I860)="override",$N860&lt;&gt;""),$N860,SUMIFS(Assumptions!$P$4:$P$103,Assumptions!$M$4:$M$103,$C860,Assumptions!$N$4:$N$103,$E860,Assumptions!$O$4:$O$103,"HVN"))</f>
        <v/>
      </c>
      <c r="P860" s="34">
        <f>(M860+O860)*Assumptions!$S$11</f>
        <v/>
      </c>
      <c r="Q860" s="35">
        <f>$F860*$K860*$P860</f>
        <v/>
      </c>
    </row>
    <row r="861">
      <c r="A861" s="11" t="inlineStr">
        <is>
          <t>UNIT</t>
        </is>
      </c>
      <c r="B861" s="28" t="inlineStr">
        <is>
          <t>HF_CASPER</t>
        </is>
      </c>
      <c r="C861" s="28" t="n">
        <v>4</v>
      </c>
      <c r="D861" s="28" t="inlineStr">
        <is>
          <t>CCR</t>
        </is>
      </c>
      <c r="E861" s="28" t="inlineStr">
        <is>
          <t>REFORMER</t>
        </is>
      </c>
      <c r="F861" s="29" t="n">
        <v>5</v>
      </c>
      <c r="G861" s="30">
        <f>IFERROR(IF(INDEX(Effective!$E$3:$R$125,MATCH($B861,Effective!$A$3:$A$125,0),MATCH($D861,Effective!$E$2:$R$2,0))=0,"",INDEX(Effective!$E$3:$R$125,MATCH($B861,Effective!$A$3:$A$125,0),MATCH($D861,Effective!$E$2:$R$2,0))),"")</f>
        <v/>
      </c>
      <c r="H861" s="31" t="n"/>
      <c r="I861" s="17" t="inlineStr">
        <is>
          <t>override</t>
        </is>
      </c>
      <c r="J861" s="32" t="n"/>
      <c r="K861" s="33">
        <f>IF(AND(IF($I863&lt;&gt;"",$I863,$I861)="override",$J861&lt;&gt;""),$J861,SUMIFS(Assumptions!$K$4:$K$8,Assumptions!$J$4:$J$8,$C861))*Assumptions!$S$10*(1-MIN(1,MAX(N($H861),N($H863))))</f>
        <v/>
      </c>
      <c r="L861" s="32" t="n"/>
      <c r="M861" s="34">
        <f>IF(AND(IF($I863&lt;&gt;"",$I863,$I861)="override",$L861&lt;&gt;""),$L861,SUMIFS(Assumptions!$P$4:$P$103,Assumptions!$M$4:$M$103,$C861,Assumptions!$N$4:$N$103,$E861,Assumptions!$O$4:$O$103,"LVN"))</f>
        <v/>
      </c>
      <c r="N861" s="32" t="n"/>
      <c r="O861" s="34">
        <f>IF(AND(IF($I863&lt;&gt;"",$I863,$I861)="override",$N861&lt;&gt;""),$N861,SUMIFS(Assumptions!$P$4:$P$103,Assumptions!$M$4:$M$103,$C861,Assumptions!$N$4:$N$103,$E861,Assumptions!$O$4:$O$103,"HVN"))</f>
        <v/>
      </c>
      <c r="P861" s="34">
        <f>(M861+O861)*Assumptions!$S$11</f>
        <v/>
      </c>
      <c r="Q861" s="35">
        <f>$F861*$K861*$P861</f>
        <v/>
      </c>
    </row>
    <row r="862">
      <c r="A862" s="11" t="inlineStr">
        <is>
          <t>UNIT</t>
        </is>
      </c>
      <c r="B862" s="28" t="inlineStr">
        <is>
          <t>HF_CASPER</t>
        </is>
      </c>
      <c r="C862" s="28" t="n">
        <v>4</v>
      </c>
      <c r="D862" s="28" t="inlineStr">
        <is>
          <t>NHT</t>
        </is>
      </c>
      <c r="E862" s="28" t="inlineStr">
        <is>
          <t>NHT</t>
        </is>
      </c>
      <c r="F862" s="29" t="n">
        <v>8.199999999999999</v>
      </c>
      <c r="G862" s="30">
        <f>IFERROR(IF(INDEX(Effective!$E$3:$R$125,MATCH($B862,Effective!$A$3:$A$125,0),MATCH($D862,Effective!$E$2:$R$2,0))=0,"",INDEX(Effective!$E$3:$R$125,MATCH($B862,Effective!$A$3:$A$125,0),MATCH($D862,Effective!$E$2:$R$2,0))),"")</f>
        <v/>
      </c>
      <c r="H862" s="31" t="n"/>
      <c r="I862" s="17" t="inlineStr">
        <is>
          <t>override</t>
        </is>
      </c>
      <c r="J862" s="32" t="n"/>
      <c r="K862" s="33">
        <f>IF(AND(IF($I863&lt;&gt;"",$I863,$I862)="override",$J862&lt;&gt;""),$J862,SUMIFS(Assumptions!$K$4:$K$8,Assumptions!$J$4:$J$8,$C862))*Assumptions!$S$10*(1-MIN(1,MAX(N($H862),N($H863))))</f>
        <v/>
      </c>
      <c r="L862" s="32" t="n"/>
      <c r="M862" s="34">
        <f>IF(AND(IF($I863&lt;&gt;"",$I863,$I862)="override",$L862&lt;&gt;""),$L862,SUMIFS(Assumptions!$P$4:$P$103,Assumptions!$M$4:$M$103,$C862,Assumptions!$N$4:$N$103,$E862,Assumptions!$O$4:$O$103,"LVN"))</f>
        <v/>
      </c>
      <c r="N862" s="32" t="n"/>
      <c r="O862" s="34">
        <f>IF(AND(IF($I863&lt;&gt;"",$I863,$I862)="override",$N862&lt;&gt;""),$N862,SUMIFS(Assumptions!$P$4:$P$103,Assumptions!$M$4:$M$103,$C862,Assumptions!$N$4:$N$103,$E862,Assumptions!$O$4:$O$103,"HVN"))</f>
        <v/>
      </c>
      <c r="P862" s="34">
        <f>(M862+O862)*Assumptions!$S$11</f>
        <v/>
      </c>
      <c r="Q862" s="35">
        <f>$F862*$K862*$P862</f>
        <v/>
      </c>
    </row>
    <row r="863">
      <c r="A863" s="24" t="inlineStr">
        <is>
          <t>TOTAL</t>
        </is>
      </c>
      <c r="B863" s="36" t="inlineStr">
        <is>
          <t>HF_CASPER</t>
        </is>
      </c>
      <c r="C863" s="36" t="n">
        <v>4</v>
      </c>
      <c r="D863" s="36" t="inlineStr">
        <is>
          <t>NET NAPHTHA</t>
        </is>
      </c>
      <c r="H863" s="31" t="n"/>
      <c r="I863" s="17" t="n"/>
      <c r="Q863" s="37">
        <f>SUM(Q859:Q862)</f>
        <v/>
      </c>
    </row>
    <row r="865" ht="20" customHeight="1">
      <c r="A865" s="8">
        <f>"  Par Petroleum Newcastle  [PAR_NEWCASTLE]   —   Par Petroleum   —   PADD 4   —   crude "&amp;TEXT(SUMIFS(Data!$G$3:$G$125,Data!$A$3:$A$125,"PAR_NEWCASTLE"),"#,##0")&amp;" kbd"</f>
        <v/>
      </c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</row>
    <row r="866">
      <c r="A866" s="11" t="inlineStr">
        <is>
          <t>UNIT</t>
        </is>
      </c>
      <c r="B866" s="28" t="inlineStr">
        <is>
          <t>PAR_NEWCASTLE</t>
        </is>
      </c>
      <c r="C866" s="28" t="n">
        <v>4</v>
      </c>
      <c r="D866" s="28" t="inlineStr">
        <is>
          <t>CDU</t>
        </is>
      </c>
      <c r="E866" s="28" t="inlineStr">
        <is>
          <t>CDU</t>
        </is>
      </c>
      <c r="F866" s="29" t="n">
        <v>18.5</v>
      </c>
      <c r="G866" s="30">
        <f>IFERROR(IF(INDEX(Effective!$E$3:$R$125,MATCH($B866,Effective!$A$3:$A$125,0),MATCH($D866,Effective!$E$2:$R$2,0))=0,"",INDEX(Effective!$E$3:$R$125,MATCH($B866,Effective!$A$3:$A$125,0),MATCH($D866,Effective!$E$2:$R$2,0))),"")</f>
        <v/>
      </c>
      <c r="H866" s="31" t="n"/>
      <c r="I866" s="17" t="inlineStr">
        <is>
          <t>override</t>
        </is>
      </c>
      <c r="J866" s="32" t="n"/>
      <c r="K866" s="33">
        <f>IF(AND(IF($I872&lt;&gt;"",$I872,$I866)="override",$J866&lt;&gt;""),$J866,SUMIFS(Assumptions!$K$4:$K$8,Assumptions!$J$4:$J$8,$C866))*Assumptions!$S$10*(1-MIN(1,MAX(N($H866),N($H872))))</f>
        <v/>
      </c>
      <c r="L866" s="32" t="n"/>
      <c r="M866" s="34">
        <f>IF(AND(IF($I872&lt;&gt;"",$I872,$I866)="override",$L866&lt;&gt;""),$L866,SUMIFS(Assumptions!$P$4:$P$103,Assumptions!$M$4:$M$103,$C866,Assumptions!$N$4:$N$103,$E866,Assumptions!$O$4:$O$103,"LVN"))</f>
        <v/>
      </c>
      <c r="N866" s="32" t="n"/>
      <c r="O866" s="34">
        <f>IF(AND(IF($I872&lt;&gt;"",$I872,$I866)="override",$N866&lt;&gt;""),$N866,SUMIFS(Assumptions!$P$4:$P$103,Assumptions!$M$4:$M$103,$C866,Assumptions!$N$4:$N$103,$E866,Assumptions!$O$4:$O$103,"HVN"))</f>
        <v/>
      </c>
      <c r="P866" s="34">
        <f>(M866+O866)*Assumptions!$S$11</f>
        <v/>
      </c>
      <c r="Q866" s="35">
        <f>$F866*$K866*$P866</f>
        <v/>
      </c>
    </row>
    <row r="867">
      <c r="A867" s="11" t="inlineStr">
        <is>
          <t>UNIT</t>
        </is>
      </c>
      <c r="B867" s="28" t="inlineStr">
        <is>
          <t>PAR_NEWCASTLE</t>
        </is>
      </c>
      <c r="C867" s="28" t="n">
        <v>4</v>
      </c>
      <c r="D867" s="28" t="inlineStr">
        <is>
          <t>VDU</t>
        </is>
      </c>
      <c r="E867" s="28" t="inlineStr">
        <is>
          <t>VDU</t>
        </is>
      </c>
      <c r="F867" s="29" t="n">
        <v>1.8</v>
      </c>
      <c r="G867" s="30">
        <f>IFERROR(IF(INDEX(Effective!$E$3:$R$125,MATCH($B867,Effective!$A$3:$A$125,0),MATCH($D867,Effective!$E$2:$R$2,0))=0,"",INDEX(Effective!$E$3:$R$125,MATCH($B867,Effective!$A$3:$A$125,0),MATCH($D867,Effective!$E$2:$R$2,0))),"")</f>
        <v/>
      </c>
      <c r="H867" s="31" t="n"/>
      <c r="I867" s="17" t="inlineStr">
        <is>
          <t>override</t>
        </is>
      </c>
      <c r="J867" s="32" t="n"/>
      <c r="K867" s="33">
        <f>IF(AND(IF($I872&lt;&gt;"",$I872,$I867)="override",$J867&lt;&gt;""),$J867,SUMIFS(Assumptions!$K$4:$K$8,Assumptions!$J$4:$J$8,$C867))*Assumptions!$S$10*(1-MIN(1,MAX(N($H867),N($H872))))</f>
        <v/>
      </c>
      <c r="L867" s="32" t="n"/>
      <c r="M867" s="34">
        <f>IF(AND(IF($I872&lt;&gt;"",$I872,$I867)="override",$L867&lt;&gt;""),$L867,SUMIFS(Assumptions!$P$4:$P$103,Assumptions!$M$4:$M$103,$C867,Assumptions!$N$4:$N$103,$E867,Assumptions!$O$4:$O$103,"LVN"))</f>
        <v/>
      </c>
      <c r="N867" s="32" t="n"/>
      <c r="O867" s="34">
        <f>IF(AND(IF($I872&lt;&gt;"",$I872,$I867)="override",$N867&lt;&gt;""),$N867,SUMIFS(Assumptions!$P$4:$P$103,Assumptions!$M$4:$M$103,$C867,Assumptions!$N$4:$N$103,$E867,Assumptions!$O$4:$O$103,"HVN"))</f>
        <v/>
      </c>
      <c r="P867" s="34">
        <f>(M867+O867)*Assumptions!$S$11</f>
        <v/>
      </c>
      <c r="Q867" s="35">
        <f>$F867*$K867*$P867</f>
        <v/>
      </c>
    </row>
    <row r="868">
      <c r="A868" s="11" t="inlineStr">
        <is>
          <t>UNIT</t>
        </is>
      </c>
      <c r="B868" s="28" t="inlineStr">
        <is>
          <t>PAR_NEWCASTLE</t>
        </is>
      </c>
      <c r="C868" s="28" t="n">
        <v>4</v>
      </c>
      <c r="D868" s="28" t="inlineStr">
        <is>
          <t>FCC</t>
        </is>
      </c>
      <c r="E868" s="28" t="inlineStr">
        <is>
          <t>FCC</t>
        </is>
      </c>
      <c r="F868" s="29" t="n">
        <v>7.5</v>
      </c>
      <c r="G868" s="30">
        <f>IFERROR(IF(INDEX(Effective!$E$3:$R$125,MATCH($B868,Effective!$A$3:$A$125,0),MATCH($D868,Effective!$E$2:$R$2,0))=0,"",INDEX(Effective!$E$3:$R$125,MATCH($B868,Effective!$A$3:$A$125,0),MATCH($D868,Effective!$E$2:$R$2,0))),"")</f>
        <v/>
      </c>
      <c r="H868" s="31" t="n"/>
      <c r="I868" s="17" t="inlineStr">
        <is>
          <t>override</t>
        </is>
      </c>
      <c r="J868" s="32" t="n"/>
      <c r="K868" s="33">
        <f>IF(AND(IF($I872&lt;&gt;"",$I872,$I868)="override",$J868&lt;&gt;""),$J868,SUMIFS(Assumptions!$K$4:$K$8,Assumptions!$J$4:$J$8,$C868))*Assumptions!$S$10*(1-MIN(1,MAX(N($H868),N($H872))))</f>
        <v/>
      </c>
      <c r="L868" s="32" t="n"/>
      <c r="M868" s="34">
        <f>IF(AND(IF($I872&lt;&gt;"",$I872,$I868)="override",$L868&lt;&gt;""),$L868,SUMIFS(Assumptions!$P$4:$P$103,Assumptions!$M$4:$M$103,$C868,Assumptions!$N$4:$N$103,$E868,Assumptions!$O$4:$O$103,"LVN"))</f>
        <v/>
      </c>
      <c r="N868" s="32" t="n"/>
      <c r="O868" s="34">
        <f>IF(AND(IF($I872&lt;&gt;"",$I872,$I868)="override",$N868&lt;&gt;""),$N868,SUMIFS(Assumptions!$P$4:$P$103,Assumptions!$M$4:$M$103,$C868,Assumptions!$N$4:$N$103,$E868,Assumptions!$O$4:$O$103,"HVN"))</f>
        <v/>
      </c>
      <c r="P868" s="34">
        <f>(M868+O868)*Assumptions!$S$11</f>
        <v/>
      </c>
      <c r="Q868" s="35">
        <f>$F868*$K868*$P868</f>
        <v/>
      </c>
    </row>
    <row r="869">
      <c r="A869" s="11" t="inlineStr">
        <is>
          <t>UNIT</t>
        </is>
      </c>
      <c r="B869" s="28" t="inlineStr">
        <is>
          <t>PAR_NEWCASTLE</t>
        </is>
      </c>
      <c r="C869" s="28" t="n">
        <v>4</v>
      </c>
      <c r="D869" s="28" t="inlineStr">
        <is>
          <t>REF</t>
        </is>
      </c>
      <c r="E869" s="28" t="inlineStr">
        <is>
          <t>REFORMER</t>
        </is>
      </c>
      <c r="F869" s="29" t="n">
        <v>4</v>
      </c>
      <c r="G869" s="30">
        <f>IFERROR(IF(INDEX(Effective!$E$3:$R$125,MATCH($B869,Effective!$A$3:$A$125,0),MATCH($D869,Effective!$E$2:$R$2,0))=0,"",INDEX(Effective!$E$3:$R$125,MATCH($B869,Effective!$A$3:$A$125,0),MATCH($D869,Effective!$E$2:$R$2,0))),"")</f>
        <v/>
      </c>
      <c r="H869" s="31" t="n"/>
      <c r="I869" s="17" t="inlineStr">
        <is>
          <t>override</t>
        </is>
      </c>
      <c r="J869" s="32" t="n"/>
      <c r="K869" s="33">
        <f>IF(AND(IF($I872&lt;&gt;"",$I872,$I869)="override",$J869&lt;&gt;""),$J869,SUMIFS(Assumptions!$K$4:$K$8,Assumptions!$J$4:$J$8,$C869))*Assumptions!$S$10*(1-MIN(1,MAX(N($H869),N($H872))))</f>
        <v/>
      </c>
      <c r="L869" s="32" t="n"/>
      <c r="M869" s="34">
        <f>IF(AND(IF($I872&lt;&gt;"",$I872,$I869)="override",$L869&lt;&gt;""),$L869,SUMIFS(Assumptions!$P$4:$P$103,Assumptions!$M$4:$M$103,$C869,Assumptions!$N$4:$N$103,$E869,Assumptions!$O$4:$O$103,"LVN"))</f>
        <v/>
      </c>
      <c r="N869" s="32" t="n"/>
      <c r="O869" s="34">
        <f>IF(AND(IF($I872&lt;&gt;"",$I872,$I869)="override",$N869&lt;&gt;""),$N869,SUMIFS(Assumptions!$P$4:$P$103,Assumptions!$M$4:$M$103,$C869,Assumptions!$N$4:$N$103,$E869,Assumptions!$O$4:$O$103,"HVN"))</f>
        <v/>
      </c>
      <c r="P869" s="34">
        <f>(M869+O869)*Assumptions!$S$11</f>
        <v/>
      </c>
      <c r="Q869" s="35">
        <f>$F869*$K869*$P869</f>
        <v/>
      </c>
    </row>
    <row r="870">
      <c r="A870" s="11" t="inlineStr">
        <is>
          <t>UNIT</t>
        </is>
      </c>
      <c r="B870" s="28" t="inlineStr">
        <is>
          <t>PAR_NEWCASTLE</t>
        </is>
      </c>
      <c r="C870" s="28" t="n">
        <v>4</v>
      </c>
      <c r="D870" s="28" t="inlineStr">
        <is>
          <t>ALKY</t>
        </is>
      </c>
      <c r="E870" s="28" t="inlineStr">
        <is>
          <t>ALKY</t>
        </is>
      </c>
      <c r="F870" s="29" t="n">
        <v>1.3</v>
      </c>
      <c r="G870" s="30">
        <f>IFERROR(IF(INDEX(Effective!$E$3:$R$125,MATCH($B870,Effective!$A$3:$A$125,0),MATCH($D870,Effective!$E$2:$R$2,0))=0,"",INDEX(Effective!$E$3:$R$125,MATCH($B870,Effective!$A$3:$A$125,0),MATCH($D870,Effective!$E$2:$R$2,0))),"")</f>
        <v/>
      </c>
      <c r="H870" s="31" t="n"/>
      <c r="I870" s="17" t="inlineStr">
        <is>
          <t>override</t>
        </is>
      </c>
      <c r="J870" s="32" t="n"/>
      <c r="K870" s="33">
        <f>IF(AND(IF($I872&lt;&gt;"",$I872,$I870)="override",$J870&lt;&gt;""),$J870,SUMIFS(Assumptions!$K$4:$K$8,Assumptions!$J$4:$J$8,$C870))*Assumptions!$S$10*(1-MIN(1,MAX(N($H870),N($H872))))</f>
        <v/>
      </c>
      <c r="L870" s="32" t="n"/>
      <c r="M870" s="34">
        <f>IF(AND(IF($I872&lt;&gt;"",$I872,$I870)="override",$L870&lt;&gt;""),$L870,SUMIFS(Assumptions!$P$4:$P$103,Assumptions!$M$4:$M$103,$C870,Assumptions!$N$4:$N$103,$E870,Assumptions!$O$4:$O$103,"LVN"))</f>
        <v/>
      </c>
      <c r="N870" s="32" t="n"/>
      <c r="O870" s="34">
        <f>IF(AND(IF($I872&lt;&gt;"",$I872,$I870)="override",$N870&lt;&gt;""),$N870,SUMIFS(Assumptions!$P$4:$P$103,Assumptions!$M$4:$M$103,$C870,Assumptions!$N$4:$N$103,$E870,Assumptions!$O$4:$O$103,"HVN"))</f>
        <v/>
      </c>
      <c r="P870" s="34">
        <f>(M870+O870)*Assumptions!$S$11</f>
        <v/>
      </c>
      <c r="Q870" s="35">
        <f>$F870*$K870*$P870</f>
        <v/>
      </c>
    </row>
    <row r="871">
      <c r="A871" s="11" t="inlineStr">
        <is>
          <t>UNIT</t>
        </is>
      </c>
      <c r="B871" s="28" t="inlineStr">
        <is>
          <t>PAR_NEWCASTLE</t>
        </is>
      </c>
      <c r="C871" s="28" t="n">
        <v>4</v>
      </c>
      <c r="D871" s="28" t="inlineStr">
        <is>
          <t>NHT</t>
        </is>
      </c>
      <c r="E871" s="28" t="inlineStr">
        <is>
          <t>NHT</t>
        </is>
      </c>
      <c r="F871" s="29" t="n">
        <v>4</v>
      </c>
      <c r="G871" s="30">
        <f>IFERROR(IF(INDEX(Effective!$E$3:$R$125,MATCH($B871,Effective!$A$3:$A$125,0),MATCH($D871,Effective!$E$2:$R$2,0))=0,"",INDEX(Effective!$E$3:$R$125,MATCH($B871,Effective!$A$3:$A$125,0),MATCH($D871,Effective!$E$2:$R$2,0))),"")</f>
        <v/>
      </c>
      <c r="H871" s="31" t="n"/>
      <c r="I871" s="17" t="inlineStr">
        <is>
          <t>override</t>
        </is>
      </c>
      <c r="J871" s="32" t="n"/>
      <c r="K871" s="33">
        <f>IF(AND(IF($I872&lt;&gt;"",$I872,$I871)="override",$J871&lt;&gt;""),$J871,SUMIFS(Assumptions!$K$4:$K$8,Assumptions!$J$4:$J$8,$C871))*Assumptions!$S$10*(1-MIN(1,MAX(N($H871),N($H872))))</f>
        <v/>
      </c>
      <c r="L871" s="32" t="n"/>
      <c r="M871" s="34">
        <f>IF(AND(IF($I872&lt;&gt;"",$I872,$I871)="override",$L871&lt;&gt;""),$L871,SUMIFS(Assumptions!$P$4:$P$103,Assumptions!$M$4:$M$103,$C871,Assumptions!$N$4:$N$103,$E871,Assumptions!$O$4:$O$103,"LVN"))</f>
        <v/>
      </c>
      <c r="N871" s="32" t="n"/>
      <c r="O871" s="34">
        <f>IF(AND(IF($I872&lt;&gt;"",$I872,$I871)="override",$N871&lt;&gt;""),$N871,SUMIFS(Assumptions!$P$4:$P$103,Assumptions!$M$4:$M$103,$C871,Assumptions!$N$4:$N$103,$E871,Assumptions!$O$4:$O$103,"HVN"))</f>
        <v/>
      </c>
      <c r="P871" s="34">
        <f>(M871+O871)*Assumptions!$S$11</f>
        <v/>
      </c>
      <c r="Q871" s="35">
        <f>$F871*$K871*$P871</f>
        <v/>
      </c>
    </row>
    <row r="872">
      <c r="A872" s="24" t="inlineStr">
        <is>
          <t>TOTAL</t>
        </is>
      </c>
      <c r="B872" s="36" t="inlineStr">
        <is>
          <t>PAR_NEWCASTLE</t>
        </is>
      </c>
      <c r="C872" s="36" t="n">
        <v>4</v>
      </c>
      <c r="D872" s="36" t="inlineStr">
        <is>
          <t>NET NAPHTHA</t>
        </is>
      </c>
      <c r="H872" s="31" t="n"/>
      <c r="I872" s="17" t="n"/>
      <c r="Q872" s="37">
        <f>SUM(Q866:Q871)</f>
        <v/>
      </c>
    </row>
    <row r="874" ht="20" customHeight="1">
      <c r="A874" s="8">
        <f>"  Montana Refining Co. Great Falls  [MONTANA_GREAT_FALLS]   —   Calumet Lubricants Co.   —   PADD 4   —   crude "&amp;TEXT(SUMIFS(Data!$G$3:$G$125,Data!$A$3:$A$125,"MONTANA_GREAT_FALLS"),"#,##0")&amp;" kbd"</f>
        <v/>
      </c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</row>
    <row r="875">
      <c r="A875" s="11" t="inlineStr">
        <is>
          <t>UNIT</t>
        </is>
      </c>
      <c r="B875" s="28" t="inlineStr">
        <is>
          <t>MONTANA_GREAT_FALLS</t>
        </is>
      </c>
      <c r="C875" s="28" t="n">
        <v>4</v>
      </c>
      <c r="D875" s="28" t="inlineStr">
        <is>
          <t>CDU</t>
        </is>
      </c>
      <c r="E875" s="28" t="inlineStr">
        <is>
          <t>CDU</t>
        </is>
      </c>
      <c r="F875" s="29" t="n">
        <v>27</v>
      </c>
      <c r="G875" s="30">
        <f>IFERROR(IF(INDEX(Effective!$E$3:$R$125,MATCH($B875,Effective!$A$3:$A$125,0),MATCH($D875,Effective!$E$2:$R$2,0))=0,"",INDEX(Effective!$E$3:$R$125,MATCH($B875,Effective!$A$3:$A$125,0),MATCH($D875,Effective!$E$2:$R$2,0))),"")</f>
        <v/>
      </c>
      <c r="H875" s="31" t="n"/>
      <c r="I875" s="17" t="inlineStr">
        <is>
          <t>override</t>
        </is>
      </c>
      <c r="J875" s="32" t="n"/>
      <c r="K875" s="33">
        <f>IF(AND(IF($I882&lt;&gt;"",$I882,$I875)="override",$J875&lt;&gt;""),$J875,SUMIFS(Assumptions!$K$4:$K$8,Assumptions!$J$4:$J$8,$C875))*Assumptions!$S$10*(1-MIN(1,MAX(N($H875),N($H882))))</f>
        <v/>
      </c>
      <c r="L875" s="32" t="n"/>
      <c r="M875" s="34">
        <f>IF(AND(IF($I882&lt;&gt;"",$I882,$I875)="override",$L875&lt;&gt;""),$L875,SUMIFS(Assumptions!$P$4:$P$103,Assumptions!$M$4:$M$103,$C875,Assumptions!$N$4:$N$103,$E875,Assumptions!$O$4:$O$103,"LVN"))</f>
        <v/>
      </c>
      <c r="N875" s="32" t="n"/>
      <c r="O875" s="34">
        <f>IF(AND(IF($I882&lt;&gt;"",$I882,$I875)="override",$N875&lt;&gt;""),$N875,SUMIFS(Assumptions!$P$4:$P$103,Assumptions!$M$4:$M$103,$C875,Assumptions!$N$4:$N$103,$E875,Assumptions!$O$4:$O$103,"HVN"))</f>
        <v/>
      </c>
      <c r="P875" s="34">
        <f>(M875+O875)*Assumptions!$S$11</f>
        <v/>
      </c>
      <c r="Q875" s="35">
        <f>$F875*$K875*$P875</f>
        <v/>
      </c>
    </row>
    <row r="876">
      <c r="A876" s="11" t="inlineStr">
        <is>
          <t>UNIT</t>
        </is>
      </c>
      <c r="B876" s="28" t="inlineStr">
        <is>
          <t>MONTANA_GREAT_FALLS</t>
        </is>
      </c>
      <c r="C876" s="28" t="n">
        <v>4</v>
      </c>
      <c r="D876" s="28" t="inlineStr">
        <is>
          <t>VDU</t>
        </is>
      </c>
      <c r="E876" s="28" t="inlineStr">
        <is>
          <t>VDU</t>
        </is>
      </c>
      <c r="F876" s="29" t="n">
        <v>20</v>
      </c>
      <c r="G876" s="30">
        <f>IFERROR(IF(INDEX(Effective!$E$3:$R$125,MATCH($B876,Effective!$A$3:$A$125,0),MATCH($D876,Effective!$E$2:$R$2,0))=0,"",INDEX(Effective!$E$3:$R$125,MATCH($B876,Effective!$A$3:$A$125,0),MATCH($D876,Effective!$E$2:$R$2,0))),"")</f>
        <v/>
      </c>
      <c r="H876" s="31" t="n"/>
      <c r="I876" s="17" t="inlineStr">
        <is>
          <t>override</t>
        </is>
      </c>
      <c r="J876" s="32" t="n"/>
      <c r="K876" s="33">
        <f>IF(AND(IF($I882&lt;&gt;"",$I882,$I876)="override",$J876&lt;&gt;""),$J876,SUMIFS(Assumptions!$K$4:$K$8,Assumptions!$J$4:$J$8,$C876))*Assumptions!$S$10*(1-MIN(1,MAX(N($H876),N($H882))))</f>
        <v/>
      </c>
      <c r="L876" s="32" t="n"/>
      <c r="M876" s="34">
        <f>IF(AND(IF($I882&lt;&gt;"",$I882,$I876)="override",$L876&lt;&gt;""),$L876,SUMIFS(Assumptions!$P$4:$P$103,Assumptions!$M$4:$M$103,$C876,Assumptions!$N$4:$N$103,$E876,Assumptions!$O$4:$O$103,"LVN"))</f>
        <v/>
      </c>
      <c r="N876" s="32" t="n"/>
      <c r="O876" s="34">
        <f>IF(AND(IF($I882&lt;&gt;"",$I882,$I876)="override",$N876&lt;&gt;""),$N876,SUMIFS(Assumptions!$P$4:$P$103,Assumptions!$M$4:$M$103,$C876,Assumptions!$N$4:$N$103,$E876,Assumptions!$O$4:$O$103,"HVN"))</f>
        <v/>
      </c>
      <c r="P876" s="34">
        <f>(M876+O876)*Assumptions!$S$11</f>
        <v/>
      </c>
      <c r="Q876" s="35">
        <f>$F876*$K876*$P876</f>
        <v/>
      </c>
    </row>
    <row r="877">
      <c r="A877" s="11" t="inlineStr">
        <is>
          <t>UNIT</t>
        </is>
      </c>
      <c r="B877" s="28" t="inlineStr">
        <is>
          <t>MONTANA_GREAT_FALLS</t>
        </is>
      </c>
      <c r="C877" s="28" t="n">
        <v>4</v>
      </c>
      <c r="D877" s="28" t="inlineStr">
        <is>
          <t>FCC</t>
        </is>
      </c>
      <c r="E877" s="28" t="inlineStr">
        <is>
          <t>FCC</t>
        </is>
      </c>
      <c r="F877" s="29" t="n">
        <v>3</v>
      </c>
      <c r="G877" s="30">
        <f>IFERROR(IF(INDEX(Effective!$E$3:$R$125,MATCH($B877,Effective!$A$3:$A$125,0),MATCH($D877,Effective!$E$2:$R$2,0))=0,"",INDEX(Effective!$E$3:$R$125,MATCH($B877,Effective!$A$3:$A$125,0),MATCH($D877,Effective!$E$2:$R$2,0))),"")</f>
        <v/>
      </c>
      <c r="H877" s="31" t="n"/>
      <c r="I877" s="17" t="inlineStr">
        <is>
          <t>override</t>
        </is>
      </c>
      <c r="J877" s="32" t="n"/>
      <c r="K877" s="33">
        <f>IF(AND(IF($I882&lt;&gt;"",$I882,$I877)="override",$J877&lt;&gt;""),$J877,SUMIFS(Assumptions!$K$4:$K$8,Assumptions!$J$4:$J$8,$C877))*Assumptions!$S$10*(1-MIN(1,MAX(N($H877),N($H882))))</f>
        <v/>
      </c>
      <c r="L877" s="32" t="n"/>
      <c r="M877" s="34">
        <f>IF(AND(IF($I882&lt;&gt;"",$I882,$I877)="override",$L877&lt;&gt;""),$L877,SUMIFS(Assumptions!$P$4:$P$103,Assumptions!$M$4:$M$103,$C877,Assumptions!$N$4:$N$103,$E877,Assumptions!$O$4:$O$103,"LVN"))</f>
        <v/>
      </c>
      <c r="N877" s="32" t="n"/>
      <c r="O877" s="34">
        <f>IF(AND(IF($I882&lt;&gt;"",$I882,$I877)="override",$N877&lt;&gt;""),$N877,SUMIFS(Assumptions!$P$4:$P$103,Assumptions!$M$4:$M$103,$C877,Assumptions!$N$4:$N$103,$E877,Assumptions!$O$4:$O$103,"HVN"))</f>
        <v/>
      </c>
      <c r="P877" s="34">
        <f>(M877+O877)*Assumptions!$S$11</f>
        <v/>
      </c>
      <c r="Q877" s="35">
        <f>$F877*$K877*$P877</f>
        <v/>
      </c>
    </row>
    <row r="878">
      <c r="A878" s="11" t="inlineStr">
        <is>
          <t>UNIT</t>
        </is>
      </c>
      <c r="B878" s="28" t="inlineStr">
        <is>
          <t>MONTANA_GREAT_FALLS</t>
        </is>
      </c>
      <c r="C878" s="28" t="n">
        <v>4</v>
      </c>
      <c r="D878" s="28" t="inlineStr">
        <is>
          <t>REF</t>
        </is>
      </c>
      <c r="E878" s="28" t="inlineStr">
        <is>
          <t>REFORMER</t>
        </is>
      </c>
      <c r="F878" s="29" t="n">
        <v>1.5</v>
      </c>
      <c r="G878" s="30">
        <f>IFERROR(IF(INDEX(Effective!$E$3:$R$125,MATCH($B878,Effective!$A$3:$A$125,0),MATCH($D878,Effective!$E$2:$R$2,0))=0,"",INDEX(Effective!$E$3:$R$125,MATCH($B878,Effective!$A$3:$A$125,0),MATCH($D878,Effective!$E$2:$R$2,0))),"")</f>
        <v/>
      </c>
      <c r="H878" s="31" t="n"/>
      <c r="I878" s="17" t="inlineStr">
        <is>
          <t>override</t>
        </is>
      </c>
      <c r="J878" s="32" t="n"/>
      <c r="K878" s="33">
        <f>IF(AND(IF($I882&lt;&gt;"",$I882,$I878)="override",$J878&lt;&gt;""),$J878,SUMIFS(Assumptions!$K$4:$K$8,Assumptions!$J$4:$J$8,$C878))*Assumptions!$S$10*(1-MIN(1,MAX(N($H878),N($H882))))</f>
        <v/>
      </c>
      <c r="L878" s="32" t="n"/>
      <c r="M878" s="34">
        <f>IF(AND(IF($I882&lt;&gt;"",$I882,$I878)="override",$L878&lt;&gt;""),$L878,SUMIFS(Assumptions!$P$4:$P$103,Assumptions!$M$4:$M$103,$C878,Assumptions!$N$4:$N$103,$E878,Assumptions!$O$4:$O$103,"LVN"))</f>
        <v/>
      </c>
      <c r="N878" s="32" t="n"/>
      <c r="O878" s="34">
        <f>IF(AND(IF($I882&lt;&gt;"",$I882,$I878)="override",$N878&lt;&gt;""),$N878,SUMIFS(Assumptions!$P$4:$P$103,Assumptions!$M$4:$M$103,$C878,Assumptions!$N$4:$N$103,$E878,Assumptions!$O$4:$O$103,"HVN"))</f>
        <v/>
      </c>
      <c r="P878" s="34">
        <f>(M878+O878)*Assumptions!$S$11</f>
        <v/>
      </c>
      <c r="Q878" s="35">
        <f>$F878*$K878*$P878</f>
        <v/>
      </c>
    </row>
    <row r="879">
      <c r="A879" s="11" t="inlineStr">
        <is>
          <t>UNIT</t>
        </is>
      </c>
      <c r="B879" s="28" t="inlineStr">
        <is>
          <t>MONTANA_GREAT_FALLS</t>
        </is>
      </c>
      <c r="C879" s="28" t="n">
        <v>4</v>
      </c>
      <c r="D879" s="28" t="inlineStr">
        <is>
          <t>ISOM</t>
        </is>
      </c>
      <c r="E879" s="28" t="inlineStr">
        <is>
          <t>ISOM</t>
        </is>
      </c>
      <c r="F879" s="29" t="n">
        <v>1.5</v>
      </c>
      <c r="G879" s="30">
        <f>IFERROR(IF(INDEX(Effective!$E$3:$R$125,MATCH($B879,Effective!$A$3:$A$125,0),MATCH($D879,Effective!$E$2:$R$2,0))=0,"",INDEX(Effective!$E$3:$R$125,MATCH($B879,Effective!$A$3:$A$125,0),MATCH($D879,Effective!$E$2:$R$2,0))),"")</f>
        <v/>
      </c>
      <c r="H879" s="31" t="n"/>
      <c r="I879" s="17" t="inlineStr">
        <is>
          <t>override</t>
        </is>
      </c>
      <c r="J879" s="32" t="n"/>
      <c r="K879" s="33">
        <f>IF(AND(IF($I882&lt;&gt;"",$I882,$I879)="override",$J879&lt;&gt;""),$J879,SUMIFS(Assumptions!$K$4:$K$8,Assumptions!$J$4:$J$8,$C879))*Assumptions!$S$10*(1-MIN(1,MAX(N($H879),N($H882))))</f>
        <v/>
      </c>
      <c r="L879" s="32" t="n"/>
      <c r="M879" s="34">
        <f>IF(AND(IF($I882&lt;&gt;"",$I882,$I879)="override",$L879&lt;&gt;""),$L879,SUMIFS(Assumptions!$P$4:$P$103,Assumptions!$M$4:$M$103,$C879,Assumptions!$N$4:$N$103,$E879,Assumptions!$O$4:$O$103,"LVN"))</f>
        <v/>
      </c>
      <c r="N879" s="32" t="n"/>
      <c r="O879" s="34">
        <f>IF(AND(IF($I882&lt;&gt;"",$I882,$I879)="override",$N879&lt;&gt;""),$N879,SUMIFS(Assumptions!$P$4:$P$103,Assumptions!$M$4:$M$103,$C879,Assumptions!$N$4:$N$103,$E879,Assumptions!$O$4:$O$103,"HVN"))</f>
        <v/>
      </c>
      <c r="P879" s="34">
        <f>(M879+O879)*Assumptions!$S$11</f>
        <v/>
      </c>
      <c r="Q879" s="35">
        <f>$F879*$K879*$P879</f>
        <v/>
      </c>
    </row>
    <row r="880">
      <c r="A880" s="11" t="inlineStr">
        <is>
          <t>UNIT</t>
        </is>
      </c>
      <c r="B880" s="28" t="inlineStr">
        <is>
          <t>MONTANA_GREAT_FALLS</t>
        </is>
      </c>
      <c r="C880" s="28" t="n">
        <v>4</v>
      </c>
      <c r="D880" s="28" t="inlineStr">
        <is>
          <t>ALKY</t>
        </is>
      </c>
      <c r="E880" s="28" t="inlineStr">
        <is>
          <t>ALKY</t>
        </is>
      </c>
      <c r="F880" s="29" t="n">
        <v>0.8</v>
      </c>
      <c r="G880" s="30">
        <f>IFERROR(IF(INDEX(Effective!$E$3:$R$125,MATCH($B880,Effective!$A$3:$A$125,0),MATCH($D880,Effective!$E$2:$R$2,0))=0,"",INDEX(Effective!$E$3:$R$125,MATCH($B880,Effective!$A$3:$A$125,0),MATCH($D880,Effective!$E$2:$R$2,0))),"")</f>
        <v/>
      </c>
      <c r="H880" s="31" t="n"/>
      <c r="I880" s="17" t="inlineStr">
        <is>
          <t>override</t>
        </is>
      </c>
      <c r="J880" s="32" t="n"/>
      <c r="K880" s="33">
        <f>IF(AND(IF($I882&lt;&gt;"",$I882,$I880)="override",$J880&lt;&gt;""),$J880,SUMIFS(Assumptions!$K$4:$K$8,Assumptions!$J$4:$J$8,$C880))*Assumptions!$S$10*(1-MIN(1,MAX(N($H880),N($H882))))</f>
        <v/>
      </c>
      <c r="L880" s="32" t="n"/>
      <c r="M880" s="34">
        <f>IF(AND(IF($I882&lt;&gt;"",$I882,$I880)="override",$L880&lt;&gt;""),$L880,SUMIFS(Assumptions!$P$4:$P$103,Assumptions!$M$4:$M$103,$C880,Assumptions!$N$4:$N$103,$E880,Assumptions!$O$4:$O$103,"LVN"))</f>
        <v/>
      </c>
      <c r="N880" s="32" t="n"/>
      <c r="O880" s="34">
        <f>IF(AND(IF($I882&lt;&gt;"",$I882,$I880)="override",$N880&lt;&gt;""),$N880,SUMIFS(Assumptions!$P$4:$P$103,Assumptions!$M$4:$M$103,$C880,Assumptions!$N$4:$N$103,$E880,Assumptions!$O$4:$O$103,"HVN"))</f>
        <v/>
      </c>
      <c r="P880" s="34">
        <f>(M880+O880)*Assumptions!$S$11</f>
        <v/>
      </c>
      <c r="Q880" s="35">
        <f>$F880*$K880*$P880</f>
        <v/>
      </c>
    </row>
    <row r="881">
      <c r="A881" s="11" t="inlineStr">
        <is>
          <t>UNIT</t>
        </is>
      </c>
      <c r="B881" s="28" t="inlineStr">
        <is>
          <t>MONTANA_GREAT_FALLS</t>
        </is>
      </c>
      <c r="C881" s="28" t="n">
        <v>4</v>
      </c>
      <c r="D881" s="28" t="inlineStr">
        <is>
          <t>NHT</t>
        </is>
      </c>
      <c r="E881" s="28" t="inlineStr">
        <is>
          <t>NHT</t>
        </is>
      </c>
      <c r="F881" s="29" t="n">
        <v>2.75</v>
      </c>
      <c r="G881" s="30">
        <f>IFERROR(IF(INDEX(Effective!$E$3:$R$125,MATCH($B881,Effective!$A$3:$A$125,0),MATCH($D881,Effective!$E$2:$R$2,0))=0,"",INDEX(Effective!$E$3:$R$125,MATCH($B881,Effective!$A$3:$A$125,0),MATCH($D881,Effective!$E$2:$R$2,0))),"")</f>
        <v/>
      </c>
      <c r="H881" s="31" t="n"/>
      <c r="I881" s="17" t="inlineStr">
        <is>
          <t>override</t>
        </is>
      </c>
      <c r="J881" s="32" t="n"/>
      <c r="K881" s="33">
        <f>IF(AND(IF($I882&lt;&gt;"",$I882,$I881)="override",$J881&lt;&gt;""),$J881,SUMIFS(Assumptions!$K$4:$K$8,Assumptions!$J$4:$J$8,$C881))*Assumptions!$S$10*(1-MIN(1,MAX(N($H881),N($H882))))</f>
        <v/>
      </c>
      <c r="L881" s="32" t="n"/>
      <c r="M881" s="34">
        <f>IF(AND(IF($I882&lt;&gt;"",$I882,$I881)="override",$L881&lt;&gt;""),$L881,SUMIFS(Assumptions!$P$4:$P$103,Assumptions!$M$4:$M$103,$C881,Assumptions!$N$4:$N$103,$E881,Assumptions!$O$4:$O$103,"LVN"))</f>
        <v/>
      </c>
      <c r="N881" s="32" t="n"/>
      <c r="O881" s="34">
        <f>IF(AND(IF($I882&lt;&gt;"",$I882,$I881)="override",$N881&lt;&gt;""),$N881,SUMIFS(Assumptions!$P$4:$P$103,Assumptions!$M$4:$M$103,$C881,Assumptions!$N$4:$N$103,$E881,Assumptions!$O$4:$O$103,"HVN"))</f>
        <v/>
      </c>
      <c r="P881" s="34">
        <f>(M881+O881)*Assumptions!$S$11</f>
        <v/>
      </c>
      <c r="Q881" s="35">
        <f>$F881*$K881*$P881</f>
        <v/>
      </c>
    </row>
    <row r="882">
      <c r="A882" s="24" t="inlineStr">
        <is>
          <t>TOTAL</t>
        </is>
      </c>
      <c r="B882" s="36" t="inlineStr">
        <is>
          <t>MONTANA_GREAT_FALLS</t>
        </is>
      </c>
      <c r="C882" s="36" t="n">
        <v>4</v>
      </c>
      <c r="D882" s="36" t="inlineStr">
        <is>
          <t>NET NAPHTHA</t>
        </is>
      </c>
      <c r="H882" s="31" t="n"/>
      <c r="I882" s="17" t="n"/>
      <c r="Q882" s="37">
        <f>SUM(Q875:Q881)</f>
        <v/>
      </c>
    </row>
    <row r="884" ht="20" customHeight="1">
      <c r="A884" s="8">
        <f>"  Silver Eagle Refining Woods Cross  [SILVER_WOODS_CROSS]   —   Silver Eagle Refining   —   PADD 4   —   crude "&amp;TEXT(SUMIFS(Data!$G$3:$G$125,Data!$A$3:$A$125,"SILVER_WOODS_CROSS"),"#,##0")&amp;" kbd"</f>
        <v/>
      </c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</row>
    <row r="885">
      <c r="A885" s="11" t="inlineStr">
        <is>
          <t>UNIT</t>
        </is>
      </c>
      <c r="B885" s="28" t="inlineStr">
        <is>
          <t>SILVER_WOODS_CROSS</t>
        </is>
      </c>
      <c r="C885" s="28" t="n">
        <v>4</v>
      </c>
      <c r="D885" s="28" t="inlineStr">
        <is>
          <t>CDU</t>
        </is>
      </c>
      <c r="E885" s="28" t="inlineStr">
        <is>
          <t>CDU</t>
        </is>
      </c>
      <c r="F885" s="29" t="n">
        <v>15.7</v>
      </c>
      <c r="G885" s="30">
        <f>IFERROR(IF(INDEX(Effective!$E$3:$R$125,MATCH($B885,Effective!$A$3:$A$125,0),MATCH($D885,Effective!$E$2:$R$2,0))=0,"",INDEX(Effective!$E$3:$R$125,MATCH($B885,Effective!$A$3:$A$125,0),MATCH($D885,Effective!$E$2:$R$2,0))),"")</f>
        <v/>
      </c>
      <c r="H885" s="31" t="n"/>
      <c r="I885" s="17" t="inlineStr">
        <is>
          <t>override</t>
        </is>
      </c>
      <c r="J885" s="32" t="n"/>
      <c r="K885" s="33">
        <f>IF(AND(IF($I889&lt;&gt;"",$I889,$I885)="override",$J885&lt;&gt;""),$J885,SUMIFS(Assumptions!$K$4:$K$8,Assumptions!$J$4:$J$8,$C885))*Assumptions!$S$10*(1-MIN(1,MAX(N($H885),N($H889))))</f>
        <v/>
      </c>
      <c r="L885" s="32" t="n"/>
      <c r="M885" s="34">
        <f>IF(AND(IF($I889&lt;&gt;"",$I889,$I885)="override",$L885&lt;&gt;""),$L885,SUMIFS(Assumptions!$P$4:$P$103,Assumptions!$M$4:$M$103,$C885,Assumptions!$N$4:$N$103,$E885,Assumptions!$O$4:$O$103,"LVN"))</f>
        <v/>
      </c>
      <c r="N885" s="32" t="n"/>
      <c r="O885" s="34">
        <f>IF(AND(IF($I889&lt;&gt;"",$I889,$I885)="override",$N885&lt;&gt;""),$N885,SUMIFS(Assumptions!$P$4:$P$103,Assumptions!$M$4:$M$103,$C885,Assumptions!$N$4:$N$103,$E885,Assumptions!$O$4:$O$103,"HVN"))</f>
        <v/>
      </c>
      <c r="P885" s="34">
        <f>(M885+O885)*Assumptions!$S$11</f>
        <v/>
      </c>
      <c r="Q885" s="35">
        <f>$F885*$K885*$P885</f>
        <v/>
      </c>
    </row>
    <row r="886">
      <c r="A886" s="11" t="inlineStr">
        <is>
          <t>UNIT</t>
        </is>
      </c>
      <c r="B886" s="28" t="inlineStr">
        <is>
          <t>SILVER_WOODS_CROSS</t>
        </is>
      </c>
      <c r="C886" s="28" t="n">
        <v>4</v>
      </c>
      <c r="D886" s="28" t="inlineStr">
        <is>
          <t>VDU</t>
        </is>
      </c>
      <c r="E886" s="28" t="inlineStr">
        <is>
          <t>VDU</t>
        </is>
      </c>
      <c r="F886" s="29" t="n">
        <v>7</v>
      </c>
      <c r="G886" s="30">
        <f>IFERROR(IF(INDEX(Effective!$E$3:$R$125,MATCH($B886,Effective!$A$3:$A$125,0),MATCH($D886,Effective!$E$2:$R$2,0))=0,"",INDEX(Effective!$E$3:$R$125,MATCH($B886,Effective!$A$3:$A$125,0),MATCH($D886,Effective!$E$2:$R$2,0))),"")</f>
        <v/>
      </c>
      <c r="H886" s="31" t="n"/>
      <c r="I886" s="17" t="inlineStr">
        <is>
          <t>override</t>
        </is>
      </c>
      <c r="J886" s="32" t="n"/>
      <c r="K886" s="33">
        <f>IF(AND(IF($I889&lt;&gt;"",$I889,$I886)="override",$J886&lt;&gt;""),$J886,SUMIFS(Assumptions!$K$4:$K$8,Assumptions!$J$4:$J$8,$C886))*Assumptions!$S$10*(1-MIN(1,MAX(N($H886),N($H889))))</f>
        <v/>
      </c>
      <c r="L886" s="32" t="n"/>
      <c r="M886" s="34">
        <f>IF(AND(IF($I889&lt;&gt;"",$I889,$I886)="override",$L886&lt;&gt;""),$L886,SUMIFS(Assumptions!$P$4:$P$103,Assumptions!$M$4:$M$103,$C886,Assumptions!$N$4:$N$103,$E886,Assumptions!$O$4:$O$103,"LVN"))</f>
        <v/>
      </c>
      <c r="N886" s="32" t="n"/>
      <c r="O886" s="34">
        <f>IF(AND(IF($I889&lt;&gt;"",$I889,$I886)="override",$N886&lt;&gt;""),$N886,SUMIFS(Assumptions!$P$4:$P$103,Assumptions!$M$4:$M$103,$C886,Assumptions!$N$4:$N$103,$E886,Assumptions!$O$4:$O$103,"HVN"))</f>
        <v/>
      </c>
      <c r="P886" s="34">
        <f>(M886+O886)*Assumptions!$S$11</f>
        <v/>
      </c>
      <c r="Q886" s="35">
        <f>$F886*$K886*$P886</f>
        <v/>
      </c>
    </row>
    <row r="887">
      <c r="A887" s="11" t="inlineStr">
        <is>
          <t>UNIT</t>
        </is>
      </c>
      <c r="B887" s="28" t="inlineStr">
        <is>
          <t>SILVER_WOODS_CROSS</t>
        </is>
      </c>
      <c r="C887" s="28" t="n">
        <v>4</v>
      </c>
      <c r="D887" s="28" t="inlineStr">
        <is>
          <t>REF</t>
        </is>
      </c>
      <c r="E887" s="28" t="inlineStr">
        <is>
          <t>REFORMER</t>
        </is>
      </c>
      <c r="F887" s="29" t="n">
        <v>2.2</v>
      </c>
      <c r="G887" s="30">
        <f>IFERROR(IF(INDEX(Effective!$E$3:$R$125,MATCH($B887,Effective!$A$3:$A$125,0),MATCH($D887,Effective!$E$2:$R$2,0))=0,"",INDEX(Effective!$E$3:$R$125,MATCH($B887,Effective!$A$3:$A$125,0),MATCH($D887,Effective!$E$2:$R$2,0))),"")</f>
        <v/>
      </c>
      <c r="H887" s="31" t="n"/>
      <c r="I887" s="17" t="inlineStr">
        <is>
          <t>override</t>
        </is>
      </c>
      <c r="J887" s="32" t="n"/>
      <c r="K887" s="33">
        <f>IF(AND(IF($I889&lt;&gt;"",$I889,$I887)="override",$J887&lt;&gt;""),$J887,SUMIFS(Assumptions!$K$4:$K$8,Assumptions!$J$4:$J$8,$C887))*Assumptions!$S$10*(1-MIN(1,MAX(N($H887),N($H889))))</f>
        <v/>
      </c>
      <c r="L887" s="32" t="n"/>
      <c r="M887" s="34">
        <f>IF(AND(IF($I889&lt;&gt;"",$I889,$I887)="override",$L887&lt;&gt;""),$L887,SUMIFS(Assumptions!$P$4:$P$103,Assumptions!$M$4:$M$103,$C887,Assumptions!$N$4:$N$103,$E887,Assumptions!$O$4:$O$103,"LVN"))</f>
        <v/>
      </c>
      <c r="N887" s="32" t="n"/>
      <c r="O887" s="34">
        <f>IF(AND(IF($I889&lt;&gt;"",$I889,$I887)="override",$N887&lt;&gt;""),$N887,SUMIFS(Assumptions!$P$4:$P$103,Assumptions!$M$4:$M$103,$C887,Assumptions!$N$4:$N$103,$E887,Assumptions!$O$4:$O$103,"HVN"))</f>
        <v/>
      </c>
      <c r="P887" s="34">
        <f>(M887+O887)*Assumptions!$S$11</f>
        <v/>
      </c>
      <c r="Q887" s="35">
        <f>$F887*$K887*$P887</f>
        <v/>
      </c>
    </row>
    <row r="888">
      <c r="A888" s="11" t="inlineStr">
        <is>
          <t>UNIT</t>
        </is>
      </c>
      <c r="B888" s="28" t="inlineStr">
        <is>
          <t>SILVER_WOODS_CROSS</t>
        </is>
      </c>
      <c r="C888" s="28" t="n">
        <v>4</v>
      </c>
      <c r="D888" s="28" t="inlineStr">
        <is>
          <t>NHT</t>
        </is>
      </c>
      <c r="E888" s="28" t="inlineStr">
        <is>
          <t>NHT</t>
        </is>
      </c>
      <c r="F888" s="29" t="n">
        <v>1</v>
      </c>
      <c r="G888" s="30">
        <f>IFERROR(IF(INDEX(Effective!$E$3:$R$125,MATCH($B888,Effective!$A$3:$A$125,0),MATCH($D888,Effective!$E$2:$R$2,0))=0,"",INDEX(Effective!$E$3:$R$125,MATCH($B888,Effective!$A$3:$A$125,0),MATCH($D888,Effective!$E$2:$R$2,0))),"")</f>
        <v/>
      </c>
      <c r="H888" s="31" t="n"/>
      <c r="I888" s="17" t="inlineStr">
        <is>
          <t>override</t>
        </is>
      </c>
      <c r="J888" s="32" t="n"/>
      <c r="K888" s="33">
        <f>IF(AND(IF($I889&lt;&gt;"",$I889,$I888)="override",$J888&lt;&gt;""),$J888,SUMIFS(Assumptions!$K$4:$K$8,Assumptions!$J$4:$J$8,$C888))*Assumptions!$S$10*(1-MIN(1,MAX(N($H888),N($H889))))</f>
        <v/>
      </c>
      <c r="L888" s="32" t="n"/>
      <c r="M888" s="34">
        <f>IF(AND(IF($I889&lt;&gt;"",$I889,$I888)="override",$L888&lt;&gt;""),$L888,SUMIFS(Assumptions!$P$4:$P$103,Assumptions!$M$4:$M$103,$C888,Assumptions!$N$4:$N$103,$E888,Assumptions!$O$4:$O$103,"LVN"))</f>
        <v/>
      </c>
      <c r="N888" s="32" t="n"/>
      <c r="O888" s="34">
        <f>IF(AND(IF($I889&lt;&gt;"",$I889,$I888)="override",$N888&lt;&gt;""),$N888,SUMIFS(Assumptions!$P$4:$P$103,Assumptions!$M$4:$M$103,$C888,Assumptions!$N$4:$N$103,$E888,Assumptions!$O$4:$O$103,"HVN"))</f>
        <v/>
      </c>
      <c r="P888" s="34">
        <f>(M888+O888)*Assumptions!$S$11</f>
        <v/>
      </c>
      <c r="Q888" s="35">
        <f>$F888*$K888*$P888</f>
        <v/>
      </c>
    </row>
    <row r="889">
      <c r="A889" s="24" t="inlineStr">
        <is>
          <t>TOTAL</t>
        </is>
      </c>
      <c r="B889" s="36" t="inlineStr">
        <is>
          <t>SILVER_WOODS_CROSS</t>
        </is>
      </c>
      <c r="C889" s="36" t="n">
        <v>4</v>
      </c>
      <c r="D889" s="36" t="inlineStr">
        <is>
          <t>NET NAPHTHA</t>
        </is>
      </c>
      <c r="H889" s="31" t="n"/>
      <c r="I889" s="17" t="n"/>
      <c r="Q889" s="37">
        <f>SUM(Q885:Q888)</f>
        <v/>
      </c>
    </row>
    <row r="891" ht="20" customHeight="1">
      <c r="A891" s="8">
        <f>"  Wyoming Refining Evanston  [WYOMING_EVANSTON]   —   Silver Eagle Refining   —   PADD 4   —   crude "&amp;TEXT(SUMIFS(Data!$G$3:$G$125,Data!$A$3:$A$125,"WYOMING_EVANSTON"),"#,##0")&amp;" kbd"</f>
        <v/>
      </c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</row>
    <row r="892">
      <c r="A892" s="11" t="inlineStr">
        <is>
          <t>UNIT</t>
        </is>
      </c>
      <c r="B892" s="28" t="inlineStr">
        <is>
          <t>WYOMING_EVANSTON</t>
        </is>
      </c>
      <c r="C892" s="28" t="n">
        <v>4</v>
      </c>
      <c r="D892" s="28" t="inlineStr">
        <is>
          <t>CDU</t>
        </is>
      </c>
      <c r="E892" s="28" t="inlineStr">
        <is>
          <t>CDU</t>
        </is>
      </c>
      <c r="F892" s="29" t="n">
        <v>3.4</v>
      </c>
      <c r="G892" s="30">
        <f>IFERROR(IF(INDEX(Effective!$E$3:$R$125,MATCH($B892,Effective!$A$3:$A$125,0),MATCH($D892,Effective!$E$2:$R$2,0))=0,"",INDEX(Effective!$E$3:$R$125,MATCH($B892,Effective!$A$3:$A$125,0),MATCH($D892,Effective!$E$2:$R$2,0))),"")</f>
        <v/>
      </c>
      <c r="H892" s="31" t="n"/>
      <c r="I892" s="17" t="inlineStr">
        <is>
          <t>override</t>
        </is>
      </c>
      <c r="J892" s="32" t="n"/>
      <c r="K892" s="33">
        <f>IF(AND(IF($I895&lt;&gt;"",$I895,$I892)="override",$J892&lt;&gt;""),$J892,SUMIFS(Assumptions!$K$4:$K$8,Assumptions!$J$4:$J$8,$C892))*Assumptions!$S$10*(1-MIN(1,MAX(N($H892),N($H895))))</f>
        <v/>
      </c>
      <c r="L892" s="32" t="n"/>
      <c r="M892" s="34">
        <f>IF(AND(IF($I895&lt;&gt;"",$I895,$I892)="override",$L892&lt;&gt;""),$L892,SUMIFS(Assumptions!$P$4:$P$103,Assumptions!$M$4:$M$103,$C892,Assumptions!$N$4:$N$103,$E892,Assumptions!$O$4:$O$103,"LVN"))</f>
        <v/>
      </c>
      <c r="N892" s="32" t="n"/>
      <c r="O892" s="34">
        <f>IF(AND(IF($I895&lt;&gt;"",$I895,$I892)="override",$N892&lt;&gt;""),$N892,SUMIFS(Assumptions!$P$4:$P$103,Assumptions!$M$4:$M$103,$C892,Assumptions!$N$4:$N$103,$E892,Assumptions!$O$4:$O$103,"HVN"))</f>
        <v/>
      </c>
      <c r="P892" s="34">
        <f>(M892+O892)*Assumptions!$S$11</f>
        <v/>
      </c>
      <c r="Q892" s="35">
        <f>$F892*$K892*$P892</f>
        <v/>
      </c>
    </row>
    <row r="893">
      <c r="A893" s="11" t="inlineStr">
        <is>
          <t>UNIT</t>
        </is>
      </c>
      <c r="B893" s="28" t="inlineStr">
        <is>
          <t>WYOMING_EVANSTON</t>
        </is>
      </c>
      <c r="C893" s="28" t="n">
        <v>4</v>
      </c>
      <c r="D893" s="28" t="inlineStr">
        <is>
          <t>REF</t>
        </is>
      </c>
      <c r="E893" s="28" t="inlineStr">
        <is>
          <t>REFORMER</t>
        </is>
      </c>
      <c r="F893" s="29" t="n">
        <v>2.9</v>
      </c>
      <c r="G893" s="30">
        <f>IFERROR(IF(INDEX(Effective!$E$3:$R$125,MATCH($B893,Effective!$A$3:$A$125,0),MATCH($D893,Effective!$E$2:$R$2,0))=0,"",INDEX(Effective!$E$3:$R$125,MATCH($B893,Effective!$A$3:$A$125,0),MATCH($D893,Effective!$E$2:$R$2,0))),"")</f>
        <v/>
      </c>
      <c r="H893" s="31" t="n"/>
      <c r="I893" s="17" t="inlineStr">
        <is>
          <t>override</t>
        </is>
      </c>
      <c r="J893" s="32" t="n"/>
      <c r="K893" s="33">
        <f>IF(AND(IF($I895&lt;&gt;"",$I895,$I893)="override",$J893&lt;&gt;""),$J893,SUMIFS(Assumptions!$K$4:$K$8,Assumptions!$J$4:$J$8,$C893))*Assumptions!$S$10*(1-MIN(1,MAX(N($H893),N($H895))))</f>
        <v/>
      </c>
      <c r="L893" s="32" t="n"/>
      <c r="M893" s="34">
        <f>IF(AND(IF($I895&lt;&gt;"",$I895,$I893)="override",$L893&lt;&gt;""),$L893,SUMIFS(Assumptions!$P$4:$P$103,Assumptions!$M$4:$M$103,$C893,Assumptions!$N$4:$N$103,$E893,Assumptions!$O$4:$O$103,"LVN"))</f>
        <v/>
      </c>
      <c r="N893" s="32" t="n"/>
      <c r="O893" s="34">
        <f>IF(AND(IF($I895&lt;&gt;"",$I895,$I893)="override",$N893&lt;&gt;""),$N893,SUMIFS(Assumptions!$P$4:$P$103,Assumptions!$M$4:$M$103,$C893,Assumptions!$N$4:$N$103,$E893,Assumptions!$O$4:$O$103,"HVN"))</f>
        <v/>
      </c>
      <c r="P893" s="34">
        <f>(M893+O893)*Assumptions!$S$11</f>
        <v/>
      </c>
      <c r="Q893" s="35">
        <f>$F893*$K893*$P893</f>
        <v/>
      </c>
    </row>
    <row r="894">
      <c r="A894" s="11" t="inlineStr">
        <is>
          <t>UNIT</t>
        </is>
      </c>
      <c r="B894" s="28" t="inlineStr">
        <is>
          <t>WYOMING_EVANSTON</t>
        </is>
      </c>
      <c r="C894" s="28" t="n">
        <v>4</v>
      </c>
      <c r="D894" s="28" t="inlineStr">
        <is>
          <t>NHT</t>
        </is>
      </c>
      <c r="E894" s="28" t="inlineStr">
        <is>
          <t>NHT</t>
        </is>
      </c>
      <c r="F894" s="29" t="n">
        <v>4</v>
      </c>
      <c r="G894" s="30">
        <f>IFERROR(IF(INDEX(Effective!$E$3:$R$125,MATCH($B894,Effective!$A$3:$A$125,0),MATCH($D894,Effective!$E$2:$R$2,0))=0,"",INDEX(Effective!$E$3:$R$125,MATCH($B894,Effective!$A$3:$A$125,0),MATCH($D894,Effective!$E$2:$R$2,0))),"")</f>
        <v/>
      </c>
      <c r="H894" s="31" t="n"/>
      <c r="I894" s="17" t="inlineStr">
        <is>
          <t>override</t>
        </is>
      </c>
      <c r="J894" s="32" t="n"/>
      <c r="K894" s="33">
        <f>IF(AND(IF($I895&lt;&gt;"",$I895,$I894)="override",$J894&lt;&gt;""),$J894,SUMIFS(Assumptions!$K$4:$K$8,Assumptions!$J$4:$J$8,$C894))*Assumptions!$S$10*(1-MIN(1,MAX(N($H894),N($H895))))</f>
        <v/>
      </c>
      <c r="L894" s="32" t="n"/>
      <c r="M894" s="34">
        <f>IF(AND(IF($I895&lt;&gt;"",$I895,$I894)="override",$L894&lt;&gt;""),$L894,SUMIFS(Assumptions!$P$4:$P$103,Assumptions!$M$4:$M$103,$C894,Assumptions!$N$4:$N$103,$E894,Assumptions!$O$4:$O$103,"LVN"))</f>
        <v/>
      </c>
      <c r="N894" s="32" t="n"/>
      <c r="O894" s="34">
        <f>IF(AND(IF($I895&lt;&gt;"",$I895,$I894)="override",$N894&lt;&gt;""),$N894,SUMIFS(Assumptions!$P$4:$P$103,Assumptions!$M$4:$M$103,$C894,Assumptions!$N$4:$N$103,$E894,Assumptions!$O$4:$O$103,"HVN"))</f>
        <v/>
      </c>
      <c r="P894" s="34">
        <f>(M894+O894)*Assumptions!$S$11</f>
        <v/>
      </c>
      <c r="Q894" s="35">
        <f>$F894*$K894*$P894</f>
        <v/>
      </c>
    </row>
    <row r="895">
      <c r="A895" s="24" t="inlineStr">
        <is>
          <t>TOTAL</t>
        </is>
      </c>
      <c r="B895" s="36" t="inlineStr">
        <is>
          <t>WYOMING_EVANSTON</t>
        </is>
      </c>
      <c r="C895" s="36" t="n">
        <v>4</v>
      </c>
      <c r="D895" s="36" t="inlineStr">
        <is>
          <t>NET NAPHTHA</t>
        </is>
      </c>
      <c r="H895" s="31" t="n"/>
      <c r="I895" s="17" t="n"/>
      <c r="Q895" s="37">
        <f>SUM(Q892:Q894)</f>
        <v/>
      </c>
    </row>
    <row r="897" ht="20" customHeight="1">
      <c r="A897" s="8">
        <f>"  Slate Douglas  [SLATE_DOUGLAS]   —   Slate   —   PADD 4   —   crude "&amp;TEXT(SUMIFS(Data!$G$3:$G$125,Data!$A$3:$A$125,"SLATE_DOUGLAS"),"#,##0")&amp;" kbd"</f>
        <v/>
      </c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</row>
    <row r="898">
      <c r="A898" s="11" t="inlineStr">
        <is>
          <t>UNIT</t>
        </is>
      </c>
      <c r="B898" s="28" t="inlineStr">
        <is>
          <t>SLATE_DOUGLAS</t>
        </is>
      </c>
      <c r="C898" s="28" t="n">
        <v>4</v>
      </c>
      <c r="D898" s="28" t="inlineStr">
        <is>
          <t>CRUDE-EST</t>
        </is>
      </c>
      <c r="E898" s="28" t="inlineStr">
        <is>
          <t>est. yield</t>
        </is>
      </c>
      <c r="F898" s="30">
        <f>SUMIFS(Data!$G$3:$G$125,Data!$A$3:$A$125,$B898)</f>
        <v/>
      </c>
      <c r="G898" s="30">
        <f>IFERROR(IF(INDEX(Effective!$E$3:$R$125,MATCH($B898,Effective!$A$3:$A$125,0),MATCH($D898,Effective!$E$2:$R$2,0))=0,"",INDEX(Effective!$E$3:$R$125,MATCH($B898,Effective!$A$3:$A$125,0),MATCH($D898,Effective!$E$2:$R$2,0))),"")</f>
        <v/>
      </c>
      <c r="H898" s="31" t="n"/>
      <c r="I898" s="17" t="inlineStr">
        <is>
          <t>override</t>
        </is>
      </c>
      <c r="J898" s="32" t="n"/>
      <c r="K898" s="33">
        <f>IF(AND(IF($I899&lt;&gt;"",$I899,$I898)="override",$J898&lt;&gt;""),$J898,SUMIFS(Assumptions!$K$4:$K$8,Assumptions!$J$4:$J$8,$C898))*Assumptions!$S$10*(1-MIN(1,MAX(N($H898),N($H899))))</f>
        <v/>
      </c>
      <c r="L898" s="32" t="n"/>
      <c r="M898" s="34">
        <f>IF(AND(IF($I899&lt;&gt;"",$I899,$I898)="override",$L898&lt;&gt;""),$L898,SUMIFS(Data!$N$3:$N$125,Data!$A$3:$A$125,$B898)*Assumptions!$S$4)</f>
        <v/>
      </c>
      <c r="N898" s="32" t="n"/>
      <c r="O898" s="34">
        <f>IF(AND(IF($I899&lt;&gt;"",$I899,$I898)="override",$N898&lt;&gt;""),$N898,SUMIFS(Data!$N$3:$N$125,Data!$A$3:$A$125,$B898)*Assumptions!$S$5)</f>
        <v/>
      </c>
      <c r="P898" s="34">
        <f>(M898+O898)*Assumptions!$S$11</f>
        <v/>
      </c>
      <c r="Q898" s="35">
        <f>$F898*$K898*$P898</f>
        <v/>
      </c>
    </row>
    <row r="899">
      <c r="A899" s="24" t="inlineStr">
        <is>
          <t>TOTAL</t>
        </is>
      </c>
      <c r="B899" s="36" t="inlineStr">
        <is>
          <t>SLATE_DOUGLAS</t>
        </is>
      </c>
      <c r="C899" s="36" t="n">
        <v>4</v>
      </c>
      <c r="D899" s="36" t="inlineStr">
        <is>
          <t>NET NAPHTHA</t>
        </is>
      </c>
      <c r="H899" s="31" t="n"/>
      <c r="I899" s="17" t="n"/>
      <c r="Q899" s="37">
        <f>SUM(Q898:Q898)</f>
        <v/>
      </c>
    </row>
    <row r="901" ht="20" customHeight="1">
      <c r="A901" s="8">
        <f>"  Chevron El Segundo  [CHEVRON_EL_SEGUNDO]   —   Chevron   —   PADD 5   —   crude "&amp;TEXT(SUMIFS(Data!$G$3:$G$125,Data!$A$3:$A$125,"CHEVRON_EL_SEGUNDO"),"#,##0")&amp;" kbd"</f>
        <v/>
      </c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</row>
    <row r="902">
      <c r="A902" s="11" t="inlineStr">
        <is>
          <t>UNIT</t>
        </is>
      </c>
      <c r="B902" s="28" t="inlineStr">
        <is>
          <t>CHEVRON_EL_SEGUNDO</t>
        </is>
      </c>
      <c r="C902" s="28" t="n">
        <v>5</v>
      </c>
      <c r="D902" s="28" t="inlineStr">
        <is>
          <t>CDU</t>
        </is>
      </c>
      <c r="E902" s="28" t="inlineStr">
        <is>
          <t>CDU</t>
        </is>
      </c>
      <c r="F902" s="29" t="n">
        <v>290.5</v>
      </c>
      <c r="G902" s="30">
        <f>IFERROR(IF(INDEX(Effective!$E$3:$R$125,MATCH($B902,Effective!$A$3:$A$125,0),MATCH($D902,Effective!$E$2:$R$2,0))=0,"",INDEX(Effective!$E$3:$R$125,MATCH($B902,Effective!$A$3:$A$125,0),MATCH($D902,Effective!$E$2:$R$2,0))),"")</f>
        <v/>
      </c>
      <c r="H902" s="31" t="n"/>
      <c r="I902" s="17" t="inlineStr">
        <is>
          <t>override</t>
        </is>
      </c>
      <c r="J902" s="32" t="n">
        <v>0.772</v>
      </c>
      <c r="K902" s="33">
        <f>IF(AND(IF($I911&lt;&gt;"",$I911,$I902)="override",$J902&lt;&gt;""),$J902,SUMIFS(Assumptions!$K$4:$K$8,Assumptions!$J$4:$J$8,$C902))*Assumptions!$S$10*(1-MIN(1,MAX(N($H902),N($H911))))</f>
        <v/>
      </c>
      <c r="L902" s="32" t="n"/>
      <c r="M902" s="34">
        <f>IF(AND(IF($I911&lt;&gt;"",$I911,$I902)="override",$L902&lt;&gt;""),$L902,SUMIFS(Assumptions!$P$4:$P$103,Assumptions!$M$4:$M$103,$C902,Assumptions!$N$4:$N$103,$E902,Assumptions!$O$4:$O$103,"LVN"))</f>
        <v/>
      </c>
      <c r="N902" s="32" t="n"/>
      <c r="O902" s="34">
        <f>IF(AND(IF($I911&lt;&gt;"",$I911,$I902)="override",$N902&lt;&gt;""),$N902,SUMIFS(Assumptions!$P$4:$P$103,Assumptions!$M$4:$M$103,$C902,Assumptions!$N$4:$N$103,$E902,Assumptions!$O$4:$O$103,"HVN"))</f>
        <v/>
      </c>
      <c r="P902" s="34">
        <f>(M902+O902)*Assumptions!$S$11</f>
        <v/>
      </c>
      <c r="Q902" s="35">
        <f>$F902*$K902*$P902</f>
        <v/>
      </c>
    </row>
    <row r="903">
      <c r="A903" s="11" t="inlineStr">
        <is>
          <t>UNIT</t>
        </is>
      </c>
      <c r="B903" s="28" t="inlineStr">
        <is>
          <t>CHEVRON_EL_SEGUNDO</t>
        </is>
      </c>
      <c r="C903" s="28" t="n">
        <v>5</v>
      </c>
      <c r="D903" s="28" t="inlineStr">
        <is>
          <t>VDU</t>
        </is>
      </c>
      <c r="E903" s="28" t="inlineStr">
        <is>
          <t>VDU</t>
        </is>
      </c>
      <c r="F903" s="29" t="n">
        <v>169.1</v>
      </c>
      <c r="G903" s="30">
        <f>IFERROR(IF(INDEX(Effective!$E$3:$R$125,MATCH($B903,Effective!$A$3:$A$125,0),MATCH($D903,Effective!$E$2:$R$2,0))=0,"",INDEX(Effective!$E$3:$R$125,MATCH($B903,Effective!$A$3:$A$125,0),MATCH($D903,Effective!$E$2:$R$2,0))),"")</f>
        <v/>
      </c>
      <c r="H903" s="31" t="n"/>
      <c r="I903" s="17" t="inlineStr">
        <is>
          <t>override</t>
        </is>
      </c>
      <c r="J903" s="32" t="n">
        <v>0.61</v>
      </c>
      <c r="K903" s="33">
        <f>IF(AND(IF($I911&lt;&gt;"",$I911,$I903)="override",$J903&lt;&gt;""),$J903,SUMIFS(Assumptions!$K$4:$K$8,Assumptions!$J$4:$J$8,$C903))*Assumptions!$S$10*(1-MIN(1,MAX(N($H903),N($H911))))</f>
        <v/>
      </c>
      <c r="L903" s="32" t="n"/>
      <c r="M903" s="34">
        <f>IF(AND(IF($I911&lt;&gt;"",$I911,$I903)="override",$L903&lt;&gt;""),$L903,SUMIFS(Assumptions!$P$4:$P$103,Assumptions!$M$4:$M$103,$C903,Assumptions!$N$4:$N$103,$E903,Assumptions!$O$4:$O$103,"LVN"))</f>
        <v/>
      </c>
      <c r="N903" s="32" t="n"/>
      <c r="O903" s="34">
        <f>IF(AND(IF($I911&lt;&gt;"",$I911,$I903)="override",$N903&lt;&gt;""),$N903,SUMIFS(Assumptions!$P$4:$P$103,Assumptions!$M$4:$M$103,$C903,Assumptions!$N$4:$N$103,$E903,Assumptions!$O$4:$O$103,"HVN"))</f>
        <v/>
      </c>
      <c r="P903" s="34">
        <f>(M903+O903)*Assumptions!$S$11</f>
        <v/>
      </c>
      <c r="Q903" s="35">
        <f>$F903*$K903*$P903</f>
        <v/>
      </c>
    </row>
    <row r="904">
      <c r="A904" s="11" t="inlineStr">
        <is>
          <t>UNIT</t>
        </is>
      </c>
      <c r="B904" s="28" t="inlineStr">
        <is>
          <t>CHEVRON_EL_SEGUNDO</t>
        </is>
      </c>
      <c r="C904" s="28" t="n">
        <v>5</v>
      </c>
      <c r="D904" s="28" t="inlineStr">
        <is>
          <t>FCC</t>
        </is>
      </c>
      <c r="E904" s="28" t="inlineStr">
        <is>
          <t>FCC</t>
        </is>
      </c>
      <c r="F904" s="29" t="n">
        <v>73.8</v>
      </c>
      <c r="G904" s="30">
        <f>IFERROR(IF(INDEX(Effective!$E$3:$R$125,MATCH($B904,Effective!$A$3:$A$125,0),MATCH($D904,Effective!$E$2:$R$2,0))=0,"",INDEX(Effective!$E$3:$R$125,MATCH($B904,Effective!$A$3:$A$125,0),MATCH($D904,Effective!$E$2:$R$2,0))),"")</f>
        <v/>
      </c>
      <c r="H904" s="31" t="n"/>
      <c r="I904" s="17" t="inlineStr">
        <is>
          <t>override</t>
        </is>
      </c>
      <c r="J904" s="32" t="n">
        <v>0.5639999999999999</v>
      </c>
      <c r="K904" s="33">
        <f>IF(AND(IF($I911&lt;&gt;"",$I911,$I904)="override",$J904&lt;&gt;""),$J904,SUMIFS(Assumptions!$K$4:$K$8,Assumptions!$J$4:$J$8,$C904))*Assumptions!$S$10*(1-MIN(1,MAX(N($H904),N($H911))))</f>
        <v/>
      </c>
      <c r="L904" s="32" t="n"/>
      <c r="M904" s="34">
        <f>IF(AND(IF($I911&lt;&gt;"",$I911,$I904)="override",$L904&lt;&gt;""),$L904,SUMIFS(Assumptions!$P$4:$P$103,Assumptions!$M$4:$M$103,$C904,Assumptions!$N$4:$N$103,$E904,Assumptions!$O$4:$O$103,"LVN"))</f>
        <v/>
      </c>
      <c r="N904" s="32" t="n"/>
      <c r="O904" s="34">
        <f>IF(AND(IF($I911&lt;&gt;"",$I911,$I904)="override",$N904&lt;&gt;""),$N904,SUMIFS(Assumptions!$P$4:$P$103,Assumptions!$M$4:$M$103,$C904,Assumptions!$N$4:$N$103,$E904,Assumptions!$O$4:$O$103,"HVN"))</f>
        <v/>
      </c>
      <c r="P904" s="34">
        <f>(M904+O904)*Assumptions!$S$11</f>
        <v/>
      </c>
      <c r="Q904" s="35">
        <f>$F904*$K904*$P904</f>
        <v/>
      </c>
    </row>
    <row r="905">
      <c r="A905" s="11" t="inlineStr">
        <is>
          <t>UNIT</t>
        </is>
      </c>
      <c r="B905" s="28" t="inlineStr">
        <is>
          <t>CHEVRON_EL_SEGUNDO</t>
        </is>
      </c>
      <c r="C905" s="28" t="n">
        <v>5</v>
      </c>
      <c r="D905" s="28" t="inlineStr">
        <is>
          <t>DHCU</t>
        </is>
      </c>
      <c r="E905" s="28" t="inlineStr">
        <is>
          <t>HYDROCRACKER</t>
        </is>
      </c>
      <c r="F905" s="29" t="n">
        <v>55</v>
      </c>
      <c r="G905" s="30">
        <f>IFERROR(IF(INDEX(Effective!$E$3:$R$125,MATCH($B905,Effective!$A$3:$A$125,0),MATCH($D905,Effective!$E$2:$R$2,0))=0,"",INDEX(Effective!$E$3:$R$125,MATCH($B905,Effective!$A$3:$A$125,0),MATCH($D905,Effective!$E$2:$R$2,0))),"")</f>
        <v/>
      </c>
      <c r="H905" s="31" t="n"/>
      <c r="I905" s="17" t="inlineStr">
        <is>
          <t>override</t>
        </is>
      </c>
      <c r="J905" s="32" t="n">
        <v>0.877</v>
      </c>
      <c r="K905" s="33">
        <f>IF(AND(IF($I911&lt;&gt;"",$I911,$I905)="override",$J905&lt;&gt;""),$J905,SUMIFS(Assumptions!$K$4:$K$8,Assumptions!$J$4:$J$8,$C905))*Assumptions!$S$10*(1-MIN(1,MAX(N($H905),N($H911))))</f>
        <v/>
      </c>
      <c r="L905" s="32" t="n"/>
      <c r="M905" s="34">
        <f>IF(AND(IF($I911&lt;&gt;"",$I911,$I905)="override",$L905&lt;&gt;""),$L905,SUMIFS(Assumptions!$P$4:$P$103,Assumptions!$M$4:$M$103,$C905,Assumptions!$N$4:$N$103,$E905,Assumptions!$O$4:$O$103,"LVN"))</f>
        <v/>
      </c>
      <c r="N905" s="32" t="n"/>
      <c r="O905" s="34">
        <f>IF(AND(IF($I911&lt;&gt;"",$I911,$I905)="override",$N905&lt;&gt;""),$N905,SUMIFS(Assumptions!$P$4:$P$103,Assumptions!$M$4:$M$103,$C905,Assumptions!$N$4:$N$103,$E905,Assumptions!$O$4:$O$103,"HVN"))</f>
        <v/>
      </c>
      <c r="P905" s="34">
        <f>(M905+O905)*Assumptions!$S$11</f>
        <v/>
      </c>
      <c r="Q905" s="35">
        <f>$F905*$K905*$P905</f>
        <v/>
      </c>
    </row>
    <row r="906">
      <c r="A906" s="11" t="inlineStr">
        <is>
          <t>UNIT</t>
        </is>
      </c>
      <c r="B906" s="28" t="inlineStr">
        <is>
          <t>CHEVRON_EL_SEGUNDO</t>
        </is>
      </c>
      <c r="C906" s="28" t="n">
        <v>5</v>
      </c>
      <c r="D906" s="28" t="inlineStr">
        <is>
          <t>COKER</t>
        </is>
      </c>
      <c r="E906" s="28" t="inlineStr">
        <is>
          <t>COKER</t>
        </is>
      </c>
      <c r="F906" s="29" t="n">
        <v>76.7</v>
      </c>
      <c r="G906" s="30">
        <f>IFERROR(IF(INDEX(Effective!$E$3:$R$125,MATCH($B906,Effective!$A$3:$A$125,0),MATCH($D906,Effective!$E$2:$R$2,0))=0,"",INDEX(Effective!$E$3:$R$125,MATCH($B906,Effective!$A$3:$A$125,0),MATCH($D906,Effective!$E$2:$R$2,0))),"")</f>
        <v/>
      </c>
      <c r="H906" s="31" t="n"/>
      <c r="I906" s="17" t="inlineStr">
        <is>
          <t>override</t>
        </is>
      </c>
      <c r="J906" s="32" t="n">
        <v>0.429</v>
      </c>
      <c r="K906" s="33">
        <f>IF(AND(IF($I911&lt;&gt;"",$I911,$I906)="override",$J906&lt;&gt;""),$J906,SUMIFS(Assumptions!$K$4:$K$8,Assumptions!$J$4:$J$8,$C906))*Assumptions!$S$10*(1-MIN(1,MAX(N($H906),N($H911))))</f>
        <v/>
      </c>
      <c r="L906" s="32" t="n"/>
      <c r="M906" s="34">
        <f>IF(AND(IF($I911&lt;&gt;"",$I911,$I906)="override",$L906&lt;&gt;""),$L906,SUMIFS(Assumptions!$P$4:$P$103,Assumptions!$M$4:$M$103,$C906,Assumptions!$N$4:$N$103,$E906,Assumptions!$O$4:$O$103,"LVN"))</f>
        <v/>
      </c>
      <c r="N906" s="32" t="n"/>
      <c r="O906" s="34">
        <f>IF(AND(IF($I911&lt;&gt;"",$I911,$I906)="override",$N906&lt;&gt;""),$N906,SUMIFS(Assumptions!$P$4:$P$103,Assumptions!$M$4:$M$103,$C906,Assumptions!$N$4:$N$103,$E906,Assumptions!$O$4:$O$103,"HVN"))</f>
        <v/>
      </c>
      <c r="P906" s="34">
        <f>(M906+O906)*Assumptions!$S$11</f>
        <v/>
      </c>
      <c r="Q906" s="35">
        <f>$F906*$K906*$P906</f>
        <v/>
      </c>
    </row>
    <row r="907">
      <c r="A907" s="11" t="inlineStr">
        <is>
          <t>UNIT</t>
        </is>
      </c>
      <c r="B907" s="28" t="inlineStr">
        <is>
          <t>CHEVRON_EL_SEGUNDO</t>
        </is>
      </c>
      <c r="C907" s="28" t="n">
        <v>5</v>
      </c>
      <c r="D907" s="28" t="inlineStr">
        <is>
          <t>CCR</t>
        </is>
      </c>
      <c r="E907" s="28" t="inlineStr">
        <is>
          <t>REFORMER</t>
        </is>
      </c>
      <c r="F907" s="29" t="n">
        <v>49</v>
      </c>
      <c r="G907" s="30">
        <f>IFERROR(IF(INDEX(Effective!$E$3:$R$125,MATCH($B907,Effective!$A$3:$A$125,0),MATCH($D907,Effective!$E$2:$R$2,0))=0,"",INDEX(Effective!$E$3:$R$125,MATCH($B907,Effective!$A$3:$A$125,0),MATCH($D907,Effective!$E$2:$R$2,0))),"")</f>
        <v/>
      </c>
      <c r="H907" s="31" t="n"/>
      <c r="I907" s="17" t="inlineStr">
        <is>
          <t>override</t>
        </is>
      </c>
      <c r="J907" s="32" t="n">
        <v>0.819</v>
      </c>
      <c r="K907" s="33">
        <f>IF(AND(IF($I911&lt;&gt;"",$I911,$I907)="override",$J907&lt;&gt;""),$J907,SUMIFS(Assumptions!$K$4:$K$8,Assumptions!$J$4:$J$8,$C907))*Assumptions!$S$10*(1-MIN(1,MAX(N($H907),N($H911))))</f>
        <v/>
      </c>
      <c r="L907" s="32" t="n"/>
      <c r="M907" s="34">
        <f>IF(AND(IF($I911&lt;&gt;"",$I911,$I907)="override",$L907&lt;&gt;""),$L907,SUMIFS(Assumptions!$P$4:$P$103,Assumptions!$M$4:$M$103,$C907,Assumptions!$N$4:$N$103,$E907,Assumptions!$O$4:$O$103,"LVN"))</f>
        <v/>
      </c>
      <c r="N907" s="32" t="n"/>
      <c r="O907" s="34">
        <f>IF(AND(IF($I911&lt;&gt;"",$I911,$I907)="override",$N907&lt;&gt;""),$N907,SUMIFS(Assumptions!$P$4:$P$103,Assumptions!$M$4:$M$103,$C907,Assumptions!$N$4:$N$103,$E907,Assumptions!$O$4:$O$103,"HVN"))</f>
        <v/>
      </c>
      <c r="P907" s="34">
        <f>(M907+O907)*Assumptions!$S$11</f>
        <v/>
      </c>
      <c r="Q907" s="35">
        <f>$F907*$K907*$P907</f>
        <v/>
      </c>
    </row>
    <row r="908">
      <c r="A908" s="11" t="inlineStr">
        <is>
          <t>UNIT</t>
        </is>
      </c>
      <c r="B908" s="28" t="inlineStr">
        <is>
          <t>CHEVRON_EL_SEGUNDO</t>
        </is>
      </c>
      <c r="C908" s="28" t="n">
        <v>5</v>
      </c>
      <c r="D908" s="28" t="inlineStr">
        <is>
          <t>ISOM</t>
        </is>
      </c>
      <c r="E908" s="28" t="inlineStr">
        <is>
          <t>ISOM</t>
        </is>
      </c>
      <c r="F908" s="29" t="n">
        <v>22.3</v>
      </c>
      <c r="G908" s="30">
        <f>IFERROR(IF(INDEX(Effective!$E$3:$R$125,MATCH($B908,Effective!$A$3:$A$125,0),MATCH($D908,Effective!$E$2:$R$2,0))=0,"",INDEX(Effective!$E$3:$R$125,MATCH($B908,Effective!$A$3:$A$125,0),MATCH($D908,Effective!$E$2:$R$2,0))),"")</f>
        <v/>
      </c>
      <c r="H908" s="31" t="n"/>
      <c r="I908" s="17" t="inlineStr">
        <is>
          <t>override</t>
        </is>
      </c>
      <c r="J908" s="32" t="n">
        <v>0.63</v>
      </c>
      <c r="K908" s="33">
        <f>IF(AND(IF($I911&lt;&gt;"",$I911,$I908)="override",$J908&lt;&gt;""),$J908,SUMIFS(Assumptions!$K$4:$K$8,Assumptions!$J$4:$J$8,$C908))*Assumptions!$S$10*(1-MIN(1,MAX(N($H908),N($H911))))</f>
        <v/>
      </c>
      <c r="L908" s="32" t="n"/>
      <c r="M908" s="34">
        <f>IF(AND(IF($I911&lt;&gt;"",$I911,$I908)="override",$L908&lt;&gt;""),$L908,SUMIFS(Assumptions!$P$4:$P$103,Assumptions!$M$4:$M$103,$C908,Assumptions!$N$4:$N$103,$E908,Assumptions!$O$4:$O$103,"LVN"))</f>
        <v/>
      </c>
      <c r="N908" s="32" t="n"/>
      <c r="O908" s="34">
        <f>IF(AND(IF($I911&lt;&gt;"",$I911,$I908)="override",$N908&lt;&gt;""),$N908,SUMIFS(Assumptions!$P$4:$P$103,Assumptions!$M$4:$M$103,$C908,Assumptions!$N$4:$N$103,$E908,Assumptions!$O$4:$O$103,"HVN"))</f>
        <v/>
      </c>
      <c r="P908" s="34">
        <f>(M908+O908)*Assumptions!$S$11</f>
        <v/>
      </c>
      <c r="Q908" s="35">
        <f>$F908*$K908*$P908</f>
        <v/>
      </c>
    </row>
    <row r="909">
      <c r="A909" s="11" t="inlineStr">
        <is>
          <t>UNIT</t>
        </is>
      </c>
      <c r="B909" s="28" t="inlineStr">
        <is>
          <t>CHEVRON_EL_SEGUNDO</t>
        </is>
      </c>
      <c r="C909" s="28" t="n">
        <v>5</v>
      </c>
      <c r="D909" s="28" t="inlineStr">
        <is>
          <t>ALKY</t>
        </is>
      </c>
      <c r="E909" s="28" t="inlineStr">
        <is>
          <t>ALKY</t>
        </is>
      </c>
      <c r="F909" s="29" t="n">
        <v>33.3</v>
      </c>
      <c r="G909" s="30">
        <f>IFERROR(IF(INDEX(Effective!$E$3:$R$125,MATCH($B909,Effective!$A$3:$A$125,0),MATCH($D909,Effective!$E$2:$R$2,0))=0,"",INDEX(Effective!$E$3:$R$125,MATCH($B909,Effective!$A$3:$A$125,0),MATCH($D909,Effective!$E$2:$R$2,0))),"")</f>
        <v/>
      </c>
      <c r="H909" s="31" t="n"/>
      <c r="I909" s="17" t="inlineStr">
        <is>
          <t>override</t>
        </is>
      </c>
      <c r="J909" s="32" t="n">
        <v>0.505</v>
      </c>
      <c r="K909" s="33">
        <f>IF(AND(IF($I911&lt;&gt;"",$I911,$I909)="override",$J909&lt;&gt;""),$J909,SUMIFS(Assumptions!$K$4:$K$8,Assumptions!$J$4:$J$8,$C909))*Assumptions!$S$10*(1-MIN(1,MAX(N($H909),N($H911))))</f>
        <v/>
      </c>
      <c r="L909" s="32" t="n"/>
      <c r="M909" s="34">
        <f>IF(AND(IF($I911&lt;&gt;"",$I911,$I909)="override",$L909&lt;&gt;""),$L909,SUMIFS(Assumptions!$P$4:$P$103,Assumptions!$M$4:$M$103,$C909,Assumptions!$N$4:$N$103,$E909,Assumptions!$O$4:$O$103,"LVN"))</f>
        <v/>
      </c>
      <c r="N909" s="32" t="n"/>
      <c r="O909" s="34">
        <f>IF(AND(IF($I911&lt;&gt;"",$I911,$I909)="override",$N909&lt;&gt;""),$N909,SUMIFS(Assumptions!$P$4:$P$103,Assumptions!$M$4:$M$103,$C909,Assumptions!$N$4:$N$103,$E909,Assumptions!$O$4:$O$103,"HVN"))</f>
        <v/>
      </c>
      <c r="P909" s="34">
        <f>(M909+O909)*Assumptions!$S$11</f>
        <v/>
      </c>
      <c r="Q909" s="35">
        <f>$F909*$K909*$P909</f>
        <v/>
      </c>
    </row>
    <row r="910">
      <c r="A910" s="11" t="inlineStr">
        <is>
          <t>UNIT</t>
        </is>
      </c>
      <c r="B910" s="28" t="inlineStr">
        <is>
          <t>CHEVRON_EL_SEGUNDO</t>
        </is>
      </c>
      <c r="C910" s="28" t="n">
        <v>5</v>
      </c>
      <c r="D910" s="28" t="inlineStr">
        <is>
          <t>NHT</t>
        </is>
      </c>
      <c r="E910" s="28" t="inlineStr">
        <is>
          <t>NHT</t>
        </is>
      </c>
      <c r="F910" s="29" t="n">
        <v>62.5</v>
      </c>
      <c r="G910" s="30">
        <f>IFERROR(IF(INDEX(Effective!$E$3:$R$125,MATCH($B910,Effective!$A$3:$A$125,0),MATCH($D910,Effective!$E$2:$R$2,0))=0,"",INDEX(Effective!$E$3:$R$125,MATCH($B910,Effective!$A$3:$A$125,0),MATCH($D910,Effective!$E$2:$R$2,0))),"")</f>
        <v/>
      </c>
      <c r="H910" s="31" t="n"/>
      <c r="I910" s="17" t="inlineStr">
        <is>
          <t>override</t>
        </is>
      </c>
      <c r="J910" s="32" t="n">
        <v>0.759</v>
      </c>
      <c r="K910" s="33">
        <f>IF(AND(IF($I911&lt;&gt;"",$I911,$I910)="override",$J910&lt;&gt;""),$J910,SUMIFS(Assumptions!$K$4:$K$8,Assumptions!$J$4:$J$8,$C910))*Assumptions!$S$10*(1-MIN(1,MAX(N($H910),N($H911))))</f>
        <v/>
      </c>
      <c r="L910" s="32" t="n"/>
      <c r="M910" s="34">
        <f>IF(AND(IF($I911&lt;&gt;"",$I911,$I910)="override",$L910&lt;&gt;""),$L910,SUMIFS(Assumptions!$P$4:$P$103,Assumptions!$M$4:$M$103,$C910,Assumptions!$N$4:$N$103,$E910,Assumptions!$O$4:$O$103,"LVN"))</f>
        <v/>
      </c>
      <c r="N910" s="32" t="n"/>
      <c r="O910" s="34">
        <f>IF(AND(IF($I911&lt;&gt;"",$I911,$I910)="override",$N910&lt;&gt;""),$N910,SUMIFS(Assumptions!$P$4:$P$103,Assumptions!$M$4:$M$103,$C910,Assumptions!$N$4:$N$103,$E910,Assumptions!$O$4:$O$103,"HVN"))</f>
        <v/>
      </c>
      <c r="P910" s="34">
        <f>(M910+O910)*Assumptions!$S$11</f>
        <v/>
      </c>
      <c r="Q910" s="35">
        <f>$F910*$K910*$P910</f>
        <v/>
      </c>
    </row>
    <row r="911">
      <c r="A911" s="24" t="inlineStr">
        <is>
          <t>TOTAL</t>
        </is>
      </c>
      <c r="B911" s="36" t="inlineStr">
        <is>
          <t>CHEVRON_EL_SEGUNDO</t>
        </is>
      </c>
      <c r="C911" s="36" t="n">
        <v>5</v>
      </c>
      <c r="D911" s="36" t="inlineStr">
        <is>
          <t>NET NAPHTHA</t>
        </is>
      </c>
      <c r="H911" s="31" t="n"/>
      <c r="I911" s="17" t="n"/>
      <c r="Q911" s="37">
        <f>SUM(Q902:Q910)</f>
        <v/>
      </c>
    </row>
    <row r="913" ht="20" customHeight="1">
      <c r="A913" s="8">
        <f>"  Marathon Petroleum Carson  [MARATHON_CARSON]   —   Marathon Petroleum   —   PADD 5   —   crude "&amp;TEXT(SUMIFS(Data!$G$3:$G$125,Data!$A$3:$A$125,"MARATHON_CARSON"),"#,##0")&amp;" kbd"</f>
        <v/>
      </c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</row>
    <row r="914">
      <c r="A914" s="11" t="inlineStr">
        <is>
          <t>UNIT</t>
        </is>
      </c>
      <c r="B914" s="28" t="inlineStr">
        <is>
          <t>MARATHON_CARSON</t>
        </is>
      </c>
      <c r="C914" s="28" t="n">
        <v>5</v>
      </c>
      <c r="D914" s="28" t="inlineStr">
        <is>
          <t>CRUDE-EST</t>
        </is>
      </c>
      <c r="E914" s="28" t="inlineStr">
        <is>
          <t>est. yield</t>
        </is>
      </c>
      <c r="F914" s="30">
        <f>SUMIFS(Data!$G$3:$G$125,Data!$A$3:$A$125,$B914)</f>
        <v/>
      </c>
      <c r="G914" s="30">
        <f>IFERROR(IF(INDEX(Effective!$E$3:$R$125,MATCH($B914,Effective!$A$3:$A$125,0),MATCH($D914,Effective!$E$2:$R$2,0))=0,"",INDEX(Effective!$E$3:$R$125,MATCH($B914,Effective!$A$3:$A$125,0),MATCH($D914,Effective!$E$2:$R$2,0))),"")</f>
        <v/>
      </c>
      <c r="H914" s="31" t="n"/>
      <c r="I914" s="17" t="inlineStr">
        <is>
          <t>override</t>
        </is>
      </c>
      <c r="J914" s="32" t="n"/>
      <c r="K914" s="33">
        <f>IF(AND(IF($I915&lt;&gt;"",$I915,$I914)="override",$J914&lt;&gt;""),$J914,SUMIFS(Assumptions!$K$4:$K$8,Assumptions!$J$4:$J$8,$C914))*Assumptions!$S$10*(1-MIN(1,MAX(N($H914),N($H915))))</f>
        <v/>
      </c>
      <c r="L914" s="32" t="n"/>
      <c r="M914" s="34">
        <f>IF(AND(IF($I915&lt;&gt;"",$I915,$I914)="override",$L914&lt;&gt;""),$L914,SUMIFS(Data!$N$3:$N$125,Data!$A$3:$A$125,$B914)*Assumptions!$S$4)</f>
        <v/>
      </c>
      <c r="N914" s="32" t="n"/>
      <c r="O914" s="34">
        <f>IF(AND(IF($I915&lt;&gt;"",$I915,$I914)="override",$N914&lt;&gt;""),$N914,SUMIFS(Data!$N$3:$N$125,Data!$A$3:$A$125,$B914)*Assumptions!$S$5)</f>
        <v/>
      </c>
      <c r="P914" s="34">
        <f>(M914+O914)*Assumptions!$S$11</f>
        <v/>
      </c>
      <c r="Q914" s="35">
        <f>$F914*$K914*$P914</f>
        <v/>
      </c>
    </row>
    <row r="915">
      <c r="A915" s="24" t="inlineStr">
        <is>
          <t>TOTAL</t>
        </is>
      </c>
      <c r="B915" s="36" t="inlineStr">
        <is>
          <t>MARATHON_CARSON</t>
        </is>
      </c>
      <c r="C915" s="36" t="n">
        <v>5</v>
      </c>
      <c r="D915" s="36" t="inlineStr">
        <is>
          <t>NET NAPHTHA</t>
        </is>
      </c>
      <c r="H915" s="31" t="n"/>
      <c r="I915" s="17" t="n"/>
      <c r="Q915" s="37">
        <f>SUM(Q914:Q914)</f>
        <v/>
      </c>
    </row>
    <row r="917" ht="20" customHeight="1">
      <c r="A917" s="8">
        <f>"  Chevron Richmond  [CHEVRON_RICHMOND]   —   Chevron   —   PADD 5   —   crude "&amp;TEXT(SUMIFS(Data!$G$3:$G$125,Data!$A$3:$A$125,"CHEVRON_RICHMOND"),"#,##0")&amp;" kbd"</f>
        <v/>
      </c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</row>
    <row r="918">
      <c r="A918" s="11" t="inlineStr">
        <is>
          <t>UNIT</t>
        </is>
      </c>
      <c r="B918" s="28" t="inlineStr">
        <is>
          <t>CHEVRON_RICHMOND</t>
        </is>
      </c>
      <c r="C918" s="28" t="n">
        <v>5</v>
      </c>
      <c r="D918" s="28" t="inlineStr">
        <is>
          <t>CDU</t>
        </is>
      </c>
      <c r="E918" s="28" t="inlineStr">
        <is>
          <t>CDU</t>
        </is>
      </c>
      <c r="F918" s="29" t="n">
        <v>257.2</v>
      </c>
      <c r="G918" s="30">
        <f>IFERROR(IF(INDEX(Effective!$E$3:$R$125,MATCH($B918,Effective!$A$3:$A$125,0),MATCH($D918,Effective!$E$2:$R$2,0))=0,"",INDEX(Effective!$E$3:$R$125,MATCH($B918,Effective!$A$3:$A$125,0),MATCH($D918,Effective!$E$2:$R$2,0))),"")</f>
        <v/>
      </c>
      <c r="H918" s="31" t="n"/>
      <c r="I918" s="17" t="inlineStr">
        <is>
          <t>override</t>
        </is>
      </c>
      <c r="J918" s="32" t="n">
        <v>0.9419999999999999</v>
      </c>
      <c r="K918" s="33">
        <f>IF(AND(IF($I926&lt;&gt;"",$I926,$I918)="override",$J918&lt;&gt;""),$J918,SUMIFS(Assumptions!$K$4:$K$8,Assumptions!$J$4:$J$8,$C918))*Assumptions!$S$10*(1-MIN(1,MAX(N($H918),N($H926))))</f>
        <v/>
      </c>
      <c r="L918" s="32" t="n"/>
      <c r="M918" s="34">
        <f>IF(AND(IF($I926&lt;&gt;"",$I926,$I918)="override",$L918&lt;&gt;""),$L918,SUMIFS(Assumptions!$P$4:$P$103,Assumptions!$M$4:$M$103,$C918,Assumptions!$N$4:$N$103,$E918,Assumptions!$O$4:$O$103,"LVN"))</f>
        <v/>
      </c>
      <c r="N918" s="32" t="n"/>
      <c r="O918" s="34">
        <f>IF(AND(IF($I926&lt;&gt;"",$I926,$I918)="override",$N918&lt;&gt;""),$N918,SUMIFS(Assumptions!$P$4:$P$103,Assumptions!$M$4:$M$103,$C918,Assumptions!$N$4:$N$103,$E918,Assumptions!$O$4:$O$103,"HVN"))</f>
        <v/>
      </c>
      <c r="P918" s="34">
        <f>(M918+O918)*Assumptions!$S$11</f>
        <v/>
      </c>
      <c r="Q918" s="35">
        <f>$F918*$K918*$P918</f>
        <v/>
      </c>
    </row>
    <row r="919">
      <c r="A919" s="11" t="inlineStr">
        <is>
          <t>UNIT</t>
        </is>
      </c>
      <c r="B919" s="28" t="inlineStr">
        <is>
          <t>CHEVRON_RICHMOND</t>
        </is>
      </c>
      <c r="C919" s="28" t="n">
        <v>5</v>
      </c>
      <c r="D919" s="28" t="inlineStr">
        <is>
          <t>VDU</t>
        </is>
      </c>
      <c r="E919" s="28" t="inlineStr">
        <is>
          <t>VDU</t>
        </is>
      </c>
      <c r="F919" s="29" t="n">
        <v>123.46</v>
      </c>
      <c r="G919" s="30">
        <f>IFERROR(IF(INDEX(Effective!$E$3:$R$125,MATCH($B919,Effective!$A$3:$A$125,0),MATCH($D919,Effective!$E$2:$R$2,0))=0,"",INDEX(Effective!$E$3:$R$125,MATCH($B919,Effective!$A$3:$A$125,0),MATCH($D919,Effective!$E$2:$R$2,0))),"")</f>
        <v/>
      </c>
      <c r="H919" s="31" t="n"/>
      <c r="I919" s="17" t="inlineStr">
        <is>
          <t>override</t>
        </is>
      </c>
      <c r="J919" s="32" t="n">
        <v>0.8149999999999999</v>
      </c>
      <c r="K919" s="33">
        <f>IF(AND(IF($I926&lt;&gt;"",$I926,$I919)="override",$J919&lt;&gt;""),$J919,SUMIFS(Assumptions!$K$4:$K$8,Assumptions!$J$4:$J$8,$C919))*Assumptions!$S$10*(1-MIN(1,MAX(N($H919),N($H926))))</f>
        <v/>
      </c>
      <c r="L919" s="32" t="n"/>
      <c r="M919" s="34">
        <f>IF(AND(IF($I926&lt;&gt;"",$I926,$I919)="override",$L919&lt;&gt;""),$L919,SUMIFS(Assumptions!$P$4:$P$103,Assumptions!$M$4:$M$103,$C919,Assumptions!$N$4:$N$103,$E919,Assumptions!$O$4:$O$103,"LVN"))</f>
        <v/>
      </c>
      <c r="N919" s="32" t="n"/>
      <c r="O919" s="34">
        <f>IF(AND(IF($I926&lt;&gt;"",$I926,$I919)="override",$N919&lt;&gt;""),$N919,SUMIFS(Assumptions!$P$4:$P$103,Assumptions!$M$4:$M$103,$C919,Assumptions!$N$4:$N$103,$E919,Assumptions!$O$4:$O$103,"HVN"))</f>
        <v/>
      </c>
      <c r="P919" s="34">
        <f>(M919+O919)*Assumptions!$S$11</f>
        <v/>
      </c>
      <c r="Q919" s="35">
        <f>$F919*$K919*$P919</f>
        <v/>
      </c>
    </row>
    <row r="920">
      <c r="A920" s="11" t="inlineStr">
        <is>
          <t>UNIT</t>
        </is>
      </c>
      <c r="B920" s="28" t="inlineStr">
        <is>
          <t>CHEVRON_RICHMOND</t>
        </is>
      </c>
      <c r="C920" s="28" t="n">
        <v>5</v>
      </c>
      <c r="D920" s="28" t="inlineStr">
        <is>
          <t>FCC</t>
        </is>
      </c>
      <c r="E920" s="28" t="inlineStr">
        <is>
          <t>FCC</t>
        </is>
      </c>
      <c r="F920" s="29" t="n">
        <v>90</v>
      </c>
      <c r="G920" s="30">
        <f>IFERROR(IF(INDEX(Effective!$E$3:$R$125,MATCH($B920,Effective!$A$3:$A$125,0),MATCH($D920,Effective!$E$2:$R$2,0))=0,"",INDEX(Effective!$E$3:$R$125,MATCH($B920,Effective!$A$3:$A$125,0),MATCH($D920,Effective!$E$2:$R$2,0))),"")</f>
        <v/>
      </c>
      <c r="H920" s="31" t="n"/>
      <c r="I920" s="17" t="inlineStr">
        <is>
          <t>override</t>
        </is>
      </c>
      <c r="J920" s="32" t="n">
        <v>0.597</v>
      </c>
      <c r="K920" s="33">
        <f>IF(AND(IF($I926&lt;&gt;"",$I926,$I920)="override",$J920&lt;&gt;""),$J920,SUMIFS(Assumptions!$K$4:$K$8,Assumptions!$J$4:$J$8,$C920))*Assumptions!$S$10*(1-MIN(1,MAX(N($H920),N($H926))))</f>
        <v/>
      </c>
      <c r="L920" s="32" t="n"/>
      <c r="M920" s="34">
        <f>IF(AND(IF($I926&lt;&gt;"",$I926,$I920)="override",$L920&lt;&gt;""),$L920,SUMIFS(Assumptions!$P$4:$P$103,Assumptions!$M$4:$M$103,$C920,Assumptions!$N$4:$N$103,$E920,Assumptions!$O$4:$O$103,"LVN"))</f>
        <v/>
      </c>
      <c r="N920" s="32" t="n"/>
      <c r="O920" s="34">
        <f>IF(AND(IF($I926&lt;&gt;"",$I926,$I920)="override",$N920&lt;&gt;""),$N920,SUMIFS(Assumptions!$P$4:$P$103,Assumptions!$M$4:$M$103,$C920,Assumptions!$N$4:$N$103,$E920,Assumptions!$O$4:$O$103,"HVN"))</f>
        <v/>
      </c>
      <c r="P920" s="34">
        <f>(M920+O920)*Assumptions!$S$11</f>
        <v/>
      </c>
      <c r="Q920" s="35">
        <f>$F920*$K920*$P920</f>
        <v/>
      </c>
    </row>
    <row r="921">
      <c r="A921" s="11" t="inlineStr">
        <is>
          <t>UNIT</t>
        </is>
      </c>
      <c r="B921" s="28" t="inlineStr">
        <is>
          <t>CHEVRON_RICHMOND</t>
        </is>
      </c>
      <c r="C921" s="28" t="n">
        <v>5</v>
      </c>
      <c r="D921" s="28" t="inlineStr">
        <is>
          <t>DHCU</t>
        </is>
      </c>
      <c r="E921" s="28" t="inlineStr">
        <is>
          <t>HYDROCRACKER</t>
        </is>
      </c>
      <c r="F921" s="29" t="n">
        <v>103.4</v>
      </c>
      <c r="G921" s="30">
        <f>IFERROR(IF(INDEX(Effective!$E$3:$R$125,MATCH($B921,Effective!$A$3:$A$125,0),MATCH($D921,Effective!$E$2:$R$2,0))=0,"",INDEX(Effective!$E$3:$R$125,MATCH($B921,Effective!$A$3:$A$125,0),MATCH($D921,Effective!$E$2:$R$2,0))),"")</f>
        <v/>
      </c>
      <c r="H921" s="31" t="n"/>
      <c r="I921" s="17" t="inlineStr">
        <is>
          <t>override</t>
        </is>
      </c>
      <c r="J921" s="32" t="n">
        <v>0.493</v>
      </c>
      <c r="K921" s="33">
        <f>IF(AND(IF($I926&lt;&gt;"",$I926,$I921)="override",$J921&lt;&gt;""),$J921,SUMIFS(Assumptions!$K$4:$K$8,Assumptions!$J$4:$J$8,$C921))*Assumptions!$S$10*(1-MIN(1,MAX(N($H921),N($H926))))</f>
        <v/>
      </c>
      <c r="L921" s="32" t="n"/>
      <c r="M921" s="34">
        <f>IF(AND(IF($I926&lt;&gt;"",$I926,$I921)="override",$L921&lt;&gt;""),$L921,SUMIFS(Assumptions!$P$4:$P$103,Assumptions!$M$4:$M$103,$C921,Assumptions!$N$4:$N$103,$E921,Assumptions!$O$4:$O$103,"LVN"))</f>
        <v/>
      </c>
      <c r="N921" s="32" t="n"/>
      <c r="O921" s="34">
        <f>IF(AND(IF($I926&lt;&gt;"",$I926,$I921)="override",$N921&lt;&gt;""),$N921,SUMIFS(Assumptions!$P$4:$P$103,Assumptions!$M$4:$M$103,$C921,Assumptions!$N$4:$N$103,$E921,Assumptions!$O$4:$O$103,"HVN"))</f>
        <v/>
      </c>
      <c r="P921" s="34">
        <f>(M921+O921)*Assumptions!$S$11</f>
        <v/>
      </c>
      <c r="Q921" s="35">
        <f>$F921*$K921*$P921</f>
        <v/>
      </c>
    </row>
    <row r="922">
      <c r="A922" s="11" t="inlineStr">
        <is>
          <t>UNIT</t>
        </is>
      </c>
      <c r="B922" s="28" t="inlineStr">
        <is>
          <t>CHEVRON_RICHMOND</t>
        </is>
      </c>
      <c r="C922" s="28" t="n">
        <v>5</v>
      </c>
      <c r="D922" s="28" t="inlineStr">
        <is>
          <t>CCR</t>
        </is>
      </c>
      <c r="E922" s="28" t="inlineStr">
        <is>
          <t>REFORMER</t>
        </is>
      </c>
      <c r="F922" s="29" t="n">
        <v>71.3</v>
      </c>
      <c r="G922" s="30">
        <f>IFERROR(IF(INDEX(Effective!$E$3:$R$125,MATCH($B922,Effective!$A$3:$A$125,0),MATCH($D922,Effective!$E$2:$R$2,0))=0,"",INDEX(Effective!$E$3:$R$125,MATCH($B922,Effective!$A$3:$A$125,0),MATCH($D922,Effective!$E$2:$R$2,0))),"")</f>
        <v/>
      </c>
      <c r="H922" s="31" t="n"/>
      <c r="I922" s="17" t="inlineStr">
        <is>
          <t>override</t>
        </is>
      </c>
      <c r="J922" s="32" t="n"/>
      <c r="K922" s="33">
        <f>IF(AND(IF($I926&lt;&gt;"",$I926,$I922)="override",$J922&lt;&gt;""),$J922,SUMIFS(Assumptions!$K$4:$K$8,Assumptions!$J$4:$J$8,$C922))*Assumptions!$S$10*(1-MIN(1,MAX(N($H922),N($H926))))</f>
        <v/>
      </c>
      <c r="L922" s="32" t="n"/>
      <c r="M922" s="34">
        <f>IF(AND(IF($I926&lt;&gt;"",$I926,$I922)="override",$L922&lt;&gt;""),$L922,SUMIFS(Assumptions!$P$4:$P$103,Assumptions!$M$4:$M$103,$C922,Assumptions!$N$4:$N$103,$E922,Assumptions!$O$4:$O$103,"LVN"))</f>
        <v/>
      </c>
      <c r="N922" s="32" t="n"/>
      <c r="O922" s="34">
        <f>IF(AND(IF($I926&lt;&gt;"",$I926,$I922)="override",$N922&lt;&gt;""),$N922,SUMIFS(Assumptions!$P$4:$P$103,Assumptions!$M$4:$M$103,$C922,Assumptions!$N$4:$N$103,$E922,Assumptions!$O$4:$O$103,"HVN"))</f>
        <v/>
      </c>
      <c r="P922" s="34">
        <f>(M922+O922)*Assumptions!$S$11</f>
        <v/>
      </c>
      <c r="Q922" s="35">
        <f>$F922*$K922*$P922</f>
        <v/>
      </c>
    </row>
    <row r="923">
      <c r="A923" s="11" t="inlineStr">
        <is>
          <t>UNIT</t>
        </is>
      </c>
      <c r="B923" s="28" t="inlineStr">
        <is>
          <t>CHEVRON_RICHMOND</t>
        </is>
      </c>
      <c r="C923" s="28" t="n">
        <v>5</v>
      </c>
      <c r="D923" s="28" t="inlineStr">
        <is>
          <t>ISOM</t>
        </is>
      </c>
      <c r="E923" s="28" t="inlineStr">
        <is>
          <t>ISOM</t>
        </is>
      </c>
      <c r="F923" s="29" t="n">
        <v>46</v>
      </c>
      <c r="G923" s="30">
        <f>IFERROR(IF(INDEX(Effective!$E$3:$R$125,MATCH($B923,Effective!$A$3:$A$125,0),MATCH($D923,Effective!$E$2:$R$2,0))=0,"",INDEX(Effective!$E$3:$R$125,MATCH($B923,Effective!$A$3:$A$125,0),MATCH($D923,Effective!$E$2:$R$2,0))),"")</f>
        <v/>
      </c>
      <c r="H923" s="31" t="n"/>
      <c r="I923" s="17" t="inlineStr">
        <is>
          <t>override</t>
        </is>
      </c>
      <c r="J923" s="32" t="n">
        <v>0.455</v>
      </c>
      <c r="K923" s="33">
        <f>IF(AND(IF($I926&lt;&gt;"",$I926,$I923)="override",$J923&lt;&gt;""),$J923,SUMIFS(Assumptions!$K$4:$K$8,Assumptions!$J$4:$J$8,$C923))*Assumptions!$S$10*(1-MIN(1,MAX(N($H923),N($H926))))</f>
        <v/>
      </c>
      <c r="L923" s="32" t="n"/>
      <c r="M923" s="34">
        <f>IF(AND(IF($I926&lt;&gt;"",$I926,$I923)="override",$L923&lt;&gt;""),$L923,SUMIFS(Assumptions!$P$4:$P$103,Assumptions!$M$4:$M$103,$C923,Assumptions!$N$4:$N$103,$E923,Assumptions!$O$4:$O$103,"LVN"))</f>
        <v/>
      </c>
      <c r="N923" s="32" t="n"/>
      <c r="O923" s="34">
        <f>IF(AND(IF($I926&lt;&gt;"",$I926,$I923)="override",$N923&lt;&gt;""),$N923,SUMIFS(Assumptions!$P$4:$P$103,Assumptions!$M$4:$M$103,$C923,Assumptions!$N$4:$N$103,$E923,Assumptions!$O$4:$O$103,"HVN"))</f>
        <v/>
      </c>
      <c r="P923" s="34">
        <f>(M923+O923)*Assumptions!$S$11</f>
        <v/>
      </c>
      <c r="Q923" s="35">
        <f>$F923*$K923*$P923</f>
        <v/>
      </c>
    </row>
    <row r="924">
      <c r="A924" s="11" t="inlineStr">
        <is>
          <t>UNIT</t>
        </is>
      </c>
      <c r="B924" s="28" t="inlineStr">
        <is>
          <t>CHEVRON_RICHMOND</t>
        </is>
      </c>
      <c r="C924" s="28" t="n">
        <v>5</v>
      </c>
      <c r="D924" s="28" t="inlineStr">
        <is>
          <t>ALKY</t>
        </is>
      </c>
      <c r="E924" s="28" t="inlineStr">
        <is>
          <t>ALKY</t>
        </is>
      </c>
      <c r="F924" s="29" t="n">
        <v>32.66</v>
      </c>
      <c r="G924" s="30">
        <f>IFERROR(IF(INDEX(Effective!$E$3:$R$125,MATCH($B924,Effective!$A$3:$A$125,0),MATCH($D924,Effective!$E$2:$R$2,0))=0,"",INDEX(Effective!$E$3:$R$125,MATCH($B924,Effective!$A$3:$A$125,0),MATCH($D924,Effective!$E$2:$R$2,0))),"")</f>
        <v/>
      </c>
      <c r="H924" s="31" t="n"/>
      <c r="I924" s="17" t="inlineStr">
        <is>
          <t>override</t>
        </is>
      </c>
      <c r="J924" s="32" t="n">
        <v>0.62</v>
      </c>
      <c r="K924" s="33">
        <f>IF(AND(IF($I926&lt;&gt;"",$I926,$I924)="override",$J924&lt;&gt;""),$J924,SUMIFS(Assumptions!$K$4:$K$8,Assumptions!$J$4:$J$8,$C924))*Assumptions!$S$10*(1-MIN(1,MAX(N($H924),N($H926))))</f>
        <v/>
      </c>
      <c r="L924" s="32" t="n"/>
      <c r="M924" s="34">
        <f>IF(AND(IF($I926&lt;&gt;"",$I926,$I924)="override",$L924&lt;&gt;""),$L924,SUMIFS(Assumptions!$P$4:$P$103,Assumptions!$M$4:$M$103,$C924,Assumptions!$N$4:$N$103,$E924,Assumptions!$O$4:$O$103,"LVN"))</f>
        <v/>
      </c>
      <c r="N924" s="32" t="n"/>
      <c r="O924" s="34">
        <f>IF(AND(IF($I926&lt;&gt;"",$I926,$I924)="override",$N924&lt;&gt;""),$N924,SUMIFS(Assumptions!$P$4:$P$103,Assumptions!$M$4:$M$103,$C924,Assumptions!$N$4:$N$103,$E924,Assumptions!$O$4:$O$103,"HVN"))</f>
        <v/>
      </c>
      <c r="P924" s="34">
        <f>(M924+O924)*Assumptions!$S$11</f>
        <v/>
      </c>
      <c r="Q924" s="35">
        <f>$F924*$K924*$P924</f>
        <v/>
      </c>
    </row>
    <row r="925">
      <c r="A925" s="11" t="inlineStr">
        <is>
          <t>UNIT</t>
        </is>
      </c>
      <c r="B925" s="28" t="inlineStr">
        <is>
          <t>CHEVRON_RICHMOND</t>
        </is>
      </c>
      <c r="C925" s="28" t="n">
        <v>5</v>
      </c>
      <c r="D925" s="28" t="inlineStr">
        <is>
          <t>NHT</t>
        </is>
      </c>
      <c r="E925" s="28" t="inlineStr">
        <is>
          <t>NHT</t>
        </is>
      </c>
      <c r="F925" s="29" t="n">
        <v>57.6</v>
      </c>
      <c r="G925" s="30">
        <f>IFERROR(IF(INDEX(Effective!$E$3:$R$125,MATCH($B925,Effective!$A$3:$A$125,0),MATCH($D925,Effective!$E$2:$R$2,0))=0,"",INDEX(Effective!$E$3:$R$125,MATCH($B925,Effective!$A$3:$A$125,0),MATCH($D925,Effective!$E$2:$R$2,0))),"")</f>
        <v/>
      </c>
      <c r="H925" s="31" t="n"/>
      <c r="I925" s="17" t="inlineStr">
        <is>
          <t>override</t>
        </is>
      </c>
      <c r="J925" s="32" t="n">
        <v>1</v>
      </c>
      <c r="K925" s="33">
        <f>IF(AND(IF($I926&lt;&gt;"",$I926,$I925)="override",$J925&lt;&gt;""),$J925,SUMIFS(Assumptions!$K$4:$K$8,Assumptions!$J$4:$J$8,$C925))*Assumptions!$S$10*(1-MIN(1,MAX(N($H925),N($H926))))</f>
        <v/>
      </c>
      <c r="L925" s="32" t="n"/>
      <c r="M925" s="34">
        <f>IF(AND(IF($I926&lt;&gt;"",$I926,$I925)="override",$L925&lt;&gt;""),$L925,SUMIFS(Assumptions!$P$4:$P$103,Assumptions!$M$4:$M$103,$C925,Assumptions!$N$4:$N$103,$E925,Assumptions!$O$4:$O$103,"LVN"))</f>
        <v/>
      </c>
      <c r="N925" s="32" t="n"/>
      <c r="O925" s="34">
        <f>IF(AND(IF($I926&lt;&gt;"",$I926,$I925)="override",$N925&lt;&gt;""),$N925,SUMIFS(Assumptions!$P$4:$P$103,Assumptions!$M$4:$M$103,$C925,Assumptions!$N$4:$N$103,$E925,Assumptions!$O$4:$O$103,"HVN"))</f>
        <v/>
      </c>
      <c r="P925" s="34">
        <f>(M925+O925)*Assumptions!$S$11</f>
        <v/>
      </c>
      <c r="Q925" s="35">
        <f>$F925*$K925*$P925</f>
        <v/>
      </c>
    </row>
    <row r="926">
      <c r="A926" s="24" t="inlineStr">
        <is>
          <t>TOTAL</t>
        </is>
      </c>
      <c r="B926" s="36" t="inlineStr">
        <is>
          <t>CHEVRON_RICHMOND</t>
        </is>
      </c>
      <c r="C926" s="36" t="n">
        <v>5</v>
      </c>
      <c r="D926" s="36" t="inlineStr">
        <is>
          <t>NET NAPHTHA</t>
        </is>
      </c>
      <c r="H926" s="31" t="n"/>
      <c r="I926" s="17" t="n"/>
      <c r="Q926" s="37">
        <f>SUM(Q918:Q925)</f>
        <v/>
      </c>
    </row>
    <row r="928" ht="20" customHeight="1">
      <c r="A928" s="8">
        <f>"  BP Ferndale  [BP_FERNDALE]   —   BP   —   PADD 5   —   crude "&amp;TEXT(SUMIFS(Data!$G$3:$G$125,Data!$A$3:$A$125,"BP_FERNDALE"),"#,##0")&amp;" kbd"</f>
        <v/>
      </c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</row>
    <row r="929">
      <c r="A929" s="11" t="inlineStr">
        <is>
          <t>UNIT</t>
        </is>
      </c>
      <c r="B929" s="28" t="inlineStr">
        <is>
          <t>BP_FERNDALE</t>
        </is>
      </c>
      <c r="C929" s="28" t="n">
        <v>5</v>
      </c>
      <c r="D929" s="28" t="inlineStr">
        <is>
          <t>CDU</t>
        </is>
      </c>
      <c r="E929" s="28" t="inlineStr">
        <is>
          <t>CDU</t>
        </is>
      </c>
      <c r="F929" s="29" t="n">
        <v>251</v>
      </c>
      <c r="G929" s="30">
        <f>IFERROR(IF(INDEX(Effective!$E$3:$R$125,MATCH($B929,Effective!$A$3:$A$125,0),MATCH($D929,Effective!$E$2:$R$2,0))=0,"",INDEX(Effective!$E$3:$R$125,MATCH($B929,Effective!$A$3:$A$125,0),MATCH($D929,Effective!$E$2:$R$2,0))),"")</f>
        <v/>
      </c>
      <c r="H929" s="31" t="n"/>
      <c r="I929" s="17" t="inlineStr">
        <is>
          <t>override</t>
        </is>
      </c>
      <c r="J929" s="32" t="n">
        <v>0.9330000000000001</v>
      </c>
      <c r="K929" s="33">
        <f>IF(AND(IF($I936&lt;&gt;"",$I936,$I929)="override",$J929&lt;&gt;""),$J929,SUMIFS(Assumptions!$K$4:$K$8,Assumptions!$J$4:$J$8,$C929))*Assumptions!$S$10*(1-MIN(1,MAX(N($H929),N($H936))))</f>
        <v/>
      </c>
      <c r="L929" s="32" t="n"/>
      <c r="M929" s="34">
        <f>IF(AND(IF($I936&lt;&gt;"",$I936,$I929)="override",$L929&lt;&gt;""),$L929,SUMIFS(Assumptions!$P$4:$P$103,Assumptions!$M$4:$M$103,$C929,Assumptions!$N$4:$N$103,$E929,Assumptions!$O$4:$O$103,"LVN"))</f>
        <v/>
      </c>
      <c r="N929" s="32" t="n"/>
      <c r="O929" s="34">
        <f>IF(AND(IF($I936&lt;&gt;"",$I936,$I929)="override",$N929&lt;&gt;""),$N929,SUMIFS(Assumptions!$P$4:$P$103,Assumptions!$M$4:$M$103,$C929,Assumptions!$N$4:$N$103,$E929,Assumptions!$O$4:$O$103,"HVN"))</f>
        <v/>
      </c>
      <c r="P929" s="34">
        <f>(M929+O929)*Assumptions!$S$11</f>
        <v/>
      </c>
      <c r="Q929" s="35">
        <f>$F929*$K929*$P929</f>
        <v/>
      </c>
    </row>
    <row r="930">
      <c r="A930" s="11" t="inlineStr">
        <is>
          <t>UNIT</t>
        </is>
      </c>
      <c r="B930" s="28" t="inlineStr">
        <is>
          <t>BP_FERNDALE</t>
        </is>
      </c>
      <c r="C930" s="28" t="n">
        <v>5</v>
      </c>
      <c r="D930" s="28" t="inlineStr">
        <is>
          <t>VDU</t>
        </is>
      </c>
      <c r="E930" s="28" t="inlineStr">
        <is>
          <t>VDU</t>
        </is>
      </c>
      <c r="F930" s="29" t="n">
        <v>139</v>
      </c>
      <c r="G930" s="30">
        <f>IFERROR(IF(INDEX(Effective!$E$3:$R$125,MATCH($B930,Effective!$A$3:$A$125,0),MATCH($D930,Effective!$E$2:$R$2,0))=0,"",INDEX(Effective!$E$3:$R$125,MATCH($B930,Effective!$A$3:$A$125,0),MATCH($D930,Effective!$E$2:$R$2,0))),"")</f>
        <v/>
      </c>
      <c r="H930" s="31" t="n"/>
      <c r="I930" s="17" t="inlineStr">
        <is>
          <t>override</t>
        </is>
      </c>
      <c r="J930" s="32" t="n">
        <v>0.6899999999999999</v>
      </c>
      <c r="K930" s="33">
        <f>IF(AND(IF($I936&lt;&gt;"",$I936,$I930)="override",$J930&lt;&gt;""),$J930,SUMIFS(Assumptions!$K$4:$K$8,Assumptions!$J$4:$J$8,$C930))*Assumptions!$S$10*(1-MIN(1,MAX(N($H930),N($H936))))</f>
        <v/>
      </c>
      <c r="L930" s="32" t="n"/>
      <c r="M930" s="34">
        <f>IF(AND(IF($I936&lt;&gt;"",$I936,$I930)="override",$L930&lt;&gt;""),$L930,SUMIFS(Assumptions!$P$4:$P$103,Assumptions!$M$4:$M$103,$C930,Assumptions!$N$4:$N$103,$E930,Assumptions!$O$4:$O$103,"LVN"))</f>
        <v/>
      </c>
      <c r="N930" s="32" t="n"/>
      <c r="O930" s="34">
        <f>IF(AND(IF($I936&lt;&gt;"",$I936,$I930)="override",$N930&lt;&gt;""),$N930,SUMIFS(Assumptions!$P$4:$P$103,Assumptions!$M$4:$M$103,$C930,Assumptions!$N$4:$N$103,$E930,Assumptions!$O$4:$O$103,"HVN"))</f>
        <v/>
      </c>
      <c r="P930" s="34">
        <f>(M930+O930)*Assumptions!$S$11</f>
        <v/>
      </c>
      <c r="Q930" s="35">
        <f>$F930*$K930*$P930</f>
        <v/>
      </c>
    </row>
    <row r="931">
      <c r="A931" s="11" t="inlineStr">
        <is>
          <t>UNIT</t>
        </is>
      </c>
      <c r="B931" s="28" t="inlineStr">
        <is>
          <t>BP_FERNDALE</t>
        </is>
      </c>
      <c r="C931" s="28" t="n">
        <v>5</v>
      </c>
      <c r="D931" s="28" t="inlineStr">
        <is>
          <t>DHCU</t>
        </is>
      </c>
      <c r="E931" s="28" t="inlineStr">
        <is>
          <t>HYDROCRACKER</t>
        </is>
      </c>
      <c r="F931" s="29" t="n">
        <v>65</v>
      </c>
      <c r="G931" s="30">
        <f>IFERROR(IF(INDEX(Effective!$E$3:$R$125,MATCH($B931,Effective!$A$3:$A$125,0),MATCH($D931,Effective!$E$2:$R$2,0))=0,"",INDEX(Effective!$E$3:$R$125,MATCH($B931,Effective!$A$3:$A$125,0),MATCH($D931,Effective!$E$2:$R$2,0))),"")</f>
        <v/>
      </c>
      <c r="H931" s="31" t="n"/>
      <c r="I931" s="17" t="inlineStr">
        <is>
          <t>override</t>
        </is>
      </c>
      <c r="J931" s="32" t="n">
        <v>0.998</v>
      </c>
      <c r="K931" s="33">
        <f>IF(AND(IF($I936&lt;&gt;"",$I936,$I931)="override",$J931&lt;&gt;""),$J931,SUMIFS(Assumptions!$K$4:$K$8,Assumptions!$J$4:$J$8,$C931))*Assumptions!$S$10*(1-MIN(1,MAX(N($H931),N($H936))))</f>
        <v/>
      </c>
      <c r="L931" s="32" t="n"/>
      <c r="M931" s="34">
        <f>IF(AND(IF($I936&lt;&gt;"",$I936,$I931)="override",$L931&lt;&gt;""),$L931,SUMIFS(Assumptions!$P$4:$P$103,Assumptions!$M$4:$M$103,$C931,Assumptions!$N$4:$N$103,$E931,Assumptions!$O$4:$O$103,"LVN"))</f>
        <v/>
      </c>
      <c r="N931" s="32" t="n"/>
      <c r="O931" s="34">
        <f>IF(AND(IF($I936&lt;&gt;"",$I936,$I931)="override",$N931&lt;&gt;""),$N931,SUMIFS(Assumptions!$P$4:$P$103,Assumptions!$M$4:$M$103,$C931,Assumptions!$N$4:$N$103,$E931,Assumptions!$O$4:$O$103,"HVN"))</f>
        <v/>
      </c>
      <c r="P931" s="34">
        <f>(M931+O931)*Assumptions!$S$11</f>
        <v/>
      </c>
      <c r="Q931" s="35">
        <f>$F931*$K931*$P931</f>
        <v/>
      </c>
    </row>
    <row r="932">
      <c r="A932" s="11" t="inlineStr">
        <is>
          <t>UNIT</t>
        </is>
      </c>
      <c r="B932" s="28" t="inlineStr">
        <is>
          <t>BP_FERNDALE</t>
        </is>
      </c>
      <c r="C932" s="28" t="n">
        <v>5</v>
      </c>
      <c r="D932" s="28" t="inlineStr">
        <is>
          <t>COKER</t>
        </is>
      </c>
      <c r="E932" s="28" t="inlineStr">
        <is>
          <t>COKER</t>
        </is>
      </c>
      <c r="F932" s="29" t="n">
        <v>61.5</v>
      </c>
      <c r="G932" s="30">
        <f>IFERROR(IF(INDEX(Effective!$E$3:$R$125,MATCH($B932,Effective!$A$3:$A$125,0),MATCH($D932,Effective!$E$2:$R$2,0))=0,"",INDEX(Effective!$E$3:$R$125,MATCH($B932,Effective!$A$3:$A$125,0),MATCH($D932,Effective!$E$2:$R$2,0))),"")</f>
        <v/>
      </c>
      <c r="H932" s="31" t="n"/>
      <c r="I932" s="17" t="inlineStr">
        <is>
          <t>override</t>
        </is>
      </c>
      <c r="J932" s="32" t="n">
        <v>0.647</v>
      </c>
      <c r="K932" s="33">
        <f>IF(AND(IF($I936&lt;&gt;"",$I936,$I932)="override",$J932&lt;&gt;""),$J932,SUMIFS(Assumptions!$K$4:$K$8,Assumptions!$J$4:$J$8,$C932))*Assumptions!$S$10*(1-MIN(1,MAX(N($H932),N($H936))))</f>
        <v/>
      </c>
      <c r="L932" s="32" t="n"/>
      <c r="M932" s="34">
        <f>IF(AND(IF($I936&lt;&gt;"",$I936,$I932)="override",$L932&lt;&gt;""),$L932,SUMIFS(Assumptions!$P$4:$P$103,Assumptions!$M$4:$M$103,$C932,Assumptions!$N$4:$N$103,$E932,Assumptions!$O$4:$O$103,"LVN"))</f>
        <v/>
      </c>
      <c r="N932" s="32" t="n"/>
      <c r="O932" s="34">
        <f>IF(AND(IF($I936&lt;&gt;"",$I936,$I932)="override",$N932&lt;&gt;""),$N932,SUMIFS(Assumptions!$P$4:$P$103,Assumptions!$M$4:$M$103,$C932,Assumptions!$N$4:$N$103,$E932,Assumptions!$O$4:$O$103,"HVN"))</f>
        <v/>
      </c>
      <c r="P932" s="34">
        <f>(M932+O932)*Assumptions!$S$11</f>
        <v/>
      </c>
      <c r="Q932" s="35">
        <f>$F932*$K932*$P932</f>
        <v/>
      </c>
    </row>
    <row r="933">
      <c r="A933" s="11" t="inlineStr">
        <is>
          <t>UNIT</t>
        </is>
      </c>
      <c r="B933" s="28" t="inlineStr">
        <is>
          <t>BP_FERNDALE</t>
        </is>
      </c>
      <c r="C933" s="28" t="n">
        <v>5</v>
      </c>
      <c r="D933" s="28" t="inlineStr">
        <is>
          <t>CCR</t>
        </is>
      </c>
      <c r="E933" s="28" t="inlineStr">
        <is>
          <t>REFORMER</t>
        </is>
      </c>
      <c r="F933" s="29" t="n">
        <v>65</v>
      </c>
      <c r="G933" s="30">
        <f>IFERROR(IF(INDEX(Effective!$E$3:$R$125,MATCH($B933,Effective!$A$3:$A$125,0),MATCH($D933,Effective!$E$2:$R$2,0))=0,"",INDEX(Effective!$E$3:$R$125,MATCH($B933,Effective!$A$3:$A$125,0),MATCH($D933,Effective!$E$2:$R$2,0))),"")</f>
        <v/>
      </c>
      <c r="H933" s="31" t="n"/>
      <c r="I933" s="17" t="inlineStr">
        <is>
          <t>override</t>
        </is>
      </c>
      <c r="J933" s="32" t="n">
        <v>0.881</v>
      </c>
      <c r="K933" s="33">
        <f>IF(AND(IF($I936&lt;&gt;"",$I936,$I933)="override",$J933&lt;&gt;""),$J933,SUMIFS(Assumptions!$K$4:$K$8,Assumptions!$J$4:$J$8,$C933))*Assumptions!$S$10*(1-MIN(1,MAX(N($H933),N($H936))))</f>
        <v/>
      </c>
      <c r="L933" s="32" t="n"/>
      <c r="M933" s="34">
        <f>IF(AND(IF($I936&lt;&gt;"",$I936,$I933)="override",$L933&lt;&gt;""),$L933,SUMIFS(Assumptions!$P$4:$P$103,Assumptions!$M$4:$M$103,$C933,Assumptions!$N$4:$N$103,$E933,Assumptions!$O$4:$O$103,"LVN"))</f>
        <v/>
      </c>
      <c r="N933" s="32" t="n"/>
      <c r="O933" s="34">
        <f>IF(AND(IF($I936&lt;&gt;"",$I936,$I933)="override",$N933&lt;&gt;""),$N933,SUMIFS(Assumptions!$P$4:$P$103,Assumptions!$M$4:$M$103,$C933,Assumptions!$N$4:$N$103,$E933,Assumptions!$O$4:$O$103,"HVN"))</f>
        <v/>
      </c>
      <c r="P933" s="34">
        <f>(M933+O933)*Assumptions!$S$11</f>
        <v/>
      </c>
      <c r="Q933" s="35">
        <f>$F933*$K933*$P933</f>
        <v/>
      </c>
    </row>
    <row r="934">
      <c r="A934" s="11" t="inlineStr">
        <is>
          <t>UNIT</t>
        </is>
      </c>
      <c r="B934" s="28" t="inlineStr">
        <is>
          <t>BP_FERNDALE</t>
        </is>
      </c>
      <c r="C934" s="28" t="n">
        <v>5</v>
      </c>
      <c r="D934" s="28" t="inlineStr">
        <is>
          <t>ISOM</t>
        </is>
      </c>
      <c r="E934" s="28" t="inlineStr">
        <is>
          <t>ISOM</t>
        </is>
      </c>
      <c r="F934" s="29" t="n">
        <v>26</v>
      </c>
      <c r="G934" s="30">
        <f>IFERROR(IF(INDEX(Effective!$E$3:$R$125,MATCH($B934,Effective!$A$3:$A$125,0),MATCH($D934,Effective!$E$2:$R$2,0))=0,"",INDEX(Effective!$E$3:$R$125,MATCH($B934,Effective!$A$3:$A$125,0),MATCH($D934,Effective!$E$2:$R$2,0))),"")</f>
        <v/>
      </c>
      <c r="H934" s="31" t="n"/>
      <c r="I934" s="17" t="inlineStr">
        <is>
          <t>override</t>
        </is>
      </c>
      <c r="J934" s="32" t="n">
        <v>0.826</v>
      </c>
      <c r="K934" s="33">
        <f>IF(AND(IF($I936&lt;&gt;"",$I936,$I934)="override",$J934&lt;&gt;""),$J934,SUMIFS(Assumptions!$K$4:$K$8,Assumptions!$J$4:$J$8,$C934))*Assumptions!$S$10*(1-MIN(1,MAX(N($H934),N($H936))))</f>
        <v/>
      </c>
      <c r="L934" s="32" t="n"/>
      <c r="M934" s="34">
        <f>IF(AND(IF($I936&lt;&gt;"",$I936,$I934)="override",$L934&lt;&gt;""),$L934,SUMIFS(Assumptions!$P$4:$P$103,Assumptions!$M$4:$M$103,$C934,Assumptions!$N$4:$N$103,$E934,Assumptions!$O$4:$O$103,"LVN"))</f>
        <v/>
      </c>
      <c r="N934" s="32" t="n"/>
      <c r="O934" s="34">
        <f>IF(AND(IF($I936&lt;&gt;"",$I936,$I934)="override",$N934&lt;&gt;""),$N934,SUMIFS(Assumptions!$P$4:$P$103,Assumptions!$M$4:$M$103,$C934,Assumptions!$N$4:$N$103,$E934,Assumptions!$O$4:$O$103,"HVN"))</f>
        <v/>
      </c>
      <c r="P934" s="34">
        <f>(M934+O934)*Assumptions!$S$11</f>
        <v/>
      </c>
      <c r="Q934" s="35">
        <f>$F934*$K934*$P934</f>
        <v/>
      </c>
    </row>
    <row r="935">
      <c r="A935" s="11" t="inlineStr">
        <is>
          <t>UNIT</t>
        </is>
      </c>
      <c r="B935" s="28" t="inlineStr">
        <is>
          <t>BP_FERNDALE</t>
        </is>
      </c>
      <c r="C935" s="28" t="n">
        <v>5</v>
      </c>
      <c r="D935" s="28" t="inlineStr">
        <is>
          <t>NHT</t>
        </is>
      </c>
      <c r="E935" s="28" t="inlineStr">
        <is>
          <t>NHT</t>
        </is>
      </c>
      <c r="F935" s="29" t="n">
        <v>100.5</v>
      </c>
      <c r="G935" s="30">
        <f>IFERROR(IF(INDEX(Effective!$E$3:$R$125,MATCH($B935,Effective!$A$3:$A$125,0),MATCH($D935,Effective!$E$2:$R$2,0))=0,"",INDEX(Effective!$E$3:$R$125,MATCH($B935,Effective!$A$3:$A$125,0),MATCH($D935,Effective!$E$2:$R$2,0))),"")</f>
        <v/>
      </c>
      <c r="H935" s="31" t="n"/>
      <c r="I935" s="17" t="inlineStr">
        <is>
          <t>override</t>
        </is>
      </c>
      <c r="J935" s="32" t="n">
        <v>0.6</v>
      </c>
      <c r="K935" s="33">
        <f>IF(AND(IF($I936&lt;&gt;"",$I936,$I935)="override",$J935&lt;&gt;""),$J935,SUMIFS(Assumptions!$K$4:$K$8,Assumptions!$J$4:$J$8,$C935))*Assumptions!$S$10*(1-MIN(1,MAX(N($H935),N($H936))))</f>
        <v/>
      </c>
      <c r="L935" s="32" t="n"/>
      <c r="M935" s="34">
        <f>IF(AND(IF($I936&lt;&gt;"",$I936,$I935)="override",$L935&lt;&gt;""),$L935,SUMIFS(Assumptions!$P$4:$P$103,Assumptions!$M$4:$M$103,$C935,Assumptions!$N$4:$N$103,$E935,Assumptions!$O$4:$O$103,"LVN"))</f>
        <v/>
      </c>
      <c r="N935" s="32" t="n"/>
      <c r="O935" s="34">
        <f>IF(AND(IF($I936&lt;&gt;"",$I936,$I935)="override",$N935&lt;&gt;""),$N935,SUMIFS(Assumptions!$P$4:$P$103,Assumptions!$M$4:$M$103,$C935,Assumptions!$N$4:$N$103,$E935,Assumptions!$O$4:$O$103,"HVN"))</f>
        <v/>
      </c>
      <c r="P935" s="34">
        <f>(M935+O935)*Assumptions!$S$11</f>
        <v/>
      </c>
      <c r="Q935" s="35">
        <f>$F935*$K935*$P935</f>
        <v/>
      </c>
    </row>
    <row r="936">
      <c r="A936" s="24" t="inlineStr">
        <is>
          <t>TOTAL</t>
        </is>
      </c>
      <c r="B936" s="36" t="inlineStr">
        <is>
          <t>BP_FERNDALE</t>
        </is>
      </c>
      <c r="C936" s="36" t="n">
        <v>5</v>
      </c>
      <c r="D936" s="36" t="inlineStr">
        <is>
          <t>NET NAPHTHA</t>
        </is>
      </c>
      <c r="H936" s="31" t="n"/>
      <c r="I936" s="17" t="n"/>
      <c r="Q936" s="37">
        <f>SUM(Q929:Q935)</f>
        <v/>
      </c>
    </row>
    <row r="938" ht="20" customHeight="1">
      <c r="A938" s="8">
        <f>"  PBF Energy Company LLC Torrance  [PBF_TORRANCE]   —   PBF Energy Company LLC   —   PADD 5   —   crude "&amp;TEXT(SUMIFS(Data!$G$3:$G$125,Data!$A$3:$A$125,"PBF_TORRANCE"),"#,##0")&amp;" kbd"</f>
        <v/>
      </c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</row>
    <row r="939">
      <c r="A939" s="11" t="inlineStr">
        <is>
          <t>UNIT</t>
        </is>
      </c>
      <c r="B939" s="28" t="inlineStr">
        <is>
          <t>PBF_TORRANCE</t>
        </is>
      </c>
      <c r="C939" s="28" t="n">
        <v>5</v>
      </c>
      <c r="D939" s="28" t="inlineStr">
        <is>
          <t>CDU</t>
        </is>
      </c>
      <c r="E939" s="28" t="inlineStr">
        <is>
          <t>CDU</t>
        </is>
      </c>
      <c r="F939" s="29" t="n">
        <v>166.2</v>
      </c>
      <c r="G939" s="30">
        <f>IFERROR(IF(INDEX(Effective!$E$3:$R$125,MATCH($B939,Effective!$A$3:$A$125,0),MATCH($D939,Effective!$E$2:$R$2,0))=0,"",INDEX(Effective!$E$3:$R$125,MATCH($B939,Effective!$A$3:$A$125,0),MATCH($D939,Effective!$E$2:$R$2,0))),"")</f>
        <v/>
      </c>
      <c r="H939" s="31" t="n"/>
      <c r="I939" s="17" t="inlineStr">
        <is>
          <t>override</t>
        </is>
      </c>
      <c r="J939" s="32" t="n">
        <v>0.77</v>
      </c>
      <c r="K939" s="33">
        <f>IF(AND(IF($I947&lt;&gt;"",$I947,$I939)="override",$J939&lt;&gt;""),$J939,SUMIFS(Assumptions!$K$4:$K$8,Assumptions!$J$4:$J$8,$C939))*Assumptions!$S$10*(1-MIN(1,MAX(N($H939),N($H947))))</f>
        <v/>
      </c>
      <c r="L939" s="32" t="n"/>
      <c r="M939" s="34">
        <f>IF(AND(IF($I947&lt;&gt;"",$I947,$I939)="override",$L939&lt;&gt;""),$L939,SUMIFS(Assumptions!$P$4:$P$103,Assumptions!$M$4:$M$103,$C939,Assumptions!$N$4:$N$103,$E939,Assumptions!$O$4:$O$103,"LVN"))</f>
        <v/>
      </c>
      <c r="N939" s="32" t="n"/>
      <c r="O939" s="34">
        <f>IF(AND(IF($I947&lt;&gt;"",$I947,$I939)="override",$N939&lt;&gt;""),$N939,SUMIFS(Assumptions!$P$4:$P$103,Assumptions!$M$4:$M$103,$C939,Assumptions!$N$4:$N$103,$E939,Assumptions!$O$4:$O$103,"HVN"))</f>
        <v/>
      </c>
      <c r="P939" s="34">
        <f>(M939+O939)*Assumptions!$S$11</f>
        <v/>
      </c>
      <c r="Q939" s="35">
        <f>$F939*$K939*$P939</f>
        <v/>
      </c>
    </row>
    <row r="940">
      <c r="A940" s="11" t="inlineStr">
        <is>
          <t>UNIT</t>
        </is>
      </c>
      <c r="B940" s="28" t="inlineStr">
        <is>
          <t>PBF_TORRANCE</t>
        </is>
      </c>
      <c r="C940" s="28" t="n">
        <v>5</v>
      </c>
      <c r="D940" s="28" t="inlineStr">
        <is>
          <t>VDU</t>
        </is>
      </c>
      <c r="E940" s="28" t="inlineStr">
        <is>
          <t>VDU</t>
        </is>
      </c>
      <c r="F940" s="29" t="n">
        <v>102.3</v>
      </c>
      <c r="G940" s="30">
        <f>IFERROR(IF(INDEX(Effective!$E$3:$R$125,MATCH($B940,Effective!$A$3:$A$125,0),MATCH($D940,Effective!$E$2:$R$2,0))=0,"",INDEX(Effective!$E$3:$R$125,MATCH($B940,Effective!$A$3:$A$125,0),MATCH($D940,Effective!$E$2:$R$2,0))),"")</f>
        <v/>
      </c>
      <c r="H940" s="31" t="n"/>
      <c r="I940" s="17" t="inlineStr">
        <is>
          <t>override</t>
        </is>
      </c>
      <c r="J940" s="32" t="n">
        <v>0.708</v>
      </c>
      <c r="K940" s="33">
        <f>IF(AND(IF($I947&lt;&gt;"",$I947,$I940)="override",$J940&lt;&gt;""),$J940,SUMIFS(Assumptions!$K$4:$K$8,Assumptions!$J$4:$J$8,$C940))*Assumptions!$S$10*(1-MIN(1,MAX(N($H940),N($H947))))</f>
        <v/>
      </c>
      <c r="L940" s="32" t="n"/>
      <c r="M940" s="34">
        <f>IF(AND(IF($I947&lt;&gt;"",$I947,$I940)="override",$L940&lt;&gt;""),$L940,SUMIFS(Assumptions!$P$4:$P$103,Assumptions!$M$4:$M$103,$C940,Assumptions!$N$4:$N$103,$E940,Assumptions!$O$4:$O$103,"LVN"))</f>
        <v/>
      </c>
      <c r="N940" s="32" t="n"/>
      <c r="O940" s="34">
        <f>IF(AND(IF($I947&lt;&gt;"",$I947,$I940)="override",$N940&lt;&gt;""),$N940,SUMIFS(Assumptions!$P$4:$P$103,Assumptions!$M$4:$M$103,$C940,Assumptions!$N$4:$N$103,$E940,Assumptions!$O$4:$O$103,"HVN"))</f>
        <v/>
      </c>
      <c r="P940" s="34">
        <f>(M940+O940)*Assumptions!$S$11</f>
        <v/>
      </c>
      <c r="Q940" s="35">
        <f>$F940*$K940*$P940</f>
        <v/>
      </c>
    </row>
    <row r="941">
      <c r="A941" s="11" t="inlineStr">
        <is>
          <t>UNIT</t>
        </is>
      </c>
      <c r="B941" s="28" t="inlineStr">
        <is>
          <t>PBF_TORRANCE</t>
        </is>
      </c>
      <c r="C941" s="28" t="n">
        <v>5</v>
      </c>
      <c r="D941" s="28" t="inlineStr">
        <is>
          <t>FCC</t>
        </is>
      </c>
      <c r="E941" s="28" t="inlineStr">
        <is>
          <t>FCC</t>
        </is>
      </c>
      <c r="F941" s="29" t="n">
        <v>90</v>
      </c>
      <c r="G941" s="30">
        <f>IFERROR(IF(INDEX(Effective!$E$3:$R$125,MATCH($B941,Effective!$A$3:$A$125,0),MATCH($D941,Effective!$E$2:$R$2,0))=0,"",INDEX(Effective!$E$3:$R$125,MATCH($B941,Effective!$A$3:$A$125,0),MATCH($D941,Effective!$E$2:$R$2,0))),"")</f>
        <v/>
      </c>
      <c r="H941" s="31" t="n"/>
      <c r="I941" s="17" t="inlineStr">
        <is>
          <t>override</t>
        </is>
      </c>
      <c r="J941" s="32" t="n">
        <v>0.407</v>
      </c>
      <c r="K941" s="33">
        <f>IF(AND(IF($I947&lt;&gt;"",$I947,$I941)="override",$J941&lt;&gt;""),$J941,SUMIFS(Assumptions!$K$4:$K$8,Assumptions!$J$4:$J$8,$C941))*Assumptions!$S$10*(1-MIN(1,MAX(N($H941),N($H947))))</f>
        <v/>
      </c>
      <c r="L941" s="32" t="n"/>
      <c r="M941" s="34">
        <f>IF(AND(IF($I947&lt;&gt;"",$I947,$I941)="override",$L941&lt;&gt;""),$L941,SUMIFS(Assumptions!$P$4:$P$103,Assumptions!$M$4:$M$103,$C941,Assumptions!$N$4:$N$103,$E941,Assumptions!$O$4:$O$103,"LVN"))</f>
        <v/>
      </c>
      <c r="N941" s="32" t="n"/>
      <c r="O941" s="34">
        <f>IF(AND(IF($I947&lt;&gt;"",$I947,$I941)="override",$N941&lt;&gt;""),$N941,SUMIFS(Assumptions!$P$4:$P$103,Assumptions!$M$4:$M$103,$C941,Assumptions!$N$4:$N$103,$E941,Assumptions!$O$4:$O$103,"HVN"))</f>
        <v/>
      </c>
      <c r="P941" s="34">
        <f>(M941+O941)*Assumptions!$S$11</f>
        <v/>
      </c>
      <c r="Q941" s="35">
        <f>$F941*$K941*$P941</f>
        <v/>
      </c>
    </row>
    <row r="942">
      <c r="A942" s="11" t="inlineStr">
        <is>
          <t>UNIT</t>
        </is>
      </c>
      <c r="B942" s="28" t="inlineStr">
        <is>
          <t>PBF_TORRANCE</t>
        </is>
      </c>
      <c r="C942" s="28" t="n">
        <v>5</v>
      </c>
      <c r="D942" s="28" t="inlineStr">
        <is>
          <t>DHCU</t>
        </is>
      </c>
      <c r="E942" s="28" t="inlineStr">
        <is>
          <t>HYDROCRACKER</t>
        </is>
      </c>
      <c r="F942" s="29" t="n">
        <v>28.3</v>
      </c>
      <c r="G942" s="30">
        <f>IFERROR(IF(INDEX(Effective!$E$3:$R$125,MATCH($B942,Effective!$A$3:$A$125,0),MATCH($D942,Effective!$E$2:$R$2,0))=0,"",INDEX(Effective!$E$3:$R$125,MATCH($B942,Effective!$A$3:$A$125,0),MATCH($D942,Effective!$E$2:$R$2,0))),"")</f>
        <v/>
      </c>
      <c r="H942" s="31" t="n"/>
      <c r="I942" s="17" t="inlineStr">
        <is>
          <t>override</t>
        </is>
      </c>
      <c r="J942" s="32" t="n">
        <v>0.978</v>
      </c>
      <c r="K942" s="33">
        <f>IF(AND(IF($I947&lt;&gt;"",$I947,$I942)="override",$J942&lt;&gt;""),$J942,SUMIFS(Assumptions!$K$4:$K$8,Assumptions!$J$4:$J$8,$C942))*Assumptions!$S$10*(1-MIN(1,MAX(N($H942),N($H947))))</f>
        <v/>
      </c>
      <c r="L942" s="32" t="n"/>
      <c r="M942" s="34">
        <f>IF(AND(IF($I947&lt;&gt;"",$I947,$I942)="override",$L942&lt;&gt;""),$L942,SUMIFS(Assumptions!$P$4:$P$103,Assumptions!$M$4:$M$103,$C942,Assumptions!$N$4:$N$103,$E942,Assumptions!$O$4:$O$103,"LVN"))</f>
        <v/>
      </c>
      <c r="N942" s="32" t="n"/>
      <c r="O942" s="34">
        <f>IF(AND(IF($I947&lt;&gt;"",$I947,$I942)="override",$N942&lt;&gt;""),$N942,SUMIFS(Assumptions!$P$4:$P$103,Assumptions!$M$4:$M$103,$C942,Assumptions!$N$4:$N$103,$E942,Assumptions!$O$4:$O$103,"HVN"))</f>
        <v/>
      </c>
      <c r="P942" s="34">
        <f>(M942+O942)*Assumptions!$S$11</f>
        <v/>
      </c>
      <c r="Q942" s="35">
        <f>$F942*$K942*$P942</f>
        <v/>
      </c>
    </row>
    <row r="943">
      <c r="A943" s="11" t="inlineStr">
        <is>
          <t>UNIT</t>
        </is>
      </c>
      <c r="B943" s="28" t="inlineStr">
        <is>
          <t>PBF_TORRANCE</t>
        </is>
      </c>
      <c r="C943" s="28" t="n">
        <v>5</v>
      </c>
      <c r="D943" s="28" t="inlineStr">
        <is>
          <t>COKER</t>
        </is>
      </c>
      <c r="E943" s="28" t="inlineStr">
        <is>
          <t>COKER</t>
        </is>
      </c>
      <c r="F943" s="29" t="n">
        <v>62</v>
      </c>
      <c r="G943" s="30">
        <f>IFERROR(IF(INDEX(Effective!$E$3:$R$125,MATCH($B943,Effective!$A$3:$A$125,0),MATCH($D943,Effective!$E$2:$R$2,0))=0,"",INDEX(Effective!$E$3:$R$125,MATCH($B943,Effective!$A$3:$A$125,0),MATCH($D943,Effective!$E$2:$R$2,0))),"")</f>
        <v/>
      </c>
      <c r="H943" s="31" t="n"/>
      <c r="I943" s="17" t="inlineStr">
        <is>
          <t>override</t>
        </is>
      </c>
      <c r="J943" s="32" t="n">
        <v>0.521</v>
      </c>
      <c r="K943" s="33">
        <f>IF(AND(IF($I947&lt;&gt;"",$I947,$I943)="override",$J943&lt;&gt;""),$J943,SUMIFS(Assumptions!$K$4:$K$8,Assumptions!$J$4:$J$8,$C943))*Assumptions!$S$10*(1-MIN(1,MAX(N($H943),N($H947))))</f>
        <v/>
      </c>
      <c r="L943" s="32" t="n"/>
      <c r="M943" s="34">
        <f>IF(AND(IF($I947&lt;&gt;"",$I947,$I943)="override",$L943&lt;&gt;""),$L943,SUMIFS(Assumptions!$P$4:$P$103,Assumptions!$M$4:$M$103,$C943,Assumptions!$N$4:$N$103,$E943,Assumptions!$O$4:$O$103,"LVN"))</f>
        <v/>
      </c>
      <c r="N943" s="32" t="n"/>
      <c r="O943" s="34">
        <f>IF(AND(IF($I947&lt;&gt;"",$I947,$I943)="override",$N943&lt;&gt;""),$N943,SUMIFS(Assumptions!$P$4:$P$103,Assumptions!$M$4:$M$103,$C943,Assumptions!$N$4:$N$103,$E943,Assumptions!$O$4:$O$103,"HVN"))</f>
        <v/>
      </c>
      <c r="P943" s="34">
        <f>(M943+O943)*Assumptions!$S$11</f>
        <v/>
      </c>
      <c r="Q943" s="35">
        <f>$F943*$K943*$P943</f>
        <v/>
      </c>
    </row>
    <row r="944">
      <c r="A944" s="11" t="inlineStr">
        <is>
          <t>UNIT</t>
        </is>
      </c>
      <c r="B944" s="28" t="inlineStr">
        <is>
          <t>PBF_TORRANCE</t>
        </is>
      </c>
      <c r="C944" s="28" t="n">
        <v>5</v>
      </c>
      <c r="D944" s="28" t="inlineStr">
        <is>
          <t>REF</t>
        </is>
      </c>
      <c r="E944" s="28" t="inlineStr">
        <is>
          <t>REFORMER</t>
        </is>
      </c>
      <c r="F944" s="29" t="n">
        <v>20</v>
      </c>
      <c r="G944" s="30">
        <f>IFERROR(IF(INDEX(Effective!$E$3:$R$125,MATCH($B944,Effective!$A$3:$A$125,0),MATCH($D944,Effective!$E$2:$R$2,0))=0,"",INDEX(Effective!$E$3:$R$125,MATCH($B944,Effective!$A$3:$A$125,0),MATCH($D944,Effective!$E$2:$R$2,0))),"")</f>
        <v/>
      </c>
      <c r="H944" s="31" t="n"/>
      <c r="I944" s="17" t="inlineStr">
        <is>
          <t>override</t>
        </is>
      </c>
      <c r="J944" s="32" t="n">
        <v>0.99</v>
      </c>
      <c r="K944" s="33">
        <f>IF(AND(IF($I947&lt;&gt;"",$I947,$I944)="override",$J944&lt;&gt;""),$J944,SUMIFS(Assumptions!$K$4:$K$8,Assumptions!$J$4:$J$8,$C944))*Assumptions!$S$10*(1-MIN(1,MAX(N($H944),N($H947))))</f>
        <v/>
      </c>
      <c r="L944" s="32" t="n"/>
      <c r="M944" s="34">
        <f>IF(AND(IF($I947&lt;&gt;"",$I947,$I944)="override",$L944&lt;&gt;""),$L944,SUMIFS(Assumptions!$P$4:$P$103,Assumptions!$M$4:$M$103,$C944,Assumptions!$N$4:$N$103,$E944,Assumptions!$O$4:$O$103,"LVN"))</f>
        <v/>
      </c>
      <c r="N944" s="32" t="n"/>
      <c r="O944" s="34">
        <f>IF(AND(IF($I947&lt;&gt;"",$I947,$I944)="override",$N944&lt;&gt;""),$N944,SUMIFS(Assumptions!$P$4:$P$103,Assumptions!$M$4:$M$103,$C944,Assumptions!$N$4:$N$103,$E944,Assumptions!$O$4:$O$103,"HVN"))</f>
        <v/>
      </c>
      <c r="P944" s="34">
        <f>(M944+O944)*Assumptions!$S$11</f>
        <v/>
      </c>
      <c r="Q944" s="35">
        <f>$F944*$K944*$P944</f>
        <v/>
      </c>
    </row>
    <row r="945">
      <c r="A945" s="11" t="inlineStr">
        <is>
          <t>UNIT</t>
        </is>
      </c>
      <c r="B945" s="28" t="inlineStr">
        <is>
          <t>PBF_TORRANCE</t>
        </is>
      </c>
      <c r="C945" s="28" t="n">
        <v>5</v>
      </c>
      <c r="D945" s="28" t="inlineStr">
        <is>
          <t>ALKY</t>
        </is>
      </c>
      <c r="E945" s="28" t="inlineStr">
        <is>
          <t>ALKY</t>
        </is>
      </c>
      <c r="F945" s="29" t="n">
        <v>30</v>
      </c>
      <c r="G945" s="30">
        <f>IFERROR(IF(INDEX(Effective!$E$3:$R$125,MATCH($B945,Effective!$A$3:$A$125,0),MATCH($D945,Effective!$E$2:$R$2,0))=0,"",INDEX(Effective!$E$3:$R$125,MATCH($B945,Effective!$A$3:$A$125,0),MATCH($D945,Effective!$E$2:$R$2,0))),"")</f>
        <v/>
      </c>
      <c r="H945" s="31" t="n"/>
      <c r="I945" s="17" t="inlineStr">
        <is>
          <t>override</t>
        </is>
      </c>
      <c r="J945" s="32" t="n">
        <v>0.39</v>
      </c>
      <c r="K945" s="33">
        <f>IF(AND(IF($I947&lt;&gt;"",$I947,$I945)="override",$J945&lt;&gt;""),$J945,SUMIFS(Assumptions!$K$4:$K$8,Assumptions!$J$4:$J$8,$C945))*Assumptions!$S$10*(1-MIN(1,MAX(N($H945),N($H947))))</f>
        <v/>
      </c>
      <c r="L945" s="32" t="n"/>
      <c r="M945" s="34">
        <f>IF(AND(IF($I947&lt;&gt;"",$I947,$I945)="override",$L945&lt;&gt;""),$L945,SUMIFS(Assumptions!$P$4:$P$103,Assumptions!$M$4:$M$103,$C945,Assumptions!$N$4:$N$103,$E945,Assumptions!$O$4:$O$103,"LVN"))</f>
        <v/>
      </c>
      <c r="N945" s="32" t="n"/>
      <c r="O945" s="34">
        <f>IF(AND(IF($I947&lt;&gt;"",$I947,$I945)="override",$N945&lt;&gt;""),$N945,SUMIFS(Assumptions!$P$4:$P$103,Assumptions!$M$4:$M$103,$C945,Assumptions!$N$4:$N$103,$E945,Assumptions!$O$4:$O$103,"HVN"))</f>
        <v/>
      </c>
      <c r="P945" s="34">
        <f>(M945+O945)*Assumptions!$S$11</f>
        <v/>
      </c>
      <c r="Q945" s="35">
        <f>$F945*$K945*$P945</f>
        <v/>
      </c>
    </row>
    <row r="946">
      <c r="A946" s="11" t="inlineStr">
        <is>
          <t>UNIT</t>
        </is>
      </c>
      <c r="B946" s="28" t="inlineStr">
        <is>
          <t>PBF_TORRANCE</t>
        </is>
      </c>
      <c r="C946" s="28" t="n">
        <v>5</v>
      </c>
      <c r="D946" s="28" t="inlineStr">
        <is>
          <t>NHT</t>
        </is>
      </c>
      <c r="E946" s="28" t="inlineStr">
        <is>
          <t>NHT</t>
        </is>
      </c>
      <c r="F946" s="29" t="n">
        <v>25.3</v>
      </c>
      <c r="G946" s="30">
        <f>IFERROR(IF(INDEX(Effective!$E$3:$R$125,MATCH($B946,Effective!$A$3:$A$125,0),MATCH($D946,Effective!$E$2:$R$2,0))=0,"",INDEX(Effective!$E$3:$R$125,MATCH($B946,Effective!$A$3:$A$125,0),MATCH($D946,Effective!$E$2:$R$2,0))),"")</f>
        <v/>
      </c>
      <c r="H946" s="31" t="n"/>
      <c r="I946" s="17" t="inlineStr">
        <is>
          <t>override</t>
        </is>
      </c>
      <c r="J946" s="32" t="n">
        <v>0.881</v>
      </c>
      <c r="K946" s="33">
        <f>IF(AND(IF($I947&lt;&gt;"",$I947,$I946)="override",$J946&lt;&gt;""),$J946,SUMIFS(Assumptions!$K$4:$K$8,Assumptions!$J$4:$J$8,$C946))*Assumptions!$S$10*(1-MIN(1,MAX(N($H946),N($H947))))</f>
        <v/>
      </c>
      <c r="L946" s="32" t="n"/>
      <c r="M946" s="34">
        <f>IF(AND(IF($I947&lt;&gt;"",$I947,$I946)="override",$L946&lt;&gt;""),$L946,SUMIFS(Assumptions!$P$4:$P$103,Assumptions!$M$4:$M$103,$C946,Assumptions!$N$4:$N$103,$E946,Assumptions!$O$4:$O$103,"LVN"))</f>
        <v/>
      </c>
      <c r="N946" s="32" t="n"/>
      <c r="O946" s="34">
        <f>IF(AND(IF($I947&lt;&gt;"",$I947,$I946)="override",$N946&lt;&gt;""),$N946,SUMIFS(Assumptions!$P$4:$P$103,Assumptions!$M$4:$M$103,$C946,Assumptions!$N$4:$N$103,$E946,Assumptions!$O$4:$O$103,"HVN"))</f>
        <v/>
      </c>
      <c r="P946" s="34">
        <f>(M946+O946)*Assumptions!$S$11</f>
        <v/>
      </c>
      <c r="Q946" s="35">
        <f>$F946*$K946*$P946</f>
        <v/>
      </c>
    </row>
    <row r="947">
      <c r="A947" s="24" t="inlineStr">
        <is>
          <t>TOTAL</t>
        </is>
      </c>
      <c r="B947" s="36" t="inlineStr">
        <is>
          <t>PBF_TORRANCE</t>
        </is>
      </c>
      <c r="C947" s="36" t="n">
        <v>5</v>
      </c>
      <c r="D947" s="36" t="inlineStr">
        <is>
          <t>NET NAPHTHA</t>
        </is>
      </c>
      <c r="H947" s="31" t="n"/>
      <c r="I947" s="17" t="n"/>
      <c r="Q947" s="37">
        <f>SUM(Q939:Q946)</f>
        <v/>
      </c>
    </row>
    <row r="949" ht="20" customHeight="1">
      <c r="A949" s="8">
        <f>"  PBF Energy Company LLC Martinez  [PBF_MARTINEZ]   —   PBF Energy Company LLC   —   PADD 5   —   crude "&amp;TEXT(SUMIFS(Data!$G$3:$G$125,Data!$A$3:$A$125,"PBF_MARTINEZ"),"#,##0")&amp;" kbd"</f>
        <v/>
      </c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</row>
    <row r="950">
      <c r="A950" s="11" t="inlineStr">
        <is>
          <t>UNIT</t>
        </is>
      </c>
      <c r="B950" s="28" t="inlineStr">
        <is>
          <t>PBF_MARTINEZ</t>
        </is>
      </c>
      <c r="C950" s="28" t="n">
        <v>5</v>
      </c>
      <c r="D950" s="28" t="inlineStr">
        <is>
          <t>CDU</t>
        </is>
      </c>
      <c r="E950" s="28" t="inlineStr">
        <is>
          <t>CDU</t>
        </is>
      </c>
      <c r="F950" s="29" t="n">
        <v>157</v>
      </c>
      <c r="G950" s="30">
        <f>IFERROR(IF(INDEX(Effective!$E$3:$R$125,MATCH($B950,Effective!$A$3:$A$125,0),MATCH($D950,Effective!$E$2:$R$2,0))=0,"",INDEX(Effective!$E$3:$R$125,MATCH($B950,Effective!$A$3:$A$125,0),MATCH($D950,Effective!$E$2:$R$2,0))),"")</f>
        <v/>
      </c>
      <c r="H950" s="31" t="n"/>
      <c r="I950" s="17" t="inlineStr">
        <is>
          <t>override</t>
        </is>
      </c>
      <c r="J950" s="32" t="n">
        <v>0.78</v>
      </c>
      <c r="K950" s="33">
        <f>IF(AND(IF($I960&lt;&gt;"",$I960,$I950)="override",$J950&lt;&gt;""),$J950,SUMIFS(Assumptions!$K$4:$K$8,Assumptions!$J$4:$J$8,$C950))*Assumptions!$S$10*(1-MIN(1,MAX(N($H950),N($H960))))</f>
        <v/>
      </c>
      <c r="L950" s="32" t="n"/>
      <c r="M950" s="34">
        <f>IF(AND(IF($I960&lt;&gt;"",$I960,$I950)="override",$L950&lt;&gt;""),$L950,SUMIFS(Assumptions!$P$4:$P$103,Assumptions!$M$4:$M$103,$C950,Assumptions!$N$4:$N$103,$E950,Assumptions!$O$4:$O$103,"LVN"))</f>
        <v/>
      </c>
      <c r="N950" s="32" t="n"/>
      <c r="O950" s="34">
        <f>IF(AND(IF($I960&lt;&gt;"",$I960,$I950)="override",$N950&lt;&gt;""),$N950,SUMIFS(Assumptions!$P$4:$P$103,Assumptions!$M$4:$M$103,$C950,Assumptions!$N$4:$N$103,$E950,Assumptions!$O$4:$O$103,"HVN"))</f>
        <v/>
      </c>
      <c r="P950" s="34">
        <f>(M950+O950)*Assumptions!$S$11</f>
        <v/>
      </c>
      <c r="Q950" s="35">
        <f>$F950*$K950*$P950</f>
        <v/>
      </c>
    </row>
    <row r="951">
      <c r="A951" s="11" t="inlineStr">
        <is>
          <t>UNIT</t>
        </is>
      </c>
      <c r="B951" s="28" t="inlineStr">
        <is>
          <t>PBF_MARTINEZ</t>
        </is>
      </c>
      <c r="C951" s="28" t="n">
        <v>5</v>
      </c>
      <c r="D951" s="28" t="inlineStr">
        <is>
          <t>VDU</t>
        </is>
      </c>
      <c r="E951" s="28" t="inlineStr">
        <is>
          <t>VDU</t>
        </is>
      </c>
      <c r="F951" s="29" t="n">
        <v>101</v>
      </c>
      <c r="G951" s="30">
        <f>IFERROR(IF(INDEX(Effective!$E$3:$R$125,MATCH($B951,Effective!$A$3:$A$125,0),MATCH($D951,Effective!$E$2:$R$2,0))=0,"",INDEX(Effective!$E$3:$R$125,MATCH($B951,Effective!$A$3:$A$125,0),MATCH($D951,Effective!$E$2:$R$2,0))),"")</f>
        <v/>
      </c>
      <c r="H951" s="31" t="n"/>
      <c r="I951" s="17" t="inlineStr">
        <is>
          <t>override</t>
        </is>
      </c>
      <c r="J951" s="32" t="n">
        <v>0.543</v>
      </c>
      <c r="K951" s="33">
        <f>IF(AND(IF($I960&lt;&gt;"",$I960,$I951)="override",$J951&lt;&gt;""),$J951,SUMIFS(Assumptions!$K$4:$K$8,Assumptions!$J$4:$J$8,$C951))*Assumptions!$S$10*(1-MIN(1,MAX(N($H951),N($H960))))</f>
        <v/>
      </c>
      <c r="L951" s="32" t="n"/>
      <c r="M951" s="34">
        <f>IF(AND(IF($I960&lt;&gt;"",$I960,$I951)="override",$L951&lt;&gt;""),$L951,SUMIFS(Assumptions!$P$4:$P$103,Assumptions!$M$4:$M$103,$C951,Assumptions!$N$4:$N$103,$E951,Assumptions!$O$4:$O$103,"LVN"))</f>
        <v/>
      </c>
      <c r="N951" s="32" t="n"/>
      <c r="O951" s="34">
        <f>IF(AND(IF($I960&lt;&gt;"",$I960,$I951)="override",$N951&lt;&gt;""),$N951,SUMIFS(Assumptions!$P$4:$P$103,Assumptions!$M$4:$M$103,$C951,Assumptions!$N$4:$N$103,$E951,Assumptions!$O$4:$O$103,"HVN"))</f>
        <v/>
      </c>
      <c r="P951" s="34">
        <f>(M951+O951)*Assumptions!$S$11</f>
        <v/>
      </c>
      <c r="Q951" s="35">
        <f>$F951*$K951*$P951</f>
        <v/>
      </c>
    </row>
    <row r="952">
      <c r="A952" s="11" t="inlineStr">
        <is>
          <t>UNIT</t>
        </is>
      </c>
      <c r="B952" s="28" t="inlineStr">
        <is>
          <t>PBF_MARTINEZ</t>
        </is>
      </c>
      <c r="C952" s="28" t="n">
        <v>5</v>
      </c>
      <c r="D952" s="28" t="inlineStr">
        <is>
          <t>FCC</t>
        </is>
      </c>
      <c r="E952" s="28" t="inlineStr">
        <is>
          <t>FCC</t>
        </is>
      </c>
      <c r="F952" s="29" t="n">
        <v>72</v>
      </c>
      <c r="G952" s="30">
        <f>IFERROR(IF(INDEX(Effective!$E$3:$R$125,MATCH($B952,Effective!$A$3:$A$125,0),MATCH($D952,Effective!$E$2:$R$2,0))=0,"",INDEX(Effective!$E$3:$R$125,MATCH($B952,Effective!$A$3:$A$125,0),MATCH($D952,Effective!$E$2:$R$2,0))),"")</f>
        <v/>
      </c>
      <c r="H952" s="31" t="n"/>
      <c r="I952" s="17" t="inlineStr">
        <is>
          <t>override</t>
        </is>
      </c>
      <c r="J952" s="32" t="n">
        <v>0.776</v>
      </c>
      <c r="K952" s="33">
        <f>IF(AND(IF($I960&lt;&gt;"",$I960,$I952)="override",$J952&lt;&gt;""),$J952,SUMIFS(Assumptions!$K$4:$K$8,Assumptions!$J$4:$J$8,$C952))*Assumptions!$S$10*(1-MIN(1,MAX(N($H952),N($H960))))</f>
        <v/>
      </c>
      <c r="L952" s="32" t="n"/>
      <c r="M952" s="34">
        <f>IF(AND(IF($I960&lt;&gt;"",$I960,$I952)="override",$L952&lt;&gt;""),$L952,SUMIFS(Assumptions!$P$4:$P$103,Assumptions!$M$4:$M$103,$C952,Assumptions!$N$4:$N$103,$E952,Assumptions!$O$4:$O$103,"LVN"))</f>
        <v/>
      </c>
      <c r="N952" s="32" t="n"/>
      <c r="O952" s="34">
        <f>IF(AND(IF($I960&lt;&gt;"",$I960,$I952)="override",$N952&lt;&gt;""),$N952,SUMIFS(Assumptions!$P$4:$P$103,Assumptions!$M$4:$M$103,$C952,Assumptions!$N$4:$N$103,$E952,Assumptions!$O$4:$O$103,"HVN"))</f>
        <v/>
      </c>
      <c r="P952" s="34">
        <f>(M952+O952)*Assumptions!$S$11</f>
        <v/>
      </c>
      <c r="Q952" s="35">
        <f>$F952*$K952*$P952</f>
        <v/>
      </c>
    </row>
    <row r="953">
      <c r="A953" s="11" t="inlineStr">
        <is>
          <t>UNIT</t>
        </is>
      </c>
      <c r="B953" s="28" t="inlineStr">
        <is>
          <t>PBF_MARTINEZ</t>
        </is>
      </c>
      <c r="C953" s="28" t="n">
        <v>5</v>
      </c>
      <c r="D953" s="28" t="inlineStr">
        <is>
          <t>DHCU</t>
        </is>
      </c>
      <c r="E953" s="28" t="inlineStr">
        <is>
          <t>HYDROCRACKER</t>
        </is>
      </c>
      <c r="F953" s="29" t="n">
        <v>42.9</v>
      </c>
      <c r="G953" s="30">
        <f>IFERROR(IF(INDEX(Effective!$E$3:$R$125,MATCH($B953,Effective!$A$3:$A$125,0),MATCH($D953,Effective!$E$2:$R$2,0))=0,"",INDEX(Effective!$E$3:$R$125,MATCH($B953,Effective!$A$3:$A$125,0),MATCH($D953,Effective!$E$2:$R$2,0))),"")</f>
        <v/>
      </c>
      <c r="H953" s="31" t="n"/>
      <c r="I953" s="17" t="inlineStr">
        <is>
          <t>override</t>
        </is>
      </c>
      <c r="J953" s="32" t="n">
        <v>0.604</v>
      </c>
      <c r="K953" s="33">
        <f>IF(AND(IF($I960&lt;&gt;"",$I960,$I953)="override",$J953&lt;&gt;""),$J953,SUMIFS(Assumptions!$K$4:$K$8,Assumptions!$J$4:$J$8,$C953))*Assumptions!$S$10*(1-MIN(1,MAX(N($H953),N($H960))))</f>
        <v/>
      </c>
      <c r="L953" s="32" t="n"/>
      <c r="M953" s="34">
        <f>IF(AND(IF($I960&lt;&gt;"",$I960,$I953)="override",$L953&lt;&gt;""),$L953,SUMIFS(Assumptions!$P$4:$P$103,Assumptions!$M$4:$M$103,$C953,Assumptions!$N$4:$N$103,$E953,Assumptions!$O$4:$O$103,"LVN"))</f>
        <v/>
      </c>
      <c r="N953" s="32" t="n"/>
      <c r="O953" s="34">
        <f>IF(AND(IF($I960&lt;&gt;"",$I960,$I953)="override",$N953&lt;&gt;""),$N953,SUMIFS(Assumptions!$P$4:$P$103,Assumptions!$M$4:$M$103,$C953,Assumptions!$N$4:$N$103,$E953,Assumptions!$O$4:$O$103,"HVN"))</f>
        <v/>
      </c>
      <c r="P953" s="34">
        <f>(M953+O953)*Assumptions!$S$11</f>
        <v/>
      </c>
      <c r="Q953" s="35">
        <f>$F953*$K953*$P953</f>
        <v/>
      </c>
    </row>
    <row r="954">
      <c r="A954" s="11" t="inlineStr">
        <is>
          <t>UNIT</t>
        </is>
      </c>
      <c r="B954" s="28" t="inlineStr">
        <is>
          <t>PBF_MARTINEZ</t>
        </is>
      </c>
      <c r="C954" s="28" t="n">
        <v>5</v>
      </c>
      <c r="D954" s="28" t="inlineStr">
        <is>
          <t>COKER</t>
        </is>
      </c>
      <c r="E954" s="28" t="inlineStr">
        <is>
          <t>COKER</t>
        </is>
      </c>
      <c r="F954" s="29" t="n">
        <v>26.8</v>
      </c>
      <c r="G954" s="30">
        <f>IFERROR(IF(INDEX(Effective!$E$3:$R$125,MATCH($B954,Effective!$A$3:$A$125,0),MATCH($D954,Effective!$E$2:$R$2,0))=0,"",INDEX(Effective!$E$3:$R$125,MATCH($B954,Effective!$A$3:$A$125,0),MATCH($D954,Effective!$E$2:$R$2,0))),"")</f>
        <v/>
      </c>
      <c r="H954" s="31" t="n"/>
      <c r="I954" s="17" t="inlineStr">
        <is>
          <t>override</t>
        </is>
      </c>
      <c r="J954" s="32" t="n">
        <v>0.597</v>
      </c>
      <c r="K954" s="33">
        <f>IF(AND(IF($I960&lt;&gt;"",$I960,$I954)="override",$J954&lt;&gt;""),$J954,SUMIFS(Assumptions!$K$4:$K$8,Assumptions!$J$4:$J$8,$C954))*Assumptions!$S$10*(1-MIN(1,MAX(N($H954),N($H960))))</f>
        <v/>
      </c>
      <c r="L954" s="32" t="n"/>
      <c r="M954" s="34">
        <f>IF(AND(IF($I960&lt;&gt;"",$I960,$I954)="override",$L954&lt;&gt;""),$L954,SUMIFS(Assumptions!$P$4:$P$103,Assumptions!$M$4:$M$103,$C954,Assumptions!$N$4:$N$103,$E954,Assumptions!$O$4:$O$103,"LVN"))</f>
        <v/>
      </c>
      <c r="N954" s="32" t="n"/>
      <c r="O954" s="34">
        <f>IF(AND(IF($I960&lt;&gt;"",$I960,$I954)="override",$N954&lt;&gt;""),$N954,SUMIFS(Assumptions!$P$4:$P$103,Assumptions!$M$4:$M$103,$C954,Assumptions!$N$4:$N$103,$E954,Assumptions!$O$4:$O$103,"HVN"))</f>
        <v/>
      </c>
      <c r="P954" s="34">
        <f>(M954+O954)*Assumptions!$S$11</f>
        <v/>
      </c>
      <c r="Q954" s="35">
        <f>$F954*$K954*$P954</f>
        <v/>
      </c>
    </row>
    <row r="955">
      <c r="A955" s="11" t="inlineStr">
        <is>
          <t>UNIT</t>
        </is>
      </c>
      <c r="B955" s="28" t="inlineStr">
        <is>
          <t>PBF_MARTINEZ</t>
        </is>
      </c>
      <c r="C955" s="28" t="n">
        <v>5</v>
      </c>
      <c r="D955" s="28" t="inlineStr">
        <is>
          <t>FCOKER</t>
        </is>
      </c>
      <c r="E955" s="28" t="inlineStr">
        <is>
          <t>COKER</t>
        </is>
      </c>
      <c r="F955" s="29" t="n">
        <v>22.5</v>
      </c>
      <c r="G955" s="30">
        <f>IFERROR(IF(INDEX(Effective!$E$3:$R$125,MATCH($B955,Effective!$A$3:$A$125,0),MATCH($D955,Effective!$E$2:$R$2,0))=0,"",INDEX(Effective!$E$3:$R$125,MATCH($B955,Effective!$A$3:$A$125,0),MATCH($D955,Effective!$E$2:$R$2,0))),"")</f>
        <v/>
      </c>
      <c r="H955" s="31" t="n"/>
      <c r="I955" s="17" t="inlineStr">
        <is>
          <t>override</t>
        </is>
      </c>
      <c r="J955" s="32" t="n">
        <v>0.257</v>
      </c>
      <c r="K955" s="33">
        <f>IF(AND(IF($I960&lt;&gt;"",$I960,$I955)="override",$J955&lt;&gt;""),$J955,SUMIFS(Assumptions!$K$4:$K$8,Assumptions!$J$4:$J$8,$C955))*Assumptions!$S$10*(1-MIN(1,MAX(N($H955),N($H960))))</f>
        <v/>
      </c>
      <c r="L955" s="32" t="n"/>
      <c r="M955" s="34">
        <f>IF(AND(IF($I960&lt;&gt;"",$I960,$I955)="override",$L955&lt;&gt;""),$L955,SUMIFS(Assumptions!$P$4:$P$103,Assumptions!$M$4:$M$103,$C955,Assumptions!$N$4:$N$103,$E955,Assumptions!$O$4:$O$103,"LVN"))</f>
        <v/>
      </c>
      <c r="N955" s="32" t="n"/>
      <c r="O955" s="34">
        <f>IF(AND(IF($I960&lt;&gt;"",$I960,$I955)="override",$N955&lt;&gt;""),$N955,SUMIFS(Assumptions!$P$4:$P$103,Assumptions!$M$4:$M$103,$C955,Assumptions!$N$4:$N$103,$E955,Assumptions!$O$4:$O$103,"HVN"))</f>
        <v/>
      </c>
      <c r="P955" s="34">
        <f>(M955+O955)*Assumptions!$S$11</f>
        <v/>
      </c>
      <c r="Q955" s="35">
        <f>$F955*$K955*$P955</f>
        <v/>
      </c>
    </row>
    <row r="956">
      <c r="A956" s="11" t="inlineStr">
        <is>
          <t>UNIT</t>
        </is>
      </c>
      <c r="B956" s="28" t="inlineStr">
        <is>
          <t>PBF_MARTINEZ</t>
        </is>
      </c>
      <c r="C956" s="28" t="n">
        <v>5</v>
      </c>
      <c r="D956" s="28" t="inlineStr">
        <is>
          <t>CCR</t>
        </is>
      </c>
      <c r="E956" s="28" t="inlineStr">
        <is>
          <t>REFORMER</t>
        </is>
      </c>
      <c r="F956" s="29" t="n">
        <v>31</v>
      </c>
      <c r="G956" s="30">
        <f>IFERROR(IF(INDEX(Effective!$E$3:$R$125,MATCH($B956,Effective!$A$3:$A$125,0),MATCH($D956,Effective!$E$2:$R$2,0))=0,"",INDEX(Effective!$E$3:$R$125,MATCH($B956,Effective!$A$3:$A$125,0),MATCH($D956,Effective!$E$2:$R$2,0))),"")</f>
        <v/>
      </c>
      <c r="H956" s="31" t="n"/>
      <c r="I956" s="17" t="inlineStr">
        <is>
          <t>override</t>
        </is>
      </c>
      <c r="J956" s="32" t="n">
        <v>0.995</v>
      </c>
      <c r="K956" s="33">
        <f>IF(AND(IF($I960&lt;&gt;"",$I960,$I956)="override",$J956&lt;&gt;""),$J956,SUMIFS(Assumptions!$K$4:$K$8,Assumptions!$J$4:$J$8,$C956))*Assumptions!$S$10*(1-MIN(1,MAX(N($H956),N($H960))))</f>
        <v/>
      </c>
      <c r="L956" s="32" t="n"/>
      <c r="M956" s="34">
        <f>IF(AND(IF($I960&lt;&gt;"",$I960,$I956)="override",$L956&lt;&gt;""),$L956,SUMIFS(Assumptions!$P$4:$P$103,Assumptions!$M$4:$M$103,$C956,Assumptions!$N$4:$N$103,$E956,Assumptions!$O$4:$O$103,"LVN"))</f>
        <v/>
      </c>
      <c r="N956" s="32" t="n"/>
      <c r="O956" s="34">
        <f>IF(AND(IF($I960&lt;&gt;"",$I960,$I956)="override",$N956&lt;&gt;""),$N956,SUMIFS(Assumptions!$P$4:$P$103,Assumptions!$M$4:$M$103,$C956,Assumptions!$N$4:$N$103,$E956,Assumptions!$O$4:$O$103,"HVN"))</f>
        <v/>
      </c>
      <c r="P956" s="34">
        <f>(M956+O956)*Assumptions!$S$11</f>
        <v/>
      </c>
      <c r="Q956" s="35">
        <f>$F956*$K956*$P956</f>
        <v/>
      </c>
    </row>
    <row r="957">
      <c r="A957" s="11" t="inlineStr">
        <is>
          <t>UNIT</t>
        </is>
      </c>
      <c r="B957" s="28" t="inlineStr">
        <is>
          <t>PBF_MARTINEZ</t>
        </is>
      </c>
      <c r="C957" s="28" t="n">
        <v>5</v>
      </c>
      <c r="D957" s="28" t="inlineStr">
        <is>
          <t>ISOM</t>
        </is>
      </c>
      <c r="E957" s="28" t="inlineStr">
        <is>
          <t>ISOM</t>
        </is>
      </c>
      <c r="F957" s="29" t="n">
        <v>15</v>
      </c>
      <c r="G957" s="30">
        <f>IFERROR(IF(INDEX(Effective!$E$3:$R$125,MATCH($B957,Effective!$A$3:$A$125,0),MATCH($D957,Effective!$E$2:$R$2,0))=0,"",INDEX(Effective!$E$3:$R$125,MATCH($B957,Effective!$A$3:$A$125,0),MATCH($D957,Effective!$E$2:$R$2,0))),"")</f>
        <v/>
      </c>
      <c r="H957" s="31" t="n"/>
      <c r="I957" s="17" t="inlineStr">
        <is>
          <t>override</t>
        </is>
      </c>
      <c r="J957" s="32" t="n">
        <v>0.495</v>
      </c>
      <c r="K957" s="33">
        <f>IF(AND(IF($I960&lt;&gt;"",$I960,$I957)="override",$J957&lt;&gt;""),$J957,SUMIFS(Assumptions!$K$4:$K$8,Assumptions!$J$4:$J$8,$C957))*Assumptions!$S$10*(1-MIN(1,MAX(N($H957),N($H960))))</f>
        <v/>
      </c>
      <c r="L957" s="32" t="n"/>
      <c r="M957" s="34">
        <f>IF(AND(IF($I960&lt;&gt;"",$I960,$I957)="override",$L957&lt;&gt;""),$L957,SUMIFS(Assumptions!$P$4:$P$103,Assumptions!$M$4:$M$103,$C957,Assumptions!$N$4:$N$103,$E957,Assumptions!$O$4:$O$103,"LVN"))</f>
        <v/>
      </c>
      <c r="N957" s="32" t="n"/>
      <c r="O957" s="34">
        <f>IF(AND(IF($I960&lt;&gt;"",$I960,$I957)="override",$N957&lt;&gt;""),$N957,SUMIFS(Assumptions!$P$4:$P$103,Assumptions!$M$4:$M$103,$C957,Assumptions!$N$4:$N$103,$E957,Assumptions!$O$4:$O$103,"HVN"))</f>
        <v/>
      </c>
      <c r="P957" s="34">
        <f>(M957+O957)*Assumptions!$S$11</f>
        <v/>
      </c>
      <c r="Q957" s="35">
        <f>$F957*$K957*$P957</f>
        <v/>
      </c>
    </row>
    <row r="958">
      <c r="A958" s="11" t="inlineStr">
        <is>
          <t>UNIT</t>
        </is>
      </c>
      <c r="B958" s="28" t="inlineStr">
        <is>
          <t>PBF_MARTINEZ</t>
        </is>
      </c>
      <c r="C958" s="28" t="n">
        <v>5</v>
      </c>
      <c r="D958" s="28" t="inlineStr">
        <is>
          <t>ALKY</t>
        </is>
      </c>
      <c r="E958" s="28" t="inlineStr">
        <is>
          <t>ALKY</t>
        </is>
      </c>
      <c r="F958" s="29" t="n">
        <v>12.8</v>
      </c>
      <c r="G958" s="30">
        <f>IFERROR(IF(INDEX(Effective!$E$3:$R$125,MATCH($B958,Effective!$A$3:$A$125,0),MATCH($D958,Effective!$E$2:$R$2,0))=0,"",INDEX(Effective!$E$3:$R$125,MATCH($B958,Effective!$A$3:$A$125,0),MATCH($D958,Effective!$E$2:$R$2,0))),"")</f>
        <v/>
      </c>
      <c r="H958" s="31" t="n"/>
      <c r="I958" s="17" t="inlineStr">
        <is>
          <t>override</t>
        </is>
      </c>
      <c r="J958" s="32" t="n">
        <v>1.1</v>
      </c>
      <c r="K958" s="33">
        <f>IF(AND(IF($I960&lt;&gt;"",$I960,$I958)="override",$J958&lt;&gt;""),$J958,SUMIFS(Assumptions!$K$4:$K$8,Assumptions!$J$4:$J$8,$C958))*Assumptions!$S$10*(1-MIN(1,MAX(N($H958),N($H960))))</f>
        <v/>
      </c>
      <c r="L958" s="32" t="n"/>
      <c r="M958" s="34">
        <f>IF(AND(IF($I960&lt;&gt;"",$I960,$I958)="override",$L958&lt;&gt;""),$L958,SUMIFS(Assumptions!$P$4:$P$103,Assumptions!$M$4:$M$103,$C958,Assumptions!$N$4:$N$103,$E958,Assumptions!$O$4:$O$103,"LVN"))</f>
        <v/>
      </c>
      <c r="N958" s="32" t="n"/>
      <c r="O958" s="34">
        <f>IF(AND(IF($I960&lt;&gt;"",$I960,$I958)="override",$N958&lt;&gt;""),$N958,SUMIFS(Assumptions!$P$4:$P$103,Assumptions!$M$4:$M$103,$C958,Assumptions!$N$4:$N$103,$E958,Assumptions!$O$4:$O$103,"HVN"))</f>
        <v/>
      </c>
      <c r="P958" s="34">
        <f>(M958+O958)*Assumptions!$S$11</f>
        <v/>
      </c>
      <c r="Q958" s="35">
        <f>$F958*$K958*$P958</f>
        <v/>
      </c>
    </row>
    <row r="959">
      <c r="A959" s="11" t="inlineStr">
        <is>
          <t>UNIT</t>
        </is>
      </c>
      <c r="B959" s="28" t="inlineStr">
        <is>
          <t>PBF_MARTINEZ</t>
        </is>
      </c>
      <c r="C959" s="28" t="n">
        <v>5</v>
      </c>
      <c r="D959" s="28" t="inlineStr">
        <is>
          <t>NHT</t>
        </is>
      </c>
      <c r="E959" s="28" t="inlineStr">
        <is>
          <t>NHT</t>
        </is>
      </c>
      <c r="F959" s="29" t="n">
        <v>28</v>
      </c>
      <c r="G959" s="30">
        <f>IFERROR(IF(INDEX(Effective!$E$3:$R$125,MATCH($B959,Effective!$A$3:$A$125,0),MATCH($D959,Effective!$E$2:$R$2,0))=0,"",INDEX(Effective!$E$3:$R$125,MATCH($B959,Effective!$A$3:$A$125,0),MATCH($D959,Effective!$E$2:$R$2,0))),"")</f>
        <v/>
      </c>
      <c r="H959" s="31" t="n"/>
      <c r="I959" s="17" t="inlineStr">
        <is>
          <t>override</t>
        </is>
      </c>
      <c r="J959" s="32" t="n">
        <v>0.555</v>
      </c>
      <c r="K959" s="33">
        <f>IF(AND(IF($I960&lt;&gt;"",$I960,$I959)="override",$J959&lt;&gt;""),$J959,SUMIFS(Assumptions!$K$4:$K$8,Assumptions!$J$4:$J$8,$C959))*Assumptions!$S$10*(1-MIN(1,MAX(N($H959),N($H960))))</f>
        <v/>
      </c>
      <c r="L959" s="32" t="n"/>
      <c r="M959" s="34">
        <f>IF(AND(IF($I960&lt;&gt;"",$I960,$I959)="override",$L959&lt;&gt;""),$L959,SUMIFS(Assumptions!$P$4:$P$103,Assumptions!$M$4:$M$103,$C959,Assumptions!$N$4:$N$103,$E959,Assumptions!$O$4:$O$103,"LVN"))</f>
        <v/>
      </c>
      <c r="N959" s="32" t="n"/>
      <c r="O959" s="34">
        <f>IF(AND(IF($I960&lt;&gt;"",$I960,$I959)="override",$N959&lt;&gt;""),$N959,SUMIFS(Assumptions!$P$4:$P$103,Assumptions!$M$4:$M$103,$C959,Assumptions!$N$4:$N$103,$E959,Assumptions!$O$4:$O$103,"HVN"))</f>
        <v/>
      </c>
      <c r="P959" s="34">
        <f>(M959+O959)*Assumptions!$S$11</f>
        <v/>
      </c>
      <c r="Q959" s="35">
        <f>$F959*$K959*$P959</f>
        <v/>
      </c>
    </row>
    <row r="960">
      <c r="A960" s="24" t="inlineStr">
        <is>
          <t>TOTAL</t>
        </is>
      </c>
      <c r="B960" s="36" t="inlineStr">
        <is>
          <t>PBF_MARTINEZ</t>
        </is>
      </c>
      <c r="C960" s="36" t="n">
        <v>5</v>
      </c>
      <c r="D960" s="36" t="inlineStr">
        <is>
          <t>NET NAPHTHA</t>
        </is>
      </c>
      <c r="H960" s="31" t="n"/>
      <c r="I960" s="17" t="n"/>
      <c r="Q960" s="37">
        <f>SUM(Q950:Q959)</f>
        <v/>
      </c>
    </row>
    <row r="962" ht="20" customHeight="1">
      <c r="A962" s="8">
        <f>"  HF Sinclair Anacortes  [HF_ANACORTES]   —   HF Sinclair   —   PADD 5   —   crude "&amp;TEXT(SUMIFS(Data!$G$3:$G$125,Data!$A$3:$A$125,"HF_ANACORTES"),"#,##0")&amp;" kbd"</f>
        <v/>
      </c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</row>
    <row r="963">
      <c r="A963" s="11" t="inlineStr">
        <is>
          <t>UNIT</t>
        </is>
      </c>
      <c r="B963" s="28" t="inlineStr">
        <is>
          <t>HF_ANACORTES</t>
        </is>
      </c>
      <c r="C963" s="28" t="n">
        <v>5</v>
      </c>
      <c r="D963" s="28" t="inlineStr">
        <is>
          <t>CDU</t>
        </is>
      </c>
      <c r="E963" s="28" t="inlineStr">
        <is>
          <t>CDU</t>
        </is>
      </c>
      <c r="F963" s="29" t="n">
        <v>149</v>
      </c>
      <c r="G963" s="30">
        <f>IFERROR(IF(INDEX(Effective!$E$3:$R$125,MATCH($B963,Effective!$A$3:$A$125,0),MATCH($D963,Effective!$E$2:$R$2,0))=0,"",INDEX(Effective!$E$3:$R$125,MATCH($B963,Effective!$A$3:$A$125,0),MATCH($D963,Effective!$E$2:$R$2,0))),"")</f>
        <v/>
      </c>
      <c r="H963" s="31" t="n"/>
      <c r="I963" s="17" t="inlineStr">
        <is>
          <t>override</t>
        </is>
      </c>
      <c r="J963" s="32" t="n">
        <v>0.65</v>
      </c>
      <c r="K963" s="33">
        <f>IF(AND(IF($I970&lt;&gt;"",$I970,$I963)="override",$J963&lt;&gt;""),$J963,SUMIFS(Assumptions!$K$4:$K$8,Assumptions!$J$4:$J$8,$C963))*Assumptions!$S$10*(1-MIN(1,MAX(N($H963),N($H970))))</f>
        <v/>
      </c>
      <c r="L963" s="32" t="n"/>
      <c r="M963" s="34">
        <f>IF(AND(IF($I970&lt;&gt;"",$I970,$I963)="override",$L963&lt;&gt;""),$L963,SUMIFS(Assumptions!$P$4:$P$103,Assumptions!$M$4:$M$103,$C963,Assumptions!$N$4:$N$103,$E963,Assumptions!$O$4:$O$103,"LVN"))</f>
        <v/>
      </c>
      <c r="N963" s="32" t="n"/>
      <c r="O963" s="34">
        <f>IF(AND(IF($I970&lt;&gt;"",$I970,$I963)="override",$N963&lt;&gt;""),$N963,SUMIFS(Assumptions!$P$4:$P$103,Assumptions!$M$4:$M$103,$C963,Assumptions!$N$4:$N$103,$E963,Assumptions!$O$4:$O$103,"HVN"))</f>
        <v/>
      </c>
      <c r="P963" s="34">
        <f>(M963+O963)*Assumptions!$S$11</f>
        <v/>
      </c>
      <c r="Q963" s="35">
        <f>$F963*$K963*$P963</f>
        <v/>
      </c>
    </row>
    <row r="964">
      <c r="A964" s="11" t="inlineStr">
        <is>
          <t>UNIT</t>
        </is>
      </c>
      <c r="B964" s="28" t="inlineStr">
        <is>
          <t>HF_ANACORTES</t>
        </is>
      </c>
      <c r="C964" s="28" t="n">
        <v>5</v>
      </c>
      <c r="D964" s="28" t="inlineStr">
        <is>
          <t>VDU</t>
        </is>
      </c>
      <c r="E964" s="28" t="inlineStr">
        <is>
          <t>VDU</t>
        </is>
      </c>
      <c r="F964" s="29" t="n">
        <v>65.8</v>
      </c>
      <c r="G964" s="30">
        <f>IFERROR(IF(INDEX(Effective!$E$3:$R$125,MATCH($B964,Effective!$A$3:$A$125,0),MATCH($D964,Effective!$E$2:$R$2,0))=0,"",INDEX(Effective!$E$3:$R$125,MATCH($B964,Effective!$A$3:$A$125,0),MATCH($D964,Effective!$E$2:$R$2,0))),"")</f>
        <v/>
      </c>
      <c r="H964" s="31" t="n"/>
      <c r="I964" s="17" t="inlineStr">
        <is>
          <t>override</t>
        </is>
      </c>
      <c r="J964" s="32" t="n">
        <v>0.591</v>
      </c>
      <c r="K964" s="33">
        <f>IF(AND(IF($I970&lt;&gt;"",$I970,$I964)="override",$J964&lt;&gt;""),$J964,SUMIFS(Assumptions!$K$4:$K$8,Assumptions!$J$4:$J$8,$C964))*Assumptions!$S$10*(1-MIN(1,MAX(N($H964),N($H970))))</f>
        <v/>
      </c>
      <c r="L964" s="32" t="n"/>
      <c r="M964" s="34">
        <f>IF(AND(IF($I970&lt;&gt;"",$I970,$I964)="override",$L964&lt;&gt;""),$L964,SUMIFS(Assumptions!$P$4:$P$103,Assumptions!$M$4:$M$103,$C964,Assumptions!$N$4:$N$103,$E964,Assumptions!$O$4:$O$103,"LVN"))</f>
        <v/>
      </c>
      <c r="N964" s="32" t="n"/>
      <c r="O964" s="34">
        <f>IF(AND(IF($I970&lt;&gt;"",$I970,$I964)="override",$N964&lt;&gt;""),$N964,SUMIFS(Assumptions!$P$4:$P$103,Assumptions!$M$4:$M$103,$C964,Assumptions!$N$4:$N$103,$E964,Assumptions!$O$4:$O$103,"HVN"))</f>
        <v/>
      </c>
      <c r="P964" s="34">
        <f>(M964+O964)*Assumptions!$S$11</f>
        <v/>
      </c>
      <c r="Q964" s="35">
        <f>$F964*$K964*$P964</f>
        <v/>
      </c>
    </row>
    <row r="965">
      <c r="A965" s="11" t="inlineStr">
        <is>
          <t>UNIT</t>
        </is>
      </c>
      <c r="B965" s="28" t="inlineStr">
        <is>
          <t>HF_ANACORTES</t>
        </is>
      </c>
      <c r="C965" s="28" t="n">
        <v>5</v>
      </c>
      <c r="D965" s="28" t="inlineStr">
        <is>
          <t>FCC</t>
        </is>
      </c>
      <c r="E965" s="28" t="inlineStr">
        <is>
          <t>FCC</t>
        </is>
      </c>
      <c r="F965" s="29" t="n">
        <v>57.9</v>
      </c>
      <c r="G965" s="30">
        <f>IFERROR(IF(INDEX(Effective!$E$3:$R$125,MATCH($B965,Effective!$A$3:$A$125,0),MATCH($D965,Effective!$E$2:$R$2,0))=0,"",INDEX(Effective!$E$3:$R$125,MATCH($B965,Effective!$A$3:$A$125,0),MATCH($D965,Effective!$E$2:$R$2,0))),"")</f>
        <v/>
      </c>
      <c r="H965" s="31" t="n"/>
      <c r="I965" s="17" t="inlineStr">
        <is>
          <t>override</t>
        </is>
      </c>
      <c r="J965" s="32" t="n">
        <v>0.513</v>
      </c>
      <c r="K965" s="33">
        <f>IF(AND(IF($I970&lt;&gt;"",$I970,$I965)="override",$J965&lt;&gt;""),$J965,SUMIFS(Assumptions!$K$4:$K$8,Assumptions!$J$4:$J$8,$C965))*Assumptions!$S$10*(1-MIN(1,MAX(N($H965),N($H970))))</f>
        <v/>
      </c>
      <c r="L965" s="32" t="n"/>
      <c r="M965" s="34">
        <f>IF(AND(IF($I970&lt;&gt;"",$I970,$I965)="override",$L965&lt;&gt;""),$L965,SUMIFS(Assumptions!$P$4:$P$103,Assumptions!$M$4:$M$103,$C965,Assumptions!$N$4:$N$103,$E965,Assumptions!$O$4:$O$103,"LVN"))</f>
        <v/>
      </c>
      <c r="N965" s="32" t="n"/>
      <c r="O965" s="34">
        <f>IF(AND(IF($I970&lt;&gt;"",$I970,$I965)="override",$N965&lt;&gt;""),$N965,SUMIFS(Assumptions!$P$4:$P$103,Assumptions!$M$4:$M$103,$C965,Assumptions!$N$4:$N$103,$E965,Assumptions!$O$4:$O$103,"HVN"))</f>
        <v/>
      </c>
      <c r="P965" s="34">
        <f>(M965+O965)*Assumptions!$S$11</f>
        <v/>
      </c>
      <c r="Q965" s="35">
        <f>$F965*$K965*$P965</f>
        <v/>
      </c>
    </row>
    <row r="966">
      <c r="A966" s="11" t="inlineStr">
        <is>
          <t>UNIT</t>
        </is>
      </c>
      <c r="B966" s="28" t="inlineStr">
        <is>
          <t>HF_ANACORTES</t>
        </is>
      </c>
      <c r="C966" s="28" t="n">
        <v>5</v>
      </c>
      <c r="D966" s="28" t="inlineStr">
        <is>
          <t>COKER</t>
        </is>
      </c>
      <c r="E966" s="28" t="inlineStr">
        <is>
          <t>COKER</t>
        </is>
      </c>
      <c r="F966" s="29" t="n">
        <v>25.3</v>
      </c>
      <c r="G966" s="30">
        <f>IFERROR(IF(INDEX(Effective!$E$3:$R$125,MATCH($B966,Effective!$A$3:$A$125,0),MATCH($D966,Effective!$E$2:$R$2,0))=0,"",INDEX(Effective!$E$3:$R$125,MATCH($B966,Effective!$A$3:$A$125,0),MATCH($D966,Effective!$E$2:$R$2,0))),"")</f>
        <v/>
      </c>
      <c r="H966" s="31" t="n"/>
      <c r="I966" s="17" t="inlineStr">
        <is>
          <t>override</t>
        </is>
      </c>
      <c r="J966" s="32" t="n">
        <v>0.48</v>
      </c>
      <c r="K966" s="33">
        <f>IF(AND(IF($I970&lt;&gt;"",$I970,$I966)="override",$J966&lt;&gt;""),$J966,SUMIFS(Assumptions!$K$4:$K$8,Assumptions!$J$4:$J$8,$C966))*Assumptions!$S$10*(1-MIN(1,MAX(N($H966),N($H970))))</f>
        <v/>
      </c>
      <c r="L966" s="32" t="n"/>
      <c r="M966" s="34">
        <f>IF(AND(IF($I970&lt;&gt;"",$I970,$I966)="override",$L966&lt;&gt;""),$L966,SUMIFS(Assumptions!$P$4:$P$103,Assumptions!$M$4:$M$103,$C966,Assumptions!$N$4:$N$103,$E966,Assumptions!$O$4:$O$103,"LVN"))</f>
        <v/>
      </c>
      <c r="N966" s="32" t="n"/>
      <c r="O966" s="34">
        <f>IF(AND(IF($I970&lt;&gt;"",$I970,$I966)="override",$N966&lt;&gt;""),$N966,SUMIFS(Assumptions!$P$4:$P$103,Assumptions!$M$4:$M$103,$C966,Assumptions!$N$4:$N$103,$E966,Assumptions!$O$4:$O$103,"HVN"))</f>
        <v/>
      </c>
      <c r="P966" s="34">
        <f>(M966+O966)*Assumptions!$S$11</f>
        <v/>
      </c>
      <c r="Q966" s="35">
        <f>$F966*$K966*$P966</f>
        <v/>
      </c>
    </row>
    <row r="967">
      <c r="A967" s="11" t="inlineStr">
        <is>
          <t>UNIT</t>
        </is>
      </c>
      <c r="B967" s="28" t="inlineStr">
        <is>
          <t>HF_ANACORTES</t>
        </is>
      </c>
      <c r="C967" s="28" t="n">
        <v>5</v>
      </c>
      <c r="D967" s="28" t="inlineStr">
        <is>
          <t>REF</t>
        </is>
      </c>
      <c r="E967" s="28" t="inlineStr">
        <is>
          <t>REFORMER</t>
        </is>
      </c>
      <c r="F967" s="29" t="n">
        <v>21.7</v>
      </c>
      <c r="G967" s="30">
        <f>IFERROR(IF(INDEX(Effective!$E$3:$R$125,MATCH($B967,Effective!$A$3:$A$125,0),MATCH($D967,Effective!$E$2:$R$2,0))=0,"",INDEX(Effective!$E$3:$R$125,MATCH($B967,Effective!$A$3:$A$125,0),MATCH($D967,Effective!$E$2:$R$2,0))),"")</f>
        <v/>
      </c>
      <c r="H967" s="31" t="n"/>
      <c r="I967" s="17" t="inlineStr">
        <is>
          <t>override</t>
        </is>
      </c>
      <c r="J967" s="32" t="n">
        <v>0.504</v>
      </c>
      <c r="K967" s="33">
        <f>IF(AND(IF($I970&lt;&gt;"",$I970,$I967)="override",$J967&lt;&gt;""),$J967,SUMIFS(Assumptions!$K$4:$K$8,Assumptions!$J$4:$J$8,$C967))*Assumptions!$S$10*(1-MIN(1,MAX(N($H967),N($H970))))</f>
        <v/>
      </c>
      <c r="L967" s="32" t="n"/>
      <c r="M967" s="34">
        <f>IF(AND(IF($I970&lt;&gt;"",$I970,$I967)="override",$L967&lt;&gt;""),$L967,SUMIFS(Assumptions!$P$4:$P$103,Assumptions!$M$4:$M$103,$C967,Assumptions!$N$4:$N$103,$E967,Assumptions!$O$4:$O$103,"LVN"))</f>
        <v/>
      </c>
      <c r="N967" s="32" t="n"/>
      <c r="O967" s="34">
        <f>IF(AND(IF($I970&lt;&gt;"",$I970,$I967)="override",$N967&lt;&gt;""),$N967,SUMIFS(Assumptions!$P$4:$P$103,Assumptions!$M$4:$M$103,$C967,Assumptions!$N$4:$N$103,$E967,Assumptions!$O$4:$O$103,"HVN"))</f>
        <v/>
      </c>
      <c r="P967" s="34">
        <f>(M967+O967)*Assumptions!$S$11</f>
        <v/>
      </c>
      <c r="Q967" s="35">
        <f>$F967*$K967*$P967</f>
        <v/>
      </c>
    </row>
    <row r="968">
      <c r="A968" s="11" t="inlineStr">
        <is>
          <t>UNIT</t>
        </is>
      </c>
      <c r="B968" s="28" t="inlineStr">
        <is>
          <t>HF_ANACORTES</t>
        </is>
      </c>
      <c r="C968" s="28" t="n">
        <v>5</v>
      </c>
      <c r="D968" s="28" t="inlineStr">
        <is>
          <t>ALKY</t>
        </is>
      </c>
      <c r="E968" s="28" t="inlineStr">
        <is>
          <t>ALKY</t>
        </is>
      </c>
      <c r="F968" s="29" t="n">
        <v>12.5</v>
      </c>
      <c r="G968" s="30">
        <f>IFERROR(IF(INDEX(Effective!$E$3:$R$125,MATCH($B968,Effective!$A$3:$A$125,0),MATCH($D968,Effective!$E$2:$R$2,0))=0,"",INDEX(Effective!$E$3:$R$125,MATCH($B968,Effective!$A$3:$A$125,0),MATCH($D968,Effective!$E$2:$R$2,0))),"")</f>
        <v/>
      </c>
      <c r="H968" s="31" t="n"/>
      <c r="I968" s="17" t="inlineStr">
        <is>
          <t>override</t>
        </is>
      </c>
      <c r="J968" s="32" t="n">
        <v>0.675</v>
      </c>
      <c r="K968" s="33">
        <f>IF(AND(IF($I970&lt;&gt;"",$I970,$I968)="override",$J968&lt;&gt;""),$J968,SUMIFS(Assumptions!$K$4:$K$8,Assumptions!$J$4:$J$8,$C968))*Assumptions!$S$10*(1-MIN(1,MAX(N($H968),N($H970))))</f>
        <v/>
      </c>
      <c r="L968" s="32" t="n"/>
      <c r="M968" s="34">
        <f>IF(AND(IF($I970&lt;&gt;"",$I970,$I968)="override",$L968&lt;&gt;""),$L968,SUMIFS(Assumptions!$P$4:$P$103,Assumptions!$M$4:$M$103,$C968,Assumptions!$N$4:$N$103,$E968,Assumptions!$O$4:$O$103,"LVN"))</f>
        <v/>
      </c>
      <c r="N968" s="32" t="n"/>
      <c r="O968" s="34">
        <f>IF(AND(IF($I970&lt;&gt;"",$I970,$I968)="override",$N968&lt;&gt;""),$N968,SUMIFS(Assumptions!$P$4:$P$103,Assumptions!$M$4:$M$103,$C968,Assumptions!$N$4:$N$103,$E968,Assumptions!$O$4:$O$103,"HVN"))</f>
        <v/>
      </c>
      <c r="P968" s="34">
        <f>(M968+O968)*Assumptions!$S$11</f>
        <v/>
      </c>
      <c r="Q968" s="35">
        <f>$F968*$K968*$P968</f>
        <v/>
      </c>
    </row>
    <row r="969">
      <c r="A969" s="11" t="inlineStr">
        <is>
          <t>UNIT</t>
        </is>
      </c>
      <c r="B969" s="28" t="inlineStr">
        <is>
          <t>HF_ANACORTES</t>
        </is>
      </c>
      <c r="C969" s="28" t="n">
        <v>5</v>
      </c>
      <c r="D969" s="28" t="inlineStr">
        <is>
          <t>NHT</t>
        </is>
      </c>
      <c r="E969" s="28" t="inlineStr">
        <is>
          <t>NHT</t>
        </is>
      </c>
      <c r="F969" s="29" t="n">
        <v>21.7</v>
      </c>
      <c r="G969" s="30">
        <f>IFERROR(IF(INDEX(Effective!$E$3:$R$125,MATCH($B969,Effective!$A$3:$A$125,0),MATCH($D969,Effective!$E$2:$R$2,0))=0,"",INDEX(Effective!$E$3:$R$125,MATCH($B969,Effective!$A$3:$A$125,0),MATCH($D969,Effective!$E$2:$R$2,0))),"")</f>
        <v/>
      </c>
      <c r="H969" s="31" t="n"/>
      <c r="I969" s="17" t="inlineStr">
        <is>
          <t>override</t>
        </is>
      </c>
      <c r="J969" s="32" t="n">
        <v>0.549</v>
      </c>
      <c r="K969" s="33">
        <f>IF(AND(IF($I970&lt;&gt;"",$I970,$I969)="override",$J969&lt;&gt;""),$J969,SUMIFS(Assumptions!$K$4:$K$8,Assumptions!$J$4:$J$8,$C969))*Assumptions!$S$10*(1-MIN(1,MAX(N($H969),N($H970))))</f>
        <v/>
      </c>
      <c r="L969" s="32" t="n"/>
      <c r="M969" s="34">
        <f>IF(AND(IF($I970&lt;&gt;"",$I970,$I969)="override",$L969&lt;&gt;""),$L969,SUMIFS(Assumptions!$P$4:$P$103,Assumptions!$M$4:$M$103,$C969,Assumptions!$N$4:$N$103,$E969,Assumptions!$O$4:$O$103,"LVN"))</f>
        <v/>
      </c>
      <c r="N969" s="32" t="n"/>
      <c r="O969" s="34">
        <f>IF(AND(IF($I970&lt;&gt;"",$I970,$I969)="override",$N969&lt;&gt;""),$N969,SUMIFS(Assumptions!$P$4:$P$103,Assumptions!$M$4:$M$103,$C969,Assumptions!$N$4:$N$103,$E969,Assumptions!$O$4:$O$103,"HVN"))</f>
        <v/>
      </c>
      <c r="P969" s="34">
        <f>(M969+O969)*Assumptions!$S$11</f>
        <v/>
      </c>
      <c r="Q969" s="35">
        <f>$F969*$K969*$P969</f>
        <v/>
      </c>
    </row>
    <row r="970">
      <c r="A970" s="24" t="inlineStr">
        <is>
          <t>TOTAL</t>
        </is>
      </c>
      <c r="B970" s="36" t="inlineStr">
        <is>
          <t>HF_ANACORTES</t>
        </is>
      </c>
      <c r="C970" s="36" t="n">
        <v>5</v>
      </c>
      <c r="D970" s="36" t="inlineStr">
        <is>
          <t>NET NAPHTHA</t>
        </is>
      </c>
      <c r="H970" s="31" t="n"/>
      <c r="I970" s="17" t="n"/>
      <c r="Q970" s="37">
        <f>SUM(Q963:Q969)</f>
        <v/>
      </c>
    </row>
    <row r="972" ht="20" customHeight="1">
      <c r="A972" s="8">
        <f>"  Marathon Petroleum Anacortes  [MARATHON_ANACORTES]   —   Marathon Petroleum   —   PADD 5   —   crude "&amp;TEXT(SUMIFS(Data!$G$3:$G$125,Data!$A$3:$A$125,"MARATHON_ANACORTES"),"#,##0")&amp;" kbd"</f>
        <v/>
      </c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</row>
    <row r="973">
      <c r="A973" s="11" t="inlineStr">
        <is>
          <t>UNIT</t>
        </is>
      </c>
      <c r="B973" s="28" t="inlineStr">
        <is>
          <t>MARATHON_ANACORTES</t>
        </is>
      </c>
      <c r="C973" s="28" t="n">
        <v>5</v>
      </c>
      <c r="D973" s="28" t="inlineStr">
        <is>
          <t>CDU</t>
        </is>
      </c>
      <c r="E973" s="28" t="inlineStr">
        <is>
          <t>CDU</t>
        </is>
      </c>
      <c r="F973" s="29" t="n">
        <v>125.26</v>
      </c>
      <c r="G973" s="30">
        <f>IFERROR(IF(INDEX(Effective!$E$3:$R$125,MATCH($B973,Effective!$A$3:$A$125,0),MATCH($D973,Effective!$E$2:$R$2,0))=0,"",INDEX(Effective!$E$3:$R$125,MATCH($B973,Effective!$A$3:$A$125,0),MATCH($D973,Effective!$E$2:$R$2,0))),"")</f>
        <v/>
      </c>
      <c r="H973" s="31" t="n"/>
      <c r="I973" s="17" t="inlineStr">
        <is>
          <t>override</t>
        </is>
      </c>
      <c r="J973" s="32" t="n">
        <v>0.907</v>
      </c>
      <c r="K973" s="33">
        <f>IF(AND(IF($I979&lt;&gt;"",$I979,$I973)="override",$J973&lt;&gt;""),$J973,SUMIFS(Assumptions!$K$4:$K$8,Assumptions!$J$4:$J$8,$C973))*Assumptions!$S$10*(1-MIN(1,MAX(N($H973),N($H979))))</f>
        <v/>
      </c>
      <c r="L973" s="32" t="n"/>
      <c r="M973" s="34">
        <f>IF(AND(IF($I979&lt;&gt;"",$I979,$I973)="override",$L973&lt;&gt;""),$L973,SUMIFS(Assumptions!$P$4:$P$103,Assumptions!$M$4:$M$103,$C973,Assumptions!$N$4:$N$103,$E973,Assumptions!$O$4:$O$103,"LVN"))</f>
        <v/>
      </c>
      <c r="N973" s="32" t="n"/>
      <c r="O973" s="34">
        <f>IF(AND(IF($I979&lt;&gt;"",$I979,$I973)="override",$N973&lt;&gt;""),$N973,SUMIFS(Assumptions!$P$4:$P$103,Assumptions!$M$4:$M$103,$C973,Assumptions!$N$4:$N$103,$E973,Assumptions!$O$4:$O$103,"HVN"))</f>
        <v/>
      </c>
      <c r="P973" s="34">
        <f>(M973+O973)*Assumptions!$S$11</f>
        <v/>
      </c>
      <c r="Q973" s="35">
        <f>$F973*$K973*$P973</f>
        <v/>
      </c>
    </row>
    <row r="974">
      <c r="A974" s="11" t="inlineStr">
        <is>
          <t>UNIT</t>
        </is>
      </c>
      <c r="B974" s="28" t="inlineStr">
        <is>
          <t>MARATHON_ANACORTES</t>
        </is>
      </c>
      <c r="C974" s="28" t="n">
        <v>5</v>
      </c>
      <c r="D974" s="28" t="inlineStr">
        <is>
          <t>VDU</t>
        </is>
      </c>
      <c r="E974" s="28" t="inlineStr">
        <is>
          <t>VDU</t>
        </is>
      </c>
      <c r="F974" s="29" t="n">
        <v>47</v>
      </c>
      <c r="G974" s="30">
        <f>IFERROR(IF(INDEX(Effective!$E$3:$R$125,MATCH($B974,Effective!$A$3:$A$125,0),MATCH($D974,Effective!$E$2:$R$2,0))=0,"",INDEX(Effective!$E$3:$R$125,MATCH($B974,Effective!$A$3:$A$125,0),MATCH($D974,Effective!$E$2:$R$2,0))),"")</f>
        <v/>
      </c>
      <c r="H974" s="31" t="n"/>
      <c r="I974" s="17" t="inlineStr">
        <is>
          <t>override</t>
        </is>
      </c>
      <c r="J974" s="32" t="n">
        <v>0.849</v>
      </c>
      <c r="K974" s="33">
        <f>IF(AND(IF($I979&lt;&gt;"",$I979,$I974)="override",$J974&lt;&gt;""),$J974,SUMIFS(Assumptions!$K$4:$K$8,Assumptions!$J$4:$J$8,$C974))*Assumptions!$S$10*(1-MIN(1,MAX(N($H974),N($H979))))</f>
        <v/>
      </c>
      <c r="L974" s="32" t="n"/>
      <c r="M974" s="34">
        <f>IF(AND(IF($I979&lt;&gt;"",$I979,$I974)="override",$L974&lt;&gt;""),$L974,SUMIFS(Assumptions!$P$4:$P$103,Assumptions!$M$4:$M$103,$C974,Assumptions!$N$4:$N$103,$E974,Assumptions!$O$4:$O$103,"LVN"))</f>
        <v/>
      </c>
      <c r="N974" s="32" t="n"/>
      <c r="O974" s="34">
        <f>IF(AND(IF($I979&lt;&gt;"",$I979,$I974)="override",$N974&lt;&gt;""),$N974,SUMIFS(Assumptions!$P$4:$P$103,Assumptions!$M$4:$M$103,$C974,Assumptions!$N$4:$N$103,$E974,Assumptions!$O$4:$O$103,"HVN"))</f>
        <v/>
      </c>
      <c r="P974" s="34">
        <f>(M974+O974)*Assumptions!$S$11</f>
        <v/>
      </c>
      <c r="Q974" s="35">
        <f>$F974*$K974*$P974</f>
        <v/>
      </c>
    </row>
    <row r="975">
      <c r="A975" s="11" t="inlineStr">
        <is>
          <t>UNIT</t>
        </is>
      </c>
      <c r="B975" s="28" t="inlineStr">
        <is>
          <t>MARATHON_ANACORTES</t>
        </is>
      </c>
      <c r="C975" s="28" t="n">
        <v>5</v>
      </c>
      <c r="D975" s="28" t="inlineStr">
        <is>
          <t>FCC</t>
        </is>
      </c>
      <c r="E975" s="28" t="inlineStr">
        <is>
          <t>FCC</t>
        </is>
      </c>
      <c r="F975" s="29" t="n">
        <v>51.5</v>
      </c>
      <c r="G975" s="30">
        <f>IFERROR(IF(INDEX(Effective!$E$3:$R$125,MATCH($B975,Effective!$A$3:$A$125,0),MATCH($D975,Effective!$E$2:$R$2,0))=0,"",INDEX(Effective!$E$3:$R$125,MATCH($B975,Effective!$A$3:$A$125,0),MATCH($D975,Effective!$E$2:$R$2,0))),"")</f>
        <v/>
      </c>
      <c r="H975" s="31" t="n"/>
      <c r="I975" s="17" t="inlineStr">
        <is>
          <t>override</t>
        </is>
      </c>
      <c r="J975" s="32" t="n">
        <v>0.9330000000000001</v>
      </c>
      <c r="K975" s="33">
        <f>IF(AND(IF($I979&lt;&gt;"",$I979,$I975)="override",$J975&lt;&gt;""),$J975,SUMIFS(Assumptions!$K$4:$K$8,Assumptions!$J$4:$J$8,$C975))*Assumptions!$S$10*(1-MIN(1,MAX(N($H975),N($H979))))</f>
        <v/>
      </c>
      <c r="L975" s="32" t="n"/>
      <c r="M975" s="34">
        <f>IF(AND(IF($I979&lt;&gt;"",$I979,$I975)="override",$L975&lt;&gt;""),$L975,SUMIFS(Assumptions!$P$4:$P$103,Assumptions!$M$4:$M$103,$C975,Assumptions!$N$4:$N$103,$E975,Assumptions!$O$4:$O$103,"LVN"))</f>
        <v/>
      </c>
      <c r="N975" s="32" t="n"/>
      <c r="O975" s="34">
        <f>IF(AND(IF($I979&lt;&gt;"",$I979,$I975)="override",$N975&lt;&gt;""),$N975,SUMIFS(Assumptions!$P$4:$P$103,Assumptions!$M$4:$M$103,$C975,Assumptions!$N$4:$N$103,$E975,Assumptions!$O$4:$O$103,"HVN"))</f>
        <v/>
      </c>
      <c r="P975" s="34">
        <f>(M975+O975)*Assumptions!$S$11</f>
        <v/>
      </c>
      <c r="Q975" s="35">
        <f>$F975*$K975*$P975</f>
        <v/>
      </c>
    </row>
    <row r="976">
      <c r="A976" s="11" t="inlineStr">
        <is>
          <t>UNIT</t>
        </is>
      </c>
      <c r="B976" s="28" t="inlineStr">
        <is>
          <t>MARATHON_ANACORTES</t>
        </is>
      </c>
      <c r="C976" s="28" t="n">
        <v>5</v>
      </c>
      <c r="D976" s="28" t="inlineStr">
        <is>
          <t>CCR</t>
        </is>
      </c>
      <c r="E976" s="28" t="inlineStr">
        <is>
          <t>REFORMER</t>
        </is>
      </c>
      <c r="F976" s="29" t="n">
        <v>28.5</v>
      </c>
      <c r="G976" s="30">
        <f>IFERROR(IF(INDEX(Effective!$E$3:$R$125,MATCH($B976,Effective!$A$3:$A$125,0),MATCH($D976,Effective!$E$2:$R$2,0))=0,"",INDEX(Effective!$E$3:$R$125,MATCH($B976,Effective!$A$3:$A$125,0),MATCH($D976,Effective!$E$2:$R$2,0))),"")</f>
        <v/>
      </c>
      <c r="H976" s="31" t="n"/>
      <c r="I976" s="17" t="inlineStr">
        <is>
          <t>override</t>
        </is>
      </c>
      <c r="J976" s="32" t="n">
        <v>0.537</v>
      </c>
      <c r="K976" s="33">
        <f>IF(AND(IF($I979&lt;&gt;"",$I979,$I976)="override",$J976&lt;&gt;""),$J976,SUMIFS(Assumptions!$K$4:$K$8,Assumptions!$J$4:$J$8,$C976))*Assumptions!$S$10*(1-MIN(1,MAX(N($H976),N($H979))))</f>
        <v/>
      </c>
      <c r="L976" s="32" t="n"/>
      <c r="M976" s="34">
        <f>IF(AND(IF($I979&lt;&gt;"",$I979,$I976)="override",$L976&lt;&gt;""),$L976,SUMIFS(Assumptions!$P$4:$P$103,Assumptions!$M$4:$M$103,$C976,Assumptions!$N$4:$N$103,$E976,Assumptions!$O$4:$O$103,"LVN"))</f>
        <v/>
      </c>
      <c r="N976" s="32" t="n"/>
      <c r="O976" s="34">
        <f>IF(AND(IF($I979&lt;&gt;"",$I979,$I976)="override",$N976&lt;&gt;""),$N976,SUMIFS(Assumptions!$P$4:$P$103,Assumptions!$M$4:$M$103,$C976,Assumptions!$N$4:$N$103,$E976,Assumptions!$O$4:$O$103,"HVN"))</f>
        <v/>
      </c>
      <c r="P976" s="34">
        <f>(M976+O976)*Assumptions!$S$11</f>
        <v/>
      </c>
      <c r="Q976" s="35">
        <f>$F976*$K976*$P976</f>
        <v/>
      </c>
    </row>
    <row r="977">
      <c r="A977" s="11" t="inlineStr">
        <is>
          <t>UNIT</t>
        </is>
      </c>
      <c r="B977" s="28" t="inlineStr">
        <is>
          <t>MARATHON_ANACORTES</t>
        </is>
      </c>
      <c r="C977" s="28" t="n">
        <v>5</v>
      </c>
      <c r="D977" s="28" t="inlineStr">
        <is>
          <t>ALKY</t>
        </is>
      </c>
      <c r="E977" s="28" t="inlineStr">
        <is>
          <t>ALKY</t>
        </is>
      </c>
      <c r="F977" s="29" t="n">
        <v>17</v>
      </c>
      <c r="G977" s="30">
        <f>IFERROR(IF(INDEX(Effective!$E$3:$R$125,MATCH($B977,Effective!$A$3:$A$125,0),MATCH($D977,Effective!$E$2:$R$2,0))=0,"",INDEX(Effective!$E$3:$R$125,MATCH($B977,Effective!$A$3:$A$125,0),MATCH($D977,Effective!$E$2:$R$2,0))),"")</f>
        <v/>
      </c>
      <c r="H977" s="31" t="n"/>
      <c r="I977" s="17" t="inlineStr">
        <is>
          <t>override</t>
        </is>
      </c>
      <c r="J977" s="32" t="n">
        <v>0.748</v>
      </c>
      <c r="K977" s="33">
        <f>IF(AND(IF($I979&lt;&gt;"",$I979,$I977)="override",$J977&lt;&gt;""),$J977,SUMIFS(Assumptions!$K$4:$K$8,Assumptions!$J$4:$J$8,$C977))*Assumptions!$S$10*(1-MIN(1,MAX(N($H977),N($H979))))</f>
        <v/>
      </c>
      <c r="L977" s="32" t="n"/>
      <c r="M977" s="34">
        <f>IF(AND(IF($I979&lt;&gt;"",$I979,$I977)="override",$L977&lt;&gt;""),$L977,SUMIFS(Assumptions!$P$4:$P$103,Assumptions!$M$4:$M$103,$C977,Assumptions!$N$4:$N$103,$E977,Assumptions!$O$4:$O$103,"LVN"))</f>
        <v/>
      </c>
      <c r="N977" s="32" t="n"/>
      <c r="O977" s="34">
        <f>IF(AND(IF($I979&lt;&gt;"",$I979,$I977)="override",$N977&lt;&gt;""),$N977,SUMIFS(Assumptions!$P$4:$P$103,Assumptions!$M$4:$M$103,$C977,Assumptions!$N$4:$N$103,$E977,Assumptions!$O$4:$O$103,"HVN"))</f>
        <v/>
      </c>
      <c r="P977" s="34">
        <f>(M977+O977)*Assumptions!$S$11</f>
        <v/>
      </c>
      <c r="Q977" s="35">
        <f>$F977*$K977*$P977</f>
        <v/>
      </c>
    </row>
    <row r="978">
      <c r="A978" s="11" t="inlineStr">
        <is>
          <t>UNIT</t>
        </is>
      </c>
      <c r="B978" s="28" t="inlineStr">
        <is>
          <t>MARATHON_ANACORTES</t>
        </is>
      </c>
      <c r="C978" s="28" t="n">
        <v>5</v>
      </c>
      <c r="D978" s="28" t="inlineStr">
        <is>
          <t>NHT</t>
        </is>
      </c>
      <c r="E978" s="28" t="inlineStr">
        <is>
          <t>NHT</t>
        </is>
      </c>
      <c r="F978" s="29" t="n">
        <v>46</v>
      </c>
      <c r="G978" s="30">
        <f>IFERROR(IF(INDEX(Effective!$E$3:$R$125,MATCH($B978,Effective!$A$3:$A$125,0),MATCH($D978,Effective!$E$2:$R$2,0))=0,"",INDEX(Effective!$E$3:$R$125,MATCH($B978,Effective!$A$3:$A$125,0),MATCH($D978,Effective!$E$2:$R$2,0))),"")</f>
        <v/>
      </c>
      <c r="H978" s="31" t="n"/>
      <c r="I978" s="17" t="inlineStr">
        <is>
          <t>override</t>
        </is>
      </c>
      <c r="J978" s="32" t="n">
        <v>0.514</v>
      </c>
      <c r="K978" s="33">
        <f>IF(AND(IF($I979&lt;&gt;"",$I979,$I978)="override",$J978&lt;&gt;""),$J978,SUMIFS(Assumptions!$K$4:$K$8,Assumptions!$J$4:$J$8,$C978))*Assumptions!$S$10*(1-MIN(1,MAX(N($H978),N($H979))))</f>
        <v/>
      </c>
      <c r="L978" s="32" t="n"/>
      <c r="M978" s="34">
        <f>IF(AND(IF($I979&lt;&gt;"",$I979,$I978)="override",$L978&lt;&gt;""),$L978,SUMIFS(Assumptions!$P$4:$P$103,Assumptions!$M$4:$M$103,$C978,Assumptions!$N$4:$N$103,$E978,Assumptions!$O$4:$O$103,"LVN"))</f>
        <v/>
      </c>
      <c r="N978" s="32" t="n"/>
      <c r="O978" s="34">
        <f>IF(AND(IF($I979&lt;&gt;"",$I979,$I978)="override",$N978&lt;&gt;""),$N978,SUMIFS(Assumptions!$P$4:$P$103,Assumptions!$M$4:$M$103,$C978,Assumptions!$N$4:$N$103,$E978,Assumptions!$O$4:$O$103,"HVN"))</f>
        <v/>
      </c>
      <c r="P978" s="34">
        <f>(M978+O978)*Assumptions!$S$11</f>
        <v/>
      </c>
      <c r="Q978" s="35">
        <f>$F978*$K978*$P978</f>
        <v/>
      </c>
    </row>
    <row r="979">
      <c r="A979" s="24" t="inlineStr">
        <is>
          <t>TOTAL</t>
        </is>
      </c>
      <c r="B979" s="36" t="inlineStr">
        <is>
          <t>MARATHON_ANACORTES</t>
        </is>
      </c>
      <c r="C979" s="36" t="n">
        <v>5</v>
      </c>
      <c r="D979" s="36" t="inlineStr">
        <is>
          <t>NET NAPHTHA</t>
        </is>
      </c>
      <c r="H979" s="31" t="n"/>
      <c r="I979" s="17" t="n"/>
      <c r="Q979" s="37">
        <f>SUM(Q973:Q978)</f>
        <v/>
      </c>
    </row>
    <row r="981" ht="20" customHeight="1">
      <c r="A981" s="8">
        <f>"  Phillips 66 Co. Ferndale  [PHILLIPS_FERNDALE]   —   Phillips 66 Co.   —   PADD 5   —   crude "&amp;TEXT(SUMIFS(Data!$G$3:$G$125,Data!$A$3:$A$125,"PHILLIPS_FERNDALE"),"#,##0")&amp;" kbd"</f>
        <v/>
      </c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</row>
    <row r="982">
      <c r="A982" s="11" t="inlineStr">
        <is>
          <t>UNIT</t>
        </is>
      </c>
      <c r="B982" s="28" t="inlineStr">
        <is>
          <t>PHILLIPS_FERNDALE</t>
        </is>
      </c>
      <c r="C982" s="28" t="n">
        <v>5</v>
      </c>
      <c r="D982" s="28" t="inlineStr">
        <is>
          <t>CDU</t>
        </is>
      </c>
      <c r="E982" s="28" t="inlineStr">
        <is>
          <t>CDU</t>
        </is>
      </c>
      <c r="F982" s="29" t="n">
        <v>110.5</v>
      </c>
      <c r="G982" s="30">
        <f>IFERROR(IF(INDEX(Effective!$E$3:$R$125,MATCH($B982,Effective!$A$3:$A$125,0),MATCH($D982,Effective!$E$2:$R$2,0))=0,"",INDEX(Effective!$E$3:$R$125,MATCH($B982,Effective!$A$3:$A$125,0),MATCH($D982,Effective!$E$2:$R$2,0))),"")</f>
        <v/>
      </c>
      <c r="H982" s="31" t="n"/>
      <c r="I982" s="17" t="inlineStr">
        <is>
          <t>override</t>
        </is>
      </c>
      <c r="J982" s="32" t="n">
        <v>0.884</v>
      </c>
      <c r="K982" s="33">
        <f>IF(AND(IF($I988&lt;&gt;"",$I988,$I982)="override",$J982&lt;&gt;""),$J982,SUMIFS(Assumptions!$K$4:$K$8,Assumptions!$J$4:$J$8,$C982))*Assumptions!$S$10*(1-MIN(1,MAX(N($H982),N($H988))))</f>
        <v/>
      </c>
      <c r="L982" s="32" t="n"/>
      <c r="M982" s="34">
        <f>IF(AND(IF($I988&lt;&gt;"",$I988,$I982)="override",$L982&lt;&gt;""),$L982,SUMIFS(Assumptions!$P$4:$P$103,Assumptions!$M$4:$M$103,$C982,Assumptions!$N$4:$N$103,$E982,Assumptions!$O$4:$O$103,"LVN"))</f>
        <v/>
      </c>
      <c r="N982" s="32" t="n"/>
      <c r="O982" s="34">
        <f>IF(AND(IF($I988&lt;&gt;"",$I988,$I982)="override",$N982&lt;&gt;""),$N982,SUMIFS(Assumptions!$P$4:$P$103,Assumptions!$M$4:$M$103,$C982,Assumptions!$N$4:$N$103,$E982,Assumptions!$O$4:$O$103,"HVN"))</f>
        <v/>
      </c>
      <c r="P982" s="34">
        <f>(M982+O982)*Assumptions!$S$11</f>
        <v/>
      </c>
      <c r="Q982" s="35">
        <f>$F982*$K982*$P982</f>
        <v/>
      </c>
    </row>
    <row r="983">
      <c r="A983" s="11" t="inlineStr">
        <is>
          <t>UNIT</t>
        </is>
      </c>
      <c r="B983" s="28" t="inlineStr">
        <is>
          <t>PHILLIPS_FERNDALE</t>
        </is>
      </c>
      <c r="C983" s="28" t="n">
        <v>5</v>
      </c>
      <c r="D983" s="28" t="inlineStr">
        <is>
          <t>VDU</t>
        </is>
      </c>
      <c r="E983" s="28" t="inlineStr">
        <is>
          <t>VDU</t>
        </is>
      </c>
      <c r="F983" s="29" t="n">
        <v>48.1</v>
      </c>
      <c r="G983" s="30">
        <f>IFERROR(IF(INDEX(Effective!$E$3:$R$125,MATCH($B983,Effective!$A$3:$A$125,0),MATCH($D983,Effective!$E$2:$R$2,0))=0,"",INDEX(Effective!$E$3:$R$125,MATCH($B983,Effective!$A$3:$A$125,0),MATCH($D983,Effective!$E$2:$R$2,0))),"")</f>
        <v/>
      </c>
      <c r="H983" s="31" t="n"/>
      <c r="I983" s="17" t="inlineStr">
        <is>
          <t>override</t>
        </is>
      </c>
      <c r="J983" s="32" t="n">
        <v>0.613</v>
      </c>
      <c r="K983" s="33">
        <f>IF(AND(IF($I988&lt;&gt;"",$I988,$I983)="override",$J983&lt;&gt;""),$J983,SUMIFS(Assumptions!$K$4:$K$8,Assumptions!$J$4:$J$8,$C983))*Assumptions!$S$10*(1-MIN(1,MAX(N($H983),N($H988))))</f>
        <v/>
      </c>
      <c r="L983" s="32" t="n"/>
      <c r="M983" s="34">
        <f>IF(AND(IF($I988&lt;&gt;"",$I988,$I983)="override",$L983&lt;&gt;""),$L983,SUMIFS(Assumptions!$P$4:$P$103,Assumptions!$M$4:$M$103,$C983,Assumptions!$N$4:$N$103,$E983,Assumptions!$O$4:$O$103,"LVN"))</f>
        <v/>
      </c>
      <c r="N983" s="32" t="n"/>
      <c r="O983" s="34">
        <f>IF(AND(IF($I988&lt;&gt;"",$I988,$I983)="override",$N983&lt;&gt;""),$N983,SUMIFS(Assumptions!$P$4:$P$103,Assumptions!$M$4:$M$103,$C983,Assumptions!$N$4:$N$103,$E983,Assumptions!$O$4:$O$103,"HVN"))</f>
        <v/>
      </c>
      <c r="P983" s="34">
        <f>(M983+O983)*Assumptions!$S$11</f>
        <v/>
      </c>
      <c r="Q983" s="35">
        <f>$F983*$K983*$P983</f>
        <v/>
      </c>
    </row>
    <row r="984">
      <c r="A984" s="11" t="inlineStr">
        <is>
          <t>UNIT</t>
        </is>
      </c>
      <c r="B984" s="28" t="inlineStr">
        <is>
          <t>PHILLIPS_FERNDALE</t>
        </is>
      </c>
      <c r="C984" s="28" t="n">
        <v>5</v>
      </c>
      <c r="D984" s="28" t="inlineStr">
        <is>
          <t>FCC</t>
        </is>
      </c>
      <c r="E984" s="28" t="inlineStr">
        <is>
          <t>FCC</t>
        </is>
      </c>
      <c r="F984" s="29" t="n">
        <v>38</v>
      </c>
      <c r="G984" s="30">
        <f>IFERROR(IF(INDEX(Effective!$E$3:$R$125,MATCH($B984,Effective!$A$3:$A$125,0),MATCH($D984,Effective!$E$2:$R$2,0))=0,"",INDEX(Effective!$E$3:$R$125,MATCH($B984,Effective!$A$3:$A$125,0),MATCH($D984,Effective!$E$2:$R$2,0))),"")</f>
        <v/>
      </c>
      <c r="H984" s="31" t="n"/>
      <c r="I984" s="17" t="inlineStr">
        <is>
          <t>override</t>
        </is>
      </c>
      <c r="J984" s="32" t="n">
        <v>0.999</v>
      </c>
      <c r="K984" s="33">
        <f>IF(AND(IF($I988&lt;&gt;"",$I988,$I984)="override",$J984&lt;&gt;""),$J984,SUMIFS(Assumptions!$K$4:$K$8,Assumptions!$J$4:$J$8,$C984))*Assumptions!$S$10*(1-MIN(1,MAX(N($H984),N($H988))))</f>
        <v/>
      </c>
      <c r="L984" s="32" t="n"/>
      <c r="M984" s="34">
        <f>IF(AND(IF($I988&lt;&gt;"",$I988,$I984)="override",$L984&lt;&gt;""),$L984,SUMIFS(Assumptions!$P$4:$P$103,Assumptions!$M$4:$M$103,$C984,Assumptions!$N$4:$N$103,$E984,Assumptions!$O$4:$O$103,"LVN"))</f>
        <v/>
      </c>
      <c r="N984" s="32" t="n"/>
      <c r="O984" s="34">
        <f>IF(AND(IF($I988&lt;&gt;"",$I988,$I984)="override",$N984&lt;&gt;""),$N984,SUMIFS(Assumptions!$P$4:$P$103,Assumptions!$M$4:$M$103,$C984,Assumptions!$N$4:$N$103,$E984,Assumptions!$O$4:$O$103,"HVN"))</f>
        <v/>
      </c>
      <c r="P984" s="34">
        <f>(M984+O984)*Assumptions!$S$11</f>
        <v/>
      </c>
      <c r="Q984" s="35">
        <f>$F984*$K984*$P984</f>
        <v/>
      </c>
    </row>
    <row r="985">
      <c r="A985" s="11" t="inlineStr">
        <is>
          <t>UNIT</t>
        </is>
      </c>
      <c r="B985" s="28" t="inlineStr">
        <is>
          <t>PHILLIPS_FERNDALE</t>
        </is>
      </c>
      <c r="C985" s="28" t="n">
        <v>5</v>
      </c>
      <c r="D985" s="28" t="inlineStr">
        <is>
          <t>CCR</t>
        </is>
      </c>
      <c r="E985" s="28" t="inlineStr">
        <is>
          <t>REFORMER</t>
        </is>
      </c>
      <c r="F985" s="29" t="n">
        <v>18.5</v>
      </c>
      <c r="G985" s="30">
        <f>IFERROR(IF(INDEX(Effective!$E$3:$R$125,MATCH($B985,Effective!$A$3:$A$125,0),MATCH($D985,Effective!$E$2:$R$2,0))=0,"",INDEX(Effective!$E$3:$R$125,MATCH($B985,Effective!$A$3:$A$125,0),MATCH($D985,Effective!$E$2:$R$2,0))),"")</f>
        <v/>
      </c>
      <c r="H985" s="31" t="n"/>
      <c r="I985" s="17" t="inlineStr">
        <is>
          <t>override</t>
        </is>
      </c>
      <c r="J985" s="32" t="n">
        <v>0.591</v>
      </c>
      <c r="K985" s="33">
        <f>IF(AND(IF($I988&lt;&gt;"",$I988,$I985)="override",$J985&lt;&gt;""),$J985,SUMIFS(Assumptions!$K$4:$K$8,Assumptions!$J$4:$J$8,$C985))*Assumptions!$S$10*(1-MIN(1,MAX(N($H985),N($H988))))</f>
        <v/>
      </c>
      <c r="L985" s="32" t="n"/>
      <c r="M985" s="34">
        <f>IF(AND(IF($I988&lt;&gt;"",$I988,$I985)="override",$L985&lt;&gt;""),$L985,SUMIFS(Assumptions!$P$4:$P$103,Assumptions!$M$4:$M$103,$C985,Assumptions!$N$4:$N$103,$E985,Assumptions!$O$4:$O$103,"LVN"))</f>
        <v/>
      </c>
      <c r="N985" s="32" t="n"/>
      <c r="O985" s="34">
        <f>IF(AND(IF($I988&lt;&gt;"",$I988,$I985)="override",$N985&lt;&gt;""),$N985,SUMIFS(Assumptions!$P$4:$P$103,Assumptions!$M$4:$M$103,$C985,Assumptions!$N$4:$N$103,$E985,Assumptions!$O$4:$O$103,"HVN"))</f>
        <v/>
      </c>
      <c r="P985" s="34">
        <f>(M985+O985)*Assumptions!$S$11</f>
        <v/>
      </c>
      <c r="Q985" s="35">
        <f>$F985*$K985*$P985</f>
        <v/>
      </c>
    </row>
    <row r="986">
      <c r="A986" s="11" t="inlineStr">
        <is>
          <t>UNIT</t>
        </is>
      </c>
      <c r="B986" s="28" t="inlineStr">
        <is>
          <t>PHILLIPS_FERNDALE</t>
        </is>
      </c>
      <c r="C986" s="28" t="n">
        <v>5</v>
      </c>
      <c r="D986" s="28" t="inlineStr">
        <is>
          <t>ALKY</t>
        </is>
      </c>
      <c r="E986" s="28" t="inlineStr">
        <is>
          <t>ALKY</t>
        </is>
      </c>
      <c r="F986" s="29" t="n">
        <v>12.7</v>
      </c>
      <c r="G986" s="30">
        <f>IFERROR(IF(INDEX(Effective!$E$3:$R$125,MATCH($B986,Effective!$A$3:$A$125,0),MATCH($D986,Effective!$E$2:$R$2,0))=0,"",INDEX(Effective!$E$3:$R$125,MATCH($B986,Effective!$A$3:$A$125,0),MATCH($D986,Effective!$E$2:$R$2,0))),"")</f>
        <v/>
      </c>
      <c r="H986" s="31" t="n"/>
      <c r="I986" s="17" t="inlineStr">
        <is>
          <t>override</t>
        </is>
      </c>
      <c r="J986" s="32" t="n">
        <v>1.1</v>
      </c>
      <c r="K986" s="33">
        <f>IF(AND(IF($I988&lt;&gt;"",$I988,$I986)="override",$J986&lt;&gt;""),$J986,SUMIFS(Assumptions!$K$4:$K$8,Assumptions!$J$4:$J$8,$C986))*Assumptions!$S$10*(1-MIN(1,MAX(N($H986),N($H988))))</f>
        <v/>
      </c>
      <c r="L986" s="32" t="n"/>
      <c r="M986" s="34">
        <f>IF(AND(IF($I988&lt;&gt;"",$I988,$I986)="override",$L986&lt;&gt;""),$L986,SUMIFS(Assumptions!$P$4:$P$103,Assumptions!$M$4:$M$103,$C986,Assumptions!$N$4:$N$103,$E986,Assumptions!$O$4:$O$103,"LVN"))</f>
        <v/>
      </c>
      <c r="N986" s="32" t="n"/>
      <c r="O986" s="34">
        <f>IF(AND(IF($I988&lt;&gt;"",$I988,$I986)="override",$N986&lt;&gt;""),$N986,SUMIFS(Assumptions!$P$4:$P$103,Assumptions!$M$4:$M$103,$C986,Assumptions!$N$4:$N$103,$E986,Assumptions!$O$4:$O$103,"HVN"))</f>
        <v/>
      </c>
      <c r="P986" s="34">
        <f>(M986+O986)*Assumptions!$S$11</f>
        <v/>
      </c>
      <c r="Q986" s="35">
        <f>$F986*$K986*$P986</f>
        <v/>
      </c>
    </row>
    <row r="987">
      <c r="A987" s="11" t="inlineStr">
        <is>
          <t>UNIT</t>
        </is>
      </c>
      <c r="B987" s="28" t="inlineStr">
        <is>
          <t>PHILLIPS_FERNDALE</t>
        </is>
      </c>
      <c r="C987" s="28" t="n">
        <v>5</v>
      </c>
      <c r="D987" s="28" t="inlineStr">
        <is>
          <t>NHT</t>
        </is>
      </c>
      <c r="E987" s="28" t="inlineStr">
        <is>
          <t>NHT</t>
        </is>
      </c>
      <c r="F987" s="29" t="n">
        <v>19.4</v>
      </c>
      <c r="G987" s="30">
        <f>IFERROR(IF(INDEX(Effective!$E$3:$R$125,MATCH($B987,Effective!$A$3:$A$125,0),MATCH($D987,Effective!$E$2:$R$2,0))=0,"",INDEX(Effective!$E$3:$R$125,MATCH($B987,Effective!$A$3:$A$125,0),MATCH($D987,Effective!$E$2:$R$2,0))),"")</f>
        <v/>
      </c>
      <c r="H987" s="31" t="n"/>
      <c r="I987" s="17" t="inlineStr">
        <is>
          <t>override</t>
        </is>
      </c>
      <c r="J987" s="32" t="n">
        <v>0.574</v>
      </c>
      <c r="K987" s="33">
        <f>IF(AND(IF($I988&lt;&gt;"",$I988,$I987)="override",$J987&lt;&gt;""),$J987,SUMIFS(Assumptions!$K$4:$K$8,Assumptions!$J$4:$J$8,$C987))*Assumptions!$S$10*(1-MIN(1,MAX(N($H987),N($H988))))</f>
        <v/>
      </c>
      <c r="L987" s="32" t="n"/>
      <c r="M987" s="34">
        <f>IF(AND(IF($I988&lt;&gt;"",$I988,$I987)="override",$L987&lt;&gt;""),$L987,SUMIFS(Assumptions!$P$4:$P$103,Assumptions!$M$4:$M$103,$C987,Assumptions!$N$4:$N$103,$E987,Assumptions!$O$4:$O$103,"LVN"))</f>
        <v/>
      </c>
      <c r="N987" s="32" t="n"/>
      <c r="O987" s="34">
        <f>IF(AND(IF($I988&lt;&gt;"",$I988,$I987)="override",$N987&lt;&gt;""),$N987,SUMIFS(Assumptions!$P$4:$P$103,Assumptions!$M$4:$M$103,$C987,Assumptions!$N$4:$N$103,$E987,Assumptions!$O$4:$O$103,"HVN"))</f>
        <v/>
      </c>
      <c r="P987" s="34">
        <f>(M987+O987)*Assumptions!$S$11</f>
        <v/>
      </c>
      <c r="Q987" s="35">
        <f>$F987*$K987*$P987</f>
        <v/>
      </c>
    </row>
    <row r="988">
      <c r="A988" s="24" t="inlineStr">
        <is>
          <t>TOTAL</t>
        </is>
      </c>
      <c r="B988" s="36" t="inlineStr">
        <is>
          <t>PHILLIPS_FERNDALE</t>
        </is>
      </c>
      <c r="C988" s="36" t="n">
        <v>5</v>
      </c>
      <c r="D988" s="36" t="inlineStr">
        <is>
          <t>NET NAPHTHA</t>
        </is>
      </c>
      <c r="H988" s="31" t="n"/>
      <c r="I988" s="17" t="n"/>
      <c r="Q988" s="37">
        <f>SUM(Q982:Q987)</f>
        <v/>
      </c>
    </row>
    <row r="990" ht="20" customHeight="1">
      <c r="A990" s="8">
        <f>"  Marathon Petroleum Los Angeles  [MARATHON_LOS_ANGELES]   —   Marathon Petroleum   —   PADD 5   —   crude "&amp;TEXT(SUMIFS(Data!$G$3:$G$125,Data!$A$3:$A$125,"MARATHON_LOS_ANGELES"),"#,##0")&amp;" kbd"</f>
        <v/>
      </c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</row>
    <row r="991">
      <c r="A991" s="11" t="inlineStr">
        <is>
          <t>UNIT</t>
        </is>
      </c>
      <c r="B991" s="28" t="inlineStr">
        <is>
          <t>MARATHON_LOS_ANGELES</t>
        </is>
      </c>
      <c r="C991" s="28" t="n">
        <v>5</v>
      </c>
      <c r="D991" s="28" t="inlineStr">
        <is>
          <t>CRUDE-EST</t>
        </is>
      </c>
      <c r="E991" s="28" t="inlineStr">
        <is>
          <t>est. yield</t>
        </is>
      </c>
      <c r="F991" s="30">
        <f>SUMIFS(Data!$G$3:$G$125,Data!$A$3:$A$125,$B991)</f>
        <v/>
      </c>
      <c r="G991" s="30">
        <f>IFERROR(IF(INDEX(Effective!$E$3:$R$125,MATCH($B991,Effective!$A$3:$A$125,0),MATCH($D991,Effective!$E$2:$R$2,0))=0,"",INDEX(Effective!$E$3:$R$125,MATCH($B991,Effective!$A$3:$A$125,0),MATCH($D991,Effective!$E$2:$R$2,0))),"")</f>
        <v/>
      </c>
      <c r="H991" s="31" t="n"/>
      <c r="I991" s="17" t="inlineStr">
        <is>
          <t>override</t>
        </is>
      </c>
      <c r="J991" s="32" t="n"/>
      <c r="K991" s="33">
        <f>IF(AND(IF($I992&lt;&gt;"",$I992,$I991)="override",$J991&lt;&gt;""),$J991,SUMIFS(Assumptions!$K$4:$K$8,Assumptions!$J$4:$J$8,$C991))*Assumptions!$S$10*(1-MIN(1,MAX(N($H991),N($H992))))</f>
        <v/>
      </c>
      <c r="L991" s="32" t="n"/>
      <c r="M991" s="34">
        <f>IF(AND(IF($I992&lt;&gt;"",$I992,$I991)="override",$L991&lt;&gt;""),$L991,SUMIFS(Data!$N$3:$N$125,Data!$A$3:$A$125,$B991)*Assumptions!$S$4)</f>
        <v/>
      </c>
      <c r="N991" s="32" t="n"/>
      <c r="O991" s="34">
        <f>IF(AND(IF($I992&lt;&gt;"",$I992,$I991)="override",$N991&lt;&gt;""),$N991,SUMIFS(Data!$N$3:$N$125,Data!$A$3:$A$125,$B991)*Assumptions!$S$5)</f>
        <v/>
      </c>
      <c r="P991" s="34">
        <f>(M991+O991)*Assumptions!$S$11</f>
        <v/>
      </c>
      <c r="Q991" s="35">
        <f>$F991*$K991*$P991</f>
        <v/>
      </c>
    </row>
    <row r="992">
      <c r="A992" s="24" t="inlineStr">
        <is>
          <t>TOTAL</t>
        </is>
      </c>
      <c r="B992" s="36" t="inlineStr">
        <is>
          <t>MARATHON_LOS_ANGELES</t>
        </is>
      </c>
      <c r="C992" s="36" t="n">
        <v>5</v>
      </c>
      <c r="D992" s="36" t="inlineStr">
        <is>
          <t>NET NAPHTHA</t>
        </is>
      </c>
      <c r="H992" s="31" t="n"/>
      <c r="I992" s="17" t="n"/>
      <c r="Q992" s="37">
        <f>SUM(Q991:Q991)</f>
        <v/>
      </c>
    </row>
    <row r="994" ht="20" customHeight="1">
      <c r="A994" s="8">
        <f>"  Par Petroleum Ewa Beach  [PAR_EWA_BEACH]   —   Par Petroleum   —   PADD 5   —   crude "&amp;TEXT(SUMIFS(Data!$G$3:$G$125,Data!$A$3:$A$125,"PAR_EWA_BEACH"),"#,##0")&amp;" kbd"</f>
        <v/>
      </c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</row>
    <row r="995">
      <c r="A995" s="11" t="inlineStr">
        <is>
          <t>UNIT</t>
        </is>
      </c>
      <c r="B995" s="28" t="inlineStr">
        <is>
          <t>PAR_EWA_BEACH</t>
        </is>
      </c>
      <c r="C995" s="28" t="n">
        <v>5</v>
      </c>
      <c r="D995" s="28" t="inlineStr">
        <is>
          <t>CDU</t>
        </is>
      </c>
      <c r="E995" s="28" t="inlineStr">
        <is>
          <t>CDU</t>
        </is>
      </c>
      <c r="F995" s="29" t="n">
        <v>94</v>
      </c>
      <c r="G995" s="30">
        <f>IFERROR(IF(INDEX(Effective!$E$3:$R$125,MATCH($B995,Effective!$A$3:$A$125,0),MATCH($D995,Effective!$E$2:$R$2,0))=0,"",INDEX(Effective!$E$3:$R$125,MATCH($B995,Effective!$A$3:$A$125,0),MATCH($D995,Effective!$E$2:$R$2,0))),"")</f>
        <v/>
      </c>
      <c r="H995" s="31" t="n">
        <v>1</v>
      </c>
      <c r="I995" s="17" t="inlineStr">
        <is>
          <t>override</t>
        </is>
      </c>
      <c r="J995" s="32" t="n">
        <v>0.86</v>
      </c>
      <c r="K995" s="33">
        <f>IF(AND(IF($I1002&lt;&gt;"",$I1002,$I995)="override",$J995&lt;&gt;""),$J995,SUMIFS(Assumptions!$K$4:$K$8,Assumptions!$J$4:$J$8,$C995))*Assumptions!$S$10*(1-MIN(1,MAX(N($H995),N($H1002))))</f>
        <v/>
      </c>
      <c r="L995" s="32" t="n"/>
      <c r="M995" s="34">
        <f>IF(AND(IF($I1002&lt;&gt;"",$I1002,$I995)="override",$L995&lt;&gt;""),$L995,SUMIFS(Assumptions!$P$4:$P$103,Assumptions!$M$4:$M$103,$C995,Assumptions!$N$4:$N$103,$E995,Assumptions!$O$4:$O$103,"LVN"))</f>
        <v/>
      </c>
      <c r="N995" s="32" t="n"/>
      <c r="O995" s="34">
        <f>IF(AND(IF($I1002&lt;&gt;"",$I1002,$I995)="override",$N995&lt;&gt;""),$N995,SUMIFS(Assumptions!$P$4:$P$103,Assumptions!$M$4:$M$103,$C995,Assumptions!$N$4:$N$103,$E995,Assumptions!$O$4:$O$103,"HVN"))</f>
        <v/>
      </c>
      <c r="P995" s="34">
        <f>(M995+O995)*Assumptions!$S$11</f>
        <v/>
      </c>
      <c r="Q995" s="35">
        <f>$F995*$K995*$P995</f>
        <v/>
      </c>
    </row>
    <row r="996">
      <c r="A996" s="11" t="inlineStr">
        <is>
          <t>UNIT</t>
        </is>
      </c>
      <c r="B996" s="28" t="inlineStr">
        <is>
          <t>PAR_EWA_BEACH</t>
        </is>
      </c>
      <c r="C996" s="28" t="n">
        <v>5</v>
      </c>
      <c r="D996" s="28" t="inlineStr">
        <is>
          <t>VDU</t>
        </is>
      </c>
      <c r="E996" s="28" t="inlineStr">
        <is>
          <t>VDU</t>
        </is>
      </c>
      <c r="F996" s="29" t="n">
        <v>71</v>
      </c>
      <c r="G996" s="30">
        <f>IFERROR(IF(INDEX(Effective!$E$3:$R$125,MATCH($B996,Effective!$A$3:$A$125,0),MATCH($D996,Effective!$E$2:$R$2,0))=0,"",INDEX(Effective!$E$3:$R$125,MATCH($B996,Effective!$A$3:$A$125,0),MATCH($D996,Effective!$E$2:$R$2,0))),"")</f>
        <v/>
      </c>
      <c r="H996" s="31" t="n">
        <v>1</v>
      </c>
      <c r="I996" s="17" t="inlineStr">
        <is>
          <t>override</t>
        </is>
      </c>
      <c r="J996" s="32" t="n">
        <v>0.459</v>
      </c>
      <c r="K996" s="33">
        <f>IF(AND(IF($I1002&lt;&gt;"",$I1002,$I996)="override",$J996&lt;&gt;""),$J996,SUMIFS(Assumptions!$K$4:$K$8,Assumptions!$J$4:$J$8,$C996))*Assumptions!$S$10*(1-MIN(1,MAX(N($H996),N($H1002))))</f>
        <v/>
      </c>
      <c r="L996" s="32" t="n"/>
      <c r="M996" s="34">
        <f>IF(AND(IF($I1002&lt;&gt;"",$I1002,$I996)="override",$L996&lt;&gt;""),$L996,SUMIFS(Assumptions!$P$4:$P$103,Assumptions!$M$4:$M$103,$C996,Assumptions!$N$4:$N$103,$E996,Assumptions!$O$4:$O$103,"LVN"))</f>
        <v/>
      </c>
      <c r="N996" s="32" t="n"/>
      <c r="O996" s="34">
        <f>IF(AND(IF($I1002&lt;&gt;"",$I1002,$I996)="override",$N996&lt;&gt;""),$N996,SUMIFS(Assumptions!$P$4:$P$103,Assumptions!$M$4:$M$103,$C996,Assumptions!$N$4:$N$103,$E996,Assumptions!$O$4:$O$103,"HVN"))</f>
        <v/>
      </c>
      <c r="P996" s="34">
        <f>(M996+O996)*Assumptions!$S$11</f>
        <v/>
      </c>
      <c r="Q996" s="35">
        <f>$F996*$K996*$P996</f>
        <v/>
      </c>
    </row>
    <row r="997">
      <c r="A997" s="11" t="inlineStr">
        <is>
          <t>UNIT</t>
        </is>
      </c>
      <c r="B997" s="28" t="inlineStr">
        <is>
          <t>PAR_EWA_BEACH</t>
        </is>
      </c>
      <c r="C997" s="28" t="n">
        <v>5</v>
      </c>
      <c r="D997" s="28" t="inlineStr">
        <is>
          <t>FCC</t>
        </is>
      </c>
      <c r="E997" s="28" t="inlineStr">
        <is>
          <t>FCC</t>
        </is>
      </c>
      <c r="F997" s="29" t="n">
        <v>22</v>
      </c>
      <c r="G997" s="30">
        <f>IFERROR(IF(INDEX(Effective!$E$3:$R$125,MATCH($B997,Effective!$A$3:$A$125,0),MATCH($D997,Effective!$E$2:$R$2,0))=0,"",INDEX(Effective!$E$3:$R$125,MATCH($B997,Effective!$A$3:$A$125,0),MATCH($D997,Effective!$E$2:$R$2,0))),"")</f>
        <v/>
      </c>
      <c r="H997" s="31" t="n"/>
      <c r="I997" s="17" t="inlineStr">
        <is>
          <t>override</t>
        </is>
      </c>
      <c r="J997" s="32" t="n">
        <v>0.399</v>
      </c>
      <c r="K997" s="33">
        <f>IF(AND(IF($I1002&lt;&gt;"",$I1002,$I997)="override",$J997&lt;&gt;""),$J997,SUMIFS(Assumptions!$K$4:$K$8,Assumptions!$J$4:$J$8,$C997))*Assumptions!$S$10*(1-MIN(1,MAX(N($H997),N($H1002))))</f>
        <v/>
      </c>
      <c r="L997" s="32" t="n"/>
      <c r="M997" s="34">
        <f>IF(AND(IF($I1002&lt;&gt;"",$I1002,$I997)="override",$L997&lt;&gt;""),$L997,SUMIFS(Assumptions!$P$4:$P$103,Assumptions!$M$4:$M$103,$C997,Assumptions!$N$4:$N$103,$E997,Assumptions!$O$4:$O$103,"LVN"))</f>
        <v/>
      </c>
      <c r="N997" s="32" t="n"/>
      <c r="O997" s="34">
        <f>IF(AND(IF($I1002&lt;&gt;"",$I1002,$I997)="override",$N997&lt;&gt;""),$N997,SUMIFS(Assumptions!$P$4:$P$103,Assumptions!$M$4:$M$103,$C997,Assumptions!$N$4:$N$103,$E997,Assumptions!$O$4:$O$103,"HVN"))</f>
        <v/>
      </c>
      <c r="P997" s="34">
        <f>(M997+O997)*Assumptions!$S$11</f>
        <v/>
      </c>
      <c r="Q997" s="35">
        <f>$F997*$K997*$P997</f>
        <v/>
      </c>
    </row>
    <row r="998">
      <c r="A998" s="11" t="inlineStr">
        <is>
          <t>UNIT</t>
        </is>
      </c>
      <c r="B998" s="28" t="inlineStr">
        <is>
          <t>PAR_EWA_BEACH</t>
        </is>
      </c>
      <c r="C998" s="28" t="n">
        <v>5</v>
      </c>
      <c r="D998" s="28" t="inlineStr">
        <is>
          <t>DHCU</t>
        </is>
      </c>
      <c r="E998" s="28" t="inlineStr">
        <is>
          <t>HYDROCRACKER</t>
        </is>
      </c>
      <c r="F998" s="29" t="n">
        <v>18</v>
      </c>
      <c r="G998" s="30">
        <f>IFERROR(IF(INDEX(Effective!$E$3:$R$125,MATCH($B998,Effective!$A$3:$A$125,0),MATCH($D998,Effective!$E$2:$R$2,0))=0,"",INDEX(Effective!$E$3:$R$125,MATCH($B998,Effective!$A$3:$A$125,0),MATCH($D998,Effective!$E$2:$R$2,0))),"")</f>
        <v/>
      </c>
      <c r="H998" s="31" t="n">
        <v>1</v>
      </c>
      <c r="I998" s="17" t="inlineStr">
        <is>
          <t>override</t>
        </is>
      </c>
      <c r="J998" s="32" t="n">
        <v>0.741</v>
      </c>
      <c r="K998" s="33">
        <f>IF(AND(IF($I1002&lt;&gt;"",$I1002,$I998)="override",$J998&lt;&gt;""),$J998,SUMIFS(Assumptions!$K$4:$K$8,Assumptions!$J$4:$J$8,$C998))*Assumptions!$S$10*(1-MIN(1,MAX(N($H998),N($H1002))))</f>
        <v/>
      </c>
      <c r="L998" s="32" t="n"/>
      <c r="M998" s="34">
        <f>IF(AND(IF($I1002&lt;&gt;"",$I1002,$I998)="override",$L998&lt;&gt;""),$L998,SUMIFS(Assumptions!$P$4:$P$103,Assumptions!$M$4:$M$103,$C998,Assumptions!$N$4:$N$103,$E998,Assumptions!$O$4:$O$103,"LVN"))</f>
        <v/>
      </c>
      <c r="N998" s="32" t="n"/>
      <c r="O998" s="34">
        <f>IF(AND(IF($I1002&lt;&gt;"",$I1002,$I998)="override",$N998&lt;&gt;""),$N998,SUMIFS(Assumptions!$P$4:$P$103,Assumptions!$M$4:$M$103,$C998,Assumptions!$N$4:$N$103,$E998,Assumptions!$O$4:$O$103,"HVN"))</f>
        <v/>
      </c>
      <c r="P998" s="34">
        <f>(M998+O998)*Assumptions!$S$11</f>
        <v/>
      </c>
      <c r="Q998" s="35">
        <f>$F998*$K998*$P998</f>
        <v/>
      </c>
    </row>
    <row r="999">
      <c r="A999" s="11" t="inlineStr">
        <is>
          <t>UNIT</t>
        </is>
      </c>
      <c r="B999" s="28" t="inlineStr">
        <is>
          <t>PAR_EWA_BEACH</t>
        </is>
      </c>
      <c r="C999" s="28" t="n">
        <v>5</v>
      </c>
      <c r="D999" s="28" t="inlineStr">
        <is>
          <t>CCR</t>
        </is>
      </c>
      <c r="E999" s="28" t="inlineStr">
        <is>
          <t>REFORMER</t>
        </is>
      </c>
      <c r="F999" s="29" t="n">
        <v>13.5</v>
      </c>
      <c r="G999" s="30">
        <f>IFERROR(IF(INDEX(Effective!$E$3:$R$125,MATCH($B999,Effective!$A$3:$A$125,0),MATCH($D999,Effective!$E$2:$R$2,0))=0,"",INDEX(Effective!$E$3:$R$125,MATCH($B999,Effective!$A$3:$A$125,0),MATCH($D999,Effective!$E$2:$R$2,0))),"")</f>
        <v/>
      </c>
      <c r="H999" s="31" t="n"/>
      <c r="I999" s="17" t="inlineStr">
        <is>
          <t>override</t>
        </is>
      </c>
      <c r="J999" s="32" t="n">
        <v>0.867</v>
      </c>
      <c r="K999" s="33">
        <f>IF(AND(IF($I1002&lt;&gt;"",$I1002,$I999)="override",$J999&lt;&gt;""),$J999,SUMIFS(Assumptions!$K$4:$K$8,Assumptions!$J$4:$J$8,$C999))*Assumptions!$S$10*(1-MIN(1,MAX(N($H999),N($H1002))))</f>
        <v/>
      </c>
      <c r="L999" s="32" t="n"/>
      <c r="M999" s="34">
        <f>IF(AND(IF($I1002&lt;&gt;"",$I1002,$I999)="override",$L999&lt;&gt;""),$L999,SUMIFS(Assumptions!$P$4:$P$103,Assumptions!$M$4:$M$103,$C999,Assumptions!$N$4:$N$103,$E999,Assumptions!$O$4:$O$103,"LVN"))</f>
        <v/>
      </c>
      <c r="N999" s="32" t="n"/>
      <c r="O999" s="34">
        <f>IF(AND(IF($I1002&lt;&gt;"",$I1002,$I999)="override",$N999&lt;&gt;""),$N999,SUMIFS(Assumptions!$P$4:$P$103,Assumptions!$M$4:$M$103,$C999,Assumptions!$N$4:$N$103,$E999,Assumptions!$O$4:$O$103,"HVN"))</f>
        <v/>
      </c>
      <c r="P999" s="34">
        <f>(M999+O999)*Assumptions!$S$11</f>
        <v/>
      </c>
      <c r="Q999" s="35">
        <f>$F999*$K999*$P999</f>
        <v/>
      </c>
    </row>
    <row r="1000">
      <c r="A1000" s="11" t="inlineStr">
        <is>
          <t>UNIT</t>
        </is>
      </c>
      <c r="B1000" s="28" t="inlineStr">
        <is>
          <t>PAR_EWA_BEACH</t>
        </is>
      </c>
      <c r="C1000" s="28" t="n">
        <v>5</v>
      </c>
      <c r="D1000" s="28" t="inlineStr">
        <is>
          <t>ALKY</t>
        </is>
      </c>
      <c r="E1000" s="28" t="inlineStr">
        <is>
          <t>ALKY</t>
        </is>
      </c>
      <c r="F1000" s="29" t="n">
        <v>5</v>
      </c>
      <c r="G1000" s="30">
        <f>IFERROR(IF(INDEX(Effective!$E$3:$R$125,MATCH($B1000,Effective!$A$3:$A$125,0),MATCH($D1000,Effective!$E$2:$R$2,0))=0,"",INDEX(Effective!$E$3:$R$125,MATCH($B1000,Effective!$A$3:$A$125,0),MATCH($D1000,Effective!$E$2:$R$2,0))),"")</f>
        <v/>
      </c>
      <c r="H1000" s="31" t="n"/>
      <c r="I1000" s="17" t="inlineStr">
        <is>
          <t>override</t>
        </is>
      </c>
      <c r="J1000" s="32" t="n">
        <v>0.122</v>
      </c>
      <c r="K1000" s="33">
        <f>IF(AND(IF($I1002&lt;&gt;"",$I1002,$I1000)="override",$J1000&lt;&gt;""),$J1000,SUMIFS(Assumptions!$K$4:$K$8,Assumptions!$J$4:$J$8,$C1000))*Assumptions!$S$10*(1-MIN(1,MAX(N($H1000),N($H1002))))</f>
        <v/>
      </c>
      <c r="L1000" s="32" t="n"/>
      <c r="M1000" s="34">
        <f>IF(AND(IF($I1002&lt;&gt;"",$I1002,$I1000)="override",$L1000&lt;&gt;""),$L1000,SUMIFS(Assumptions!$P$4:$P$103,Assumptions!$M$4:$M$103,$C1000,Assumptions!$N$4:$N$103,$E1000,Assumptions!$O$4:$O$103,"LVN"))</f>
        <v/>
      </c>
      <c r="N1000" s="32" t="n"/>
      <c r="O1000" s="34">
        <f>IF(AND(IF($I1002&lt;&gt;"",$I1002,$I1000)="override",$N1000&lt;&gt;""),$N1000,SUMIFS(Assumptions!$P$4:$P$103,Assumptions!$M$4:$M$103,$C1000,Assumptions!$N$4:$N$103,$E1000,Assumptions!$O$4:$O$103,"HVN"))</f>
        <v/>
      </c>
      <c r="P1000" s="34">
        <f>(M1000+O1000)*Assumptions!$S$11</f>
        <v/>
      </c>
      <c r="Q1000" s="35">
        <f>$F1000*$K1000*$P1000</f>
        <v/>
      </c>
    </row>
    <row r="1001">
      <c r="A1001" s="11" t="inlineStr">
        <is>
          <t>UNIT</t>
        </is>
      </c>
      <c r="B1001" s="28" t="inlineStr">
        <is>
          <t>PAR_EWA_BEACH</t>
        </is>
      </c>
      <c r="C1001" s="28" t="n">
        <v>5</v>
      </c>
      <c r="D1001" s="28" t="inlineStr">
        <is>
          <t>NHT</t>
        </is>
      </c>
      <c r="E1001" s="28" t="inlineStr">
        <is>
          <t>NHT</t>
        </is>
      </c>
      <c r="F1001" s="29" t="n">
        <v>13</v>
      </c>
      <c r="G1001" s="30">
        <f>IFERROR(IF(INDEX(Effective!$E$3:$R$125,MATCH($B1001,Effective!$A$3:$A$125,0),MATCH($D1001,Effective!$E$2:$R$2,0))=0,"",INDEX(Effective!$E$3:$R$125,MATCH($B1001,Effective!$A$3:$A$125,0),MATCH($D1001,Effective!$E$2:$R$2,0))),"")</f>
        <v/>
      </c>
      <c r="H1001" s="31" t="n"/>
      <c r="I1001" s="17" t="inlineStr">
        <is>
          <t>override</t>
        </is>
      </c>
      <c r="J1001" s="32" t="n">
        <v>1.062</v>
      </c>
      <c r="K1001" s="33">
        <f>IF(AND(IF($I1002&lt;&gt;"",$I1002,$I1001)="override",$J1001&lt;&gt;""),$J1001,SUMIFS(Assumptions!$K$4:$K$8,Assumptions!$J$4:$J$8,$C1001))*Assumptions!$S$10*(1-MIN(1,MAX(N($H1001),N($H1002))))</f>
        <v/>
      </c>
      <c r="L1001" s="32" t="n"/>
      <c r="M1001" s="34">
        <f>IF(AND(IF($I1002&lt;&gt;"",$I1002,$I1001)="override",$L1001&lt;&gt;""),$L1001,SUMIFS(Assumptions!$P$4:$P$103,Assumptions!$M$4:$M$103,$C1001,Assumptions!$N$4:$N$103,$E1001,Assumptions!$O$4:$O$103,"LVN"))</f>
        <v/>
      </c>
      <c r="N1001" s="32" t="n"/>
      <c r="O1001" s="34">
        <f>IF(AND(IF($I1002&lt;&gt;"",$I1002,$I1001)="override",$N1001&lt;&gt;""),$N1001,SUMIFS(Assumptions!$P$4:$P$103,Assumptions!$M$4:$M$103,$C1001,Assumptions!$N$4:$N$103,$E1001,Assumptions!$O$4:$O$103,"HVN"))</f>
        <v/>
      </c>
      <c r="P1001" s="34">
        <f>(M1001+O1001)*Assumptions!$S$11</f>
        <v/>
      </c>
      <c r="Q1001" s="35">
        <f>$F1001*$K1001*$P1001</f>
        <v/>
      </c>
    </row>
    <row r="1002">
      <c r="A1002" s="24" t="inlineStr">
        <is>
          <t>TOTAL</t>
        </is>
      </c>
      <c r="B1002" s="36" t="inlineStr">
        <is>
          <t>PAR_EWA_BEACH</t>
        </is>
      </c>
      <c r="C1002" s="36" t="n">
        <v>5</v>
      </c>
      <c r="D1002" s="36" t="inlineStr">
        <is>
          <t>NET NAPHTHA</t>
        </is>
      </c>
      <c r="H1002" s="31" t="n"/>
      <c r="I1002" s="17" t="n"/>
      <c r="Q1002" s="37">
        <f>SUM(Q995:Q1001)</f>
        <v/>
      </c>
    </row>
    <row r="1004" ht="20" customHeight="1">
      <c r="A1004" s="8">
        <f>"  Valero Los Angeles  [VALERO_LOS_ANGELES]   —   Valero   —   PADD 5   —   crude "&amp;TEXT(SUMIFS(Data!$G$3:$G$125,Data!$A$3:$A$125,"VALERO_LOS_ANGELES"),"#,##0")&amp;" kbd"</f>
        <v/>
      </c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</row>
    <row r="1005">
      <c r="A1005" s="11" t="inlineStr">
        <is>
          <t>UNIT</t>
        </is>
      </c>
      <c r="B1005" s="28" t="inlineStr">
        <is>
          <t>VALERO_LOS_ANGELES</t>
        </is>
      </c>
      <c r="C1005" s="28" t="n">
        <v>5</v>
      </c>
      <c r="D1005" s="28" t="inlineStr">
        <is>
          <t>CDU</t>
        </is>
      </c>
      <c r="E1005" s="28" t="inlineStr">
        <is>
          <t>CDU</t>
        </is>
      </c>
      <c r="F1005" s="29" t="n">
        <v>87</v>
      </c>
      <c r="G1005" s="30">
        <f>IFERROR(IF(INDEX(Effective!$E$3:$R$125,MATCH($B1005,Effective!$A$3:$A$125,0),MATCH($D1005,Effective!$E$2:$R$2,0))=0,"",INDEX(Effective!$E$3:$R$125,MATCH($B1005,Effective!$A$3:$A$125,0),MATCH($D1005,Effective!$E$2:$R$2,0))),"")</f>
        <v/>
      </c>
      <c r="H1005" s="31" t="n"/>
      <c r="I1005" s="17" t="inlineStr">
        <is>
          <t>override</t>
        </is>
      </c>
      <c r="J1005" s="32" t="n">
        <v>0.9399999999999999</v>
      </c>
      <c r="K1005" s="33">
        <f>IF(AND(IF($I1012&lt;&gt;"",$I1012,$I1005)="override",$J1005&lt;&gt;""),$J1005,SUMIFS(Assumptions!$K$4:$K$8,Assumptions!$J$4:$J$8,$C1005))*Assumptions!$S$10*(1-MIN(1,MAX(N($H1005),N($H1012))))</f>
        <v/>
      </c>
      <c r="L1005" s="32" t="n"/>
      <c r="M1005" s="34">
        <f>IF(AND(IF($I1012&lt;&gt;"",$I1012,$I1005)="override",$L1005&lt;&gt;""),$L1005,SUMIFS(Assumptions!$P$4:$P$103,Assumptions!$M$4:$M$103,$C1005,Assumptions!$N$4:$N$103,$E1005,Assumptions!$O$4:$O$103,"LVN"))</f>
        <v/>
      </c>
      <c r="N1005" s="32" t="n"/>
      <c r="O1005" s="34">
        <f>IF(AND(IF($I1012&lt;&gt;"",$I1012,$I1005)="override",$N1005&lt;&gt;""),$N1005,SUMIFS(Assumptions!$P$4:$P$103,Assumptions!$M$4:$M$103,$C1005,Assumptions!$N$4:$N$103,$E1005,Assumptions!$O$4:$O$103,"HVN"))</f>
        <v/>
      </c>
      <c r="P1005" s="34">
        <f>(M1005+O1005)*Assumptions!$S$11</f>
        <v/>
      </c>
      <c r="Q1005" s="35">
        <f>$F1005*$K1005*$P1005</f>
        <v/>
      </c>
    </row>
    <row r="1006">
      <c r="A1006" s="11" t="inlineStr">
        <is>
          <t>UNIT</t>
        </is>
      </c>
      <c r="B1006" s="28" t="inlineStr">
        <is>
          <t>VALERO_LOS_ANGELES</t>
        </is>
      </c>
      <c r="C1006" s="28" t="n">
        <v>5</v>
      </c>
      <c r="D1006" s="28" t="inlineStr">
        <is>
          <t>VDU</t>
        </is>
      </c>
      <c r="E1006" s="28" t="inlineStr">
        <is>
          <t>VDU</t>
        </is>
      </c>
      <c r="F1006" s="29" t="n">
        <v>46</v>
      </c>
      <c r="G1006" s="30">
        <f>IFERROR(IF(INDEX(Effective!$E$3:$R$125,MATCH($B1006,Effective!$A$3:$A$125,0),MATCH($D1006,Effective!$E$2:$R$2,0))=0,"",INDEX(Effective!$E$3:$R$125,MATCH($B1006,Effective!$A$3:$A$125,0),MATCH($D1006,Effective!$E$2:$R$2,0))),"")</f>
        <v/>
      </c>
      <c r="H1006" s="31" t="n"/>
      <c r="I1006" s="17" t="inlineStr">
        <is>
          <t>override</t>
        </is>
      </c>
      <c r="J1006" s="32" t="n">
        <v>0.8179999999999999</v>
      </c>
      <c r="K1006" s="33">
        <f>IF(AND(IF($I1012&lt;&gt;"",$I1012,$I1006)="override",$J1006&lt;&gt;""),$J1006,SUMIFS(Assumptions!$K$4:$K$8,Assumptions!$J$4:$J$8,$C1006))*Assumptions!$S$10*(1-MIN(1,MAX(N($H1006),N($H1012))))</f>
        <v/>
      </c>
      <c r="L1006" s="32" t="n"/>
      <c r="M1006" s="34">
        <f>IF(AND(IF($I1012&lt;&gt;"",$I1012,$I1006)="override",$L1006&lt;&gt;""),$L1006,SUMIFS(Assumptions!$P$4:$P$103,Assumptions!$M$4:$M$103,$C1006,Assumptions!$N$4:$N$103,$E1006,Assumptions!$O$4:$O$103,"LVN"))</f>
        <v/>
      </c>
      <c r="N1006" s="32" t="n"/>
      <c r="O1006" s="34">
        <f>IF(AND(IF($I1012&lt;&gt;"",$I1012,$I1006)="override",$N1006&lt;&gt;""),$N1006,SUMIFS(Assumptions!$P$4:$P$103,Assumptions!$M$4:$M$103,$C1006,Assumptions!$N$4:$N$103,$E1006,Assumptions!$O$4:$O$103,"HVN"))</f>
        <v/>
      </c>
      <c r="P1006" s="34">
        <f>(M1006+O1006)*Assumptions!$S$11</f>
        <v/>
      </c>
      <c r="Q1006" s="35">
        <f>$F1006*$K1006*$P1006</f>
        <v/>
      </c>
    </row>
    <row r="1007">
      <c r="A1007" s="11" t="inlineStr">
        <is>
          <t>UNIT</t>
        </is>
      </c>
      <c r="B1007" s="28" t="inlineStr">
        <is>
          <t>VALERO_LOS_ANGELES</t>
        </is>
      </c>
      <c r="C1007" s="28" t="n">
        <v>5</v>
      </c>
      <c r="D1007" s="28" t="inlineStr">
        <is>
          <t>FCC</t>
        </is>
      </c>
      <c r="E1007" s="28" t="inlineStr">
        <is>
          <t>FCC</t>
        </is>
      </c>
      <c r="F1007" s="29" t="n">
        <v>56.3</v>
      </c>
      <c r="G1007" s="30">
        <f>IFERROR(IF(INDEX(Effective!$E$3:$R$125,MATCH($B1007,Effective!$A$3:$A$125,0),MATCH($D1007,Effective!$E$2:$R$2,0))=0,"",INDEX(Effective!$E$3:$R$125,MATCH($B1007,Effective!$A$3:$A$125,0),MATCH($D1007,Effective!$E$2:$R$2,0))),"")</f>
        <v/>
      </c>
      <c r="H1007" s="31" t="n"/>
      <c r="I1007" s="17" t="inlineStr">
        <is>
          <t>override</t>
        </is>
      </c>
      <c r="J1007" s="32" t="n">
        <v>0.676</v>
      </c>
      <c r="K1007" s="33">
        <f>IF(AND(IF($I1012&lt;&gt;"",$I1012,$I1007)="override",$J1007&lt;&gt;""),$J1007,SUMIFS(Assumptions!$K$4:$K$8,Assumptions!$J$4:$J$8,$C1007))*Assumptions!$S$10*(1-MIN(1,MAX(N($H1007),N($H1012))))</f>
        <v/>
      </c>
      <c r="L1007" s="32" t="n"/>
      <c r="M1007" s="34">
        <f>IF(AND(IF($I1012&lt;&gt;"",$I1012,$I1007)="override",$L1007&lt;&gt;""),$L1007,SUMIFS(Assumptions!$P$4:$P$103,Assumptions!$M$4:$M$103,$C1007,Assumptions!$N$4:$N$103,$E1007,Assumptions!$O$4:$O$103,"LVN"))</f>
        <v/>
      </c>
      <c r="N1007" s="32" t="n"/>
      <c r="O1007" s="34">
        <f>IF(AND(IF($I1012&lt;&gt;"",$I1012,$I1007)="override",$N1007&lt;&gt;""),$N1007,SUMIFS(Assumptions!$P$4:$P$103,Assumptions!$M$4:$M$103,$C1007,Assumptions!$N$4:$N$103,$E1007,Assumptions!$O$4:$O$103,"HVN"))</f>
        <v/>
      </c>
      <c r="P1007" s="34">
        <f>(M1007+O1007)*Assumptions!$S$11</f>
        <v/>
      </c>
      <c r="Q1007" s="35">
        <f>$F1007*$K1007*$P1007</f>
        <v/>
      </c>
    </row>
    <row r="1008">
      <c r="A1008" s="11" t="inlineStr">
        <is>
          <t>UNIT</t>
        </is>
      </c>
      <c r="B1008" s="28" t="inlineStr">
        <is>
          <t>VALERO_LOS_ANGELES</t>
        </is>
      </c>
      <c r="C1008" s="28" t="n">
        <v>5</v>
      </c>
      <c r="D1008" s="28" t="inlineStr">
        <is>
          <t>COKER</t>
        </is>
      </c>
      <c r="E1008" s="28" t="inlineStr">
        <is>
          <t>COKER</t>
        </is>
      </c>
      <c r="F1008" s="29" t="n">
        <v>28.8</v>
      </c>
      <c r="G1008" s="30">
        <f>IFERROR(IF(INDEX(Effective!$E$3:$R$125,MATCH($B1008,Effective!$A$3:$A$125,0),MATCH($D1008,Effective!$E$2:$R$2,0))=0,"",INDEX(Effective!$E$3:$R$125,MATCH($B1008,Effective!$A$3:$A$125,0),MATCH($D1008,Effective!$E$2:$R$2,0))),"")</f>
        <v/>
      </c>
      <c r="H1008" s="31" t="n"/>
      <c r="I1008" s="17" t="inlineStr">
        <is>
          <t>override</t>
        </is>
      </c>
      <c r="J1008" s="32" t="n">
        <v>0.536</v>
      </c>
      <c r="K1008" s="33">
        <f>IF(AND(IF($I1012&lt;&gt;"",$I1012,$I1008)="override",$J1008&lt;&gt;""),$J1008,SUMIFS(Assumptions!$K$4:$K$8,Assumptions!$J$4:$J$8,$C1008))*Assumptions!$S$10*(1-MIN(1,MAX(N($H1008),N($H1012))))</f>
        <v/>
      </c>
      <c r="L1008" s="32" t="n"/>
      <c r="M1008" s="34">
        <f>IF(AND(IF($I1012&lt;&gt;"",$I1012,$I1008)="override",$L1008&lt;&gt;""),$L1008,SUMIFS(Assumptions!$P$4:$P$103,Assumptions!$M$4:$M$103,$C1008,Assumptions!$N$4:$N$103,$E1008,Assumptions!$O$4:$O$103,"LVN"))</f>
        <v/>
      </c>
      <c r="N1008" s="32" t="n"/>
      <c r="O1008" s="34">
        <f>IF(AND(IF($I1012&lt;&gt;"",$I1012,$I1008)="override",$N1008&lt;&gt;""),$N1008,SUMIFS(Assumptions!$P$4:$P$103,Assumptions!$M$4:$M$103,$C1008,Assumptions!$N$4:$N$103,$E1008,Assumptions!$O$4:$O$103,"HVN"))</f>
        <v/>
      </c>
      <c r="P1008" s="34">
        <f>(M1008+O1008)*Assumptions!$S$11</f>
        <v/>
      </c>
      <c r="Q1008" s="35">
        <f>$F1008*$K1008*$P1008</f>
        <v/>
      </c>
    </row>
    <row r="1009">
      <c r="A1009" s="11" t="inlineStr">
        <is>
          <t>UNIT</t>
        </is>
      </c>
      <c r="B1009" s="28" t="inlineStr">
        <is>
          <t>VALERO_LOS_ANGELES</t>
        </is>
      </c>
      <c r="C1009" s="28" t="n">
        <v>5</v>
      </c>
      <c r="D1009" s="28" t="inlineStr">
        <is>
          <t>CCR</t>
        </is>
      </c>
      <c r="E1009" s="28" t="inlineStr">
        <is>
          <t>REFORMER</t>
        </is>
      </c>
      <c r="F1009" s="29" t="n">
        <v>18</v>
      </c>
      <c r="G1009" s="30">
        <f>IFERROR(IF(INDEX(Effective!$E$3:$R$125,MATCH($B1009,Effective!$A$3:$A$125,0),MATCH($D1009,Effective!$E$2:$R$2,0))=0,"",INDEX(Effective!$E$3:$R$125,MATCH($B1009,Effective!$A$3:$A$125,0),MATCH($D1009,Effective!$E$2:$R$2,0))),"")</f>
        <v/>
      </c>
      <c r="H1009" s="31" t="n"/>
      <c r="I1009" s="17" t="inlineStr">
        <is>
          <t>override</t>
        </is>
      </c>
      <c r="J1009" s="32" t="n">
        <v>0.853</v>
      </c>
      <c r="K1009" s="33">
        <f>IF(AND(IF($I1012&lt;&gt;"",$I1012,$I1009)="override",$J1009&lt;&gt;""),$J1009,SUMIFS(Assumptions!$K$4:$K$8,Assumptions!$J$4:$J$8,$C1009))*Assumptions!$S$10*(1-MIN(1,MAX(N($H1009),N($H1012))))</f>
        <v/>
      </c>
      <c r="L1009" s="32" t="n"/>
      <c r="M1009" s="34">
        <f>IF(AND(IF($I1012&lt;&gt;"",$I1012,$I1009)="override",$L1009&lt;&gt;""),$L1009,SUMIFS(Assumptions!$P$4:$P$103,Assumptions!$M$4:$M$103,$C1009,Assumptions!$N$4:$N$103,$E1009,Assumptions!$O$4:$O$103,"LVN"))</f>
        <v/>
      </c>
      <c r="N1009" s="32" t="n"/>
      <c r="O1009" s="34">
        <f>IF(AND(IF($I1012&lt;&gt;"",$I1012,$I1009)="override",$N1009&lt;&gt;""),$N1009,SUMIFS(Assumptions!$P$4:$P$103,Assumptions!$M$4:$M$103,$C1009,Assumptions!$N$4:$N$103,$E1009,Assumptions!$O$4:$O$103,"HVN"))</f>
        <v/>
      </c>
      <c r="P1009" s="34">
        <f>(M1009+O1009)*Assumptions!$S$11</f>
        <v/>
      </c>
      <c r="Q1009" s="35">
        <f>$F1009*$K1009*$P1009</f>
        <v/>
      </c>
    </row>
    <row r="1010">
      <c r="A1010" s="11" t="inlineStr">
        <is>
          <t>UNIT</t>
        </is>
      </c>
      <c r="B1010" s="28" t="inlineStr">
        <is>
          <t>VALERO_LOS_ANGELES</t>
        </is>
      </c>
      <c r="C1010" s="28" t="n">
        <v>5</v>
      </c>
      <c r="D1010" s="28" t="inlineStr">
        <is>
          <t>ALKY</t>
        </is>
      </c>
      <c r="E1010" s="28" t="inlineStr">
        <is>
          <t>ALKY</t>
        </is>
      </c>
      <c r="F1010" s="29" t="n">
        <v>22</v>
      </c>
      <c r="G1010" s="30">
        <f>IFERROR(IF(INDEX(Effective!$E$3:$R$125,MATCH($B1010,Effective!$A$3:$A$125,0),MATCH($D1010,Effective!$E$2:$R$2,0))=0,"",INDEX(Effective!$E$3:$R$125,MATCH($B1010,Effective!$A$3:$A$125,0),MATCH($D1010,Effective!$E$2:$R$2,0))),"")</f>
        <v/>
      </c>
      <c r="H1010" s="31" t="n"/>
      <c r="I1010" s="17" t="inlineStr">
        <is>
          <t>override</t>
        </is>
      </c>
      <c r="J1010" s="32" t="n">
        <v>0.428</v>
      </c>
      <c r="K1010" s="33">
        <f>IF(AND(IF($I1012&lt;&gt;"",$I1012,$I1010)="override",$J1010&lt;&gt;""),$J1010,SUMIFS(Assumptions!$K$4:$K$8,Assumptions!$J$4:$J$8,$C1010))*Assumptions!$S$10*(1-MIN(1,MAX(N($H1010),N($H1012))))</f>
        <v/>
      </c>
      <c r="L1010" s="32" t="n"/>
      <c r="M1010" s="34">
        <f>IF(AND(IF($I1012&lt;&gt;"",$I1012,$I1010)="override",$L1010&lt;&gt;""),$L1010,SUMIFS(Assumptions!$P$4:$P$103,Assumptions!$M$4:$M$103,$C1010,Assumptions!$N$4:$N$103,$E1010,Assumptions!$O$4:$O$103,"LVN"))</f>
        <v/>
      </c>
      <c r="N1010" s="32" t="n"/>
      <c r="O1010" s="34">
        <f>IF(AND(IF($I1012&lt;&gt;"",$I1012,$I1010)="override",$N1010&lt;&gt;""),$N1010,SUMIFS(Assumptions!$P$4:$P$103,Assumptions!$M$4:$M$103,$C1010,Assumptions!$N$4:$N$103,$E1010,Assumptions!$O$4:$O$103,"HVN"))</f>
        <v/>
      </c>
      <c r="P1010" s="34">
        <f>(M1010+O1010)*Assumptions!$S$11</f>
        <v/>
      </c>
      <c r="Q1010" s="35">
        <f>$F1010*$K1010*$P1010</f>
        <v/>
      </c>
    </row>
    <row r="1011">
      <c r="A1011" s="11" t="inlineStr">
        <is>
          <t>UNIT</t>
        </is>
      </c>
      <c r="B1011" s="28" t="inlineStr">
        <is>
          <t>VALERO_LOS_ANGELES</t>
        </is>
      </c>
      <c r="C1011" s="28" t="n">
        <v>5</v>
      </c>
      <c r="D1011" s="28" t="inlineStr">
        <is>
          <t>NHT</t>
        </is>
      </c>
      <c r="E1011" s="28" t="inlineStr">
        <is>
          <t>NHT</t>
        </is>
      </c>
      <c r="F1011" s="29" t="n">
        <v>32</v>
      </c>
      <c r="G1011" s="30">
        <f>IFERROR(IF(INDEX(Effective!$E$3:$R$125,MATCH($B1011,Effective!$A$3:$A$125,0),MATCH($D1011,Effective!$E$2:$R$2,0))=0,"",INDEX(Effective!$E$3:$R$125,MATCH($B1011,Effective!$A$3:$A$125,0),MATCH($D1011,Effective!$E$2:$R$2,0))),"")</f>
        <v/>
      </c>
      <c r="H1011" s="31" t="n"/>
      <c r="I1011" s="17" t="inlineStr">
        <is>
          <t>override</t>
        </is>
      </c>
      <c r="J1011" s="32" t="n">
        <v>0.717</v>
      </c>
      <c r="K1011" s="33">
        <f>IF(AND(IF($I1012&lt;&gt;"",$I1012,$I1011)="override",$J1011&lt;&gt;""),$J1011,SUMIFS(Assumptions!$K$4:$K$8,Assumptions!$J$4:$J$8,$C1011))*Assumptions!$S$10*(1-MIN(1,MAX(N($H1011),N($H1012))))</f>
        <v/>
      </c>
      <c r="L1011" s="32" t="n"/>
      <c r="M1011" s="34">
        <f>IF(AND(IF($I1012&lt;&gt;"",$I1012,$I1011)="override",$L1011&lt;&gt;""),$L1011,SUMIFS(Assumptions!$P$4:$P$103,Assumptions!$M$4:$M$103,$C1011,Assumptions!$N$4:$N$103,$E1011,Assumptions!$O$4:$O$103,"LVN"))</f>
        <v/>
      </c>
      <c r="N1011" s="32" t="n"/>
      <c r="O1011" s="34">
        <f>IF(AND(IF($I1012&lt;&gt;"",$I1012,$I1011)="override",$N1011&lt;&gt;""),$N1011,SUMIFS(Assumptions!$P$4:$P$103,Assumptions!$M$4:$M$103,$C1011,Assumptions!$N$4:$N$103,$E1011,Assumptions!$O$4:$O$103,"HVN"))</f>
        <v/>
      </c>
      <c r="P1011" s="34">
        <f>(M1011+O1011)*Assumptions!$S$11</f>
        <v/>
      </c>
      <c r="Q1011" s="35">
        <f>$F1011*$K1011*$P1011</f>
        <v/>
      </c>
    </row>
    <row r="1012">
      <c r="A1012" s="24" t="inlineStr">
        <is>
          <t>TOTAL</t>
        </is>
      </c>
      <c r="B1012" s="36" t="inlineStr">
        <is>
          <t>VALERO_LOS_ANGELES</t>
        </is>
      </c>
      <c r="C1012" s="36" t="n">
        <v>5</v>
      </c>
      <c r="D1012" s="36" t="inlineStr">
        <is>
          <t>NET NAPHTHA</t>
        </is>
      </c>
      <c r="H1012" s="31" t="n"/>
      <c r="I1012" s="17" t="n"/>
      <c r="Q1012" s="37">
        <f>SUM(Q1005:Q1011)</f>
        <v/>
      </c>
    </row>
    <row r="1014" ht="20" customHeight="1">
      <c r="A1014" s="8">
        <f>"  Marathon Petroleum Nikiski  [MARATHON_NIKISKI]   —   Marathon Petroleum   —   PADD 5   —   crude "&amp;TEXT(SUMIFS(Data!$G$3:$G$125,Data!$A$3:$A$125,"MARATHON_NIKISKI"),"#,##0")&amp;" kbd"</f>
        <v/>
      </c>
      <c r="B1014" s="9" t="n"/>
      <c r="C1014" s="9" t="n"/>
      <c r="D1014" s="9" t="n"/>
      <c r="E1014" s="9" t="n"/>
      <c r="F1014" s="9" t="n"/>
      <c r="G1014" s="9" t="n"/>
      <c r="H1014" s="9" t="n"/>
      <c r="I1014" s="9" t="n"/>
      <c r="J1014" s="9" t="n"/>
      <c r="K1014" s="9" t="n"/>
      <c r="L1014" s="9" t="n"/>
      <c r="M1014" s="9" t="n"/>
      <c r="N1014" s="9" t="n"/>
      <c r="O1014" s="9" t="n"/>
      <c r="P1014" s="9" t="n"/>
      <c r="Q1014" s="9" t="n"/>
    </row>
    <row r="1015">
      <c r="A1015" s="11" t="inlineStr">
        <is>
          <t>UNIT</t>
        </is>
      </c>
      <c r="B1015" s="28" t="inlineStr">
        <is>
          <t>MARATHON_NIKISKI</t>
        </is>
      </c>
      <c r="C1015" s="28" t="n">
        <v>5</v>
      </c>
      <c r="D1015" s="28" t="inlineStr">
        <is>
          <t>CDU</t>
        </is>
      </c>
      <c r="E1015" s="28" t="inlineStr">
        <is>
          <t>CDU</t>
        </is>
      </c>
      <c r="F1015" s="29" t="n">
        <v>72</v>
      </c>
      <c r="G1015" s="30">
        <f>IFERROR(IF(INDEX(Effective!$E$3:$R$125,MATCH($B1015,Effective!$A$3:$A$125,0),MATCH($D1015,Effective!$E$2:$R$2,0))=0,"",INDEX(Effective!$E$3:$R$125,MATCH($B1015,Effective!$A$3:$A$125,0),MATCH($D1015,Effective!$E$2:$R$2,0))),"")</f>
        <v/>
      </c>
      <c r="H1015" s="31" t="n"/>
      <c r="I1015" s="17" t="inlineStr">
        <is>
          <t>override</t>
        </is>
      </c>
      <c r="J1015" s="32" t="n">
        <v>0.92</v>
      </c>
      <c r="K1015" s="33">
        <f>IF(AND(IF($I1022&lt;&gt;"",$I1022,$I1015)="override",$J1015&lt;&gt;""),$J1015,SUMIFS(Assumptions!$K$4:$K$8,Assumptions!$J$4:$J$8,$C1015))*Assumptions!$S$10*(1-MIN(1,MAX(N($H1015),N($H1022))))</f>
        <v/>
      </c>
      <c r="L1015" s="32" t="n"/>
      <c r="M1015" s="34">
        <f>IF(AND(IF($I1022&lt;&gt;"",$I1022,$I1015)="override",$L1015&lt;&gt;""),$L1015,SUMIFS(Assumptions!$P$4:$P$103,Assumptions!$M$4:$M$103,$C1015,Assumptions!$N$4:$N$103,$E1015,Assumptions!$O$4:$O$103,"LVN"))</f>
        <v/>
      </c>
      <c r="N1015" s="32" t="n"/>
      <c r="O1015" s="34">
        <f>IF(AND(IF($I1022&lt;&gt;"",$I1022,$I1015)="override",$N1015&lt;&gt;""),$N1015,SUMIFS(Assumptions!$P$4:$P$103,Assumptions!$M$4:$M$103,$C1015,Assumptions!$N$4:$N$103,$E1015,Assumptions!$O$4:$O$103,"HVN"))</f>
        <v/>
      </c>
      <c r="P1015" s="34">
        <f>(M1015+O1015)*Assumptions!$S$11</f>
        <v/>
      </c>
      <c r="Q1015" s="35">
        <f>$F1015*$K1015*$P1015</f>
        <v/>
      </c>
    </row>
    <row r="1016">
      <c r="A1016" s="11" t="inlineStr">
        <is>
          <t>UNIT</t>
        </is>
      </c>
      <c r="B1016" s="28" t="inlineStr">
        <is>
          <t>MARATHON_NIKISKI</t>
        </is>
      </c>
      <c r="C1016" s="28" t="n">
        <v>5</v>
      </c>
      <c r="D1016" s="28" t="inlineStr">
        <is>
          <t>VDU</t>
        </is>
      </c>
      <c r="E1016" s="28" t="inlineStr">
        <is>
          <t>VDU</t>
        </is>
      </c>
      <c r="F1016" s="29" t="n">
        <v>26</v>
      </c>
      <c r="G1016" s="30">
        <f>IFERROR(IF(INDEX(Effective!$E$3:$R$125,MATCH($B1016,Effective!$A$3:$A$125,0),MATCH($D1016,Effective!$E$2:$R$2,0))=0,"",INDEX(Effective!$E$3:$R$125,MATCH($B1016,Effective!$A$3:$A$125,0),MATCH($D1016,Effective!$E$2:$R$2,0))),"")</f>
        <v/>
      </c>
      <c r="H1016" s="31" t="n"/>
      <c r="I1016" s="17" t="inlineStr">
        <is>
          <t>override</t>
        </is>
      </c>
      <c r="J1016" s="32" t="n">
        <v>0.999</v>
      </c>
      <c r="K1016" s="33">
        <f>IF(AND(IF($I1022&lt;&gt;"",$I1022,$I1016)="override",$J1016&lt;&gt;""),$J1016,SUMIFS(Assumptions!$K$4:$K$8,Assumptions!$J$4:$J$8,$C1016))*Assumptions!$S$10*(1-MIN(1,MAX(N($H1016),N($H1022))))</f>
        <v/>
      </c>
      <c r="L1016" s="32" t="n"/>
      <c r="M1016" s="34">
        <f>IF(AND(IF($I1022&lt;&gt;"",$I1022,$I1016)="override",$L1016&lt;&gt;""),$L1016,SUMIFS(Assumptions!$P$4:$P$103,Assumptions!$M$4:$M$103,$C1016,Assumptions!$N$4:$N$103,$E1016,Assumptions!$O$4:$O$103,"LVN"))</f>
        <v/>
      </c>
      <c r="N1016" s="32" t="n"/>
      <c r="O1016" s="34">
        <f>IF(AND(IF($I1022&lt;&gt;"",$I1022,$I1016)="override",$N1016&lt;&gt;""),$N1016,SUMIFS(Assumptions!$P$4:$P$103,Assumptions!$M$4:$M$103,$C1016,Assumptions!$N$4:$N$103,$E1016,Assumptions!$O$4:$O$103,"HVN"))</f>
        <v/>
      </c>
      <c r="P1016" s="34">
        <f>(M1016+O1016)*Assumptions!$S$11</f>
        <v/>
      </c>
      <c r="Q1016" s="35">
        <f>$F1016*$K1016*$P1016</f>
        <v/>
      </c>
    </row>
    <row r="1017">
      <c r="A1017" s="11" t="inlineStr">
        <is>
          <t>UNIT</t>
        </is>
      </c>
      <c r="B1017" s="28" t="inlineStr">
        <is>
          <t>MARATHON_NIKISKI</t>
        </is>
      </c>
      <c r="C1017" s="28" t="n">
        <v>5</v>
      </c>
      <c r="D1017" s="28" t="inlineStr">
        <is>
          <t>DHCU</t>
        </is>
      </c>
      <c r="E1017" s="28" t="inlineStr">
        <is>
          <t>HYDROCRACKER</t>
        </is>
      </c>
      <c r="F1017" s="29" t="n">
        <v>13</v>
      </c>
      <c r="G1017" s="30">
        <f>IFERROR(IF(INDEX(Effective!$E$3:$R$125,MATCH($B1017,Effective!$A$3:$A$125,0),MATCH($D1017,Effective!$E$2:$R$2,0))=0,"",INDEX(Effective!$E$3:$R$125,MATCH($B1017,Effective!$A$3:$A$125,0),MATCH($D1017,Effective!$E$2:$R$2,0))),"")</f>
        <v/>
      </c>
      <c r="H1017" s="31" t="n"/>
      <c r="I1017" s="17" t="inlineStr">
        <is>
          <t>override</t>
        </is>
      </c>
      <c r="J1017" s="32" t="n">
        <v>0.999</v>
      </c>
      <c r="K1017" s="33">
        <f>IF(AND(IF($I1022&lt;&gt;"",$I1022,$I1017)="override",$J1017&lt;&gt;""),$J1017,SUMIFS(Assumptions!$K$4:$K$8,Assumptions!$J$4:$J$8,$C1017))*Assumptions!$S$10*(1-MIN(1,MAX(N($H1017),N($H1022))))</f>
        <v/>
      </c>
      <c r="L1017" s="32" t="n"/>
      <c r="M1017" s="34">
        <f>IF(AND(IF($I1022&lt;&gt;"",$I1022,$I1017)="override",$L1017&lt;&gt;""),$L1017,SUMIFS(Assumptions!$P$4:$P$103,Assumptions!$M$4:$M$103,$C1017,Assumptions!$N$4:$N$103,$E1017,Assumptions!$O$4:$O$103,"LVN"))</f>
        <v/>
      </c>
      <c r="N1017" s="32" t="n"/>
      <c r="O1017" s="34">
        <f>IF(AND(IF($I1022&lt;&gt;"",$I1022,$I1017)="override",$N1017&lt;&gt;""),$N1017,SUMIFS(Assumptions!$P$4:$P$103,Assumptions!$M$4:$M$103,$C1017,Assumptions!$N$4:$N$103,$E1017,Assumptions!$O$4:$O$103,"HVN"))</f>
        <v/>
      </c>
      <c r="P1017" s="34">
        <f>(M1017+O1017)*Assumptions!$S$11</f>
        <v/>
      </c>
      <c r="Q1017" s="35">
        <f>$F1017*$K1017*$P1017</f>
        <v/>
      </c>
    </row>
    <row r="1018">
      <c r="A1018" s="11" t="inlineStr">
        <is>
          <t>UNIT</t>
        </is>
      </c>
      <c r="B1018" s="28" t="inlineStr">
        <is>
          <t>MARATHON_NIKISKI</t>
        </is>
      </c>
      <c r="C1018" s="28" t="n">
        <v>5</v>
      </c>
      <c r="D1018" s="28" t="inlineStr">
        <is>
          <t>CCR</t>
        </is>
      </c>
      <c r="E1018" s="28" t="inlineStr">
        <is>
          <t>REFORMER</t>
        </is>
      </c>
      <c r="F1018" s="29" t="n">
        <v>13.5</v>
      </c>
      <c r="G1018" s="30">
        <f>IFERROR(IF(INDEX(Effective!$E$3:$R$125,MATCH($B1018,Effective!$A$3:$A$125,0),MATCH($D1018,Effective!$E$2:$R$2,0))=0,"",INDEX(Effective!$E$3:$R$125,MATCH($B1018,Effective!$A$3:$A$125,0),MATCH($D1018,Effective!$E$2:$R$2,0))),"")</f>
        <v/>
      </c>
      <c r="H1018" s="31" t="n"/>
      <c r="I1018" s="17" t="inlineStr">
        <is>
          <t>override</t>
        </is>
      </c>
      <c r="J1018" s="32" t="n">
        <v>0.967</v>
      </c>
      <c r="K1018" s="33">
        <f>IF(AND(IF($I1022&lt;&gt;"",$I1022,$I1018)="override",$J1018&lt;&gt;""),$J1018,SUMIFS(Assumptions!$K$4:$K$8,Assumptions!$J$4:$J$8,$C1018))*Assumptions!$S$10*(1-MIN(1,MAX(N($H1018),N($H1022))))</f>
        <v/>
      </c>
      <c r="L1018" s="32" t="n"/>
      <c r="M1018" s="34">
        <f>IF(AND(IF($I1022&lt;&gt;"",$I1022,$I1018)="override",$L1018&lt;&gt;""),$L1018,SUMIFS(Assumptions!$P$4:$P$103,Assumptions!$M$4:$M$103,$C1018,Assumptions!$N$4:$N$103,$E1018,Assumptions!$O$4:$O$103,"LVN"))</f>
        <v/>
      </c>
      <c r="N1018" s="32" t="n"/>
      <c r="O1018" s="34">
        <f>IF(AND(IF($I1022&lt;&gt;"",$I1022,$I1018)="override",$N1018&lt;&gt;""),$N1018,SUMIFS(Assumptions!$P$4:$P$103,Assumptions!$M$4:$M$103,$C1018,Assumptions!$N$4:$N$103,$E1018,Assumptions!$O$4:$O$103,"HVN"))</f>
        <v/>
      </c>
      <c r="P1018" s="34">
        <f>(M1018+O1018)*Assumptions!$S$11</f>
        <v/>
      </c>
      <c r="Q1018" s="35">
        <f>$F1018*$K1018*$P1018</f>
        <v/>
      </c>
    </row>
    <row r="1019">
      <c r="A1019" s="11" t="inlineStr">
        <is>
          <t>UNIT</t>
        </is>
      </c>
      <c r="B1019" s="28" t="inlineStr">
        <is>
          <t>MARATHON_NIKISKI</t>
        </is>
      </c>
      <c r="C1019" s="28" t="n">
        <v>5</v>
      </c>
      <c r="D1019" s="28" t="inlineStr">
        <is>
          <t>REF</t>
        </is>
      </c>
      <c r="E1019" s="28" t="inlineStr">
        <is>
          <t>REFORMER</t>
        </is>
      </c>
      <c r="F1019" s="29" t="n">
        <v>14.2</v>
      </c>
      <c r="G1019" s="30">
        <f>IFERROR(IF(INDEX(Effective!$E$3:$R$125,MATCH($B1019,Effective!$A$3:$A$125,0),MATCH($D1019,Effective!$E$2:$R$2,0))=0,"",INDEX(Effective!$E$3:$R$125,MATCH($B1019,Effective!$A$3:$A$125,0),MATCH($D1019,Effective!$E$2:$R$2,0))),"")</f>
        <v/>
      </c>
      <c r="H1019" s="31" t="n"/>
      <c r="I1019" s="17" t="inlineStr">
        <is>
          <t>override</t>
        </is>
      </c>
      <c r="J1019" s="32" t="n"/>
      <c r="K1019" s="33">
        <f>IF(AND(IF($I1022&lt;&gt;"",$I1022,$I1019)="override",$J1019&lt;&gt;""),$J1019,SUMIFS(Assumptions!$K$4:$K$8,Assumptions!$J$4:$J$8,$C1019))*Assumptions!$S$10*(1-MIN(1,MAX(N($H1019),N($H1022))))</f>
        <v/>
      </c>
      <c r="L1019" s="32" t="n"/>
      <c r="M1019" s="34">
        <f>IF(AND(IF($I1022&lt;&gt;"",$I1022,$I1019)="override",$L1019&lt;&gt;""),$L1019,SUMIFS(Assumptions!$P$4:$P$103,Assumptions!$M$4:$M$103,$C1019,Assumptions!$N$4:$N$103,$E1019,Assumptions!$O$4:$O$103,"LVN"))</f>
        <v/>
      </c>
      <c r="N1019" s="32" t="n"/>
      <c r="O1019" s="34">
        <f>IF(AND(IF($I1022&lt;&gt;"",$I1022,$I1019)="override",$N1019&lt;&gt;""),$N1019,SUMIFS(Assumptions!$P$4:$P$103,Assumptions!$M$4:$M$103,$C1019,Assumptions!$N$4:$N$103,$E1019,Assumptions!$O$4:$O$103,"HVN"))</f>
        <v/>
      </c>
      <c r="P1019" s="34">
        <f>(M1019+O1019)*Assumptions!$S$11</f>
        <v/>
      </c>
      <c r="Q1019" s="35">
        <f>$F1019*$K1019*$P1019</f>
        <v/>
      </c>
    </row>
    <row r="1020">
      <c r="A1020" s="11" t="inlineStr">
        <is>
          <t>UNIT</t>
        </is>
      </c>
      <c r="B1020" s="28" t="inlineStr">
        <is>
          <t>MARATHON_NIKISKI</t>
        </is>
      </c>
      <c r="C1020" s="28" t="n">
        <v>5</v>
      </c>
      <c r="D1020" s="28" t="inlineStr">
        <is>
          <t>ISOM</t>
        </is>
      </c>
      <c r="E1020" s="28" t="inlineStr">
        <is>
          <t>ISOM</t>
        </is>
      </c>
      <c r="F1020" s="29" t="n">
        <v>5</v>
      </c>
      <c r="G1020" s="30">
        <f>IFERROR(IF(INDEX(Effective!$E$3:$R$125,MATCH($B1020,Effective!$A$3:$A$125,0),MATCH($D1020,Effective!$E$2:$R$2,0))=0,"",INDEX(Effective!$E$3:$R$125,MATCH($B1020,Effective!$A$3:$A$125,0),MATCH($D1020,Effective!$E$2:$R$2,0))),"")</f>
        <v/>
      </c>
      <c r="H1020" s="31" t="n"/>
      <c r="I1020" s="17" t="inlineStr">
        <is>
          <t>override</t>
        </is>
      </c>
      <c r="J1020" s="32" t="n">
        <v>1.099</v>
      </c>
      <c r="K1020" s="33">
        <f>IF(AND(IF($I1022&lt;&gt;"",$I1022,$I1020)="override",$J1020&lt;&gt;""),$J1020,SUMIFS(Assumptions!$K$4:$K$8,Assumptions!$J$4:$J$8,$C1020))*Assumptions!$S$10*(1-MIN(1,MAX(N($H1020),N($H1022))))</f>
        <v/>
      </c>
      <c r="L1020" s="32" t="n"/>
      <c r="M1020" s="34">
        <f>IF(AND(IF($I1022&lt;&gt;"",$I1022,$I1020)="override",$L1020&lt;&gt;""),$L1020,SUMIFS(Assumptions!$P$4:$P$103,Assumptions!$M$4:$M$103,$C1020,Assumptions!$N$4:$N$103,$E1020,Assumptions!$O$4:$O$103,"LVN"))</f>
        <v/>
      </c>
      <c r="N1020" s="32" t="n"/>
      <c r="O1020" s="34">
        <f>IF(AND(IF($I1022&lt;&gt;"",$I1022,$I1020)="override",$N1020&lt;&gt;""),$N1020,SUMIFS(Assumptions!$P$4:$P$103,Assumptions!$M$4:$M$103,$C1020,Assumptions!$N$4:$N$103,$E1020,Assumptions!$O$4:$O$103,"HVN"))</f>
        <v/>
      </c>
      <c r="P1020" s="34">
        <f>(M1020+O1020)*Assumptions!$S$11</f>
        <v/>
      </c>
      <c r="Q1020" s="35">
        <f>$F1020*$K1020*$P1020</f>
        <v/>
      </c>
    </row>
    <row r="1021">
      <c r="A1021" s="11" t="inlineStr">
        <is>
          <t>UNIT</t>
        </is>
      </c>
      <c r="B1021" s="28" t="inlineStr">
        <is>
          <t>MARATHON_NIKISKI</t>
        </is>
      </c>
      <c r="C1021" s="28" t="n">
        <v>5</v>
      </c>
      <c r="D1021" s="28" t="inlineStr">
        <is>
          <t>NHT</t>
        </is>
      </c>
      <c r="E1021" s="28" t="inlineStr">
        <is>
          <t>NHT</t>
        </is>
      </c>
      <c r="F1021" s="29" t="n">
        <v>13</v>
      </c>
      <c r="G1021" s="30">
        <f>IFERROR(IF(INDEX(Effective!$E$3:$R$125,MATCH($B1021,Effective!$A$3:$A$125,0),MATCH($D1021,Effective!$E$2:$R$2,0))=0,"",INDEX(Effective!$E$3:$R$125,MATCH($B1021,Effective!$A$3:$A$125,0),MATCH($D1021,Effective!$E$2:$R$2,0))),"")</f>
        <v/>
      </c>
      <c r="H1021" s="31" t="n"/>
      <c r="I1021" s="17" t="inlineStr">
        <is>
          <t>override</t>
        </is>
      </c>
      <c r="J1021" s="32" t="n">
        <v>0.989</v>
      </c>
      <c r="K1021" s="33">
        <f>IF(AND(IF($I1022&lt;&gt;"",$I1022,$I1021)="override",$J1021&lt;&gt;""),$J1021,SUMIFS(Assumptions!$K$4:$K$8,Assumptions!$J$4:$J$8,$C1021))*Assumptions!$S$10*(1-MIN(1,MAX(N($H1021),N($H1022))))</f>
        <v/>
      </c>
      <c r="L1021" s="32" t="n"/>
      <c r="M1021" s="34">
        <f>IF(AND(IF($I1022&lt;&gt;"",$I1022,$I1021)="override",$L1021&lt;&gt;""),$L1021,SUMIFS(Assumptions!$P$4:$P$103,Assumptions!$M$4:$M$103,$C1021,Assumptions!$N$4:$N$103,$E1021,Assumptions!$O$4:$O$103,"LVN"))</f>
        <v/>
      </c>
      <c r="N1021" s="32" t="n"/>
      <c r="O1021" s="34">
        <f>IF(AND(IF($I1022&lt;&gt;"",$I1022,$I1021)="override",$N1021&lt;&gt;""),$N1021,SUMIFS(Assumptions!$P$4:$P$103,Assumptions!$M$4:$M$103,$C1021,Assumptions!$N$4:$N$103,$E1021,Assumptions!$O$4:$O$103,"HVN"))</f>
        <v/>
      </c>
      <c r="P1021" s="34">
        <f>(M1021+O1021)*Assumptions!$S$11</f>
        <v/>
      </c>
      <c r="Q1021" s="35">
        <f>$F1021*$K1021*$P1021</f>
        <v/>
      </c>
    </row>
    <row r="1022">
      <c r="A1022" s="24" t="inlineStr">
        <is>
          <t>TOTAL</t>
        </is>
      </c>
      <c r="B1022" s="36" t="inlineStr">
        <is>
          <t>MARATHON_NIKISKI</t>
        </is>
      </c>
      <c r="C1022" s="36" t="n">
        <v>5</v>
      </c>
      <c r="D1022" s="36" t="inlineStr">
        <is>
          <t>NET NAPHTHA</t>
        </is>
      </c>
      <c r="H1022" s="31" t="n"/>
      <c r="I1022" s="17" t="n"/>
      <c r="Q1022" s="37">
        <f>SUM(Q1015:Q1021)</f>
        <v/>
      </c>
    </row>
    <row r="1024" ht="20" customHeight="1">
      <c r="A1024" s="8">
        <f>"  Petro Star Inc. Valdez  [PETRO_VALDEZ]   —   Petro Star Inc.   —   PADD 5   —   crude "&amp;TEXT(SUMIFS(Data!$G$3:$G$125,Data!$A$3:$A$125,"PETRO_VALDEZ"),"#,##0")&amp;" kbd"</f>
        <v/>
      </c>
      <c r="B1024" s="9" t="n"/>
      <c r="C1024" s="9" t="n"/>
      <c r="D1024" s="9" t="n"/>
      <c r="E1024" s="9" t="n"/>
      <c r="F1024" s="9" t="n"/>
      <c r="G1024" s="9" t="n"/>
      <c r="H1024" s="9" t="n"/>
      <c r="I1024" s="9" t="n"/>
      <c r="J1024" s="9" t="n"/>
      <c r="K1024" s="9" t="n"/>
      <c r="L1024" s="9" t="n"/>
      <c r="M1024" s="9" t="n"/>
      <c r="N1024" s="9" t="n"/>
      <c r="O1024" s="9" t="n"/>
      <c r="P1024" s="9" t="n"/>
      <c r="Q1024" s="9" t="n"/>
    </row>
    <row r="1025">
      <c r="A1025" s="11" t="inlineStr">
        <is>
          <t>UNIT</t>
        </is>
      </c>
      <c r="B1025" s="28" t="inlineStr">
        <is>
          <t>PETRO_VALDEZ</t>
        </is>
      </c>
      <c r="C1025" s="28" t="n">
        <v>5</v>
      </c>
      <c r="D1025" s="28" t="inlineStr">
        <is>
          <t>CDU</t>
        </is>
      </c>
      <c r="E1025" s="28" t="inlineStr">
        <is>
          <t>CDU</t>
        </is>
      </c>
      <c r="F1025" s="29" t="n">
        <v>60</v>
      </c>
      <c r="G1025" s="30">
        <f>IFERROR(IF(INDEX(Effective!$E$3:$R$125,MATCH($B1025,Effective!$A$3:$A$125,0),MATCH($D1025,Effective!$E$2:$R$2,0))=0,"",INDEX(Effective!$E$3:$R$125,MATCH($B1025,Effective!$A$3:$A$125,0),MATCH($D1025,Effective!$E$2:$R$2,0))),"")</f>
        <v/>
      </c>
      <c r="H1025" s="31" t="n"/>
      <c r="I1025" s="17" t="inlineStr">
        <is>
          <t>override</t>
        </is>
      </c>
      <c r="J1025" s="32" t="n"/>
      <c r="K1025" s="33">
        <f>IF(AND(IF($I1026&lt;&gt;"",$I1026,$I1025)="override",$J1025&lt;&gt;""),$J1025,SUMIFS(Assumptions!$K$4:$K$8,Assumptions!$J$4:$J$8,$C1025))*Assumptions!$S$10*(1-MIN(1,MAX(N($H1025),N($H1026))))</f>
        <v/>
      </c>
      <c r="L1025" s="32" t="n"/>
      <c r="M1025" s="34">
        <f>IF(AND(IF($I1026&lt;&gt;"",$I1026,$I1025)="override",$L1025&lt;&gt;""),$L1025,SUMIFS(Assumptions!$P$4:$P$103,Assumptions!$M$4:$M$103,$C1025,Assumptions!$N$4:$N$103,$E1025,Assumptions!$O$4:$O$103,"LVN"))</f>
        <v/>
      </c>
      <c r="N1025" s="32" t="n"/>
      <c r="O1025" s="34">
        <f>IF(AND(IF($I1026&lt;&gt;"",$I1026,$I1025)="override",$N1025&lt;&gt;""),$N1025,SUMIFS(Assumptions!$P$4:$P$103,Assumptions!$M$4:$M$103,$C1025,Assumptions!$N$4:$N$103,$E1025,Assumptions!$O$4:$O$103,"HVN"))</f>
        <v/>
      </c>
      <c r="P1025" s="34">
        <f>(M1025+O1025)*Assumptions!$S$11</f>
        <v/>
      </c>
      <c r="Q1025" s="35">
        <f>$F1025*$K1025*$P1025</f>
        <v/>
      </c>
    </row>
    <row r="1026">
      <c r="A1026" s="24" t="inlineStr">
        <is>
          <t>TOTAL</t>
        </is>
      </c>
      <c r="B1026" s="36" t="inlineStr">
        <is>
          <t>PETRO_VALDEZ</t>
        </is>
      </c>
      <c r="C1026" s="36" t="n">
        <v>5</v>
      </c>
      <c r="D1026" s="36" t="inlineStr">
        <is>
          <t>NET NAPHTHA</t>
        </is>
      </c>
      <c r="H1026" s="31" t="n"/>
      <c r="I1026" s="17" t="n"/>
      <c r="Q1026" s="37">
        <f>SUM(Q1025:Q1025)</f>
        <v/>
      </c>
    </row>
    <row r="1028" ht="20" customHeight="1">
      <c r="A1028" s="8">
        <f>"  Par Petroleum Tacoma  [PAR_TACOMA]   —   Par Petroleum   —   PADD 5   —   crude "&amp;TEXT(SUMIFS(Data!$G$3:$G$125,Data!$A$3:$A$125,"PAR_TACOMA"),"#,##0")&amp;" kbd"</f>
        <v/>
      </c>
      <c r="B1028" s="9" t="n"/>
      <c r="C1028" s="9" t="n"/>
      <c r="D1028" s="9" t="n"/>
      <c r="E1028" s="9" t="n"/>
      <c r="F1028" s="9" t="n"/>
      <c r="G1028" s="9" t="n"/>
      <c r="H1028" s="9" t="n"/>
      <c r="I1028" s="9" t="n"/>
      <c r="J1028" s="9" t="n"/>
      <c r="K1028" s="9" t="n"/>
      <c r="L1028" s="9" t="n"/>
      <c r="M1028" s="9" t="n"/>
      <c r="N1028" s="9" t="n"/>
      <c r="O1028" s="9" t="n"/>
      <c r="P1028" s="9" t="n"/>
      <c r="Q1028" s="9" t="n"/>
    </row>
    <row r="1029">
      <c r="A1029" s="11" t="inlineStr">
        <is>
          <t>UNIT</t>
        </is>
      </c>
      <c r="B1029" s="28" t="inlineStr">
        <is>
          <t>PAR_TACOMA</t>
        </is>
      </c>
      <c r="C1029" s="28" t="n">
        <v>5</v>
      </c>
      <c r="D1029" s="28" t="inlineStr">
        <is>
          <t>CDU</t>
        </is>
      </c>
      <c r="E1029" s="28" t="inlineStr">
        <is>
          <t>CDU</t>
        </is>
      </c>
      <c r="F1029" s="29" t="n">
        <v>42</v>
      </c>
      <c r="G1029" s="30">
        <f>IFERROR(IF(INDEX(Effective!$E$3:$R$125,MATCH($B1029,Effective!$A$3:$A$125,0),MATCH($D1029,Effective!$E$2:$R$2,0))=0,"",INDEX(Effective!$E$3:$R$125,MATCH($B1029,Effective!$A$3:$A$125,0),MATCH($D1029,Effective!$E$2:$R$2,0))),"")</f>
        <v/>
      </c>
      <c r="H1029" s="31" t="n"/>
      <c r="I1029" s="17" t="inlineStr">
        <is>
          <t>override</t>
        </is>
      </c>
      <c r="J1029" s="32" t="n"/>
      <c r="K1029" s="33">
        <f>IF(AND(IF($I1034&lt;&gt;"",$I1034,$I1029)="override",$J1029&lt;&gt;""),$J1029,SUMIFS(Assumptions!$K$4:$K$8,Assumptions!$J$4:$J$8,$C1029))*Assumptions!$S$10*(1-MIN(1,MAX(N($H1029),N($H1034))))</f>
        <v/>
      </c>
      <c r="L1029" s="32" t="n"/>
      <c r="M1029" s="34">
        <f>IF(AND(IF($I1034&lt;&gt;"",$I1034,$I1029)="override",$L1029&lt;&gt;""),$L1029,SUMIFS(Assumptions!$P$4:$P$103,Assumptions!$M$4:$M$103,$C1029,Assumptions!$N$4:$N$103,$E1029,Assumptions!$O$4:$O$103,"LVN"))</f>
        <v/>
      </c>
      <c r="N1029" s="32" t="n"/>
      <c r="O1029" s="34">
        <f>IF(AND(IF($I1034&lt;&gt;"",$I1034,$I1029)="override",$N1029&lt;&gt;""),$N1029,SUMIFS(Assumptions!$P$4:$P$103,Assumptions!$M$4:$M$103,$C1029,Assumptions!$N$4:$N$103,$E1029,Assumptions!$O$4:$O$103,"HVN"))</f>
        <v/>
      </c>
      <c r="P1029" s="34">
        <f>(M1029+O1029)*Assumptions!$S$11</f>
        <v/>
      </c>
      <c r="Q1029" s="35">
        <f>$F1029*$K1029*$P1029</f>
        <v/>
      </c>
    </row>
    <row r="1030">
      <c r="A1030" s="11" t="inlineStr">
        <is>
          <t>UNIT</t>
        </is>
      </c>
      <c r="B1030" s="28" t="inlineStr">
        <is>
          <t>PAR_TACOMA</t>
        </is>
      </c>
      <c r="C1030" s="28" t="n">
        <v>5</v>
      </c>
      <c r="D1030" s="28" t="inlineStr">
        <is>
          <t>VDU</t>
        </is>
      </c>
      <c r="E1030" s="28" t="inlineStr">
        <is>
          <t>VDU</t>
        </is>
      </c>
      <c r="F1030" s="29" t="n">
        <v>19.2</v>
      </c>
      <c r="G1030" s="30">
        <f>IFERROR(IF(INDEX(Effective!$E$3:$R$125,MATCH($B1030,Effective!$A$3:$A$125,0),MATCH($D1030,Effective!$E$2:$R$2,0))=0,"",INDEX(Effective!$E$3:$R$125,MATCH($B1030,Effective!$A$3:$A$125,0),MATCH($D1030,Effective!$E$2:$R$2,0))),"")</f>
        <v/>
      </c>
      <c r="H1030" s="31" t="n"/>
      <c r="I1030" s="17" t="inlineStr">
        <is>
          <t>override</t>
        </is>
      </c>
      <c r="J1030" s="32" t="n"/>
      <c r="K1030" s="33">
        <f>IF(AND(IF($I1034&lt;&gt;"",$I1034,$I1030)="override",$J1030&lt;&gt;""),$J1030,SUMIFS(Assumptions!$K$4:$K$8,Assumptions!$J$4:$J$8,$C1030))*Assumptions!$S$10*(1-MIN(1,MAX(N($H1030),N($H1034))))</f>
        <v/>
      </c>
      <c r="L1030" s="32" t="n"/>
      <c r="M1030" s="34">
        <f>IF(AND(IF($I1034&lt;&gt;"",$I1034,$I1030)="override",$L1030&lt;&gt;""),$L1030,SUMIFS(Assumptions!$P$4:$P$103,Assumptions!$M$4:$M$103,$C1030,Assumptions!$N$4:$N$103,$E1030,Assumptions!$O$4:$O$103,"LVN"))</f>
        <v/>
      </c>
      <c r="N1030" s="32" t="n"/>
      <c r="O1030" s="34">
        <f>IF(AND(IF($I1034&lt;&gt;"",$I1034,$I1030)="override",$N1030&lt;&gt;""),$N1030,SUMIFS(Assumptions!$P$4:$P$103,Assumptions!$M$4:$M$103,$C1030,Assumptions!$N$4:$N$103,$E1030,Assumptions!$O$4:$O$103,"HVN"))</f>
        <v/>
      </c>
      <c r="P1030" s="34">
        <f>(M1030+O1030)*Assumptions!$S$11</f>
        <v/>
      </c>
      <c r="Q1030" s="35">
        <f>$F1030*$K1030*$P1030</f>
        <v/>
      </c>
    </row>
    <row r="1031">
      <c r="A1031" s="11" t="inlineStr">
        <is>
          <t>UNIT</t>
        </is>
      </c>
      <c r="B1031" s="28" t="inlineStr">
        <is>
          <t>PAR_TACOMA</t>
        </is>
      </c>
      <c r="C1031" s="28" t="n">
        <v>5</v>
      </c>
      <c r="D1031" s="28" t="inlineStr">
        <is>
          <t>REF</t>
        </is>
      </c>
      <c r="E1031" s="28" t="inlineStr">
        <is>
          <t>REFORMER</t>
        </is>
      </c>
      <c r="F1031" s="29" t="n">
        <v>6.8</v>
      </c>
      <c r="G1031" s="30">
        <f>IFERROR(IF(INDEX(Effective!$E$3:$R$125,MATCH($B1031,Effective!$A$3:$A$125,0),MATCH($D1031,Effective!$E$2:$R$2,0))=0,"",INDEX(Effective!$E$3:$R$125,MATCH($B1031,Effective!$A$3:$A$125,0),MATCH($D1031,Effective!$E$2:$R$2,0))),"")</f>
        <v/>
      </c>
      <c r="H1031" s="31" t="n"/>
      <c r="I1031" s="17" t="inlineStr">
        <is>
          <t>override</t>
        </is>
      </c>
      <c r="J1031" s="32" t="n"/>
      <c r="K1031" s="33">
        <f>IF(AND(IF($I1034&lt;&gt;"",$I1034,$I1031)="override",$J1031&lt;&gt;""),$J1031,SUMIFS(Assumptions!$K$4:$K$8,Assumptions!$J$4:$J$8,$C1031))*Assumptions!$S$10*(1-MIN(1,MAX(N($H1031),N($H1034))))</f>
        <v/>
      </c>
      <c r="L1031" s="32" t="n"/>
      <c r="M1031" s="34">
        <f>IF(AND(IF($I1034&lt;&gt;"",$I1034,$I1031)="override",$L1031&lt;&gt;""),$L1031,SUMIFS(Assumptions!$P$4:$P$103,Assumptions!$M$4:$M$103,$C1031,Assumptions!$N$4:$N$103,$E1031,Assumptions!$O$4:$O$103,"LVN"))</f>
        <v/>
      </c>
      <c r="N1031" s="32" t="n"/>
      <c r="O1031" s="34">
        <f>IF(AND(IF($I1034&lt;&gt;"",$I1034,$I1031)="override",$N1031&lt;&gt;""),$N1031,SUMIFS(Assumptions!$P$4:$P$103,Assumptions!$M$4:$M$103,$C1031,Assumptions!$N$4:$N$103,$E1031,Assumptions!$O$4:$O$103,"HVN"))</f>
        <v/>
      </c>
      <c r="P1031" s="34">
        <f>(M1031+O1031)*Assumptions!$S$11</f>
        <v/>
      </c>
      <c r="Q1031" s="35">
        <f>$F1031*$K1031*$P1031</f>
        <v/>
      </c>
    </row>
    <row r="1032">
      <c r="A1032" s="11" t="inlineStr">
        <is>
          <t>UNIT</t>
        </is>
      </c>
      <c r="B1032" s="28" t="inlineStr">
        <is>
          <t>PAR_TACOMA</t>
        </is>
      </c>
      <c r="C1032" s="28" t="n">
        <v>5</v>
      </c>
      <c r="D1032" s="28" t="inlineStr">
        <is>
          <t>ISOM</t>
        </is>
      </c>
      <c r="E1032" s="28" t="inlineStr">
        <is>
          <t>ISOM</t>
        </is>
      </c>
      <c r="F1032" s="29" t="n">
        <v>4.5</v>
      </c>
      <c r="G1032" s="30">
        <f>IFERROR(IF(INDEX(Effective!$E$3:$R$125,MATCH($B1032,Effective!$A$3:$A$125,0),MATCH($D1032,Effective!$E$2:$R$2,0))=0,"",INDEX(Effective!$E$3:$R$125,MATCH($B1032,Effective!$A$3:$A$125,0),MATCH($D1032,Effective!$E$2:$R$2,0))),"")</f>
        <v/>
      </c>
      <c r="H1032" s="31" t="n"/>
      <c r="I1032" s="17" t="inlineStr">
        <is>
          <t>override</t>
        </is>
      </c>
      <c r="J1032" s="32" t="n"/>
      <c r="K1032" s="33">
        <f>IF(AND(IF($I1034&lt;&gt;"",$I1034,$I1032)="override",$J1032&lt;&gt;""),$J1032,SUMIFS(Assumptions!$K$4:$K$8,Assumptions!$J$4:$J$8,$C1032))*Assumptions!$S$10*(1-MIN(1,MAX(N($H1032),N($H1034))))</f>
        <v/>
      </c>
      <c r="L1032" s="32" t="n"/>
      <c r="M1032" s="34">
        <f>IF(AND(IF($I1034&lt;&gt;"",$I1034,$I1032)="override",$L1032&lt;&gt;""),$L1032,SUMIFS(Assumptions!$P$4:$P$103,Assumptions!$M$4:$M$103,$C1032,Assumptions!$N$4:$N$103,$E1032,Assumptions!$O$4:$O$103,"LVN"))</f>
        <v/>
      </c>
      <c r="N1032" s="32" t="n"/>
      <c r="O1032" s="34">
        <f>IF(AND(IF($I1034&lt;&gt;"",$I1034,$I1032)="override",$N1032&lt;&gt;""),$N1032,SUMIFS(Assumptions!$P$4:$P$103,Assumptions!$M$4:$M$103,$C1032,Assumptions!$N$4:$N$103,$E1032,Assumptions!$O$4:$O$103,"HVN"))</f>
        <v/>
      </c>
      <c r="P1032" s="34">
        <f>(M1032+O1032)*Assumptions!$S$11</f>
        <v/>
      </c>
      <c r="Q1032" s="35">
        <f>$F1032*$K1032*$P1032</f>
        <v/>
      </c>
    </row>
    <row r="1033">
      <c r="A1033" s="11" t="inlineStr">
        <is>
          <t>UNIT</t>
        </is>
      </c>
      <c r="B1033" s="28" t="inlineStr">
        <is>
          <t>PAR_TACOMA</t>
        </is>
      </c>
      <c r="C1033" s="28" t="n">
        <v>5</v>
      </c>
      <c r="D1033" s="28" t="inlineStr">
        <is>
          <t>NHT</t>
        </is>
      </c>
      <c r="E1033" s="28" t="inlineStr">
        <is>
          <t>NHT</t>
        </is>
      </c>
      <c r="F1033" s="29" t="n">
        <v>10.4</v>
      </c>
      <c r="G1033" s="30">
        <f>IFERROR(IF(INDEX(Effective!$E$3:$R$125,MATCH($B1033,Effective!$A$3:$A$125,0),MATCH($D1033,Effective!$E$2:$R$2,0))=0,"",INDEX(Effective!$E$3:$R$125,MATCH($B1033,Effective!$A$3:$A$125,0),MATCH($D1033,Effective!$E$2:$R$2,0))),"")</f>
        <v/>
      </c>
      <c r="H1033" s="31" t="n"/>
      <c r="I1033" s="17" t="inlineStr">
        <is>
          <t>override</t>
        </is>
      </c>
      <c r="J1033" s="32" t="n"/>
      <c r="K1033" s="33">
        <f>IF(AND(IF($I1034&lt;&gt;"",$I1034,$I1033)="override",$J1033&lt;&gt;""),$J1033,SUMIFS(Assumptions!$K$4:$K$8,Assumptions!$J$4:$J$8,$C1033))*Assumptions!$S$10*(1-MIN(1,MAX(N($H1033),N($H1034))))</f>
        <v/>
      </c>
      <c r="L1033" s="32" t="n"/>
      <c r="M1033" s="34">
        <f>IF(AND(IF($I1034&lt;&gt;"",$I1034,$I1033)="override",$L1033&lt;&gt;""),$L1033,SUMIFS(Assumptions!$P$4:$P$103,Assumptions!$M$4:$M$103,$C1033,Assumptions!$N$4:$N$103,$E1033,Assumptions!$O$4:$O$103,"LVN"))</f>
        <v/>
      </c>
      <c r="N1033" s="32" t="n"/>
      <c r="O1033" s="34">
        <f>IF(AND(IF($I1034&lt;&gt;"",$I1034,$I1033)="override",$N1033&lt;&gt;""),$N1033,SUMIFS(Assumptions!$P$4:$P$103,Assumptions!$M$4:$M$103,$C1033,Assumptions!$N$4:$N$103,$E1033,Assumptions!$O$4:$O$103,"HVN"))</f>
        <v/>
      </c>
      <c r="P1033" s="34">
        <f>(M1033+O1033)*Assumptions!$S$11</f>
        <v/>
      </c>
      <c r="Q1033" s="35">
        <f>$F1033*$K1033*$P1033</f>
        <v/>
      </c>
    </row>
    <row r="1034">
      <c r="A1034" s="24" t="inlineStr">
        <is>
          <t>TOTAL</t>
        </is>
      </c>
      <c r="B1034" s="36" t="inlineStr">
        <is>
          <t>PAR_TACOMA</t>
        </is>
      </c>
      <c r="C1034" s="36" t="n">
        <v>5</v>
      </c>
      <c r="D1034" s="36" t="inlineStr">
        <is>
          <t>NET NAPHTHA</t>
        </is>
      </c>
      <c r="H1034" s="31" t="n"/>
      <c r="I1034" s="17" t="n"/>
      <c r="Q1034" s="37">
        <f>SUM(Q1029:Q1033)</f>
        <v/>
      </c>
    </row>
    <row r="1036" ht="20" customHeight="1">
      <c r="A1036" s="8">
        <f>"  Kern Oil Bakersfield  [KERN_BAKERSFIELD]   —   Kern Oil   —   PADD 5   —   crude "&amp;TEXT(SUMIFS(Data!$G$3:$G$125,Data!$A$3:$A$125,"KERN_BAKERSFIELD"),"#,##0")&amp;" kbd"</f>
        <v/>
      </c>
      <c r="B1036" s="9" t="n"/>
      <c r="C1036" s="9" t="n"/>
      <c r="D1036" s="9" t="n"/>
      <c r="E1036" s="9" t="n"/>
      <c r="F1036" s="9" t="n"/>
      <c r="G1036" s="9" t="n"/>
      <c r="H1036" s="9" t="n"/>
      <c r="I1036" s="9" t="n"/>
      <c r="J1036" s="9" t="n"/>
      <c r="K1036" s="9" t="n"/>
      <c r="L1036" s="9" t="n"/>
      <c r="M1036" s="9" t="n"/>
      <c r="N1036" s="9" t="n"/>
      <c r="O1036" s="9" t="n"/>
      <c r="P1036" s="9" t="n"/>
      <c r="Q1036" s="9" t="n"/>
    </row>
    <row r="1037">
      <c r="A1037" s="11" t="inlineStr">
        <is>
          <t>UNIT</t>
        </is>
      </c>
      <c r="B1037" s="28" t="inlineStr">
        <is>
          <t>KERN_BAKERSFIELD</t>
        </is>
      </c>
      <c r="C1037" s="28" t="n">
        <v>5</v>
      </c>
      <c r="D1037" s="28" t="inlineStr">
        <is>
          <t>CDU</t>
        </is>
      </c>
      <c r="E1037" s="28" t="inlineStr">
        <is>
          <t>CDU</t>
        </is>
      </c>
      <c r="F1037" s="29" t="n">
        <v>27</v>
      </c>
      <c r="G1037" s="30">
        <f>IFERROR(IF(INDEX(Effective!$E$3:$R$125,MATCH($B1037,Effective!$A$3:$A$125,0),MATCH($D1037,Effective!$E$2:$R$2,0))=0,"",INDEX(Effective!$E$3:$R$125,MATCH($B1037,Effective!$A$3:$A$125,0),MATCH($D1037,Effective!$E$2:$R$2,0))),"")</f>
        <v/>
      </c>
      <c r="H1037" s="31" t="n"/>
      <c r="I1037" s="17" t="inlineStr">
        <is>
          <t>override</t>
        </is>
      </c>
      <c r="J1037" s="32" t="n"/>
      <c r="K1037" s="33">
        <f>IF(AND(IF($I1041&lt;&gt;"",$I1041,$I1037)="override",$J1037&lt;&gt;""),$J1037,SUMIFS(Assumptions!$K$4:$K$8,Assumptions!$J$4:$J$8,$C1037))*Assumptions!$S$10*(1-MIN(1,MAX(N($H1037),N($H1041))))</f>
        <v/>
      </c>
      <c r="L1037" s="32" t="n"/>
      <c r="M1037" s="34">
        <f>IF(AND(IF($I1041&lt;&gt;"",$I1041,$I1037)="override",$L1037&lt;&gt;""),$L1037,SUMIFS(Assumptions!$P$4:$P$103,Assumptions!$M$4:$M$103,$C1037,Assumptions!$N$4:$N$103,$E1037,Assumptions!$O$4:$O$103,"LVN"))</f>
        <v/>
      </c>
      <c r="N1037" s="32" t="n"/>
      <c r="O1037" s="34">
        <f>IF(AND(IF($I1041&lt;&gt;"",$I1041,$I1037)="override",$N1037&lt;&gt;""),$N1037,SUMIFS(Assumptions!$P$4:$P$103,Assumptions!$M$4:$M$103,$C1037,Assumptions!$N$4:$N$103,$E1037,Assumptions!$O$4:$O$103,"HVN"))</f>
        <v/>
      </c>
      <c r="P1037" s="34">
        <f>(M1037+O1037)*Assumptions!$S$11</f>
        <v/>
      </c>
      <c r="Q1037" s="35">
        <f>$F1037*$K1037*$P1037</f>
        <v/>
      </c>
    </row>
    <row r="1038">
      <c r="A1038" s="11" t="inlineStr">
        <is>
          <t>UNIT</t>
        </is>
      </c>
      <c r="B1038" s="28" t="inlineStr">
        <is>
          <t>KERN_BAKERSFIELD</t>
        </is>
      </c>
      <c r="C1038" s="28" t="n">
        <v>5</v>
      </c>
      <c r="D1038" s="28" t="inlineStr">
        <is>
          <t>CCR</t>
        </is>
      </c>
      <c r="E1038" s="28" t="inlineStr">
        <is>
          <t>REFORMER</t>
        </is>
      </c>
      <c r="F1038" s="29" t="n">
        <v>2.5</v>
      </c>
      <c r="G1038" s="30">
        <f>IFERROR(IF(INDEX(Effective!$E$3:$R$125,MATCH($B1038,Effective!$A$3:$A$125,0),MATCH($D1038,Effective!$E$2:$R$2,0))=0,"",INDEX(Effective!$E$3:$R$125,MATCH($B1038,Effective!$A$3:$A$125,0),MATCH($D1038,Effective!$E$2:$R$2,0))),"")</f>
        <v/>
      </c>
      <c r="H1038" s="31" t="n"/>
      <c r="I1038" s="17" t="inlineStr">
        <is>
          <t>override</t>
        </is>
      </c>
      <c r="J1038" s="32" t="n"/>
      <c r="K1038" s="33">
        <f>IF(AND(IF($I1041&lt;&gt;"",$I1041,$I1038)="override",$J1038&lt;&gt;""),$J1038,SUMIFS(Assumptions!$K$4:$K$8,Assumptions!$J$4:$J$8,$C1038))*Assumptions!$S$10*(1-MIN(1,MAX(N($H1038),N($H1041))))</f>
        <v/>
      </c>
      <c r="L1038" s="32" t="n"/>
      <c r="M1038" s="34">
        <f>IF(AND(IF($I1041&lt;&gt;"",$I1041,$I1038)="override",$L1038&lt;&gt;""),$L1038,SUMIFS(Assumptions!$P$4:$P$103,Assumptions!$M$4:$M$103,$C1038,Assumptions!$N$4:$N$103,$E1038,Assumptions!$O$4:$O$103,"LVN"))</f>
        <v/>
      </c>
      <c r="N1038" s="32" t="n"/>
      <c r="O1038" s="34">
        <f>IF(AND(IF($I1041&lt;&gt;"",$I1041,$I1038)="override",$N1038&lt;&gt;""),$N1038,SUMIFS(Assumptions!$P$4:$P$103,Assumptions!$M$4:$M$103,$C1038,Assumptions!$N$4:$N$103,$E1038,Assumptions!$O$4:$O$103,"HVN"))</f>
        <v/>
      </c>
      <c r="P1038" s="34">
        <f>(M1038+O1038)*Assumptions!$S$11</f>
        <v/>
      </c>
      <c r="Q1038" s="35">
        <f>$F1038*$K1038*$P1038</f>
        <v/>
      </c>
    </row>
    <row r="1039">
      <c r="A1039" s="11" t="inlineStr">
        <is>
          <t>UNIT</t>
        </is>
      </c>
      <c r="B1039" s="28" t="inlineStr">
        <is>
          <t>KERN_BAKERSFIELD</t>
        </is>
      </c>
      <c r="C1039" s="28" t="n">
        <v>5</v>
      </c>
      <c r="D1039" s="28" t="inlineStr">
        <is>
          <t>REF</t>
        </is>
      </c>
      <c r="E1039" s="28" t="inlineStr">
        <is>
          <t>REFORMER</t>
        </is>
      </c>
      <c r="F1039" s="29" t="n">
        <v>3.3</v>
      </c>
      <c r="G1039" s="30">
        <f>IFERROR(IF(INDEX(Effective!$E$3:$R$125,MATCH($B1039,Effective!$A$3:$A$125,0),MATCH($D1039,Effective!$E$2:$R$2,0))=0,"",INDEX(Effective!$E$3:$R$125,MATCH($B1039,Effective!$A$3:$A$125,0),MATCH($D1039,Effective!$E$2:$R$2,0))),"")</f>
        <v/>
      </c>
      <c r="H1039" s="31" t="n"/>
      <c r="I1039" s="17" t="inlineStr">
        <is>
          <t>override</t>
        </is>
      </c>
      <c r="J1039" s="32" t="n"/>
      <c r="K1039" s="33">
        <f>IF(AND(IF($I1041&lt;&gt;"",$I1041,$I1039)="override",$J1039&lt;&gt;""),$J1039,SUMIFS(Assumptions!$K$4:$K$8,Assumptions!$J$4:$J$8,$C1039))*Assumptions!$S$10*(1-MIN(1,MAX(N($H1039),N($H1041))))</f>
        <v/>
      </c>
      <c r="L1039" s="32" t="n"/>
      <c r="M1039" s="34">
        <f>IF(AND(IF($I1041&lt;&gt;"",$I1041,$I1039)="override",$L1039&lt;&gt;""),$L1039,SUMIFS(Assumptions!$P$4:$P$103,Assumptions!$M$4:$M$103,$C1039,Assumptions!$N$4:$N$103,$E1039,Assumptions!$O$4:$O$103,"LVN"))</f>
        <v/>
      </c>
      <c r="N1039" s="32" t="n"/>
      <c r="O1039" s="34">
        <f>IF(AND(IF($I1041&lt;&gt;"",$I1041,$I1039)="override",$N1039&lt;&gt;""),$N1039,SUMIFS(Assumptions!$P$4:$P$103,Assumptions!$M$4:$M$103,$C1039,Assumptions!$N$4:$N$103,$E1039,Assumptions!$O$4:$O$103,"HVN"))</f>
        <v/>
      </c>
      <c r="P1039" s="34">
        <f>(M1039+O1039)*Assumptions!$S$11</f>
        <v/>
      </c>
      <c r="Q1039" s="35">
        <f>$F1039*$K1039*$P1039</f>
        <v/>
      </c>
    </row>
    <row r="1040">
      <c r="A1040" s="11" t="inlineStr">
        <is>
          <t>UNIT</t>
        </is>
      </c>
      <c r="B1040" s="28" t="inlineStr">
        <is>
          <t>KERN_BAKERSFIELD</t>
        </is>
      </c>
      <c r="C1040" s="28" t="n">
        <v>5</v>
      </c>
      <c r="D1040" s="28" t="inlineStr">
        <is>
          <t>NHT</t>
        </is>
      </c>
      <c r="E1040" s="28" t="inlineStr">
        <is>
          <t>NHT</t>
        </is>
      </c>
      <c r="F1040" s="29" t="n">
        <v>5</v>
      </c>
      <c r="G1040" s="30">
        <f>IFERROR(IF(INDEX(Effective!$E$3:$R$125,MATCH($B1040,Effective!$A$3:$A$125,0),MATCH($D1040,Effective!$E$2:$R$2,0))=0,"",INDEX(Effective!$E$3:$R$125,MATCH($B1040,Effective!$A$3:$A$125,0),MATCH($D1040,Effective!$E$2:$R$2,0))),"")</f>
        <v/>
      </c>
      <c r="H1040" s="31" t="n"/>
      <c r="I1040" s="17" t="inlineStr">
        <is>
          <t>override</t>
        </is>
      </c>
      <c r="J1040" s="32" t="n"/>
      <c r="K1040" s="33">
        <f>IF(AND(IF($I1041&lt;&gt;"",$I1041,$I1040)="override",$J1040&lt;&gt;""),$J1040,SUMIFS(Assumptions!$K$4:$K$8,Assumptions!$J$4:$J$8,$C1040))*Assumptions!$S$10*(1-MIN(1,MAX(N($H1040),N($H1041))))</f>
        <v/>
      </c>
      <c r="L1040" s="32" t="n"/>
      <c r="M1040" s="34">
        <f>IF(AND(IF($I1041&lt;&gt;"",$I1041,$I1040)="override",$L1040&lt;&gt;""),$L1040,SUMIFS(Assumptions!$P$4:$P$103,Assumptions!$M$4:$M$103,$C1040,Assumptions!$N$4:$N$103,$E1040,Assumptions!$O$4:$O$103,"LVN"))</f>
        <v/>
      </c>
      <c r="N1040" s="32" t="n"/>
      <c r="O1040" s="34">
        <f>IF(AND(IF($I1041&lt;&gt;"",$I1041,$I1040)="override",$N1040&lt;&gt;""),$N1040,SUMIFS(Assumptions!$P$4:$P$103,Assumptions!$M$4:$M$103,$C1040,Assumptions!$N$4:$N$103,$E1040,Assumptions!$O$4:$O$103,"HVN"))</f>
        <v/>
      </c>
      <c r="P1040" s="34">
        <f>(M1040+O1040)*Assumptions!$S$11</f>
        <v/>
      </c>
      <c r="Q1040" s="35">
        <f>$F1040*$K1040*$P1040</f>
        <v/>
      </c>
    </row>
    <row r="1041">
      <c r="A1041" s="24" t="inlineStr">
        <is>
          <t>TOTAL</t>
        </is>
      </c>
      <c r="B1041" s="36" t="inlineStr">
        <is>
          <t>KERN_BAKERSFIELD</t>
        </is>
      </c>
      <c r="C1041" s="36" t="n">
        <v>5</v>
      </c>
      <c r="D1041" s="36" t="inlineStr">
        <is>
          <t>NET NAPHTHA</t>
        </is>
      </c>
      <c r="H1041" s="31" t="n"/>
      <c r="I1041" s="17" t="n"/>
      <c r="Q1041" s="37">
        <f>SUM(Q1037:Q1040)</f>
        <v/>
      </c>
    </row>
    <row r="1043" ht="20" customHeight="1">
      <c r="A1043" s="8">
        <f>"  San Joaquin Refining Bakersfield  [SAN_BAKERSFIELD]   —   San Joaquin Refining   —   PADD 5   —   crude "&amp;TEXT(SUMIFS(Data!$G$3:$G$125,Data!$A$3:$A$125,"SAN_BAKERSFIELD"),"#,##0")&amp;" kbd"</f>
        <v/>
      </c>
      <c r="B1043" s="9" t="n"/>
      <c r="C1043" s="9" t="n"/>
      <c r="D1043" s="9" t="n"/>
      <c r="E1043" s="9" t="n"/>
      <c r="F1043" s="9" t="n"/>
      <c r="G1043" s="9" t="n"/>
      <c r="H1043" s="9" t="n"/>
      <c r="I1043" s="9" t="n"/>
      <c r="J1043" s="9" t="n"/>
      <c r="K1043" s="9" t="n"/>
      <c r="L1043" s="9" t="n"/>
      <c r="M1043" s="9" t="n"/>
      <c r="N1043" s="9" t="n"/>
      <c r="O1043" s="9" t="n"/>
      <c r="P1043" s="9" t="n"/>
      <c r="Q1043" s="9" t="n"/>
    </row>
    <row r="1044">
      <c r="A1044" s="11" t="inlineStr">
        <is>
          <t>UNIT</t>
        </is>
      </c>
      <c r="B1044" s="28" t="inlineStr">
        <is>
          <t>SAN_BAKERSFIELD</t>
        </is>
      </c>
      <c r="C1044" s="28" t="n">
        <v>5</v>
      </c>
      <c r="D1044" s="28" t="inlineStr">
        <is>
          <t>CDU</t>
        </is>
      </c>
      <c r="E1044" s="28" t="inlineStr">
        <is>
          <t>CDU</t>
        </is>
      </c>
      <c r="F1044" s="29" t="n">
        <v>25</v>
      </c>
      <c r="G1044" s="30">
        <f>IFERROR(IF(INDEX(Effective!$E$3:$R$125,MATCH($B1044,Effective!$A$3:$A$125,0),MATCH($D1044,Effective!$E$2:$R$2,0))=0,"",INDEX(Effective!$E$3:$R$125,MATCH($B1044,Effective!$A$3:$A$125,0),MATCH($D1044,Effective!$E$2:$R$2,0))),"")</f>
        <v/>
      </c>
      <c r="H1044" s="31" t="n"/>
      <c r="I1044" s="17" t="inlineStr">
        <is>
          <t>override</t>
        </is>
      </c>
      <c r="J1044" s="32" t="n"/>
      <c r="K1044" s="33">
        <f>IF(AND(IF($I1046&lt;&gt;"",$I1046,$I1044)="override",$J1044&lt;&gt;""),$J1044,SUMIFS(Assumptions!$K$4:$K$8,Assumptions!$J$4:$J$8,$C1044))*Assumptions!$S$10*(1-MIN(1,MAX(N($H1044),N($H1046))))</f>
        <v/>
      </c>
      <c r="L1044" s="32" t="n"/>
      <c r="M1044" s="34">
        <f>IF(AND(IF($I1046&lt;&gt;"",$I1046,$I1044)="override",$L1044&lt;&gt;""),$L1044,SUMIFS(Assumptions!$P$4:$P$103,Assumptions!$M$4:$M$103,$C1044,Assumptions!$N$4:$N$103,$E1044,Assumptions!$O$4:$O$103,"LVN"))</f>
        <v/>
      </c>
      <c r="N1044" s="32" t="n"/>
      <c r="O1044" s="34">
        <f>IF(AND(IF($I1046&lt;&gt;"",$I1046,$I1044)="override",$N1044&lt;&gt;""),$N1044,SUMIFS(Assumptions!$P$4:$P$103,Assumptions!$M$4:$M$103,$C1044,Assumptions!$N$4:$N$103,$E1044,Assumptions!$O$4:$O$103,"HVN"))</f>
        <v/>
      </c>
      <c r="P1044" s="34">
        <f>(M1044+O1044)*Assumptions!$S$11</f>
        <v/>
      </c>
      <c r="Q1044" s="35">
        <f>$F1044*$K1044*$P1044</f>
        <v/>
      </c>
    </row>
    <row r="1045">
      <c r="A1045" s="11" t="inlineStr">
        <is>
          <t>UNIT</t>
        </is>
      </c>
      <c r="B1045" s="28" t="inlineStr">
        <is>
          <t>SAN_BAKERSFIELD</t>
        </is>
      </c>
      <c r="C1045" s="28" t="n">
        <v>5</v>
      </c>
      <c r="D1045" s="28" t="inlineStr">
        <is>
          <t>VDU</t>
        </is>
      </c>
      <c r="E1045" s="28" t="inlineStr">
        <is>
          <t>VDU</t>
        </is>
      </c>
      <c r="F1045" s="29" t="n">
        <v>14.3</v>
      </c>
      <c r="G1045" s="30">
        <f>IFERROR(IF(INDEX(Effective!$E$3:$R$125,MATCH($B1045,Effective!$A$3:$A$125,0),MATCH($D1045,Effective!$E$2:$R$2,0))=0,"",INDEX(Effective!$E$3:$R$125,MATCH($B1045,Effective!$A$3:$A$125,0),MATCH($D1045,Effective!$E$2:$R$2,0))),"")</f>
        <v/>
      </c>
      <c r="H1045" s="31" t="n"/>
      <c r="I1045" s="17" t="inlineStr">
        <is>
          <t>override</t>
        </is>
      </c>
      <c r="J1045" s="32" t="n"/>
      <c r="K1045" s="33">
        <f>IF(AND(IF($I1046&lt;&gt;"",$I1046,$I1045)="override",$J1045&lt;&gt;""),$J1045,SUMIFS(Assumptions!$K$4:$K$8,Assumptions!$J$4:$J$8,$C1045))*Assumptions!$S$10*(1-MIN(1,MAX(N($H1045),N($H1046))))</f>
        <v/>
      </c>
      <c r="L1045" s="32" t="n"/>
      <c r="M1045" s="34">
        <f>IF(AND(IF($I1046&lt;&gt;"",$I1046,$I1045)="override",$L1045&lt;&gt;""),$L1045,SUMIFS(Assumptions!$P$4:$P$103,Assumptions!$M$4:$M$103,$C1045,Assumptions!$N$4:$N$103,$E1045,Assumptions!$O$4:$O$103,"LVN"))</f>
        <v/>
      </c>
      <c r="N1045" s="32" t="n"/>
      <c r="O1045" s="34">
        <f>IF(AND(IF($I1046&lt;&gt;"",$I1046,$I1045)="override",$N1045&lt;&gt;""),$N1045,SUMIFS(Assumptions!$P$4:$P$103,Assumptions!$M$4:$M$103,$C1045,Assumptions!$N$4:$N$103,$E1045,Assumptions!$O$4:$O$103,"HVN"))</f>
        <v/>
      </c>
      <c r="P1045" s="34">
        <f>(M1045+O1045)*Assumptions!$S$11</f>
        <v/>
      </c>
      <c r="Q1045" s="35">
        <f>$F1045*$K1045*$P1045</f>
        <v/>
      </c>
    </row>
    <row r="1046">
      <c r="A1046" s="24" t="inlineStr">
        <is>
          <t>TOTAL</t>
        </is>
      </c>
      <c r="B1046" s="36" t="inlineStr">
        <is>
          <t>SAN_BAKERSFIELD</t>
        </is>
      </c>
      <c r="C1046" s="36" t="n">
        <v>5</v>
      </c>
      <c r="D1046" s="36" t="inlineStr">
        <is>
          <t>NET NAPHTHA</t>
        </is>
      </c>
      <c r="H1046" s="31" t="n"/>
      <c r="I1046" s="17" t="n"/>
      <c r="Q1046" s="37">
        <f>SUM(Q1044:Q1045)</f>
        <v/>
      </c>
    </row>
    <row r="1048" ht="20" customHeight="1">
      <c r="A1048" s="8">
        <f>"  Petro Star Inc. North Pole  [PETRO_NORTH_POLE]   —   Petro Star Inc.   —   PADD 5   —   crude "&amp;TEXT(SUMIFS(Data!$G$3:$G$125,Data!$A$3:$A$125,"PETRO_NORTH_POLE"),"#,##0")&amp;" kbd"</f>
        <v/>
      </c>
      <c r="B1048" s="9" t="n"/>
      <c r="C1048" s="9" t="n"/>
      <c r="D1048" s="9" t="n"/>
      <c r="E1048" s="9" t="n"/>
      <c r="F1048" s="9" t="n"/>
      <c r="G1048" s="9" t="n"/>
      <c r="H1048" s="9" t="n"/>
      <c r="I1048" s="9" t="n"/>
      <c r="J1048" s="9" t="n"/>
      <c r="K1048" s="9" t="n"/>
      <c r="L1048" s="9" t="n"/>
      <c r="M1048" s="9" t="n"/>
      <c r="N1048" s="9" t="n"/>
      <c r="O1048" s="9" t="n"/>
      <c r="P1048" s="9" t="n"/>
      <c r="Q1048" s="9" t="n"/>
    </row>
    <row r="1049">
      <c r="A1049" s="11" t="inlineStr">
        <is>
          <t>UNIT</t>
        </is>
      </c>
      <c r="B1049" s="28" t="inlineStr">
        <is>
          <t>PETRO_NORTH_POLE</t>
        </is>
      </c>
      <c r="C1049" s="28" t="n">
        <v>5</v>
      </c>
      <c r="D1049" s="28" t="inlineStr">
        <is>
          <t>CDU</t>
        </is>
      </c>
      <c r="E1049" s="28" t="inlineStr">
        <is>
          <t>CDU</t>
        </is>
      </c>
      <c r="F1049" s="29" t="n">
        <v>22.5</v>
      </c>
      <c r="G1049" s="30">
        <f>IFERROR(IF(INDEX(Effective!$E$3:$R$125,MATCH($B1049,Effective!$A$3:$A$125,0),MATCH($D1049,Effective!$E$2:$R$2,0))=0,"",INDEX(Effective!$E$3:$R$125,MATCH($B1049,Effective!$A$3:$A$125,0),MATCH($D1049,Effective!$E$2:$R$2,0))),"")</f>
        <v/>
      </c>
      <c r="H1049" s="31" t="n"/>
      <c r="I1049" s="17" t="inlineStr">
        <is>
          <t>override</t>
        </is>
      </c>
      <c r="J1049" s="32" t="n"/>
      <c r="K1049" s="33">
        <f>IF(AND(IF($I1050&lt;&gt;"",$I1050,$I1049)="override",$J1049&lt;&gt;""),$J1049,SUMIFS(Assumptions!$K$4:$K$8,Assumptions!$J$4:$J$8,$C1049))*Assumptions!$S$10*(1-MIN(1,MAX(N($H1049),N($H1050))))</f>
        <v/>
      </c>
      <c r="L1049" s="32" t="n"/>
      <c r="M1049" s="34">
        <f>IF(AND(IF($I1050&lt;&gt;"",$I1050,$I1049)="override",$L1049&lt;&gt;""),$L1049,SUMIFS(Assumptions!$P$4:$P$103,Assumptions!$M$4:$M$103,$C1049,Assumptions!$N$4:$N$103,$E1049,Assumptions!$O$4:$O$103,"LVN"))</f>
        <v/>
      </c>
      <c r="N1049" s="32" t="n"/>
      <c r="O1049" s="34">
        <f>IF(AND(IF($I1050&lt;&gt;"",$I1050,$I1049)="override",$N1049&lt;&gt;""),$N1049,SUMIFS(Assumptions!$P$4:$P$103,Assumptions!$M$4:$M$103,$C1049,Assumptions!$N$4:$N$103,$E1049,Assumptions!$O$4:$O$103,"HVN"))</f>
        <v/>
      </c>
      <c r="P1049" s="34">
        <f>(M1049+O1049)*Assumptions!$S$11</f>
        <v/>
      </c>
      <c r="Q1049" s="35">
        <f>$F1049*$K1049*$P1049</f>
        <v/>
      </c>
    </row>
    <row r="1050">
      <c r="A1050" s="24" t="inlineStr">
        <is>
          <t>TOTAL</t>
        </is>
      </c>
      <c r="B1050" s="36" t="inlineStr">
        <is>
          <t>PETRO_NORTH_POLE</t>
        </is>
      </c>
      <c r="C1050" s="36" t="n">
        <v>5</v>
      </c>
      <c r="D1050" s="36" t="inlineStr">
        <is>
          <t>NET NAPHTHA</t>
        </is>
      </c>
      <c r="H1050" s="31" t="n"/>
      <c r="I1050" s="17" t="n"/>
      <c r="Q1050" s="37">
        <f>SUM(Q1049:Q1049)</f>
        <v/>
      </c>
    </row>
    <row r="1052" ht="20" customHeight="1">
      <c r="A1052" s="8">
        <f>"  BP Prudhoe Bay  [BP_PRUDHOE_BAY]   —   BP   —   PADD 5   —   crude "&amp;TEXT(SUMIFS(Data!$G$3:$G$125,Data!$A$3:$A$125,"BP_PRUDHOE_BAY"),"#,##0")&amp;" kbd"</f>
        <v/>
      </c>
      <c r="B1052" s="9" t="n"/>
      <c r="C1052" s="9" t="n"/>
      <c r="D1052" s="9" t="n"/>
      <c r="E1052" s="9" t="n"/>
      <c r="F1052" s="9" t="n"/>
      <c r="G1052" s="9" t="n"/>
      <c r="H1052" s="9" t="n"/>
      <c r="I1052" s="9" t="n"/>
      <c r="J1052" s="9" t="n"/>
      <c r="K1052" s="9" t="n"/>
      <c r="L1052" s="9" t="n"/>
      <c r="M1052" s="9" t="n"/>
      <c r="N1052" s="9" t="n"/>
      <c r="O1052" s="9" t="n"/>
      <c r="P1052" s="9" t="n"/>
      <c r="Q1052" s="9" t="n"/>
    </row>
    <row r="1053">
      <c r="A1053" s="11" t="inlineStr">
        <is>
          <t>UNIT</t>
        </is>
      </c>
      <c r="B1053" s="28" t="inlineStr">
        <is>
          <t>BP_PRUDHOE_BAY</t>
        </is>
      </c>
      <c r="C1053" s="28" t="n">
        <v>5</v>
      </c>
      <c r="D1053" s="28" t="inlineStr">
        <is>
          <t>CDU</t>
        </is>
      </c>
      <c r="E1053" s="28" t="inlineStr">
        <is>
          <t>CDU</t>
        </is>
      </c>
      <c r="F1053" s="29" t="n">
        <v>8</v>
      </c>
      <c r="G1053" s="30">
        <f>IFERROR(IF(INDEX(Effective!$E$3:$R$125,MATCH($B1053,Effective!$A$3:$A$125,0),MATCH($D1053,Effective!$E$2:$R$2,0))=0,"",INDEX(Effective!$E$3:$R$125,MATCH($B1053,Effective!$A$3:$A$125,0),MATCH($D1053,Effective!$E$2:$R$2,0))),"")</f>
        <v/>
      </c>
      <c r="H1053" s="31" t="n"/>
      <c r="I1053" s="17" t="inlineStr">
        <is>
          <t>override</t>
        </is>
      </c>
      <c r="J1053" s="32" t="n"/>
      <c r="K1053" s="33">
        <f>IF(AND(IF($I1054&lt;&gt;"",$I1054,$I1053)="override",$J1053&lt;&gt;""),$J1053,SUMIFS(Assumptions!$K$4:$K$8,Assumptions!$J$4:$J$8,$C1053))*Assumptions!$S$10*(1-MIN(1,MAX(N($H1053),N($H1054))))</f>
        <v/>
      </c>
      <c r="L1053" s="32" t="n"/>
      <c r="M1053" s="34">
        <f>IF(AND(IF($I1054&lt;&gt;"",$I1054,$I1053)="override",$L1053&lt;&gt;""),$L1053,SUMIFS(Assumptions!$P$4:$P$103,Assumptions!$M$4:$M$103,$C1053,Assumptions!$N$4:$N$103,$E1053,Assumptions!$O$4:$O$103,"LVN"))</f>
        <v/>
      </c>
      <c r="N1053" s="32" t="n"/>
      <c r="O1053" s="34">
        <f>IF(AND(IF($I1054&lt;&gt;"",$I1054,$I1053)="override",$N1053&lt;&gt;""),$N1053,SUMIFS(Assumptions!$P$4:$P$103,Assumptions!$M$4:$M$103,$C1053,Assumptions!$N$4:$N$103,$E1053,Assumptions!$O$4:$O$103,"HVN"))</f>
        <v/>
      </c>
      <c r="P1053" s="34">
        <f>(M1053+O1053)*Assumptions!$S$11</f>
        <v/>
      </c>
      <c r="Q1053" s="35">
        <f>$F1053*$K1053*$P1053</f>
        <v/>
      </c>
    </row>
    <row r="1054">
      <c r="A1054" s="24" t="inlineStr">
        <is>
          <t>TOTAL</t>
        </is>
      </c>
      <c r="B1054" s="36" t="inlineStr">
        <is>
          <t>BP_PRUDHOE_BAY</t>
        </is>
      </c>
      <c r="C1054" s="36" t="n">
        <v>5</v>
      </c>
      <c r="D1054" s="36" t="inlineStr">
        <is>
          <t>NET NAPHTHA</t>
        </is>
      </c>
      <c r="H1054" s="31" t="n"/>
      <c r="I1054" s="17" t="n"/>
      <c r="Q1054" s="37">
        <f>SUM(Q1053:Q1053)</f>
        <v/>
      </c>
    </row>
    <row r="1056" ht="20" customHeight="1">
      <c r="A1056" s="8">
        <f>"  ConocoPhillips Anchorage  [CONOCOPHILLIPS_ANCHORAGE]   —   Phillips Petroleum   —   PADD 5   —   crude "&amp;TEXT(SUMIFS(Data!$G$3:$G$125,Data!$A$3:$A$125,"CONOCOPHILLIPS_ANCHORAGE"),"#,##0")&amp;" kbd"</f>
        <v/>
      </c>
      <c r="B1056" s="9" t="n"/>
      <c r="C1056" s="9" t="n"/>
      <c r="D1056" s="9" t="n"/>
      <c r="E1056" s="9" t="n"/>
      <c r="F1056" s="9" t="n"/>
      <c r="G1056" s="9" t="n"/>
      <c r="H1056" s="9" t="n"/>
      <c r="I1056" s="9" t="n"/>
      <c r="J1056" s="9" t="n"/>
      <c r="K1056" s="9" t="n"/>
      <c r="L1056" s="9" t="n"/>
      <c r="M1056" s="9" t="n"/>
      <c r="N1056" s="9" t="n"/>
      <c r="O1056" s="9" t="n"/>
      <c r="P1056" s="9" t="n"/>
      <c r="Q1056" s="9" t="n"/>
    </row>
    <row r="1057">
      <c r="A1057" s="11" t="inlineStr">
        <is>
          <t>UNIT</t>
        </is>
      </c>
      <c r="B1057" s="28" t="inlineStr">
        <is>
          <t>CONOCOPHILLIPS_ANCHORAGE</t>
        </is>
      </c>
      <c r="C1057" s="28" t="n">
        <v>5</v>
      </c>
      <c r="D1057" s="28" t="inlineStr">
        <is>
          <t>CDU</t>
        </is>
      </c>
      <c r="E1057" s="28" t="inlineStr">
        <is>
          <t>CDU</t>
        </is>
      </c>
      <c r="F1057" s="29" t="n">
        <v>16</v>
      </c>
      <c r="G1057" s="30">
        <f>IFERROR(IF(INDEX(Effective!$E$3:$R$125,MATCH($B1057,Effective!$A$3:$A$125,0),MATCH($D1057,Effective!$E$2:$R$2,0))=0,"",INDEX(Effective!$E$3:$R$125,MATCH($B1057,Effective!$A$3:$A$125,0),MATCH($D1057,Effective!$E$2:$R$2,0))),"")</f>
        <v/>
      </c>
      <c r="H1057" s="31" t="n"/>
      <c r="I1057" s="17" t="inlineStr">
        <is>
          <t>override</t>
        </is>
      </c>
      <c r="J1057" s="32" t="n"/>
      <c r="K1057" s="33">
        <f>IF(AND(IF($I1058&lt;&gt;"",$I1058,$I1057)="override",$J1057&lt;&gt;""),$J1057,SUMIFS(Assumptions!$K$4:$K$8,Assumptions!$J$4:$J$8,$C1057))*Assumptions!$S$10*(1-MIN(1,MAX(N($H1057),N($H1058))))</f>
        <v/>
      </c>
      <c r="L1057" s="32" t="n"/>
      <c r="M1057" s="34">
        <f>IF(AND(IF($I1058&lt;&gt;"",$I1058,$I1057)="override",$L1057&lt;&gt;""),$L1057,SUMIFS(Assumptions!$P$4:$P$103,Assumptions!$M$4:$M$103,$C1057,Assumptions!$N$4:$N$103,$E1057,Assumptions!$O$4:$O$103,"LVN"))</f>
        <v/>
      </c>
      <c r="N1057" s="32" t="n"/>
      <c r="O1057" s="34">
        <f>IF(AND(IF($I1058&lt;&gt;"",$I1058,$I1057)="override",$N1057&lt;&gt;""),$N1057,SUMIFS(Assumptions!$P$4:$P$103,Assumptions!$M$4:$M$103,$C1057,Assumptions!$N$4:$N$103,$E1057,Assumptions!$O$4:$O$103,"HVN"))</f>
        <v/>
      </c>
      <c r="P1057" s="34">
        <f>(M1057+O1057)*Assumptions!$S$11</f>
        <v/>
      </c>
      <c r="Q1057" s="35">
        <f>$F1057*$K1057*$P1057</f>
        <v/>
      </c>
    </row>
    <row r="1058">
      <c r="A1058" s="24" t="inlineStr">
        <is>
          <t>TOTAL</t>
        </is>
      </c>
      <c r="B1058" s="36" t="inlineStr">
        <is>
          <t>CONOCOPHILLIPS_ANCHORAGE</t>
        </is>
      </c>
      <c r="C1058" s="36" t="n">
        <v>5</v>
      </c>
      <c r="D1058" s="36" t="inlineStr">
        <is>
          <t>NET NAPHTHA</t>
        </is>
      </c>
      <c r="H1058" s="31" t="n"/>
      <c r="I1058" s="17" t="n"/>
      <c r="Q1058" s="37">
        <f>SUM(Q1057:Q1057)</f>
        <v/>
      </c>
    </row>
    <row r="1060" ht="20" customHeight="1">
      <c r="A1060" s="8">
        <f>"  Lunday-Thagard Oil Co. South Gate  [LUNDAYTHAGARD_SOUTH_GATE]   —   Lunday-Thagard Oil Co.   —   PADD 5   —   crude "&amp;TEXT(SUMIFS(Data!$G$3:$G$125,Data!$A$3:$A$125,"LUNDAYTHAGARD_SOUTH_GATE"),"#,##0")&amp;" kbd"</f>
        <v/>
      </c>
      <c r="B1060" s="9" t="n"/>
      <c r="C1060" s="9" t="n"/>
      <c r="D1060" s="9" t="n"/>
      <c r="E1060" s="9" t="n"/>
      <c r="F1060" s="9" t="n"/>
      <c r="G1060" s="9" t="n"/>
      <c r="H1060" s="9" t="n"/>
      <c r="I1060" s="9" t="n"/>
      <c r="J1060" s="9" t="n"/>
      <c r="K1060" s="9" t="n"/>
      <c r="L1060" s="9" t="n"/>
      <c r="M1060" s="9" t="n"/>
      <c r="N1060" s="9" t="n"/>
      <c r="O1060" s="9" t="n"/>
      <c r="P1060" s="9" t="n"/>
      <c r="Q1060" s="9" t="n"/>
    </row>
    <row r="1061">
      <c r="A1061" s="11" t="inlineStr">
        <is>
          <t>UNIT</t>
        </is>
      </c>
      <c r="B1061" s="28" t="inlineStr">
        <is>
          <t>LUNDAYTHAGARD_SOUTH_GATE</t>
        </is>
      </c>
      <c r="C1061" s="28" t="n">
        <v>5</v>
      </c>
      <c r="D1061" s="28" t="inlineStr">
        <is>
          <t>CDU</t>
        </is>
      </c>
      <c r="E1061" s="28" t="inlineStr">
        <is>
          <t>CDU</t>
        </is>
      </c>
      <c r="F1061" s="29" t="n">
        <v>10</v>
      </c>
      <c r="G1061" s="30">
        <f>IFERROR(IF(INDEX(Effective!$E$3:$R$125,MATCH($B1061,Effective!$A$3:$A$125,0),MATCH($D1061,Effective!$E$2:$R$2,0))=0,"",INDEX(Effective!$E$3:$R$125,MATCH($B1061,Effective!$A$3:$A$125,0),MATCH($D1061,Effective!$E$2:$R$2,0))),"")</f>
        <v/>
      </c>
      <c r="H1061" s="31" t="n"/>
      <c r="I1061" s="17" t="inlineStr">
        <is>
          <t>override</t>
        </is>
      </c>
      <c r="J1061" s="32" t="n"/>
      <c r="K1061" s="33">
        <f>IF(AND(IF($I1063&lt;&gt;"",$I1063,$I1061)="override",$J1061&lt;&gt;""),$J1061,SUMIFS(Assumptions!$K$4:$K$8,Assumptions!$J$4:$J$8,$C1061))*Assumptions!$S$10*(1-MIN(1,MAX(N($H1061),N($H1063))))</f>
        <v/>
      </c>
      <c r="L1061" s="32" t="n"/>
      <c r="M1061" s="34">
        <f>IF(AND(IF($I1063&lt;&gt;"",$I1063,$I1061)="override",$L1061&lt;&gt;""),$L1061,SUMIFS(Assumptions!$P$4:$P$103,Assumptions!$M$4:$M$103,$C1061,Assumptions!$N$4:$N$103,$E1061,Assumptions!$O$4:$O$103,"LVN"))</f>
        <v/>
      </c>
      <c r="N1061" s="32" t="n"/>
      <c r="O1061" s="34">
        <f>IF(AND(IF($I1063&lt;&gt;"",$I1063,$I1061)="override",$N1061&lt;&gt;""),$N1061,SUMIFS(Assumptions!$P$4:$P$103,Assumptions!$M$4:$M$103,$C1061,Assumptions!$N$4:$N$103,$E1061,Assumptions!$O$4:$O$103,"HVN"))</f>
        <v/>
      </c>
      <c r="P1061" s="34">
        <f>(M1061+O1061)*Assumptions!$S$11</f>
        <v/>
      </c>
      <c r="Q1061" s="35">
        <f>$F1061*$K1061*$P1061</f>
        <v/>
      </c>
    </row>
    <row r="1062">
      <c r="A1062" s="11" t="inlineStr">
        <is>
          <t>UNIT</t>
        </is>
      </c>
      <c r="B1062" s="28" t="inlineStr">
        <is>
          <t>LUNDAYTHAGARD_SOUTH_GATE</t>
        </is>
      </c>
      <c r="C1062" s="28" t="n">
        <v>5</v>
      </c>
      <c r="D1062" s="28" t="inlineStr">
        <is>
          <t>VDU</t>
        </is>
      </c>
      <c r="E1062" s="28" t="inlineStr">
        <is>
          <t>VDU</t>
        </is>
      </c>
      <c r="F1062" s="29" t="n">
        <v>5</v>
      </c>
      <c r="G1062" s="30">
        <f>IFERROR(IF(INDEX(Effective!$E$3:$R$125,MATCH($B1062,Effective!$A$3:$A$125,0),MATCH($D1062,Effective!$E$2:$R$2,0))=0,"",INDEX(Effective!$E$3:$R$125,MATCH($B1062,Effective!$A$3:$A$125,0),MATCH($D1062,Effective!$E$2:$R$2,0))),"")</f>
        <v/>
      </c>
      <c r="H1062" s="31" t="n"/>
      <c r="I1062" s="17" t="inlineStr">
        <is>
          <t>override</t>
        </is>
      </c>
      <c r="J1062" s="32" t="n"/>
      <c r="K1062" s="33">
        <f>IF(AND(IF($I1063&lt;&gt;"",$I1063,$I1062)="override",$J1062&lt;&gt;""),$J1062,SUMIFS(Assumptions!$K$4:$K$8,Assumptions!$J$4:$J$8,$C1062))*Assumptions!$S$10*(1-MIN(1,MAX(N($H1062),N($H1063))))</f>
        <v/>
      </c>
      <c r="L1062" s="32" t="n"/>
      <c r="M1062" s="34">
        <f>IF(AND(IF($I1063&lt;&gt;"",$I1063,$I1062)="override",$L1062&lt;&gt;""),$L1062,SUMIFS(Assumptions!$P$4:$P$103,Assumptions!$M$4:$M$103,$C1062,Assumptions!$N$4:$N$103,$E1062,Assumptions!$O$4:$O$103,"LVN"))</f>
        <v/>
      </c>
      <c r="N1062" s="32" t="n"/>
      <c r="O1062" s="34">
        <f>IF(AND(IF($I1063&lt;&gt;"",$I1063,$I1062)="override",$N1062&lt;&gt;""),$N1062,SUMIFS(Assumptions!$P$4:$P$103,Assumptions!$M$4:$M$103,$C1062,Assumptions!$N$4:$N$103,$E1062,Assumptions!$O$4:$O$103,"HVN"))</f>
        <v/>
      </c>
      <c r="P1062" s="34">
        <f>(M1062+O1062)*Assumptions!$S$11</f>
        <v/>
      </c>
      <c r="Q1062" s="35">
        <f>$F1062*$K1062*$P1062</f>
        <v/>
      </c>
    </row>
    <row r="1063">
      <c r="A1063" s="24" t="inlineStr">
        <is>
          <t>TOTAL</t>
        </is>
      </c>
      <c r="B1063" s="36" t="inlineStr">
        <is>
          <t>LUNDAYTHAGARD_SOUTH_GATE</t>
        </is>
      </c>
      <c r="C1063" s="36" t="n">
        <v>5</v>
      </c>
      <c r="D1063" s="36" t="inlineStr">
        <is>
          <t>NET NAPHTHA</t>
        </is>
      </c>
      <c r="H1063" s="31" t="n"/>
      <c r="I1063" s="17" t="n"/>
      <c r="Q1063" s="37">
        <f>SUM(Q1061:Q1062)</f>
        <v/>
      </c>
    </row>
    <row r="1065" ht="20" customHeight="1">
      <c r="A1065" s="8">
        <f>"  Foreland Corp Tonopah  [FORELAND_TONOPAH]   —   Energy Income Fund   —   PADD 5   —   crude "&amp;TEXT(SUMIFS(Data!$G$3:$G$125,Data!$A$3:$A$125,"FORELAND_TONOPAH"),"#,##0")&amp;" kbd"</f>
        <v/>
      </c>
      <c r="B1065" s="9" t="n"/>
      <c r="C1065" s="9" t="n"/>
      <c r="D1065" s="9" t="n"/>
      <c r="E1065" s="9" t="n"/>
      <c r="F1065" s="9" t="n"/>
      <c r="G1065" s="9" t="n"/>
      <c r="H1065" s="9" t="n"/>
      <c r="I1065" s="9" t="n"/>
      <c r="J1065" s="9" t="n"/>
      <c r="K1065" s="9" t="n"/>
      <c r="L1065" s="9" t="n"/>
      <c r="M1065" s="9" t="n"/>
      <c r="N1065" s="9" t="n"/>
      <c r="O1065" s="9" t="n"/>
      <c r="P1065" s="9" t="n"/>
      <c r="Q1065" s="9" t="n"/>
    </row>
    <row r="1066">
      <c r="A1066" s="11" t="inlineStr">
        <is>
          <t>UNIT</t>
        </is>
      </c>
      <c r="B1066" s="28" t="inlineStr">
        <is>
          <t>FORELAND_TONOPAH</t>
        </is>
      </c>
      <c r="C1066" s="28" t="n">
        <v>5</v>
      </c>
      <c r="D1066" s="28" t="inlineStr">
        <is>
          <t>CDU</t>
        </is>
      </c>
      <c r="E1066" s="28" t="inlineStr">
        <is>
          <t>CDU</t>
        </is>
      </c>
      <c r="F1066" s="29" t="n">
        <v>5</v>
      </c>
      <c r="G1066" s="30">
        <f>IFERROR(IF(INDEX(Effective!$E$3:$R$125,MATCH($B1066,Effective!$A$3:$A$125,0),MATCH($D1066,Effective!$E$2:$R$2,0))=0,"",INDEX(Effective!$E$3:$R$125,MATCH($B1066,Effective!$A$3:$A$125,0),MATCH($D1066,Effective!$E$2:$R$2,0))),"")</f>
        <v/>
      </c>
      <c r="H1066" s="31" t="n"/>
      <c r="I1066" s="17" t="inlineStr">
        <is>
          <t>override</t>
        </is>
      </c>
      <c r="J1066" s="32" t="n"/>
      <c r="K1066" s="33">
        <f>IF(AND(IF($I1068&lt;&gt;"",$I1068,$I1066)="override",$J1066&lt;&gt;""),$J1066,SUMIFS(Assumptions!$K$4:$K$8,Assumptions!$J$4:$J$8,$C1066))*Assumptions!$S$10*(1-MIN(1,MAX(N($H1066),N($H1068))))</f>
        <v/>
      </c>
      <c r="L1066" s="32" t="n"/>
      <c r="M1066" s="34">
        <f>IF(AND(IF($I1068&lt;&gt;"",$I1068,$I1066)="override",$L1066&lt;&gt;""),$L1066,SUMIFS(Assumptions!$P$4:$P$103,Assumptions!$M$4:$M$103,$C1066,Assumptions!$N$4:$N$103,$E1066,Assumptions!$O$4:$O$103,"LVN"))</f>
        <v/>
      </c>
      <c r="N1066" s="32" t="n"/>
      <c r="O1066" s="34">
        <f>IF(AND(IF($I1068&lt;&gt;"",$I1068,$I1066)="override",$N1066&lt;&gt;""),$N1066,SUMIFS(Assumptions!$P$4:$P$103,Assumptions!$M$4:$M$103,$C1066,Assumptions!$N$4:$N$103,$E1066,Assumptions!$O$4:$O$103,"HVN"))</f>
        <v/>
      </c>
      <c r="P1066" s="34">
        <f>(M1066+O1066)*Assumptions!$S$11</f>
        <v/>
      </c>
      <c r="Q1066" s="35">
        <f>$F1066*$K1066*$P1066</f>
        <v/>
      </c>
    </row>
    <row r="1067">
      <c r="A1067" s="11" t="inlineStr">
        <is>
          <t>UNIT</t>
        </is>
      </c>
      <c r="B1067" s="28" t="inlineStr">
        <is>
          <t>FORELAND_TONOPAH</t>
        </is>
      </c>
      <c r="C1067" s="28" t="n">
        <v>5</v>
      </c>
      <c r="D1067" s="28" t="inlineStr">
        <is>
          <t>VDU</t>
        </is>
      </c>
      <c r="E1067" s="28" t="inlineStr">
        <is>
          <t>VDU</t>
        </is>
      </c>
      <c r="F1067" s="29" t="n">
        <v>2.75</v>
      </c>
      <c r="G1067" s="30">
        <f>IFERROR(IF(INDEX(Effective!$E$3:$R$125,MATCH($B1067,Effective!$A$3:$A$125,0),MATCH($D1067,Effective!$E$2:$R$2,0))=0,"",INDEX(Effective!$E$3:$R$125,MATCH($B1067,Effective!$A$3:$A$125,0),MATCH($D1067,Effective!$E$2:$R$2,0))),"")</f>
        <v/>
      </c>
      <c r="H1067" s="31" t="n"/>
      <c r="I1067" s="17" t="inlineStr">
        <is>
          <t>override</t>
        </is>
      </c>
      <c r="J1067" s="32" t="n"/>
      <c r="K1067" s="33">
        <f>IF(AND(IF($I1068&lt;&gt;"",$I1068,$I1067)="override",$J1067&lt;&gt;""),$J1067,SUMIFS(Assumptions!$K$4:$K$8,Assumptions!$J$4:$J$8,$C1067))*Assumptions!$S$10*(1-MIN(1,MAX(N($H1067),N($H1068))))</f>
        <v/>
      </c>
      <c r="L1067" s="32" t="n"/>
      <c r="M1067" s="34">
        <f>IF(AND(IF($I1068&lt;&gt;"",$I1068,$I1067)="override",$L1067&lt;&gt;""),$L1067,SUMIFS(Assumptions!$P$4:$P$103,Assumptions!$M$4:$M$103,$C1067,Assumptions!$N$4:$N$103,$E1067,Assumptions!$O$4:$O$103,"LVN"))</f>
        <v/>
      </c>
      <c r="N1067" s="32" t="n"/>
      <c r="O1067" s="34">
        <f>IF(AND(IF($I1068&lt;&gt;"",$I1068,$I1067)="override",$N1067&lt;&gt;""),$N1067,SUMIFS(Assumptions!$P$4:$P$103,Assumptions!$M$4:$M$103,$C1067,Assumptions!$N$4:$N$103,$E1067,Assumptions!$O$4:$O$103,"HVN"))</f>
        <v/>
      </c>
      <c r="P1067" s="34">
        <f>(M1067+O1067)*Assumptions!$S$11</f>
        <v/>
      </c>
      <c r="Q1067" s="35">
        <f>$F1067*$K1067*$P1067</f>
        <v/>
      </c>
    </row>
    <row r="1068">
      <c r="A1068" s="24" t="inlineStr">
        <is>
          <t>TOTAL</t>
        </is>
      </c>
      <c r="B1068" s="36" t="inlineStr">
        <is>
          <t>FORELAND_TONOPAH</t>
        </is>
      </c>
      <c r="C1068" s="36" t="n">
        <v>5</v>
      </c>
      <c r="D1068" s="36" t="inlineStr">
        <is>
          <t>NET NAPHTHA</t>
        </is>
      </c>
      <c r="H1068" s="31" t="n"/>
      <c r="I1068" s="17" t="n"/>
      <c r="Q1068" s="37">
        <f>SUM(Q1066:Q1067)</f>
        <v/>
      </c>
    </row>
    <row r="1070" ht="20" customHeight="1">
      <c r="A1070" s="8">
        <f>"  Phillips 66 Co. Los Angeles  [PHILLIPS_LOS_ANGELES]   —   Phillips 66 Co.   —   PADD 5   —   crude "&amp;TEXT(SUMIFS(Data!$G$3:$G$125,Data!$A$3:$A$125,"PHILLIPS_LOS_ANGELES"),"#,##0")&amp;" kbd"</f>
        <v/>
      </c>
      <c r="B1070" s="9" t="n"/>
      <c r="C1070" s="9" t="n"/>
      <c r="D1070" s="9" t="n"/>
      <c r="E1070" s="9" t="n"/>
      <c r="F1070" s="9" t="n"/>
      <c r="G1070" s="9" t="n"/>
      <c r="H1070" s="9" t="n"/>
      <c r="I1070" s="9" t="n"/>
      <c r="J1070" s="9" t="n"/>
      <c r="K1070" s="9" t="n"/>
      <c r="L1070" s="9" t="n"/>
      <c r="M1070" s="9" t="n"/>
      <c r="N1070" s="9" t="n"/>
      <c r="O1070" s="9" t="n"/>
      <c r="P1070" s="9" t="n"/>
      <c r="Q1070" s="9" t="n"/>
    </row>
    <row r="1071">
      <c r="A1071" s="11" t="inlineStr">
        <is>
          <t>UNIT</t>
        </is>
      </c>
      <c r="B1071" s="28" t="inlineStr">
        <is>
          <t>PHILLIPS_LOS_ANGELES</t>
        </is>
      </c>
      <c r="C1071" s="28" t="n">
        <v>5</v>
      </c>
      <c r="D1071" s="28" t="inlineStr">
        <is>
          <t>CRUDE-EST</t>
        </is>
      </c>
      <c r="E1071" s="28" t="inlineStr">
        <is>
          <t>est. yield</t>
        </is>
      </c>
      <c r="F1071" s="30">
        <f>SUMIFS(Data!$G$3:$G$125,Data!$A$3:$A$125,$B1071)</f>
        <v/>
      </c>
      <c r="G1071" s="30">
        <f>IFERROR(IF(INDEX(Effective!$E$3:$R$125,MATCH($B1071,Effective!$A$3:$A$125,0),MATCH($D1071,Effective!$E$2:$R$2,0))=0,"",INDEX(Effective!$E$3:$R$125,MATCH($B1071,Effective!$A$3:$A$125,0),MATCH($D1071,Effective!$E$2:$R$2,0))),"")</f>
        <v/>
      </c>
      <c r="H1071" s="31" t="n"/>
      <c r="I1071" s="17" t="inlineStr">
        <is>
          <t>override</t>
        </is>
      </c>
      <c r="J1071" s="32" t="n"/>
      <c r="K1071" s="33">
        <f>IF(AND(IF($I1072&lt;&gt;"",$I1072,$I1071)="override",$J1071&lt;&gt;""),$J1071,SUMIFS(Assumptions!$K$4:$K$8,Assumptions!$J$4:$J$8,$C1071))*Assumptions!$S$10*(1-MIN(1,MAX(N($H1071),N($H1072))))</f>
        <v/>
      </c>
      <c r="L1071" s="32" t="n"/>
      <c r="M1071" s="34">
        <f>IF(AND(IF($I1072&lt;&gt;"",$I1072,$I1071)="override",$L1071&lt;&gt;""),$L1071,SUMIFS(Data!$N$3:$N$125,Data!$A$3:$A$125,$B1071)*Assumptions!$S$4)</f>
        <v/>
      </c>
      <c r="N1071" s="32" t="n"/>
      <c r="O1071" s="34">
        <f>IF(AND(IF($I1072&lt;&gt;"",$I1072,$I1071)="override",$N1071&lt;&gt;""),$N1071,SUMIFS(Data!$N$3:$N$125,Data!$A$3:$A$125,$B1071)*Assumptions!$S$5)</f>
        <v/>
      </c>
      <c r="P1071" s="34">
        <f>(M1071+O1071)*Assumptions!$S$11</f>
        <v/>
      </c>
      <c r="Q1071" s="35">
        <f>$F1071*$K1071*$P1071</f>
        <v/>
      </c>
    </row>
    <row r="1072">
      <c r="A1072" s="24" t="inlineStr">
        <is>
          <t>TOTAL</t>
        </is>
      </c>
      <c r="B1072" s="36" t="inlineStr">
        <is>
          <t>PHILLIPS_LOS_ANGELES</t>
        </is>
      </c>
      <c r="C1072" s="36" t="n">
        <v>5</v>
      </c>
      <c r="D1072" s="36" t="inlineStr">
        <is>
          <t>NET NAPHTHA</t>
        </is>
      </c>
      <c r="H1072" s="31" t="n"/>
      <c r="I1072" s="17" t="n"/>
      <c r="Q1072" s="37">
        <f>SUM(Q1071:Q1071)</f>
        <v/>
      </c>
    </row>
    <row r="1074" ht="20" customHeight="1">
      <c r="A1074" s="8">
        <f>"  Valero Benicia  [VALERO_BENICIA]   —   Valero   —   PADD 5   —   crude "&amp;TEXT(SUMIFS(Data!$G$3:$G$125,Data!$A$3:$A$125,"VALERO_BENICIA"),"#,##0")&amp;" kbd"</f>
        <v/>
      </c>
      <c r="B1074" s="9" t="n"/>
      <c r="C1074" s="9" t="n"/>
      <c r="D1074" s="9" t="n"/>
      <c r="E1074" s="9" t="n"/>
      <c r="F1074" s="9" t="n"/>
      <c r="G1074" s="9" t="n"/>
      <c r="H1074" s="9" t="n"/>
      <c r="I1074" s="9" t="n"/>
      <c r="J1074" s="9" t="n"/>
      <c r="K1074" s="9" t="n"/>
      <c r="L1074" s="9" t="n"/>
      <c r="M1074" s="9" t="n"/>
      <c r="N1074" s="9" t="n"/>
      <c r="O1074" s="9" t="n"/>
      <c r="P1074" s="9" t="n"/>
      <c r="Q1074" s="9" t="n"/>
    </row>
    <row r="1075">
      <c r="A1075" s="11" t="inlineStr">
        <is>
          <t>UNIT</t>
        </is>
      </c>
      <c r="B1075" s="28" t="inlineStr">
        <is>
          <t>VALERO_BENICIA</t>
        </is>
      </c>
      <c r="C1075" s="28" t="n">
        <v>5</v>
      </c>
      <c r="D1075" s="28" t="inlineStr">
        <is>
          <t>CDU</t>
        </is>
      </c>
      <c r="E1075" s="28" t="inlineStr">
        <is>
          <t>CDU</t>
        </is>
      </c>
      <c r="F1075" s="29" t="n">
        <v>149</v>
      </c>
      <c r="G1075" s="30">
        <f>IFERROR(IF(INDEX(Effective!$E$3:$R$125,MATCH($B1075,Effective!$A$3:$A$125,0),MATCH($D1075,Effective!$E$2:$R$2,0))=0,"",INDEX(Effective!$E$3:$R$125,MATCH($B1075,Effective!$A$3:$A$125,0),MATCH($D1075,Effective!$E$2:$R$2,0))),"")</f>
        <v/>
      </c>
      <c r="H1075" s="31" t="n"/>
      <c r="I1075" s="17" t="inlineStr">
        <is>
          <t>override</t>
        </is>
      </c>
      <c r="J1075" s="32" t="n">
        <v>0.62</v>
      </c>
      <c r="K1075" s="33">
        <f>IF(AND(IF($I1083&lt;&gt;"",$I1083,$I1075)="override",$J1075&lt;&gt;""),$J1075,SUMIFS(Assumptions!$K$4:$K$8,Assumptions!$J$4:$J$8,$C1075))*Assumptions!$S$10*(1-MIN(1,MAX(N($H1075),N($H1083))))</f>
        <v/>
      </c>
      <c r="L1075" s="32" t="n"/>
      <c r="M1075" s="34">
        <f>IF(AND(IF($I1083&lt;&gt;"",$I1083,$I1075)="override",$L1075&lt;&gt;""),$L1075,SUMIFS(Assumptions!$P$4:$P$103,Assumptions!$M$4:$M$103,$C1075,Assumptions!$N$4:$N$103,$E1075,Assumptions!$O$4:$O$103,"LVN"))</f>
        <v/>
      </c>
      <c r="N1075" s="32" t="n"/>
      <c r="O1075" s="34">
        <f>IF(AND(IF($I1083&lt;&gt;"",$I1083,$I1075)="override",$N1075&lt;&gt;""),$N1075,SUMIFS(Assumptions!$P$4:$P$103,Assumptions!$M$4:$M$103,$C1075,Assumptions!$N$4:$N$103,$E1075,Assumptions!$O$4:$O$103,"HVN"))</f>
        <v/>
      </c>
      <c r="P1075" s="34">
        <f>(M1075+O1075)*Assumptions!$S$11</f>
        <v/>
      </c>
      <c r="Q1075" s="35">
        <f>$F1075*$K1075*$P1075</f>
        <v/>
      </c>
    </row>
    <row r="1076">
      <c r="A1076" s="11" t="inlineStr">
        <is>
          <t>UNIT</t>
        </is>
      </c>
      <c r="B1076" s="28" t="inlineStr">
        <is>
          <t>VALERO_BENICIA</t>
        </is>
      </c>
      <c r="C1076" s="28" t="n">
        <v>5</v>
      </c>
      <c r="D1076" s="28" t="inlineStr">
        <is>
          <t>VDU</t>
        </is>
      </c>
      <c r="E1076" s="28" t="inlineStr">
        <is>
          <t>VDU</t>
        </is>
      </c>
      <c r="F1076" s="29" t="n">
        <v>85.5</v>
      </c>
      <c r="G1076" s="30">
        <f>IFERROR(IF(INDEX(Effective!$E$3:$R$125,MATCH($B1076,Effective!$A$3:$A$125,0),MATCH($D1076,Effective!$E$2:$R$2,0))=0,"",INDEX(Effective!$E$3:$R$125,MATCH($B1076,Effective!$A$3:$A$125,0),MATCH($D1076,Effective!$E$2:$R$2,0))),"")</f>
        <v/>
      </c>
      <c r="H1076" s="31" t="n"/>
      <c r="I1076" s="17" t="inlineStr">
        <is>
          <t>override</t>
        </is>
      </c>
      <c r="J1076" s="32" t="n">
        <v>0.515</v>
      </c>
      <c r="K1076" s="33">
        <f>IF(AND(IF($I1083&lt;&gt;"",$I1083,$I1076)="override",$J1076&lt;&gt;""),$J1076,SUMIFS(Assumptions!$K$4:$K$8,Assumptions!$J$4:$J$8,$C1076))*Assumptions!$S$10*(1-MIN(1,MAX(N($H1076),N($H1083))))</f>
        <v/>
      </c>
      <c r="L1076" s="32" t="n"/>
      <c r="M1076" s="34">
        <f>IF(AND(IF($I1083&lt;&gt;"",$I1083,$I1076)="override",$L1076&lt;&gt;""),$L1076,SUMIFS(Assumptions!$P$4:$P$103,Assumptions!$M$4:$M$103,$C1076,Assumptions!$N$4:$N$103,$E1076,Assumptions!$O$4:$O$103,"LVN"))</f>
        <v/>
      </c>
      <c r="N1076" s="32" t="n"/>
      <c r="O1076" s="34">
        <f>IF(AND(IF($I1083&lt;&gt;"",$I1083,$I1076)="override",$N1076&lt;&gt;""),$N1076,SUMIFS(Assumptions!$P$4:$P$103,Assumptions!$M$4:$M$103,$C1076,Assumptions!$N$4:$N$103,$E1076,Assumptions!$O$4:$O$103,"HVN"))</f>
        <v/>
      </c>
      <c r="P1076" s="34">
        <f>(M1076+O1076)*Assumptions!$S$11</f>
        <v/>
      </c>
      <c r="Q1076" s="35">
        <f>$F1076*$K1076*$P1076</f>
        <v/>
      </c>
    </row>
    <row r="1077">
      <c r="A1077" s="11" t="inlineStr">
        <is>
          <t>UNIT</t>
        </is>
      </c>
      <c r="B1077" s="28" t="inlineStr">
        <is>
          <t>VALERO_BENICIA</t>
        </is>
      </c>
      <c r="C1077" s="28" t="n">
        <v>5</v>
      </c>
      <c r="D1077" s="28" t="inlineStr">
        <is>
          <t>FCC</t>
        </is>
      </c>
      <c r="E1077" s="28" t="inlineStr">
        <is>
          <t>FCC</t>
        </is>
      </c>
      <c r="F1077" s="29" t="n">
        <v>75.3</v>
      </c>
      <c r="G1077" s="30">
        <f>IFERROR(IF(INDEX(Effective!$E$3:$R$125,MATCH($B1077,Effective!$A$3:$A$125,0),MATCH($D1077,Effective!$E$2:$R$2,0))=0,"",INDEX(Effective!$E$3:$R$125,MATCH($B1077,Effective!$A$3:$A$125,0),MATCH($D1077,Effective!$E$2:$R$2,0))),"")</f>
        <v/>
      </c>
      <c r="H1077" s="31" t="n"/>
      <c r="I1077" s="17" t="inlineStr">
        <is>
          <t>override</t>
        </is>
      </c>
      <c r="J1077" s="32" t="n">
        <v>0.6860000000000001</v>
      </c>
      <c r="K1077" s="33">
        <f>IF(AND(IF($I1083&lt;&gt;"",$I1083,$I1077)="override",$J1077&lt;&gt;""),$J1077,SUMIFS(Assumptions!$K$4:$K$8,Assumptions!$J$4:$J$8,$C1077))*Assumptions!$S$10*(1-MIN(1,MAX(N($H1077),N($H1083))))</f>
        <v/>
      </c>
      <c r="L1077" s="32" t="n"/>
      <c r="M1077" s="34">
        <f>IF(AND(IF($I1083&lt;&gt;"",$I1083,$I1077)="override",$L1077&lt;&gt;""),$L1077,SUMIFS(Assumptions!$P$4:$P$103,Assumptions!$M$4:$M$103,$C1077,Assumptions!$N$4:$N$103,$E1077,Assumptions!$O$4:$O$103,"LVN"))</f>
        <v/>
      </c>
      <c r="N1077" s="32" t="n"/>
      <c r="O1077" s="34">
        <f>IF(AND(IF($I1083&lt;&gt;"",$I1083,$I1077)="override",$N1077&lt;&gt;""),$N1077,SUMIFS(Assumptions!$P$4:$P$103,Assumptions!$M$4:$M$103,$C1077,Assumptions!$N$4:$N$103,$E1077,Assumptions!$O$4:$O$103,"HVN"))</f>
        <v/>
      </c>
      <c r="P1077" s="34">
        <f>(M1077+O1077)*Assumptions!$S$11</f>
        <v/>
      </c>
      <c r="Q1077" s="35">
        <f>$F1077*$K1077*$P1077</f>
        <v/>
      </c>
    </row>
    <row r="1078">
      <c r="A1078" s="11" t="inlineStr">
        <is>
          <t>UNIT</t>
        </is>
      </c>
      <c r="B1078" s="28" t="inlineStr">
        <is>
          <t>VALERO_BENICIA</t>
        </is>
      </c>
      <c r="C1078" s="28" t="n">
        <v>5</v>
      </c>
      <c r="D1078" s="28" t="inlineStr">
        <is>
          <t>DHCU</t>
        </is>
      </c>
      <c r="E1078" s="28" t="inlineStr">
        <is>
          <t>HYDROCRACKER</t>
        </is>
      </c>
      <c r="F1078" s="29" t="n">
        <v>34</v>
      </c>
      <c r="G1078" s="30">
        <f>IFERROR(IF(INDEX(Effective!$E$3:$R$125,MATCH($B1078,Effective!$A$3:$A$125,0),MATCH($D1078,Effective!$E$2:$R$2,0))=0,"",INDEX(Effective!$E$3:$R$125,MATCH($B1078,Effective!$A$3:$A$125,0),MATCH($D1078,Effective!$E$2:$R$2,0))),"")</f>
        <v/>
      </c>
      <c r="H1078" s="31" t="n"/>
      <c r="I1078" s="17" t="inlineStr">
        <is>
          <t>override</t>
        </is>
      </c>
      <c r="J1078" s="32" t="n">
        <v>0.311</v>
      </c>
      <c r="K1078" s="33">
        <f>IF(AND(IF($I1083&lt;&gt;"",$I1083,$I1078)="override",$J1078&lt;&gt;""),$J1078,SUMIFS(Assumptions!$K$4:$K$8,Assumptions!$J$4:$J$8,$C1078))*Assumptions!$S$10*(1-MIN(1,MAX(N($H1078),N($H1083))))</f>
        <v/>
      </c>
      <c r="L1078" s="32" t="n"/>
      <c r="M1078" s="34">
        <f>IF(AND(IF($I1083&lt;&gt;"",$I1083,$I1078)="override",$L1078&lt;&gt;""),$L1078,SUMIFS(Assumptions!$P$4:$P$103,Assumptions!$M$4:$M$103,$C1078,Assumptions!$N$4:$N$103,$E1078,Assumptions!$O$4:$O$103,"LVN"))</f>
        <v/>
      </c>
      <c r="N1078" s="32" t="n"/>
      <c r="O1078" s="34">
        <f>IF(AND(IF($I1083&lt;&gt;"",$I1083,$I1078)="override",$N1078&lt;&gt;""),$N1078,SUMIFS(Assumptions!$P$4:$P$103,Assumptions!$M$4:$M$103,$C1078,Assumptions!$N$4:$N$103,$E1078,Assumptions!$O$4:$O$103,"HVN"))</f>
        <v/>
      </c>
      <c r="P1078" s="34">
        <f>(M1078+O1078)*Assumptions!$S$11</f>
        <v/>
      </c>
      <c r="Q1078" s="35">
        <f>$F1078*$K1078*$P1078</f>
        <v/>
      </c>
    </row>
    <row r="1079">
      <c r="A1079" s="11" t="inlineStr">
        <is>
          <t>UNIT</t>
        </is>
      </c>
      <c r="B1079" s="28" t="inlineStr">
        <is>
          <t>VALERO_BENICIA</t>
        </is>
      </c>
      <c r="C1079" s="28" t="n">
        <v>5</v>
      </c>
      <c r="D1079" s="28" t="inlineStr">
        <is>
          <t>FCOKER</t>
        </is>
      </c>
      <c r="E1079" s="28" t="inlineStr">
        <is>
          <t>COKER</t>
        </is>
      </c>
      <c r="F1079" s="29" t="n">
        <v>29.5</v>
      </c>
      <c r="G1079" s="30">
        <f>IFERROR(IF(INDEX(Effective!$E$3:$R$125,MATCH($B1079,Effective!$A$3:$A$125,0),MATCH($D1079,Effective!$E$2:$R$2,0))=0,"",INDEX(Effective!$E$3:$R$125,MATCH($B1079,Effective!$A$3:$A$125,0),MATCH($D1079,Effective!$E$2:$R$2,0))),"")</f>
        <v/>
      </c>
      <c r="H1079" s="31" t="n"/>
      <c r="I1079" s="17" t="inlineStr">
        <is>
          <t>override</t>
        </is>
      </c>
      <c r="J1079" s="32" t="n">
        <v>0.274</v>
      </c>
      <c r="K1079" s="33">
        <f>IF(AND(IF($I1083&lt;&gt;"",$I1083,$I1079)="override",$J1079&lt;&gt;""),$J1079,SUMIFS(Assumptions!$K$4:$K$8,Assumptions!$J$4:$J$8,$C1079))*Assumptions!$S$10*(1-MIN(1,MAX(N($H1079),N($H1083))))</f>
        <v/>
      </c>
      <c r="L1079" s="32" t="n"/>
      <c r="M1079" s="34">
        <f>IF(AND(IF($I1083&lt;&gt;"",$I1083,$I1079)="override",$L1079&lt;&gt;""),$L1079,SUMIFS(Assumptions!$P$4:$P$103,Assumptions!$M$4:$M$103,$C1079,Assumptions!$N$4:$N$103,$E1079,Assumptions!$O$4:$O$103,"LVN"))</f>
        <v/>
      </c>
      <c r="N1079" s="32" t="n"/>
      <c r="O1079" s="34">
        <f>IF(AND(IF($I1083&lt;&gt;"",$I1083,$I1079)="override",$N1079&lt;&gt;""),$N1079,SUMIFS(Assumptions!$P$4:$P$103,Assumptions!$M$4:$M$103,$C1079,Assumptions!$N$4:$N$103,$E1079,Assumptions!$O$4:$O$103,"HVN"))</f>
        <v/>
      </c>
      <c r="P1079" s="34">
        <f>(M1079+O1079)*Assumptions!$S$11</f>
        <v/>
      </c>
      <c r="Q1079" s="35">
        <f>$F1079*$K1079*$P1079</f>
        <v/>
      </c>
    </row>
    <row r="1080">
      <c r="A1080" s="11" t="inlineStr">
        <is>
          <t>UNIT</t>
        </is>
      </c>
      <c r="B1080" s="28" t="inlineStr">
        <is>
          <t>VALERO_BENICIA</t>
        </is>
      </c>
      <c r="C1080" s="28" t="n">
        <v>5</v>
      </c>
      <c r="D1080" s="28" t="inlineStr">
        <is>
          <t>REF</t>
        </is>
      </c>
      <c r="E1080" s="28" t="inlineStr">
        <is>
          <t>REFORMER</t>
        </is>
      </c>
      <c r="F1080" s="29" t="n">
        <v>37.2</v>
      </c>
      <c r="G1080" s="30">
        <f>IFERROR(IF(INDEX(Effective!$E$3:$R$125,MATCH($B1080,Effective!$A$3:$A$125,0),MATCH($D1080,Effective!$E$2:$R$2,0))=0,"",INDEX(Effective!$E$3:$R$125,MATCH($B1080,Effective!$A$3:$A$125,0),MATCH($D1080,Effective!$E$2:$R$2,0))),"")</f>
        <v/>
      </c>
      <c r="H1080" s="31" t="n"/>
      <c r="I1080" s="17" t="inlineStr">
        <is>
          <t>override</t>
        </is>
      </c>
      <c r="J1080" s="32" t="n">
        <v>0.487</v>
      </c>
      <c r="K1080" s="33">
        <f>IF(AND(IF($I1083&lt;&gt;"",$I1083,$I1080)="override",$J1080&lt;&gt;""),$J1080,SUMIFS(Assumptions!$K$4:$K$8,Assumptions!$J$4:$J$8,$C1080))*Assumptions!$S$10*(1-MIN(1,MAX(N($H1080),N($H1083))))</f>
        <v/>
      </c>
      <c r="L1080" s="32" t="n"/>
      <c r="M1080" s="34">
        <f>IF(AND(IF($I1083&lt;&gt;"",$I1083,$I1080)="override",$L1080&lt;&gt;""),$L1080,SUMIFS(Assumptions!$P$4:$P$103,Assumptions!$M$4:$M$103,$C1080,Assumptions!$N$4:$N$103,$E1080,Assumptions!$O$4:$O$103,"LVN"))</f>
        <v/>
      </c>
      <c r="N1080" s="32" t="n"/>
      <c r="O1080" s="34">
        <f>IF(AND(IF($I1083&lt;&gt;"",$I1083,$I1080)="override",$N1080&lt;&gt;""),$N1080,SUMIFS(Assumptions!$P$4:$P$103,Assumptions!$M$4:$M$103,$C1080,Assumptions!$N$4:$N$103,$E1080,Assumptions!$O$4:$O$103,"HVN"))</f>
        <v/>
      </c>
      <c r="P1080" s="34">
        <f>(M1080+O1080)*Assumptions!$S$11</f>
        <v/>
      </c>
      <c r="Q1080" s="35">
        <f>$F1080*$K1080*$P1080</f>
        <v/>
      </c>
    </row>
    <row r="1081">
      <c r="A1081" s="11" t="inlineStr">
        <is>
          <t>UNIT</t>
        </is>
      </c>
      <c r="B1081" s="28" t="inlineStr">
        <is>
          <t>VALERO_BENICIA</t>
        </is>
      </c>
      <c r="C1081" s="28" t="n">
        <v>5</v>
      </c>
      <c r="D1081" s="28" t="inlineStr">
        <is>
          <t>ALKY</t>
        </is>
      </c>
      <c r="E1081" s="28" t="inlineStr">
        <is>
          <t>ALKY</t>
        </is>
      </c>
      <c r="F1081" s="29" t="n">
        <v>17.1</v>
      </c>
      <c r="G1081" s="30">
        <f>IFERROR(IF(INDEX(Effective!$E$3:$R$125,MATCH($B1081,Effective!$A$3:$A$125,0),MATCH($D1081,Effective!$E$2:$R$2,0))=0,"",INDEX(Effective!$E$3:$R$125,MATCH($B1081,Effective!$A$3:$A$125,0),MATCH($D1081,Effective!$E$2:$R$2,0))),"")</f>
        <v/>
      </c>
      <c r="H1081" s="31" t="n"/>
      <c r="I1081" s="17" t="inlineStr">
        <is>
          <t>override</t>
        </is>
      </c>
      <c r="J1081" s="32" t="n">
        <v>0.8169999999999999</v>
      </c>
      <c r="K1081" s="33">
        <f>IF(AND(IF($I1083&lt;&gt;"",$I1083,$I1081)="override",$J1081&lt;&gt;""),$J1081,SUMIFS(Assumptions!$K$4:$K$8,Assumptions!$J$4:$J$8,$C1081))*Assumptions!$S$10*(1-MIN(1,MAX(N($H1081),N($H1083))))</f>
        <v/>
      </c>
      <c r="L1081" s="32" t="n"/>
      <c r="M1081" s="34">
        <f>IF(AND(IF($I1083&lt;&gt;"",$I1083,$I1081)="override",$L1081&lt;&gt;""),$L1081,SUMIFS(Assumptions!$P$4:$P$103,Assumptions!$M$4:$M$103,$C1081,Assumptions!$N$4:$N$103,$E1081,Assumptions!$O$4:$O$103,"LVN"))</f>
        <v/>
      </c>
      <c r="N1081" s="32" t="n"/>
      <c r="O1081" s="34">
        <f>IF(AND(IF($I1083&lt;&gt;"",$I1083,$I1081)="override",$N1081&lt;&gt;""),$N1081,SUMIFS(Assumptions!$P$4:$P$103,Assumptions!$M$4:$M$103,$C1081,Assumptions!$N$4:$N$103,$E1081,Assumptions!$O$4:$O$103,"HVN"))</f>
        <v/>
      </c>
      <c r="P1081" s="34">
        <f>(M1081+O1081)*Assumptions!$S$11</f>
        <v/>
      </c>
      <c r="Q1081" s="35">
        <f>$F1081*$K1081*$P1081</f>
        <v/>
      </c>
    </row>
    <row r="1082">
      <c r="A1082" s="11" t="inlineStr">
        <is>
          <t>UNIT</t>
        </is>
      </c>
      <c r="B1082" s="28" t="inlineStr">
        <is>
          <t>VALERO_BENICIA</t>
        </is>
      </c>
      <c r="C1082" s="28" t="n">
        <v>5</v>
      </c>
      <c r="D1082" s="28" t="inlineStr">
        <is>
          <t>NHT</t>
        </is>
      </c>
      <c r="E1082" s="28" t="inlineStr">
        <is>
          <t>NHT</t>
        </is>
      </c>
      <c r="F1082" s="29" t="n">
        <v>30</v>
      </c>
      <c r="G1082" s="30">
        <f>IFERROR(IF(INDEX(Effective!$E$3:$R$125,MATCH($B1082,Effective!$A$3:$A$125,0),MATCH($D1082,Effective!$E$2:$R$2,0))=0,"",INDEX(Effective!$E$3:$R$125,MATCH($B1082,Effective!$A$3:$A$125,0),MATCH($D1082,Effective!$E$2:$R$2,0))),"")</f>
        <v/>
      </c>
      <c r="H1082" s="31" t="n"/>
      <c r="I1082" s="17" t="inlineStr">
        <is>
          <t>override</t>
        </is>
      </c>
      <c r="J1082" s="32" t="n">
        <v>0.695</v>
      </c>
      <c r="K1082" s="33">
        <f>IF(AND(IF($I1083&lt;&gt;"",$I1083,$I1082)="override",$J1082&lt;&gt;""),$J1082,SUMIFS(Assumptions!$K$4:$K$8,Assumptions!$J$4:$J$8,$C1082))*Assumptions!$S$10*(1-MIN(1,MAX(N($H1082),N($H1083))))</f>
        <v/>
      </c>
      <c r="L1082" s="32" t="n"/>
      <c r="M1082" s="34">
        <f>IF(AND(IF($I1083&lt;&gt;"",$I1083,$I1082)="override",$L1082&lt;&gt;""),$L1082,SUMIFS(Assumptions!$P$4:$P$103,Assumptions!$M$4:$M$103,$C1082,Assumptions!$N$4:$N$103,$E1082,Assumptions!$O$4:$O$103,"LVN"))</f>
        <v/>
      </c>
      <c r="N1082" s="32" t="n"/>
      <c r="O1082" s="34">
        <f>IF(AND(IF($I1083&lt;&gt;"",$I1083,$I1082)="override",$N1082&lt;&gt;""),$N1082,SUMIFS(Assumptions!$P$4:$P$103,Assumptions!$M$4:$M$103,$C1082,Assumptions!$N$4:$N$103,$E1082,Assumptions!$O$4:$O$103,"HVN"))</f>
        <v/>
      </c>
      <c r="P1082" s="34">
        <f>(M1082+O1082)*Assumptions!$S$11</f>
        <v/>
      </c>
      <c r="Q1082" s="35">
        <f>$F1082*$K1082*$P1082</f>
        <v/>
      </c>
    </row>
    <row r="1083">
      <c r="A1083" s="24" t="inlineStr">
        <is>
          <t>TOTAL</t>
        </is>
      </c>
      <c r="B1083" s="36" t="inlineStr">
        <is>
          <t>VALERO_BENICIA</t>
        </is>
      </c>
      <c r="C1083" s="36" t="n">
        <v>5</v>
      </c>
      <c r="D1083" s="36" t="inlineStr">
        <is>
          <t>NET NAPHTHA</t>
        </is>
      </c>
      <c r="H1083" s="31" t="n"/>
      <c r="I1083" s="17" t="n"/>
      <c r="Q1083" s="37">
        <f>SUM(Q1075:Q1082)</f>
        <v/>
      </c>
    </row>
  </sheetData>
  <mergeCells count="124">
    <mergeCell ref="A599:Q599"/>
    <mergeCell ref="A368:Q368"/>
    <mergeCell ref="A520:Q520"/>
    <mergeCell ref="A884:Q884"/>
    <mergeCell ref="A132:Q132"/>
    <mergeCell ref="A552:Q552"/>
    <mergeCell ref="A733:Q733"/>
    <mergeCell ref="A78:Q78"/>
    <mergeCell ref="A205:Q205"/>
    <mergeCell ref="A498:Q498"/>
    <mergeCell ref="A652:Q652"/>
    <mergeCell ref="A717:Q717"/>
    <mergeCell ref="A749:Q749"/>
    <mergeCell ref="A758:Q758"/>
    <mergeCell ref="A3:Q3"/>
    <mergeCell ref="A356:Q356"/>
    <mergeCell ref="A1056:Q1056"/>
    <mergeCell ref="A12:Q12"/>
    <mergeCell ref="A1065:Q1065"/>
    <mergeCell ref="A1074:Q1074"/>
    <mergeCell ref="A1043:Q1043"/>
    <mergeCell ref="A248:Q248"/>
    <mergeCell ref="A573:Q573"/>
    <mergeCell ref="A744:Q744"/>
    <mergeCell ref="A332:Q332"/>
    <mergeCell ref="A673:Q673"/>
    <mergeCell ref="A40:Q40"/>
    <mergeCell ref="A509:Q509"/>
    <mergeCell ref="A858:Q858"/>
    <mergeCell ref="A257:Q257"/>
    <mergeCell ref="A226:Q226"/>
    <mergeCell ref="A275:Q275"/>
    <mergeCell ref="A707:Q707"/>
    <mergeCell ref="A778:Q778"/>
    <mergeCell ref="A1070:Q1070"/>
    <mergeCell ref="A762:Q762"/>
    <mergeCell ref="A619:Q619"/>
    <mergeCell ref="A865:Q865"/>
    <mergeCell ref="A683:Q683"/>
    <mergeCell ref="A487:Q487"/>
    <mergeCell ref="A238:Q238"/>
    <mergeCell ref="A294:Q294"/>
    <mergeCell ref="A723:Q723"/>
    <mergeCell ref="A465:Q465"/>
    <mergeCell ref="A754:Q754"/>
    <mergeCell ref="A1052:Q1052"/>
    <mergeCell ref="A440:Q440"/>
    <mergeCell ref="A562:Q562"/>
    <mergeCell ref="A1048:Q1048"/>
    <mergeCell ref="A47:Q47"/>
    <mergeCell ref="A22:Q22"/>
    <mergeCell ref="A122:Q122"/>
    <mergeCell ref="A215:Q215"/>
    <mergeCell ref="A591:Q591"/>
    <mergeCell ref="A789:Q789"/>
    <mergeCell ref="A849:Q849"/>
    <mergeCell ref="A112:Q112"/>
    <mergeCell ref="A839:Q839"/>
    <mergeCell ref="A994:Q994"/>
    <mergeCell ref="A962:Q962"/>
    <mergeCell ref="A320:Q320"/>
    <mergeCell ref="A603:Q603"/>
    <mergeCell ref="A30:Q30"/>
    <mergeCell ref="A403:Q403"/>
    <mergeCell ref="A182:Q182"/>
    <mergeCell ref="A304:Q304"/>
    <mergeCell ref="A648:Q648"/>
    <mergeCell ref="A540:Q540"/>
    <mergeCell ref="A638:Q638"/>
    <mergeCell ref="A476:Q476"/>
    <mergeCell ref="A703:Q703"/>
    <mergeCell ref="A1036:Q1036"/>
    <mergeCell ref="A917:Q917"/>
    <mergeCell ref="A162:Q162"/>
    <mergeCell ref="A153:Q153"/>
    <mergeCell ref="A972:Q972"/>
    <mergeCell ref="A582:Q582"/>
    <mergeCell ref="A54:Q54"/>
    <mergeCell ref="A379:Q379"/>
    <mergeCell ref="A664:Q664"/>
    <mergeCell ref="A267:Q267"/>
    <mergeCell ref="A285:Q285"/>
    <mergeCell ref="A630:Q630"/>
    <mergeCell ref="A1024:Q1024"/>
    <mergeCell ref="A1014:Q1014"/>
    <mergeCell ref="A100:Q100"/>
    <mergeCell ref="A529:Q529"/>
    <mergeCell ref="A308:Q308"/>
    <mergeCell ref="A392:Q392"/>
    <mergeCell ref="A344:Q344"/>
    <mergeCell ref="A829:Q829"/>
    <mergeCell ref="A913:Q913"/>
    <mergeCell ref="A739:Q739"/>
    <mergeCell ref="A608:Q608"/>
    <mergeCell ref="A692:Q692"/>
    <mergeCell ref="A990:Q990"/>
    <mergeCell ref="A766:Q766"/>
    <mergeCell ref="A797:Q797"/>
    <mergeCell ref="A928:Q928"/>
    <mergeCell ref="A142:Q142"/>
    <mergeCell ref="A1:Q1"/>
    <mergeCell ref="A427:Q427"/>
    <mergeCell ref="A65:Q65"/>
    <mergeCell ref="A1028:Q1028"/>
    <mergeCell ref="A89:Q89"/>
    <mergeCell ref="A938:Q938"/>
    <mergeCell ref="A807:Q807"/>
    <mergeCell ref="A891:Q891"/>
    <mergeCell ref="A192:Q192"/>
    <mergeCell ref="A729:Q729"/>
    <mergeCell ref="A26:Q26"/>
    <mergeCell ref="A415:Q415"/>
    <mergeCell ref="A897:Q897"/>
    <mergeCell ref="A949:Q949"/>
    <mergeCell ref="A1004:Q1004"/>
    <mergeCell ref="A171:Q171"/>
    <mergeCell ref="A454:Q454"/>
    <mergeCell ref="A696:Q696"/>
    <mergeCell ref="A818:Q818"/>
    <mergeCell ref="A874:Q874"/>
    <mergeCell ref="A901:Q901"/>
    <mergeCell ref="A1060:Q1060"/>
    <mergeCell ref="A770:Q770"/>
    <mergeCell ref="A981:Q981"/>
  </mergeCells>
  <dataValidations count="1">
    <dataValidation sqref="I3:I1084" showDropDown="0" showInputMessage="0" showErrorMessage="0" allowBlank="1" type="list">
      <formula1>"override,assumption"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03A2E"/>
    <outlinePr summaryBelow="1" summaryRight="1"/>
    <pageSetUpPr fitToPage="1"/>
  </sheetPr>
  <dimension ref="A1:O244"/>
  <sheetViews>
    <sheetView showGridLines="0" zoomScale="9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7" customWidth="1" min="3" max="3"/>
    <col width="11" customWidth="1" min="4" max="4"/>
    <col width="11" customWidth="1" min="5" max="5"/>
    <col width="6" customWidth="1" min="6" max="6"/>
    <col width="10" customWidth="1" min="7" max="7"/>
    <col width="7" customWidth="1" min="8" max="8"/>
    <col width="11" customWidth="1" min="9" max="9"/>
    <col width="9" customWidth="1" min="10" max="10"/>
    <col width="11" customWidth="1" min="11" max="11"/>
    <col width="22" customWidth="1" min="12" max="12"/>
    <col width="30" customWidth="1" min="13" max="13"/>
  </cols>
  <sheetData>
    <row r="1" ht="20" customHeight="1">
      <c r="A1" s="8" t="inlineStr">
        <is>
          <t>Outages &amp; turnarounds — desk offline-events export (naphtha-relevant units, matched refineries). The weekly strip and LIVE flags track TODAY(). Live events also prefill OFFLINE % in the boxes at build time; refresh via: python -m naphtha_model ingest-outages &lt;file&gt;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3" ht="20" customHeight="1">
      <c r="A3" s="8" t="inlineStr">
        <is>
          <t xml:space="preserve">  CAPACITY OFFLINE BY WEEK (kbd, prorated)</t>
        </is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</row>
    <row r="4">
      <c r="A4" s="23" t="inlineStr">
        <is>
          <t>week starting</t>
        </is>
      </c>
      <c r="B4" s="38">
        <f>TODAY()-WEEKDAY(TODAY(),3)+0</f>
        <v/>
      </c>
      <c r="C4" s="38">
        <f>TODAY()-WEEKDAY(TODAY(),3)+7</f>
        <v/>
      </c>
      <c r="D4" s="38">
        <f>TODAY()-WEEKDAY(TODAY(),3)+14</f>
        <v/>
      </c>
      <c r="E4" s="38">
        <f>TODAY()-WEEKDAY(TODAY(),3)+21</f>
        <v/>
      </c>
      <c r="F4" s="38">
        <f>TODAY()-WEEKDAY(TODAY(),3)+28</f>
        <v/>
      </c>
      <c r="G4" s="38">
        <f>TODAY()-WEEKDAY(TODAY(),3)+35</f>
        <v/>
      </c>
      <c r="H4" s="38">
        <f>TODAY()-WEEKDAY(TODAY(),3)+42</f>
        <v/>
      </c>
      <c r="I4" s="38">
        <f>TODAY()-WEEKDAY(TODAY(),3)+49</f>
        <v/>
      </c>
      <c r="J4" s="38">
        <f>TODAY()-WEEKDAY(TODAY(),3)+56</f>
        <v/>
      </c>
      <c r="K4" s="38">
        <f>TODAY()-WEEKDAY(TODAY(),3)+63</f>
        <v/>
      </c>
      <c r="L4" s="38">
        <f>TODAY()-WEEKDAY(TODAY(),3)+70</f>
        <v/>
      </c>
      <c r="M4" s="38">
        <f>TODAY()-WEEKDAY(TODAY(),3)+77</f>
        <v/>
      </c>
      <c r="N4" s="38">
        <f>TODAY()-WEEKDAY(TODAY(),3)+84</f>
        <v/>
      </c>
    </row>
    <row r="5">
      <c r="A5" s="39" t="inlineStr">
        <is>
          <t>US — CDU offline</t>
        </is>
      </c>
      <c r="B5" s="30">
        <f>SUMPRODUCT(($C$13:$C$244="CDU")*$I$13:$I$244*((((($E$13:$E$244+(B$4+6)-ABS($E$13:$E$244-(B$4+6)))/2)-(($D$13:$D$244+B$4+ABS($D$13:$D$244-B$4))/2)+1)+ABS(((($E$13:$E$244+(B$4+6)-ABS($E$13:$E$244-(B$4+6)))/2)-(($D$13:$D$244+B$4+ABS($D$13:$D$244-B$4))/2)+1)))/2)/7)</f>
        <v/>
      </c>
      <c r="C5" s="30">
        <f>SUMPRODUCT(($C$13:$C$244="CDU")*$I$13:$I$244*((((($E$13:$E$244+(C$4+6)-ABS($E$13:$E$244-(C$4+6)))/2)-(($D$13:$D$244+C$4+ABS($D$13:$D$244-C$4))/2)+1)+ABS(((($E$13:$E$244+(C$4+6)-ABS($E$13:$E$244-(C$4+6)))/2)-(($D$13:$D$244+C$4+ABS($D$13:$D$244-C$4))/2)+1)))/2)/7)</f>
        <v/>
      </c>
      <c r="D5" s="30">
        <f>SUMPRODUCT(($C$13:$C$244="CDU")*$I$13:$I$244*((((($E$13:$E$244+(D$4+6)-ABS($E$13:$E$244-(D$4+6)))/2)-(($D$13:$D$244+D$4+ABS($D$13:$D$244-D$4))/2)+1)+ABS(((($E$13:$E$244+(D$4+6)-ABS($E$13:$E$244-(D$4+6)))/2)-(($D$13:$D$244+D$4+ABS($D$13:$D$244-D$4))/2)+1)))/2)/7)</f>
        <v/>
      </c>
      <c r="E5" s="30">
        <f>SUMPRODUCT(($C$13:$C$244="CDU")*$I$13:$I$244*((((($E$13:$E$244+(E$4+6)-ABS($E$13:$E$244-(E$4+6)))/2)-(($D$13:$D$244+E$4+ABS($D$13:$D$244-E$4))/2)+1)+ABS(((($E$13:$E$244+(E$4+6)-ABS($E$13:$E$244-(E$4+6)))/2)-(($D$13:$D$244+E$4+ABS($D$13:$D$244-E$4))/2)+1)))/2)/7)</f>
        <v/>
      </c>
      <c r="F5" s="30">
        <f>SUMPRODUCT(($C$13:$C$244="CDU")*$I$13:$I$244*((((($E$13:$E$244+(F$4+6)-ABS($E$13:$E$244-(F$4+6)))/2)-(($D$13:$D$244+F$4+ABS($D$13:$D$244-F$4))/2)+1)+ABS(((($E$13:$E$244+(F$4+6)-ABS($E$13:$E$244-(F$4+6)))/2)-(($D$13:$D$244+F$4+ABS($D$13:$D$244-F$4))/2)+1)))/2)/7)</f>
        <v/>
      </c>
      <c r="G5" s="30">
        <f>SUMPRODUCT(($C$13:$C$244="CDU")*$I$13:$I$244*((((($E$13:$E$244+(G$4+6)-ABS($E$13:$E$244-(G$4+6)))/2)-(($D$13:$D$244+G$4+ABS($D$13:$D$244-G$4))/2)+1)+ABS(((($E$13:$E$244+(G$4+6)-ABS($E$13:$E$244-(G$4+6)))/2)-(($D$13:$D$244+G$4+ABS($D$13:$D$244-G$4))/2)+1)))/2)/7)</f>
        <v/>
      </c>
      <c r="H5" s="30">
        <f>SUMPRODUCT(($C$13:$C$244="CDU")*$I$13:$I$244*((((($E$13:$E$244+(H$4+6)-ABS($E$13:$E$244-(H$4+6)))/2)-(($D$13:$D$244+H$4+ABS($D$13:$D$244-H$4))/2)+1)+ABS(((($E$13:$E$244+(H$4+6)-ABS($E$13:$E$244-(H$4+6)))/2)-(($D$13:$D$244+H$4+ABS($D$13:$D$244-H$4))/2)+1)))/2)/7)</f>
        <v/>
      </c>
      <c r="I5" s="30">
        <f>SUMPRODUCT(($C$13:$C$244="CDU")*$I$13:$I$244*((((($E$13:$E$244+(I$4+6)-ABS($E$13:$E$244-(I$4+6)))/2)-(($D$13:$D$244+I$4+ABS($D$13:$D$244-I$4))/2)+1)+ABS(((($E$13:$E$244+(I$4+6)-ABS($E$13:$E$244-(I$4+6)))/2)-(($D$13:$D$244+I$4+ABS($D$13:$D$244-I$4))/2)+1)))/2)/7)</f>
        <v/>
      </c>
      <c r="J5" s="30">
        <f>SUMPRODUCT(($C$13:$C$244="CDU")*$I$13:$I$244*((((($E$13:$E$244+(J$4+6)-ABS($E$13:$E$244-(J$4+6)))/2)-(($D$13:$D$244+J$4+ABS($D$13:$D$244-J$4))/2)+1)+ABS(((($E$13:$E$244+(J$4+6)-ABS($E$13:$E$244-(J$4+6)))/2)-(($D$13:$D$244+J$4+ABS($D$13:$D$244-J$4))/2)+1)))/2)/7)</f>
        <v/>
      </c>
      <c r="K5" s="30">
        <f>SUMPRODUCT(($C$13:$C$244="CDU")*$I$13:$I$244*((((($E$13:$E$244+(K$4+6)-ABS($E$13:$E$244-(K$4+6)))/2)-(($D$13:$D$244+K$4+ABS($D$13:$D$244-K$4))/2)+1)+ABS(((($E$13:$E$244+(K$4+6)-ABS($E$13:$E$244-(K$4+6)))/2)-(($D$13:$D$244+K$4+ABS($D$13:$D$244-K$4))/2)+1)))/2)/7)</f>
        <v/>
      </c>
      <c r="L5" s="30">
        <f>SUMPRODUCT(($C$13:$C$244="CDU")*$I$13:$I$244*((((($E$13:$E$244+(L$4+6)-ABS($E$13:$E$244-(L$4+6)))/2)-(($D$13:$D$244+L$4+ABS($D$13:$D$244-L$4))/2)+1)+ABS(((($E$13:$E$244+(L$4+6)-ABS($E$13:$E$244-(L$4+6)))/2)-(($D$13:$D$244+L$4+ABS($D$13:$D$244-L$4))/2)+1)))/2)/7)</f>
        <v/>
      </c>
      <c r="M5" s="30">
        <f>SUMPRODUCT(($C$13:$C$244="CDU")*$I$13:$I$244*((((($E$13:$E$244+(M$4+6)-ABS($E$13:$E$244-(M$4+6)))/2)-(($D$13:$D$244+M$4+ABS($D$13:$D$244-M$4))/2)+1)+ABS(((($E$13:$E$244+(M$4+6)-ABS($E$13:$E$244-(M$4+6)))/2)-(($D$13:$D$244+M$4+ABS($D$13:$D$244-M$4))/2)+1)))/2)/7)</f>
        <v/>
      </c>
      <c r="N5" s="30">
        <f>SUMPRODUCT(($C$13:$C$244="CDU")*$I$13:$I$244*((((($E$13:$E$244+(N$4+6)-ABS($E$13:$E$244-(N$4+6)))/2)-(($D$13:$D$244+N$4+ABS($D$13:$D$244-N$4))/2)+1)+ABS(((($E$13:$E$244+(N$4+6)-ABS($E$13:$E$244-(N$4+6)))/2)-(($D$13:$D$244+N$4+ABS($D$13:$D$244-N$4))/2)+1)))/2)/7)</f>
        <v/>
      </c>
    </row>
    <row r="6">
      <c r="A6" s="39" t="inlineStr">
        <is>
          <t>PADD 3 — CDU offline</t>
        </is>
      </c>
      <c r="B6" s="30">
        <f>SUMPRODUCT(($C$13:$C$244="CDU")*($B$13:$B$244=3)*$I$13:$I$244*((((($E$13:$E$244+(B$4+6)-ABS($E$13:$E$244-(B$4+6)))/2)-(($D$13:$D$244+B$4+ABS($D$13:$D$244-B$4))/2)+1)+ABS(((($E$13:$E$244+(B$4+6)-ABS($E$13:$E$244-(B$4+6)))/2)-(($D$13:$D$244+B$4+ABS($D$13:$D$244-B$4))/2)+1)))/2)/7)</f>
        <v/>
      </c>
      <c r="C6" s="30">
        <f>SUMPRODUCT(($C$13:$C$244="CDU")*($B$13:$B$244=3)*$I$13:$I$244*((((($E$13:$E$244+(C$4+6)-ABS($E$13:$E$244-(C$4+6)))/2)-(($D$13:$D$244+C$4+ABS($D$13:$D$244-C$4))/2)+1)+ABS(((($E$13:$E$244+(C$4+6)-ABS($E$13:$E$244-(C$4+6)))/2)-(($D$13:$D$244+C$4+ABS($D$13:$D$244-C$4))/2)+1)))/2)/7)</f>
        <v/>
      </c>
      <c r="D6" s="30">
        <f>SUMPRODUCT(($C$13:$C$244="CDU")*($B$13:$B$244=3)*$I$13:$I$244*((((($E$13:$E$244+(D$4+6)-ABS($E$13:$E$244-(D$4+6)))/2)-(($D$13:$D$244+D$4+ABS($D$13:$D$244-D$4))/2)+1)+ABS(((($E$13:$E$244+(D$4+6)-ABS($E$13:$E$244-(D$4+6)))/2)-(($D$13:$D$244+D$4+ABS($D$13:$D$244-D$4))/2)+1)))/2)/7)</f>
        <v/>
      </c>
      <c r="E6" s="30">
        <f>SUMPRODUCT(($C$13:$C$244="CDU")*($B$13:$B$244=3)*$I$13:$I$244*((((($E$13:$E$244+(E$4+6)-ABS($E$13:$E$244-(E$4+6)))/2)-(($D$13:$D$244+E$4+ABS($D$13:$D$244-E$4))/2)+1)+ABS(((($E$13:$E$244+(E$4+6)-ABS($E$13:$E$244-(E$4+6)))/2)-(($D$13:$D$244+E$4+ABS($D$13:$D$244-E$4))/2)+1)))/2)/7)</f>
        <v/>
      </c>
      <c r="F6" s="30">
        <f>SUMPRODUCT(($C$13:$C$244="CDU")*($B$13:$B$244=3)*$I$13:$I$244*((((($E$13:$E$244+(F$4+6)-ABS($E$13:$E$244-(F$4+6)))/2)-(($D$13:$D$244+F$4+ABS($D$13:$D$244-F$4))/2)+1)+ABS(((($E$13:$E$244+(F$4+6)-ABS($E$13:$E$244-(F$4+6)))/2)-(($D$13:$D$244+F$4+ABS($D$13:$D$244-F$4))/2)+1)))/2)/7)</f>
        <v/>
      </c>
      <c r="G6" s="30">
        <f>SUMPRODUCT(($C$13:$C$244="CDU")*($B$13:$B$244=3)*$I$13:$I$244*((((($E$13:$E$244+(G$4+6)-ABS($E$13:$E$244-(G$4+6)))/2)-(($D$13:$D$244+G$4+ABS($D$13:$D$244-G$4))/2)+1)+ABS(((($E$13:$E$244+(G$4+6)-ABS($E$13:$E$244-(G$4+6)))/2)-(($D$13:$D$244+G$4+ABS($D$13:$D$244-G$4))/2)+1)))/2)/7)</f>
        <v/>
      </c>
      <c r="H6" s="30">
        <f>SUMPRODUCT(($C$13:$C$244="CDU")*($B$13:$B$244=3)*$I$13:$I$244*((((($E$13:$E$244+(H$4+6)-ABS($E$13:$E$244-(H$4+6)))/2)-(($D$13:$D$244+H$4+ABS($D$13:$D$244-H$4))/2)+1)+ABS(((($E$13:$E$244+(H$4+6)-ABS($E$13:$E$244-(H$4+6)))/2)-(($D$13:$D$244+H$4+ABS($D$13:$D$244-H$4))/2)+1)))/2)/7)</f>
        <v/>
      </c>
      <c r="I6" s="30">
        <f>SUMPRODUCT(($C$13:$C$244="CDU")*($B$13:$B$244=3)*$I$13:$I$244*((((($E$13:$E$244+(I$4+6)-ABS($E$13:$E$244-(I$4+6)))/2)-(($D$13:$D$244+I$4+ABS($D$13:$D$244-I$4))/2)+1)+ABS(((($E$13:$E$244+(I$4+6)-ABS($E$13:$E$244-(I$4+6)))/2)-(($D$13:$D$244+I$4+ABS($D$13:$D$244-I$4))/2)+1)))/2)/7)</f>
        <v/>
      </c>
      <c r="J6" s="30">
        <f>SUMPRODUCT(($C$13:$C$244="CDU")*($B$13:$B$244=3)*$I$13:$I$244*((((($E$13:$E$244+(J$4+6)-ABS($E$13:$E$244-(J$4+6)))/2)-(($D$13:$D$244+J$4+ABS($D$13:$D$244-J$4))/2)+1)+ABS(((($E$13:$E$244+(J$4+6)-ABS($E$13:$E$244-(J$4+6)))/2)-(($D$13:$D$244+J$4+ABS($D$13:$D$244-J$4))/2)+1)))/2)/7)</f>
        <v/>
      </c>
      <c r="K6" s="30">
        <f>SUMPRODUCT(($C$13:$C$244="CDU")*($B$13:$B$244=3)*$I$13:$I$244*((((($E$13:$E$244+(K$4+6)-ABS($E$13:$E$244-(K$4+6)))/2)-(($D$13:$D$244+K$4+ABS($D$13:$D$244-K$4))/2)+1)+ABS(((($E$13:$E$244+(K$4+6)-ABS($E$13:$E$244-(K$4+6)))/2)-(($D$13:$D$244+K$4+ABS($D$13:$D$244-K$4))/2)+1)))/2)/7)</f>
        <v/>
      </c>
      <c r="L6" s="30">
        <f>SUMPRODUCT(($C$13:$C$244="CDU")*($B$13:$B$244=3)*$I$13:$I$244*((((($E$13:$E$244+(L$4+6)-ABS($E$13:$E$244-(L$4+6)))/2)-(($D$13:$D$244+L$4+ABS($D$13:$D$244-L$4))/2)+1)+ABS(((($E$13:$E$244+(L$4+6)-ABS($E$13:$E$244-(L$4+6)))/2)-(($D$13:$D$244+L$4+ABS($D$13:$D$244-L$4))/2)+1)))/2)/7)</f>
        <v/>
      </c>
      <c r="M6" s="30">
        <f>SUMPRODUCT(($C$13:$C$244="CDU")*($B$13:$B$244=3)*$I$13:$I$244*((((($E$13:$E$244+(M$4+6)-ABS($E$13:$E$244-(M$4+6)))/2)-(($D$13:$D$244+M$4+ABS($D$13:$D$244-M$4))/2)+1)+ABS(((($E$13:$E$244+(M$4+6)-ABS($E$13:$E$244-(M$4+6)))/2)-(($D$13:$D$244+M$4+ABS($D$13:$D$244-M$4))/2)+1)))/2)/7)</f>
        <v/>
      </c>
      <c r="N6" s="30">
        <f>SUMPRODUCT(($C$13:$C$244="CDU")*($B$13:$B$244=3)*$I$13:$I$244*((((($E$13:$E$244+(N$4+6)-ABS($E$13:$E$244-(N$4+6)))/2)-(($D$13:$D$244+N$4+ABS($D$13:$D$244-N$4))/2)+1)+ABS(((($E$13:$E$244+(N$4+6)-ABS($E$13:$E$244-(N$4+6)))/2)-(($D$13:$D$244+N$4+ABS($D$13:$D$244-N$4))/2)+1)))/2)/7)</f>
        <v/>
      </c>
    </row>
    <row r="7">
      <c r="A7" s="39" t="inlineStr">
        <is>
          <t>US — reformer offline (REF+CCR)</t>
        </is>
      </c>
      <c r="B7" s="30">
        <f>SUMPRODUCT((($C$13:$C$244="REF")+($C$13:$C$244="CCR"))*$I$13:$I$244*((((($E$13:$E$244+(B$4+6)-ABS($E$13:$E$244-(B$4+6)))/2)-(($D$13:$D$244+B$4+ABS($D$13:$D$244-B$4))/2)+1)+ABS(((($E$13:$E$244+(B$4+6)-ABS($E$13:$E$244-(B$4+6)))/2)-(($D$13:$D$244+B$4+ABS($D$13:$D$244-B$4))/2)+1)))/2)/7)</f>
        <v/>
      </c>
      <c r="C7" s="30">
        <f>SUMPRODUCT((($C$13:$C$244="REF")+($C$13:$C$244="CCR"))*$I$13:$I$244*((((($E$13:$E$244+(C$4+6)-ABS($E$13:$E$244-(C$4+6)))/2)-(($D$13:$D$244+C$4+ABS($D$13:$D$244-C$4))/2)+1)+ABS(((($E$13:$E$244+(C$4+6)-ABS($E$13:$E$244-(C$4+6)))/2)-(($D$13:$D$244+C$4+ABS($D$13:$D$244-C$4))/2)+1)))/2)/7)</f>
        <v/>
      </c>
      <c r="D7" s="30">
        <f>SUMPRODUCT((($C$13:$C$244="REF")+($C$13:$C$244="CCR"))*$I$13:$I$244*((((($E$13:$E$244+(D$4+6)-ABS($E$13:$E$244-(D$4+6)))/2)-(($D$13:$D$244+D$4+ABS($D$13:$D$244-D$4))/2)+1)+ABS(((($E$13:$E$244+(D$4+6)-ABS($E$13:$E$244-(D$4+6)))/2)-(($D$13:$D$244+D$4+ABS($D$13:$D$244-D$4))/2)+1)))/2)/7)</f>
        <v/>
      </c>
      <c r="E7" s="30">
        <f>SUMPRODUCT((($C$13:$C$244="REF")+($C$13:$C$244="CCR"))*$I$13:$I$244*((((($E$13:$E$244+(E$4+6)-ABS($E$13:$E$244-(E$4+6)))/2)-(($D$13:$D$244+E$4+ABS($D$13:$D$244-E$4))/2)+1)+ABS(((($E$13:$E$244+(E$4+6)-ABS($E$13:$E$244-(E$4+6)))/2)-(($D$13:$D$244+E$4+ABS($D$13:$D$244-E$4))/2)+1)))/2)/7)</f>
        <v/>
      </c>
      <c r="F7" s="30">
        <f>SUMPRODUCT((($C$13:$C$244="REF")+($C$13:$C$244="CCR"))*$I$13:$I$244*((((($E$13:$E$244+(F$4+6)-ABS($E$13:$E$244-(F$4+6)))/2)-(($D$13:$D$244+F$4+ABS($D$13:$D$244-F$4))/2)+1)+ABS(((($E$13:$E$244+(F$4+6)-ABS($E$13:$E$244-(F$4+6)))/2)-(($D$13:$D$244+F$4+ABS($D$13:$D$244-F$4))/2)+1)))/2)/7)</f>
        <v/>
      </c>
      <c r="G7" s="30">
        <f>SUMPRODUCT((($C$13:$C$244="REF")+($C$13:$C$244="CCR"))*$I$13:$I$244*((((($E$13:$E$244+(G$4+6)-ABS($E$13:$E$244-(G$4+6)))/2)-(($D$13:$D$244+G$4+ABS($D$13:$D$244-G$4))/2)+1)+ABS(((($E$13:$E$244+(G$4+6)-ABS($E$13:$E$244-(G$4+6)))/2)-(($D$13:$D$244+G$4+ABS($D$13:$D$244-G$4))/2)+1)))/2)/7)</f>
        <v/>
      </c>
      <c r="H7" s="30">
        <f>SUMPRODUCT((($C$13:$C$244="REF")+($C$13:$C$244="CCR"))*$I$13:$I$244*((((($E$13:$E$244+(H$4+6)-ABS($E$13:$E$244-(H$4+6)))/2)-(($D$13:$D$244+H$4+ABS($D$13:$D$244-H$4))/2)+1)+ABS(((($E$13:$E$244+(H$4+6)-ABS($E$13:$E$244-(H$4+6)))/2)-(($D$13:$D$244+H$4+ABS($D$13:$D$244-H$4))/2)+1)))/2)/7)</f>
        <v/>
      </c>
      <c r="I7" s="30">
        <f>SUMPRODUCT((($C$13:$C$244="REF")+($C$13:$C$244="CCR"))*$I$13:$I$244*((((($E$13:$E$244+(I$4+6)-ABS($E$13:$E$244-(I$4+6)))/2)-(($D$13:$D$244+I$4+ABS($D$13:$D$244-I$4))/2)+1)+ABS(((($E$13:$E$244+(I$4+6)-ABS($E$13:$E$244-(I$4+6)))/2)-(($D$13:$D$244+I$4+ABS($D$13:$D$244-I$4))/2)+1)))/2)/7)</f>
        <v/>
      </c>
      <c r="J7" s="30">
        <f>SUMPRODUCT((($C$13:$C$244="REF")+($C$13:$C$244="CCR"))*$I$13:$I$244*((((($E$13:$E$244+(J$4+6)-ABS($E$13:$E$244-(J$4+6)))/2)-(($D$13:$D$244+J$4+ABS($D$13:$D$244-J$4))/2)+1)+ABS(((($E$13:$E$244+(J$4+6)-ABS($E$13:$E$244-(J$4+6)))/2)-(($D$13:$D$244+J$4+ABS($D$13:$D$244-J$4))/2)+1)))/2)/7)</f>
        <v/>
      </c>
      <c r="K7" s="30">
        <f>SUMPRODUCT((($C$13:$C$244="REF")+($C$13:$C$244="CCR"))*$I$13:$I$244*((((($E$13:$E$244+(K$4+6)-ABS($E$13:$E$244-(K$4+6)))/2)-(($D$13:$D$244+K$4+ABS($D$13:$D$244-K$4))/2)+1)+ABS(((($E$13:$E$244+(K$4+6)-ABS($E$13:$E$244-(K$4+6)))/2)-(($D$13:$D$244+K$4+ABS($D$13:$D$244-K$4))/2)+1)))/2)/7)</f>
        <v/>
      </c>
      <c r="L7" s="30">
        <f>SUMPRODUCT((($C$13:$C$244="REF")+($C$13:$C$244="CCR"))*$I$13:$I$244*((((($E$13:$E$244+(L$4+6)-ABS($E$13:$E$244-(L$4+6)))/2)-(($D$13:$D$244+L$4+ABS($D$13:$D$244-L$4))/2)+1)+ABS(((($E$13:$E$244+(L$4+6)-ABS($E$13:$E$244-(L$4+6)))/2)-(($D$13:$D$244+L$4+ABS($D$13:$D$244-L$4))/2)+1)))/2)/7)</f>
        <v/>
      </c>
      <c r="M7" s="30">
        <f>SUMPRODUCT((($C$13:$C$244="REF")+($C$13:$C$244="CCR"))*$I$13:$I$244*((((($E$13:$E$244+(M$4+6)-ABS($E$13:$E$244-(M$4+6)))/2)-(($D$13:$D$244+M$4+ABS($D$13:$D$244-M$4))/2)+1)+ABS(((($E$13:$E$244+(M$4+6)-ABS($E$13:$E$244-(M$4+6)))/2)-(($D$13:$D$244+M$4+ABS($D$13:$D$244-M$4))/2)+1)))/2)/7)</f>
        <v/>
      </c>
      <c r="N7" s="30">
        <f>SUMPRODUCT((($C$13:$C$244="REF")+($C$13:$C$244="CCR"))*$I$13:$I$244*((((($E$13:$E$244+(N$4+6)-ABS($E$13:$E$244-(N$4+6)))/2)-(($D$13:$D$244+N$4+ABS($D$13:$D$244-N$4))/2)+1)+ABS(((($E$13:$E$244+(N$4+6)-ABS($E$13:$E$244-(N$4+6)))/2)-(($D$13:$D$244+N$4+ABS($D$13:$D$244-N$4))/2)+1)))/2)/7)</f>
        <v/>
      </c>
    </row>
    <row r="11" ht="20" customHeight="1">
      <c r="A11" s="8" t="inlineStr">
        <is>
          <t xml:space="preserve">  EVENTS — live + next 12 months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>
      <c r="A12" s="23" t="inlineStr">
        <is>
          <t>refinery</t>
        </is>
      </c>
      <c r="B12" s="23" t="inlineStr">
        <is>
          <t>padd</t>
        </is>
      </c>
      <c r="C12" s="23" t="inlineStr">
        <is>
          <t>unit</t>
        </is>
      </c>
      <c r="D12" s="23" t="inlineStr">
        <is>
          <t>start</t>
        </is>
      </c>
      <c r="E12" s="23" t="inlineStr">
        <is>
          <t>end</t>
        </is>
      </c>
      <c r="F12" s="23" t="inlineStr">
        <is>
          <t>days</t>
        </is>
      </c>
      <c r="G12" s="23" t="inlineStr">
        <is>
          <t>type</t>
        </is>
      </c>
      <c r="H12" s="23" t="inlineStr">
        <is>
          <t>live?</t>
        </is>
      </c>
      <c r="I12" s="23" t="inlineStr">
        <is>
          <t>offline kbd</t>
        </is>
      </c>
      <c r="J12" s="23" t="inlineStr">
        <is>
          <t>% of unit</t>
        </is>
      </c>
      <c r="K12" s="23" t="inlineStr">
        <is>
          <t>confirmed</t>
        </is>
      </c>
      <c r="L12" s="23" t="inlineStr">
        <is>
          <t>cause</t>
        </is>
      </c>
      <c r="M12" s="23" t="inlineStr">
        <is>
          <t>plant</t>
        </is>
      </c>
    </row>
    <row r="13">
      <c r="A13" s="40" t="inlineStr">
        <is>
          <t>AMERICAN_BRADFORD</t>
        </is>
      </c>
      <c r="B13" s="28" t="n">
        <v>1</v>
      </c>
      <c r="C13" s="28" t="inlineStr">
        <is>
          <t>REF</t>
        </is>
      </c>
      <c r="D13" s="41" t="n">
        <v>46084</v>
      </c>
      <c r="E13" s="41" t="n">
        <v>46213</v>
      </c>
      <c r="F13" s="42">
        <f>$E13-$D13</f>
        <v/>
      </c>
      <c r="G13" s="28" t="inlineStr">
        <is>
          <t>Unplanned</t>
        </is>
      </c>
      <c r="H13" s="28">
        <f>IF(AND($D13&lt;=TODAY(),$E13&gt;=TODAY()),"LIVE","")</f>
        <v/>
      </c>
      <c r="I13" s="43" t="n">
        <v>2.2</v>
      </c>
      <c r="J13" s="44" t="n">
        <v>1</v>
      </c>
      <c r="K13" s="28" t="inlineStr">
        <is>
          <t>Confirmed</t>
        </is>
      </c>
      <c r="L13" s="28" t="inlineStr">
        <is>
          <t>Mechanical</t>
        </is>
      </c>
      <c r="M13" s="28" t="inlineStr">
        <is>
          <t>Bradford Refinery</t>
        </is>
      </c>
    </row>
    <row r="14">
      <c r="A14" s="40" t="inlineStr">
        <is>
          <t>PBF_CHALMETTE</t>
        </is>
      </c>
      <c r="B14" s="28" t="n">
        <v>3</v>
      </c>
      <c r="C14" s="28" t="inlineStr">
        <is>
          <t>CCR</t>
        </is>
      </c>
      <c r="D14" s="41" t="n">
        <v>46150</v>
      </c>
      <c r="E14" s="41" t="n">
        <v>46249</v>
      </c>
      <c r="F14" s="42">
        <f>$E14-$D14</f>
        <v/>
      </c>
      <c r="G14" s="28" t="inlineStr">
        <is>
          <t>Unplanned</t>
        </is>
      </c>
      <c r="H14" s="28">
        <f>IF(AND($D14&lt;=TODAY(),$E14&gt;=TODAY()),"LIVE","")</f>
        <v/>
      </c>
      <c r="I14" s="43" t="n">
        <v>17.5</v>
      </c>
      <c r="J14" s="44" t="n">
        <v>1</v>
      </c>
      <c r="K14" s="28" t="inlineStr">
        <is>
          <t>Confirmed</t>
        </is>
      </c>
      <c r="L14" s="28" t="inlineStr">
        <is>
          <t>Electrical</t>
        </is>
      </c>
      <c r="M14" s="28" t="inlineStr">
        <is>
          <t>Chalmette Refinery</t>
        </is>
      </c>
    </row>
    <row r="15">
      <c r="A15" s="40" t="inlineStr">
        <is>
          <t>PAR_EWA_BEACH</t>
        </is>
      </c>
      <c r="B15" s="28" t="n">
        <v>5</v>
      </c>
      <c r="C15" s="28" t="inlineStr">
        <is>
          <t>CDU</t>
        </is>
      </c>
      <c r="D15" s="41" t="n">
        <v>46189</v>
      </c>
      <c r="E15" s="41" t="n">
        <v>46218</v>
      </c>
      <c r="F15" s="42">
        <f>$E15-$D15</f>
        <v/>
      </c>
      <c r="G15" s="28" t="inlineStr">
        <is>
          <t>Planned</t>
        </is>
      </c>
      <c r="H15" s="28">
        <f>IF(AND($D15&lt;=TODAY(),$E15&gt;=TODAY()),"LIVE","")</f>
        <v/>
      </c>
      <c r="I15" s="43" t="n">
        <v>90</v>
      </c>
      <c r="J15" s="44" t="n">
        <v>1</v>
      </c>
      <c r="K15" s="28" t="inlineStr">
        <is>
          <t>Confirmed</t>
        </is>
      </c>
      <c r="L15" s="28" t="inlineStr">
        <is>
          <t>Mechanical</t>
        </is>
      </c>
      <c r="M15" s="28" t="inlineStr">
        <is>
          <t>Par East Refinery</t>
        </is>
      </c>
    </row>
    <row r="16">
      <c r="A16" s="40" t="inlineStr">
        <is>
          <t>PAR_EWA_BEACH</t>
        </is>
      </c>
      <c r="B16" s="28" t="n">
        <v>5</v>
      </c>
      <c r="C16" s="28" t="inlineStr">
        <is>
          <t>CDU</t>
        </is>
      </c>
      <c r="D16" s="41" t="n">
        <v>46189</v>
      </c>
      <c r="E16" s="41" t="n">
        <v>46218</v>
      </c>
      <c r="F16" s="42">
        <f>$E16-$D16</f>
        <v/>
      </c>
      <c r="G16" s="28" t="inlineStr">
        <is>
          <t>Planned</t>
        </is>
      </c>
      <c r="H16" s="28">
        <f>IF(AND($D16&lt;=TODAY(),$E16&gt;=TODAY()),"LIVE","")</f>
        <v/>
      </c>
      <c r="I16" s="43" t="n">
        <v>54</v>
      </c>
      <c r="J16" s="44" t="n">
        <v>1</v>
      </c>
      <c r="K16" s="28" t="inlineStr">
        <is>
          <t>Confirmed</t>
        </is>
      </c>
      <c r="L16" s="28" t="inlineStr">
        <is>
          <t>Mechanical</t>
        </is>
      </c>
      <c r="M16" s="28" t="inlineStr">
        <is>
          <t>Par East Refinery</t>
        </is>
      </c>
    </row>
    <row r="17">
      <c r="A17" s="40" t="inlineStr">
        <is>
          <t>PAR_EWA_BEACH</t>
        </is>
      </c>
      <c r="B17" s="28" t="n">
        <v>5</v>
      </c>
      <c r="C17" s="28" t="inlineStr">
        <is>
          <t>DHCU</t>
        </is>
      </c>
      <c r="D17" s="41" t="n">
        <v>46189</v>
      </c>
      <c r="E17" s="41" t="n">
        <v>46218</v>
      </c>
      <c r="F17" s="42">
        <f>$E17-$D17</f>
        <v/>
      </c>
      <c r="G17" s="28" t="inlineStr">
        <is>
          <t>Planned</t>
        </is>
      </c>
      <c r="H17" s="28">
        <f>IF(AND($D17&lt;=TODAY(),$E17&gt;=TODAY()),"LIVE","")</f>
        <v/>
      </c>
      <c r="I17" s="43" t="n">
        <v>13</v>
      </c>
      <c r="J17" s="44" t="n">
        <v>1</v>
      </c>
      <c r="K17" s="28" t="inlineStr">
        <is>
          <t>Confirmed</t>
        </is>
      </c>
      <c r="L17" s="28" t="inlineStr">
        <is>
          <t>Mechanical</t>
        </is>
      </c>
      <c r="M17" s="28" t="inlineStr">
        <is>
          <t>Par East Refinery</t>
        </is>
      </c>
    </row>
    <row r="18">
      <c r="A18" s="40" t="inlineStr">
        <is>
          <t>PAR_EWA_BEACH</t>
        </is>
      </c>
      <c r="B18" s="28" t="n">
        <v>5</v>
      </c>
      <c r="C18" s="28" t="inlineStr">
        <is>
          <t>REF</t>
        </is>
      </c>
      <c r="D18" s="41" t="n">
        <v>46189</v>
      </c>
      <c r="E18" s="41" t="n">
        <v>46218</v>
      </c>
      <c r="F18" s="42">
        <f>$E18-$D18</f>
        <v/>
      </c>
      <c r="G18" s="28" t="inlineStr">
        <is>
          <t>Planned</t>
        </is>
      </c>
      <c r="H18" s="28">
        <f>IF(AND($D18&lt;=TODAY(),$E18&gt;=TODAY()),"LIVE","")</f>
        <v/>
      </c>
      <c r="I18" s="43" t="n">
        <v>13</v>
      </c>
      <c r="J18" s="44" t="n">
        <v>1</v>
      </c>
      <c r="K18" s="28" t="inlineStr">
        <is>
          <t>Confirmed</t>
        </is>
      </c>
      <c r="L18" s="28" t="inlineStr">
        <is>
          <t>Mechanical</t>
        </is>
      </c>
      <c r="M18" s="28" t="inlineStr">
        <is>
          <t>Par East Refinery</t>
        </is>
      </c>
    </row>
    <row r="19">
      <c r="A19" s="40" t="inlineStr">
        <is>
          <t>PAR_EWA_BEACH</t>
        </is>
      </c>
      <c r="B19" s="28" t="n">
        <v>5</v>
      </c>
      <c r="C19" s="28" t="inlineStr">
        <is>
          <t>VDU</t>
        </is>
      </c>
      <c r="D19" s="41" t="n">
        <v>46189</v>
      </c>
      <c r="E19" s="41" t="n">
        <v>46218</v>
      </c>
      <c r="F19" s="42">
        <f>$E19-$D19</f>
        <v/>
      </c>
      <c r="G19" s="28" t="inlineStr">
        <is>
          <t>Planned</t>
        </is>
      </c>
      <c r="H19" s="28">
        <f>IF(AND($D19&lt;=TODAY(),$E19&gt;=TODAY()),"LIVE","")</f>
        <v/>
      </c>
      <c r="I19" s="43" t="n">
        <v>40</v>
      </c>
      <c r="J19" s="44" t="n">
        <v>1</v>
      </c>
      <c r="K19" s="28" t="inlineStr">
        <is>
          <t>Confirmed</t>
        </is>
      </c>
      <c r="L19" s="28" t="inlineStr">
        <is>
          <t>Mechanical</t>
        </is>
      </c>
      <c r="M19" s="28" t="inlineStr">
        <is>
          <t>Par East Refinery</t>
        </is>
      </c>
    </row>
    <row r="20">
      <c r="A20" s="40" t="inlineStr">
        <is>
          <t>PAR_EWA_BEACH</t>
        </is>
      </c>
      <c r="B20" s="28" t="n">
        <v>5</v>
      </c>
      <c r="C20" s="28" t="inlineStr">
        <is>
          <t>CDU</t>
        </is>
      </c>
      <c r="D20" s="41" t="n">
        <v>46189</v>
      </c>
      <c r="E20" s="41" t="n">
        <v>46218</v>
      </c>
      <c r="F20" s="42">
        <f>$E20-$D20</f>
        <v/>
      </c>
      <c r="G20" s="28" t="inlineStr">
        <is>
          <t>Planned</t>
        </is>
      </c>
      <c r="H20" s="28">
        <f>IF(AND($D20&lt;=TODAY(),$E20&gt;=TODAY()),"LIVE","")</f>
        <v/>
      </c>
      <c r="I20" s="43" t="n">
        <v>11</v>
      </c>
      <c r="J20" s="44" t="n">
        <v>1</v>
      </c>
      <c r="K20" s="28" t="inlineStr">
        <is>
          <t>Confirmed</t>
        </is>
      </c>
      <c r="L20" s="28" t="inlineStr">
        <is>
          <t>Mechanical</t>
        </is>
      </c>
      <c r="M20" s="28" t="inlineStr">
        <is>
          <t>Par East Refinery</t>
        </is>
      </c>
    </row>
    <row r="21">
      <c r="A21" s="40" t="inlineStr">
        <is>
          <t>MONROE_TRAINER</t>
        </is>
      </c>
      <c r="B21" s="28" t="n">
        <v>1</v>
      </c>
      <c r="C21" s="28" t="inlineStr">
        <is>
          <t>FCC</t>
        </is>
      </c>
      <c r="D21" s="41" t="n">
        <v>46201</v>
      </c>
      <c r="E21" s="41" t="n">
        <v>46241</v>
      </c>
      <c r="F21" s="42">
        <f>$E21-$D21</f>
        <v/>
      </c>
      <c r="G21" s="28" t="inlineStr">
        <is>
          <t>Unplanned</t>
        </is>
      </c>
      <c r="H21" s="28">
        <f>IF(AND($D21&lt;=TODAY(),$E21&gt;=TODAY()),"LIVE","")</f>
        <v/>
      </c>
      <c r="I21" s="43" t="n">
        <v>68</v>
      </c>
      <c r="J21" s="44" t="n">
        <v>1</v>
      </c>
      <c r="K21" s="28" t="inlineStr">
        <is>
          <t>Confirmed</t>
        </is>
      </c>
      <c r="L21" s="28" t="inlineStr">
        <is>
          <t>Mechanical</t>
        </is>
      </c>
      <c r="M21" s="28" t="inlineStr">
        <is>
          <t>Trainer Refinery</t>
        </is>
      </c>
    </row>
    <row r="22">
      <c r="A22" s="40" t="inlineStr">
        <is>
          <t>MONROE_TRAINER</t>
        </is>
      </c>
      <c r="B22" s="28" t="n">
        <v>1</v>
      </c>
      <c r="C22" s="28" t="inlineStr">
        <is>
          <t>ALKY</t>
        </is>
      </c>
      <c r="D22" s="41" t="n">
        <v>46201</v>
      </c>
      <c r="E22" s="41" t="n">
        <v>46241</v>
      </c>
      <c r="F22" s="42">
        <f>$E22-$D22</f>
        <v/>
      </c>
      <c r="G22" s="28" t="inlineStr">
        <is>
          <t>Unplanned</t>
        </is>
      </c>
      <c r="H22" s="28">
        <f>IF(AND($D22&lt;=TODAY(),$E22&gt;=TODAY()),"LIVE","")</f>
        <v/>
      </c>
      <c r="I22" s="43" t="n">
        <v>12</v>
      </c>
      <c r="J22" s="44" t="n">
        <v>1</v>
      </c>
      <c r="K22" s="28" t="inlineStr">
        <is>
          <t>Confirmed</t>
        </is>
      </c>
      <c r="L22" s="28" t="inlineStr">
        <is>
          <t>Mechanical</t>
        </is>
      </c>
      <c r="M22" s="28" t="inlineStr">
        <is>
          <t>Trainer Refinery</t>
        </is>
      </c>
    </row>
    <row r="23">
      <c r="A23" s="40" t="inlineStr">
        <is>
          <t>MONROE_TRAINER</t>
        </is>
      </c>
      <c r="B23" s="28" t="n">
        <v>1</v>
      </c>
      <c r="C23" s="28" t="inlineStr">
        <is>
          <t>CDU</t>
        </is>
      </c>
      <c r="D23" s="41" t="n">
        <v>46202</v>
      </c>
      <c r="E23" s="41" t="n">
        <v>46233</v>
      </c>
      <c r="F23" s="42">
        <f>$E23-$D23</f>
        <v/>
      </c>
      <c r="G23" s="28" t="inlineStr">
        <is>
          <t>Unplanned</t>
        </is>
      </c>
      <c r="H23" s="28">
        <f>IF(AND($D23&lt;=TODAY(),$E23&gt;=TODAY()),"LIVE","")</f>
        <v/>
      </c>
      <c r="I23" s="43" t="n">
        <v>26</v>
      </c>
      <c r="J23" s="44" t="n">
        <v>0.25</v>
      </c>
      <c r="K23" s="28" t="inlineStr">
        <is>
          <t>Confirmed</t>
        </is>
      </c>
      <c r="L23" s="28" t="inlineStr">
        <is>
          <t>Economic</t>
        </is>
      </c>
      <c r="M23" s="28" t="inlineStr">
        <is>
          <t>Trainer Refinery</t>
        </is>
      </c>
    </row>
    <row r="24">
      <c r="A24" s="40" t="inlineStr">
        <is>
          <t>MONROE_TRAINER</t>
        </is>
      </c>
      <c r="B24" s="28" t="n">
        <v>1</v>
      </c>
      <c r="C24" s="28" t="inlineStr">
        <is>
          <t>CDU</t>
        </is>
      </c>
      <c r="D24" s="41" t="n">
        <v>46203</v>
      </c>
      <c r="E24" s="41" t="n">
        <v>46233</v>
      </c>
      <c r="F24" s="42">
        <f>$E24-$D24</f>
        <v/>
      </c>
      <c r="G24" s="28" t="inlineStr">
        <is>
          <t>Unplanned</t>
        </is>
      </c>
      <c r="H24" s="28">
        <f>IF(AND($D24&lt;=TODAY(),$E24&gt;=TODAY()),"LIVE","")</f>
        <v/>
      </c>
      <c r="I24" s="43" t="n">
        <v>26</v>
      </c>
      <c r="J24" s="44" t="n">
        <v>0.25</v>
      </c>
      <c r="K24" s="28" t="inlineStr">
        <is>
          <t>Confirmed</t>
        </is>
      </c>
      <c r="L24" s="28" t="inlineStr">
        <is>
          <t>Mechanical</t>
        </is>
      </c>
      <c r="M24" s="28" t="inlineStr">
        <is>
          <t>Trainer Refinery</t>
        </is>
      </c>
    </row>
    <row r="25">
      <c r="A25" s="40" t="inlineStr">
        <is>
          <t>VALERO_CORPUS_CHRISTI</t>
        </is>
      </c>
      <c r="B25" s="28" t="n">
        <v>3</v>
      </c>
      <c r="C25" s="28" t="inlineStr">
        <is>
          <t>CDU</t>
        </is>
      </c>
      <c r="D25" s="41" t="n">
        <v>46213</v>
      </c>
      <c r="E25" s="41" t="n">
        <v>46231</v>
      </c>
      <c r="F25" s="42">
        <f>$E25-$D25</f>
        <v/>
      </c>
      <c r="G25" s="28" t="inlineStr">
        <is>
          <t>Planned</t>
        </is>
      </c>
      <c r="H25" s="28">
        <f>IF(AND($D25&lt;=TODAY(),$E25&gt;=TODAY()),"LIVE","")</f>
        <v/>
      </c>
      <c r="I25" s="43" t="n">
        <v>37.2</v>
      </c>
      <c r="J25" s="44" t="n">
        <v>1</v>
      </c>
      <c r="K25" s="28" t="inlineStr">
        <is>
          <t>Confirmed</t>
        </is>
      </c>
      <c r="L25" s="28" t="inlineStr">
        <is>
          <t>Mechanical</t>
        </is>
      </c>
      <c r="M25" s="28" t="inlineStr">
        <is>
          <t>Bill Greehey Refinery-West</t>
        </is>
      </c>
    </row>
    <row r="26">
      <c r="A26" s="40" t="inlineStr">
        <is>
          <t>VALERO_CORPUS_CHRISTI</t>
        </is>
      </c>
      <c r="B26" s="28" t="n">
        <v>3</v>
      </c>
      <c r="C26" s="28" t="inlineStr">
        <is>
          <t>VDU</t>
        </is>
      </c>
      <c r="D26" s="41" t="n">
        <v>46213</v>
      </c>
      <c r="E26" s="41" t="n">
        <v>46231</v>
      </c>
      <c r="F26" s="42">
        <f>$E26-$D26</f>
        <v/>
      </c>
      <c r="G26" s="28" t="inlineStr">
        <is>
          <t>Planned</t>
        </is>
      </c>
      <c r="H26" s="28">
        <f>IF(AND($D26&lt;=TODAY(),$E26&gt;=TODAY()),"LIVE","")</f>
        <v/>
      </c>
      <c r="I26" s="43" t="n">
        <v>30</v>
      </c>
      <c r="J26" s="44" t="n">
        <v>1</v>
      </c>
      <c r="K26" s="28" t="inlineStr">
        <is>
          <t>Confirmed</t>
        </is>
      </c>
      <c r="L26" s="28" t="inlineStr">
        <is>
          <t>Mechanical</t>
        </is>
      </c>
      <c r="M26" s="28" t="inlineStr">
        <is>
          <t>Bill Greehey Refinery-West</t>
        </is>
      </c>
    </row>
    <row r="27">
      <c r="A27" s="40" t="inlineStr">
        <is>
          <t>EXXONMOBIL_BEAUMONT</t>
        </is>
      </c>
      <c r="B27" s="28" t="n">
        <v>3</v>
      </c>
      <c r="C27" s="28" t="inlineStr">
        <is>
          <t>COKER</t>
        </is>
      </c>
      <c r="D27" s="41" t="n">
        <v>46230</v>
      </c>
      <c r="E27" s="41" t="n">
        <v>46277</v>
      </c>
      <c r="F27" s="42">
        <f>$E27-$D27</f>
        <v/>
      </c>
      <c r="G27" s="28" t="inlineStr">
        <is>
          <t>Planned</t>
        </is>
      </c>
      <c r="H27" s="28">
        <f>IF(AND($D27&lt;=TODAY(),$E27&gt;=TODAY()),"LIVE","")</f>
        <v/>
      </c>
      <c r="I27" s="43" t="n">
        <v>15</v>
      </c>
      <c r="J27" s="44" t="n">
        <v>0.25</v>
      </c>
      <c r="K27" s="28" t="inlineStr">
        <is>
          <t>Confirmed</t>
        </is>
      </c>
      <c r="L27" s="28" t="inlineStr">
        <is>
          <t>Mechanical</t>
        </is>
      </c>
      <c r="M27" s="28" t="inlineStr">
        <is>
          <t>Beaumont Refinery</t>
        </is>
      </c>
    </row>
    <row r="28">
      <c r="A28" s="40" t="inlineStr">
        <is>
          <t>VERTEX_MOBILE</t>
        </is>
      </c>
      <c r="B28" s="28" t="n">
        <v>3</v>
      </c>
      <c r="C28" s="28" t="inlineStr">
        <is>
          <t>CDU</t>
        </is>
      </c>
      <c r="D28" s="41" t="n">
        <v>46241</v>
      </c>
      <c r="E28" s="41" t="n">
        <v>46265</v>
      </c>
      <c r="F28" s="42">
        <f>$E28-$D28</f>
        <v/>
      </c>
      <c r="G28" s="28" t="inlineStr">
        <is>
          <t>Planned</t>
        </is>
      </c>
      <c r="H28" s="28">
        <f>IF(AND($D28&lt;=TODAY(),$E28&gt;=TODAY()),"LIVE","")</f>
        <v/>
      </c>
      <c r="I28" s="43" t="n">
        <v>40</v>
      </c>
      <c r="J28" s="44" t="n">
        <v>1</v>
      </c>
      <c r="K28" s="28" t="inlineStr">
        <is>
          <t>Confirmed</t>
        </is>
      </c>
      <c r="L28" s="28" t="inlineStr">
        <is>
          <t>Mechanical</t>
        </is>
      </c>
      <c r="M28" s="28" t="inlineStr">
        <is>
          <t>Mobile Refinery (Vertex)</t>
        </is>
      </c>
    </row>
    <row r="29">
      <c r="A29" s="40" t="inlineStr">
        <is>
          <t>VERTEX_MOBILE</t>
        </is>
      </c>
      <c r="B29" s="28" t="n">
        <v>3</v>
      </c>
      <c r="C29" s="28" t="inlineStr">
        <is>
          <t>REF</t>
        </is>
      </c>
      <c r="D29" s="41" t="n">
        <v>46241</v>
      </c>
      <c r="E29" s="41" t="n">
        <v>46265</v>
      </c>
      <c r="F29" s="42">
        <f>$E29-$D29</f>
        <v/>
      </c>
      <c r="G29" s="28" t="inlineStr">
        <is>
          <t>Planned</t>
        </is>
      </c>
      <c r="H29" s="28">
        <f>IF(AND($D29&lt;=TODAY(),$E29&gt;=TODAY()),"LIVE","")</f>
        <v/>
      </c>
      <c r="I29" s="43" t="n">
        <v>7</v>
      </c>
      <c r="J29" s="44" t="n">
        <v>1</v>
      </c>
      <c r="K29" s="28" t="inlineStr">
        <is>
          <t>Confirmed</t>
        </is>
      </c>
      <c r="L29" s="28" t="inlineStr">
        <is>
          <t>Mechanical</t>
        </is>
      </c>
      <c r="M29" s="28" t="inlineStr">
        <is>
          <t>Mobile Refinery (Vertex)</t>
        </is>
      </c>
    </row>
    <row r="30">
      <c r="A30" s="40" t="inlineStr">
        <is>
          <t>VERTEX_MOBILE</t>
        </is>
      </c>
      <c r="B30" s="28" t="n">
        <v>3</v>
      </c>
      <c r="C30" s="28" t="inlineStr">
        <is>
          <t>DHCU</t>
        </is>
      </c>
      <c r="D30" s="41" t="n">
        <v>46241</v>
      </c>
      <c r="E30" s="41" t="n">
        <v>46265</v>
      </c>
      <c r="F30" s="42">
        <f>$E30-$D30</f>
        <v/>
      </c>
      <c r="G30" s="28" t="inlineStr">
        <is>
          <t>Planned</t>
        </is>
      </c>
      <c r="H30" s="28">
        <f>IF(AND($D30&lt;=TODAY(),$E30&gt;=TODAY()),"LIVE","")</f>
        <v/>
      </c>
      <c r="I30" s="43" t="n">
        <v>30</v>
      </c>
      <c r="J30" s="44" t="n">
        <v>1</v>
      </c>
      <c r="K30" s="28" t="inlineStr">
        <is>
          <t>Confirmed</t>
        </is>
      </c>
      <c r="L30" s="28" t="inlineStr">
        <is>
          <t>Mechanical</t>
        </is>
      </c>
      <c r="M30" s="28" t="inlineStr">
        <is>
          <t>Mobile Refinery (Vertex)</t>
        </is>
      </c>
    </row>
    <row r="31">
      <c r="A31" s="40" t="inlineStr">
        <is>
          <t>VERTEX_MOBILE</t>
        </is>
      </c>
      <c r="B31" s="28" t="n">
        <v>3</v>
      </c>
      <c r="C31" s="28" t="inlineStr">
        <is>
          <t>VDU</t>
        </is>
      </c>
      <c r="D31" s="41" t="n">
        <v>46241</v>
      </c>
      <c r="E31" s="41" t="n">
        <v>46265</v>
      </c>
      <c r="F31" s="42">
        <f>$E31-$D31</f>
        <v/>
      </c>
      <c r="G31" s="28" t="inlineStr">
        <is>
          <t>Planned</t>
        </is>
      </c>
      <c r="H31" s="28">
        <f>IF(AND($D31&lt;=TODAY(),$E31&gt;=TODAY()),"LIVE","")</f>
        <v/>
      </c>
      <c r="I31" s="43" t="n">
        <v>18</v>
      </c>
      <c r="J31" s="44" t="n">
        <v>1</v>
      </c>
      <c r="K31" s="28" t="inlineStr">
        <is>
          <t>Confirmed</t>
        </is>
      </c>
      <c r="L31" s="28" t="inlineStr">
        <is>
          <t>Mechanical</t>
        </is>
      </c>
      <c r="M31" s="28" t="inlineStr">
        <is>
          <t>Mobile Refinery (Vertex)</t>
        </is>
      </c>
    </row>
    <row r="32">
      <c r="A32" s="40" t="inlineStr">
        <is>
          <t>VALERO_SUNRAY</t>
        </is>
      </c>
      <c r="B32" s="28" t="n">
        <v>3</v>
      </c>
      <c r="C32" s="28" t="inlineStr">
        <is>
          <t>DHCU</t>
        </is>
      </c>
      <c r="D32" s="41" t="n">
        <v>46248</v>
      </c>
      <c r="E32" s="41" t="n">
        <v>46289</v>
      </c>
      <c r="F32" s="42">
        <f>$E32-$D32</f>
        <v/>
      </c>
      <c r="G32" s="28" t="inlineStr">
        <is>
          <t>Planned</t>
        </is>
      </c>
      <c r="H32" s="28">
        <f>IF(AND($D32&lt;=TODAY(),$E32&gt;=TODAY()),"LIVE","")</f>
        <v/>
      </c>
      <c r="I32" s="43" t="n">
        <v>30</v>
      </c>
      <c r="J32" s="44" t="n">
        <v>1</v>
      </c>
      <c r="K32" s="28" t="inlineStr">
        <is>
          <t>Confirmed</t>
        </is>
      </c>
      <c r="L32" s="28" t="inlineStr">
        <is>
          <t>Mechanical</t>
        </is>
      </c>
      <c r="M32" s="28" t="inlineStr">
        <is>
          <t>McKee Refinery</t>
        </is>
      </c>
    </row>
    <row r="33">
      <c r="A33" s="40" t="inlineStr">
        <is>
          <t>SHELL_NORCO</t>
        </is>
      </c>
      <c r="B33" s="28" t="n">
        <v>3</v>
      </c>
      <c r="C33" s="28" t="inlineStr">
        <is>
          <t>DHCU</t>
        </is>
      </c>
      <c r="D33" s="41" t="n">
        <v>46251</v>
      </c>
      <c r="E33" s="41" t="n">
        <v>46281</v>
      </c>
      <c r="F33" s="42">
        <f>$E33-$D33</f>
        <v/>
      </c>
      <c r="G33" s="28" t="inlineStr">
        <is>
          <t>Planned</t>
        </is>
      </c>
      <c r="H33" s="28">
        <f>IF(AND($D33&lt;=TODAY(),$E33&gt;=TODAY()),"LIVE","")</f>
        <v/>
      </c>
      <c r="I33" s="43" t="n">
        <v>75</v>
      </c>
      <c r="J33" s="44" t="n">
        <v>1</v>
      </c>
      <c r="K33" s="28" t="inlineStr">
        <is>
          <t>Confirmed</t>
        </is>
      </c>
      <c r="L33" s="28" t="inlineStr">
        <is>
          <t>Mechanical</t>
        </is>
      </c>
      <c r="M33" s="28" t="inlineStr">
        <is>
          <t>Saint Charles Refinery</t>
        </is>
      </c>
    </row>
    <row r="34">
      <c r="A34" s="40" t="inlineStr">
        <is>
          <t>CHEVRON_EL_SEGUNDO</t>
        </is>
      </c>
      <c r="B34" s="28" t="n">
        <v>5</v>
      </c>
      <c r="C34" s="28" t="inlineStr">
        <is>
          <t>NHT</t>
        </is>
      </c>
      <c r="D34" s="41" t="n">
        <v>46262</v>
      </c>
      <c r="E34" s="41" t="n">
        <v>46284</v>
      </c>
      <c r="F34" s="42">
        <f>$E34-$D34</f>
        <v/>
      </c>
      <c r="G34" s="28" t="inlineStr">
        <is>
          <t>Planned</t>
        </is>
      </c>
      <c r="H34" s="28">
        <f>IF(AND($D34&lt;=TODAY(),$E34&gt;=TODAY()),"LIVE","")</f>
        <v/>
      </c>
      <c r="I34" s="43" t="n">
        <v>12</v>
      </c>
      <c r="J34" s="44" t="n">
        <v>1</v>
      </c>
      <c r="K34" s="28" t="inlineStr">
        <is>
          <t>Confirmed</t>
        </is>
      </c>
      <c r="L34" s="28" t="inlineStr">
        <is>
          <t>Mechanical</t>
        </is>
      </c>
      <c r="M34" s="28" t="inlineStr">
        <is>
          <t>El Segundo Refinery</t>
        </is>
      </c>
    </row>
    <row r="35">
      <c r="A35" s="40" t="inlineStr">
        <is>
          <t>MARATHON_GARYVILLE</t>
        </is>
      </c>
      <c r="B35" s="28" t="n">
        <v>3</v>
      </c>
      <c r="C35" s="28" t="inlineStr">
        <is>
          <t>NHT</t>
        </is>
      </c>
      <c r="D35" s="41" t="n">
        <v>46262</v>
      </c>
      <c r="E35" s="41" t="n">
        <v>46277</v>
      </c>
      <c r="F35" s="42">
        <f>$E35-$D35</f>
        <v/>
      </c>
      <c r="G35" s="28" t="inlineStr">
        <is>
          <t>Planned</t>
        </is>
      </c>
      <c r="H35" s="28">
        <f>IF(AND($D35&lt;=TODAY(),$E35&gt;=TODAY()),"LIVE","")</f>
        <v/>
      </c>
      <c r="I35" s="43" t="n">
        <v>43</v>
      </c>
      <c r="J35" s="44" t="n">
        <v>1</v>
      </c>
      <c r="K35" s="28" t="inlineStr">
        <is>
          <t>Confirmed</t>
        </is>
      </c>
      <c r="L35" s="28" t="inlineStr">
        <is>
          <t>Mechanical</t>
        </is>
      </c>
      <c r="M35" s="28" t="inlineStr">
        <is>
          <t>Garyville Refinery</t>
        </is>
      </c>
    </row>
    <row r="36">
      <c r="A36" s="40" t="inlineStr">
        <is>
          <t>PBF_MARTINEZ</t>
        </is>
      </c>
      <c r="B36" s="28" t="n">
        <v>5</v>
      </c>
      <c r="C36" s="28" t="inlineStr">
        <is>
          <t>DHCU</t>
        </is>
      </c>
      <c r="D36" s="41" t="n">
        <v>46262</v>
      </c>
      <c r="E36" s="41" t="n">
        <v>46306</v>
      </c>
      <c r="F36" s="42">
        <f>$E36-$D36</f>
        <v/>
      </c>
      <c r="G36" s="28" t="inlineStr">
        <is>
          <t>Planned</t>
        </is>
      </c>
      <c r="H36" s="28">
        <f>IF(AND($D36&lt;=TODAY(),$E36&gt;=TODAY()),"LIVE","")</f>
        <v/>
      </c>
      <c r="I36" s="43" t="n">
        <v>42</v>
      </c>
      <c r="J36" s="44" t="n">
        <v>1</v>
      </c>
      <c r="K36" s="28" t="inlineStr">
        <is>
          <t>Confirmed</t>
        </is>
      </c>
      <c r="L36" s="28" t="inlineStr">
        <is>
          <t>Mechanical</t>
        </is>
      </c>
      <c r="M36" s="28" t="inlineStr">
        <is>
          <t>Martinez Refinery (PBF)</t>
        </is>
      </c>
    </row>
    <row r="37">
      <c r="A37" s="40" t="inlineStr">
        <is>
          <t>PBF_MARTINEZ</t>
        </is>
      </c>
      <c r="B37" s="28" t="n">
        <v>5</v>
      </c>
      <c r="C37" s="28" t="inlineStr">
        <is>
          <t>ISOM</t>
        </is>
      </c>
      <c r="D37" s="41" t="n">
        <v>46262</v>
      </c>
      <c r="E37" s="41" t="n">
        <v>46306</v>
      </c>
      <c r="F37" s="42">
        <f>$E37-$D37</f>
        <v/>
      </c>
      <c r="G37" s="28" t="inlineStr">
        <is>
          <t>Planned</t>
        </is>
      </c>
      <c r="H37" s="28">
        <f>IF(AND($D37&lt;=TODAY(),$E37&gt;=TODAY()),"LIVE","")</f>
        <v/>
      </c>
      <c r="I37" s="43" t="n">
        <v>1.5</v>
      </c>
      <c r="J37" s="44" t="n">
        <v>1</v>
      </c>
      <c r="K37" s="28" t="inlineStr">
        <is>
          <t>Confirmed</t>
        </is>
      </c>
      <c r="L37" s="28" t="inlineStr">
        <is>
          <t>Mechanical</t>
        </is>
      </c>
      <c r="M37" s="28" t="inlineStr">
        <is>
          <t>Martinez Refinery (PBF)</t>
        </is>
      </c>
    </row>
    <row r="38">
      <c r="A38" s="40" t="inlineStr">
        <is>
          <t>PBF_MARTINEZ</t>
        </is>
      </c>
      <c r="B38" s="28" t="n">
        <v>5</v>
      </c>
      <c r="C38" s="28" t="inlineStr">
        <is>
          <t>REF</t>
        </is>
      </c>
      <c r="D38" s="41" t="n">
        <v>46262</v>
      </c>
      <c r="E38" s="41" t="n">
        <v>46306</v>
      </c>
      <c r="F38" s="42">
        <f>$E38-$D38</f>
        <v/>
      </c>
      <c r="G38" s="28" t="inlineStr">
        <is>
          <t>Planned</t>
        </is>
      </c>
      <c r="H38" s="28">
        <f>IF(AND($D38&lt;=TODAY(),$E38&gt;=TODAY()),"LIVE","")</f>
        <v/>
      </c>
      <c r="I38" s="43" t="n">
        <v>29.5</v>
      </c>
      <c r="J38" s="44" t="n">
        <v>1</v>
      </c>
      <c r="K38" s="28" t="inlineStr">
        <is>
          <t>Confirmed</t>
        </is>
      </c>
      <c r="L38" s="28" t="inlineStr">
        <is>
          <t>Mechanical</t>
        </is>
      </c>
      <c r="M38" s="28" t="inlineStr">
        <is>
          <t>Martinez Refinery (PBF)</t>
        </is>
      </c>
    </row>
    <row r="39">
      <c r="A39" s="40" t="inlineStr">
        <is>
          <t>PBF_CHALMETTE</t>
        </is>
      </c>
      <c r="B39" s="28" t="n">
        <v>3</v>
      </c>
      <c r="C39" s="28" t="inlineStr">
        <is>
          <t>CDU</t>
        </is>
      </c>
      <c r="D39" s="41" t="n">
        <v>46266</v>
      </c>
      <c r="E39" s="41" t="n">
        <v>46335</v>
      </c>
      <c r="F39" s="42">
        <f>$E39-$D39</f>
        <v/>
      </c>
      <c r="G39" s="28" t="inlineStr">
        <is>
          <t>Planned</t>
        </is>
      </c>
      <c r="H39" s="28">
        <f>IF(AND($D39&lt;=TODAY(),$E39&gt;=TODAY()),"LIVE","")</f>
        <v/>
      </c>
      <c r="I39" s="43" t="n">
        <v>96</v>
      </c>
      <c r="J39" s="44" t="n">
        <v>1</v>
      </c>
      <c r="K39" s="28" t="inlineStr">
        <is>
          <t>Confirmed</t>
        </is>
      </c>
      <c r="L39" s="28" t="inlineStr"/>
      <c r="M39" s="28" t="inlineStr">
        <is>
          <t>Chalmette Refinery</t>
        </is>
      </c>
    </row>
    <row r="40">
      <c r="A40" s="40" t="inlineStr">
        <is>
          <t>PBF_CHALMETTE</t>
        </is>
      </c>
      <c r="B40" s="28" t="n">
        <v>3</v>
      </c>
      <c r="C40" s="28" t="inlineStr">
        <is>
          <t>COKER</t>
        </is>
      </c>
      <c r="D40" s="41" t="n">
        <v>46266</v>
      </c>
      <c r="E40" s="41" t="n">
        <v>46335</v>
      </c>
      <c r="F40" s="42">
        <f>$E40-$D40</f>
        <v/>
      </c>
      <c r="G40" s="28" t="inlineStr">
        <is>
          <t>Planned</t>
        </is>
      </c>
      <c r="H40" s="28">
        <f>IF(AND($D40&lt;=TODAY(),$E40&gt;=TODAY()),"LIVE","")</f>
        <v/>
      </c>
      <c r="I40" s="43" t="n">
        <v>30</v>
      </c>
      <c r="J40" s="44" t="n">
        <v>1</v>
      </c>
      <c r="K40" s="28" t="inlineStr">
        <is>
          <t>Confirmed</t>
        </is>
      </c>
      <c r="L40" s="28" t="inlineStr">
        <is>
          <t>Mechanical</t>
        </is>
      </c>
      <c r="M40" s="28" t="inlineStr">
        <is>
          <t>Chalmette Refinery</t>
        </is>
      </c>
    </row>
    <row r="41">
      <c r="A41" s="40" t="inlineStr">
        <is>
          <t>PHILLIPS_PONCA_CITY</t>
        </is>
      </c>
      <c r="B41" s="28" t="n">
        <v>2</v>
      </c>
      <c r="C41" s="28" t="inlineStr">
        <is>
          <t>NHT</t>
        </is>
      </c>
      <c r="D41" s="41" t="n">
        <v>46266</v>
      </c>
      <c r="E41" s="41" t="n">
        <v>46298</v>
      </c>
      <c r="F41" s="42">
        <f>$E41-$D41</f>
        <v/>
      </c>
      <c r="G41" s="28" t="inlineStr">
        <is>
          <t>Planned</t>
        </is>
      </c>
      <c r="H41" s="28">
        <f>IF(AND($D41&lt;=TODAY(),$E41&gt;=TODAY()),"LIVE","")</f>
        <v/>
      </c>
      <c r="I41" s="43" t="n">
        <v>16</v>
      </c>
      <c r="J41" s="44" t="n">
        <v>1</v>
      </c>
      <c r="K41" s="28" t="inlineStr">
        <is>
          <t>Confirmed</t>
        </is>
      </c>
      <c r="L41" s="28" t="inlineStr">
        <is>
          <t>Mechanical</t>
        </is>
      </c>
      <c r="M41" s="28" t="inlineStr">
        <is>
          <t>Ponca City Refinery</t>
        </is>
      </c>
    </row>
    <row r="42">
      <c r="A42" s="40" t="inlineStr">
        <is>
          <t>PHILLIPS_PONCA_CITY</t>
        </is>
      </c>
      <c r="B42" s="28" t="n">
        <v>2</v>
      </c>
      <c r="C42" s="28" t="inlineStr">
        <is>
          <t>REF</t>
        </is>
      </c>
      <c r="D42" s="41" t="n">
        <v>46266</v>
      </c>
      <c r="E42" s="41" t="n">
        <v>46298</v>
      </c>
      <c r="F42" s="42">
        <f>$E42-$D42</f>
        <v/>
      </c>
      <c r="G42" s="28" t="inlineStr">
        <is>
          <t>Planned</t>
        </is>
      </c>
      <c r="H42" s="28">
        <f>IF(AND($D42&lt;=TODAY(),$E42&gt;=TODAY()),"LIVE","")</f>
        <v/>
      </c>
      <c r="I42" s="43" t="n">
        <v>20</v>
      </c>
      <c r="J42" s="44" t="n">
        <v>1</v>
      </c>
      <c r="K42" s="28" t="inlineStr">
        <is>
          <t>Confirmed</t>
        </is>
      </c>
      <c r="L42" s="28" t="inlineStr">
        <is>
          <t>Mechanical</t>
        </is>
      </c>
      <c r="M42" s="28" t="inlineStr">
        <is>
          <t>Ponca City Refinery</t>
        </is>
      </c>
    </row>
    <row r="43">
      <c r="A43" s="40" t="inlineStr">
        <is>
          <t>PHILLIPS_PONCA_CITY</t>
        </is>
      </c>
      <c r="B43" s="28" t="n">
        <v>2</v>
      </c>
      <c r="C43" s="28" t="inlineStr">
        <is>
          <t>REF</t>
        </is>
      </c>
      <c r="D43" s="41" t="n">
        <v>46266</v>
      </c>
      <c r="E43" s="41" t="n">
        <v>46298</v>
      </c>
      <c r="F43" s="42">
        <f>$E43-$D43</f>
        <v/>
      </c>
      <c r="G43" s="28" t="inlineStr">
        <is>
          <t>Planned</t>
        </is>
      </c>
      <c r="H43" s="28">
        <f>IF(AND($D43&lt;=TODAY(),$E43&gt;=TODAY()),"LIVE","")</f>
        <v/>
      </c>
      <c r="I43" s="43" t="n">
        <v>20</v>
      </c>
      <c r="J43" s="44" t="n">
        <v>1</v>
      </c>
      <c r="K43" s="28" t="inlineStr">
        <is>
          <t>Confirmed</t>
        </is>
      </c>
      <c r="L43" s="28" t="inlineStr">
        <is>
          <t>Mechanical</t>
        </is>
      </c>
      <c r="M43" s="28" t="inlineStr">
        <is>
          <t>Ponca City Refinery</t>
        </is>
      </c>
    </row>
    <row r="44">
      <c r="A44" s="40" t="inlineStr">
        <is>
          <t>PHILLIPS_PONCA_CITY</t>
        </is>
      </c>
      <c r="B44" s="28" t="n">
        <v>2</v>
      </c>
      <c r="C44" s="28" t="inlineStr">
        <is>
          <t>COKER</t>
        </is>
      </c>
      <c r="D44" s="41" t="n">
        <v>46266</v>
      </c>
      <c r="E44" s="41" t="n">
        <v>46298</v>
      </c>
      <c r="F44" s="42">
        <f>$E44-$D44</f>
        <v/>
      </c>
      <c r="G44" s="28" t="inlineStr">
        <is>
          <t>Planned</t>
        </is>
      </c>
      <c r="H44" s="28">
        <f>IF(AND($D44&lt;=TODAY(),$E44&gt;=TODAY()),"LIVE","")</f>
        <v/>
      </c>
      <c r="I44" s="43" t="n">
        <v>31</v>
      </c>
      <c r="J44" s="44" t="n">
        <v>1</v>
      </c>
      <c r="K44" s="28" t="inlineStr">
        <is>
          <t>Confirmed</t>
        </is>
      </c>
      <c r="L44" s="28" t="inlineStr">
        <is>
          <t>Mechanical</t>
        </is>
      </c>
      <c r="M44" s="28" t="inlineStr">
        <is>
          <t>Ponca City Refinery</t>
        </is>
      </c>
    </row>
    <row r="45">
      <c r="A45" s="40" t="inlineStr">
        <is>
          <t>VALERO_MEMPHIS</t>
        </is>
      </c>
      <c r="B45" s="28" t="n">
        <v>2</v>
      </c>
      <c r="C45" s="28" t="inlineStr">
        <is>
          <t>DHCU</t>
        </is>
      </c>
      <c r="D45" s="41" t="n">
        <v>46266</v>
      </c>
      <c r="E45" s="41" t="n">
        <v>46296</v>
      </c>
      <c r="F45" s="42">
        <f>$E45-$D45</f>
        <v/>
      </c>
      <c r="G45" s="28" t="inlineStr">
        <is>
          <t>Planned</t>
        </is>
      </c>
      <c r="H45" s="28">
        <f>IF(AND($D45&lt;=TODAY(),$E45&gt;=TODAY()),"LIVE","")</f>
        <v/>
      </c>
      <c r="I45" s="43" t="n">
        <v>33</v>
      </c>
      <c r="J45" s="44" t="n">
        <v>1</v>
      </c>
      <c r="K45" s="28" t="inlineStr">
        <is>
          <t>Confirmed</t>
        </is>
      </c>
      <c r="L45" s="28" t="inlineStr">
        <is>
          <t>Mechanical</t>
        </is>
      </c>
      <c r="M45" s="28" t="inlineStr">
        <is>
          <t>Memphis Refinery</t>
        </is>
      </c>
    </row>
    <row r="46">
      <c r="A46" s="40" t="inlineStr">
        <is>
          <t>EXXONMOBIL_BATON_ROUGE</t>
        </is>
      </c>
      <c r="B46" s="28" t="n">
        <v>3</v>
      </c>
      <c r="C46" s="28" t="inlineStr">
        <is>
          <t>NHT</t>
        </is>
      </c>
      <c r="D46" s="41" t="n">
        <v>46269</v>
      </c>
      <c r="E46" s="41" t="n">
        <v>46303</v>
      </c>
      <c r="F46" s="42">
        <f>$E46-$D46</f>
        <v/>
      </c>
      <c r="G46" s="28" t="inlineStr">
        <is>
          <t>Planned</t>
        </is>
      </c>
      <c r="H46" s="28">
        <f>IF(AND($D46&lt;=TODAY(),$E46&gt;=TODAY()),"LIVE","")</f>
        <v/>
      </c>
      <c r="I46" s="43" t="n">
        <v>50</v>
      </c>
      <c r="J46" s="44" t="n">
        <v>1</v>
      </c>
      <c r="K46" s="28" t="inlineStr">
        <is>
          <t>Confirmed</t>
        </is>
      </c>
      <c r="L46" s="28" t="inlineStr">
        <is>
          <t>Mechanical</t>
        </is>
      </c>
      <c r="M46" s="28" t="inlineStr">
        <is>
          <t>Baton Rouge Refinery</t>
        </is>
      </c>
    </row>
    <row r="47">
      <c r="A47" s="40" t="inlineStr">
        <is>
          <t>EXXONMOBIL_BATON_ROUGE</t>
        </is>
      </c>
      <c r="B47" s="28" t="n">
        <v>3</v>
      </c>
      <c r="C47" s="28" t="inlineStr">
        <is>
          <t>REF</t>
        </is>
      </c>
      <c r="D47" s="41" t="n">
        <v>46269</v>
      </c>
      <c r="E47" s="41" t="n">
        <v>46303</v>
      </c>
      <c r="F47" s="42">
        <f>$E47-$D47</f>
        <v/>
      </c>
      <c r="G47" s="28" t="inlineStr">
        <is>
          <t>Planned</t>
        </is>
      </c>
      <c r="H47" s="28">
        <f>IF(AND($D47&lt;=TODAY(),$E47&gt;=TODAY()),"LIVE","")</f>
        <v/>
      </c>
      <c r="I47" s="43" t="n">
        <v>39</v>
      </c>
      <c r="J47" s="44" t="n">
        <v>1</v>
      </c>
      <c r="K47" s="28" t="inlineStr">
        <is>
          <t>Confirmed</t>
        </is>
      </c>
      <c r="L47" s="28" t="inlineStr"/>
      <c r="M47" s="28" t="inlineStr">
        <is>
          <t>Baton Rouge Refinery</t>
        </is>
      </c>
    </row>
    <row r="48">
      <c r="A48" s="40" t="inlineStr">
        <is>
          <t>MONROE_TRAINER</t>
        </is>
      </c>
      <c r="B48" s="28" t="n">
        <v>1</v>
      </c>
      <c r="C48" s="28" t="inlineStr">
        <is>
          <t>VDU</t>
        </is>
      </c>
      <c r="D48" s="41" t="n">
        <v>46271</v>
      </c>
      <c r="E48" s="41" t="n">
        <v>46305</v>
      </c>
      <c r="F48" s="42">
        <f>$E48-$D48</f>
        <v/>
      </c>
      <c r="G48" s="28" t="inlineStr">
        <is>
          <t>Planned</t>
        </is>
      </c>
      <c r="H48" s="28">
        <f>IF(AND($D48&lt;=TODAY(),$E48&gt;=TODAY()),"LIVE","")</f>
        <v/>
      </c>
      <c r="I48" s="43" t="n">
        <v>24.334</v>
      </c>
      <c r="J48" s="44" t="n">
        <v>1</v>
      </c>
      <c r="K48" s="28" t="inlineStr">
        <is>
          <t>Confirmed</t>
        </is>
      </c>
      <c r="L48" s="28" t="inlineStr">
        <is>
          <t>Mechanical</t>
        </is>
      </c>
      <c r="M48" s="28" t="inlineStr">
        <is>
          <t>Trainer Refinery</t>
        </is>
      </c>
    </row>
    <row r="49">
      <c r="A49" s="40" t="inlineStr">
        <is>
          <t>MPC_GALV_BAY</t>
        </is>
      </c>
      <c r="B49" s="28" t="n">
        <v>3</v>
      </c>
      <c r="C49" s="28" t="inlineStr">
        <is>
          <t>REF</t>
        </is>
      </c>
      <c r="D49" s="41" t="n">
        <v>46273</v>
      </c>
      <c r="E49" s="41" t="n">
        <v>46337</v>
      </c>
      <c r="F49" s="42">
        <f>$E49-$D49</f>
        <v/>
      </c>
      <c r="G49" s="28" t="inlineStr">
        <is>
          <t>Planned</t>
        </is>
      </c>
      <c r="H49" s="28">
        <f>IF(AND($D49&lt;=TODAY(),$E49&gt;=TODAY()),"LIVE","")</f>
        <v/>
      </c>
      <c r="I49" s="43" t="n">
        <v>65</v>
      </c>
      <c r="J49" s="44" t="n">
        <v>1</v>
      </c>
      <c r="K49" s="28" t="inlineStr">
        <is>
          <t>Confirmed</t>
        </is>
      </c>
      <c r="L49" s="28" t="inlineStr">
        <is>
          <t>Mechanical</t>
        </is>
      </c>
      <c r="M49" s="28" t="inlineStr">
        <is>
          <t>Galveston Bay Refinery (GBR)</t>
        </is>
      </c>
    </row>
    <row r="50">
      <c r="A50" s="40" t="inlineStr">
        <is>
          <t>PBF_PAULSBORO</t>
        </is>
      </c>
      <c r="B50" s="28" t="n">
        <v>1</v>
      </c>
      <c r="C50" s="28" t="inlineStr">
        <is>
          <t>CDU</t>
        </is>
      </c>
      <c r="D50" s="41" t="n">
        <v>46282</v>
      </c>
      <c r="E50" s="41" t="n">
        <v>46316</v>
      </c>
      <c r="F50" s="42">
        <f>$E50-$D50</f>
        <v/>
      </c>
      <c r="G50" s="28" t="inlineStr">
        <is>
          <t>Planned</t>
        </is>
      </c>
      <c r="H50" s="28">
        <f>IF(AND($D50&lt;=TODAY(),$E50&gt;=TODAY()),"LIVE","")</f>
        <v/>
      </c>
      <c r="I50" s="43" t="n">
        <v>110</v>
      </c>
      <c r="J50" s="44" t="n">
        <v>1</v>
      </c>
      <c r="K50" s="28" t="inlineStr">
        <is>
          <t>Confirmed</t>
        </is>
      </c>
      <c r="L50" s="28" t="inlineStr">
        <is>
          <t>Mechanical</t>
        </is>
      </c>
      <c r="M50" s="28" t="inlineStr">
        <is>
          <t>Paulsboro Refinery (PBF)</t>
        </is>
      </c>
    </row>
    <row r="51">
      <c r="A51" s="40" t="inlineStr">
        <is>
          <t>PBF_PAULSBORO</t>
        </is>
      </c>
      <c r="B51" s="28" t="n">
        <v>1</v>
      </c>
      <c r="C51" s="28" t="inlineStr">
        <is>
          <t>VDU</t>
        </is>
      </c>
      <c r="D51" s="41" t="n">
        <v>46282</v>
      </c>
      <c r="E51" s="41" t="n">
        <v>46316</v>
      </c>
      <c r="F51" s="42">
        <f>$E51-$D51</f>
        <v/>
      </c>
      <c r="G51" s="28" t="inlineStr">
        <is>
          <t>Planned</t>
        </is>
      </c>
      <c r="H51" s="28">
        <f>IF(AND($D51&lt;=TODAY(),$E51&gt;=TODAY()),"LIVE","")</f>
        <v/>
      </c>
      <c r="I51" s="43" t="n">
        <v>0</v>
      </c>
      <c r="J51" s="44" t="n"/>
      <c r="K51" s="28" t="inlineStr">
        <is>
          <t>Confirmed</t>
        </is>
      </c>
      <c r="L51" s="28" t="inlineStr">
        <is>
          <t>Mechanical</t>
        </is>
      </c>
      <c r="M51" s="28" t="inlineStr">
        <is>
          <t>Paulsboro Refinery (PBF)</t>
        </is>
      </c>
    </row>
    <row r="52">
      <c r="A52" s="40" t="inlineStr">
        <is>
          <t>CENOVUS_LIMA</t>
        </is>
      </c>
      <c r="B52" s="28" t="n">
        <v>2</v>
      </c>
      <c r="C52" s="28" t="inlineStr">
        <is>
          <t>CDU</t>
        </is>
      </c>
      <c r="D52" s="41" t="n">
        <v>46284</v>
      </c>
      <c r="E52" s="41" t="n">
        <v>46318</v>
      </c>
      <c r="F52" s="42">
        <f>$E52-$D52</f>
        <v/>
      </c>
      <c r="G52" s="28" t="inlineStr">
        <is>
          <t>Planned</t>
        </is>
      </c>
      <c r="H52" s="28">
        <f>IF(AND($D52&lt;=TODAY(),$E52&gt;=TODAY()),"LIVE","")</f>
        <v/>
      </c>
      <c r="I52" s="43" t="n">
        <v>172</v>
      </c>
      <c r="J52" s="44" t="n">
        <v>1</v>
      </c>
      <c r="K52" s="28" t="inlineStr">
        <is>
          <t>Confirmed</t>
        </is>
      </c>
      <c r="L52" s="28" t="inlineStr">
        <is>
          <t>Mechanical</t>
        </is>
      </c>
      <c r="M52" s="28" t="inlineStr">
        <is>
          <t>Lima Refinery</t>
        </is>
      </c>
    </row>
    <row r="53">
      <c r="A53" s="40" t="inlineStr">
        <is>
          <t>CENOVUS_LIMA</t>
        </is>
      </c>
      <c r="B53" s="28" t="n">
        <v>2</v>
      </c>
      <c r="C53" s="28" t="inlineStr">
        <is>
          <t>COKER</t>
        </is>
      </c>
      <c r="D53" s="41" t="n">
        <v>46284</v>
      </c>
      <c r="E53" s="41" t="n">
        <v>46318</v>
      </c>
      <c r="F53" s="42">
        <f>$E53-$D53</f>
        <v/>
      </c>
      <c r="G53" s="28" t="inlineStr">
        <is>
          <t>Planned</t>
        </is>
      </c>
      <c r="H53" s="28">
        <f>IF(AND($D53&lt;=TODAY(),$E53&gt;=TODAY()),"LIVE","")</f>
        <v/>
      </c>
      <c r="I53" s="43" t="n">
        <v>31.3</v>
      </c>
      <c r="J53" s="44" t="n">
        <v>1</v>
      </c>
      <c r="K53" s="28" t="inlineStr">
        <is>
          <t>Confirmed</t>
        </is>
      </c>
      <c r="L53" s="28" t="inlineStr">
        <is>
          <t>Mechanical</t>
        </is>
      </c>
      <c r="M53" s="28" t="inlineStr">
        <is>
          <t>Lima Refinery</t>
        </is>
      </c>
    </row>
    <row r="54">
      <c r="A54" s="40" t="inlineStr">
        <is>
          <t>CENOVUS_LIMA</t>
        </is>
      </c>
      <c r="B54" s="28" t="n">
        <v>2</v>
      </c>
      <c r="C54" s="28" t="inlineStr">
        <is>
          <t>FCC</t>
        </is>
      </c>
      <c r="D54" s="41" t="n">
        <v>46284</v>
      </c>
      <c r="E54" s="41" t="n">
        <v>46318</v>
      </c>
      <c r="F54" s="42">
        <f>$E54-$D54</f>
        <v/>
      </c>
      <c r="G54" s="28" t="inlineStr">
        <is>
          <t>Planned</t>
        </is>
      </c>
      <c r="H54" s="28">
        <f>IF(AND($D54&lt;=TODAY(),$E54&gt;=TODAY()),"LIVE","")</f>
        <v/>
      </c>
      <c r="I54" s="43" t="n">
        <v>40</v>
      </c>
      <c r="J54" s="44" t="n">
        <v>1</v>
      </c>
      <c r="K54" s="28" t="inlineStr">
        <is>
          <t>Confirmed</t>
        </is>
      </c>
      <c r="L54" s="28" t="inlineStr">
        <is>
          <t>Mechanical</t>
        </is>
      </c>
      <c r="M54" s="28" t="inlineStr">
        <is>
          <t>Lima Refinery</t>
        </is>
      </c>
    </row>
    <row r="55">
      <c r="A55" s="40" t="inlineStr">
        <is>
          <t>CENOVUS_LIMA</t>
        </is>
      </c>
      <c r="B55" s="28" t="n">
        <v>2</v>
      </c>
      <c r="C55" s="28" t="inlineStr">
        <is>
          <t>NHT</t>
        </is>
      </c>
      <c r="D55" s="41" t="n">
        <v>46284</v>
      </c>
      <c r="E55" s="41" t="n">
        <v>46318</v>
      </c>
      <c r="F55" s="42">
        <f>$E55-$D55</f>
        <v/>
      </c>
      <c r="G55" s="28" t="inlineStr">
        <is>
          <t>Planned</t>
        </is>
      </c>
      <c r="H55" s="28">
        <f>IF(AND($D55&lt;=TODAY(),$E55&gt;=TODAY()),"LIVE","")</f>
        <v/>
      </c>
      <c r="I55" s="43" t="n">
        <v>63</v>
      </c>
      <c r="J55" s="44" t="n">
        <v>1</v>
      </c>
      <c r="K55" s="28" t="inlineStr">
        <is>
          <t>Confirmed</t>
        </is>
      </c>
      <c r="L55" s="28" t="inlineStr">
        <is>
          <t>Mechanical</t>
        </is>
      </c>
      <c r="M55" s="28" t="inlineStr">
        <is>
          <t>Lima Refinery</t>
        </is>
      </c>
    </row>
    <row r="56">
      <c r="A56" s="40" t="inlineStr">
        <is>
          <t>CENOVUS_LIMA</t>
        </is>
      </c>
      <c r="B56" s="28" t="n">
        <v>2</v>
      </c>
      <c r="C56" s="28" t="inlineStr">
        <is>
          <t>DHCU</t>
        </is>
      </c>
      <c r="D56" s="41" t="n">
        <v>46284</v>
      </c>
      <c r="E56" s="41" t="n">
        <v>46318</v>
      </c>
      <c r="F56" s="42">
        <f>$E56-$D56</f>
        <v/>
      </c>
      <c r="G56" s="28" t="inlineStr">
        <is>
          <t>Planned</t>
        </is>
      </c>
      <c r="H56" s="28">
        <f>IF(AND($D56&lt;=TODAY(),$E56&gt;=TODAY()),"LIVE","")</f>
        <v/>
      </c>
      <c r="I56" s="43" t="n">
        <v>26</v>
      </c>
      <c r="J56" s="44" t="n">
        <v>1</v>
      </c>
      <c r="K56" s="28" t="inlineStr">
        <is>
          <t>Confirmed</t>
        </is>
      </c>
      <c r="L56" s="28" t="inlineStr">
        <is>
          <t>Mechanical</t>
        </is>
      </c>
      <c r="M56" s="28" t="inlineStr">
        <is>
          <t>Lima Refinery</t>
        </is>
      </c>
    </row>
    <row r="57">
      <c r="A57" s="40" t="inlineStr">
        <is>
          <t>CENOVUS_LIMA</t>
        </is>
      </c>
      <c r="B57" s="28" t="n">
        <v>2</v>
      </c>
      <c r="C57" s="28" t="inlineStr">
        <is>
          <t>REF</t>
        </is>
      </c>
      <c r="D57" s="41" t="n">
        <v>46284</v>
      </c>
      <c r="E57" s="41" t="n">
        <v>46318</v>
      </c>
      <c r="F57" s="42">
        <f>$E57-$D57</f>
        <v/>
      </c>
      <c r="G57" s="28" t="inlineStr">
        <is>
          <t>Planned</t>
        </is>
      </c>
      <c r="H57" s="28">
        <f>IF(AND($D57&lt;=TODAY(),$E57&gt;=TODAY()),"LIVE","")</f>
        <v/>
      </c>
      <c r="I57" s="43" t="n">
        <v>40</v>
      </c>
      <c r="J57" s="44" t="n">
        <v>1</v>
      </c>
      <c r="K57" s="28" t="inlineStr">
        <is>
          <t>Confirmed</t>
        </is>
      </c>
      <c r="L57" s="28" t="inlineStr">
        <is>
          <t>Mechanical</t>
        </is>
      </c>
      <c r="M57" s="28" t="inlineStr">
        <is>
          <t>Lima Refinery</t>
        </is>
      </c>
    </row>
    <row r="58">
      <c r="A58" s="40" t="inlineStr">
        <is>
          <t>CENOVUS_LIMA</t>
        </is>
      </c>
      <c r="B58" s="28" t="n">
        <v>2</v>
      </c>
      <c r="C58" s="28" t="inlineStr">
        <is>
          <t>VDU</t>
        </is>
      </c>
      <c r="D58" s="41" t="n">
        <v>46284</v>
      </c>
      <c r="E58" s="41" t="n">
        <v>46318</v>
      </c>
      <c r="F58" s="42">
        <f>$E58-$D58</f>
        <v/>
      </c>
      <c r="G58" s="28" t="inlineStr">
        <is>
          <t>Planned</t>
        </is>
      </c>
      <c r="H58" s="28">
        <f>IF(AND($D58&lt;=TODAY(),$E58&gt;=TODAY()),"LIVE","")</f>
        <v/>
      </c>
      <c r="I58" s="43" t="n">
        <v>52</v>
      </c>
      <c r="J58" s="44" t="n">
        <v>1</v>
      </c>
      <c r="K58" s="28" t="inlineStr">
        <is>
          <t>Confirmed</t>
        </is>
      </c>
      <c r="L58" s="28" t="inlineStr">
        <is>
          <t>Mechanical</t>
        </is>
      </c>
      <c r="M58" s="28" t="inlineStr">
        <is>
          <t>Lima Refinery</t>
        </is>
      </c>
    </row>
    <row r="59">
      <c r="A59" s="40" t="inlineStr">
        <is>
          <t>CITGO_CORPUS_CHRISTI</t>
        </is>
      </c>
      <c r="B59" s="28" t="n">
        <v>3</v>
      </c>
      <c r="C59" s="28" t="inlineStr">
        <is>
          <t>NHT</t>
        </is>
      </c>
      <c r="D59" s="41" t="n">
        <v>46293</v>
      </c>
      <c r="E59" s="41" t="n">
        <v>46325</v>
      </c>
      <c r="F59" s="42">
        <f>$E59-$D59</f>
        <v/>
      </c>
      <c r="G59" s="28" t="inlineStr">
        <is>
          <t>Planned</t>
        </is>
      </c>
      <c r="H59" s="28">
        <f>IF(AND($D59&lt;=TODAY(),$E59&gt;=TODAY()),"LIVE","")</f>
        <v/>
      </c>
      <c r="I59" s="43" t="n">
        <v>20</v>
      </c>
      <c r="J59" s="44" t="n">
        <v>1</v>
      </c>
      <c r="K59" s="28" t="inlineStr">
        <is>
          <t>Confirmed</t>
        </is>
      </c>
      <c r="L59" s="28" t="inlineStr">
        <is>
          <t>Mechanical</t>
        </is>
      </c>
      <c r="M59" s="28" t="inlineStr">
        <is>
          <t>Corpus Christi Refinery - East (CITGO)</t>
        </is>
      </c>
    </row>
    <row r="60">
      <c r="A60" s="40" t="inlineStr">
        <is>
          <t>CITGO_CORPUS_CHRISTI</t>
        </is>
      </c>
      <c r="B60" s="28" t="n">
        <v>3</v>
      </c>
      <c r="C60" s="28" t="inlineStr">
        <is>
          <t>CCR</t>
        </is>
      </c>
      <c r="D60" s="41" t="n">
        <v>46293</v>
      </c>
      <c r="E60" s="41" t="n">
        <v>46325</v>
      </c>
      <c r="F60" s="42">
        <f>$E60-$D60</f>
        <v/>
      </c>
      <c r="G60" s="28" t="inlineStr">
        <is>
          <t>Planned</t>
        </is>
      </c>
      <c r="H60" s="28">
        <f>IF(AND($D60&lt;=TODAY(),$E60&gt;=TODAY()),"LIVE","")</f>
        <v/>
      </c>
      <c r="I60" s="43" t="n">
        <v>20</v>
      </c>
      <c r="J60" s="44" t="n">
        <v>1</v>
      </c>
      <c r="K60" s="28" t="inlineStr">
        <is>
          <t>Confirmed</t>
        </is>
      </c>
      <c r="L60" s="28" t="inlineStr">
        <is>
          <t>Mechanical</t>
        </is>
      </c>
      <c r="M60" s="28" t="inlineStr">
        <is>
          <t>Corpus Christi Refinery - East (CITGO)</t>
        </is>
      </c>
    </row>
    <row r="61">
      <c r="A61" s="40" t="inlineStr">
        <is>
          <t>MARATHON_LOS_ANGELES</t>
        </is>
      </c>
      <c r="B61" s="28" t="n">
        <v>5</v>
      </c>
      <c r="C61" s="28" t="inlineStr">
        <is>
          <t>DHCU</t>
        </is>
      </c>
      <c r="D61" s="41" t="n">
        <v>46296</v>
      </c>
      <c r="E61" s="41" t="n">
        <v>46340</v>
      </c>
      <c r="F61" s="42">
        <f>$E61-$D61</f>
        <v/>
      </c>
      <c r="G61" s="28" t="inlineStr">
        <is>
          <t>Planned</t>
        </is>
      </c>
      <c r="H61" s="28">
        <f>IF(AND($D61&lt;=TODAY(),$E61&gt;=TODAY()),"LIVE","")</f>
        <v/>
      </c>
      <c r="I61" s="43" t="n">
        <v>36.8</v>
      </c>
      <c r="J61" s="44" t="n">
        <v>1</v>
      </c>
      <c r="K61" s="28" t="inlineStr">
        <is>
          <t>Confirmed</t>
        </is>
      </c>
      <c r="L61" s="28" t="inlineStr">
        <is>
          <t>Economic</t>
        </is>
      </c>
      <c r="M61" s="28" t="inlineStr">
        <is>
          <t>Los Angeles Refinery - Wilmington (Marathon)</t>
        </is>
      </c>
    </row>
    <row r="62">
      <c r="A62" s="40" t="inlineStr">
        <is>
          <t>MARATHON_LOS_ANGELES</t>
        </is>
      </c>
      <c r="B62" s="28" t="n">
        <v>5</v>
      </c>
      <c r="C62" s="28" t="inlineStr">
        <is>
          <t>REF</t>
        </is>
      </c>
      <c r="D62" s="41" t="n">
        <v>46296</v>
      </c>
      <c r="E62" s="41" t="n">
        <v>46340</v>
      </c>
      <c r="F62" s="42">
        <f>$E62-$D62</f>
        <v/>
      </c>
      <c r="G62" s="28" t="inlineStr">
        <is>
          <t>Planned</t>
        </is>
      </c>
      <c r="H62" s="28">
        <f>IF(AND($D62&lt;=TODAY(),$E62&gt;=TODAY()),"LIVE","")</f>
        <v/>
      </c>
      <c r="I62" s="43" t="n">
        <v>15</v>
      </c>
      <c r="J62" s="44" t="n">
        <v>1</v>
      </c>
      <c r="K62" s="28" t="inlineStr">
        <is>
          <t>Confirmed</t>
        </is>
      </c>
      <c r="L62" s="28" t="inlineStr">
        <is>
          <t>Economic</t>
        </is>
      </c>
      <c r="M62" s="28" t="inlineStr">
        <is>
          <t>Los Angeles Refinery - Wilmington (Marathon)</t>
        </is>
      </c>
    </row>
    <row r="63">
      <c r="A63" s="40" t="inlineStr">
        <is>
          <t>MARATHON_LOS_ANGELES</t>
        </is>
      </c>
      <c r="B63" s="28" t="n">
        <v>5</v>
      </c>
      <c r="C63" s="28" t="inlineStr">
        <is>
          <t>ISOM</t>
        </is>
      </c>
      <c r="D63" s="41" t="n">
        <v>46296</v>
      </c>
      <c r="E63" s="41" t="n">
        <v>46340</v>
      </c>
      <c r="F63" s="42">
        <f>$E63-$D63</f>
        <v/>
      </c>
      <c r="G63" s="28" t="inlineStr">
        <is>
          <t>Planned</t>
        </is>
      </c>
      <c r="H63" s="28">
        <f>IF(AND($D63&lt;=TODAY(),$E63&gt;=TODAY()),"LIVE","")</f>
        <v/>
      </c>
      <c r="I63" s="43" t="n">
        <v>8</v>
      </c>
      <c r="J63" s="44" t="n">
        <v>1</v>
      </c>
      <c r="K63" s="28" t="inlineStr">
        <is>
          <t>Confirmed</t>
        </is>
      </c>
      <c r="L63" s="28" t="inlineStr">
        <is>
          <t>Economic</t>
        </is>
      </c>
      <c r="M63" s="28" t="inlineStr">
        <is>
          <t>Los Angeles Refinery - Wilmington (Marathon)</t>
        </is>
      </c>
    </row>
    <row r="64">
      <c r="A64" s="40" t="inlineStr">
        <is>
          <t>PEMEX_DEER_PARK</t>
        </is>
      </c>
      <c r="B64" s="28" t="n">
        <v>3</v>
      </c>
      <c r="C64" s="28" t="inlineStr">
        <is>
          <t>FCC</t>
        </is>
      </c>
      <c r="D64" s="41" t="n">
        <v>46296</v>
      </c>
      <c r="E64" s="41" t="n">
        <v>46340</v>
      </c>
      <c r="F64" s="42">
        <f>$E64-$D64</f>
        <v/>
      </c>
      <c r="G64" s="28" t="inlineStr">
        <is>
          <t>Planned</t>
        </is>
      </c>
      <c r="H64" s="28">
        <f>IF(AND($D64&lt;=TODAY(),$E64&gt;=TODAY()),"LIVE","")</f>
        <v/>
      </c>
      <c r="I64" s="43" t="n">
        <v>17.5</v>
      </c>
      <c r="J64" s="44" t="n">
        <v>0.25</v>
      </c>
      <c r="K64" s="28" t="inlineStr">
        <is>
          <t>Confirmed</t>
        </is>
      </c>
      <c r="L64" s="28" t="inlineStr">
        <is>
          <t>Mechanical</t>
        </is>
      </c>
      <c r="M64" s="28" t="inlineStr">
        <is>
          <t>Deer Park Refinery</t>
        </is>
      </c>
    </row>
    <row r="65">
      <c r="A65" s="40" t="inlineStr">
        <is>
          <t>WYOMING_EVANSTON</t>
        </is>
      </c>
      <c r="B65" s="28" t="n">
        <v>4</v>
      </c>
      <c r="C65" s="28" t="inlineStr">
        <is>
          <t>CDU</t>
        </is>
      </c>
      <c r="D65" s="41" t="n">
        <v>46296</v>
      </c>
      <c r="E65" s="41" t="n">
        <v>46309</v>
      </c>
      <c r="F65" s="42">
        <f>$E65-$D65</f>
        <v/>
      </c>
      <c r="G65" s="28" t="inlineStr">
        <is>
          <t>Planned</t>
        </is>
      </c>
      <c r="H65" s="28">
        <f>IF(AND($D65&lt;=TODAY(),$E65&gt;=TODAY()),"LIVE","")</f>
        <v/>
      </c>
      <c r="I65" s="43" t="n">
        <v>3.4</v>
      </c>
      <c r="J65" s="44" t="n">
        <v>1</v>
      </c>
      <c r="K65" s="28" t="inlineStr">
        <is>
          <t>Confirmed</t>
        </is>
      </c>
      <c r="L65" s="28" t="inlineStr">
        <is>
          <t>Mechanical</t>
        </is>
      </c>
      <c r="M65" s="28" t="inlineStr">
        <is>
          <t>Evanston Refinery (Silver Eagle)</t>
        </is>
      </c>
    </row>
    <row r="66">
      <c r="A66" s="40" t="inlineStr">
        <is>
          <t>WYOMING_EVANSTON</t>
        </is>
      </c>
      <c r="B66" s="28" t="n">
        <v>4</v>
      </c>
      <c r="C66" s="28" t="inlineStr">
        <is>
          <t>ISOM</t>
        </is>
      </c>
      <c r="D66" s="41" t="n">
        <v>46296</v>
      </c>
      <c r="E66" s="41" t="n">
        <v>46309</v>
      </c>
      <c r="F66" s="42">
        <f>$E66-$D66</f>
        <v/>
      </c>
      <c r="G66" s="28" t="inlineStr">
        <is>
          <t>Planned</t>
        </is>
      </c>
      <c r="H66" s="28">
        <f>IF(AND($D66&lt;=TODAY(),$E66&gt;=TODAY()),"LIVE","")</f>
        <v/>
      </c>
      <c r="I66" s="43" t="n">
        <v>1</v>
      </c>
      <c r="J66" s="44" t="n">
        <v>1</v>
      </c>
      <c r="K66" s="28" t="inlineStr">
        <is>
          <t>Confirmed</t>
        </is>
      </c>
      <c r="L66" s="28" t="inlineStr"/>
      <c r="M66" s="28" t="inlineStr">
        <is>
          <t>Evanston Refinery (Silver Eagle)</t>
        </is>
      </c>
    </row>
    <row r="67">
      <c r="A67" s="40" t="inlineStr">
        <is>
          <t>WYOMING_EVANSTON</t>
        </is>
      </c>
      <c r="B67" s="28" t="n">
        <v>4</v>
      </c>
      <c r="C67" s="28" t="inlineStr">
        <is>
          <t>NHT</t>
        </is>
      </c>
      <c r="D67" s="41" t="n">
        <v>46296</v>
      </c>
      <c r="E67" s="41" t="n">
        <v>46309</v>
      </c>
      <c r="F67" s="42">
        <f>$E67-$D67</f>
        <v/>
      </c>
      <c r="G67" s="28" t="inlineStr">
        <is>
          <t>Planned</t>
        </is>
      </c>
      <c r="H67" s="28">
        <f>IF(AND($D67&lt;=TODAY(),$E67&gt;=TODAY()),"LIVE","")</f>
        <v/>
      </c>
      <c r="I67" s="43" t="n">
        <v>3</v>
      </c>
      <c r="J67" s="44" t="n">
        <v>1</v>
      </c>
      <c r="K67" s="28" t="inlineStr">
        <is>
          <t>Confirmed</t>
        </is>
      </c>
      <c r="L67" s="28" t="inlineStr"/>
      <c r="M67" s="28" t="inlineStr">
        <is>
          <t>Evanston Refinery (Silver Eagle)</t>
        </is>
      </c>
    </row>
    <row r="68">
      <c r="A68" s="40" t="inlineStr">
        <is>
          <t>WYOMING_EVANSTON</t>
        </is>
      </c>
      <c r="B68" s="28" t="n">
        <v>4</v>
      </c>
      <c r="C68" s="28" t="inlineStr">
        <is>
          <t>REF</t>
        </is>
      </c>
      <c r="D68" s="41" t="n">
        <v>46296</v>
      </c>
      <c r="E68" s="41" t="n">
        <v>46309</v>
      </c>
      <c r="F68" s="42">
        <f>$E68-$D68</f>
        <v/>
      </c>
      <c r="G68" s="28" t="inlineStr">
        <is>
          <t>Planned</t>
        </is>
      </c>
      <c r="H68" s="28">
        <f>IF(AND($D68&lt;=TODAY(),$E68&gt;=TODAY()),"LIVE","")</f>
        <v/>
      </c>
      <c r="I68" s="43" t="n">
        <v>3</v>
      </c>
      <c r="J68" s="44" t="n">
        <v>1</v>
      </c>
      <c r="K68" s="28" t="inlineStr">
        <is>
          <t>Confirmed</t>
        </is>
      </c>
      <c r="L68" s="28" t="inlineStr"/>
      <c r="M68" s="28" t="inlineStr">
        <is>
          <t>Evanston Refinery (Silver Eagle)</t>
        </is>
      </c>
    </row>
    <row r="69">
      <c r="A69" s="40" t="inlineStr">
        <is>
          <t>CHEVRON_EL_SEGUNDO</t>
        </is>
      </c>
      <c r="B69" s="28" t="n">
        <v>5</v>
      </c>
      <c r="C69" s="28" t="inlineStr">
        <is>
          <t>ISOM</t>
        </is>
      </c>
      <c r="D69" s="41" t="n">
        <v>46297</v>
      </c>
      <c r="E69" s="41" t="n">
        <v>46299</v>
      </c>
      <c r="F69" s="42">
        <f>$E69-$D69</f>
        <v/>
      </c>
      <c r="G69" s="28" t="inlineStr">
        <is>
          <t>Planned</t>
        </is>
      </c>
      <c r="H69" s="28">
        <f>IF(AND($D69&lt;=TODAY(),$E69&gt;=TODAY()),"LIVE","")</f>
        <v/>
      </c>
      <c r="I69" s="43" t="n">
        <v>0</v>
      </c>
      <c r="J69" s="44" t="n"/>
      <c r="K69" s="28" t="inlineStr">
        <is>
          <t>Confirmed</t>
        </is>
      </c>
      <c r="L69" s="28" t="inlineStr">
        <is>
          <t>Mechanical</t>
        </is>
      </c>
      <c r="M69" s="28" t="inlineStr">
        <is>
          <t>El Segundo Refinery</t>
        </is>
      </c>
    </row>
    <row r="70">
      <c r="A70" s="40" t="inlineStr">
        <is>
          <t>GOODWAY_ATMORE</t>
        </is>
      </c>
      <c r="B70" s="28" t="n">
        <v>3</v>
      </c>
      <c r="C70" s="28" t="inlineStr">
        <is>
          <t>CDU</t>
        </is>
      </c>
      <c r="D70" s="41" t="n">
        <v>46297</v>
      </c>
      <c r="E70" s="41" t="n">
        <v>46311</v>
      </c>
      <c r="F70" s="42">
        <f>$E70-$D70</f>
        <v/>
      </c>
      <c r="G70" s="28" t="inlineStr">
        <is>
          <t>Planned</t>
        </is>
      </c>
      <c r="H70" s="28">
        <f>IF(AND($D70&lt;=TODAY(),$E70&gt;=TODAY()),"LIVE","")</f>
        <v/>
      </c>
      <c r="I70" s="43" t="n">
        <v>4.1</v>
      </c>
      <c r="J70" s="44" t="n">
        <v>1</v>
      </c>
      <c r="K70" s="28" t="inlineStr">
        <is>
          <t>Confirmed</t>
        </is>
      </c>
      <c r="L70" s="28" t="inlineStr">
        <is>
          <t>Mechanical</t>
        </is>
      </c>
      <c r="M70" s="28" t="inlineStr">
        <is>
          <t>Atmore Refining</t>
        </is>
      </c>
    </row>
    <row r="71">
      <c r="A71" s="40" t="inlineStr">
        <is>
          <t>PBF_TORRANCE</t>
        </is>
      </c>
      <c r="B71" s="28" t="n">
        <v>5</v>
      </c>
      <c r="C71" s="28" t="inlineStr">
        <is>
          <t>COKER</t>
        </is>
      </c>
      <c r="D71" s="41" t="n">
        <v>46297</v>
      </c>
      <c r="E71" s="41" t="n">
        <v>46331</v>
      </c>
      <c r="F71" s="42">
        <f>$E71-$D71</f>
        <v/>
      </c>
      <c r="G71" s="28" t="inlineStr">
        <is>
          <t>Planned</t>
        </is>
      </c>
      <c r="H71" s="28">
        <f>IF(AND($D71&lt;=TODAY(),$E71&gt;=TODAY()),"LIVE","")</f>
        <v/>
      </c>
      <c r="I71" s="43" t="n">
        <v>27</v>
      </c>
      <c r="J71" s="44" t="n">
        <v>1</v>
      </c>
      <c r="K71" s="28" t="inlineStr">
        <is>
          <t>Confirmed</t>
        </is>
      </c>
      <c r="L71" s="28" t="inlineStr">
        <is>
          <t>Mechanical</t>
        </is>
      </c>
      <c r="M71" s="28" t="inlineStr">
        <is>
          <t>Torrance Refinery</t>
        </is>
      </c>
    </row>
    <row r="72">
      <c r="A72" s="40" t="inlineStr">
        <is>
          <t>PEMEX_DEER_PARK</t>
        </is>
      </c>
      <c r="B72" s="28" t="n">
        <v>3</v>
      </c>
      <c r="C72" s="28" t="inlineStr">
        <is>
          <t>ALKY</t>
        </is>
      </c>
      <c r="D72" s="41" t="n">
        <v>46297</v>
      </c>
      <c r="E72" s="41" t="n">
        <v>46343</v>
      </c>
      <c r="F72" s="42">
        <f>$E72-$D72</f>
        <v/>
      </c>
      <c r="G72" s="28" t="inlineStr">
        <is>
          <t>Planned</t>
        </is>
      </c>
      <c r="H72" s="28">
        <f>IF(AND($D72&lt;=TODAY(),$E72&gt;=TODAY()),"LIVE","")</f>
        <v/>
      </c>
      <c r="I72" s="43" t="n">
        <v>16.8</v>
      </c>
      <c r="J72" s="44" t="n">
        <v>1</v>
      </c>
      <c r="K72" s="28" t="inlineStr">
        <is>
          <t>Confirmed</t>
        </is>
      </c>
      <c r="L72" s="28" t="inlineStr">
        <is>
          <t>Mechanical</t>
        </is>
      </c>
      <c r="M72" s="28" t="inlineStr">
        <is>
          <t>Deer Park Refinery</t>
        </is>
      </c>
    </row>
    <row r="73">
      <c r="A73" s="40" t="inlineStr">
        <is>
          <t>PLACID_PORT_ALLEN</t>
        </is>
      </c>
      <c r="B73" s="28" t="n">
        <v>3</v>
      </c>
      <c r="C73" s="28" t="inlineStr">
        <is>
          <t>CDU</t>
        </is>
      </c>
      <c r="D73" s="41" t="n">
        <v>46297</v>
      </c>
      <c r="E73" s="41" t="n">
        <v>46325</v>
      </c>
      <c r="F73" s="42">
        <f>$E73-$D73</f>
        <v/>
      </c>
      <c r="G73" s="28" t="inlineStr">
        <is>
          <t>Planned</t>
        </is>
      </c>
      <c r="H73" s="28">
        <f>IF(AND($D73&lt;=TODAY(),$E73&gt;=TODAY()),"LIVE","")</f>
        <v/>
      </c>
      <c r="I73" s="43" t="n">
        <v>80</v>
      </c>
      <c r="J73" s="44" t="n">
        <v>1</v>
      </c>
      <c r="K73" s="28" t="inlineStr">
        <is>
          <t>Confirmed</t>
        </is>
      </c>
      <c r="L73" s="28" t="inlineStr">
        <is>
          <t>Mechanical</t>
        </is>
      </c>
      <c r="M73" s="28" t="inlineStr">
        <is>
          <t>Port Allen Refinery</t>
        </is>
      </c>
    </row>
    <row r="74">
      <c r="A74" s="40" t="inlineStr">
        <is>
          <t>BP_WHITING</t>
        </is>
      </c>
      <c r="B74" s="28" t="n">
        <v>2</v>
      </c>
      <c r="C74" s="28" t="inlineStr">
        <is>
          <t>ISOM</t>
        </is>
      </c>
      <c r="D74" s="41" t="n">
        <v>46302</v>
      </c>
      <c r="E74" s="41" t="n">
        <v>46306</v>
      </c>
      <c r="F74" s="42">
        <f>$E74-$D74</f>
        <v/>
      </c>
      <c r="G74" s="28" t="inlineStr">
        <is>
          <t>Planned</t>
        </is>
      </c>
      <c r="H74" s="28">
        <f>IF(AND($D74&lt;=TODAY(),$E74&gt;=TODAY()),"LIVE","")</f>
        <v/>
      </c>
      <c r="I74" s="43" t="n">
        <v>27.9</v>
      </c>
      <c r="J74" s="44" t="n">
        <v>1</v>
      </c>
      <c r="K74" s="28" t="inlineStr">
        <is>
          <t>Confirmed</t>
        </is>
      </c>
      <c r="L74" s="28" t="inlineStr">
        <is>
          <t>Mechanical</t>
        </is>
      </c>
      <c r="M74" s="28" t="inlineStr">
        <is>
          <t>Whiting Refinery</t>
        </is>
      </c>
    </row>
    <row r="75">
      <c r="A75" s="40" t="inlineStr">
        <is>
          <t>CALUMET_PRINCETON</t>
        </is>
      </c>
      <c r="B75" s="28" t="n">
        <v>3</v>
      </c>
      <c r="C75" s="28" t="inlineStr">
        <is>
          <t>CDU</t>
        </is>
      </c>
      <c r="D75" s="41" t="n">
        <v>46304</v>
      </c>
      <c r="E75" s="41" t="n">
        <v>46326</v>
      </c>
      <c r="F75" s="42">
        <f>$E75-$D75</f>
        <v/>
      </c>
      <c r="G75" s="28" t="inlineStr">
        <is>
          <t>Planned</t>
        </is>
      </c>
      <c r="H75" s="28">
        <f>IF(AND($D75&lt;=TODAY(),$E75&gt;=TODAY()),"LIVE","")</f>
        <v/>
      </c>
      <c r="I75" s="43" t="n">
        <v>10</v>
      </c>
      <c r="J75" s="44" t="n">
        <v>1</v>
      </c>
      <c r="K75" s="28" t="inlineStr">
        <is>
          <t>Confirmed</t>
        </is>
      </c>
      <c r="L75" s="28" t="inlineStr">
        <is>
          <t>Mechanical</t>
        </is>
      </c>
      <c r="M75" s="28" t="inlineStr">
        <is>
          <t>Princeton Refinery</t>
        </is>
      </c>
    </row>
    <row r="76">
      <c r="A76" s="40" t="inlineStr">
        <is>
          <t>CALUMET_PRINCETON</t>
        </is>
      </c>
      <c r="B76" s="28" t="n">
        <v>3</v>
      </c>
      <c r="C76" s="28" t="inlineStr">
        <is>
          <t>VDU</t>
        </is>
      </c>
      <c r="D76" s="41" t="n">
        <v>46304</v>
      </c>
      <c r="E76" s="41" t="n">
        <v>46326</v>
      </c>
      <c r="F76" s="42">
        <f>$E76-$D76</f>
        <v/>
      </c>
      <c r="G76" s="28" t="inlineStr">
        <is>
          <t>Planned</t>
        </is>
      </c>
      <c r="H76" s="28">
        <f>IF(AND($D76&lt;=TODAY(),$E76&gt;=TODAY()),"LIVE","")</f>
        <v/>
      </c>
      <c r="I76" s="43" t="n">
        <v>8.6</v>
      </c>
      <c r="J76" s="44" t="n">
        <v>1</v>
      </c>
      <c r="K76" s="28" t="inlineStr">
        <is>
          <t>Confirmed</t>
        </is>
      </c>
      <c r="L76" s="28" t="inlineStr">
        <is>
          <t>Mechanical</t>
        </is>
      </c>
      <c r="M76" s="28" t="inlineStr">
        <is>
          <t>Princeton Refinery</t>
        </is>
      </c>
    </row>
    <row r="77">
      <c r="A77" s="40" t="inlineStr">
        <is>
          <t>CALUMET_PRINCETON</t>
        </is>
      </c>
      <c r="B77" s="28" t="n">
        <v>3</v>
      </c>
      <c r="C77" s="28" t="inlineStr">
        <is>
          <t>REF</t>
        </is>
      </c>
      <c r="D77" s="41" t="n">
        <v>46304</v>
      </c>
      <c r="E77" s="41" t="n">
        <v>46326</v>
      </c>
      <c r="F77" s="42">
        <f>$E77-$D77</f>
        <v/>
      </c>
      <c r="G77" s="28" t="inlineStr">
        <is>
          <t>Planned</t>
        </is>
      </c>
      <c r="H77" s="28">
        <f>IF(AND($D77&lt;=TODAY(),$E77&gt;=TODAY()),"LIVE","")</f>
        <v/>
      </c>
      <c r="I77" s="43" t="n">
        <v>4</v>
      </c>
      <c r="J77" s="44" t="n">
        <v>1</v>
      </c>
      <c r="K77" s="28" t="inlineStr">
        <is>
          <t>Confirmed</t>
        </is>
      </c>
      <c r="L77" s="28" t="inlineStr">
        <is>
          <t>Mechanical</t>
        </is>
      </c>
      <c r="M77" s="28" t="inlineStr">
        <is>
          <t>Princeton Refinery</t>
        </is>
      </c>
    </row>
    <row r="78">
      <c r="A78" s="40" t="inlineStr">
        <is>
          <t>CHEVRON_RICHMOND</t>
        </is>
      </c>
      <c r="B78" s="28" t="n">
        <v>5</v>
      </c>
      <c r="C78" s="28" t="inlineStr">
        <is>
          <t>FCC</t>
        </is>
      </c>
      <c r="D78" s="41" t="n">
        <v>46304</v>
      </c>
      <c r="E78" s="41" t="n">
        <v>46358</v>
      </c>
      <c r="F78" s="42">
        <f>$E78-$D78</f>
        <v/>
      </c>
      <c r="G78" s="28" t="inlineStr">
        <is>
          <t>Planned</t>
        </is>
      </c>
      <c r="H78" s="28">
        <f>IF(AND($D78&lt;=TODAY(),$E78&gt;=TODAY()),"LIVE","")</f>
        <v/>
      </c>
      <c r="I78" s="43" t="n">
        <v>80</v>
      </c>
      <c r="J78" s="44" t="n">
        <v>1</v>
      </c>
      <c r="K78" s="28" t="inlineStr">
        <is>
          <t>Confirmed</t>
        </is>
      </c>
      <c r="L78" s="28" t="inlineStr">
        <is>
          <t>Mechanical</t>
        </is>
      </c>
      <c r="M78" s="28" t="inlineStr">
        <is>
          <t>Richmond Refinery</t>
        </is>
      </c>
    </row>
    <row r="79">
      <c r="A79" s="40" t="inlineStr">
        <is>
          <t>CHEVRON_RICHMOND</t>
        </is>
      </c>
      <c r="B79" s="28" t="n">
        <v>5</v>
      </c>
      <c r="C79" s="28" t="inlineStr">
        <is>
          <t>ALKY</t>
        </is>
      </c>
      <c r="D79" s="41" t="n">
        <v>46304</v>
      </c>
      <c r="E79" s="41" t="n">
        <v>46358</v>
      </c>
      <c r="F79" s="42">
        <f>$E79-$D79</f>
        <v/>
      </c>
      <c r="G79" s="28" t="inlineStr">
        <is>
          <t>Planned</t>
        </is>
      </c>
      <c r="H79" s="28">
        <f>IF(AND($D79&lt;=TODAY(),$E79&gt;=TODAY()),"LIVE","")</f>
        <v/>
      </c>
      <c r="I79" s="43" t="n">
        <v>20</v>
      </c>
      <c r="J79" s="44" t="n">
        <v>1</v>
      </c>
      <c r="K79" s="28" t="inlineStr">
        <is>
          <t>Confirmed</t>
        </is>
      </c>
      <c r="L79" s="28" t="inlineStr">
        <is>
          <t>Mechanical</t>
        </is>
      </c>
      <c r="M79" s="28" t="inlineStr">
        <is>
          <t>Richmond Refinery</t>
        </is>
      </c>
    </row>
    <row r="80">
      <c r="A80" s="40" t="inlineStr">
        <is>
          <t>PHILLIPS_WESTLAKE</t>
        </is>
      </c>
      <c r="B80" s="28" t="n">
        <v>3</v>
      </c>
      <c r="C80" s="28" t="inlineStr">
        <is>
          <t>CDU</t>
        </is>
      </c>
      <c r="D80" s="41" t="n">
        <v>46310</v>
      </c>
      <c r="E80" s="41" t="n">
        <v>46339</v>
      </c>
      <c r="F80" s="42">
        <f>$E80-$D80</f>
        <v/>
      </c>
      <c r="G80" s="28" t="inlineStr">
        <is>
          <t>Planned</t>
        </is>
      </c>
      <c r="H80" s="28">
        <f>IF(AND($D80&lt;=TODAY(),$E80&gt;=TODAY()),"LIVE","")</f>
        <v/>
      </c>
      <c r="I80" s="43" t="n">
        <v>155</v>
      </c>
      <c r="J80" s="44" t="n">
        <v>1</v>
      </c>
      <c r="K80" s="28" t="inlineStr">
        <is>
          <t>Confirmed</t>
        </is>
      </c>
      <c r="L80" s="28" t="inlineStr">
        <is>
          <t>Mechanical</t>
        </is>
      </c>
      <c r="M80" s="28" t="inlineStr">
        <is>
          <t>Lake Charles Refinery (CITGO)</t>
        </is>
      </c>
    </row>
    <row r="81">
      <c r="A81" s="40" t="inlineStr">
        <is>
          <t>PHILLIPS_WESTLAKE</t>
        </is>
      </c>
      <c r="B81" s="28" t="n">
        <v>3</v>
      </c>
      <c r="C81" s="28" t="inlineStr">
        <is>
          <t>COKER</t>
        </is>
      </c>
      <c r="D81" s="41" t="n">
        <v>46310</v>
      </c>
      <c r="E81" s="41" t="n">
        <v>46339</v>
      </c>
      <c r="F81" s="42">
        <f>$E81-$D81</f>
        <v/>
      </c>
      <c r="G81" s="28" t="inlineStr">
        <is>
          <t>Planned</t>
        </is>
      </c>
      <c r="H81" s="28">
        <f>IF(AND($D81&lt;=TODAY(),$E81&gt;=TODAY()),"LIVE","")</f>
        <v/>
      </c>
      <c r="I81" s="43" t="n">
        <v>60</v>
      </c>
      <c r="J81" s="44" t="n">
        <v>1</v>
      </c>
      <c r="K81" s="28" t="inlineStr">
        <is>
          <t>Confirmed</t>
        </is>
      </c>
      <c r="L81" s="28" t="inlineStr">
        <is>
          <t>Mechanical</t>
        </is>
      </c>
      <c r="M81" s="28" t="inlineStr">
        <is>
          <t>Lake Charles Refinery (CITGO)</t>
        </is>
      </c>
    </row>
    <row r="82">
      <c r="A82" s="40" t="inlineStr">
        <is>
          <t>SILVER_WOODS_CROSS</t>
        </is>
      </c>
      <c r="B82" s="28" t="n">
        <v>4</v>
      </c>
      <c r="C82" s="28" t="inlineStr">
        <is>
          <t>CDU</t>
        </is>
      </c>
      <c r="D82" s="41" t="n">
        <v>46310</v>
      </c>
      <c r="E82" s="41" t="n">
        <v>46323</v>
      </c>
      <c r="F82" s="42">
        <f>$E82-$D82</f>
        <v/>
      </c>
      <c r="G82" s="28" t="inlineStr">
        <is>
          <t>Planned</t>
        </is>
      </c>
      <c r="H82" s="28">
        <f>IF(AND($D82&lt;=TODAY(),$E82&gt;=TODAY()),"LIVE","")</f>
        <v/>
      </c>
      <c r="I82" s="43" t="n">
        <v>12.5</v>
      </c>
      <c r="J82" s="44" t="n">
        <v>1</v>
      </c>
      <c r="K82" s="28" t="inlineStr">
        <is>
          <t>Confirmed</t>
        </is>
      </c>
      <c r="L82" s="28" t="inlineStr"/>
      <c r="M82" s="28" t="inlineStr">
        <is>
          <t>Woods Cross Refinery (Silver Eagle)</t>
        </is>
      </c>
    </row>
    <row r="83">
      <c r="A83" s="40" t="inlineStr">
        <is>
          <t>SILVER_WOODS_CROSS</t>
        </is>
      </c>
      <c r="B83" s="28" t="n">
        <v>4</v>
      </c>
      <c r="C83" s="28" t="inlineStr">
        <is>
          <t>REF</t>
        </is>
      </c>
      <c r="D83" s="41" t="n">
        <v>46310</v>
      </c>
      <c r="E83" s="41" t="n">
        <v>46323</v>
      </c>
      <c r="F83" s="42">
        <f>$E83-$D83</f>
        <v/>
      </c>
      <c r="G83" s="28" t="inlineStr">
        <is>
          <t>Planned</t>
        </is>
      </c>
      <c r="H83" s="28">
        <f>IF(AND($D83&lt;=TODAY(),$E83&gt;=TODAY()),"LIVE","")</f>
        <v/>
      </c>
      <c r="I83" s="43" t="n">
        <v>2.2</v>
      </c>
      <c r="J83" s="44" t="n">
        <v>1</v>
      </c>
      <c r="K83" s="28" t="inlineStr">
        <is>
          <t>Confirmed</t>
        </is>
      </c>
      <c r="L83" s="28" t="inlineStr"/>
      <c r="M83" s="28" t="inlineStr">
        <is>
          <t>Woods Cross Refinery (Silver Eagle)</t>
        </is>
      </c>
    </row>
    <row r="84">
      <c r="A84" s="40" t="inlineStr">
        <is>
          <t>SILVER_WOODS_CROSS</t>
        </is>
      </c>
      <c r="B84" s="28" t="n">
        <v>4</v>
      </c>
      <c r="C84" s="28" t="inlineStr">
        <is>
          <t>NHT</t>
        </is>
      </c>
      <c r="D84" s="41" t="n">
        <v>46310</v>
      </c>
      <c r="E84" s="41" t="n">
        <v>46323</v>
      </c>
      <c r="F84" s="42">
        <f>$E84-$D84</f>
        <v/>
      </c>
      <c r="G84" s="28" t="inlineStr">
        <is>
          <t>Planned</t>
        </is>
      </c>
      <c r="H84" s="28">
        <f>IF(AND($D84&lt;=TODAY(),$E84&gt;=TODAY()),"LIVE","")</f>
        <v/>
      </c>
      <c r="I84" s="43" t="n">
        <v>3</v>
      </c>
      <c r="J84" s="44" t="n">
        <v>1</v>
      </c>
      <c r="K84" s="28" t="inlineStr">
        <is>
          <t>Confirmed</t>
        </is>
      </c>
      <c r="L84" s="28" t="inlineStr"/>
      <c r="M84" s="28" t="inlineStr">
        <is>
          <t>Woods Cross Refinery (Silver Eagle)</t>
        </is>
      </c>
    </row>
    <row r="85">
      <c r="A85" s="40" t="inlineStr">
        <is>
          <t>SILVER_WOODS_CROSS</t>
        </is>
      </c>
      <c r="B85" s="28" t="n">
        <v>4</v>
      </c>
      <c r="C85" s="28" t="inlineStr">
        <is>
          <t>ISOM</t>
        </is>
      </c>
      <c r="D85" s="41" t="n">
        <v>46310</v>
      </c>
      <c r="E85" s="41" t="n">
        <v>46323</v>
      </c>
      <c r="F85" s="42">
        <f>$E85-$D85</f>
        <v/>
      </c>
      <c r="G85" s="28" t="inlineStr">
        <is>
          <t>Planned</t>
        </is>
      </c>
      <c r="H85" s="28">
        <f>IF(AND($D85&lt;=TODAY(),$E85&gt;=TODAY()),"LIVE","")</f>
        <v/>
      </c>
      <c r="I85" s="43" t="n">
        <v>1</v>
      </c>
      <c r="J85" s="44" t="n">
        <v>1</v>
      </c>
      <c r="K85" s="28" t="inlineStr">
        <is>
          <t>Confirmed</t>
        </is>
      </c>
      <c r="L85" s="28" t="inlineStr"/>
      <c r="M85" s="28" t="inlineStr">
        <is>
          <t>Woods Cross Refinery (Silver Eagle)</t>
        </is>
      </c>
    </row>
    <row r="86">
      <c r="A86" s="40" t="inlineStr">
        <is>
          <t>SILVER_WOODS_CROSS</t>
        </is>
      </c>
      <c r="B86" s="28" t="n">
        <v>4</v>
      </c>
      <c r="C86" s="28" t="inlineStr">
        <is>
          <t>DHCU</t>
        </is>
      </c>
      <c r="D86" s="41" t="n">
        <v>46310</v>
      </c>
      <c r="E86" s="41" t="n">
        <v>46323</v>
      </c>
      <c r="F86" s="42">
        <f>$E86-$D86</f>
        <v/>
      </c>
      <c r="G86" s="28" t="inlineStr">
        <is>
          <t>Planned</t>
        </is>
      </c>
      <c r="H86" s="28">
        <f>IF(AND($D86&lt;=TODAY(),$E86&gt;=TODAY()),"LIVE","")</f>
        <v/>
      </c>
      <c r="I86" s="43" t="n">
        <v>5</v>
      </c>
      <c r="J86" s="44" t="n">
        <v>1</v>
      </c>
      <c r="K86" s="28" t="inlineStr">
        <is>
          <t>Confirmed</t>
        </is>
      </c>
      <c r="L86" s="28" t="inlineStr"/>
      <c r="M86" s="28" t="inlineStr">
        <is>
          <t>Woods Cross Refinery (Silver Eagle)</t>
        </is>
      </c>
    </row>
    <row r="87">
      <c r="A87" s="40" t="inlineStr">
        <is>
          <t>SILVER_WOODS_CROSS</t>
        </is>
      </c>
      <c r="B87" s="28" t="n">
        <v>4</v>
      </c>
      <c r="C87" s="28" t="inlineStr">
        <is>
          <t>VDU</t>
        </is>
      </c>
      <c r="D87" s="41" t="n">
        <v>46310</v>
      </c>
      <c r="E87" s="41" t="n">
        <v>46323</v>
      </c>
      <c r="F87" s="42">
        <f>$E87-$D87</f>
        <v/>
      </c>
      <c r="G87" s="28" t="inlineStr">
        <is>
          <t>Planned</t>
        </is>
      </c>
      <c r="H87" s="28">
        <f>IF(AND($D87&lt;=TODAY(),$E87&gt;=TODAY()),"LIVE","")</f>
        <v/>
      </c>
      <c r="I87" s="43" t="n">
        <v>6</v>
      </c>
      <c r="J87" s="44" t="n">
        <v>1</v>
      </c>
      <c r="K87" s="28" t="inlineStr">
        <is>
          <t>Confirmed</t>
        </is>
      </c>
      <c r="L87" s="28" t="inlineStr"/>
      <c r="M87" s="28" t="inlineStr">
        <is>
          <t>Woods Cross Refinery (Silver Eagle)</t>
        </is>
      </c>
    </row>
    <row r="88">
      <c r="A88" s="40" t="inlineStr">
        <is>
          <t>HF_EL_DORADO_KS</t>
        </is>
      </c>
      <c r="B88" s="28" t="n">
        <v>2</v>
      </c>
      <c r="C88" s="28" t="inlineStr">
        <is>
          <t>CDU</t>
        </is>
      </c>
      <c r="D88" s="41" t="n">
        <v>46312</v>
      </c>
      <c r="E88" s="41" t="n">
        <v>46356</v>
      </c>
      <c r="F88" s="42">
        <f>$E88-$D88</f>
        <v/>
      </c>
      <c r="G88" s="28" t="inlineStr">
        <is>
          <t>Planned</t>
        </is>
      </c>
      <c r="H88" s="28">
        <f>IF(AND($D88&lt;=TODAY(),$E88&gt;=TODAY()),"LIVE","")</f>
        <v/>
      </c>
      <c r="I88" s="43" t="n">
        <v>162</v>
      </c>
      <c r="J88" s="44" t="n">
        <v>1</v>
      </c>
      <c r="K88" s="28" t="inlineStr">
        <is>
          <t>Confirmed</t>
        </is>
      </c>
      <c r="L88" s="28" t="inlineStr">
        <is>
          <t>Mechanical</t>
        </is>
      </c>
      <c r="M88" s="28" t="inlineStr">
        <is>
          <t>El Dorado Refinery (HF Sinclair)</t>
        </is>
      </c>
    </row>
    <row r="89">
      <c r="A89" s="40" t="inlineStr">
        <is>
          <t>HF_EL_DORADO_KS</t>
        </is>
      </c>
      <c r="B89" s="28" t="n">
        <v>2</v>
      </c>
      <c r="C89" s="28" t="inlineStr">
        <is>
          <t>VDU</t>
        </is>
      </c>
      <c r="D89" s="41" t="n">
        <v>46312</v>
      </c>
      <c r="E89" s="41" t="n">
        <v>46356</v>
      </c>
      <c r="F89" s="42">
        <f>$E89-$D89</f>
        <v/>
      </c>
      <c r="G89" s="28" t="inlineStr">
        <is>
          <t>Planned</t>
        </is>
      </c>
      <c r="H89" s="28">
        <f>IF(AND($D89&lt;=TODAY(),$E89&gt;=TODAY()),"LIVE","")</f>
        <v/>
      </c>
      <c r="I89" s="43" t="n">
        <v>56</v>
      </c>
      <c r="J89" s="44" t="n">
        <v>1</v>
      </c>
      <c r="K89" s="28" t="inlineStr">
        <is>
          <t>Confirmed</t>
        </is>
      </c>
      <c r="L89" s="28" t="inlineStr">
        <is>
          <t>Mechanical</t>
        </is>
      </c>
      <c r="M89" s="28" t="inlineStr">
        <is>
          <t>El Dorado Refinery (HF Sinclair)</t>
        </is>
      </c>
    </row>
    <row r="90">
      <c r="A90" s="40" t="inlineStr">
        <is>
          <t>HF_EL_DORADO_KS</t>
        </is>
      </c>
      <c r="B90" s="28" t="n">
        <v>2</v>
      </c>
      <c r="C90" s="28" t="inlineStr">
        <is>
          <t>COKER</t>
        </is>
      </c>
      <c r="D90" s="41" t="n">
        <v>46312</v>
      </c>
      <c r="E90" s="41" t="n">
        <v>46356</v>
      </c>
      <c r="F90" s="42">
        <f>$E90-$D90</f>
        <v/>
      </c>
      <c r="G90" s="28" t="inlineStr">
        <is>
          <t>Planned</t>
        </is>
      </c>
      <c r="H90" s="28">
        <f>IF(AND($D90&lt;=TODAY(),$E90&gt;=TODAY()),"LIVE","")</f>
        <v/>
      </c>
      <c r="I90" s="43" t="n">
        <v>20.5</v>
      </c>
      <c r="J90" s="44" t="n">
        <v>1</v>
      </c>
      <c r="K90" s="28" t="inlineStr">
        <is>
          <t>Confirmed</t>
        </is>
      </c>
      <c r="L90" s="28" t="inlineStr">
        <is>
          <t>Mechanical</t>
        </is>
      </c>
      <c r="M90" s="28" t="inlineStr">
        <is>
          <t>El Dorado Refinery (HF Sinclair)</t>
        </is>
      </c>
    </row>
    <row r="91">
      <c r="A91" s="40" t="inlineStr">
        <is>
          <t>HF_EL_DORADO_KS</t>
        </is>
      </c>
      <c r="B91" s="28" t="n">
        <v>2</v>
      </c>
      <c r="C91" s="28" t="inlineStr">
        <is>
          <t>REF</t>
        </is>
      </c>
      <c r="D91" s="41" t="n">
        <v>46312</v>
      </c>
      <c r="E91" s="41" t="n">
        <v>46356</v>
      </c>
      <c r="F91" s="42">
        <f>$E91-$D91</f>
        <v/>
      </c>
      <c r="G91" s="28" t="inlineStr">
        <is>
          <t>Planned</t>
        </is>
      </c>
      <c r="H91" s="28">
        <f>IF(AND($D91&lt;=TODAY(),$E91&gt;=TODAY()),"LIVE","")</f>
        <v/>
      </c>
      <c r="I91" s="43" t="n">
        <v>7.5</v>
      </c>
      <c r="J91" s="44" t="n">
        <v>1</v>
      </c>
      <c r="K91" s="28" t="inlineStr">
        <is>
          <t>Confirmed</t>
        </is>
      </c>
      <c r="L91" s="28" t="inlineStr">
        <is>
          <t>Mechanical</t>
        </is>
      </c>
      <c r="M91" s="28" t="inlineStr">
        <is>
          <t>El Dorado Refinery (HF Sinclair)</t>
        </is>
      </c>
    </row>
    <row r="92">
      <c r="A92" s="40" t="inlineStr">
        <is>
          <t>HF_EL_DORADO_KS</t>
        </is>
      </c>
      <c r="B92" s="28" t="n">
        <v>2</v>
      </c>
      <c r="C92" s="28" t="inlineStr">
        <is>
          <t>ISOM</t>
        </is>
      </c>
      <c r="D92" s="41" t="n">
        <v>46312</v>
      </c>
      <c r="E92" s="41" t="n">
        <v>46356</v>
      </c>
      <c r="F92" s="42">
        <f>$E92-$D92</f>
        <v/>
      </c>
      <c r="G92" s="28" t="inlineStr">
        <is>
          <t>Planned</t>
        </is>
      </c>
      <c r="H92" s="28">
        <f>IF(AND($D92&lt;=TODAY(),$E92&gt;=TODAY()),"LIVE","")</f>
        <v/>
      </c>
      <c r="I92" s="43" t="n">
        <v>15</v>
      </c>
      <c r="J92" s="44" t="n">
        <v>1</v>
      </c>
      <c r="K92" s="28" t="inlineStr">
        <is>
          <t>Confirmed</t>
        </is>
      </c>
      <c r="L92" s="28" t="inlineStr">
        <is>
          <t>Economic</t>
        </is>
      </c>
      <c r="M92" s="28" t="inlineStr">
        <is>
          <t>El Dorado Refinery (HF Sinclair)</t>
        </is>
      </c>
    </row>
    <row r="93">
      <c r="A93" s="40" t="inlineStr">
        <is>
          <t>HF_EL_DORADO_KS</t>
        </is>
      </c>
      <c r="B93" s="28" t="n">
        <v>2</v>
      </c>
      <c r="C93" s="28" t="inlineStr">
        <is>
          <t>NHT</t>
        </is>
      </c>
      <c r="D93" s="41" t="n">
        <v>46312</v>
      </c>
      <c r="E93" s="41" t="n">
        <v>46356</v>
      </c>
      <c r="F93" s="42">
        <f>$E93-$D93</f>
        <v/>
      </c>
      <c r="G93" s="28" t="inlineStr">
        <is>
          <t>Planned</t>
        </is>
      </c>
      <c r="H93" s="28">
        <f>IF(AND($D93&lt;=TODAY(),$E93&gt;=TODAY()),"LIVE","")</f>
        <v/>
      </c>
      <c r="I93" s="43" t="n">
        <v>0</v>
      </c>
      <c r="J93" s="44" t="n"/>
      <c r="K93" s="28" t="inlineStr">
        <is>
          <t>Confirmed</t>
        </is>
      </c>
      <c r="L93" s="28" t="inlineStr">
        <is>
          <t>Economic</t>
        </is>
      </c>
      <c r="M93" s="28" t="inlineStr">
        <is>
          <t>El Dorado Refinery (HF Sinclair)</t>
        </is>
      </c>
    </row>
    <row r="94">
      <c r="A94" s="40" t="inlineStr">
        <is>
          <t>HF_EL_DORADO_KS</t>
        </is>
      </c>
      <c r="B94" s="28" t="n">
        <v>2</v>
      </c>
      <c r="C94" s="28" t="inlineStr">
        <is>
          <t>NHT</t>
        </is>
      </c>
      <c r="D94" s="41" t="n">
        <v>46312</v>
      </c>
      <c r="E94" s="41" t="n">
        <v>46356</v>
      </c>
      <c r="F94" s="42">
        <f>$E94-$D94</f>
        <v/>
      </c>
      <c r="G94" s="28" t="inlineStr">
        <is>
          <t>Planned</t>
        </is>
      </c>
      <c r="H94" s="28">
        <f>IF(AND($D94&lt;=TODAY(),$E94&gt;=TODAY()),"LIVE","")</f>
        <v/>
      </c>
      <c r="I94" s="43" t="n">
        <v>18</v>
      </c>
      <c r="J94" s="44" t="n">
        <v>1</v>
      </c>
      <c r="K94" s="28" t="inlineStr">
        <is>
          <t>Confirmed</t>
        </is>
      </c>
      <c r="L94" s="28" t="inlineStr">
        <is>
          <t>Mechanical</t>
        </is>
      </c>
      <c r="M94" s="28" t="inlineStr">
        <is>
          <t>El Dorado Refinery (HF Sinclair)</t>
        </is>
      </c>
    </row>
    <row r="95">
      <c r="A95" s="40" t="inlineStr">
        <is>
          <t>PBF_TORRANCE</t>
        </is>
      </c>
      <c r="B95" s="28" t="n">
        <v>5</v>
      </c>
      <c r="C95" s="28" t="inlineStr">
        <is>
          <t>CDU</t>
        </is>
      </c>
      <c r="D95" s="41" t="n">
        <v>46393</v>
      </c>
      <c r="E95" s="41" t="n">
        <v>46432</v>
      </c>
      <c r="F95" s="42">
        <f>$E95-$D95</f>
        <v/>
      </c>
      <c r="G95" s="28" t="inlineStr">
        <is>
          <t>Planned</t>
        </is>
      </c>
      <c r="H95" s="28">
        <f>IF(AND($D95&lt;=TODAY(),$E95&gt;=TODAY()),"LIVE","")</f>
        <v/>
      </c>
      <c r="I95" s="43" t="n">
        <v>155</v>
      </c>
      <c r="J95" s="44" t="n">
        <v>1</v>
      </c>
      <c r="K95" s="28" t="inlineStr">
        <is>
          <t>Confirmed</t>
        </is>
      </c>
      <c r="L95" s="28" t="inlineStr">
        <is>
          <t>Mechanical</t>
        </is>
      </c>
      <c r="M95" s="28" t="inlineStr">
        <is>
          <t>Torrance Refinery</t>
        </is>
      </c>
    </row>
    <row r="96">
      <c r="A96" s="40" t="inlineStr">
        <is>
          <t>PBF_TORRANCE</t>
        </is>
      </c>
      <c r="B96" s="28" t="n">
        <v>5</v>
      </c>
      <c r="C96" s="28" t="inlineStr">
        <is>
          <t>VDU</t>
        </is>
      </c>
      <c r="D96" s="41" t="n">
        <v>46393</v>
      </c>
      <c r="E96" s="41" t="n">
        <v>46432</v>
      </c>
      <c r="F96" s="42">
        <f>$E96-$D96</f>
        <v/>
      </c>
      <c r="G96" s="28" t="inlineStr">
        <is>
          <t>Planned</t>
        </is>
      </c>
      <c r="H96" s="28">
        <f>IF(AND($D96&lt;=TODAY(),$E96&gt;=TODAY()),"LIVE","")</f>
        <v/>
      </c>
      <c r="I96" s="43" t="n">
        <v>98</v>
      </c>
      <c r="J96" s="44" t="n">
        <v>1</v>
      </c>
      <c r="K96" s="28" t="inlineStr">
        <is>
          <t>Confirmed</t>
        </is>
      </c>
      <c r="L96" s="28" t="inlineStr"/>
      <c r="M96" s="28" t="inlineStr">
        <is>
          <t>Torrance Refinery</t>
        </is>
      </c>
    </row>
    <row r="97">
      <c r="A97" s="40" t="inlineStr">
        <is>
          <t>CHEVRON_EL_SEGUNDO</t>
        </is>
      </c>
      <c r="B97" s="28" t="n">
        <v>5</v>
      </c>
      <c r="C97" s="28" t="inlineStr">
        <is>
          <t>CDU</t>
        </is>
      </c>
      <c r="D97" s="41" t="n">
        <v>46395</v>
      </c>
      <c r="E97" s="41" t="n">
        <v>46429</v>
      </c>
      <c r="F97" s="42">
        <f>$E97-$D97</f>
        <v/>
      </c>
      <c r="G97" s="28" t="inlineStr">
        <is>
          <t>Planned</t>
        </is>
      </c>
      <c r="H97" s="28">
        <f>IF(AND($D97&lt;=TODAY(),$E97&gt;=TODAY()),"LIVE","")</f>
        <v/>
      </c>
      <c r="I97" s="43" t="n">
        <v>90</v>
      </c>
      <c r="J97" s="44" t="n">
        <v>1</v>
      </c>
      <c r="K97" s="28" t="inlineStr">
        <is>
          <t>Confirmed</t>
        </is>
      </c>
      <c r="L97" s="28" t="inlineStr">
        <is>
          <t>Mechanical</t>
        </is>
      </c>
      <c r="M97" s="28" t="inlineStr">
        <is>
          <t>El Segundo Refinery</t>
        </is>
      </c>
    </row>
    <row r="98">
      <c r="A98" s="40" t="inlineStr">
        <is>
          <t>CHEVRON_EL_SEGUNDO</t>
        </is>
      </c>
      <c r="B98" s="28" t="n">
        <v>5</v>
      </c>
      <c r="C98" s="28" t="inlineStr">
        <is>
          <t>COKER</t>
        </is>
      </c>
      <c r="D98" s="41" t="n">
        <v>46395</v>
      </c>
      <c r="E98" s="41" t="n">
        <v>46429</v>
      </c>
      <c r="F98" s="42">
        <f>$E98-$D98</f>
        <v/>
      </c>
      <c r="G98" s="28" t="inlineStr">
        <is>
          <t>Planned</t>
        </is>
      </c>
      <c r="H98" s="28">
        <f>IF(AND($D98&lt;=TODAY(),$E98&gt;=TODAY()),"LIVE","")</f>
        <v/>
      </c>
      <c r="I98" s="43" t="n">
        <v>68</v>
      </c>
      <c r="J98" s="44" t="n">
        <v>1</v>
      </c>
      <c r="K98" s="28" t="inlineStr">
        <is>
          <t>Confirmed</t>
        </is>
      </c>
      <c r="L98" s="28" t="inlineStr">
        <is>
          <t>Mechanical</t>
        </is>
      </c>
      <c r="M98" s="28" t="inlineStr">
        <is>
          <t>El Segundo Refinery</t>
        </is>
      </c>
    </row>
    <row r="99">
      <c r="A99" s="40" t="inlineStr">
        <is>
          <t>CITGO_CORPUS_CHRISTI</t>
        </is>
      </c>
      <c r="B99" s="28" t="n">
        <v>3</v>
      </c>
      <c r="C99" s="28" t="inlineStr">
        <is>
          <t>FCC</t>
        </is>
      </c>
      <c r="D99" s="41" t="n">
        <v>46395</v>
      </c>
      <c r="E99" s="41" t="n">
        <v>46454</v>
      </c>
      <c r="F99" s="42">
        <f>$E99-$D99</f>
        <v/>
      </c>
      <c r="G99" s="28" t="inlineStr">
        <is>
          <t>Planned</t>
        </is>
      </c>
      <c r="H99" s="28">
        <f>IF(AND($D99&lt;=TODAY(),$E99&gt;=TODAY()),"LIVE","")</f>
        <v/>
      </c>
      <c r="I99" s="43" t="n">
        <v>69</v>
      </c>
      <c r="J99" s="44" t="n">
        <v>1</v>
      </c>
      <c r="K99" s="28" t="inlineStr">
        <is>
          <t>Confirmed</t>
        </is>
      </c>
      <c r="L99" s="28" t="inlineStr">
        <is>
          <t>Mechanical</t>
        </is>
      </c>
      <c r="M99" s="28" t="inlineStr">
        <is>
          <t>Corpus Christi Refinery - East (CITGO)</t>
        </is>
      </c>
    </row>
    <row r="100">
      <c r="A100" s="40" t="inlineStr">
        <is>
          <t>CITGO_CORPUS_CHRISTI</t>
        </is>
      </c>
      <c r="B100" s="28" t="n">
        <v>3</v>
      </c>
      <c r="C100" s="28" t="inlineStr">
        <is>
          <t>ISOM</t>
        </is>
      </c>
      <c r="D100" s="41" t="n">
        <v>46395</v>
      </c>
      <c r="E100" s="41" t="n">
        <v>46454</v>
      </c>
      <c r="F100" s="42">
        <f>$E100-$D100</f>
        <v/>
      </c>
      <c r="G100" s="28" t="inlineStr">
        <is>
          <t>Planned</t>
        </is>
      </c>
      <c r="H100" s="28">
        <f>IF(AND($D100&lt;=TODAY(),$E100&gt;=TODAY()),"LIVE","")</f>
        <v/>
      </c>
      <c r="I100" s="43" t="n">
        <v>0</v>
      </c>
      <c r="J100" s="44" t="n"/>
      <c r="K100" s="28" t="inlineStr">
        <is>
          <t>Confirmed</t>
        </is>
      </c>
      <c r="L100" s="28" t="inlineStr">
        <is>
          <t>Mechanical</t>
        </is>
      </c>
      <c r="M100" s="28" t="inlineStr">
        <is>
          <t>Corpus Christi Refinery - East (CITGO)</t>
        </is>
      </c>
    </row>
    <row r="101">
      <c r="A101" s="40" t="inlineStr">
        <is>
          <t>MPC_GALV_BAY</t>
        </is>
      </c>
      <c r="B101" s="28" t="n">
        <v>3</v>
      </c>
      <c r="C101" s="28" t="inlineStr">
        <is>
          <t>CDU</t>
        </is>
      </c>
      <c r="D101" s="41" t="n">
        <v>46395</v>
      </c>
      <c r="E101" s="41" t="n">
        <v>46451</v>
      </c>
      <c r="F101" s="42">
        <f>$E101-$D101</f>
        <v/>
      </c>
      <c r="G101" s="28" t="inlineStr">
        <is>
          <t>Planned</t>
        </is>
      </c>
      <c r="H101" s="28">
        <f>IF(AND($D101&lt;=TODAY(),$E101&gt;=TODAY()),"LIVE","")</f>
        <v/>
      </c>
      <c r="I101" s="43" t="n">
        <v>35</v>
      </c>
      <c r="J101" s="44" t="n">
        <v>1</v>
      </c>
      <c r="K101" s="28" t="inlineStr">
        <is>
          <t>Confirmed</t>
        </is>
      </c>
      <c r="L101" s="28" t="inlineStr">
        <is>
          <t>Mechanical</t>
        </is>
      </c>
      <c r="M101" s="28" t="inlineStr">
        <is>
          <t>Texas City Refinery (Bay Plant)</t>
        </is>
      </c>
    </row>
    <row r="102">
      <c r="A102" s="40" t="inlineStr">
        <is>
          <t>MPC_GALV_BAY</t>
        </is>
      </c>
      <c r="B102" s="28" t="n">
        <v>3</v>
      </c>
      <c r="C102" s="28" t="inlineStr">
        <is>
          <t>CDU</t>
        </is>
      </c>
      <c r="D102" s="41" t="n">
        <v>46395</v>
      </c>
      <c r="E102" s="41" t="n">
        <v>46451</v>
      </c>
      <c r="F102" s="42">
        <f>$E102-$D102</f>
        <v/>
      </c>
      <c r="G102" s="28" t="inlineStr">
        <is>
          <t>Planned</t>
        </is>
      </c>
      <c r="H102" s="28">
        <f>IF(AND($D102&lt;=TODAY(),$E102&gt;=TODAY()),"LIVE","")</f>
        <v/>
      </c>
      <c r="I102" s="43" t="n">
        <v>50</v>
      </c>
      <c r="J102" s="44" t="n">
        <v>1</v>
      </c>
      <c r="K102" s="28" t="inlineStr">
        <is>
          <t>Confirmed</t>
        </is>
      </c>
      <c r="L102" s="28" t="inlineStr">
        <is>
          <t>Mechanical</t>
        </is>
      </c>
      <c r="M102" s="28" t="inlineStr">
        <is>
          <t>Texas City Refinery (Bay Plant)</t>
        </is>
      </c>
    </row>
    <row r="103">
      <c r="A103" s="40" t="inlineStr">
        <is>
          <t>VALERO_PORT_ARTHUR</t>
        </is>
      </c>
      <c r="B103" s="28" t="n">
        <v>3</v>
      </c>
      <c r="C103" s="28" t="inlineStr">
        <is>
          <t>FCC</t>
        </is>
      </c>
      <c r="D103" s="41" t="n">
        <v>46395</v>
      </c>
      <c r="E103" s="41" t="n">
        <v>46439</v>
      </c>
      <c r="F103" s="42">
        <f>$E103-$D103</f>
        <v/>
      </c>
      <c r="G103" s="28" t="inlineStr">
        <is>
          <t>Planned</t>
        </is>
      </c>
      <c r="H103" s="28">
        <f>IF(AND($D103&lt;=TODAY(),$E103&gt;=TODAY()),"LIVE","")</f>
        <v/>
      </c>
      <c r="I103" s="43" t="n">
        <v>75</v>
      </c>
      <c r="J103" s="44" t="n">
        <v>1</v>
      </c>
      <c r="K103" s="28" t="inlineStr">
        <is>
          <t>Confirmed</t>
        </is>
      </c>
      <c r="L103" s="28" t="inlineStr">
        <is>
          <t>Mechanical</t>
        </is>
      </c>
      <c r="M103" s="28" t="inlineStr">
        <is>
          <t>Port Arthur Refinery (Valero)</t>
        </is>
      </c>
    </row>
    <row r="104">
      <c r="A104" s="40" t="inlineStr">
        <is>
          <t>VALERO_PORT_ARTHUR</t>
        </is>
      </c>
      <c r="B104" s="28" t="n">
        <v>3</v>
      </c>
      <c r="C104" s="28" t="inlineStr">
        <is>
          <t>ALKY</t>
        </is>
      </c>
      <c r="D104" s="41" t="n">
        <v>46395</v>
      </c>
      <c r="E104" s="41" t="n">
        <v>46439</v>
      </c>
      <c r="F104" s="42">
        <f>$E104-$D104</f>
        <v/>
      </c>
      <c r="G104" s="28" t="inlineStr">
        <is>
          <t>Planned</t>
        </is>
      </c>
      <c r="H104" s="28">
        <f>IF(AND($D104&lt;=TODAY(),$E104&gt;=TODAY()),"LIVE","")</f>
        <v/>
      </c>
      <c r="I104" s="43" t="n">
        <v>16.9</v>
      </c>
      <c r="J104" s="44" t="n">
        <v>1</v>
      </c>
      <c r="K104" s="28" t="inlineStr">
        <is>
          <t>Confirmed</t>
        </is>
      </c>
      <c r="L104" s="28" t="inlineStr">
        <is>
          <t>Mechanical</t>
        </is>
      </c>
      <c r="M104" s="28" t="inlineStr">
        <is>
          <t>Port Arthur Refinery (Valero)</t>
        </is>
      </c>
    </row>
    <row r="105">
      <c r="A105" s="40" t="inlineStr">
        <is>
          <t>MARATHON_CARSON</t>
        </is>
      </c>
      <c r="B105" s="28" t="n">
        <v>5</v>
      </c>
      <c r="C105" s="28" t="inlineStr">
        <is>
          <t>DHCU</t>
        </is>
      </c>
      <c r="D105" s="41" t="n">
        <v>46397</v>
      </c>
      <c r="E105" s="41" t="n">
        <v>46426</v>
      </c>
      <c r="F105" s="42">
        <f>$E105-$D105</f>
        <v/>
      </c>
      <c r="G105" s="28" t="inlineStr">
        <is>
          <t>Planned</t>
        </is>
      </c>
      <c r="H105" s="28">
        <f>IF(AND($D105&lt;=TODAY(),$E105&gt;=TODAY()),"LIVE","")</f>
        <v/>
      </c>
      <c r="I105" s="43" t="n">
        <v>43</v>
      </c>
      <c r="J105" s="44" t="n">
        <v>1</v>
      </c>
      <c r="K105" s="28" t="inlineStr">
        <is>
          <t>Confirmed</t>
        </is>
      </c>
      <c r="L105" s="28" t="inlineStr">
        <is>
          <t>Economic</t>
        </is>
      </c>
      <c r="M105" s="28" t="inlineStr">
        <is>
          <t>Los Angeles Refinery - Carson (Marathon)</t>
        </is>
      </c>
    </row>
    <row r="106">
      <c r="A106" s="40" t="inlineStr">
        <is>
          <t>MARATHON_CARSON</t>
        </is>
      </c>
      <c r="B106" s="28" t="n">
        <v>5</v>
      </c>
      <c r="C106" s="28" t="inlineStr">
        <is>
          <t>REF</t>
        </is>
      </c>
      <c r="D106" s="41" t="n">
        <v>46397</v>
      </c>
      <c r="E106" s="41" t="n">
        <v>46426</v>
      </c>
      <c r="F106" s="42">
        <f>$E106-$D106</f>
        <v/>
      </c>
      <c r="G106" s="28" t="inlineStr">
        <is>
          <t>Planned</t>
        </is>
      </c>
      <c r="H106" s="28">
        <f>IF(AND($D106&lt;=TODAY(),$E106&gt;=TODAY()),"LIVE","")</f>
        <v/>
      </c>
      <c r="I106" s="43" t="n">
        <v>10</v>
      </c>
      <c r="J106" s="44" t="n">
        <v>1</v>
      </c>
      <c r="K106" s="28" t="inlineStr">
        <is>
          <t>Confirmed</t>
        </is>
      </c>
      <c r="L106" s="28" t="inlineStr">
        <is>
          <t>Economic</t>
        </is>
      </c>
      <c r="M106" s="28" t="inlineStr">
        <is>
          <t>Los Angeles Refinery - Carson (Marathon)</t>
        </is>
      </c>
    </row>
    <row r="107">
      <c r="A107" s="40" t="inlineStr">
        <is>
          <t>VALERO_THREE_RIVERS</t>
        </is>
      </c>
      <c r="B107" s="28" t="n">
        <v>3</v>
      </c>
      <c r="C107" s="28" t="inlineStr">
        <is>
          <t>CDU</t>
        </is>
      </c>
      <c r="D107" s="41" t="n">
        <v>46397</v>
      </c>
      <c r="E107" s="41" t="n">
        <v>46441</v>
      </c>
      <c r="F107" s="42">
        <f>$E107-$D107</f>
        <v/>
      </c>
      <c r="G107" s="28" t="inlineStr">
        <is>
          <t>Planned</t>
        </is>
      </c>
      <c r="H107" s="28">
        <f>IF(AND($D107&lt;=TODAY(),$E107&gt;=TODAY()),"LIVE","")</f>
        <v/>
      </c>
      <c r="I107" s="43" t="n">
        <v>95</v>
      </c>
      <c r="J107" s="44" t="n">
        <v>1</v>
      </c>
      <c r="K107" s="28" t="inlineStr">
        <is>
          <t>Confirmed</t>
        </is>
      </c>
      <c r="L107" s="28" t="inlineStr">
        <is>
          <t>Mechanical</t>
        </is>
      </c>
      <c r="M107" s="28" t="inlineStr">
        <is>
          <t>Three Rivers Refinery</t>
        </is>
      </c>
    </row>
    <row r="108">
      <c r="A108" s="40" t="inlineStr">
        <is>
          <t>VALERO_THREE_RIVERS</t>
        </is>
      </c>
      <c r="B108" s="28" t="n">
        <v>3</v>
      </c>
      <c r="C108" s="28" t="inlineStr">
        <is>
          <t>CDU</t>
        </is>
      </c>
      <c r="D108" s="41" t="n">
        <v>46397</v>
      </c>
      <c r="E108" s="41" t="n">
        <v>46441</v>
      </c>
      <c r="F108" s="42">
        <f>$E108-$D108</f>
        <v/>
      </c>
      <c r="G108" s="28" t="inlineStr">
        <is>
          <t>Planned</t>
        </is>
      </c>
      <c r="H108" s="28">
        <f>IF(AND($D108&lt;=TODAY(),$E108&gt;=TODAY()),"LIVE","")</f>
        <v/>
      </c>
      <c r="I108" s="43" t="n">
        <v>2.5</v>
      </c>
      <c r="J108" s="44" t="n">
        <v>1</v>
      </c>
      <c r="K108" s="28" t="inlineStr">
        <is>
          <t>Confirmed</t>
        </is>
      </c>
      <c r="L108" s="28" t="inlineStr">
        <is>
          <t>Mechanical</t>
        </is>
      </c>
      <c r="M108" s="28" t="inlineStr">
        <is>
          <t>Three Rivers Refinery</t>
        </is>
      </c>
    </row>
    <row r="109">
      <c r="A109" s="40" t="inlineStr">
        <is>
          <t>VALERO_THREE_RIVERS</t>
        </is>
      </c>
      <c r="B109" s="28" t="n">
        <v>3</v>
      </c>
      <c r="C109" s="28" t="inlineStr">
        <is>
          <t>VDU</t>
        </is>
      </c>
      <c r="D109" s="41" t="n">
        <v>46397</v>
      </c>
      <c r="E109" s="41" t="n">
        <v>46441</v>
      </c>
      <c r="F109" s="42">
        <f>$E109-$D109</f>
        <v/>
      </c>
      <c r="G109" s="28" t="inlineStr">
        <is>
          <t>Planned</t>
        </is>
      </c>
      <c r="H109" s="28">
        <f>IF(AND($D109&lt;=TODAY(),$E109&gt;=TODAY()),"LIVE","")</f>
        <v/>
      </c>
      <c r="I109" s="43" t="n">
        <v>28</v>
      </c>
      <c r="J109" s="44" t="n">
        <v>1</v>
      </c>
      <c r="K109" s="28" t="inlineStr">
        <is>
          <t>Confirmed</t>
        </is>
      </c>
      <c r="L109" s="28" t="inlineStr">
        <is>
          <t>Mechanical</t>
        </is>
      </c>
      <c r="M109" s="28" t="inlineStr">
        <is>
          <t>Three Rivers Refinery</t>
        </is>
      </c>
    </row>
    <row r="110">
      <c r="A110" s="40" t="inlineStr">
        <is>
          <t>CHEVRON_PASCAGOULA</t>
        </is>
      </c>
      <c r="B110" s="28" t="n">
        <v>3</v>
      </c>
      <c r="C110" s="28" t="inlineStr">
        <is>
          <t>DHCU</t>
        </is>
      </c>
      <c r="D110" s="41" t="n">
        <v>46401</v>
      </c>
      <c r="E110" s="41" t="n">
        <v>46405</v>
      </c>
      <c r="F110" s="42">
        <f>$E110-$D110</f>
        <v/>
      </c>
      <c r="G110" s="28" t="inlineStr">
        <is>
          <t>Planned</t>
        </is>
      </c>
      <c r="H110" s="28">
        <f>IF(AND($D110&lt;=TODAY(),$E110&gt;=TODAY()),"LIVE","")</f>
        <v/>
      </c>
      <c r="I110" s="43" t="n">
        <v>24</v>
      </c>
      <c r="J110" s="44" t="n">
        <v>1</v>
      </c>
      <c r="K110" s="28" t="inlineStr">
        <is>
          <t>Confirmed</t>
        </is>
      </c>
      <c r="L110" s="28" t="inlineStr">
        <is>
          <t>Mechanical</t>
        </is>
      </c>
      <c r="M110" s="28" t="inlineStr">
        <is>
          <t>Pascagoula Refinery</t>
        </is>
      </c>
    </row>
    <row r="111">
      <c r="A111" s="40" t="inlineStr">
        <is>
          <t>CHEVRON_PASCAGOULA</t>
        </is>
      </c>
      <c r="B111" s="28" t="n">
        <v>3</v>
      </c>
      <c r="C111" s="28" t="inlineStr">
        <is>
          <t>DHCU</t>
        </is>
      </c>
      <c r="D111" s="41" t="n">
        <v>46401</v>
      </c>
      <c r="E111" s="41" t="n">
        <v>46405</v>
      </c>
      <c r="F111" s="42">
        <f>$E111-$D111</f>
        <v/>
      </c>
      <c r="G111" s="28" t="inlineStr">
        <is>
          <t>Planned</t>
        </is>
      </c>
      <c r="H111" s="28">
        <f>IF(AND($D111&lt;=TODAY(),$E111&gt;=TODAY()),"LIVE","")</f>
        <v/>
      </c>
      <c r="I111" s="43" t="n">
        <v>34</v>
      </c>
      <c r="J111" s="44" t="n">
        <v>1</v>
      </c>
      <c r="K111" s="28" t="inlineStr">
        <is>
          <t>Confirmed</t>
        </is>
      </c>
      <c r="L111" s="28" t="inlineStr">
        <is>
          <t>Mechanical</t>
        </is>
      </c>
      <c r="M111" s="28" t="inlineStr">
        <is>
          <t>Pascagoula Refinery</t>
        </is>
      </c>
    </row>
    <row r="112">
      <c r="A112" s="40" t="inlineStr">
        <is>
          <t>VALERO_THREE_RIVERS</t>
        </is>
      </c>
      <c r="B112" s="28" t="n">
        <v>3</v>
      </c>
      <c r="C112" s="28" t="inlineStr">
        <is>
          <t>NHT</t>
        </is>
      </c>
      <c r="D112" s="41" t="n">
        <v>46401</v>
      </c>
      <c r="E112" s="41" t="n">
        <v>46428</v>
      </c>
      <c r="F112" s="42">
        <f>$E112-$D112</f>
        <v/>
      </c>
      <c r="G112" s="28" t="inlineStr">
        <is>
          <t>Planned</t>
        </is>
      </c>
      <c r="H112" s="28">
        <f>IF(AND($D112&lt;=TODAY(),$E112&gt;=TODAY()),"LIVE","")</f>
        <v/>
      </c>
      <c r="I112" s="43" t="n">
        <v>0</v>
      </c>
      <c r="J112" s="44" t="n"/>
      <c r="K112" s="28" t="inlineStr">
        <is>
          <t>Confirmed</t>
        </is>
      </c>
      <c r="L112" s="28" t="inlineStr">
        <is>
          <t>Mechanical</t>
        </is>
      </c>
      <c r="M112" s="28" t="inlineStr">
        <is>
          <t>Three Rivers Refinery</t>
        </is>
      </c>
    </row>
    <row r="113">
      <c r="A113" s="40" t="inlineStr">
        <is>
          <t>VALERO_THREE_RIVERS</t>
        </is>
      </c>
      <c r="B113" s="28" t="n">
        <v>3</v>
      </c>
      <c r="C113" s="28" t="inlineStr">
        <is>
          <t>REF</t>
        </is>
      </c>
      <c r="D113" s="41" t="n">
        <v>46401</v>
      </c>
      <c r="E113" s="41" t="n">
        <v>46428</v>
      </c>
      <c r="F113" s="42">
        <f>$E113-$D113</f>
        <v/>
      </c>
      <c r="G113" s="28" t="inlineStr">
        <is>
          <t>Planned</t>
        </is>
      </c>
      <c r="H113" s="28">
        <f>IF(AND($D113&lt;=TODAY(),$E113&gt;=TODAY()),"LIVE","")</f>
        <v/>
      </c>
      <c r="I113" s="43" t="n">
        <v>10</v>
      </c>
      <c r="J113" s="44" t="n">
        <v>1</v>
      </c>
      <c r="K113" s="28" t="inlineStr">
        <is>
          <t>Confirmed</t>
        </is>
      </c>
      <c r="L113" s="28" t="inlineStr">
        <is>
          <t>Mechanical</t>
        </is>
      </c>
      <c r="M113" s="28" t="inlineStr">
        <is>
          <t>Three Rivers Refinery</t>
        </is>
      </c>
    </row>
    <row r="114">
      <c r="A114" s="40" t="inlineStr">
        <is>
          <t>MARATHON_GARYVILLE</t>
        </is>
      </c>
      <c r="B114" s="28" t="n">
        <v>3</v>
      </c>
      <c r="C114" s="28" t="inlineStr">
        <is>
          <t>CDU</t>
        </is>
      </c>
      <c r="D114" s="41" t="n">
        <v>46402</v>
      </c>
      <c r="E114" s="41" t="n">
        <v>46422</v>
      </c>
      <c r="F114" s="42">
        <f>$E114-$D114</f>
        <v/>
      </c>
      <c r="G114" s="28" t="inlineStr">
        <is>
          <t>Planned</t>
        </is>
      </c>
      <c r="H114" s="28">
        <f>IF(AND($D114&lt;=TODAY(),$E114&gt;=TODAY()),"LIVE","")</f>
        <v/>
      </c>
      <c r="I114" s="43" t="n">
        <v>275</v>
      </c>
      <c r="J114" s="44" t="n">
        <v>1</v>
      </c>
      <c r="K114" s="28" t="inlineStr">
        <is>
          <t>Confirmed</t>
        </is>
      </c>
      <c r="L114" s="28" t="inlineStr"/>
      <c r="M114" s="28" t="inlineStr">
        <is>
          <t>Garyville Refinery</t>
        </is>
      </c>
    </row>
    <row r="115">
      <c r="A115" s="40" t="inlineStr">
        <is>
          <t>PBF_MARTINEZ</t>
        </is>
      </c>
      <c r="B115" s="28" t="n">
        <v>5</v>
      </c>
      <c r="C115" s="28" t="inlineStr">
        <is>
          <t>ALKY</t>
        </is>
      </c>
      <c r="D115" s="41" t="n">
        <v>46402</v>
      </c>
      <c r="E115" s="41" t="n">
        <v>46452</v>
      </c>
      <c r="F115" s="42">
        <f>$E115-$D115</f>
        <v/>
      </c>
      <c r="G115" s="28" t="inlineStr">
        <is>
          <t>Planned</t>
        </is>
      </c>
      <c r="H115" s="28">
        <f>IF(AND($D115&lt;=TODAY(),$E115&gt;=TODAY()),"LIVE","")</f>
        <v/>
      </c>
      <c r="I115" s="43" t="n">
        <v>12</v>
      </c>
      <c r="J115" s="44" t="n">
        <v>1</v>
      </c>
      <c r="K115" s="28" t="inlineStr">
        <is>
          <t>Confirmed</t>
        </is>
      </c>
      <c r="L115" s="28" t="inlineStr">
        <is>
          <t>Mechanical</t>
        </is>
      </c>
      <c r="M115" s="28" t="inlineStr">
        <is>
          <t>Martinez Refinery (PBF)</t>
        </is>
      </c>
    </row>
    <row r="116">
      <c r="A116" s="40" t="inlineStr">
        <is>
          <t>PBF_MARTINEZ</t>
        </is>
      </c>
      <c r="B116" s="28" t="n">
        <v>5</v>
      </c>
      <c r="C116" s="28" t="inlineStr">
        <is>
          <t>VDU</t>
        </is>
      </c>
      <c r="D116" s="41" t="n">
        <v>46402</v>
      </c>
      <c r="E116" s="41" t="n">
        <v>46452</v>
      </c>
      <c r="F116" s="42">
        <f>$E116-$D116</f>
        <v/>
      </c>
      <c r="G116" s="28" t="inlineStr">
        <is>
          <t>Planned</t>
        </is>
      </c>
      <c r="H116" s="28">
        <f>IF(AND($D116&lt;=TODAY(),$E116&gt;=TODAY()),"LIVE","")</f>
        <v/>
      </c>
      <c r="I116" s="43" t="n">
        <v>90</v>
      </c>
      <c r="J116" s="44" t="n">
        <v>1</v>
      </c>
      <c r="K116" s="28" t="inlineStr">
        <is>
          <t>Confirmed</t>
        </is>
      </c>
      <c r="L116" s="28" t="inlineStr">
        <is>
          <t>Mechanical</t>
        </is>
      </c>
      <c r="M116" s="28" t="inlineStr">
        <is>
          <t>Martinez Refinery (PBF)</t>
        </is>
      </c>
    </row>
    <row r="117">
      <c r="A117" s="40" t="inlineStr">
        <is>
          <t>PBF_MARTINEZ</t>
        </is>
      </c>
      <c r="B117" s="28" t="n">
        <v>5</v>
      </c>
      <c r="C117" s="28" t="inlineStr">
        <is>
          <t>NHT</t>
        </is>
      </c>
      <c r="D117" s="41" t="n">
        <v>46402</v>
      </c>
      <c r="E117" s="41" t="n">
        <v>46452</v>
      </c>
      <c r="F117" s="42">
        <f>$E117-$D117</f>
        <v/>
      </c>
      <c r="G117" s="28" t="inlineStr">
        <is>
          <t>Planned</t>
        </is>
      </c>
      <c r="H117" s="28">
        <f>IF(AND($D117&lt;=TODAY(),$E117&gt;=TODAY()),"LIVE","")</f>
        <v/>
      </c>
      <c r="I117" s="43" t="n">
        <v>28</v>
      </c>
      <c r="J117" s="44" t="n">
        <v>1</v>
      </c>
      <c r="K117" s="28" t="inlineStr">
        <is>
          <t>Confirmed</t>
        </is>
      </c>
      <c r="L117" s="28" t="inlineStr">
        <is>
          <t>Mechanical</t>
        </is>
      </c>
      <c r="M117" s="28" t="inlineStr">
        <is>
          <t>Martinez Refinery (PBF)</t>
        </is>
      </c>
    </row>
    <row r="118">
      <c r="A118" s="40" t="inlineStr">
        <is>
          <t>PBF_MARTINEZ</t>
        </is>
      </c>
      <c r="B118" s="28" t="n">
        <v>5</v>
      </c>
      <c r="C118" s="28" t="inlineStr">
        <is>
          <t>CDU</t>
        </is>
      </c>
      <c r="D118" s="41" t="n">
        <v>46402</v>
      </c>
      <c r="E118" s="41" t="n">
        <v>46452</v>
      </c>
      <c r="F118" s="42">
        <f>$E118-$D118</f>
        <v/>
      </c>
      <c r="G118" s="28" t="inlineStr">
        <is>
          <t>Planned</t>
        </is>
      </c>
      <c r="H118" s="28">
        <f>IF(AND($D118&lt;=TODAY(),$E118&gt;=TODAY()),"LIVE","")</f>
        <v/>
      </c>
      <c r="I118" s="43" t="n">
        <v>155</v>
      </c>
      <c r="J118" s="44" t="n">
        <v>1</v>
      </c>
      <c r="K118" s="28" t="inlineStr">
        <is>
          <t>Confirmed</t>
        </is>
      </c>
      <c r="L118" s="28" t="inlineStr">
        <is>
          <t>Mechanical</t>
        </is>
      </c>
      <c r="M118" s="28" t="inlineStr">
        <is>
          <t>Martinez Refinery (PBF)</t>
        </is>
      </c>
    </row>
    <row r="119">
      <c r="A119" s="40" t="inlineStr">
        <is>
          <t>PBF_MARTINEZ</t>
        </is>
      </c>
      <c r="B119" s="28" t="n">
        <v>5</v>
      </c>
      <c r="C119" s="28" t="inlineStr">
        <is>
          <t>REF</t>
        </is>
      </c>
      <c r="D119" s="41" t="n">
        <v>46402</v>
      </c>
      <c r="E119" s="41" t="n">
        <v>46452</v>
      </c>
      <c r="F119" s="42">
        <f>$E119-$D119</f>
        <v/>
      </c>
      <c r="G119" s="28" t="inlineStr">
        <is>
          <t>Planned</t>
        </is>
      </c>
      <c r="H119" s="28">
        <f>IF(AND($D119&lt;=TODAY(),$E119&gt;=TODAY()),"LIVE","")</f>
        <v/>
      </c>
      <c r="I119" s="43" t="n">
        <v>29.5</v>
      </c>
      <c r="J119" s="44" t="n">
        <v>1</v>
      </c>
      <c r="K119" s="28" t="inlineStr">
        <is>
          <t>Confirmed</t>
        </is>
      </c>
      <c r="L119" s="28" t="inlineStr">
        <is>
          <t>Mechanical</t>
        </is>
      </c>
      <c r="M119" s="28" t="inlineStr">
        <is>
          <t>Martinez Refinery (PBF)</t>
        </is>
      </c>
    </row>
    <row r="120">
      <c r="A120" s="40" t="inlineStr">
        <is>
          <t>PBF_MARTINEZ</t>
        </is>
      </c>
      <c r="B120" s="28" t="n">
        <v>5</v>
      </c>
      <c r="C120" s="28" t="inlineStr">
        <is>
          <t>DHCU</t>
        </is>
      </c>
      <c r="D120" s="41" t="n">
        <v>46402</v>
      </c>
      <c r="E120" s="41" t="n">
        <v>46452</v>
      </c>
      <c r="F120" s="42">
        <f>$E120-$D120</f>
        <v/>
      </c>
      <c r="G120" s="28" t="inlineStr">
        <is>
          <t>Planned</t>
        </is>
      </c>
      <c r="H120" s="28">
        <f>IF(AND($D120&lt;=TODAY(),$E120&gt;=TODAY()),"LIVE","")</f>
        <v/>
      </c>
      <c r="I120" s="43" t="n">
        <v>42</v>
      </c>
      <c r="J120" s="44" t="n">
        <v>1</v>
      </c>
      <c r="K120" s="28" t="inlineStr">
        <is>
          <t>Confirmed</t>
        </is>
      </c>
      <c r="L120" s="28" t="inlineStr">
        <is>
          <t>Mechanical</t>
        </is>
      </c>
      <c r="M120" s="28" t="inlineStr">
        <is>
          <t>Martinez Refinery (PBF)</t>
        </is>
      </c>
    </row>
    <row r="121">
      <c r="A121" s="40" t="inlineStr">
        <is>
          <t>PHILLIPS_SWEENY</t>
        </is>
      </c>
      <c r="B121" s="28" t="n">
        <v>3</v>
      </c>
      <c r="C121" s="28" t="inlineStr">
        <is>
          <t>FCC</t>
        </is>
      </c>
      <c r="D121" s="41" t="n">
        <v>46402</v>
      </c>
      <c r="E121" s="41" t="n">
        <v>46461</v>
      </c>
      <c r="F121" s="42">
        <f>$E121-$D121</f>
        <v/>
      </c>
      <c r="G121" s="28" t="inlineStr">
        <is>
          <t>Planned</t>
        </is>
      </c>
      <c r="H121" s="28">
        <f>IF(AND($D121&lt;=TODAY(),$E121&gt;=TODAY()),"LIVE","")</f>
        <v/>
      </c>
      <c r="I121" s="43" t="n">
        <v>78</v>
      </c>
      <c r="J121" s="44" t="n">
        <v>1</v>
      </c>
      <c r="K121" s="28" t="inlineStr">
        <is>
          <t>Confirmed</t>
        </is>
      </c>
      <c r="L121" s="28" t="inlineStr">
        <is>
          <t>Mechanical</t>
        </is>
      </c>
      <c r="M121" s="28" t="inlineStr">
        <is>
          <t>Sweeny Refinery</t>
        </is>
      </c>
    </row>
    <row r="122">
      <c r="A122" s="40" t="inlineStr">
        <is>
          <t>SAN_BAKERSFIELD</t>
        </is>
      </c>
      <c r="B122" s="28" t="n">
        <v>5</v>
      </c>
      <c r="C122" s="28" t="inlineStr">
        <is>
          <t>CDU</t>
        </is>
      </c>
      <c r="D122" s="41" t="n">
        <v>46419</v>
      </c>
      <c r="E122" s="41" t="n">
        <v>46428</v>
      </c>
      <c r="F122" s="42">
        <f>$E122-$D122</f>
        <v/>
      </c>
      <c r="G122" s="28" t="inlineStr">
        <is>
          <t>Planned</t>
        </is>
      </c>
      <c r="H122" s="28">
        <f>IF(AND($D122&lt;=TODAY(),$E122&gt;=TODAY()),"LIVE","")</f>
        <v/>
      </c>
      <c r="I122" s="43" t="n">
        <v>24.3</v>
      </c>
      <c r="J122" s="44" t="n">
        <v>1</v>
      </c>
      <c r="K122" s="28" t="inlineStr">
        <is>
          <t>Confirmed</t>
        </is>
      </c>
      <c r="L122" s="28" t="inlineStr">
        <is>
          <t>Mechanical</t>
        </is>
      </c>
      <c r="M122" s="28" t="inlineStr">
        <is>
          <t>Bakersfield Refinery (San Joaquin)</t>
        </is>
      </c>
    </row>
    <row r="123">
      <c r="A123" s="40" t="inlineStr">
        <is>
          <t>SAN_BAKERSFIELD</t>
        </is>
      </c>
      <c r="B123" s="28" t="n">
        <v>5</v>
      </c>
      <c r="C123" s="28" t="inlineStr">
        <is>
          <t>VDU</t>
        </is>
      </c>
      <c r="D123" s="41" t="n">
        <v>46419</v>
      </c>
      <c r="E123" s="41" t="n">
        <v>46428</v>
      </c>
      <c r="F123" s="42">
        <f>$E123-$D123</f>
        <v/>
      </c>
      <c r="G123" s="28" t="inlineStr">
        <is>
          <t>Planned</t>
        </is>
      </c>
      <c r="H123" s="28">
        <f>IF(AND($D123&lt;=TODAY(),$E123&gt;=TODAY()),"LIVE","")</f>
        <v/>
      </c>
      <c r="I123" s="43" t="n">
        <v>14</v>
      </c>
      <c r="J123" s="44" t="n">
        <v>1</v>
      </c>
      <c r="K123" s="28" t="inlineStr">
        <is>
          <t>Confirmed</t>
        </is>
      </c>
      <c r="L123" s="28" t="inlineStr">
        <is>
          <t>Mechanical</t>
        </is>
      </c>
      <c r="M123" s="28" t="inlineStr">
        <is>
          <t>Bakersfield Refinery (San Joaquin)</t>
        </is>
      </c>
    </row>
    <row r="124">
      <c r="A124" s="40" t="inlineStr">
        <is>
          <t>VALERO_CORPUS_CHRISTI</t>
        </is>
      </c>
      <c r="B124" s="28" t="n">
        <v>3</v>
      </c>
      <c r="C124" s="28" t="inlineStr">
        <is>
          <t>CDU</t>
        </is>
      </c>
      <c r="D124" s="41" t="n">
        <v>46419</v>
      </c>
      <c r="E124" s="41" t="n">
        <v>46463</v>
      </c>
      <c r="F124" s="42">
        <f>$E124-$D124</f>
        <v/>
      </c>
      <c r="G124" s="28" t="inlineStr">
        <is>
          <t>Planned</t>
        </is>
      </c>
      <c r="H124" s="28">
        <f>IF(AND($D124&lt;=TODAY(),$E124&gt;=TODAY()),"LIVE","")</f>
        <v/>
      </c>
      <c r="I124" s="43" t="n">
        <v>96</v>
      </c>
      <c r="J124" s="44" t="n">
        <v>1</v>
      </c>
      <c r="K124" s="28" t="inlineStr">
        <is>
          <t>Confirmed</t>
        </is>
      </c>
      <c r="L124" s="28" t="inlineStr">
        <is>
          <t>Economic</t>
        </is>
      </c>
      <c r="M124" s="28" t="inlineStr">
        <is>
          <t>Bill Greehey Refinery-East</t>
        </is>
      </c>
    </row>
    <row r="125">
      <c r="A125" s="40" t="inlineStr">
        <is>
          <t>VALERO_CORPUS_CHRISTI</t>
        </is>
      </c>
      <c r="B125" s="28" t="n">
        <v>3</v>
      </c>
      <c r="C125" s="28" t="inlineStr">
        <is>
          <t>COKER</t>
        </is>
      </c>
      <c r="D125" s="41" t="n">
        <v>46419</v>
      </c>
      <c r="E125" s="41" t="n">
        <v>46463</v>
      </c>
      <c r="F125" s="42">
        <f>$E125-$D125</f>
        <v/>
      </c>
      <c r="G125" s="28" t="inlineStr">
        <is>
          <t>Planned</t>
        </is>
      </c>
      <c r="H125" s="28">
        <f>IF(AND($D125&lt;=TODAY(),$E125&gt;=TODAY()),"LIVE","")</f>
        <v/>
      </c>
      <c r="I125" s="43" t="n">
        <v>18</v>
      </c>
      <c r="J125" s="44" t="n">
        <v>1</v>
      </c>
      <c r="K125" s="28" t="inlineStr">
        <is>
          <t>Confirmed</t>
        </is>
      </c>
      <c r="L125" s="28" t="inlineStr">
        <is>
          <t>Mechanical</t>
        </is>
      </c>
      <c r="M125" s="28" t="inlineStr">
        <is>
          <t>Bill Greehey Refinery-East</t>
        </is>
      </c>
    </row>
    <row r="126">
      <c r="A126" s="40" t="inlineStr">
        <is>
          <t>MARATHON_SALT_LAKE_CITY</t>
        </is>
      </c>
      <c r="B126" s="28" t="n">
        <v>4</v>
      </c>
      <c r="C126" s="28" t="inlineStr">
        <is>
          <t>CDU</t>
        </is>
      </c>
      <c r="D126" s="41" t="n">
        <v>46420</v>
      </c>
      <c r="E126" s="41" t="n">
        <v>46464</v>
      </c>
      <c r="F126" s="42">
        <f>$E126-$D126</f>
        <v/>
      </c>
      <c r="G126" s="28" t="inlineStr">
        <is>
          <t>Planned</t>
        </is>
      </c>
      <c r="H126" s="28">
        <f>IF(AND($D126&lt;=TODAY(),$E126&gt;=TODAY()),"LIVE","")</f>
        <v/>
      </c>
      <c r="I126" s="43" t="n">
        <v>64</v>
      </c>
      <c r="J126" s="44" t="n">
        <v>1</v>
      </c>
      <c r="K126" s="28" t="inlineStr">
        <is>
          <t>Confirmed</t>
        </is>
      </c>
      <c r="L126" s="28" t="inlineStr">
        <is>
          <t>Mechanical</t>
        </is>
      </c>
      <c r="M126" s="28" t="inlineStr">
        <is>
          <t>Salt Lake City Refinery (Marathon)</t>
        </is>
      </c>
    </row>
    <row r="127">
      <c r="A127" s="40" t="inlineStr">
        <is>
          <t>MARATHON_SALT_LAKE_CITY</t>
        </is>
      </c>
      <c r="B127" s="28" t="n">
        <v>4</v>
      </c>
      <c r="C127" s="28" t="inlineStr">
        <is>
          <t>FCC</t>
        </is>
      </c>
      <c r="D127" s="41" t="n">
        <v>46420</v>
      </c>
      <c r="E127" s="41" t="n">
        <v>46464</v>
      </c>
      <c r="F127" s="42">
        <f>$E127-$D127</f>
        <v/>
      </c>
      <c r="G127" s="28" t="inlineStr">
        <is>
          <t>Planned</t>
        </is>
      </c>
      <c r="H127" s="28">
        <f>IF(AND($D127&lt;=TODAY(),$E127&gt;=TODAY()),"LIVE","")</f>
        <v/>
      </c>
      <c r="I127" s="43" t="n">
        <v>26.4</v>
      </c>
      <c r="J127" s="44" t="n">
        <v>1</v>
      </c>
      <c r="K127" s="28" t="inlineStr">
        <is>
          <t>Confirmed</t>
        </is>
      </c>
      <c r="L127" s="28" t="inlineStr">
        <is>
          <t>Mechanical</t>
        </is>
      </c>
      <c r="M127" s="28" t="inlineStr">
        <is>
          <t>Salt Lake City Refinery (Marathon)</t>
        </is>
      </c>
    </row>
    <row r="128">
      <c r="A128" s="40" t="inlineStr">
        <is>
          <t>MARATHON_SALT_LAKE_CITY</t>
        </is>
      </c>
      <c r="B128" s="28" t="n">
        <v>4</v>
      </c>
      <c r="C128" s="28" t="inlineStr">
        <is>
          <t>ALKY</t>
        </is>
      </c>
      <c r="D128" s="41" t="n">
        <v>46420</v>
      </c>
      <c r="E128" s="41" t="n">
        <v>46464</v>
      </c>
      <c r="F128" s="42">
        <f>$E128-$D128</f>
        <v/>
      </c>
      <c r="G128" s="28" t="inlineStr">
        <is>
          <t>Planned</t>
        </is>
      </c>
      <c r="H128" s="28">
        <f>IF(AND($D128&lt;=TODAY(),$E128&gt;=TODAY()),"LIVE","")</f>
        <v/>
      </c>
      <c r="I128" s="43" t="n">
        <v>6</v>
      </c>
      <c r="J128" s="44" t="n">
        <v>1</v>
      </c>
      <c r="K128" s="28" t="inlineStr">
        <is>
          <t>Confirmed</t>
        </is>
      </c>
      <c r="L128" s="28" t="inlineStr">
        <is>
          <t>Mechanical</t>
        </is>
      </c>
      <c r="M128" s="28" t="inlineStr">
        <is>
          <t>Salt Lake City Refinery (Marathon)</t>
        </is>
      </c>
    </row>
    <row r="129">
      <c r="A129" s="40" t="inlineStr">
        <is>
          <t>MARATHON_SALT_LAKE_CITY</t>
        </is>
      </c>
      <c r="B129" s="28" t="n">
        <v>4</v>
      </c>
      <c r="C129" s="28" t="inlineStr">
        <is>
          <t>NHT</t>
        </is>
      </c>
      <c r="D129" s="41" t="n">
        <v>46420</v>
      </c>
      <c r="E129" s="41" t="n">
        <v>46464</v>
      </c>
      <c r="F129" s="42">
        <f>$E129-$D129</f>
        <v/>
      </c>
      <c r="G129" s="28" t="inlineStr">
        <is>
          <t>Planned</t>
        </is>
      </c>
      <c r="H129" s="28">
        <f>IF(AND($D129&lt;=TODAY(),$E129&gt;=TODAY()),"LIVE","")</f>
        <v/>
      </c>
      <c r="I129" s="43" t="n">
        <v>12</v>
      </c>
      <c r="J129" s="44" t="n">
        <v>1</v>
      </c>
      <c r="K129" s="28" t="inlineStr">
        <is>
          <t>Confirmed</t>
        </is>
      </c>
      <c r="L129" s="28" t="inlineStr">
        <is>
          <t>Mechanical</t>
        </is>
      </c>
      <c r="M129" s="28" t="inlineStr">
        <is>
          <t>Salt Lake City Refinery (Marathon)</t>
        </is>
      </c>
    </row>
    <row r="130">
      <c r="A130" s="40" t="inlineStr">
        <is>
          <t>MARATHON_SALT_LAKE_CITY</t>
        </is>
      </c>
      <c r="B130" s="28" t="n">
        <v>4</v>
      </c>
      <c r="C130" s="28" t="inlineStr">
        <is>
          <t>REF</t>
        </is>
      </c>
      <c r="D130" s="41" t="n">
        <v>46420</v>
      </c>
      <c r="E130" s="41" t="n">
        <v>46464</v>
      </c>
      <c r="F130" s="42">
        <f>$E130-$D130</f>
        <v/>
      </c>
      <c r="G130" s="28" t="inlineStr">
        <is>
          <t>Planned</t>
        </is>
      </c>
      <c r="H130" s="28">
        <f>IF(AND($D130&lt;=TODAY(),$E130&gt;=TODAY()),"LIVE","")</f>
        <v/>
      </c>
      <c r="I130" s="43" t="n">
        <v>12</v>
      </c>
      <c r="J130" s="44" t="n">
        <v>1</v>
      </c>
      <c r="K130" s="28" t="inlineStr">
        <is>
          <t>Confirmed</t>
        </is>
      </c>
      <c r="L130" s="28" t="inlineStr">
        <is>
          <t>Mechanical</t>
        </is>
      </c>
      <c r="M130" s="28" t="inlineStr">
        <is>
          <t>Salt Lake City Refinery (Marathon)</t>
        </is>
      </c>
    </row>
    <row r="131">
      <c r="A131" s="40" t="inlineStr">
        <is>
          <t>DELEK_EL_DORADO_AR</t>
        </is>
      </c>
      <c r="B131" s="28" t="n">
        <v>3</v>
      </c>
      <c r="C131" s="28" t="inlineStr">
        <is>
          <t>ISOM</t>
        </is>
      </c>
      <c r="D131" s="41" t="n">
        <v>46423</v>
      </c>
      <c r="E131" s="41" t="n">
        <v>46482</v>
      </c>
      <c r="F131" s="42">
        <f>$E131-$D131</f>
        <v/>
      </c>
      <c r="G131" s="28" t="inlineStr">
        <is>
          <t>Planned</t>
        </is>
      </c>
      <c r="H131" s="28">
        <f>IF(AND($D131&lt;=TODAY(),$E131&gt;=TODAY()),"LIVE","")</f>
        <v/>
      </c>
      <c r="I131" s="43" t="n">
        <v>6</v>
      </c>
      <c r="J131" s="44" t="n">
        <v>1</v>
      </c>
      <c r="K131" s="28" t="inlineStr">
        <is>
          <t>Confirmed</t>
        </is>
      </c>
      <c r="L131" s="28" t="inlineStr">
        <is>
          <t>Mechanical</t>
        </is>
      </c>
      <c r="M131" s="28" t="inlineStr">
        <is>
          <t>El Dorado Refinery (Delek)</t>
        </is>
      </c>
    </row>
    <row r="132">
      <c r="A132" s="40" t="inlineStr">
        <is>
          <t>DELEK_EL_DORADO_AR</t>
        </is>
      </c>
      <c r="B132" s="28" t="n">
        <v>3</v>
      </c>
      <c r="C132" s="28" t="inlineStr">
        <is>
          <t>CCR</t>
        </is>
      </c>
      <c r="D132" s="41" t="n">
        <v>46423</v>
      </c>
      <c r="E132" s="41" t="n">
        <v>46482</v>
      </c>
      <c r="F132" s="42">
        <f>$E132-$D132</f>
        <v/>
      </c>
      <c r="G132" s="28" t="inlineStr">
        <is>
          <t>Planned</t>
        </is>
      </c>
      <c r="H132" s="28">
        <f>IF(AND($D132&lt;=TODAY(),$E132&gt;=TODAY()),"LIVE","")</f>
        <v/>
      </c>
      <c r="I132" s="43" t="n">
        <v>16</v>
      </c>
      <c r="J132" s="44" t="n">
        <v>1</v>
      </c>
      <c r="K132" s="28" t="inlineStr">
        <is>
          <t>Confirmed</t>
        </is>
      </c>
      <c r="L132" s="28" t="inlineStr">
        <is>
          <t>Mechanical</t>
        </is>
      </c>
      <c r="M132" s="28" t="inlineStr">
        <is>
          <t>El Dorado Refinery (Delek)</t>
        </is>
      </c>
    </row>
    <row r="133">
      <c r="A133" s="40" t="inlineStr">
        <is>
          <t>DELEK_EL_DORADO_AR</t>
        </is>
      </c>
      <c r="B133" s="28" t="n">
        <v>3</v>
      </c>
      <c r="C133" s="28" t="inlineStr">
        <is>
          <t>CDU</t>
        </is>
      </c>
      <c r="D133" s="41" t="n">
        <v>46423</v>
      </c>
      <c r="E133" s="41" t="n">
        <v>46482</v>
      </c>
      <c r="F133" s="42">
        <f>$E133-$D133</f>
        <v/>
      </c>
      <c r="G133" s="28" t="inlineStr">
        <is>
          <t>Planned</t>
        </is>
      </c>
      <c r="H133" s="28">
        <f>IF(AND($D133&lt;=TODAY(),$E133&gt;=TODAY()),"LIVE","")</f>
        <v/>
      </c>
      <c r="I133" s="43" t="n">
        <v>80</v>
      </c>
      <c r="J133" s="44" t="n">
        <v>1</v>
      </c>
      <c r="K133" s="28" t="inlineStr">
        <is>
          <t>Confirmed</t>
        </is>
      </c>
      <c r="L133" s="28" t="inlineStr">
        <is>
          <t>Mechanical</t>
        </is>
      </c>
      <c r="M133" s="28" t="inlineStr">
        <is>
          <t>El Dorado Refinery (Delek)</t>
        </is>
      </c>
    </row>
    <row r="134">
      <c r="A134" s="40" t="inlineStr">
        <is>
          <t>DELEK_EL_DORADO_AR</t>
        </is>
      </c>
      <c r="B134" s="28" t="n">
        <v>3</v>
      </c>
      <c r="C134" s="28" t="inlineStr">
        <is>
          <t>FCC</t>
        </is>
      </c>
      <c r="D134" s="41" t="n">
        <v>46423</v>
      </c>
      <c r="E134" s="41" t="n">
        <v>46482</v>
      </c>
      <c r="F134" s="42">
        <f>$E134-$D134</f>
        <v/>
      </c>
      <c r="G134" s="28" t="inlineStr">
        <is>
          <t>Planned</t>
        </is>
      </c>
      <c r="H134" s="28">
        <f>IF(AND($D134&lt;=TODAY(),$E134&gt;=TODAY()),"LIVE","")</f>
        <v/>
      </c>
      <c r="I134" s="43" t="n">
        <v>20</v>
      </c>
      <c r="J134" s="44" t="n">
        <v>1</v>
      </c>
      <c r="K134" s="28" t="inlineStr">
        <is>
          <t>Confirmed</t>
        </is>
      </c>
      <c r="L134" s="28" t="inlineStr">
        <is>
          <t>Mechanical</t>
        </is>
      </c>
      <c r="M134" s="28" t="inlineStr">
        <is>
          <t>El Dorado Refinery (Delek)</t>
        </is>
      </c>
    </row>
    <row r="135">
      <c r="A135" s="40" t="inlineStr">
        <is>
          <t>DELEK_EL_DORADO_AR</t>
        </is>
      </c>
      <c r="B135" s="28" t="n">
        <v>3</v>
      </c>
      <c r="C135" s="28" t="inlineStr">
        <is>
          <t>VDU</t>
        </is>
      </c>
      <c r="D135" s="41" t="n">
        <v>46423</v>
      </c>
      <c r="E135" s="41" t="n">
        <v>46482</v>
      </c>
      <c r="F135" s="42">
        <f>$E135-$D135</f>
        <v/>
      </c>
      <c r="G135" s="28" t="inlineStr">
        <is>
          <t>Planned</t>
        </is>
      </c>
      <c r="H135" s="28">
        <f>IF(AND($D135&lt;=TODAY(),$E135&gt;=TODAY()),"LIVE","")</f>
        <v/>
      </c>
      <c r="I135" s="43" t="n">
        <v>18.525</v>
      </c>
      <c r="J135" s="44" t="n">
        <v>1</v>
      </c>
      <c r="K135" s="28" t="inlineStr">
        <is>
          <t>Confirmed</t>
        </is>
      </c>
      <c r="L135" s="28" t="inlineStr">
        <is>
          <t>Mechanical</t>
        </is>
      </c>
      <c r="M135" s="28" t="inlineStr">
        <is>
          <t>El Dorado Refinery (Delek)</t>
        </is>
      </c>
    </row>
    <row r="136">
      <c r="A136" s="40" t="inlineStr">
        <is>
          <t>DELEK_EL_DORADO_AR</t>
        </is>
      </c>
      <c r="B136" s="28" t="n">
        <v>3</v>
      </c>
      <c r="C136" s="28" t="inlineStr">
        <is>
          <t>ALKY</t>
        </is>
      </c>
      <c r="D136" s="41" t="n">
        <v>46423</v>
      </c>
      <c r="E136" s="41" t="n">
        <v>46482</v>
      </c>
      <c r="F136" s="42">
        <f>$E136-$D136</f>
        <v/>
      </c>
      <c r="G136" s="28" t="inlineStr">
        <is>
          <t>Planned</t>
        </is>
      </c>
      <c r="H136" s="28">
        <f>IF(AND($D136&lt;=TODAY(),$E136&gt;=TODAY()),"LIVE","")</f>
        <v/>
      </c>
      <c r="I136" s="43" t="n">
        <v>4</v>
      </c>
      <c r="J136" s="44" t="n">
        <v>1</v>
      </c>
      <c r="K136" s="28" t="inlineStr">
        <is>
          <t>Confirmed</t>
        </is>
      </c>
      <c r="L136" s="28" t="inlineStr">
        <is>
          <t>Mechanical</t>
        </is>
      </c>
      <c r="M136" s="28" t="inlineStr">
        <is>
          <t>El Dorado Refinery (Delek)</t>
        </is>
      </c>
    </row>
    <row r="137">
      <c r="A137" s="40" t="inlineStr">
        <is>
          <t>DELEK_EL_DORADO_AR</t>
        </is>
      </c>
      <c r="B137" s="28" t="n">
        <v>3</v>
      </c>
      <c r="C137" s="28" t="inlineStr">
        <is>
          <t>NHT</t>
        </is>
      </c>
      <c r="D137" s="41" t="n">
        <v>46423</v>
      </c>
      <c r="E137" s="41" t="n">
        <v>46482</v>
      </c>
      <c r="F137" s="42">
        <f>$E137-$D137</f>
        <v/>
      </c>
      <c r="G137" s="28" t="inlineStr">
        <is>
          <t>Planned</t>
        </is>
      </c>
      <c r="H137" s="28">
        <f>IF(AND($D137&lt;=TODAY(),$E137&gt;=TODAY()),"LIVE","")</f>
        <v/>
      </c>
      <c r="I137" s="43" t="n">
        <v>13.5</v>
      </c>
      <c r="J137" s="44" t="n">
        <v>1</v>
      </c>
      <c r="K137" s="28" t="inlineStr">
        <is>
          <t>Confirmed</t>
        </is>
      </c>
      <c r="L137" s="28" t="inlineStr">
        <is>
          <t>Mechanical</t>
        </is>
      </c>
      <c r="M137" s="28" t="inlineStr">
        <is>
          <t>El Dorado Refinery (Delek)</t>
        </is>
      </c>
    </row>
    <row r="138">
      <c r="A138" s="40" t="inlineStr">
        <is>
          <t>EXXONMOBIL_BEAUMONT</t>
        </is>
      </c>
      <c r="B138" s="28" t="n">
        <v>3</v>
      </c>
      <c r="C138" s="28" t="inlineStr">
        <is>
          <t>FCC</t>
        </is>
      </c>
      <c r="D138" s="41" t="n">
        <v>46423</v>
      </c>
      <c r="E138" s="41" t="n">
        <v>46462</v>
      </c>
      <c r="F138" s="42">
        <f>$E138-$D138</f>
        <v/>
      </c>
      <c r="G138" s="28" t="inlineStr">
        <is>
          <t>Planned</t>
        </is>
      </c>
      <c r="H138" s="28">
        <f>IF(AND($D138&lt;=TODAY(),$E138&gt;=TODAY()),"LIVE","")</f>
        <v/>
      </c>
      <c r="I138" s="43" t="n">
        <v>120</v>
      </c>
      <c r="J138" s="44" t="n">
        <v>1</v>
      </c>
      <c r="K138" s="28" t="inlineStr">
        <is>
          <t>Confirmed</t>
        </is>
      </c>
      <c r="L138" s="28" t="inlineStr">
        <is>
          <t>Mechanical</t>
        </is>
      </c>
      <c r="M138" s="28" t="inlineStr">
        <is>
          <t>Beaumont Refinery</t>
        </is>
      </c>
    </row>
    <row r="139">
      <c r="A139" s="40" t="inlineStr">
        <is>
          <t>HF_TULSA</t>
        </is>
      </c>
      <c r="B139" s="28" t="n">
        <v>2</v>
      </c>
      <c r="C139" s="28" t="inlineStr">
        <is>
          <t>FCC</t>
        </is>
      </c>
      <c r="D139" s="41" t="n">
        <v>46423</v>
      </c>
      <c r="E139" s="41" t="n">
        <v>46467</v>
      </c>
      <c r="F139" s="42">
        <f>$E139-$D139</f>
        <v/>
      </c>
      <c r="G139" s="28" t="inlineStr">
        <is>
          <t>Planned</t>
        </is>
      </c>
      <c r="H139" s="28">
        <f>IF(AND($D139&lt;=TODAY(),$E139&gt;=TODAY()),"LIVE","")</f>
        <v/>
      </c>
      <c r="I139" s="43" t="n">
        <v>29</v>
      </c>
      <c r="J139" s="44" t="n">
        <v>1</v>
      </c>
      <c r="K139" s="28" t="inlineStr">
        <is>
          <t>Confirmed</t>
        </is>
      </c>
      <c r="L139" s="28" t="inlineStr">
        <is>
          <t>Mechanical</t>
        </is>
      </c>
      <c r="M139" s="28" t="inlineStr">
        <is>
          <t>Tulsa East Refinery (Fuels) (East)</t>
        </is>
      </c>
    </row>
    <row r="140">
      <c r="A140" s="40" t="inlineStr">
        <is>
          <t>HF_TULSA</t>
        </is>
      </c>
      <c r="B140" s="28" t="n">
        <v>2</v>
      </c>
      <c r="C140" s="28" t="inlineStr">
        <is>
          <t>ALKY</t>
        </is>
      </c>
      <c r="D140" s="41" t="n">
        <v>46423</v>
      </c>
      <c r="E140" s="41" t="n">
        <v>46467</v>
      </c>
      <c r="F140" s="42">
        <f>$E140-$D140</f>
        <v/>
      </c>
      <c r="G140" s="28" t="inlineStr">
        <is>
          <t>Planned</t>
        </is>
      </c>
      <c r="H140" s="28">
        <f>IF(AND($D140&lt;=TODAY(),$E140&gt;=TODAY()),"LIVE","")</f>
        <v/>
      </c>
      <c r="I140" s="43" t="n">
        <v>3</v>
      </c>
      <c r="J140" s="44" t="n">
        <v>1</v>
      </c>
      <c r="K140" s="28" t="inlineStr">
        <is>
          <t>Confirmed</t>
        </is>
      </c>
      <c r="L140" s="28" t="inlineStr">
        <is>
          <t>Mechanical</t>
        </is>
      </c>
      <c r="M140" s="28" t="inlineStr">
        <is>
          <t>Tulsa East Refinery (Fuels) (East)</t>
        </is>
      </c>
    </row>
    <row r="141">
      <c r="A141" s="40" t="inlineStr">
        <is>
          <t>HF_TULSA</t>
        </is>
      </c>
      <c r="B141" s="28" t="n">
        <v>2</v>
      </c>
      <c r="C141" s="28" t="inlineStr">
        <is>
          <t>VDU</t>
        </is>
      </c>
      <c r="D141" s="41" t="n">
        <v>46423</v>
      </c>
      <c r="E141" s="41" t="n">
        <v>46453</v>
      </c>
      <c r="F141" s="42">
        <f>$E141-$D141</f>
        <v/>
      </c>
      <c r="G141" s="28" t="inlineStr">
        <is>
          <t>Planned</t>
        </is>
      </c>
      <c r="H141" s="28">
        <f>IF(AND($D141&lt;=TODAY(),$E141&gt;=TODAY()),"LIVE","")</f>
        <v/>
      </c>
      <c r="I141" s="43" t="n">
        <v>56</v>
      </c>
      <c r="J141" s="44" t="n">
        <v>1</v>
      </c>
      <c r="K141" s="28" t="inlineStr">
        <is>
          <t>Confirmed</t>
        </is>
      </c>
      <c r="L141" s="28" t="inlineStr">
        <is>
          <t>Mechanical</t>
        </is>
      </c>
      <c r="M141" s="28" t="inlineStr">
        <is>
          <t>Tulsa East Refinery (Fuels) (East)</t>
        </is>
      </c>
    </row>
    <row r="142">
      <c r="A142" s="40" t="inlineStr">
        <is>
          <t>PBF_TOLEDO</t>
        </is>
      </c>
      <c r="B142" s="28" t="n">
        <v>2</v>
      </c>
      <c r="C142" s="28" t="inlineStr">
        <is>
          <t>CDU</t>
        </is>
      </c>
      <c r="D142" s="41" t="n">
        <v>46423</v>
      </c>
      <c r="E142" s="41" t="n">
        <v>46467</v>
      </c>
      <c r="F142" s="42">
        <f>$E142-$D142</f>
        <v/>
      </c>
      <c r="G142" s="28" t="inlineStr">
        <is>
          <t>Planned</t>
        </is>
      </c>
      <c r="H142" s="28">
        <f>IF(AND($D142&lt;=TODAY(),$E142&gt;=TODAY()),"LIVE","")</f>
        <v/>
      </c>
      <c r="I142" s="43" t="n">
        <v>87</v>
      </c>
      <c r="J142" s="44" t="n">
        <v>1</v>
      </c>
      <c r="K142" s="28" t="inlineStr">
        <is>
          <t>Confirmed</t>
        </is>
      </c>
      <c r="L142" s="28" t="inlineStr">
        <is>
          <t>Mechanical</t>
        </is>
      </c>
      <c r="M142" s="28" t="inlineStr">
        <is>
          <t>Toledo Refinery (PBF)</t>
        </is>
      </c>
    </row>
    <row r="143">
      <c r="A143" s="40" t="inlineStr">
        <is>
          <t>PBF_TOLEDO</t>
        </is>
      </c>
      <c r="B143" s="28" t="n">
        <v>2</v>
      </c>
      <c r="C143" s="28" t="inlineStr">
        <is>
          <t>FCC</t>
        </is>
      </c>
      <c r="D143" s="41" t="n">
        <v>46423</v>
      </c>
      <c r="E143" s="41" t="n">
        <v>46467</v>
      </c>
      <c r="F143" s="42">
        <f>$E143-$D143</f>
        <v/>
      </c>
      <c r="G143" s="28" t="inlineStr">
        <is>
          <t>Planned</t>
        </is>
      </c>
      <c r="H143" s="28">
        <f>IF(AND($D143&lt;=TODAY(),$E143&gt;=TODAY()),"LIVE","")</f>
        <v/>
      </c>
      <c r="I143" s="43" t="n">
        <v>79</v>
      </c>
      <c r="J143" s="44" t="n">
        <v>1</v>
      </c>
      <c r="K143" s="28" t="inlineStr">
        <is>
          <t>Confirmed</t>
        </is>
      </c>
      <c r="L143" s="28" t="inlineStr">
        <is>
          <t>Mechanical</t>
        </is>
      </c>
      <c r="M143" s="28" t="inlineStr">
        <is>
          <t>Toledo Refinery (PBF)</t>
        </is>
      </c>
    </row>
    <row r="144">
      <c r="A144" s="40" t="inlineStr">
        <is>
          <t>VALERO_HOUSTON</t>
        </is>
      </c>
      <c r="B144" s="28" t="n">
        <v>3</v>
      </c>
      <c r="C144" s="28" t="inlineStr">
        <is>
          <t>DHCU</t>
        </is>
      </c>
      <c r="D144" s="41" t="n">
        <v>46423</v>
      </c>
      <c r="E144" s="41" t="n">
        <v>46455</v>
      </c>
      <c r="F144" s="42">
        <f>$E144-$D144</f>
        <v/>
      </c>
      <c r="G144" s="28" t="inlineStr">
        <is>
          <t>Planned</t>
        </is>
      </c>
      <c r="H144" s="28">
        <f>IF(AND($D144&lt;=TODAY(),$E144&gt;=TODAY()),"LIVE","")</f>
        <v/>
      </c>
      <c r="I144" s="43" t="n">
        <v>50</v>
      </c>
      <c r="J144" s="44" t="n">
        <v>1</v>
      </c>
      <c r="K144" s="28" t="inlineStr">
        <is>
          <t>Confirmed</t>
        </is>
      </c>
      <c r="L144" s="28" t="inlineStr">
        <is>
          <t>Mechanical</t>
        </is>
      </c>
      <c r="M144" s="28" t="inlineStr">
        <is>
          <t>Houston Refinery (Valero)</t>
        </is>
      </c>
    </row>
    <row r="145">
      <c r="A145" s="40" t="inlineStr">
        <is>
          <t>XOM_BAYTOWN</t>
        </is>
      </c>
      <c r="B145" s="28" t="n">
        <v>3</v>
      </c>
      <c r="C145" s="28" t="inlineStr">
        <is>
          <t>FCC</t>
        </is>
      </c>
      <c r="D145" s="41" t="n">
        <v>46423</v>
      </c>
      <c r="E145" s="41" t="n">
        <v>46492</v>
      </c>
      <c r="F145" s="42">
        <f>$E145-$D145</f>
        <v/>
      </c>
      <c r="G145" s="28" t="inlineStr">
        <is>
          <t>Planned</t>
        </is>
      </c>
      <c r="H145" s="28">
        <f>IF(AND($D145&lt;=TODAY(),$E145&gt;=TODAY()),"LIVE","")</f>
        <v/>
      </c>
      <c r="I145" s="43" t="n">
        <v>125</v>
      </c>
      <c r="J145" s="44" t="n">
        <v>1</v>
      </c>
      <c r="K145" s="28" t="inlineStr">
        <is>
          <t>Confirmed</t>
        </is>
      </c>
      <c r="L145" s="28" t="inlineStr">
        <is>
          <t>Mechanical</t>
        </is>
      </c>
      <c r="M145" s="28" t="inlineStr">
        <is>
          <t>Baytown Refinery</t>
        </is>
      </c>
    </row>
    <row r="146">
      <c r="A146" s="40" t="inlineStr">
        <is>
          <t>HF_TULSA</t>
        </is>
      </c>
      <c r="B146" s="28" t="n">
        <v>2</v>
      </c>
      <c r="C146" s="28" t="inlineStr">
        <is>
          <t>CDU</t>
        </is>
      </c>
      <c r="D146" s="41" t="n">
        <v>46424</v>
      </c>
      <c r="E146" s="41" t="n">
        <v>46453</v>
      </c>
      <c r="F146" s="42">
        <f>$E146-$D146</f>
        <v/>
      </c>
      <c r="G146" s="28" t="inlineStr">
        <is>
          <t>Planned</t>
        </is>
      </c>
      <c r="H146" s="28">
        <f>IF(AND($D146&lt;=TODAY(),$E146&gt;=TODAY()),"LIVE","")</f>
        <v/>
      </c>
      <c r="I146" s="43" t="n">
        <v>40</v>
      </c>
      <c r="J146" s="44" t="n">
        <v>1</v>
      </c>
      <c r="K146" s="28" t="inlineStr">
        <is>
          <t>Confirmed</t>
        </is>
      </c>
      <c r="L146" s="28" t="inlineStr"/>
      <c r="M146" s="28" t="inlineStr">
        <is>
          <t>Tulsa East Refinery (Fuels) (East)</t>
        </is>
      </c>
    </row>
    <row r="147">
      <c r="A147" s="40" t="inlineStr">
        <is>
          <t>CHEVRON_PASCAGOULA</t>
        </is>
      </c>
      <c r="B147" s="28" t="n">
        <v>3</v>
      </c>
      <c r="C147" s="28" t="inlineStr">
        <is>
          <t>FCC</t>
        </is>
      </c>
      <c r="D147" s="41" t="n">
        <v>46430</v>
      </c>
      <c r="E147" s="41" t="n">
        <v>46474</v>
      </c>
      <c r="F147" s="42">
        <f>$E147-$D147</f>
        <v/>
      </c>
      <c r="G147" s="28" t="inlineStr">
        <is>
          <t>Planned</t>
        </is>
      </c>
      <c r="H147" s="28">
        <f>IF(AND($D147&lt;=TODAY(),$E147&gt;=TODAY()),"LIVE","")</f>
        <v/>
      </c>
      <c r="I147" s="43" t="n">
        <v>78.75</v>
      </c>
      <c r="J147" s="44" t="n">
        <v>1</v>
      </c>
      <c r="K147" s="28" t="inlineStr">
        <is>
          <t>Confirmed</t>
        </is>
      </c>
      <c r="L147" s="28" t="inlineStr">
        <is>
          <t>Mechanical</t>
        </is>
      </c>
      <c r="M147" s="28" t="inlineStr">
        <is>
          <t>Pascagoula Refinery</t>
        </is>
      </c>
    </row>
    <row r="148">
      <c r="A148" s="40" t="inlineStr">
        <is>
          <t>CHEVRON_PASCAGOULA</t>
        </is>
      </c>
      <c r="B148" s="28" t="n">
        <v>3</v>
      </c>
      <c r="C148" s="28" t="inlineStr">
        <is>
          <t>ALKY</t>
        </is>
      </c>
      <c r="D148" s="41" t="n">
        <v>46430</v>
      </c>
      <c r="E148" s="41" t="n">
        <v>46474</v>
      </c>
      <c r="F148" s="42">
        <f>$E148-$D148</f>
        <v/>
      </c>
      <c r="G148" s="28" t="inlineStr">
        <is>
          <t>Planned</t>
        </is>
      </c>
      <c r="H148" s="28">
        <f>IF(AND($D148&lt;=TODAY(),$E148&gt;=TODAY()),"LIVE","")</f>
        <v/>
      </c>
      <c r="I148" s="43" t="n">
        <v>8</v>
      </c>
      <c r="J148" s="44" t="n">
        <v>1</v>
      </c>
      <c r="K148" s="28" t="inlineStr">
        <is>
          <t>Confirmed</t>
        </is>
      </c>
      <c r="L148" s="28" t="inlineStr"/>
      <c r="M148" s="28" t="inlineStr">
        <is>
          <t>Pascagoula Refinery</t>
        </is>
      </c>
    </row>
    <row r="149">
      <c r="A149" s="40" t="inlineStr">
        <is>
          <t>HUNT_SANDERSVILLE</t>
        </is>
      </c>
      <c r="B149" s="28" t="n">
        <v>3</v>
      </c>
      <c r="C149" s="28" t="inlineStr">
        <is>
          <t>CDU</t>
        </is>
      </c>
      <c r="D149" s="41" t="n">
        <v>46430</v>
      </c>
      <c r="E149" s="41" t="n">
        <v>46453</v>
      </c>
      <c r="F149" s="42">
        <f>$E149-$D149</f>
        <v/>
      </c>
      <c r="G149" s="28" t="inlineStr">
        <is>
          <t>Planned</t>
        </is>
      </c>
      <c r="H149" s="28">
        <f>IF(AND($D149&lt;=TODAY(),$E149&gt;=TODAY()),"LIVE","")</f>
        <v/>
      </c>
      <c r="I149" s="43" t="n">
        <v>10</v>
      </c>
      <c r="J149" s="44" t="n">
        <v>1</v>
      </c>
      <c r="K149" s="28" t="inlineStr">
        <is>
          <t>Confirmed</t>
        </is>
      </c>
      <c r="L149" s="28" t="inlineStr">
        <is>
          <t>Mechanical</t>
        </is>
      </c>
      <c r="M149" s="28" t="inlineStr">
        <is>
          <t>Sandersville Refinery</t>
        </is>
      </c>
    </row>
    <row r="150">
      <c r="A150" s="40" t="inlineStr">
        <is>
          <t>HUNT_SANDERSVILLE</t>
        </is>
      </c>
      <c r="B150" s="28" t="n">
        <v>3</v>
      </c>
      <c r="C150" s="28" t="inlineStr">
        <is>
          <t>VDU</t>
        </is>
      </c>
      <c r="D150" s="41" t="n">
        <v>46430</v>
      </c>
      <c r="E150" s="41" t="n">
        <v>46453</v>
      </c>
      <c r="F150" s="42">
        <f>$E150-$D150</f>
        <v/>
      </c>
      <c r="G150" s="28" t="inlineStr">
        <is>
          <t>Planned</t>
        </is>
      </c>
      <c r="H150" s="28">
        <f>IF(AND($D150&lt;=TODAY(),$E150&gt;=TODAY()),"LIVE","")</f>
        <v/>
      </c>
      <c r="I150" s="43" t="n">
        <v>6.5</v>
      </c>
      <c r="J150" s="44" t="n">
        <v>1</v>
      </c>
      <c r="K150" s="28" t="inlineStr">
        <is>
          <t>Confirmed</t>
        </is>
      </c>
      <c r="L150" s="28" t="inlineStr">
        <is>
          <t>Mechanical</t>
        </is>
      </c>
      <c r="M150" s="28" t="inlineStr">
        <is>
          <t>Sandersville Refinery</t>
        </is>
      </c>
    </row>
    <row r="151">
      <c r="A151" s="40" t="inlineStr">
        <is>
          <t>CVR_WYNNEWOOD</t>
        </is>
      </c>
      <c r="B151" s="28" t="n">
        <v>2</v>
      </c>
      <c r="C151" s="28" t="inlineStr">
        <is>
          <t>CDU</t>
        </is>
      </c>
      <c r="D151" s="41" t="n">
        <v>46433</v>
      </c>
      <c r="E151" s="41" t="n">
        <v>46477</v>
      </c>
      <c r="F151" s="42">
        <f>$E151-$D151</f>
        <v/>
      </c>
      <c r="G151" s="28" t="inlineStr">
        <is>
          <t>Planned</t>
        </is>
      </c>
      <c r="H151" s="28">
        <f>IF(AND($D151&lt;=TODAY(),$E151&gt;=TODAY()),"LIVE","")</f>
        <v/>
      </c>
      <c r="I151" s="43" t="n">
        <v>35</v>
      </c>
      <c r="J151" s="44" t="n">
        <v>1</v>
      </c>
      <c r="K151" s="28" t="inlineStr">
        <is>
          <t>Confirmed</t>
        </is>
      </c>
      <c r="L151" s="28" t="inlineStr">
        <is>
          <t>Mechanical</t>
        </is>
      </c>
      <c r="M151" s="28" t="inlineStr">
        <is>
          <t>Wynnewood Refinery</t>
        </is>
      </c>
    </row>
    <row r="152">
      <c r="A152" s="40" t="inlineStr">
        <is>
          <t>CVR_WYNNEWOOD</t>
        </is>
      </c>
      <c r="B152" s="28" t="n">
        <v>2</v>
      </c>
      <c r="C152" s="28" t="inlineStr">
        <is>
          <t>VDU</t>
        </is>
      </c>
      <c r="D152" s="41" t="n">
        <v>46433</v>
      </c>
      <c r="E152" s="41" t="n">
        <v>46477</v>
      </c>
      <c r="F152" s="42">
        <f>$E152-$D152</f>
        <v/>
      </c>
      <c r="G152" s="28" t="inlineStr">
        <is>
          <t>Planned</t>
        </is>
      </c>
      <c r="H152" s="28">
        <f>IF(AND($D152&lt;=TODAY(),$E152&gt;=TODAY()),"LIVE","")</f>
        <v/>
      </c>
      <c r="I152" s="43" t="n">
        <v>12</v>
      </c>
      <c r="J152" s="44" t="n">
        <v>1</v>
      </c>
      <c r="K152" s="28" t="inlineStr">
        <is>
          <t>Confirmed</t>
        </is>
      </c>
      <c r="L152" s="28" t="inlineStr">
        <is>
          <t>Mechanical</t>
        </is>
      </c>
      <c r="M152" s="28" t="inlineStr">
        <is>
          <t>Wynnewood Refinery</t>
        </is>
      </c>
    </row>
    <row r="153">
      <c r="A153" s="40" t="inlineStr">
        <is>
          <t>CVR_WYNNEWOOD</t>
        </is>
      </c>
      <c r="B153" s="28" t="n">
        <v>2</v>
      </c>
      <c r="C153" s="28" t="inlineStr">
        <is>
          <t>ALKY</t>
        </is>
      </c>
      <c r="D153" s="41" t="n">
        <v>46433</v>
      </c>
      <c r="E153" s="41" t="n">
        <v>46477</v>
      </c>
      <c r="F153" s="42">
        <f>$E153-$D153</f>
        <v/>
      </c>
      <c r="G153" s="28" t="inlineStr">
        <is>
          <t>Planned</t>
        </is>
      </c>
      <c r="H153" s="28">
        <f>IF(AND($D153&lt;=TODAY(),$E153&gt;=TODAY()),"LIVE","")</f>
        <v/>
      </c>
      <c r="I153" s="43" t="n">
        <v>5</v>
      </c>
      <c r="J153" s="44" t="n">
        <v>1</v>
      </c>
      <c r="K153" s="28" t="inlineStr">
        <is>
          <t>Confirmed</t>
        </is>
      </c>
      <c r="L153" s="28" t="inlineStr">
        <is>
          <t>Mechanical</t>
        </is>
      </c>
      <c r="M153" s="28" t="inlineStr">
        <is>
          <t>Wynnewood Refinery</t>
        </is>
      </c>
    </row>
    <row r="154">
      <c r="A154" s="40" t="inlineStr">
        <is>
          <t>CVR_WYNNEWOOD</t>
        </is>
      </c>
      <c r="B154" s="28" t="n">
        <v>2</v>
      </c>
      <c r="C154" s="28" t="inlineStr">
        <is>
          <t>FCC</t>
        </is>
      </c>
      <c r="D154" s="41" t="n">
        <v>46433</v>
      </c>
      <c r="E154" s="41" t="n">
        <v>46477</v>
      </c>
      <c r="F154" s="42">
        <f>$E154-$D154</f>
        <v/>
      </c>
      <c r="G154" s="28" t="inlineStr">
        <is>
          <t>Planned</t>
        </is>
      </c>
      <c r="H154" s="28">
        <f>IF(AND($D154&lt;=TODAY(),$E154&gt;=TODAY()),"LIVE","")</f>
        <v/>
      </c>
      <c r="I154" s="43" t="n">
        <v>21</v>
      </c>
      <c r="J154" s="44" t="n">
        <v>1</v>
      </c>
      <c r="K154" s="28" t="inlineStr">
        <is>
          <t>Confirmed</t>
        </is>
      </c>
      <c r="L154" s="28" t="inlineStr">
        <is>
          <t>Mechanical</t>
        </is>
      </c>
      <c r="M154" s="28" t="inlineStr">
        <is>
          <t>Wynnewood Refinery</t>
        </is>
      </c>
    </row>
    <row r="155">
      <c r="A155" s="40" t="inlineStr">
        <is>
          <t>CVR_WYNNEWOOD</t>
        </is>
      </c>
      <c r="B155" s="28" t="n">
        <v>2</v>
      </c>
      <c r="C155" s="28" t="inlineStr">
        <is>
          <t>CCR</t>
        </is>
      </c>
      <c r="D155" s="41" t="n">
        <v>46433</v>
      </c>
      <c r="E155" s="41" t="n">
        <v>46477</v>
      </c>
      <c r="F155" s="42">
        <f>$E155-$D155</f>
        <v/>
      </c>
      <c r="G155" s="28" t="inlineStr">
        <is>
          <t>Planned</t>
        </is>
      </c>
      <c r="H155" s="28">
        <f>IF(AND($D155&lt;=TODAY(),$E155&gt;=TODAY()),"LIVE","")</f>
        <v/>
      </c>
      <c r="I155" s="43" t="n">
        <v>15</v>
      </c>
      <c r="J155" s="44" t="n">
        <v>1</v>
      </c>
      <c r="K155" s="28" t="inlineStr">
        <is>
          <t>Confirmed</t>
        </is>
      </c>
      <c r="L155" s="28" t="inlineStr">
        <is>
          <t>Mechanical</t>
        </is>
      </c>
      <c r="M155" s="28" t="inlineStr">
        <is>
          <t>Wynnewood Refinery</t>
        </is>
      </c>
    </row>
    <row r="156">
      <c r="A156" s="40" t="inlineStr">
        <is>
          <t>CVR_WYNNEWOOD</t>
        </is>
      </c>
      <c r="B156" s="28" t="n">
        <v>2</v>
      </c>
      <c r="C156" s="28" t="inlineStr">
        <is>
          <t>CDU</t>
        </is>
      </c>
      <c r="D156" s="41" t="n">
        <v>46433</v>
      </c>
      <c r="E156" s="41" t="n">
        <v>46477</v>
      </c>
      <c r="F156" s="42">
        <f>$E156-$D156</f>
        <v/>
      </c>
      <c r="G156" s="28" t="inlineStr">
        <is>
          <t>Planned</t>
        </is>
      </c>
      <c r="H156" s="28">
        <f>IF(AND($D156&lt;=TODAY(),$E156&gt;=TODAY()),"LIVE","")</f>
        <v/>
      </c>
      <c r="I156" s="43" t="n">
        <v>35</v>
      </c>
      <c r="J156" s="44" t="n">
        <v>1</v>
      </c>
      <c r="K156" s="28" t="inlineStr">
        <is>
          <t>Confirmed</t>
        </is>
      </c>
      <c r="L156" s="28" t="inlineStr">
        <is>
          <t>Mechanical</t>
        </is>
      </c>
      <c r="M156" s="28" t="inlineStr">
        <is>
          <t>Wynnewood Refinery</t>
        </is>
      </c>
    </row>
    <row r="157">
      <c r="A157" s="40" t="inlineStr">
        <is>
          <t>CVR_WYNNEWOOD</t>
        </is>
      </c>
      <c r="B157" s="28" t="n">
        <v>2</v>
      </c>
      <c r="C157" s="28" t="inlineStr">
        <is>
          <t>NHT</t>
        </is>
      </c>
      <c r="D157" s="41" t="n">
        <v>46433</v>
      </c>
      <c r="E157" s="41" t="n">
        <v>46477</v>
      </c>
      <c r="F157" s="42">
        <f>$E157-$D157</f>
        <v/>
      </c>
      <c r="G157" s="28" t="inlineStr">
        <is>
          <t>Planned</t>
        </is>
      </c>
      <c r="H157" s="28">
        <f>IF(AND($D157&lt;=TODAY(),$E157&gt;=TODAY()),"LIVE","")</f>
        <v/>
      </c>
      <c r="I157" s="43" t="n">
        <v>13</v>
      </c>
      <c r="J157" s="44" t="n">
        <v>1</v>
      </c>
      <c r="K157" s="28" t="inlineStr">
        <is>
          <t>Confirmed</t>
        </is>
      </c>
      <c r="L157" s="28" t="inlineStr">
        <is>
          <t>Mechanical</t>
        </is>
      </c>
      <c r="M157" s="28" t="inlineStr">
        <is>
          <t>Wynnewood Refinery</t>
        </is>
      </c>
    </row>
    <row r="158">
      <c r="A158" s="40" t="inlineStr">
        <is>
          <t>CVR_WYNNEWOOD</t>
        </is>
      </c>
      <c r="B158" s="28" t="n">
        <v>2</v>
      </c>
      <c r="C158" s="28" t="inlineStr">
        <is>
          <t>VDU</t>
        </is>
      </c>
      <c r="D158" s="41" t="n">
        <v>46433</v>
      </c>
      <c r="E158" s="41" t="n">
        <v>46477</v>
      </c>
      <c r="F158" s="42">
        <f>$E158-$D158</f>
        <v/>
      </c>
      <c r="G158" s="28" t="inlineStr">
        <is>
          <t>Planned</t>
        </is>
      </c>
      <c r="H158" s="28">
        <f>IF(AND($D158&lt;=TODAY(),$E158&gt;=TODAY()),"LIVE","")</f>
        <v/>
      </c>
      <c r="I158" s="43" t="n">
        <v>12</v>
      </c>
      <c r="J158" s="44" t="n">
        <v>1</v>
      </c>
      <c r="K158" s="28" t="inlineStr">
        <is>
          <t>Confirmed</t>
        </is>
      </c>
      <c r="L158" s="28" t="inlineStr">
        <is>
          <t>Mechanical</t>
        </is>
      </c>
      <c r="M158" s="28" t="inlineStr">
        <is>
          <t>Wynnewood Refinery</t>
        </is>
      </c>
    </row>
    <row r="159">
      <c r="A159" s="40" t="inlineStr">
        <is>
          <t>CALCASIEU_LAKE_CHARLES</t>
        </is>
      </c>
      <c r="B159" s="28" t="n">
        <v>3</v>
      </c>
      <c r="C159" s="28" t="inlineStr">
        <is>
          <t>CDU</t>
        </is>
      </c>
      <c r="D159" s="41" t="n">
        <v>46447</v>
      </c>
      <c r="E159" s="41" t="n">
        <v>46466</v>
      </c>
      <c r="F159" s="42">
        <f>$E159-$D159</f>
        <v/>
      </c>
      <c r="G159" s="28" t="inlineStr">
        <is>
          <t>Planned</t>
        </is>
      </c>
      <c r="H159" s="28">
        <f>IF(AND($D159&lt;=TODAY(),$E159&gt;=TODAY()),"LIVE","")</f>
        <v/>
      </c>
      <c r="I159" s="43" t="n">
        <v>65</v>
      </c>
      <c r="J159" s="44" t="n">
        <v>1</v>
      </c>
      <c r="K159" s="28" t="inlineStr">
        <is>
          <t>Confirmed</t>
        </is>
      </c>
      <c r="L159" s="28" t="inlineStr">
        <is>
          <t>Mechanical</t>
        </is>
      </c>
      <c r="M159" s="28" t="inlineStr">
        <is>
          <t>Lake Charles Refinery (Calcasieu)</t>
        </is>
      </c>
    </row>
    <row r="160">
      <c r="A160" s="40" t="inlineStr">
        <is>
          <t>CALCASIEU_LAKE_CHARLES</t>
        </is>
      </c>
      <c r="B160" s="28" t="n">
        <v>3</v>
      </c>
      <c r="C160" s="28" t="inlineStr">
        <is>
          <t>CDU</t>
        </is>
      </c>
      <c r="D160" s="41" t="n">
        <v>46447</v>
      </c>
      <c r="E160" s="41" t="n">
        <v>46466</v>
      </c>
      <c r="F160" s="42">
        <f>$E160-$D160</f>
        <v/>
      </c>
      <c r="G160" s="28" t="inlineStr">
        <is>
          <t>Planned</t>
        </is>
      </c>
      <c r="H160" s="28">
        <f>IF(AND($D160&lt;=TODAY(),$E160&gt;=TODAY()),"LIVE","")</f>
        <v/>
      </c>
      <c r="I160" s="43" t="n">
        <v>65</v>
      </c>
      <c r="J160" s="44" t="n">
        <v>1</v>
      </c>
      <c r="K160" s="28" t="inlineStr">
        <is>
          <t>Confirmed</t>
        </is>
      </c>
      <c r="L160" s="28" t="inlineStr">
        <is>
          <t>Mechanical</t>
        </is>
      </c>
      <c r="M160" s="28" t="inlineStr">
        <is>
          <t>Lake Charles Refinery (Calcasieu)</t>
        </is>
      </c>
    </row>
    <row r="161">
      <c r="A161" s="40" t="inlineStr">
        <is>
          <t>CALCASIEU_LAKE_CHARLES</t>
        </is>
      </c>
      <c r="B161" s="28" t="n">
        <v>3</v>
      </c>
      <c r="C161" s="28" t="inlineStr">
        <is>
          <t>VDU</t>
        </is>
      </c>
      <c r="D161" s="41" t="n">
        <v>46447</v>
      </c>
      <c r="E161" s="41" t="n">
        <v>46466</v>
      </c>
      <c r="F161" s="42">
        <f>$E161-$D161</f>
        <v/>
      </c>
      <c r="G161" s="28" t="inlineStr">
        <is>
          <t>Planned</t>
        </is>
      </c>
      <c r="H161" s="28">
        <f>IF(AND($D161&lt;=TODAY(),$E161&gt;=TODAY()),"LIVE","")</f>
        <v/>
      </c>
      <c r="I161" s="43" t="n">
        <v>36</v>
      </c>
      <c r="J161" s="44" t="n">
        <v>1</v>
      </c>
      <c r="K161" s="28" t="inlineStr">
        <is>
          <t>Confirmed</t>
        </is>
      </c>
      <c r="L161" s="28" t="inlineStr">
        <is>
          <t>Mechanical</t>
        </is>
      </c>
      <c r="M161" s="28" t="inlineStr">
        <is>
          <t>Lake Charles Refinery (Calcasieu)</t>
        </is>
      </c>
    </row>
    <row r="162">
      <c r="A162" s="40" t="inlineStr">
        <is>
          <t>CHEVRON_EL_SEGUNDO</t>
        </is>
      </c>
      <c r="B162" s="28" t="n">
        <v>5</v>
      </c>
      <c r="C162" s="28" t="inlineStr">
        <is>
          <t>ISOM</t>
        </is>
      </c>
      <c r="D162" s="41" t="n">
        <v>46447</v>
      </c>
      <c r="E162" s="41" t="n">
        <v>46478</v>
      </c>
      <c r="F162" s="42">
        <f>$E162-$D162</f>
        <v/>
      </c>
      <c r="G162" s="28" t="inlineStr">
        <is>
          <t>Planned</t>
        </is>
      </c>
      <c r="H162" s="28">
        <f>IF(AND($D162&lt;=TODAY(),$E162&gt;=TODAY()),"LIVE","")</f>
        <v/>
      </c>
      <c r="I162" s="43" t="n">
        <v>0</v>
      </c>
      <c r="J162" s="44" t="n"/>
      <c r="K162" s="28" t="inlineStr">
        <is>
          <t>Confirmed</t>
        </is>
      </c>
      <c r="L162" s="28" t="inlineStr">
        <is>
          <t>Mechanical</t>
        </is>
      </c>
      <c r="M162" s="28" t="inlineStr">
        <is>
          <t>El Segundo Refinery</t>
        </is>
      </c>
    </row>
    <row r="163">
      <c r="A163" s="40" t="inlineStr">
        <is>
          <t>CHEVRON_EL_SEGUNDO</t>
        </is>
      </c>
      <c r="B163" s="28" t="n">
        <v>5</v>
      </c>
      <c r="C163" s="28" t="inlineStr">
        <is>
          <t>NHT</t>
        </is>
      </c>
      <c r="D163" s="41" t="n">
        <v>46447</v>
      </c>
      <c r="E163" s="41" t="n">
        <v>46478</v>
      </c>
      <c r="F163" s="42">
        <f>$E163-$D163</f>
        <v/>
      </c>
      <c r="G163" s="28" t="inlineStr">
        <is>
          <t>Planned</t>
        </is>
      </c>
      <c r="H163" s="28">
        <f>IF(AND($D163&lt;=TODAY(),$E163&gt;=TODAY()),"LIVE","")</f>
        <v/>
      </c>
      <c r="I163" s="43" t="n">
        <v>20</v>
      </c>
      <c r="J163" s="44" t="n">
        <v>1</v>
      </c>
      <c r="K163" s="28" t="inlineStr">
        <is>
          <t>Confirmed</t>
        </is>
      </c>
      <c r="L163" s="28" t="inlineStr">
        <is>
          <t>Mechanical</t>
        </is>
      </c>
      <c r="M163" s="28" t="inlineStr">
        <is>
          <t>El Segundo Refinery</t>
        </is>
      </c>
    </row>
    <row r="164">
      <c r="A164" s="40" t="inlineStr">
        <is>
          <t>HF_CASPER</t>
        </is>
      </c>
      <c r="B164" s="28" t="n">
        <v>4</v>
      </c>
      <c r="C164" s="28" t="inlineStr">
        <is>
          <t>FCC</t>
        </is>
      </c>
      <c r="D164" s="41" t="n">
        <v>46447</v>
      </c>
      <c r="E164" s="41" t="n">
        <v>46481</v>
      </c>
      <c r="F164" s="42">
        <f>$E164-$D164</f>
        <v/>
      </c>
      <c r="G164" s="28" t="inlineStr">
        <is>
          <t>Planned</t>
        </is>
      </c>
      <c r="H164" s="28">
        <f>IF(AND($D164&lt;=TODAY(),$E164&gt;=TODAY()),"LIVE","")</f>
        <v/>
      </c>
      <c r="I164" s="43" t="n">
        <v>13</v>
      </c>
      <c r="J164" s="44" t="n">
        <v>1</v>
      </c>
      <c r="K164" s="28" t="inlineStr">
        <is>
          <t>Confirmed</t>
        </is>
      </c>
      <c r="L164" s="28" t="inlineStr">
        <is>
          <t>Mechanical</t>
        </is>
      </c>
      <c r="M164" s="28" t="inlineStr">
        <is>
          <t>Casper Refinery (HF Sinclair)</t>
        </is>
      </c>
    </row>
    <row r="165">
      <c r="A165" s="40" t="inlineStr">
        <is>
          <t>HF_CASPER</t>
        </is>
      </c>
      <c r="B165" s="28" t="n">
        <v>4</v>
      </c>
      <c r="C165" s="28" t="inlineStr">
        <is>
          <t>REF</t>
        </is>
      </c>
      <c r="D165" s="41" t="n">
        <v>46447</v>
      </c>
      <c r="E165" s="41" t="n">
        <v>46481</v>
      </c>
      <c r="F165" s="42">
        <f>$E165-$D165</f>
        <v/>
      </c>
      <c r="G165" s="28" t="inlineStr">
        <is>
          <t>Planned</t>
        </is>
      </c>
      <c r="H165" s="28">
        <f>IF(AND($D165&lt;=TODAY(),$E165&gt;=TODAY()),"LIVE","")</f>
        <v/>
      </c>
      <c r="I165" s="43" t="n">
        <v>7.5</v>
      </c>
      <c r="J165" s="44" t="n">
        <v>1</v>
      </c>
      <c r="K165" s="28" t="inlineStr">
        <is>
          <t>Confirmed</t>
        </is>
      </c>
      <c r="L165" s="28" t="inlineStr">
        <is>
          <t>Mechanical</t>
        </is>
      </c>
      <c r="M165" s="28" t="inlineStr">
        <is>
          <t>Casper Refinery (HF Sinclair)</t>
        </is>
      </c>
    </row>
    <row r="166">
      <c r="A166" s="40" t="inlineStr">
        <is>
          <t>HF_CASPER</t>
        </is>
      </c>
      <c r="B166" s="28" t="n">
        <v>4</v>
      </c>
      <c r="C166" s="28" t="inlineStr">
        <is>
          <t>NHT</t>
        </is>
      </c>
      <c r="D166" s="41" t="n">
        <v>46447</v>
      </c>
      <c r="E166" s="41" t="n">
        <v>46481</v>
      </c>
      <c r="F166" s="42">
        <f>$E166-$D166</f>
        <v/>
      </c>
      <c r="G166" s="28" t="inlineStr">
        <is>
          <t>Planned</t>
        </is>
      </c>
      <c r="H166" s="28">
        <f>IF(AND($D166&lt;=TODAY(),$E166&gt;=TODAY()),"LIVE","")</f>
        <v/>
      </c>
      <c r="I166" s="43" t="n">
        <v>9</v>
      </c>
      <c r="J166" s="44" t="n">
        <v>1</v>
      </c>
      <c r="K166" s="28" t="inlineStr">
        <is>
          <t>Confirmed</t>
        </is>
      </c>
      <c r="L166" s="28" t="inlineStr">
        <is>
          <t>Mechanical</t>
        </is>
      </c>
      <c r="M166" s="28" t="inlineStr">
        <is>
          <t>Casper Refinery (HF Sinclair)</t>
        </is>
      </c>
    </row>
    <row r="167">
      <c r="A167" s="40" t="inlineStr">
        <is>
          <t>HF_CASPER</t>
        </is>
      </c>
      <c r="B167" s="28" t="n">
        <v>4</v>
      </c>
      <c r="C167" s="28" t="inlineStr">
        <is>
          <t>VDU</t>
        </is>
      </c>
      <c r="D167" s="41" t="n">
        <v>46447</v>
      </c>
      <c r="E167" s="41" t="n">
        <v>46481</v>
      </c>
      <c r="F167" s="42">
        <f>$E167-$D167</f>
        <v/>
      </c>
      <c r="G167" s="28" t="inlineStr">
        <is>
          <t>Planned</t>
        </is>
      </c>
      <c r="H167" s="28">
        <f>IF(AND($D167&lt;=TODAY(),$E167&gt;=TODAY()),"LIVE","")</f>
        <v/>
      </c>
      <c r="I167" s="43" t="n">
        <v>7.8</v>
      </c>
      <c r="J167" s="44" t="n">
        <v>1</v>
      </c>
      <c r="K167" s="28" t="inlineStr">
        <is>
          <t>Confirmed</t>
        </is>
      </c>
      <c r="L167" s="28" t="inlineStr">
        <is>
          <t>Mechanical</t>
        </is>
      </c>
      <c r="M167" s="28" t="inlineStr">
        <is>
          <t>Casper Refinery (HF Sinclair)</t>
        </is>
      </c>
    </row>
    <row r="168">
      <c r="A168" s="40" t="inlineStr">
        <is>
          <t>HF_CASPER</t>
        </is>
      </c>
      <c r="B168" s="28" t="n">
        <v>4</v>
      </c>
      <c r="C168" s="28" t="inlineStr">
        <is>
          <t>CDU</t>
        </is>
      </c>
      <c r="D168" s="41" t="n">
        <v>46447</v>
      </c>
      <c r="E168" s="41" t="n">
        <v>46481</v>
      </c>
      <c r="F168" s="42">
        <f>$E168-$D168</f>
        <v/>
      </c>
      <c r="G168" s="28" t="inlineStr">
        <is>
          <t>Planned</t>
        </is>
      </c>
      <c r="H168" s="28">
        <f>IF(AND($D168&lt;=TODAY(),$E168&gt;=TODAY()),"LIVE","")</f>
        <v/>
      </c>
      <c r="I168" s="43" t="n">
        <v>25</v>
      </c>
      <c r="J168" s="44" t="n">
        <v>1</v>
      </c>
      <c r="K168" s="28" t="inlineStr">
        <is>
          <t>Confirmed</t>
        </is>
      </c>
      <c r="L168" s="28" t="inlineStr">
        <is>
          <t>Mechanical</t>
        </is>
      </c>
      <c r="M168" s="28" t="inlineStr">
        <is>
          <t>Casper Refinery (HF Sinclair)</t>
        </is>
      </c>
    </row>
    <row r="169">
      <c r="A169" s="40" t="inlineStr">
        <is>
          <t>SHELL_NORCO</t>
        </is>
      </c>
      <c r="B169" s="28" t="n">
        <v>3</v>
      </c>
      <c r="C169" s="28" t="inlineStr">
        <is>
          <t>CCR</t>
        </is>
      </c>
      <c r="D169" s="41" t="n">
        <v>46447</v>
      </c>
      <c r="E169" s="41" t="n">
        <v>46496</v>
      </c>
      <c r="F169" s="42">
        <f>$E169-$D169</f>
        <v/>
      </c>
      <c r="G169" s="28" t="inlineStr">
        <is>
          <t>Planned</t>
        </is>
      </c>
      <c r="H169" s="28">
        <f>IF(AND($D169&lt;=TODAY(),$E169&gt;=TODAY()),"LIVE","")</f>
        <v/>
      </c>
      <c r="I169" s="43" t="n">
        <v>40</v>
      </c>
      <c r="J169" s="44" t="n">
        <v>1</v>
      </c>
      <c r="K169" s="28" t="inlineStr">
        <is>
          <t>Confirmed</t>
        </is>
      </c>
      <c r="L169" s="28" t="inlineStr">
        <is>
          <t>Mechanical</t>
        </is>
      </c>
      <c r="M169" s="28" t="inlineStr">
        <is>
          <t>Norco Refinery</t>
        </is>
      </c>
    </row>
    <row r="170">
      <c r="A170" s="40" t="inlineStr">
        <is>
          <t>SHELL_NORCO</t>
        </is>
      </c>
      <c r="B170" s="28" t="n">
        <v>3</v>
      </c>
      <c r="C170" s="28" t="inlineStr">
        <is>
          <t>NHT</t>
        </is>
      </c>
      <c r="D170" s="41" t="n">
        <v>46447</v>
      </c>
      <c r="E170" s="41" t="n">
        <v>46496</v>
      </c>
      <c r="F170" s="42">
        <f>$E170-$D170</f>
        <v/>
      </c>
      <c r="G170" s="28" t="inlineStr">
        <is>
          <t>Planned</t>
        </is>
      </c>
      <c r="H170" s="28">
        <f>IF(AND($D170&lt;=TODAY(),$E170&gt;=TODAY()),"LIVE","")</f>
        <v/>
      </c>
      <c r="I170" s="43" t="n">
        <v>40</v>
      </c>
      <c r="J170" s="44" t="n">
        <v>1</v>
      </c>
      <c r="K170" s="28" t="inlineStr">
        <is>
          <t>Confirmed</t>
        </is>
      </c>
      <c r="L170" s="28" t="inlineStr">
        <is>
          <t>Mechanical</t>
        </is>
      </c>
      <c r="M170" s="28" t="inlineStr">
        <is>
          <t>Norco Refinery</t>
        </is>
      </c>
    </row>
    <row r="171">
      <c r="A171" s="40" t="inlineStr">
        <is>
          <t>SHELL_NORCO</t>
        </is>
      </c>
      <c r="B171" s="28" t="n">
        <v>3</v>
      </c>
      <c r="C171" s="28" t="inlineStr">
        <is>
          <t>COKER</t>
        </is>
      </c>
      <c r="D171" s="41" t="n">
        <v>46447</v>
      </c>
      <c r="E171" s="41" t="n">
        <v>46496</v>
      </c>
      <c r="F171" s="42">
        <f>$E171-$D171</f>
        <v/>
      </c>
      <c r="G171" s="28" t="inlineStr">
        <is>
          <t>Planned</t>
        </is>
      </c>
      <c r="H171" s="28">
        <f>IF(AND($D171&lt;=TODAY(),$E171&gt;=TODAY()),"LIVE","")</f>
        <v/>
      </c>
      <c r="I171" s="43" t="n">
        <v>25</v>
      </c>
      <c r="J171" s="44" t="n">
        <v>1</v>
      </c>
      <c r="K171" s="28" t="inlineStr">
        <is>
          <t>Confirmed</t>
        </is>
      </c>
      <c r="L171" s="28" t="inlineStr">
        <is>
          <t>Mechanical</t>
        </is>
      </c>
      <c r="M171" s="28" t="inlineStr">
        <is>
          <t>Norco Refinery</t>
        </is>
      </c>
    </row>
    <row r="172">
      <c r="A172" s="40" t="inlineStr">
        <is>
          <t>SHELL_NORCO</t>
        </is>
      </c>
      <c r="B172" s="28" t="n">
        <v>3</v>
      </c>
      <c r="C172" s="28" t="inlineStr">
        <is>
          <t>DHCU</t>
        </is>
      </c>
      <c r="D172" s="41" t="n">
        <v>46447</v>
      </c>
      <c r="E172" s="41" t="n">
        <v>46496</v>
      </c>
      <c r="F172" s="42">
        <f>$E172-$D172</f>
        <v/>
      </c>
      <c r="G172" s="28" t="inlineStr">
        <is>
          <t>Planned</t>
        </is>
      </c>
      <c r="H172" s="28">
        <f>IF(AND($D172&lt;=TODAY(),$E172&gt;=TODAY()),"LIVE","")</f>
        <v/>
      </c>
      <c r="I172" s="43" t="n">
        <v>40</v>
      </c>
      <c r="J172" s="44" t="n">
        <v>1</v>
      </c>
      <c r="K172" s="28" t="inlineStr">
        <is>
          <t>Confirmed</t>
        </is>
      </c>
      <c r="L172" s="28" t="inlineStr">
        <is>
          <t>Mechanical</t>
        </is>
      </c>
      <c r="M172" s="28" t="inlineStr">
        <is>
          <t>Norco Refinery</t>
        </is>
      </c>
    </row>
    <row r="173">
      <c r="A173" s="40" t="inlineStr">
        <is>
          <t>VALERO_MEMPHIS</t>
        </is>
      </c>
      <c r="B173" s="28" t="n">
        <v>2</v>
      </c>
      <c r="C173" s="28" t="inlineStr">
        <is>
          <t>ISOM</t>
        </is>
      </c>
      <c r="D173" s="41" t="n">
        <v>46447</v>
      </c>
      <c r="E173" s="41" t="n">
        <v>46478</v>
      </c>
      <c r="F173" s="42">
        <f>$E173-$D173</f>
        <v/>
      </c>
      <c r="G173" s="28" t="inlineStr">
        <is>
          <t>Planned</t>
        </is>
      </c>
      <c r="H173" s="28">
        <f>IF(AND($D173&lt;=TODAY(),$E173&gt;=TODAY()),"LIVE","")</f>
        <v/>
      </c>
      <c r="I173" s="43" t="n">
        <v>4</v>
      </c>
      <c r="J173" s="44" t="n">
        <v>1</v>
      </c>
      <c r="K173" s="28" t="inlineStr">
        <is>
          <t>Confirmed</t>
        </is>
      </c>
      <c r="L173" s="28" t="inlineStr">
        <is>
          <t>Mechanical</t>
        </is>
      </c>
      <c r="M173" s="28" t="inlineStr">
        <is>
          <t>Memphis Refinery</t>
        </is>
      </c>
    </row>
    <row r="174">
      <c r="A174" s="40" t="inlineStr">
        <is>
          <t>VALERO_MEMPHIS</t>
        </is>
      </c>
      <c r="B174" s="28" t="n">
        <v>2</v>
      </c>
      <c r="C174" s="28" t="inlineStr">
        <is>
          <t>NHT</t>
        </is>
      </c>
      <c r="D174" s="41" t="n">
        <v>46447</v>
      </c>
      <c r="E174" s="41" t="n">
        <v>46478</v>
      </c>
      <c r="F174" s="42">
        <f>$E174-$D174</f>
        <v/>
      </c>
      <c r="G174" s="28" t="inlineStr">
        <is>
          <t>Planned</t>
        </is>
      </c>
      <c r="H174" s="28">
        <f>IF(AND($D174&lt;=TODAY(),$E174&gt;=TODAY()),"LIVE","")</f>
        <v/>
      </c>
      <c r="I174" s="43" t="n">
        <v>53</v>
      </c>
      <c r="J174" s="44" t="n">
        <v>1</v>
      </c>
      <c r="K174" s="28" t="inlineStr">
        <is>
          <t>Confirmed</t>
        </is>
      </c>
      <c r="L174" s="28" t="inlineStr">
        <is>
          <t>Mechanical</t>
        </is>
      </c>
      <c r="M174" s="28" t="inlineStr">
        <is>
          <t>Memphis Refinery</t>
        </is>
      </c>
    </row>
    <row r="175">
      <c r="A175" s="40" t="inlineStr">
        <is>
          <t>VALERO_MEMPHIS</t>
        </is>
      </c>
      <c r="B175" s="28" t="n">
        <v>2</v>
      </c>
      <c r="C175" s="28" t="inlineStr">
        <is>
          <t>CDU</t>
        </is>
      </c>
      <c r="D175" s="41" t="n">
        <v>46447</v>
      </c>
      <c r="E175" s="41" t="n">
        <v>46478</v>
      </c>
      <c r="F175" s="42">
        <f>$E175-$D175</f>
        <v/>
      </c>
      <c r="G175" s="28" t="inlineStr">
        <is>
          <t>Planned</t>
        </is>
      </c>
      <c r="H175" s="28">
        <f>IF(AND($D175&lt;=TODAY(),$E175&gt;=TODAY()),"LIVE","")</f>
        <v/>
      </c>
      <c r="I175" s="43" t="n">
        <v>80</v>
      </c>
      <c r="J175" s="44" t="n">
        <v>1</v>
      </c>
      <c r="K175" s="28" t="inlineStr">
        <is>
          <t>Confirmed</t>
        </is>
      </c>
      <c r="L175" s="28" t="inlineStr"/>
      <c r="M175" s="28" t="inlineStr">
        <is>
          <t>Memphis Refinery</t>
        </is>
      </c>
    </row>
    <row r="176">
      <c r="A176" s="40" t="inlineStr">
        <is>
          <t>CENOVUS_WOOD_RIVER</t>
        </is>
      </c>
      <c r="B176" s="28" t="n">
        <v>2</v>
      </c>
      <c r="C176" s="28" t="inlineStr">
        <is>
          <t>CDU</t>
        </is>
      </c>
      <c r="D176" s="41" t="n">
        <v>46451</v>
      </c>
      <c r="E176" s="41" t="n">
        <v>46481</v>
      </c>
      <c r="F176" s="42">
        <f>$E176-$D176</f>
        <v/>
      </c>
      <c r="G176" s="28" t="inlineStr">
        <is>
          <t>Planned</t>
        </is>
      </c>
      <c r="H176" s="28">
        <f>IF(AND($D176&lt;=TODAY(),$E176&gt;=TODAY()),"LIVE","")</f>
        <v/>
      </c>
      <c r="I176" s="43" t="n">
        <v>75</v>
      </c>
      <c r="J176" s="44" t="n">
        <v>1</v>
      </c>
      <c r="K176" s="28" t="inlineStr">
        <is>
          <t>Confirmed</t>
        </is>
      </c>
      <c r="L176" s="28" t="inlineStr">
        <is>
          <t>Mechanical</t>
        </is>
      </c>
      <c r="M176" s="28" t="inlineStr">
        <is>
          <t>Wood River Refinery</t>
        </is>
      </c>
    </row>
    <row r="177">
      <c r="A177" s="40" t="inlineStr">
        <is>
          <t>CENOVUS_WOOD_RIVER</t>
        </is>
      </c>
      <c r="B177" s="28" t="n">
        <v>2</v>
      </c>
      <c r="C177" s="28" t="inlineStr">
        <is>
          <t>VDU</t>
        </is>
      </c>
      <c r="D177" s="41" t="n">
        <v>46451</v>
      </c>
      <c r="E177" s="41" t="n">
        <v>46481</v>
      </c>
      <c r="F177" s="42">
        <f>$E177-$D177</f>
        <v/>
      </c>
      <c r="G177" s="28" t="inlineStr">
        <is>
          <t>Planned</t>
        </is>
      </c>
      <c r="H177" s="28">
        <f>IF(AND($D177&lt;=TODAY(),$E177&gt;=TODAY()),"LIVE","")</f>
        <v/>
      </c>
      <c r="I177" s="43" t="n">
        <v>58</v>
      </c>
      <c r="J177" s="44" t="n">
        <v>1</v>
      </c>
      <c r="K177" s="28" t="inlineStr">
        <is>
          <t>Confirmed</t>
        </is>
      </c>
      <c r="L177" s="28" t="inlineStr"/>
      <c r="M177" s="28" t="inlineStr">
        <is>
          <t>Wood River Refinery</t>
        </is>
      </c>
    </row>
    <row r="178">
      <c r="A178" s="40" t="inlineStr">
        <is>
          <t>CITGO_CORPUS_CHRISTI</t>
        </is>
      </c>
      <c r="B178" s="28" t="n">
        <v>3</v>
      </c>
      <c r="C178" s="28" t="inlineStr">
        <is>
          <t>ALKY</t>
        </is>
      </c>
      <c r="D178" s="41" t="n">
        <v>46451</v>
      </c>
      <c r="E178" s="41" t="n">
        <v>46510</v>
      </c>
      <c r="F178" s="42">
        <f>$E178-$D178</f>
        <v/>
      </c>
      <c r="G178" s="28" t="inlineStr">
        <is>
          <t>Planned</t>
        </is>
      </c>
      <c r="H178" s="28">
        <f>IF(AND($D178&lt;=TODAY(),$E178&gt;=TODAY()),"LIVE","")</f>
        <v/>
      </c>
      <c r="I178" s="43" t="n">
        <v>21</v>
      </c>
      <c r="J178" s="44" t="n">
        <v>1</v>
      </c>
      <c r="K178" s="28" t="inlineStr">
        <is>
          <t>Confirmed</t>
        </is>
      </c>
      <c r="L178" s="28" t="inlineStr">
        <is>
          <t>Mechanical</t>
        </is>
      </c>
      <c r="M178" s="28" t="inlineStr">
        <is>
          <t>Corpus Christi Refinery - East (CITGO)</t>
        </is>
      </c>
    </row>
    <row r="179">
      <c r="A179" s="40" t="inlineStr">
        <is>
          <t>HF_ARTESIA</t>
        </is>
      </c>
      <c r="B179" s="28" t="n">
        <v>3</v>
      </c>
      <c r="C179" s="28" t="inlineStr">
        <is>
          <t>CDU</t>
        </is>
      </c>
      <c r="D179" s="41" t="n">
        <v>46451</v>
      </c>
      <c r="E179" s="41" t="n">
        <v>46505</v>
      </c>
      <c r="F179" s="42">
        <f>$E179-$D179</f>
        <v/>
      </c>
      <c r="G179" s="28" t="inlineStr">
        <is>
          <t>Planned</t>
        </is>
      </c>
      <c r="H179" s="28">
        <f>IF(AND($D179&lt;=TODAY(),$E179&gt;=TODAY()),"LIVE","")</f>
        <v/>
      </c>
      <c r="I179" s="43" t="n">
        <v>30</v>
      </c>
      <c r="J179" s="44" t="n">
        <v>1</v>
      </c>
      <c r="K179" s="28" t="inlineStr">
        <is>
          <t>Confirmed</t>
        </is>
      </c>
      <c r="L179" s="28" t="inlineStr">
        <is>
          <t>Mechanical</t>
        </is>
      </c>
      <c r="M179" s="28" t="inlineStr">
        <is>
          <t>Lovington Refinery</t>
        </is>
      </c>
    </row>
    <row r="180">
      <c r="A180" s="40" t="inlineStr">
        <is>
          <t>HF_ARTESIA</t>
        </is>
      </c>
      <c r="B180" s="28" t="n">
        <v>3</v>
      </c>
      <c r="C180" s="28" t="inlineStr">
        <is>
          <t>VDU</t>
        </is>
      </c>
      <c r="D180" s="41" t="n">
        <v>46451</v>
      </c>
      <c r="E180" s="41" t="n">
        <v>46505</v>
      </c>
      <c r="F180" s="42">
        <f>$E180-$D180</f>
        <v/>
      </c>
      <c r="G180" s="28" t="inlineStr">
        <is>
          <t>Planned</t>
        </is>
      </c>
      <c r="H180" s="28">
        <f>IF(AND($D180&lt;=TODAY(),$E180&gt;=TODAY()),"LIVE","")</f>
        <v/>
      </c>
      <c r="I180" s="43" t="n">
        <v>10</v>
      </c>
      <c r="J180" s="44" t="n">
        <v>1</v>
      </c>
      <c r="K180" s="28" t="inlineStr">
        <is>
          <t>Confirmed</t>
        </is>
      </c>
      <c r="L180" s="28" t="inlineStr">
        <is>
          <t>Mechanical</t>
        </is>
      </c>
      <c r="M180" s="28" t="inlineStr">
        <is>
          <t>Lovington Refinery</t>
        </is>
      </c>
    </row>
    <row r="181">
      <c r="A181" s="40" t="inlineStr">
        <is>
          <t>HF_ARTESIA</t>
        </is>
      </c>
      <c r="B181" s="28" t="n">
        <v>3</v>
      </c>
      <c r="C181" s="28" t="inlineStr">
        <is>
          <t>CCR</t>
        </is>
      </c>
      <c r="D181" s="41" t="n">
        <v>46451</v>
      </c>
      <c r="E181" s="41" t="n">
        <v>46505</v>
      </c>
      <c r="F181" s="42">
        <f>$E181-$D181</f>
        <v/>
      </c>
      <c r="G181" s="28" t="inlineStr">
        <is>
          <t>Planned</t>
        </is>
      </c>
      <c r="H181" s="28">
        <f>IF(AND($D181&lt;=TODAY(),$E181&gt;=TODAY()),"LIVE","")</f>
        <v/>
      </c>
      <c r="I181" s="43" t="n">
        <v>17</v>
      </c>
      <c r="J181" s="44" t="n">
        <v>1</v>
      </c>
      <c r="K181" s="28" t="inlineStr">
        <is>
          <t>Confirmed</t>
        </is>
      </c>
      <c r="L181" s="28" t="inlineStr">
        <is>
          <t>Mechanical</t>
        </is>
      </c>
      <c r="M181" s="28" t="inlineStr">
        <is>
          <t>Navajo Refinery (Artesia)</t>
        </is>
      </c>
    </row>
    <row r="182">
      <c r="A182" s="40" t="inlineStr">
        <is>
          <t>HF_ARTESIA</t>
        </is>
      </c>
      <c r="B182" s="28" t="n">
        <v>3</v>
      </c>
      <c r="C182" s="28" t="inlineStr">
        <is>
          <t>CDU</t>
        </is>
      </c>
      <c r="D182" s="41" t="n">
        <v>46451</v>
      </c>
      <c r="E182" s="41" t="n">
        <v>46505</v>
      </c>
      <c r="F182" s="42">
        <f>$E182-$D182</f>
        <v/>
      </c>
      <c r="G182" s="28" t="inlineStr">
        <is>
          <t>Planned</t>
        </is>
      </c>
      <c r="H182" s="28">
        <f>IF(AND($D182&lt;=TODAY(),$E182&gt;=TODAY()),"LIVE","")</f>
        <v/>
      </c>
      <c r="I182" s="43" t="n">
        <v>70</v>
      </c>
      <c r="J182" s="44" t="n">
        <v>1</v>
      </c>
      <c r="K182" s="28" t="inlineStr">
        <is>
          <t>Confirmed</t>
        </is>
      </c>
      <c r="L182" s="28" t="inlineStr">
        <is>
          <t>Mechanical</t>
        </is>
      </c>
      <c r="M182" s="28" t="inlineStr">
        <is>
          <t>Navajo Refinery (Artesia)</t>
        </is>
      </c>
    </row>
    <row r="183">
      <c r="A183" s="40" t="inlineStr">
        <is>
          <t>HF_ARTESIA</t>
        </is>
      </c>
      <c r="B183" s="28" t="n">
        <v>3</v>
      </c>
      <c r="C183" s="28" t="inlineStr">
        <is>
          <t>FCC</t>
        </is>
      </c>
      <c r="D183" s="41" t="n">
        <v>46451</v>
      </c>
      <c r="E183" s="41" t="n">
        <v>46505</v>
      </c>
      <c r="F183" s="42">
        <f>$E183-$D183</f>
        <v/>
      </c>
      <c r="G183" s="28" t="inlineStr">
        <is>
          <t>Planned</t>
        </is>
      </c>
      <c r="H183" s="28">
        <f>IF(AND($D183&lt;=TODAY(),$E183&gt;=TODAY()),"LIVE","")</f>
        <v/>
      </c>
      <c r="I183" s="43" t="n">
        <v>25</v>
      </c>
      <c r="J183" s="44" t="n">
        <v>1</v>
      </c>
      <c r="K183" s="28" t="inlineStr">
        <is>
          <t>Confirmed</t>
        </is>
      </c>
      <c r="L183" s="28" t="inlineStr">
        <is>
          <t>Mechanical</t>
        </is>
      </c>
      <c r="M183" s="28" t="inlineStr">
        <is>
          <t>Navajo Refinery (Artesia)</t>
        </is>
      </c>
    </row>
    <row r="184">
      <c r="A184" s="40" t="inlineStr">
        <is>
          <t>HF_ARTESIA</t>
        </is>
      </c>
      <c r="B184" s="28" t="n">
        <v>3</v>
      </c>
      <c r="C184" s="28" t="inlineStr">
        <is>
          <t>ALKY</t>
        </is>
      </c>
      <c r="D184" s="41" t="n">
        <v>46451</v>
      </c>
      <c r="E184" s="41" t="n">
        <v>46505</v>
      </c>
      <c r="F184" s="42">
        <f>$E184-$D184</f>
        <v/>
      </c>
      <c r="G184" s="28" t="inlineStr">
        <is>
          <t>Planned</t>
        </is>
      </c>
      <c r="H184" s="28">
        <f>IF(AND($D184&lt;=TODAY(),$E184&gt;=TODAY()),"LIVE","")</f>
        <v/>
      </c>
      <c r="I184" s="43" t="n">
        <v>5.7</v>
      </c>
      <c r="J184" s="44" t="n">
        <v>1</v>
      </c>
      <c r="K184" s="28" t="inlineStr">
        <is>
          <t>Confirmed</t>
        </is>
      </c>
      <c r="L184" s="28" t="inlineStr">
        <is>
          <t>Economic</t>
        </is>
      </c>
      <c r="M184" s="28" t="inlineStr">
        <is>
          <t>Navajo Refinery (Artesia)</t>
        </is>
      </c>
    </row>
    <row r="185">
      <c r="A185" s="40" t="inlineStr">
        <is>
          <t>HF_ARTESIA</t>
        </is>
      </c>
      <c r="B185" s="28" t="n">
        <v>3</v>
      </c>
      <c r="C185" s="28" t="inlineStr">
        <is>
          <t>ISOM</t>
        </is>
      </c>
      <c r="D185" s="41" t="n">
        <v>46451</v>
      </c>
      <c r="E185" s="41" t="n">
        <v>46505</v>
      </c>
      <c r="F185" s="42">
        <f>$E185-$D185</f>
        <v/>
      </c>
      <c r="G185" s="28" t="inlineStr">
        <is>
          <t>Planned</t>
        </is>
      </c>
      <c r="H185" s="28">
        <f>IF(AND($D185&lt;=TODAY(),$E185&gt;=TODAY()),"LIVE","")</f>
        <v/>
      </c>
      <c r="I185" s="43" t="n">
        <v>11</v>
      </c>
      <c r="J185" s="44" t="n">
        <v>1</v>
      </c>
      <c r="K185" s="28" t="inlineStr">
        <is>
          <t>Confirmed</t>
        </is>
      </c>
      <c r="L185" s="28" t="inlineStr">
        <is>
          <t>Mechanical</t>
        </is>
      </c>
      <c r="M185" s="28" t="inlineStr">
        <is>
          <t>Navajo Refinery (Artesia)</t>
        </is>
      </c>
    </row>
    <row r="186">
      <c r="A186" s="40" t="inlineStr">
        <is>
          <t>HF_ARTESIA</t>
        </is>
      </c>
      <c r="B186" s="28" t="n">
        <v>3</v>
      </c>
      <c r="C186" s="28" t="inlineStr">
        <is>
          <t>DHCU</t>
        </is>
      </c>
      <c r="D186" s="41" t="n">
        <v>46451</v>
      </c>
      <c r="E186" s="41" t="n">
        <v>46505</v>
      </c>
      <c r="F186" s="42">
        <f>$E186-$D186</f>
        <v/>
      </c>
      <c r="G186" s="28" t="inlineStr">
        <is>
          <t>Planned</t>
        </is>
      </c>
      <c r="H186" s="28">
        <f>IF(AND($D186&lt;=TODAY(),$E186&gt;=TODAY()),"LIVE","")</f>
        <v/>
      </c>
      <c r="I186" s="43" t="n">
        <v>15</v>
      </c>
      <c r="J186" s="44" t="n">
        <v>1</v>
      </c>
      <c r="K186" s="28" t="inlineStr">
        <is>
          <t>Confirmed</t>
        </is>
      </c>
      <c r="L186" s="28" t="inlineStr">
        <is>
          <t>Mechanical</t>
        </is>
      </c>
      <c r="M186" s="28" t="inlineStr">
        <is>
          <t>Navajo Refinery (Artesia)</t>
        </is>
      </c>
    </row>
    <row r="187">
      <c r="A187" s="40" t="inlineStr">
        <is>
          <t>HF_ARTESIA</t>
        </is>
      </c>
      <c r="B187" s="28" t="n">
        <v>3</v>
      </c>
      <c r="C187" s="28" t="inlineStr">
        <is>
          <t>NHT</t>
        </is>
      </c>
      <c r="D187" s="41" t="n">
        <v>46451</v>
      </c>
      <c r="E187" s="41" t="n">
        <v>46505</v>
      </c>
      <c r="F187" s="42">
        <f>$E187-$D187</f>
        <v/>
      </c>
      <c r="G187" s="28" t="inlineStr">
        <is>
          <t>Planned</t>
        </is>
      </c>
      <c r="H187" s="28">
        <f>IF(AND($D187&lt;=TODAY(),$E187&gt;=TODAY()),"LIVE","")</f>
        <v/>
      </c>
      <c r="I187" s="43" t="n">
        <v>24</v>
      </c>
      <c r="J187" s="44" t="n">
        <v>1</v>
      </c>
      <c r="K187" s="28" t="inlineStr">
        <is>
          <t>Confirmed</t>
        </is>
      </c>
      <c r="L187" s="28" t="inlineStr">
        <is>
          <t>Mechanical</t>
        </is>
      </c>
      <c r="M187" s="28" t="inlineStr">
        <is>
          <t>Navajo Refinery (Artesia)</t>
        </is>
      </c>
    </row>
    <row r="188">
      <c r="A188" s="40" t="inlineStr">
        <is>
          <t>HF_ARTESIA</t>
        </is>
      </c>
      <c r="B188" s="28" t="n">
        <v>3</v>
      </c>
      <c r="C188" s="28" t="inlineStr">
        <is>
          <t>VDU</t>
        </is>
      </c>
      <c r="D188" s="41" t="n">
        <v>46451</v>
      </c>
      <c r="E188" s="41" t="n">
        <v>46505</v>
      </c>
      <c r="F188" s="42">
        <f>$E188-$D188</f>
        <v/>
      </c>
      <c r="G188" s="28" t="inlineStr">
        <is>
          <t>Planned</t>
        </is>
      </c>
      <c r="H188" s="28">
        <f>IF(AND($D188&lt;=TODAY(),$E188&gt;=TODAY()),"LIVE","")</f>
        <v/>
      </c>
      <c r="I188" s="43" t="n">
        <v>25</v>
      </c>
      <c r="J188" s="44" t="n">
        <v>1</v>
      </c>
      <c r="K188" s="28" t="inlineStr">
        <is>
          <t>Confirmed</t>
        </is>
      </c>
      <c r="L188" s="28" t="inlineStr">
        <is>
          <t>Mechanical</t>
        </is>
      </c>
      <c r="M188" s="28" t="inlineStr">
        <is>
          <t>Navajo Refinery (Artesia)</t>
        </is>
      </c>
    </row>
    <row r="189">
      <c r="A189" s="40" t="inlineStr">
        <is>
          <t>PAR_NEWCASTLE</t>
        </is>
      </c>
      <c r="B189" s="28" t="n">
        <v>4</v>
      </c>
      <c r="C189" s="28" t="inlineStr">
        <is>
          <t>CDU</t>
        </is>
      </c>
      <c r="D189" s="41" t="n">
        <v>46451</v>
      </c>
      <c r="E189" s="41" t="n">
        <v>46500</v>
      </c>
      <c r="F189" s="42">
        <f>$E189-$D189</f>
        <v/>
      </c>
      <c r="G189" s="28" t="inlineStr">
        <is>
          <t>Planned</t>
        </is>
      </c>
      <c r="H189" s="28">
        <f>IF(AND($D189&lt;=TODAY(),$E189&gt;=TODAY()),"LIVE","")</f>
        <v/>
      </c>
      <c r="I189" s="43" t="n">
        <v>20</v>
      </c>
      <c r="J189" s="44" t="n">
        <v>1</v>
      </c>
      <c r="K189" s="28" t="inlineStr">
        <is>
          <t>Confirmed</t>
        </is>
      </c>
      <c r="L189" s="28" t="inlineStr">
        <is>
          <t>Mechanical</t>
        </is>
      </c>
      <c r="M189" s="28" t="inlineStr">
        <is>
          <t>Newcastle Refinery</t>
        </is>
      </c>
    </row>
    <row r="190">
      <c r="A190" s="40" t="inlineStr">
        <is>
          <t>PAR_NEWCASTLE</t>
        </is>
      </c>
      <c r="B190" s="28" t="n">
        <v>4</v>
      </c>
      <c r="C190" s="28" t="inlineStr">
        <is>
          <t>FCC</t>
        </is>
      </c>
      <c r="D190" s="41" t="n">
        <v>46451</v>
      </c>
      <c r="E190" s="41" t="n">
        <v>46500</v>
      </c>
      <c r="F190" s="42">
        <f>$E190-$D190</f>
        <v/>
      </c>
      <c r="G190" s="28" t="inlineStr">
        <is>
          <t>Planned</t>
        </is>
      </c>
      <c r="H190" s="28">
        <f>IF(AND($D190&lt;=TODAY(),$E190&gt;=TODAY()),"LIVE","")</f>
        <v/>
      </c>
      <c r="I190" s="43" t="n">
        <v>5.5</v>
      </c>
      <c r="J190" s="44" t="n">
        <v>1</v>
      </c>
      <c r="K190" s="28" t="inlineStr">
        <is>
          <t>Confirmed</t>
        </is>
      </c>
      <c r="L190" s="28" t="inlineStr">
        <is>
          <t>Mechanical</t>
        </is>
      </c>
      <c r="M190" s="28" t="inlineStr">
        <is>
          <t>Newcastle Refinery</t>
        </is>
      </c>
    </row>
    <row r="191">
      <c r="A191" s="40" t="inlineStr">
        <is>
          <t>PAR_NEWCASTLE</t>
        </is>
      </c>
      <c r="B191" s="28" t="n">
        <v>4</v>
      </c>
      <c r="C191" s="28" t="inlineStr">
        <is>
          <t>NHT</t>
        </is>
      </c>
      <c r="D191" s="41" t="n">
        <v>46451</v>
      </c>
      <c r="E191" s="41" t="n">
        <v>46500</v>
      </c>
      <c r="F191" s="42">
        <f>$E191-$D191</f>
        <v/>
      </c>
      <c r="G191" s="28" t="inlineStr">
        <is>
          <t>Planned</t>
        </is>
      </c>
      <c r="H191" s="28">
        <f>IF(AND($D191&lt;=TODAY(),$E191&gt;=TODAY()),"LIVE","")</f>
        <v/>
      </c>
      <c r="I191" s="43" t="n">
        <v>3.5</v>
      </c>
      <c r="J191" s="44" t="n">
        <v>1</v>
      </c>
      <c r="K191" s="28" t="inlineStr">
        <is>
          <t>Confirmed</t>
        </is>
      </c>
      <c r="L191" s="28" t="inlineStr">
        <is>
          <t>Mechanical</t>
        </is>
      </c>
      <c r="M191" s="28" t="inlineStr">
        <is>
          <t>Newcastle Refinery</t>
        </is>
      </c>
    </row>
    <row r="192">
      <c r="A192" s="40" t="inlineStr">
        <is>
          <t>PAR_NEWCASTLE</t>
        </is>
      </c>
      <c r="B192" s="28" t="n">
        <v>4</v>
      </c>
      <c r="C192" s="28" t="inlineStr">
        <is>
          <t>ALKY</t>
        </is>
      </c>
      <c r="D192" s="41" t="n">
        <v>46451</v>
      </c>
      <c r="E192" s="41" t="n">
        <v>46500</v>
      </c>
      <c r="F192" s="42">
        <f>$E192-$D192</f>
        <v/>
      </c>
      <c r="G192" s="28" t="inlineStr">
        <is>
          <t>Planned</t>
        </is>
      </c>
      <c r="H192" s="28">
        <f>IF(AND($D192&lt;=TODAY(),$E192&gt;=TODAY()),"LIVE","")</f>
        <v/>
      </c>
      <c r="I192" s="43" t="n">
        <v>1.3</v>
      </c>
      <c r="J192" s="44" t="n">
        <v>1</v>
      </c>
      <c r="K192" s="28" t="inlineStr">
        <is>
          <t>Confirmed</t>
        </is>
      </c>
      <c r="L192" s="28" t="inlineStr">
        <is>
          <t>Mechanical</t>
        </is>
      </c>
      <c r="M192" s="28" t="inlineStr">
        <is>
          <t>Newcastle Refinery</t>
        </is>
      </c>
    </row>
    <row r="193">
      <c r="A193" s="40" t="inlineStr">
        <is>
          <t>PAR_NEWCASTLE</t>
        </is>
      </c>
      <c r="B193" s="28" t="n">
        <v>4</v>
      </c>
      <c r="C193" s="28" t="inlineStr">
        <is>
          <t>REF</t>
        </is>
      </c>
      <c r="D193" s="41" t="n">
        <v>46451</v>
      </c>
      <c r="E193" s="41" t="n">
        <v>46500</v>
      </c>
      <c r="F193" s="42">
        <f>$E193-$D193</f>
        <v/>
      </c>
      <c r="G193" s="28" t="inlineStr">
        <is>
          <t>Planned</t>
        </is>
      </c>
      <c r="H193" s="28">
        <f>IF(AND($D193&lt;=TODAY(),$E193&gt;=TODAY()),"LIVE","")</f>
        <v/>
      </c>
      <c r="I193" s="43" t="n">
        <v>3.2</v>
      </c>
      <c r="J193" s="44" t="n">
        <v>1</v>
      </c>
      <c r="K193" s="28" t="inlineStr">
        <is>
          <t>Confirmed</t>
        </is>
      </c>
      <c r="L193" s="28" t="inlineStr">
        <is>
          <t>Mechanical</t>
        </is>
      </c>
      <c r="M193" s="28" t="inlineStr">
        <is>
          <t>Newcastle Refinery</t>
        </is>
      </c>
    </row>
    <row r="194">
      <c r="A194" s="40" t="inlineStr">
        <is>
          <t>PAR_NEWCASTLE</t>
        </is>
      </c>
      <c r="B194" s="28" t="n">
        <v>4</v>
      </c>
      <c r="C194" s="28" t="inlineStr">
        <is>
          <t>VDU</t>
        </is>
      </c>
      <c r="D194" s="41" t="n">
        <v>46451</v>
      </c>
      <c r="E194" s="41" t="n">
        <v>46500</v>
      </c>
      <c r="F194" s="42">
        <f>$E194-$D194</f>
        <v/>
      </c>
      <c r="G194" s="28" t="inlineStr">
        <is>
          <t>Planned</t>
        </is>
      </c>
      <c r="H194" s="28">
        <f>IF(AND($D194&lt;=TODAY(),$E194&gt;=TODAY()),"LIVE","")</f>
        <v/>
      </c>
      <c r="I194" s="43" t="n">
        <v>1.5</v>
      </c>
      <c r="J194" s="44" t="n">
        <v>1</v>
      </c>
      <c r="K194" s="28" t="inlineStr">
        <is>
          <t>Confirmed</t>
        </is>
      </c>
      <c r="L194" s="28" t="inlineStr">
        <is>
          <t>Mechanical</t>
        </is>
      </c>
      <c r="M194" s="28" t="inlineStr">
        <is>
          <t>Newcastle Refinery</t>
        </is>
      </c>
    </row>
    <row r="195">
      <c r="A195" s="40" t="inlineStr">
        <is>
          <t>PBF_PAULSBORO</t>
        </is>
      </c>
      <c r="B195" s="28" t="n">
        <v>1</v>
      </c>
      <c r="C195" s="28" t="inlineStr">
        <is>
          <t>CDU</t>
        </is>
      </c>
      <c r="D195" s="41" t="n">
        <v>46451</v>
      </c>
      <c r="E195" s="41" t="n">
        <v>46485</v>
      </c>
      <c r="F195" s="42">
        <f>$E195-$D195</f>
        <v/>
      </c>
      <c r="G195" s="28" t="inlineStr">
        <is>
          <t>Planned</t>
        </is>
      </c>
      <c r="H195" s="28">
        <f>IF(AND($D195&lt;=TODAY(),$E195&gt;=TODAY()),"LIVE","")</f>
        <v/>
      </c>
      <c r="I195" s="43" t="n">
        <v>55</v>
      </c>
      <c r="J195" s="44" t="n">
        <v>1</v>
      </c>
      <c r="K195" s="28" t="inlineStr">
        <is>
          <t>Confirmed</t>
        </is>
      </c>
      <c r="L195" s="28" t="inlineStr">
        <is>
          <t>Mechanical</t>
        </is>
      </c>
      <c r="M195" s="28" t="inlineStr">
        <is>
          <t>Paulsboro Refinery (PBF)</t>
        </is>
      </c>
    </row>
    <row r="196">
      <c r="A196" s="40" t="inlineStr">
        <is>
          <t>PBF_PAULSBORO</t>
        </is>
      </c>
      <c r="B196" s="28" t="n">
        <v>1</v>
      </c>
      <c r="C196" s="28" t="inlineStr">
        <is>
          <t>VDU</t>
        </is>
      </c>
      <c r="D196" s="41" t="n">
        <v>46451</v>
      </c>
      <c r="E196" s="41" t="n">
        <v>46485</v>
      </c>
      <c r="F196" s="42">
        <f>$E196-$D196</f>
        <v/>
      </c>
      <c r="G196" s="28" t="inlineStr">
        <is>
          <t>Planned</t>
        </is>
      </c>
      <c r="H196" s="28">
        <f>IF(AND($D196&lt;=TODAY(),$E196&gt;=TODAY()),"LIVE","")</f>
        <v/>
      </c>
      <c r="I196" s="43" t="n">
        <v>50</v>
      </c>
      <c r="J196" s="44" t="n">
        <v>1</v>
      </c>
      <c r="K196" s="28" t="inlineStr">
        <is>
          <t>Confirmed</t>
        </is>
      </c>
      <c r="L196" s="28" t="inlineStr">
        <is>
          <t>Mechanical</t>
        </is>
      </c>
      <c r="M196" s="28" t="inlineStr">
        <is>
          <t>Paulsboro Refinery (PBF)</t>
        </is>
      </c>
    </row>
    <row r="197">
      <c r="A197" s="40" t="inlineStr">
        <is>
          <t>PHILLIPS_SWEENY</t>
        </is>
      </c>
      <c r="B197" s="28" t="n">
        <v>3</v>
      </c>
      <c r="C197" s="28" t="inlineStr">
        <is>
          <t>CDU</t>
        </is>
      </c>
      <c r="D197" s="41" t="n">
        <v>46451</v>
      </c>
      <c r="E197" s="41" t="n">
        <v>46490</v>
      </c>
      <c r="F197" s="42">
        <f>$E197-$D197</f>
        <v/>
      </c>
      <c r="G197" s="28" t="inlineStr">
        <is>
          <t>Planned</t>
        </is>
      </c>
      <c r="H197" s="28">
        <f>IF(AND($D197&lt;=TODAY(),$E197&gt;=TODAY()),"LIVE","")</f>
        <v/>
      </c>
      <c r="I197" s="43" t="n">
        <v>101</v>
      </c>
      <c r="J197" s="44" t="n">
        <v>1</v>
      </c>
      <c r="K197" s="28" t="inlineStr">
        <is>
          <t>Confirmed</t>
        </is>
      </c>
      <c r="L197" s="28" t="inlineStr">
        <is>
          <t>Mechanical</t>
        </is>
      </c>
      <c r="M197" s="28" t="inlineStr">
        <is>
          <t>Sweeny Refinery</t>
        </is>
      </c>
    </row>
    <row r="198">
      <c r="A198" s="40" t="inlineStr">
        <is>
          <t>PHILLIPS_SWEENY</t>
        </is>
      </c>
      <c r="B198" s="28" t="n">
        <v>3</v>
      </c>
      <c r="C198" s="28" t="inlineStr">
        <is>
          <t>FCC</t>
        </is>
      </c>
      <c r="D198" s="41" t="n">
        <v>46451</v>
      </c>
      <c r="E198" s="41" t="n">
        <v>46490</v>
      </c>
      <c r="F198" s="42">
        <f>$E198-$D198</f>
        <v/>
      </c>
      <c r="G198" s="28" t="inlineStr">
        <is>
          <t>Planned</t>
        </is>
      </c>
      <c r="H198" s="28">
        <f>IF(AND($D198&lt;=TODAY(),$E198&gt;=TODAY()),"LIVE","")</f>
        <v/>
      </c>
      <c r="I198" s="43" t="n">
        <v>30</v>
      </c>
      <c r="J198" s="44" t="n">
        <v>1</v>
      </c>
      <c r="K198" s="28" t="inlineStr">
        <is>
          <t>Confirmed</t>
        </is>
      </c>
      <c r="L198" s="28" t="inlineStr">
        <is>
          <t>Mechanical</t>
        </is>
      </c>
      <c r="M198" s="28" t="inlineStr">
        <is>
          <t>Sweeny Refinery</t>
        </is>
      </c>
    </row>
    <row r="199">
      <c r="A199" s="40" t="inlineStr">
        <is>
          <t>PHILLIPS_WESTLAKE</t>
        </is>
      </c>
      <c r="B199" s="28" t="n">
        <v>3</v>
      </c>
      <c r="C199" s="28" t="inlineStr">
        <is>
          <t>CDU</t>
        </is>
      </c>
      <c r="D199" s="41" t="n">
        <v>46451</v>
      </c>
      <c r="E199" s="41" t="n">
        <v>46485</v>
      </c>
      <c r="F199" s="42">
        <f>$E199-$D199</f>
        <v/>
      </c>
      <c r="G199" s="28" t="inlineStr">
        <is>
          <t>Planned</t>
        </is>
      </c>
      <c r="H199" s="28">
        <f>IF(AND($D199&lt;=TODAY(),$E199&gt;=TODAY()),"LIVE","")</f>
        <v/>
      </c>
      <c r="I199" s="43" t="n">
        <v>70</v>
      </c>
      <c r="J199" s="44" t="n">
        <v>1</v>
      </c>
      <c r="K199" s="28" t="inlineStr">
        <is>
          <t>Confirmed</t>
        </is>
      </c>
      <c r="L199" s="28" t="inlineStr"/>
      <c r="M199" s="28" t="inlineStr">
        <is>
          <t>Lake Charles Refinery (Phillips 66)</t>
        </is>
      </c>
    </row>
    <row r="200">
      <c r="A200" s="40" t="inlineStr">
        <is>
          <t>PHILLIPS_WESTLAKE</t>
        </is>
      </c>
      <c r="B200" s="28" t="n">
        <v>3</v>
      </c>
      <c r="C200" s="28" t="inlineStr">
        <is>
          <t>CCR</t>
        </is>
      </c>
      <c r="D200" s="41" t="n">
        <v>46451</v>
      </c>
      <c r="E200" s="41" t="n">
        <v>46485</v>
      </c>
      <c r="F200" s="42">
        <f>$E200-$D200</f>
        <v/>
      </c>
      <c r="G200" s="28" t="inlineStr">
        <is>
          <t>Planned</t>
        </is>
      </c>
      <c r="H200" s="28">
        <f>IF(AND($D200&lt;=TODAY(),$E200&gt;=TODAY()),"LIVE","")</f>
        <v/>
      </c>
      <c r="I200" s="43" t="n">
        <v>34</v>
      </c>
      <c r="J200" s="44" t="n">
        <v>1</v>
      </c>
      <c r="K200" s="28" t="inlineStr">
        <is>
          <t>Confirmed</t>
        </is>
      </c>
      <c r="L200" s="28" t="inlineStr"/>
      <c r="M200" s="28" t="inlineStr">
        <is>
          <t>Lake Charles Refinery (Phillips 66)</t>
        </is>
      </c>
    </row>
    <row r="201">
      <c r="A201" s="40" t="inlineStr">
        <is>
          <t>UNITED_WARREN</t>
        </is>
      </c>
      <c r="B201" s="28" t="n">
        <v>1</v>
      </c>
      <c r="C201" s="28" t="inlineStr">
        <is>
          <t>CDU</t>
        </is>
      </c>
      <c r="D201" s="41" t="n">
        <v>46451</v>
      </c>
      <c r="E201" s="41" t="n">
        <v>46490</v>
      </c>
      <c r="F201" s="42">
        <f>$E201-$D201</f>
        <v/>
      </c>
      <c r="G201" s="28" t="inlineStr">
        <is>
          <t>Planned</t>
        </is>
      </c>
      <c r="H201" s="28">
        <f>IF(AND($D201&lt;=TODAY(),$E201&gt;=TODAY()),"LIVE","")</f>
        <v/>
      </c>
      <c r="I201" s="43" t="n">
        <v>70</v>
      </c>
      <c r="J201" s="44" t="n">
        <v>1</v>
      </c>
      <c r="K201" s="28" t="inlineStr">
        <is>
          <t>Confirmed</t>
        </is>
      </c>
      <c r="L201" s="28" t="inlineStr">
        <is>
          <t>Mechanical</t>
        </is>
      </c>
      <c r="M201" s="28" t="inlineStr">
        <is>
          <t>Warren Refinery</t>
        </is>
      </c>
    </row>
    <row r="202">
      <c r="A202" s="40" t="inlineStr">
        <is>
          <t>UNITED_WARREN</t>
        </is>
      </c>
      <c r="B202" s="28" t="n">
        <v>1</v>
      </c>
      <c r="C202" s="28" t="inlineStr">
        <is>
          <t>FCC</t>
        </is>
      </c>
      <c r="D202" s="41" t="n">
        <v>46451</v>
      </c>
      <c r="E202" s="41" t="n">
        <v>46490</v>
      </c>
      <c r="F202" s="42">
        <f>$E202-$D202</f>
        <v/>
      </c>
      <c r="G202" s="28" t="inlineStr">
        <is>
          <t>Planned</t>
        </is>
      </c>
      <c r="H202" s="28">
        <f>IF(AND($D202&lt;=TODAY(),$E202&gt;=TODAY()),"LIVE","")</f>
        <v/>
      </c>
      <c r="I202" s="43" t="n">
        <v>21</v>
      </c>
      <c r="J202" s="44" t="n">
        <v>1</v>
      </c>
      <c r="K202" s="28" t="inlineStr">
        <is>
          <t>Confirmed</t>
        </is>
      </c>
      <c r="L202" s="28" t="inlineStr">
        <is>
          <t>Mechanical</t>
        </is>
      </c>
      <c r="M202" s="28" t="inlineStr">
        <is>
          <t>Warren Refinery</t>
        </is>
      </c>
    </row>
    <row r="203">
      <c r="A203" s="40" t="inlineStr">
        <is>
          <t>UNITED_WARREN</t>
        </is>
      </c>
      <c r="B203" s="28" t="n">
        <v>1</v>
      </c>
      <c r="C203" s="28" t="inlineStr">
        <is>
          <t>ISOM</t>
        </is>
      </c>
      <c r="D203" s="41" t="n">
        <v>46451</v>
      </c>
      <c r="E203" s="41" t="n">
        <v>46490</v>
      </c>
      <c r="F203" s="42">
        <f>$E203-$D203</f>
        <v/>
      </c>
      <c r="G203" s="28" t="inlineStr">
        <is>
          <t>Planned</t>
        </is>
      </c>
      <c r="H203" s="28">
        <f>IF(AND($D203&lt;=TODAY(),$E203&gt;=TODAY()),"LIVE","")</f>
        <v/>
      </c>
      <c r="I203" s="43" t="n">
        <v>5.5</v>
      </c>
      <c r="J203" s="44" t="n">
        <v>1</v>
      </c>
      <c r="K203" s="28" t="inlineStr">
        <is>
          <t>Confirmed</t>
        </is>
      </c>
      <c r="L203" s="28" t="inlineStr">
        <is>
          <t>Mechanical</t>
        </is>
      </c>
      <c r="M203" s="28" t="inlineStr">
        <is>
          <t>Warren Refinery</t>
        </is>
      </c>
    </row>
    <row r="204">
      <c r="A204" s="40" t="inlineStr">
        <is>
          <t>UNITED_WARREN</t>
        </is>
      </c>
      <c r="B204" s="28" t="n">
        <v>1</v>
      </c>
      <c r="C204" s="28" t="inlineStr">
        <is>
          <t>NHT</t>
        </is>
      </c>
      <c r="D204" s="41" t="n">
        <v>46451</v>
      </c>
      <c r="E204" s="41" t="n">
        <v>46490</v>
      </c>
      <c r="F204" s="42">
        <f>$E204-$D204</f>
        <v/>
      </c>
      <c r="G204" s="28" t="inlineStr">
        <is>
          <t>Planned</t>
        </is>
      </c>
      <c r="H204" s="28">
        <f>IF(AND($D204&lt;=TODAY(),$E204&gt;=TODAY()),"LIVE","")</f>
        <v/>
      </c>
      <c r="I204" s="43" t="n">
        <v>22</v>
      </c>
      <c r="J204" s="44" t="n">
        <v>1</v>
      </c>
      <c r="K204" s="28" t="inlineStr">
        <is>
          <t>Confirmed</t>
        </is>
      </c>
      <c r="L204" s="28" t="inlineStr">
        <is>
          <t>Mechanical</t>
        </is>
      </c>
      <c r="M204" s="28" t="inlineStr">
        <is>
          <t>Warren Refinery</t>
        </is>
      </c>
    </row>
    <row r="205">
      <c r="A205" s="40" t="inlineStr">
        <is>
          <t>UNITED_WARREN</t>
        </is>
      </c>
      <c r="B205" s="28" t="n">
        <v>1</v>
      </c>
      <c r="C205" s="28" t="inlineStr">
        <is>
          <t>ALKY</t>
        </is>
      </c>
      <c r="D205" s="41" t="n">
        <v>46451</v>
      </c>
      <c r="E205" s="41" t="n">
        <v>46490</v>
      </c>
      <c r="F205" s="42">
        <f>$E205-$D205</f>
        <v/>
      </c>
      <c r="G205" s="28" t="inlineStr">
        <is>
          <t>Planned</t>
        </is>
      </c>
      <c r="H205" s="28">
        <f>IF(AND($D205&lt;=TODAY(),$E205&gt;=TODAY()),"LIVE","")</f>
        <v/>
      </c>
      <c r="I205" s="43" t="n">
        <v>2.7</v>
      </c>
      <c r="J205" s="44" t="n">
        <v>1</v>
      </c>
      <c r="K205" s="28" t="inlineStr">
        <is>
          <t>Confirmed</t>
        </is>
      </c>
      <c r="L205" s="28" t="inlineStr">
        <is>
          <t>Mechanical</t>
        </is>
      </c>
      <c r="M205" s="28" t="inlineStr">
        <is>
          <t>Warren Refinery</t>
        </is>
      </c>
    </row>
    <row r="206">
      <c r="A206" s="40" t="inlineStr">
        <is>
          <t>UNITED_WARREN</t>
        </is>
      </c>
      <c r="B206" s="28" t="n">
        <v>1</v>
      </c>
      <c r="C206" s="28" t="inlineStr">
        <is>
          <t>REF</t>
        </is>
      </c>
      <c r="D206" s="41" t="n">
        <v>46451</v>
      </c>
      <c r="E206" s="41" t="n">
        <v>46490</v>
      </c>
      <c r="F206" s="42">
        <f>$E206-$D206</f>
        <v/>
      </c>
      <c r="G206" s="28" t="inlineStr">
        <is>
          <t>Planned</t>
        </is>
      </c>
      <c r="H206" s="28">
        <f>IF(AND($D206&lt;=TODAY(),$E206&gt;=TODAY()),"LIVE","")</f>
        <v/>
      </c>
      <c r="I206" s="43" t="n">
        <v>16</v>
      </c>
      <c r="J206" s="44" t="n">
        <v>1</v>
      </c>
      <c r="K206" s="28" t="inlineStr">
        <is>
          <t>Confirmed</t>
        </is>
      </c>
      <c r="L206" s="28" t="inlineStr">
        <is>
          <t>Mechanical</t>
        </is>
      </c>
      <c r="M206" s="28" t="inlineStr">
        <is>
          <t>Warren Refinery</t>
        </is>
      </c>
    </row>
    <row r="207">
      <c r="A207" s="40" t="inlineStr">
        <is>
          <t>UNITED_WARREN</t>
        </is>
      </c>
      <c r="B207" s="28" t="n">
        <v>1</v>
      </c>
      <c r="C207" s="28" t="inlineStr">
        <is>
          <t>VDU</t>
        </is>
      </c>
      <c r="D207" s="41" t="n">
        <v>46451</v>
      </c>
      <c r="E207" s="41" t="n">
        <v>46490</v>
      </c>
      <c r="F207" s="42">
        <f>$E207-$D207</f>
        <v/>
      </c>
      <c r="G207" s="28" t="inlineStr">
        <is>
          <t>Planned</t>
        </is>
      </c>
      <c r="H207" s="28">
        <f>IF(AND($D207&lt;=TODAY(),$E207&gt;=TODAY()),"LIVE","")</f>
        <v/>
      </c>
      <c r="I207" s="43" t="n">
        <v>20</v>
      </c>
      <c r="J207" s="44" t="n">
        <v>1</v>
      </c>
      <c r="K207" s="28" t="inlineStr">
        <is>
          <t>Confirmed</t>
        </is>
      </c>
      <c r="L207" s="28" t="inlineStr">
        <is>
          <t>Mechanical</t>
        </is>
      </c>
      <c r="M207" s="28" t="inlineStr">
        <is>
          <t>Warren Refinery</t>
        </is>
      </c>
    </row>
    <row r="208">
      <c r="A208" s="40" t="inlineStr">
        <is>
          <t>VALERO_MERAUX</t>
        </is>
      </c>
      <c r="B208" s="28" t="n">
        <v>3</v>
      </c>
      <c r="C208" s="28" t="inlineStr">
        <is>
          <t>DHCU</t>
        </is>
      </c>
      <c r="D208" s="41" t="n">
        <v>46451</v>
      </c>
      <c r="E208" s="41" t="n">
        <v>46507</v>
      </c>
      <c r="F208" s="42">
        <f>$E208-$D208</f>
        <v/>
      </c>
      <c r="G208" s="28" t="inlineStr">
        <is>
          <t>Planned</t>
        </is>
      </c>
      <c r="H208" s="28">
        <f>IF(AND($D208&lt;=TODAY(),$E208&gt;=TODAY()),"LIVE","")</f>
        <v/>
      </c>
      <c r="I208" s="43" t="n">
        <v>55</v>
      </c>
      <c r="J208" s="44" t="n">
        <v>1</v>
      </c>
      <c r="K208" s="28" t="inlineStr">
        <is>
          <t>Confirmed</t>
        </is>
      </c>
      <c r="L208" s="28" t="inlineStr">
        <is>
          <t>Mechanical</t>
        </is>
      </c>
      <c r="M208" s="28" t="inlineStr">
        <is>
          <t>Meraux Refinery</t>
        </is>
      </c>
    </row>
    <row r="209">
      <c r="A209" s="40" t="inlineStr">
        <is>
          <t>WRB_BORGER</t>
        </is>
      </c>
      <c r="B209" s="28" t="n">
        <v>3</v>
      </c>
      <c r="C209" s="28" t="inlineStr">
        <is>
          <t>FCC</t>
        </is>
      </c>
      <c r="D209" s="41" t="n">
        <v>46452</v>
      </c>
      <c r="E209" s="41" t="n">
        <v>46499</v>
      </c>
      <c r="F209" s="42">
        <f>$E209-$D209</f>
        <v/>
      </c>
      <c r="G209" s="28" t="inlineStr">
        <is>
          <t>Planned</t>
        </is>
      </c>
      <c r="H209" s="28">
        <f>IF(AND($D209&lt;=TODAY(),$E209&gt;=TODAY()),"LIVE","")</f>
        <v/>
      </c>
      <c r="I209" s="43" t="n">
        <v>30</v>
      </c>
      <c r="J209" s="44" t="n">
        <v>1</v>
      </c>
      <c r="K209" s="28" t="inlineStr">
        <is>
          <t>Confirmed</t>
        </is>
      </c>
      <c r="L209" s="28" t="inlineStr">
        <is>
          <t>Mechanical</t>
        </is>
      </c>
      <c r="M209" s="28" t="inlineStr">
        <is>
          <t>Borger Refinery</t>
        </is>
      </c>
    </row>
    <row r="210">
      <c r="A210" s="40" t="inlineStr">
        <is>
          <t>BP_FERNDALE</t>
        </is>
      </c>
      <c r="B210" s="28" t="n">
        <v>5</v>
      </c>
      <c r="C210" s="28" t="inlineStr">
        <is>
          <t>CDU</t>
        </is>
      </c>
      <c r="D210" s="41" t="n">
        <v>46458</v>
      </c>
      <c r="E210" s="41" t="n">
        <v>46472</v>
      </c>
      <c r="F210" s="42">
        <f>$E210-$D210</f>
        <v/>
      </c>
      <c r="G210" s="28" t="inlineStr">
        <is>
          <t>Planned</t>
        </is>
      </c>
      <c r="H210" s="28">
        <f>IF(AND($D210&lt;=TODAY(),$E210&gt;=TODAY()),"LIVE","")</f>
        <v/>
      </c>
      <c r="I210" s="43" t="n">
        <v>250</v>
      </c>
      <c r="J210" s="44" t="n">
        <v>1</v>
      </c>
      <c r="K210" s="28" t="inlineStr">
        <is>
          <t>Confirmed</t>
        </is>
      </c>
      <c r="L210" s="28" t="inlineStr">
        <is>
          <t>Mechanical</t>
        </is>
      </c>
      <c r="M210" s="28" t="inlineStr">
        <is>
          <t>Cherry Point Refinery</t>
        </is>
      </c>
    </row>
    <row r="211">
      <c r="A211" s="40" t="inlineStr">
        <is>
          <t>CENOVUS_WOOD_RIVER</t>
        </is>
      </c>
      <c r="B211" s="28" t="n">
        <v>2</v>
      </c>
      <c r="C211" s="28" t="inlineStr">
        <is>
          <t>COKER</t>
        </is>
      </c>
      <c r="D211" s="41" t="n">
        <v>46458</v>
      </c>
      <c r="E211" s="41" t="n">
        <v>46492</v>
      </c>
      <c r="F211" s="42">
        <f>$E211-$D211</f>
        <v/>
      </c>
      <c r="G211" s="28" t="inlineStr">
        <is>
          <t>Planned</t>
        </is>
      </c>
      <c r="H211" s="28">
        <f>IF(AND($D211&lt;=TODAY(),$E211&gt;=TODAY()),"LIVE","")</f>
        <v/>
      </c>
      <c r="I211" s="43" t="n">
        <v>17</v>
      </c>
      <c r="J211" s="44" t="n">
        <v>1</v>
      </c>
      <c r="K211" s="28" t="inlineStr">
        <is>
          <t>Confirmed</t>
        </is>
      </c>
      <c r="L211" s="28" t="inlineStr"/>
      <c r="M211" s="28" t="inlineStr">
        <is>
          <t>Wood River Refinery</t>
        </is>
      </c>
    </row>
    <row r="212">
      <c r="A212" s="40" t="inlineStr">
        <is>
          <t>MARATHON_ROBINSON</t>
        </is>
      </c>
      <c r="B212" s="28" t="n">
        <v>2</v>
      </c>
      <c r="C212" s="28" t="inlineStr">
        <is>
          <t>REF</t>
        </is>
      </c>
      <c r="D212" s="41" t="n">
        <v>46458</v>
      </c>
      <c r="E212" s="41" t="n">
        <v>46492</v>
      </c>
      <c r="F212" s="42">
        <f>$E212-$D212</f>
        <v/>
      </c>
      <c r="G212" s="28" t="inlineStr">
        <is>
          <t>Planned</t>
        </is>
      </c>
      <c r="H212" s="28">
        <f>IF(AND($D212&lt;=TODAY(),$E212&gt;=TODAY()),"LIVE","")</f>
        <v/>
      </c>
      <c r="I212" s="43" t="n">
        <v>35</v>
      </c>
      <c r="J212" s="44" t="n">
        <v>1</v>
      </c>
      <c r="K212" s="28" t="inlineStr">
        <is>
          <t>Confirmed</t>
        </is>
      </c>
      <c r="L212" s="28" t="inlineStr">
        <is>
          <t>Mechanical</t>
        </is>
      </c>
      <c r="M212" s="28" t="inlineStr">
        <is>
          <t>Robinson Refinery</t>
        </is>
      </c>
    </row>
    <row r="213">
      <c r="A213" s="40" t="inlineStr">
        <is>
          <t>LUNDAYTHAGARD_SOUTH_GATE</t>
        </is>
      </c>
      <c r="B213" s="28" t="n">
        <v>5</v>
      </c>
      <c r="C213" s="28" t="inlineStr">
        <is>
          <t>VDU</t>
        </is>
      </c>
      <c r="D213" s="41" t="n">
        <v>46478</v>
      </c>
      <c r="E213" s="41" t="n">
        <v>46487</v>
      </c>
      <c r="F213" s="42">
        <f>$E213-$D213</f>
        <v/>
      </c>
      <c r="G213" s="28" t="inlineStr">
        <is>
          <t>Planned</t>
        </is>
      </c>
      <c r="H213" s="28">
        <f>IF(AND($D213&lt;=TODAY(),$E213&gt;=TODAY()),"LIVE","")</f>
        <v/>
      </c>
      <c r="I213" s="43" t="n">
        <v>7</v>
      </c>
      <c r="J213" s="44" t="n">
        <v>1</v>
      </c>
      <c r="K213" s="28" t="inlineStr">
        <is>
          <t>Confirmed</t>
        </is>
      </c>
      <c r="L213" s="28" t="inlineStr">
        <is>
          <t>Mechanical</t>
        </is>
      </c>
      <c r="M213" s="28" t="inlineStr">
        <is>
          <t>South Gate Asphalt Refinery</t>
        </is>
      </c>
    </row>
    <row r="214">
      <c r="A214" s="40" t="inlineStr">
        <is>
          <t>LUNDAYTHAGARD_SOUTH_GATE</t>
        </is>
      </c>
      <c r="B214" s="28" t="n">
        <v>5</v>
      </c>
      <c r="C214" s="28" t="inlineStr">
        <is>
          <t>CDU</t>
        </is>
      </c>
      <c r="D214" s="41" t="n">
        <v>46478</v>
      </c>
      <c r="E214" s="41" t="n">
        <v>46487</v>
      </c>
      <c r="F214" s="42">
        <f>$E214-$D214</f>
        <v/>
      </c>
      <c r="G214" s="28" t="inlineStr">
        <is>
          <t>Planned</t>
        </is>
      </c>
      <c r="H214" s="28">
        <f>IF(AND($D214&lt;=TODAY(),$E214&gt;=TODAY()),"LIVE","")</f>
        <v/>
      </c>
      <c r="I214" s="43" t="n">
        <v>8.5</v>
      </c>
      <c r="J214" s="44" t="n">
        <v>1</v>
      </c>
      <c r="K214" s="28" t="inlineStr">
        <is>
          <t>Confirmed</t>
        </is>
      </c>
      <c r="L214" s="28" t="inlineStr">
        <is>
          <t>Mechanical</t>
        </is>
      </c>
      <c r="M214" s="28" t="inlineStr">
        <is>
          <t>South Gate Asphalt Refinery</t>
        </is>
      </c>
    </row>
    <row r="215">
      <c r="A215" s="40" t="inlineStr">
        <is>
          <t>EXXONMOBIL_JOLIET</t>
        </is>
      </c>
      <c r="B215" s="28" t="n">
        <v>2</v>
      </c>
      <c r="C215" s="28" t="inlineStr">
        <is>
          <t>CDU</t>
        </is>
      </c>
      <c r="D215" s="41" t="n">
        <v>46479</v>
      </c>
      <c r="E215" s="41" t="n">
        <v>46529</v>
      </c>
      <c r="F215" s="42">
        <f>$E215-$D215</f>
        <v/>
      </c>
      <c r="G215" s="28" t="inlineStr">
        <is>
          <t>Planned</t>
        </is>
      </c>
      <c r="H215" s="28">
        <f>IF(AND($D215&lt;=TODAY(),$E215&gt;=TODAY()),"LIVE","")</f>
        <v/>
      </c>
      <c r="I215" s="43" t="n">
        <v>250</v>
      </c>
      <c r="J215" s="44" t="n">
        <v>1</v>
      </c>
      <c r="K215" s="28" t="inlineStr">
        <is>
          <t>Confirmed</t>
        </is>
      </c>
      <c r="L215" s="28" t="inlineStr">
        <is>
          <t>Mechanical</t>
        </is>
      </c>
      <c r="M215" s="28" t="inlineStr">
        <is>
          <t>Joliet Refinery</t>
        </is>
      </c>
    </row>
    <row r="216">
      <c r="A216" s="40" t="inlineStr">
        <is>
          <t>EXXONMOBIL_JOLIET</t>
        </is>
      </c>
      <c r="B216" s="28" t="n">
        <v>2</v>
      </c>
      <c r="C216" s="28" t="inlineStr">
        <is>
          <t>COKER</t>
        </is>
      </c>
      <c r="D216" s="41" t="n">
        <v>46479</v>
      </c>
      <c r="E216" s="41" t="n">
        <v>46529</v>
      </c>
      <c r="F216" s="42">
        <f>$E216-$D216</f>
        <v/>
      </c>
      <c r="G216" s="28" t="inlineStr">
        <is>
          <t>Planned</t>
        </is>
      </c>
      <c r="H216" s="28">
        <f>IF(AND($D216&lt;=TODAY(),$E216&gt;=TODAY()),"LIVE","")</f>
        <v/>
      </c>
      <c r="I216" s="43" t="n">
        <v>59</v>
      </c>
      <c r="J216" s="44" t="n">
        <v>1</v>
      </c>
      <c r="K216" s="28" t="inlineStr">
        <is>
          <t>Confirmed</t>
        </is>
      </c>
      <c r="L216" s="28" t="inlineStr">
        <is>
          <t>Mechanical</t>
        </is>
      </c>
      <c r="M216" s="28" t="inlineStr">
        <is>
          <t>Joliet Refinery</t>
        </is>
      </c>
    </row>
    <row r="217">
      <c r="A217" s="40" t="inlineStr">
        <is>
          <t>EXXONMOBIL_JOLIET</t>
        </is>
      </c>
      <c r="B217" s="28" t="n">
        <v>2</v>
      </c>
      <c r="C217" s="28" t="inlineStr">
        <is>
          <t>FCC</t>
        </is>
      </c>
      <c r="D217" s="41" t="n">
        <v>46479</v>
      </c>
      <c r="E217" s="41" t="n">
        <v>46529</v>
      </c>
      <c r="F217" s="42">
        <f>$E217-$D217</f>
        <v/>
      </c>
      <c r="G217" s="28" t="inlineStr">
        <is>
          <t>Planned</t>
        </is>
      </c>
      <c r="H217" s="28">
        <f>IF(AND($D217&lt;=TODAY(),$E217&gt;=TODAY()),"LIVE","")</f>
        <v/>
      </c>
      <c r="I217" s="43" t="n">
        <v>98</v>
      </c>
      <c r="J217" s="44" t="n">
        <v>1</v>
      </c>
      <c r="K217" s="28" t="inlineStr">
        <is>
          <t>Confirmed</t>
        </is>
      </c>
      <c r="L217" s="28" t="inlineStr">
        <is>
          <t>Mechanical</t>
        </is>
      </c>
      <c r="M217" s="28" t="inlineStr">
        <is>
          <t>Joliet Refinery</t>
        </is>
      </c>
    </row>
    <row r="218">
      <c r="A218" s="40" t="inlineStr">
        <is>
          <t>EXXONMOBIL_JOLIET</t>
        </is>
      </c>
      <c r="B218" s="28" t="n">
        <v>2</v>
      </c>
      <c r="C218" s="28" t="inlineStr">
        <is>
          <t>ALKY</t>
        </is>
      </c>
      <c r="D218" s="41" t="n">
        <v>46479</v>
      </c>
      <c r="E218" s="41" t="n">
        <v>46529</v>
      </c>
      <c r="F218" s="42">
        <f>$E218-$D218</f>
        <v/>
      </c>
      <c r="G218" s="28" t="inlineStr">
        <is>
          <t>Planned</t>
        </is>
      </c>
      <c r="H218" s="28">
        <f>IF(AND($D218&lt;=TODAY(),$E218&gt;=TODAY()),"LIVE","")</f>
        <v/>
      </c>
      <c r="I218" s="43" t="n">
        <v>26.2</v>
      </c>
      <c r="J218" s="44" t="n">
        <v>1</v>
      </c>
      <c r="K218" s="28" t="inlineStr">
        <is>
          <t>Confirmed</t>
        </is>
      </c>
      <c r="L218" s="28" t="inlineStr">
        <is>
          <t>Mechanical</t>
        </is>
      </c>
      <c r="M218" s="28" t="inlineStr">
        <is>
          <t>Joliet Refinery</t>
        </is>
      </c>
    </row>
    <row r="219">
      <c r="A219" s="40" t="inlineStr">
        <is>
          <t>EXXONMOBIL_JOLIET</t>
        </is>
      </c>
      <c r="B219" s="28" t="n">
        <v>2</v>
      </c>
      <c r="C219" s="28" t="inlineStr">
        <is>
          <t>VDU</t>
        </is>
      </c>
      <c r="D219" s="41" t="n">
        <v>46479</v>
      </c>
      <c r="E219" s="41" t="n">
        <v>46529</v>
      </c>
      <c r="F219" s="42">
        <f>$E219-$D219</f>
        <v/>
      </c>
      <c r="G219" s="28" t="inlineStr">
        <is>
          <t>Planned</t>
        </is>
      </c>
      <c r="H219" s="28">
        <f>IF(AND($D219&lt;=TODAY(),$E219&gt;=TODAY()),"LIVE","")</f>
        <v/>
      </c>
      <c r="I219" s="43" t="n">
        <v>127</v>
      </c>
      <c r="J219" s="44" t="n">
        <v>1</v>
      </c>
      <c r="K219" s="28" t="inlineStr">
        <is>
          <t>Confirmed</t>
        </is>
      </c>
      <c r="L219" s="28" t="inlineStr">
        <is>
          <t>Mechanical</t>
        </is>
      </c>
      <c r="M219" s="28" t="inlineStr">
        <is>
          <t>Joliet Refinery</t>
        </is>
      </c>
    </row>
    <row r="220">
      <c r="A220" s="40" t="inlineStr">
        <is>
          <t>CITGO_LEMONT</t>
        </is>
      </c>
      <c r="B220" s="28" t="n">
        <v>2</v>
      </c>
      <c r="C220" s="28" t="inlineStr">
        <is>
          <t>CDU</t>
        </is>
      </c>
      <c r="D220" s="41" t="n">
        <v>46486</v>
      </c>
      <c r="E220" s="41" t="n">
        <v>46525</v>
      </c>
      <c r="F220" s="42">
        <f>$E220-$D220</f>
        <v/>
      </c>
      <c r="G220" s="28" t="inlineStr">
        <is>
          <t>Planned</t>
        </is>
      </c>
      <c r="H220" s="28">
        <f>IF(AND($D220&lt;=TODAY(),$E220&gt;=TODAY()),"LIVE","")</f>
        <v/>
      </c>
      <c r="I220" s="43" t="n">
        <v>175</v>
      </c>
      <c r="J220" s="44" t="n">
        <v>1</v>
      </c>
      <c r="K220" s="28" t="inlineStr">
        <is>
          <t>Confirmed</t>
        </is>
      </c>
      <c r="L220" s="28" t="inlineStr">
        <is>
          <t>Mechanical</t>
        </is>
      </c>
      <c r="M220" s="28" t="inlineStr">
        <is>
          <t>Lemont Refinery</t>
        </is>
      </c>
    </row>
    <row r="221">
      <c r="A221" s="40" t="inlineStr">
        <is>
          <t>CITGO_LEMONT</t>
        </is>
      </c>
      <c r="B221" s="28" t="n">
        <v>2</v>
      </c>
      <c r="C221" s="28" t="inlineStr">
        <is>
          <t>VDU</t>
        </is>
      </c>
      <c r="D221" s="41" t="n">
        <v>46486</v>
      </c>
      <c r="E221" s="41" t="n">
        <v>46525</v>
      </c>
      <c r="F221" s="42">
        <f>$E221-$D221</f>
        <v/>
      </c>
      <c r="G221" s="28" t="inlineStr">
        <is>
          <t>Planned</t>
        </is>
      </c>
      <c r="H221" s="28">
        <f>IF(AND($D221&lt;=TODAY(),$E221&gt;=TODAY()),"LIVE","")</f>
        <v/>
      </c>
      <c r="I221" s="43" t="n">
        <v>75</v>
      </c>
      <c r="J221" s="44" t="n">
        <v>1</v>
      </c>
      <c r="K221" s="28" t="inlineStr">
        <is>
          <t>Confirmed</t>
        </is>
      </c>
      <c r="L221" s="28" t="inlineStr"/>
      <c r="M221" s="28" t="inlineStr">
        <is>
          <t>Lemont Refinery</t>
        </is>
      </c>
    </row>
    <row r="222">
      <c r="A222" s="40" t="inlineStr">
        <is>
          <t>CITGO_LEMONT</t>
        </is>
      </c>
      <c r="B222" s="28" t="n">
        <v>2</v>
      </c>
      <c r="C222" s="28" t="inlineStr">
        <is>
          <t>COKER</t>
        </is>
      </c>
      <c r="D222" s="41" t="n">
        <v>46486</v>
      </c>
      <c r="E222" s="41" t="n">
        <v>46525</v>
      </c>
      <c r="F222" s="42">
        <f>$E222-$D222</f>
        <v/>
      </c>
      <c r="G222" s="28" t="inlineStr">
        <is>
          <t>Planned</t>
        </is>
      </c>
      <c r="H222" s="28">
        <f>IF(AND($D222&lt;=TODAY(),$E222&gt;=TODAY()),"LIVE","")</f>
        <v/>
      </c>
      <c r="I222" s="43" t="n">
        <v>38</v>
      </c>
      <c r="J222" s="44" t="n">
        <v>1</v>
      </c>
      <c r="K222" s="28" t="inlineStr">
        <is>
          <t>Confirmed</t>
        </is>
      </c>
      <c r="L222" s="28" t="inlineStr"/>
      <c r="M222" s="28" t="inlineStr">
        <is>
          <t>Lemont Refinery</t>
        </is>
      </c>
    </row>
    <row r="223">
      <c r="A223" s="40" t="inlineStr">
        <is>
          <t>PHILLIPS_BILLINGS</t>
        </is>
      </c>
      <c r="B223" s="28" t="n">
        <v>4</v>
      </c>
      <c r="C223" s="28" t="inlineStr">
        <is>
          <t>CDU</t>
        </is>
      </c>
      <c r="D223" s="41" t="n">
        <v>46486</v>
      </c>
      <c r="E223" s="41" t="n">
        <v>46530</v>
      </c>
      <c r="F223" s="42">
        <f>$E223-$D223</f>
        <v/>
      </c>
      <c r="G223" s="28" t="inlineStr">
        <is>
          <t>Planned</t>
        </is>
      </c>
      <c r="H223" s="28">
        <f>IF(AND($D223&lt;=TODAY(),$E223&gt;=TODAY()),"LIVE","")</f>
        <v/>
      </c>
      <c r="I223" s="43" t="n">
        <v>35</v>
      </c>
      <c r="J223" s="44" t="n">
        <v>1</v>
      </c>
      <c r="K223" s="28" t="inlineStr">
        <is>
          <t>Confirmed</t>
        </is>
      </c>
      <c r="L223" s="28" t="inlineStr">
        <is>
          <t>Mechanical</t>
        </is>
      </c>
      <c r="M223" s="28" t="inlineStr">
        <is>
          <t>Billings Refinery (Phillips 66)</t>
        </is>
      </c>
    </row>
    <row r="224">
      <c r="A224" s="40" t="inlineStr">
        <is>
          <t>PHILLIPS_BILLINGS</t>
        </is>
      </c>
      <c r="B224" s="28" t="n">
        <v>4</v>
      </c>
      <c r="C224" s="28" t="inlineStr">
        <is>
          <t>CDU</t>
        </is>
      </c>
      <c r="D224" s="41" t="n">
        <v>46486</v>
      </c>
      <c r="E224" s="41" t="n">
        <v>46530</v>
      </c>
      <c r="F224" s="42">
        <f>$E224-$D224</f>
        <v/>
      </c>
      <c r="G224" s="28" t="inlineStr">
        <is>
          <t>Planned</t>
        </is>
      </c>
      <c r="H224" s="28">
        <f>IF(AND($D224&lt;=TODAY(),$E224&gt;=TODAY()),"LIVE","")</f>
        <v/>
      </c>
      <c r="I224" s="43" t="n">
        <v>20</v>
      </c>
      <c r="J224" s="44" t="n">
        <v>1</v>
      </c>
      <c r="K224" s="28" t="inlineStr">
        <is>
          <t>Confirmed</t>
        </is>
      </c>
      <c r="L224" s="28" t="inlineStr">
        <is>
          <t>Mechanical</t>
        </is>
      </c>
      <c r="M224" s="28" t="inlineStr">
        <is>
          <t>Billings Refinery (Phillips 66)</t>
        </is>
      </c>
    </row>
    <row r="225">
      <c r="A225" s="40" t="inlineStr">
        <is>
          <t>PHILLIPS_BILLINGS</t>
        </is>
      </c>
      <c r="B225" s="28" t="n">
        <v>4</v>
      </c>
      <c r="C225" s="28" t="inlineStr">
        <is>
          <t>NHT</t>
        </is>
      </c>
      <c r="D225" s="41" t="n">
        <v>46486</v>
      </c>
      <c r="E225" s="41" t="n">
        <v>46530</v>
      </c>
      <c r="F225" s="42">
        <f>$E225-$D225</f>
        <v/>
      </c>
      <c r="G225" s="28" t="inlineStr">
        <is>
          <t>Planned</t>
        </is>
      </c>
      <c r="H225" s="28">
        <f>IF(AND($D225&lt;=TODAY(),$E225&gt;=TODAY()),"LIVE","")</f>
        <v/>
      </c>
      <c r="I225" s="43" t="n">
        <v>15</v>
      </c>
      <c r="J225" s="44" t="n">
        <v>1</v>
      </c>
      <c r="K225" s="28" t="inlineStr">
        <is>
          <t>Confirmed</t>
        </is>
      </c>
      <c r="L225" s="28" t="inlineStr">
        <is>
          <t>Mechanical</t>
        </is>
      </c>
      <c r="M225" s="28" t="inlineStr">
        <is>
          <t>Billings Refinery (Phillips 66)</t>
        </is>
      </c>
    </row>
    <row r="226">
      <c r="A226" s="40" t="inlineStr">
        <is>
          <t>PHILLIPS_BILLINGS</t>
        </is>
      </c>
      <c r="B226" s="28" t="n">
        <v>4</v>
      </c>
      <c r="C226" s="28" t="inlineStr">
        <is>
          <t>FCC</t>
        </is>
      </c>
      <c r="D226" s="41" t="n">
        <v>46486</v>
      </c>
      <c r="E226" s="41" t="n">
        <v>46530</v>
      </c>
      <c r="F226" s="42">
        <f>$E226-$D226</f>
        <v/>
      </c>
      <c r="G226" s="28" t="inlineStr">
        <is>
          <t>Planned</t>
        </is>
      </c>
      <c r="H226" s="28">
        <f>IF(AND($D226&lt;=TODAY(),$E226&gt;=TODAY()),"LIVE","")</f>
        <v/>
      </c>
      <c r="I226" s="43" t="n">
        <v>20</v>
      </c>
      <c r="J226" s="44" t="n">
        <v>1</v>
      </c>
      <c r="K226" s="28" t="inlineStr">
        <is>
          <t>Confirmed</t>
        </is>
      </c>
      <c r="L226" s="28" t="inlineStr">
        <is>
          <t>Mechanical</t>
        </is>
      </c>
      <c r="M226" s="28" t="inlineStr">
        <is>
          <t>Billings Refinery (Phillips 66)</t>
        </is>
      </c>
    </row>
    <row r="227">
      <c r="A227" s="40" t="inlineStr">
        <is>
          <t>PHILLIPS_BILLINGS</t>
        </is>
      </c>
      <c r="B227" s="28" t="n">
        <v>4</v>
      </c>
      <c r="C227" s="28" t="inlineStr">
        <is>
          <t>ISOM</t>
        </is>
      </c>
      <c r="D227" s="41" t="n">
        <v>46486</v>
      </c>
      <c r="E227" s="41" t="n">
        <v>46530</v>
      </c>
      <c r="F227" s="42">
        <f>$E227-$D227</f>
        <v/>
      </c>
      <c r="G227" s="28" t="inlineStr">
        <is>
          <t>Planned</t>
        </is>
      </c>
      <c r="H227" s="28">
        <f>IF(AND($D227&lt;=TODAY(),$E227&gt;=TODAY()),"LIVE","")</f>
        <v/>
      </c>
      <c r="I227" s="43" t="n">
        <v>3.8</v>
      </c>
      <c r="J227" s="44" t="n">
        <v>1</v>
      </c>
      <c r="K227" s="28" t="inlineStr">
        <is>
          <t>Confirmed</t>
        </is>
      </c>
      <c r="L227" s="28" t="inlineStr">
        <is>
          <t>Mechanical</t>
        </is>
      </c>
      <c r="M227" s="28" t="inlineStr">
        <is>
          <t>Billings Refinery (Phillips 66)</t>
        </is>
      </c>
    </row>
    <row r="228">
      <c r="A228" s="40" t="inlineStr">
        <is>
          <t>PHILLIPS_BILLINGS</t>
        </is>
      </c>
      <c r="B228" s="28" t="n">
        <v>4</v>
      </c>
      <c r="C228" s="28" t="inlineStr">
        <is>
          <t>VDU</t>
        </is>
      </c>
      <c r="D228" s="41" t="n">
        <v>46486</v>
      </c>
      <c r="E228" s="41" t="n">
        <v>46530</v>
      </c>
      <c r="F228" s="42">
        <f>$E228-$D228</f>
        <v/>
      </c>
      <c r="G228" s="28" t="inlineStr">
        <is>
          <t>Planned</t>
        </is>
      </c>
      <c r="H228" s="28">
        <f>IF(AND($D228&lt;=TODAY(),$E228&gt;=TODAY()),"LIVE","")</f>
        <v/>
      </c>
      <c r="I228" s="43" t="n">
        <v>35</v>
      </c>
      <c r="J228" s="44" t="n">
        <v>1</v>
      </c>
      <c r="K228" s="28" t="inlineStr">
        <is>
          <t>Confirmed</t>
        </is>
      </c>
      <c r="L228" s="28" t="inlineStr">
        <is>
          <t>Mechanical</t>
        </is>
      </c>
      <c r="M228" s="28" t="inlineStr">
        <is>
          <t>Billings Refinery (Phillips 66)</t>
        </is>
      </c>
    </row>
    <row r="229">
      <c r="A229" s="40" t="inlineStr">
        <is>
          <t>PHILLIPS_BILLINGS</t>
        </is>
      </c>
      <c r="B229" s="28" t="n">
        <v>4</v>
      </c>
      <c r="C229" s="28" t="inlineStr">
        <is>
          <t>ALKY</t>
        </is>
      </c>
      <c r="D229" s="41" t="n">
        <v>46486</v>
      </c>
      <c r="E229" s="41" t="n">
        <v>46530</v>
      </c>
      <c r="F229" s="42">
        <f>$E229-$D229</f>
        <v/>
      </c>
      <c r="G229" s="28" t="inlineStr">
        <is>
          <t>Planned</t>
        </is>
      </c>
      <c r="H229" s="28">
        <f>IF(AND($D229&lt;=TODAY(),$E229&gt;=TODAY()),"LIVE","")</f>
        <v/>
      </c>
      <c r="I229" s="43" t="n">
        <v>6.5</v>
      </c>
      <c r="J229" s="44" t="n">
        <v>1</v>
      </c>
      <c r="K229" s="28" t="inlineStr">
        <is>
          <t>Confirmed</t>
        </is>
      </c>
      <c r="L229" s="28" t="inlineStr">
        <is>
          <t>Mechanical</t>
        </is>
      </c>
      <c r="M229" s="28" t="inlineStr">
        <is>
          <t>Billings Refinery (Phillips 66)</t>
        </is>
      </c>
    </row>
    <row r="230">
      <c r="A230" s="40" t="inlineStr">
        <is>
          <t>PHILLIPS_BILLINGS</t>
        </is>
      </c>
      <c r="B230" s="28" t="n">
        <v>4</v>
      </c>
      <c r="C230" s="28" t="inlineStr">
        <is>
          <t>REF</t>
        </is>
      </c>
      <c r="D230" s="41" t="n">
        <v>46486</v>
      </c>
      <c r="E230" s="41" t="n">
        <v>46530</v>
      </c>
      <c r="F230" s="42">
        <f>$E230-$D230</f>
        <v/>
      </c>
      <c r="G230" s="28" t="inlineStr">
        <is>
          <t>Planned</t>
        </is>
      </c>
      <c r="H230" s="28">
        <f>IF(AND($D230&lt;=TODAY(),$E230&gt;=TODAY()),"LIVE","")</f>
        <v/>
      </c>
      <c r="I230" s="43" t="n">
        <v>12.2</v>
      </c>
      <c r="J230" s="44" t="n">
        <v>1</v>
      </c>
      <c r="K230" s="28" t="inlineStr">
        <is>
          <t>Confirmed</t>
        </is>
      </c>
      <c r="L230" s="28" t="inlineStr">
        <is>
          <t>Mechanical</t>
        </is>
      </c>
      <c r="M230" s="28" t="inlineStr">
        <is>
          <t>Billings Refinery (Phillips 66)</t>
        </is>
      </c>
    </row>
    <row r="231">
      <c r="A231" s="40" t="inlineStr">
        <is>
          <t>PHILLIPS_BILLINGS</t>
        </is>
      </c>
      <c r="B231" s="28" t="n">
        <v>4</v>
      </c>
      <c r="C231" s="28" t="inlineStr">
        <is>
          <t>COKER</t>
        </is>
      </c>
      <c r="D231" s="41" t="n">
        <v>46486</v>
      </c>
      <c r="E231" s="41" t="n">
        <v>46530</v>
      </c>
      <c r="F231" s="42">
        <f>$E231-$D231</f>
        <v/>
      </c>
      <c r="G231" s="28" t="inlineStr">
        <is>
          <t>Planned</t>
        </is>
      </c>
      <c r="H231" s="28">
        <f>IF(AND($D231&lt;=TODAY(),$E231&gt;=TODAY()),"LIVE","")</f>
        <v/>
      </c>
      <c r="I231" s="43" t="n">
        <v>16</v>
      </c>
      <c r="J231" s="44" t="n">
        <v>1</v>
      </c>
      <c r="K231" s="28" t="inlineStr">
        <is>
          <t>Confirmed</t>
        </is>
      </c>
      <c r="L231" s="28" t="inlineStr">
        <is>
          <t>Mechanical</t>
        </is>
      </c>
      <c r="M231" s="28" t="inlineStr">
        <is>
          <t>Billings Refinery (Phillips 66)</t>
        </is>
      </c>
    </row>
    <row r="232">
      <c r="A232" s="40" t="inlineStr">
        <is>
          <t>SUNCOR_DENVER</t>
        </is>
      </c>
      <c r="B232" s="28" t="n">
        <v>4</v>
      </c>
      <c r="C232" s="28" t="inlineStr">
        <is>
          <t>CDU</t>
        </is>
      </c>
      <c r="D232" s="41" t="n">
        <v>46489</v>
      </c>
      <c r="E232" s="41" t="n">
        <v>46533</v>
      </c>
      <c r="F232" s="42">
        <f>$E232-$D232</f>
        <v/>
      </c>
      <c r="G232" s="28" t="inlineStr">
        <is>
          <t>Planned</t>
        </is>
      </c>
      <c r="H232" s="28">
        <f>IF(AND($D232&lt;=TODAY(),$E232&gt;=TODAY()),"LIVE","")</f>
        <v/>
      </c>
      <c r="I232" s="43" t="n">
        <v>28</v>
      </c>
      <c r="J232" s="44" t="n">
        <v>1</v>
      </c>
      <c r="K232" s="28" t="inlineStr">
        <is>
          <t>Confirmed</t>
        </is>
      </c>
      <c r="L232" s="28" t="inlineStr">
        <is>
          <t>Mechanical</t>
        </is>
      </c>
      <c r="M232" s="28" t="inlineStr">
        <is>
          <t>Denver Refinery - Plant 2 (East)</t>
        </is>
      </c>
    </row>
    <row r="233">
      <c r="A233" s="40" t="inlineStr">
        <is>
          <t>SUNCOR_DENVER</t>
        </is>
      </c>
      <c r="B233" s="28" t="n">
        <v>4</v>
      </c>
      <c r="C233" s="28" t="inlineStr">
        <is>
          <t>VDU</t>
        </is>
      </c>
      <c r="D233" s="41" t="n">
        <v>46489</v>
      </c>
      <c r="E233" s="41" t="n">
        <v>46533</v>
      </c>
      <c r="F233" s="42">
        <f>$E233-$D233</f>
        <v/>
      </c>
      <c r="G233" s="28" t="inlineStr">
        <is>
          <t>Planned</t>
        </is>
      </c>
      <c r="H233" s="28">
        <f>IF(AND($D233&lt;=TODAY(),$E233&gt;=TODAY()),"LIVE","")</f>
        <v/>
      </c>
      <c r="I233" s="43" t="n">
        <v>20</v>
      </c>
      <c r="J233" s="44" t="n">
        <v>1</v>
      </c>
      <c r="K233" s="28" t="inlineStr">
        <is>
          <t>Confirmed</t>
        </is>
      </c>
      <c r="L233" s="28" t="inlineStr">
        <is>
          <t>Mechanical</t>
        </is>
      </c>
      <c r="M233" s="28" t="inlineStr">
        <is>
          <t>Denver Refinery - Plant 2 (East)</t>
        </is>
      </c>
    </row>
    <row r="234">
      <c r="A234" s="40" t="inlineStr">
        <is>
          <t>SUNCOR_DENVER</t>
        </is>
      </c>
      <c r="B234" s="28" t="n">
        <v>4</v>
      </c>
      <c r="C234" s="28" t="inlineStr">
        <is>
          <t>FCC</t>
        </is>
      </c>
      <c r="D234" s="41" t="n">
        <v>46489</v>
      </c>
      <c r="E234" s="41" t="n">
        <v>46539</v>
      </c>
      <c r="F234" s="42">
        <f>$E234-$D234</f>
        <v/>
      </c>
      <c r="G234" s="28" t="inlineStr">
        <is>
          <t>Planned</t>
        </is>
      </c>
      <c r="H234" s="28">
        <f>IF(AND($D234&lt;=TODAY(),$E234&gt;=TODAY()),"LIVE","")</f>
        <v/>
      </c>
      <c r="I234" s="43" t="n">
        <v>8.5</v>
      </c>
      <c r="J234" s="44" t="n">
        <v>1</v>
      </c>
      <c r="K234" s="28" t="inlineStr">
        <is>
          <t>Confirmed</t>
        </is>
      </c>
      <c r="L234" s="28" t="inlineStr">
        <is>
          <t>Mechanical</t>
        </is>
      </c>
      <c r="M234" s="28" t="inlineStr">
        <is>
          <t>Denver Refinery - Plant 2 (East)</t>
        </is>
      </c>
    </row>
    <row r="235">
      <c r="A235" s="40" t="inlineStr">
        <is>
          <t>SUNCOR_DENVER</t>
        </is>
      </c>
      <c r="B235" s="28" t="n">
        <v>4</v>
      </c>
      <c r="C235" s="28" t="inlineStr">
        <is>
          <t>NHT</t>
        </is>
      </c>
      <c r="D235" s="41" t="n">
        <v>46489</v>
      </c>
      <c r="E235" s="41" t="n">
        <v>46539</v>
      </c>
      <c r="F235" s="42">
        <f>$E235-$D235</f>
        <v/>
      </c>
      <c r="G235" s="28" t="inlineStr">
        <is>
          <t>Planned</t>
        </is>
      </c>
      <c r="H235" s="28">
        <f>IF(AND($D235&lt;=TODAY(),$E235&gt;=TODAY()),"LIVE","")</f>
        <v/>
      </c>
      <c r="I235" s="43" t="n">
        <v>10</v>
      </c>
      <c r="J235" s="44" t="n">
        <v>1</v>
      </c>
      <c r="K235" s="28" t="inlineStr">
        <is>
          <t>Confirmed</t>
        </is>
      </c>
      <c r="L235" s="28" t="inlineStr">
        <is>
          <t>Mechanical</t>
        </is>
      </c>
      <c r="M235" s="28" t="inlineStr">
        <is>
          <t>Denver Refinery - Plant 2 (East)</t>
        </is>
      </c>
    </row>
    <row r="236">
      <c r="A236" s="40" t="inlineStr">
        <is>
          <t>SUNCOR_DENVER</t>
        </is>
      </c>
      <c r="B236" s="28" t="n">
        <v>4</v>
      </c>
      <c r="C236" s="28" t="inlineStr">
        <is>
          <t>REF</t>
        </is>
      </c>
      <c r="D236" s="41" t="n">
        <v>46489</v>
      </c>
      <c r="E236" s="41" t="n">
        <v>46539</v>
      </c>
      <c r="F236" s="42">
        <f>$E236-$D236</f>
        <v/>
      </c>
      <c r="G236" s="28" t="inlineStr">
        <is>
          <t>Planned</t>
        </is>
      </c>
      <c r="H236" s="28">
        <f>IF(AND($D236&lt;=TODAY(),$E236&gt;=TODAY()),"LIVE","")</f>
        <v/>
      </c>
      <c r="I236" s="43" t="n">
        <v>10</v>
      </c>
      <c r="J236" s="44" t="n">
        <v>1</v>
      </c>
      <c r="K236" s="28" t="inlineStr">
        <is>
          <t>Confirmed</t>
        </is>
      </c>
      <c r="L236" s="28" t="inlineStr">
        <is>
          <t>Mechanical</t>
        </is>
      </c>
      <c r="M236" s="28" t="inlineStr">
        <is>
          <t>Denver Refinery - Plant 2 (East)</t>
        </is>
      </c>
    </row>
    <row r="237">
      <c r="A237" s="40" t="inlineStr">
        <is>
          <t>PETRO_VALDEZ</t>
        </is>
      </c>
      <c r="B237" s="28" t="n">
        <v>5</v>
      </c>
      <c r="C237" s="28" t="inlineStr">
        <is>
          <t>CDU</t>
        </is>
      </c>
      <c r="D237" s="41" t="n">
        <v>46507</v>
      </c>
      <c r="E237" s="41" t="n">
        <v>46528</v>
      </c>
      <c r="F237" s="42">
        <f>$E237-$D237</f>
        <v/>
      </c>
      <c r="G237" s="28" t="inlineStr">
        <is>
          <t>Planned</t>
        </is>
      </c>
      <c r="H237" s="28">
        <f>IF(AND($D237&lt;=TODAY(),$E237&gt;=TODAY()),"LIVE","")</f>
        <v/>
      </c>
      <c r="I237" s="43" t="n">
        <v>60</v>
      </c>
      <c r="J237" s="44" t="n">
        <v>1</v>
      </c>
      <c r="K237" s="28" t="inlineStr">
        <is>
          <t>Confirmed</t>
        </is>
      </c>
      <c r="L237" s="28" t="inlineStr">
        <is>
          <t>Mechanical</t>
        </is>
      </c>
      <c r="M237" s="28" t="inlineStr">
        <is>
          <t>Valdez Refinery</t>
        </is>
      </c>
    </row>
    <row r="238">
      <c r="A238" s="40" t="inlineStr">
        <is>
          <t>WYOMING_EVANSTON</t>
        </is>
      </c>
      <c r="B238" s="28" t="n">
        <v>4</v>
      </c>
      <c r="C238" s="28" t="inlineStr">
        <is>
          <t>REF</t>
        </is>
      </c>
      <c r="D238" s="41" t="n">
        <v>46514</v>
      </c>
      <c r="E238" s="41" t="n">
        <v>46528</v>
      </c>
      <c r="F238" s="42">
        <f>$E238-$D238</f>
        <v/>
      </c>
      <c r="G238" s="28" t="inlineStr">
        <is>
          <t>Planned</t>
        </is>
      </c>
      <c r="H238" s="28">
        <f>IF(AND($D238&lt;=TODAY(),$E238&gt;=TODAY()),"LIVE","")</f>
        <v/>
      </c>
      <c r="I238" s="43" t="n">
        <v>3</v>
      </c>
      <c r="J238" s="44" t="n">
        <v>1</v>
      </c>
      <c r="K238" s="28" t="inlineStr">
        <is>
          <t>Confirmed</t>
        </is>
      </c>
      <c r="L238" s="28" t="inlineStr">
        <is>
          <t>Mechanical</t>
        </is>
      </c>
      <c r="M238" s="28" t="inlineStr">
        <is>
          <t>Evanston Refinery (Silver Eagle)</t>
        </is>
      </c>
    </row>
    <row r="239">
      <c r="A239" s="40" t="inlineStr">
        <is>
          <t>WYOMING_EVANSTON</t>
        </is>
      </c>
      <c r="B239" s="28" t="n">
        <v>4</v>
      </c>
      <c r="C239" s="28" t="inlineStr">
        <is>
          <t>ISOM</t>
        </is>
      </c>
      <c r="D239" s="41" t="n">
        <v>46514</v>
      </c>
      <c r="E239" s="41" t="n">
        <v>46528</v>
      </c>
      <c r="F239" s="42">
        <f>$E239-$D239</f>
        <v/>
      </c>
      <c r="G239" s="28" t="inlineStr">
        <is>
          <t>Planned</t>
        </is>
      </c>
      <c r="H239" s="28">
        <f>IF(AND($D239&lt;=TODAY(),$E239&gt;=TODAY()),"LIVE","")</f>
        <v/>
      </c>
      <c r="I239" s="43" t="n">
        <v>1</v>
      </c>
      <c r="J239" s="44" t="n">
        <v>1</v>
      </c>
      <c r="K239" s="28" t="inlineStr">
        <is>
          <t>Confirmed</t>
        </is>
      </c>
      <c r="L239" s="28" t="inlineStr">
        <is>
          <t>Mechanical</t>
        </is>
      </c>
      <c r="M239" s="28" t="inlineStr">
        <is>
          <t>Evanston Refinery (Silver Eagle)</t>
        </is>
      </c>
    </row>
    <row r="240">
      <c r="A240" s="40" t="inlineStr">
        <is>
          <t>WYOMING_EVANSTON</t>
        </is>
      </c>
      <c r="B240" s="28" t="n">
        <v>4</v>
      </c>
      <c r="C240" s="28" t="inlineStr">
        <is>
          <t>CDU</t>
        </is>
      </c>
      <c r="D240" s="41" t="n">
        <v>46514</v>
      </c>
      <c r="E240" s="41" t="n">
        <v>46528</v>
      </c>
      <c r="F240" s="42">
        <f>$E240-$D240</f>
        <v/>
      </c>
      <c r="G240" s="28" t="inlineStr">
        <is>
          <t>Planned</t>
        </is>
      </c>
      <c r="H240" s="28">
        <f>IF(AND($D240&lt;=TODAY(),$E240&gt;=TODAY()),"LIVE","")</f>
        <v/>
      </c>
      <c r="I240" s="43" t="n">
        <v>3.4</v>
      </c>
      <c r="J240" s="44" t="n">
        <v>1</v>
      </c>
      <c r="K240" s="28" t="inlineStr">
        <is>
          <t>Confirmed</t>
        </is>
      </c>
      <c r="L240" s="28" t="inlineStr">
        <is>
          <t>Mechanical</t>
        </is>
      </c>
      <c r="M240" s="28" t="inlineStr">
        <is>
          <t>Evanston Refinery (Silver Eagle)</t>
        </is>
      </c>
    </row>
    <row r="241">
      <c r="A241" s="40" t="inlineStr">
        <is>
          <t>WYOMING_EVANSTON</t>
        </is>
      </c>
      <c r="B241" s="28" t="n">
        <v>4</v>
      </c>
      <c r="C241" s="28" t="inlineStr">
        <is>
          <t>NHT</t>
        </is>
      </c>
      <c r="D241" s="41" t="n">
        <v>46514</v>
      </c>
      <c r="E241" s="41" t="n">
        <v>46528</v>
      </c>
      <c r="F241" s="42">
        <f>$E241-$D241</f>
        <v/>
      </c>
      <c r="G241" s="28" t="inlineStr">
        <is>
          <t>Planned</t>
        </is>
      </c>
      <c r="H241" s="28">
        <f>IF(AND($D241&lt;=TODAY(),$E241&gt;=TODAY()),"LIVE","")</f>
        <v/>
      </c>
      <c r="I241" s="43" t="n">
        <v>3</v>
      </c>
      <c r="J241" s="44" t="n">
        <v>1</v>
      </c>
      <c r="K241" s="28" t="inlineStr">
        <is>
          <t>Confirmed</t>
        </is>
      </c>
      <c r="L241" s="28" t="inlineStr">
        <is>
          <t>Mechanical</t>
        </is>
      </c>
      <c r="M241" s="28" t="inlineStr">
        <is>
          <t>Evanston Refinery (Silver Eagle)</t>
        </is>
      </c>
    </row>
    <row r="242">
      <c r="A242" s="40" t="inlineStr">
        <is>
          <t>PETRO_NORTH_POLE</t>
        </is>
      </c>
      <c r="B242" s="28" t="n">
        <v>5</v>
      </c>
      <c r="C242" s="28" t="inlineStr">
        <is>
          <t>CDU</t>
        </is>
      </c>
      <c r="D242" s="41" t="n">
        <v>46521</v>
      </c>
      <c r="E242" s="41" t="n">
        <v>46530</v>
      </c>
      <c r="F242" s="42">
        <f>$E242-$D242</f>
        <v/>
      </c>
      <c r="G242" s="28" t="inlineStr">
        <is>
          <t>Planned</t>
        </is>
      </c>
      <c r="H242" s="28">
        <f>IF(AND($D242&lt;=TODAY(),$E242&gt;=TODAY()),"LIVE","")</f>
        <v/>
      </c>
      <c r="I242" s="43" t="n">
        <v>22</v>
      </c>
      <c r="J242" s="44" t="n">
        <v>1</v>
      </c>
      <c r="K242" s="28" t="inlineStr">
        <is>
          <t>Confirmed</t>
        </is>
      </c>
      <c r="L242" s="28" t="inlineStr">
        <is>
          <t>Mechanical</t>
        </is>
      </c>
      <c r="M242" s="28" t="inlineStr">
        <is>
          <t>North Pole Refinery (Petro Star)</t>
        </is>
      </c>
    </row>
    <row r="243">
      <c r="A243" s="40" t="inlineStr">
        <is>
          <t>PBF_CHALMETTE</t>
        </is>
      </c>
      <c r="B243" s="28" t="n">
        <v>3</v>
      </c>
      <c r="C243" s="28" t="inlineStr">
        <is>
          <t>CDU</t>
        </is>
      </c>
      <c r="D243" s="41" t="n">
        <v>46539</v>
      </c>
      <c r="E243" s="41" t="n">
        <v>46608</v>
      </c>
      <c r="F243" s="42">
        <f>$E243-$D243</f>
        <v/>
      </c>
      <c r="G243" s="28" t="inlineStr">
        <is>
          <t>Planned</t>
        </is>
      </c>
      <c r="H243" s="28">
        <f>IF(AND($D243&lt;=TODAY(),$E243&gt;=TODAY()),"LIVE","")</f>
        <v/>
      </c>
      <c r="I243" s="43" t="n">
        <v>96</v>
      </c>
      <c r="J243" s="44" t="n">
        <v>1</v>
      </c>
      <c r="K243" s="28" t="inlineStr">
        <is>
          <t>Confirmed</t>
        </is>
      </c>
      <c r="L243" s="28" t="inlineStr"/>
      <c r="M243" s="28" t="inlineStr">
        <is>
          <t>Chalmette Refinery</t>
        </is>
      </c>
    </row>
    <row r="244">
      <c r="A244" s="40" t="inlineStr">
        <is>
          <t>PBF_CHALMETTE</t>
        </is>
      </c>
      <c r="B244" s="28" t="n">
        <v>3</v>
      </c>
      <c r="C244" s="28" t="inlineStr">
        <is>
          <t>FCC</t>
        </is>
      </c>
      <c r="D244" s="41" t="n">
        <v>46539</v>
      </c>
      <c r="E244" s="41" t="n">
        <v>46608</v>
      </c>
      <c r="F244" s="42">
        <f>$E244-$D244</f>
        <v/>
      </c>
      <c r="G244" s="28" t="inlineStr">
        <is>
          <t>Planned</t>
        </is>
      </c>
      <c r="H244" s="28">
        <f>IF(AND($D244&lt;=TODAY(),$E244&gt;=TODAY()),"LIVE","")</f>
        <v/>
      </c>
      <c r="I244" s="43" t="n">
        <v>68</v>
      </c>
      <c r="J244" s="44" t="n">
        <v>1</v>
      </c>
      <c r="K244" s="28" t="inlineStr">
        <is>
          <t>Confirmed</t>
        </is>
      </c>
      <c r="L244" s="28" t="inlineStr"/>
      <c r="M244" s="28" t="inlineStr">
        <is>
          <t>Chalmette Refinery</t>
        </is>
      </c>
    </row>
  </sheetData>
  <autoFilter ref="A12:M244"/>
  <mergeCells count="3">
    <mergeCell ref="A11:M11"/>
    <mergeCell ref="A3:O3"/>
    <mergeCell ref="A1:M1"/>
  </mergeCells>
  <conditionalFormatting sqref="H13:H244">
    <cfRule type="cellIs" priority="1" operator="equal" dxfId="0">
      <formula>"LIVE"</formula>
    </cfRule>
  </conditionalFormatting>
  <hyperlinks>
    <hyperlink xmlns:r="http://schemas.openxmlformats.org/officeDocument/2006/relationships" ref="A13" r:id="rId1"/>
    <hyperlink xmlns:r="http://schemas.openxmlformats.org/officeDocument/2006/relationships" ref="A14" r:id="rId2"/>
    <hyperlink xmlns:r="http://schemas.openxmlformats.org/officeDocument/2006/relationships" ref="A15" r:id="rId3"/>
    <hyperlink xmlns:r="http://schemas.openxmlformats.org/officeDocument/2006/relationships" ref="A16" r:id="rId4"/>
    <hyperlink xmlns:r="http://schemas.openxmlformats.org/officeDocument/2006/relationships" ref="A17" r:id="rId5"/>
    <hyperlink xmlns:r="http://schemas.openxmlformats.org/officeDocument/2006/relationships" ref="A18" r:id="rId6"/>
    <hyperlink xmlns:r="http://schemas.openxmlformats.org/officeDocument/2006/relationships" ref="A19" r:id="rId7"/>
    <hyperlink xmlns:r="http://schemas.openxmlformats.org/officeDocument/2006/relationships" ref="A20" r:id="rId8"/>
    <hyperlink xmlns:r="http://schemas.openxmlformats.org/officeDocument/2006/relationships" ref="A21" r:id="rId9"/>
    <hyperlink xmlns:r="http://schemas.openxmlformats.org/officeDocument/2006/relationships" ref="A22" r:id="rId10"/>
    <hyperlink xmlns:r="http://schemas.openxmlformats.org/officeDocument/2006/relationships" ref="A23" r:id="rId11"/>
    <hyperlink xmlns:r="http://schemas.openxmlformats.org/officeDocument/2006/relationships" ref="A24" r:id="rId12"/>
    <hyperlink xmlns:r="http://schemas.openxmlformats.org/officeDocument/2006/relationships" ref="A25" r:id="rId13"/>
    <hyperlink xmlns:r="http://schemas.openxmlformats.org/officeDocument/2006/relationships" ref="A26" r:id="rId14"/>
    <hyperlink xmlns:r="http://schemas.openxmlformats.org/officeDocument/2006/relationships" ref="A27" r:id="rId15"/>
    <hyperlink xmlns:r="http://schemas.openxmlformats.org/officeDocument/2006/relationships" ref="A28" r:id="rId16"/>
    <hyperlink xmlns:r="http://schemas.openxmlformats.org/officeDocument/2006/relationships" ref="A29" r:id="rId17"/>
    <hyperlink xmlns:r="http://schemas.openxmlformats.org/officeDocument/2006/relationships" ref="A30" r:id="rId18"/>
    <hyperlink xmlns:r="http://schemas.openxmlformats.org/officeDocument/2006/relationships" ref="A31" r:id="rId19"/>
    <hyperlink xmlns:r="http://schemas.openxmlformats.org/officeDocument/2006/relationships" ref="A32" r:id="rId20"/>
    <hyperlink xmlns:r="http://schemas.openxmlformats.org/officeDocument/2006/relationships" ref="A33" r:id="rId21"/>
    <hyperlink xmlns:r="http://schemas.openxmlformats.org/officeDocument/2006/relationships" ref="A34" r:id="rId22"/>
    <hyperlink xmlns:r="http://schemas.openxmlformats.org/officeDocument/2006/relationships" ref="A35" r:id="rId23"/>
    <hyperlink xmlns:r="http://schemas.openxmlformats.org/officeDocument/2006/relationships" ref="A36" r:id="rId24"/>
    <hyperlink xmlns:r="http://schemas.openxmlformats.org/officeDocument/2006/relationships" ref="A37" r:id="rId25"/>
    <hyperlink xmlns:r="http://schemas.openxmlformats.org/officeDocument/2006/relationships" ref="A38" r:id="rId26"/>
    <hyperlink xmlns:r="http://schemas.openxmlformats.org/officeDocument/2006/relationships" ref="A39" r:id="rId27"/>
    <hyperlink xmlns:r="http://schemas.openxmlformats.org/officeDocument/2006/relationships" ref="A40" r:id="rId28"/>
    <hyperlink xmlns:r="http://schemas.openxmlformats.org/officeDocument/2006/relationships" ref="A41" r:id="rId29"/>
    <hyperlink xmlns:r="http://schemas.openxmlformats.org/officeDocument/2006/relationships" ref="A42" r:id="rId30"/>
    <hyperlink xmlns:r="http://schemas.openxmlformats.org/officeDocument/2006/relationships" ref="A43" r:id="rId31"/>
    <hyperlink xmlns:r="http://schemas.openxmlformats.org/officeDocument/2006/relationships" ref="A44" r:id="rId32"/>
    <hyperlink xmlns:r="http://schemas.openxmlformats.org/officeDocument/2006/relationships" ref="A45" r:id="rId33"/>
    <hyperlink xmlns:r="http://schemas.openxmlformats.org/officeDocument/2006/relationships" ref="A46" r:id="rId34"/>
    <hyperlink xmlns:r="http://schemas.openxmlformats.org/officeDocument/2006/relationships" ref="A47" r:id="rId35"/>
    <hyperlink xmlns:r="http://schemas.openxmlformats.org/officeDocument/2006/relationships" ref="A48" r:id="rId36"/>
    <hyperlink xmlns:r="http://schemas.openxmlformats.org/officeDocument/2006/relationships" ref="A49" r:id="rId37"/>
    <hyperlink xmlns:r="http://schemas.openxmlformats.org/officeDocument/2006/relationships" ref="A50" r:id="rId38"/>
    <hyperlink xmlns:r="http://schemas.openxmlformats.org/officeDocument/2006/relationships" ref="A51" r:id="rId39"/>
    <hyperlink xmlns:r="http://schemas.openxmlformats.org/officeDocument/2006/relationships" ref="A52" r:id="rId40"/>
    <hyperlink xmlns:r="http://schemas.openxmlformats.org/officeDocument/2006/relationships" ref="A53" r:id="rId41"/>
    <hyperlink xmlns:r="http://schemas.openxmlformats.org/officeDocument/2006/relationships" ref="A54" r:id="rId42"/>
    <hyperlink xmlns:r="http://schemas.openxmlformats.org/officeDocument/2006/relationships" ref="A55" r:id="rId43"/>
    <hyperlink xmlns:r="http://schemas.openxmlformats.org/officeDocument/2006/relationships" ref="A56" r:id="rId44"/>
    <hyperlink xmlns:r="http://schemas.openxmlformats.org/officeDocument/2006/relationships" ref="A57" r:id="rId45"/>
    <hyperlink xmlns:r="http://schemas.openxmlformats.org/officeDocument/2006/relationships" ref="A58" r:id="rId46"/>
    <hyperlink xmlns:r="http://schemas.openxmlformats.org/officeDocument/2006/relationships" ref="A59" r:id="rId47"/>
    <hyperlink xmlns:r="http://schemas.openxmlformats.org/officeDocument/2006/relationships" ref="A60" r:id="rId48"/>
    <hyperlink xmlns:r="http://schemas.openxmlformats.org/officeDocument/2006/relationships" ref="A61" r:id="rId49"/>
    <hyperlink xmlns:r="http://schemas.openxmlformats.org/officeDocument/2006/relationships" ref="A62" r:id="rId50"/>
    <hyperlink xmlns:r="http://schemas.openxmlformats.org/officeDocument/2006/relationships" ref="A63" r:id="rId51"/>
    <hyperlink xmlns:r="http://schemas.openxmlformats.org/officeDocument/2006/relationships" ref="A64" r:id="rId52"/>
    <hyperlink xmlns:r="http://schemas.openxmlformats.org/officeDocument/2006/relationships" ref="A65" r:id="rId53"/>
    <hyperlink xmlns:r="http://schemas.openxmlformats.org/officeDocument/2006/relationships" ref="A66" r:id="rId54"/>
    <hyperlink xmlns:r="http://schemas.openxmlformats.org/officeDocument/2006/relationships" ref="A67" r:id="rId55"/>
    <hyperlink xmlns:r="http://schemas.openxmlformats.org/officeDocument/2006/relationships" ref="A68" r:id="rId56"/>
    <hyperlink xmlns:r="http://schemas.openxmlformats.org/officeDocument/2006/relationships" ref="A69" r:id="rId57"/>
    <hyperlink xmlns:r="http://schemas.openxmlformats.org/officeDocument/2006/relationships" ref="A70" r:id="rId58"/>
    <hyperlink xmlns:r="http://schemas.openxmlformats.org/officeDocument/2006/relationships" ref="A71" r:id="rId59"/>
    <hyperlink xmlns:r="http://schemas.openxmlformats.org/officeDocument/2006/relationships" ref="A72" r:id="rId60"/>
    <hyperlink xmlns:r="http://schemas.openxmlformats.org/officeDocument/2006/relationships" ref="A73" r:id="rId61"/>
    <hyperlink xmlns:r="http://schemas.openxmlformats.org/officeDocument/2006/relationships" ref="A74" r:id="rId62"/>
    <hyperlink xmlns:r="http://schemas.openxmlformats.org/officeDocument/2006/relationships" ref="A75" r:id="rId63"/>
    <hyperlink xmlns:r="http://schemas.openxmlformats.org/officeDocument/2006/relationships" ref="A76" r:id="rId64"/>
    <hyperlink xmlns:r="http://schemas.openxmlformats.org/officeDocument/2006/relationships" ref="A77" r:id="rId65"/>
    <hyperlink xmlns:r="http://schemas.openxmlformats.org/officeDocument/2006/relationships" ref="A78" r:id="rId66"/>
    <hyperlink xmlns:r="http://schemas.openxmlformats.org/officeDocument/2006/relationships" ref="A79" r:id="rId67"/>
    <hyperlink xmlns:r="http://schemas.openxmlformats.org/officeDocument/2006/relationships" ref="A80" r:id="rId68"/>
    <hyperlink xmlns:r="http://schemas.openxmlformats.org/officeDocument/2006/relationships" ref="A81" r:id="rId69"/>
    <hyperlink xmlns:r="http://schemas.openxmlformats.org/officeDocument/2006/relationships" ref="A82" r:id="rId70"/>
    <hyperlink xmlns:r="http://schemas.openxmlformats.org/officeDocument/2006/relationships" ref="A83" r:id="rId71"/>
    <hyperlink xmlns:r="http://schemas.openxmlformats.org/officeDocument/2006/relationships" ref="A84" r:id="rId72"/>
    <hyperlink xmlns:r="http://schemas.openxmlformats.org/officeDocument/2006/relationships" ref="A85" r:id="rId73"/>
    <hyperlink xmlns:r="http://schemas.openxmlformats.org/officeDocument/2006/relationships" ref="A86" r:id="rId74"/>
    <hyperlink xmlns:r="http://schemas.openxmlformats.org/officeDocument/2006/relationships" ref="A87" r:id="rId75"/>
    <hyperlink xmlns:r="http://schemas.openxmlformats.org/officeDocument/2006/relationships" ref="A88" r:id="rId76"/>
    <hyperlink xmlns:r="http://schemas.openxmlformats.org/officeDocument/2006/relationships" ref="A89" r:id="rId77"/>
    <hyperlink xmlns:r="http://schemas.openxmlformats.org/officeDocument/2006/relationships" ref="A90" r:id="rId78"/>
    <hyperlink xmlns:r="http://schemas.openxmlformats.org/officeDocument/2006/relationships" ref="A91" r:id="rId79"/>
    <hyperlink xmlns:r="http://schemas.openxmlformats.org/officeDocument/2006/relationships" ref="A92" r:id="rId80"/>
    <hyperlink xmlns:r="http://schemas.openxmlformats.org/officeDocument/2006/relationships" ref="A93" r:id="rId81"/>
    <hyperlink xmlns:r="http://schemas.openxmlformats.org/officeDocument/2006/relationships" ref="A94" r:id="rId82"/>
    <hyperlink xmlns:r="http://schemas.openxmlformats.org/officeDocument/2006/relationships" ref="A95" r:id="rId83"/>
    <hyperlink xmlns:r="http://schemas.openxmlformats.org/officeDocument/2006/relationships" ref="A96" r:id="rId84"/>
    <hyperlink xmlns:r="http://schemas.openxmlformats.org/officeDocument/2006/relationships" ref="A97" r:id="rId85"/>
    <hyperlink xmlns:r="http://schemas.openxmlformats.org/officeDocument/2006/relationships" ref="A98" r:id="rId86"/>
    <hyperlink xmlns:r="http://schemas.openxmlformats.org/officeDocument/2006/relationships" ref="A99" r:id="rId87"/>
    <hyperlink xmlns:r="http://schemas.openxmlformats.org/officeDocument/2006/relationships" ref="A100" r:id="rId88"/>
    <hyperlink xmlns:r="http://schemas.openxmlformats.org/officeDocument/2006/relationships" ref="A101" r:id="rId89"/>
    <hyperlink xmlns:r="http://schemas.openxmlformats.org/officeDocument/2006/relationships" ref="A102" r:id="rId90"/>
    <hyperlink xmlns:r="http://schemas.openxmlformats.org/officeDocument/2006/relationships" ref="A103" r:id="rId91"/>
    <hyperlink xmlns:r="http://schemas.openxmlformats.org/officeDocument/2006/relationships" ref="A104" r:id="rId92"/>
    <hyperlink xmlns:r="http://schemas.openxmlformats.org/officeDocument/2006/relationships" ref="A105" r:id="rId93"/>
    <hyperlink xmlns:r="http://schemas.openxmlformats.org/officeDocument/2006/relationships" ref="A106" r:id="rId94"/>
    <hyperlink xmlns:r="http://schemas.openxmlformats.org/officeDocument/2006/relationships" ref="A107" r:id="rId95"/>
    <hyperlink xmlns:r="http://schemas.openxmlformats.org/officeDocument/2006/relationships" ref="A108" r:id="rId96"/>
    <hyperlink xmlns:r="http://schemas.openxmlformats.org/officeDocument/2006/relationships" ref="A109" r:id="rId97"/>
    <hyperlink xmlns:r="http://schemas.openxmlformats.org/officeDocument/2006/relationships" ref="A110" r:id="rId98"/>
    <hyperlink xmlns:r="http://schemas.openxmlformats.org/officeDocument/2006/relationships" ref="A111" r:id="rId99"/>
    <hyperlink xmlns:r="http://schemas.openxmlformats.org/officeDocument/2006/relationships" ref="A112" r:id="rId100"/>
    <hyperlink xmlns:r="http://schemas.openxmlformats.org/officeDocument/2006/relationships" ref="A113" r:id="rId101"/>
    <hyperlink xmlns:r="http://schemas.openxmlformats.org/officeDocument/2006/relationships" ref="A114" r:id="rId102"/>
    <hyperlink xmlns:r="http://schemas.openxmlformats.org/officeDocument/2006/relationships" ref="A115" r:id="rId103"/>
    <hyperlink xmlns:r="http://schemas.openxmlformats.org/officeDocument/2006/relationships" ref="A116" r:id="rId104"/>
    <hyperlink xmlns:r="http://schemas.openxmlformats.org/officeDocument/2006/relationships" ref="A117" r:id="rId105"/>
    <hyperlink xmlns:r="http://schemas.openxmlformats.org/officeDocument/2006/relationships" ref="A118" r:id="rId106"/>
    <hyperlink xmlns:r="http://schemas.openxmlformats.org/officeDocument/2006/relationships" ref="A119" r:id="rId107"/>
    <hyperlink xmlns:r="http://schemas.openxmlformats.org/officeDocument/2006/relationships" ref="A120" r:id="rId108"/>
    <hyperlink xmlns:r="http://schemas.openxmlformats.org/officeDocument/2006/relationships" ref="A121" r:id="rId109"/>
    <hyperlink xmlns:r="http://schemas.openxmlformats.org/officeDocument/2006/relationships" ref="A122" r:id="rId110"/>
    <hyperlink xmlns:r="http://schemas.openxmlformats.org/officeDocument/2006/relationships" ref="A123" r:id="rId111"/>
    <hyperlink xmlns:r="http://schemas.openxmlformats.org/officeDocument/2006/relationships" ref="A124" r:id="rId112"/>
    <hyperlink xmlns:r="http://schemas.openxmlformats.org/officeDocument/2006/relationships" ref="A125" r:id="rId113"/>
    <hyperlink xmlns:r="http://schemas.openxmlformats.org/officeDocument/2006/relationships" ref="A126" r:id="rId114"/>
    <hyperlink xmlns:r="http://schemas.openxmlformats.org/officeDocument/2006/relationships" ref="A127" r:id="rId115"/>
    <hyperlink xmlns:r="http://schemas.openxmlformats.org/officeDocument/2006/relationships" ref="A128" r:id="rId116"/>
    <hyperlink xmlns:r="http://schemas.openxmlformats.org/officeDocument/2006/relationships" ref="A129" r:id="rId117"/>
    <hyperlink xmlns:r="http://schemas.openxmlformats.org/officeDocument/2006/relationships" ref="A130" r:id="rId118"/>
    <hyperlink xmlns:r="http://schemas.openxmlformats.org/officeDocument/2006/relationships" ref="A131" r:id="rId119"/>
    <hyperlink xmlns:r="http://schemas.openxmlformats.org/officeDocument/2006/relationships" ref="A132" r:id="rId120"/>
    <hyperlink xmlns:r="http://schemas.openxmlformats.org/officeDocument/2006/relationships" ref="A133" r:id="rId121"/>
    <hyperlink xmlns:r="http://schemas.openxmlformats.org/officeDocument/2006/relationships" ref="A134" r:id="rId122"/>
    <hyperlink xmlns:r="http://schemas.openxmlformats.org/officeDocument/2006/relationships" ref="A135" r:id="rId123"/>
    <hyperlink xmlns:r="http://schemas.openxmlformats.org/officeDocument/2006/relationships" ref="A136" r:id="rId124"/>
    <hyperlink xmlns:r="http://schemas.openxmlformats.org/officeDocument/2006/relationships" ref="A137" r:id="rId125"/>
    <hyperlink xmlns:r="http://schemas.openxmlformats.org/officeDocument/2006/relationships" ref="A138" r:id="rId126"/>
    <hyperlink xmlns:r="http://schemas.openxmlformats.org/officeDocument/2006/relationships" ref="A139" r:id="rId127"/>
    <hyperlink xmlns:r="http://schemas.openxmlformats.org/officeDocument/2006/relationships" ref="A140" r:id="rId128"/>
    <hyperlink xmlns:r="http://schemas.openxmlformats.org/officeDocument/2006/relationships" ref="A141" r:id="rId129"/>
    <hyperlink xmlns:r="http://schemas.openxmlformats.org/officeDocument/2006/relationships" ref="A142" r:id="rId130"/>
    <hyperlink xmlns:r="http://schemas.openxmlformats.org/officeDocument/2006/relationships" ref="A143" r:id="rId131"/>
    <hyperlink xmlns:r="http://schemas.openxmlformats.org/officeDocument/2006/relationships" ref="A144" r:id="rId132"/>
    <hyperlink xmlns:r="http://schemas.openxmlformats.org/officeDocument/2006/relationships" ref="A145" r:id="rId133"/>
    <hyperlink xmlns:r="http://schemas.openxmlformats.org/officeDocument/2006/relationships" ref="A146" r:id="rId134"/>
    <hyperlink xmlns:r="http://schemas.openxmlformats.org/officeDocument/2006/relationships" ref="A147" r:id="rId135"/>
    <hyperlink xmlns:r="http://schemas.openxmlformats.org/officeDocument/2006/relationships" ref="A148" r:id="rId136"/>
    <hyperlink xmlns:r="http://schemas.openxmlformats.org/officeDocument/2006/relationships" ref="A149" r:id="rId137"/>
    <hyperlink xmlns:r="http://schemas.openxmlformats.org/officeDocument/2006/relationships" ref="A150" r:id="rId138"/>
    <hyperlink xmlns:r="http://schemas.openxmlformats.org/officeDocument/2006/relationships" ref="A151" r:id="rId139"/>
    <hyperlink xmlns:r="http://schemas.openxmlformats.org/officeDocument/2006/relationships" ref="A152" r:id="rId140"/>
    <hyperlink xmlns:r="http://schemas.openxmlformats.org/officeDocument/2006/relationships" ref="A153" r:id="rId141"/>
    <hyperlink xmlns:r="http://schemas.openxmlformats.org/officeDocument/2006/relationships" ref="A154" r:id="rId142"/>
    <hyperlink xmlns:r="http://schemas.openxmlformats.org/officeDocument/2006/relationships" ref="A155" r:id="rId143"/>
    <hyperlink xmlns:r="http://schemas.openxmlformats.org/officeDocument/2006/relationships" ref="A156" r:id="rId144"/>
    <hyperlink xmlns:r="http://schemas.openxmlformats.org/officeDocument/2006/relationships" ref="A157" r:id="rId145"/>
    <hyperlink xmlns:r="http://schemas.openxmlformats.org/officeDocument/2006/relationships" ref="A158" r:id="rId146"/>
    <hyperlink xmlns:r="http://schemas.openxmlformats.org/officeDocument/2006/relationships" ref="A159" r:id="rId147"/>
    <hyperlink xmlns:r="http://schemas.openxmlformats.org/officeDocument/2006/relationships" ref="A160" r:id="rId148"/>
    <hyperlink xmlns:r="http://schemas.openxmlformats.org/officeDocument/2006/relationships" ref="A161" r:id="rId149"/>
    <hyperlink xmlns:r="http://schemas.openxmlformats.org/officeDocument/2006/relationships" ref="A162" r:id="rId150"/>
    <hyperlink xmlns:r="http://schemas.openxmlformats.org/officeDocument/2006/relationships" ref="A163" r:id="rId151"/>
    <hyperlink xmlns:r="http://schemas.openxmlformats.org/officeDocument/2006/relationships" ref="A164" r:id="rId152"/>
    <hyperlink xmlns:r="http://schemas.openxmlformats.org/officeDocument/2006/relationships" ref="A165" r:id="rId153"/>
    <hyperlink xmlns:r="http://schemas.openxmlformats.org/officeDocument/2006/relationships" ref="A166" r:id="rId154"/>
    <hyperlink xmlns:r="http://schemas.openxmlformats.org/officeDocument/2006/relationships" ref="A167" r:id="rId155"/>
    <hyperlink xmlns:r="http://schemas.openxmlformats.org/officeDocument/2006/relationships" ref="A168" r:id="rId156"/>
    <hyperlink xmlns:r="http://schemas.openxmlformats.org/officeDocument/2006/relationships" ref="A169" r:id="rId157"/>
    <hyperlink xmlns:r="http://schemas.openxmlformats.org/officeDocument/2006/relationships" ref="A170" r:id="rId158"/>
    <hyperlink xmlns:r="http://schemas.openxmlformats.org/officeDocument/2006/relationships" ref="A171" r:id="rId159"/>
    <hyperlink xmlns:r="http://schemas.openxmlformats.org/officeDocument/2006/relationships" ref="A172" r:id="rId160"/>
    <hyperlink xmlns:r="http://schemas.openxmlformats.org/officeDocument/2006/relationships" ref="A173" r:id="rId161"/>
    <hyperlink xmlns:r="http://schemas.openxmlformats.org/officeDocument/2006/relationships" ref="A174" r:id="rId162"/>
    <hyperlink xmlns:r="http://schemas.openxmlformats.org/officeDocument/2006/relationships" ref="A175" r:id="rId163"/>
    <hyperlink xmlns:r="http://schemas.openxmlformats.org/officeDocument/2006/relationships" ref="A176" r:id="rId164"/>
    <hyperlink xmlns:r="http://schemas.openxmlformats.org/officeDocument/2006/relationships" ref="A177" r:id="rId165"/>
    <hyperlink xmlns:r="http://schemas.openxmlformats.org/officeDocument/2006/relationships" ref="A178" r:id="rId166"/>
    <hyperlink xmlns:r="http://schemas.openxmlformats.org/officeDocument/2006/relationships" ref="A179" r:id="rId167"/>
    <hyperlink xmlns:r="http://schemas.openxmlformats.org/officeDocument/2006/relationships" ref="A180" r:id="rId168"/>
    <hyperlink xmlns:r="http://schemas.openxmlformats.org/officeDocument/2006/relationships" ref="A181" r:id="rId169"/>
    <hyperlink xmlns:r="http://schemas.openxmlformats.org/officeDocument/2006/relationships" ref="A182" r:id="rId170"/>
    <hyperlink xmlns:r="http://schemas.openxmlformats.org/officeDocument/2006/relationships" ref="A183" r:id="rId171"/>
    <hyperlink xmlns:r="http://schemas.openxmlformats.org/officeDocument/2006/relationships" ref="A184" r:id="rId172"/>
    <hyperlink xmlns:r="http://schemas.openxmlformats.org/officeDocument/2006/relationships" ref="A185" r:id="rId173"/>
    <hyperlink xmlns:r="http://schemas.openxmlformats.org/officeDocument/2006/relationships" ref="A186" r:id="rId174"/>
    <hyperlink xmlns:r="http://schemas.openxmlformats.org/officeDocument/2006/relationships" ref="A187" r:id="rId175"/>
    <hyperlink xmlns:r="http://schemas.openxmlformats.org/officeDocument/2006/relationships" ref="A188" r:id="rId176"/>
    <hyperlink xmlns:r="http://schemas.openxmlformats.org/officeDocument/2006/relationships" ref="A189" r:id="rId177"/>
    <hyperlink xmlns:r="http://schemas.openxmlformats.org/officeDocument/2006/relationships" ref="A190" r:id="rId178"/>
    <hyperlink xmlns:r="http://schemas.openxmlformats.org/officeDocument/2006/relationships" ref="A191" r:id="rId179"/>
    <hyperlink xmlns:r="http://schemas.openxmlformats.org/officeDocument/2006/relationships" ref="A192" r:id="rId180"/>
    <hyperlink xmlns:r="http://schemas.openxmlformats.org/officeDocument/2006/relationships" ref="A193" r:id="rId181"/>
    <hyperlink xmlns:r="http://schemas.openxmlformats.org/officeDocument/2006/relationships" ref="A194" r:id="rId182"/>
    <hyperlink xmlns:r="http://schemas.openxmlformats.org/officeDocument/2006/relationships" ref="A195" r:id="rId183"/>
    <hyperlink xmlns:r="http://schemas.openxmlformats.org/officeDocument/2006/relationships" ref="A196" r:id="rId184"/>
    <hyperlink xmlns:r="http://schemas.openxmlformats.org/officeDocument/2006/relationships" ref="A197" r:id="rId185"/>
    <hyperlink xmlns:r="http://schemas.openxmlformats.org/officeDocument/2006/relationships" ref="A198" r:id="rId186"/>
    <hyperlink xmlns:r="http://schemas.openxmlformats.org/officeDocument/2006/relationships" ref="A199" r:id="rId187"/>
    <hyperlink xmlns:r="http://schemas.openxmlformats.org/officeDocument/2006/relationships" ref="A200" r:id="rId188"/>
    <hyperlink xmlns:r="http://schemas.openxmlformats.org/officeDocument/2006/relationships" ref="A201" r:id="rId189"/>
    <hyperlink xmlns:r="http://schemas.openxmlformats.org/officeDocument/2006/relationships" ref="A202" r:id="rId190"/>
    <hyperlink xmlns:r="http://schemas.openxmlformats.org/officeDocument/2006/relationships" ref="A203" r:id="rId191"/>
    <hyperlink xmlns:r="http://schemas.openxmlformats.org/officeDocument/2006/relationships" ref="A204" r:id="rId192"/>
    <hyperlink xmlns:r="http://schemas.openxmlformats.org/officeDocument/2006/relationships" ref="A205" r:id="rId193"/>
    <hyperlink xmlns:r="http://schemas.openxmlformats.org/officeDocument/2006/relationships" ref="A206" r:id="rId194"/>
    <hyperlink xmlns:r="http://schemas.openxmlformats.org/officeDocument/2006/relationships" ref="A207" r:id="rId195"/>
    <hyperlink xmlns:r="http://schemas.openxmlformats.org/officeDocument/2006/relationships" ref="A208" r:id="rId196"/>
    <hyperlink xmlns:r="http://schemas.openxmlformats.org/officeDocument/2006/relationships" ref="A209" r:id="rId197"/>
    <hyperlink xmlns:r="http://schemas.openxmlformats.org/officeDocument/2006/relationships" ref="A210" r:id="rId198"/>
    <hyperlink xmlns:r="http://schemas.openxmlformats.org/officeDocument/2006/relationships" ref="A211" r:id="rId199"/>
    <hyperlink xmlns:r="http://schemas.openxmlformats.org/officeDocument/2006/relationships" ref="A212" r:id="rId200"/>
    <hyperlink xmlns:r="http://schemas.openxmlformats.org/officeDocument/2006/relationships" ref="A213" r:id="rId201"/>
    <hyperlink xmlns:r="http://schemas.openxmlformats.org/officeDocument/2006/relationships" ref="A214" r:id="rId202"/>
    <hyperlink xmlns:r="http://schemas.openxmlformats.org/officeDocument/2006/relationships" ref="A215" r:id="rId203"/>
    <hyperlink xmlns:r="http://schemas.openxmlformats.org/officeDocument/2006/relationships" ref="A216" r:id="rId204"/>
    <hyperlink xmlns:r="http://schemas.openxmlformats.org/officeDocument/2006/relationships" ref="A217" r:id="rId205"/>
    <hyperlink xmlns:r="http://schemas.openxmlformats.org/officeDocument/2006/relationships" ref="A218" r:id="rId206"/>
    <hyperlink xmlns:r="http://schemas.openxmlformats.org/officeDocument/2006/relationships" ref="A219" r:id="rId207"/>
    <hyperlink xmlns:r="http://schemas.openxmlformats.org/officeDocument/2006/relationships" ref="A220" r:id="rId208"/>
    <hyperlink xmlns:r="http://schemas.openxmlformats.org/officeDocument/2006/relationships" ref="A221" r:id="rId209"/>
    <hyperlink xmlns:r="http://schemas.openxmlformats.org/officeDocument/2006/relationships" ref="A222" r:id="rId210"/>
    <hyperlink xmlns:r="http://schemas.openxmlformats.org/officeDocument/2006/relationships" ref="A223" r:id="rId211"/>
    <hyperlink xmlns:r="http://schemas.openxmlformats.org/officeDocument/2006/relationships" ref="A224" r:id="rId212"/>
    <hyperlink xmlns:r="http://schemas.openxmlformats.org/officeDocument/2006/relationships" ref="A225" r:id="rId213"/>
    <hyperlink xmlns:r="http://schemas.openxmlformats.org/officeDocument/2006/relationships" ref="A226" r:id="rId214"/>
    <hyperlink xmlns:r="http://schemas.openxmlformats.org/officeDocument/2006/relationships" ref="A227" r:id="rId215"/>
    <hyperlink xmlns:r="http://schemas.openxmlformats.org/officeDocument/2006/relationships" ref="A228" r:id="rId216"/>
    <hyperlink xmlns:r="http://schemas.openxmlformats.org/officeDocument/2006/relationships" ref="A229" r:id="rId217"/>
    <hyperlink xmlns:r="http://schemas.openxmlformats.org/officeDocument/2006/relationships" ref="A230" r:id="rId218"/>
    <hyperlink xmlns:r="http://schemas.openxmlformats.org/officeDocument/2006/relationships" ref="A231" r:id="rId219"/>
    <hyperlink xmlns:r="http://schemas.openxmlformats.org/officeDocument/2006/relationships" ref="A232" r:id="rId220"/>
    <hyperlink xmlns:r="http://schemas.openxmlformats.org/officeDocument/2006/relationships" ref="A233" r:id="rId221"/>
    <hyperlink xmlns:r="http://schemas.openxmlformats.org/officeDocument/2006/relationships" ref="A234" r:id="rId222"/>
    <hyperlink xmlns:r="http://schemas.openxmlformats.org/officeDocument/2006/relationships" ref="A235" r:id="rId223"/>
    <hyperlink xmlns:r="http://schemas.openxmlformats.org/officeDocument/2006/relationships" ref="A236" r:id="rId224"/>
    <hyperlink xmlns:r="http://schemas.openxmlformats.org/officeDocument/2006/relationships" ref="A237" r:id="rId225"/>
    <hyperlink xmlns:r="http://schemas.openxmlformats.org/officeDocument/2006/relationships" ref="A238" r:id="rId226"/>
    <hyperlink xmlns:r="http://schemas.openxmlformats.org/officeDocument/2006/relationships" ref="A239" r:id="rId227"/>
    <hyperlink xmlns:r="http://schemas.openxmlformats.org/officeDocument/2006/relationships" ref="A240" r:id="rId228"/>
    <hyperlink xmlns:r="http://schemas.openxmlformats.org/officeDocument/2006/relationships" ref="A241" r:id="rId229"/>
    <hyperlink xmlns:r="http://schemas.openxmlformats.org/officeDocument/2006/relationships" ref="A242" r:id="rId230"/>
    <hyperlink xmlns:r="http://schemas.openxmlformats.org/officeDocument/2006/relationships" ref="A243" r:id="rId231"/>
    <hyperlink xmlns:r="http://schemas.openxmlformats.org/officeDocument/2006/relationships" ref="A244" r:id="rId232"/>
  </hyperlinks>
  <pageMargins left="0.75" right="0.75" top="1" bottom="1" header="0.5" footer="0.5"/>
  <pageSetup orientation="landscape" fitToHeight="0" fitToWidth="1"/>
  <drawing xmlns:r="http://schemas.openxmlformats.org/officeDocument/2006/relationships" r:id="rId233"/>
</worksheet>
</file>

<file path=xl/worksheets/sheet5.xml><?xml version="1.0" encoding="utf-8"?>
<worksheet xmlns="http://schemas.openxmlformats.org/spreadsheetml/2006/main">
  <sheetPr>
    <tabColor rgb="006B8E23"/>
    <outlinePr summaryBelow="1" summaryRight="1"/>
    <pageSetUpPr fitToPage="1"/>
  </sheetPr>
  <dimension ref="A1:H7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30" customWidth="1" min="3" max="3"/>
    <col width="13" customWidth="1" min="4" max="4"/>
    <col width="8" customWidth="1" min="5" max="5"/>
    <col width="7" customWidth="1" min="6" max="6"/>
    <col width="8" customWidth="1" min="7" max="7"/>
    <col width="13" customWidth="1" min="8" max="8"/>
  </cols>
  <sheetData>
    <row r="1" ht="20" customHeight="1">
      <c r="A1" s="8" t="inlineStr">
        <is>
          <t>Crude slate — actual crude diet per refinery (REM, latest year) and 2024 purchased supplementary feedstocks. Informs the naphtha-yield discussion (light vs heavy slate).</t>
        </is>
      </c>
      <c r="B1" s="9" t="n"/>
      <c r="C1" s="9" t="n"/>
      <c r="D1" s="9" t="n"/>
      <c r="E1" s="9" t="n"/>
      <c r="F1" s="9" t="n"/>
      <c r="G1" s="9" t="n"/>
      <c r="H1" s="9" t="n"/>
    </row>
    <row r="2">
      <c r="A2" s="23" t="inlineStr">
        <is>
          <t>refinery_id</t>
        </is>
      </c>
      <c r="B2" s="23" t="inlineStr">
        <is>
          <t>padd</t>
        </is>
      </c>
      <c r="C2" s="23" t="inlineStr">
        <is>
          <t>crude_stream</t>
        </is>
      </c>
      <c r="D2" s="23" t="inlineStr">
        <is>
          <t>source_country</t>
        </is>
      </c>
      <c r="E2" s="23" t="inlineStr">
        <is>
          <t>year</t>
        </is>
      </c>
      <c r="F2" s="23" t="inlineStr">
        <is>
          <t>slate %</t>
        </is>
      </c>
    </row>
    <row r="3">
      <c r="A3" s="28" t="inlineStr">
        <is>
          <t>MONROE_TRAINER</t>
        </is>
      </c>
      <c r="B3" s="28" t="n">
        <v>1</v>
      </c>
      <c r="C3" s="28" t="inlineStr">
        <is>
          <t>Eagle Ford Crude</t>
        </is>
      </c>
      <c r="D3" s="28" t="inlineStr">
        <is>
          <t>United States</t>
        </is>
      </c>
      <c r="E3" s="28" t="n">
        <v>2024</v>
      </c>
      <c r="F3" s="45" t="n">
        <v>0.2533</v>
      </c>
    </row>
    <row r="4">
      <c r="A4" s="28" t="inlineStr">
        <is>
          <t>MONROE_TRAINER</t>
        </is>
      </c>
      <c r="B4" s="28" t="n">
        <v>1</v>
      </c>
      <c r="C4" s="28" t="inlineStr">
        <is>
          <t>Okono-Okpoho</t>
        </is>
      </c>
      <c r="D4" s="28" t="inlineStr">
        <is>
          <t>Nigeria</t>
        </is>
      </c>
      <c r="E4" s="28" t="n">
        <v>2024</v>
      </c>
      <c r="F4" s="45" t="n">
        <v>0.2309</v>
      </c>
    </row>
    <row r="5">
      <c r="A5" s="28" t="inlineStr">
        <is>
          <t>MONROE_TRAINER</t>
        </is>
      </c>
      <c r="B5" s="28" t="n">
        <v>1</v>
      </c>
      <c r="C5" s="28" t="inlineStr">
        <is>
          <t>Qua Iboe</t>
        </is>
      </c>
      <c r="D5" s="28" t="inlineStr">
        <is>
          <t>Nigeria</t>
        </is>
      </c>
      <c r="E5" s="28" t="n">
        <v>2024</v>
      </c>
      <c r="F5" s="45" t="n">
        <v>0.1065</v>
      </c>
    </row>
    <row r="6">
      <c r="A6" s="28" t="inlineStr">
        <is>
          <t>MONROE_TRAINER</t>
        </is>
      </c>
      <c r="B6" s="28" t="n">
        <v>1</v>
      </c>
      <c r="C6" s="28" t="inlineStr">
        <is>
          <t>Bakken</t>
        </is>
      </c>
      <c r="D6" s="28" t="inlineStr">
        <is>
          <t>United States</t>
        </is>
      </c>
      <c r="E6" s="28" t="n">
        <v>2024</v>
      </c>
      <c r="F6" s="45" t="n">
        <v>0.1038</v>
      </c>
    </row>
    <row r="7">
      <c r="A7" s="28" t="inlineStr">
        <is>
          <t>MONROE_TRAINER</t>
        </is>
      </c>
      <c r="B7" s="28" t="n">
        <v>1</v>
      </c>
      <c r="C7" s="28" t="inlineStr">
        <is>
          <t>Pennsylvania Grade 43.0</t>
        </is>
      </c>
      <c r="D7" s="28" t="inlineStr">
        <is>
          <t>United States</t>
        </is>
      </c>
      <c r="E7" s="28" t="n">
        <v>2024</v>
      </c>
      <c r="F7" s="45" t="n">
        <v>0.0617</v>
      </c>
    </row>
    <row r="8">
      <c r="A8" s="28" t="inlineStr">
        <is>
          <t>MONROE_TRAINER</t>
        </is>
      </c>
      <c r="B8" s="28" t="n">
        <v>1</v>
      </c>
      <c r="C8" s="28" t="inlineStr">
        <is>
          <t>Erha</t>
        </is>
      </c>
      <c r="D8" s="28" t="inlineStr">
        <is>
          <t>Nigeria</t>
        </is>
      </c>
      <c r="E8" s="28" t="n">
        <v>2024</v>
      </c>
      <c r="F8" s="45" t="n">
        <v>0.0425</v>
      </c>
    </row>
    <row r="9">
      <c r="A9" s="28" t="inlineStr">
        <is>
          <t>MONROE_TRAINER</t>
        </is>
      </c>
      <c r="B9" s="28" t="n">
        <v>1</v>
      </c>
      <c r="C9" s="28" t="inlineStr">
        <is>
          <t>Amenam Blend</t>
        </is>
      </c>
      <c r="D9" s="28" t="inlineStr">
        <is>
          <t>Nigeria</t>
        </is>
      </c>
      <c r="E9" s="28" t="n">
        <v>2024</v>
      </c>
      <c r="F9" s="45" t="n">
        <v>0.0349</v>
      </c>
    </row>
    <row r="10">
      <c r="A10" s="28" t="inlineStr">
        <is>
          <t>MONROE_TRAINER</t>
        </is>
      </c>
      <c r="B10" s="28" t="n">
        <v>1</v>
      </c>
      <c r="C10" s="28" t="inlineStr">
        <is>
          <t>Saharan Blend</t>
        </is>
      </c>
      <c r="D10" s="28" t="inlineStr">
        <is>
          <t>Algeria</t>
        </is>
      </c>
      <c r="E10" s="28" t="n">
        <v>2024</v>
      </c>
      <c r="F10" s="45" t="n">
        <v>0.0282</v>
      </c>
    </row>
    <row r="11">
      <c r="A11" s="28" t="inlineStr">
        <is>
          <t>MONROE_TRAINER</t>
        </is>
      </c>
      <c r="B11" s="28" t="n">
        <v>1</v>
      </c>
      <c r="C11" s="28" t="inlineStr">
        <is>
          <t>Escravos</t>
        </is>
      </c>
      <c r="D11" s="28" t="inlineStr">
        <is>
          <t>Nigeria</t>
        </is>
      </c>
      <c r="E11" s="28" t="n">
        <v>2024</v>
      </c>
      <c r="F11" s="45" t="n">
        <v>0.0211</v>
      </c>
    </row>
    <row r="12">
      <c r="A12" s="28" t="inlineStr">
        <is>
          <t>MONROE_TRAINER</t>
        </is>
      </c>
      <c r="B12" s="28" t="n">
        <v>1</v>
      </c>
      <c r="C12" s="28" t="inlineStr">
        <is>
          <t>Agbami-Ekoli Condensate</t>
        </is>
      </c>
      <c r="D12" s="28" t="inlineStr">
        <is>
          <t>Nigeria</t>
        </is>
      </c>
      <c r="E12" s="28" t="n">
        <v>2024</v>
      </c>
      <c r="F12" s="45" t="n">
        <v>0.0199</v>
      </c>
    </row>
    <row r="13">
      <c r="A13" s="28" t="inlineStr">
        <is>
          <t>MONROE_TRAINER</t>
        </is>
      </c>
      <c r="B13" s="28" t="n">
        <v>1</v>
      </c>
      <c r="C13" s="28" t="inlineStr">
        <is>
          <t>Brass River</t>
        </is>
      </c>
      <c r="D13" s="28" t="inlineStr">
        <is>
          <t>Nigeria</t>
        </is>
      </c>
      <c r="E13" s="28" t="n">
        <v>2024</v>
      </c>
      <c r="F13" s="45" t="n">
        <v>0.0162</v>
      </c>
    </row>
    <row r="14">
      <c r="A14" s="28" t="inlineStr">
        <is>
          <t>MONROE_TRAINER</t>
        </is>
      </c>
      <c r="B14" s="28" t="n">
        <v>1</v>
      </c>
      <c r="C14" s="28" t="inlineStr">
        <is>
          <t>Yoho</t>
        </is>
      </c>
      <c r="D14" s="28" t="inlineStr">
        <is>
          <t>Nigeria</t>
        </is>
      </c>
      <c r="E14" s="28" t="n">
        <v>2024</v>
      </c>
      <c r="F14" s="45" t="n">
        <v>0.0162</v>
      </c>
    </row>
    <row r="15">
      <c r="A15" s="28" t="inlineStr">
        <is>
          <t>MONROE_TRAINER</t>
        </is>
      </c>
      <c r="B15" s="28" t="n">
        <v>1</v>
      </c>
      <c r="C15" s="28" t="inlineStr">
        <is>
          <t>Jubilee</t>
        </is>
      </c>
      <c r="D15" s="28" t="inlineStr">
        <is>
          <t>Ghana</t>
        </is>
      </c>
      <c r="E15" s="28" t="n">
        <v>2024</v>
      </c>
      <c r="F15" s="45" t="n">
        <v>0.0161</v>
      </c>
    </row>
    <row r="16">
      <c r="A16" s="28" t="inlineStr">
        <is>
          <t>MONROE_TRAINER</t>
        </is>
      </c>
      <c r="B16" s="28" t="n">
        <v>1</v>
      </c>
      <c r="C16" s="28" t="inlineStr">
        <is>
          <t>Bonny Light</t>
        </is>
      </c>
      <c r="D16" s="28" t="inlineStr">
        <is>
          <t>Nigeria</t>
        </is>
      </c>
      <c r="E16" s="28" t="n">
        <v>2024</v>
      </c>
      <c r="F16" s="45" t="n">
        <v>0.0153</v>
      </c>
    </row>
    <row r="17">
      <c r="A17" s="28" t="inlineStr">
        <is>
          <t>MONROE_TRAINER</t>
        </is>
      </c>
      <c r="B17" s="28" t="n">
        <v>1</v>
      </c>
      <c r="C17" s="28" t="inlineStr">
        <is>
          <t>Domestic NGL Trinidad &amp; Tobago</t>
        </is>
      </c>
      <c r="D17" s="28" t="inlineStr">
        <is>
          <t>Trinidad and Tobago</t>
        </is>
      </c>
      <c r="E17" s="28" t="n">
        <v>2024</v>
      </c>
      <c r="F17" s="45" t="n">
        <v>0.0123</v>
      </c>
    </row>
    <row r="18">
      <c r="A18" s="28" t="inlineStr">
        <is>
          <t>MONROE_TRAINER</t>
        </is>
      </c>
      <c r="B18" s="28" t="n">
        <v>1</v>
      </c>
      <c r="C18" s="28" t="inlineStr">
        <is>
          <t>Troll Blend</t>
        </is>
      </c>
      <c r="D18" s="28" t="inlineStr">
        <is>
          <t>Norway</t>
        </is>
      </c>
      <c r="E18" s="28" t="n">
        <v>2024</v>
      </c>
      <c r="F18" s="45" t="n">
        <v>0.0113</v>
      </c>
    </row>
    <row r="19">
      <c r="A19" s="28" t="inlineStr">
        <is>
          <t>MONROE_TRAINER</t>
        </is>
      </c>
      <c r="B19" s="28" t="n">
        <v>1</v>
      </c>
      <c r="C19" s="28" t="inlineStr">
        <is>
          <t>Elephant</t>
        </is>
      </c>
      <c r="D19" s="28" t="inlineStr">
        <is>
          <t>Libya</t>
        </is>
      </c>
      <c r="E19" s="28" t="n">
        <v>2024</v>
      </c>
      <c r="F19" s="45" t="n">
        <v>0.0098</v>
      </c>
    </row>
    <row r="20">
      <c r="A20" s="28" t="inlineStr">
        <is>
          <t>PHILLIPS_LINDEN</t>
        </is>
      </c>
      <c r="B20" s="28" t="n">
        <v>1</v>
      </c>
      <c r="C20" s="28" t="inlineStr">
        <is>
          <t>Hibernia</t>
        </is>
      </c>
      <c r="D20" s="28" t="inlineStr">
        <is>
          <t>Canada (East Coast)</t>
        </is>
      </c>
      <c r="E20" s="28" t="n">
        <v>2024</v>
      </c>
      <c r="F20" s="45" t="n">
        <v>0.1872</v>
      </c>
    </row>
    <row r="21">
      <c r="A21" s="28" t="inlineStr">
        <is>
          <t>PHILLIPS_LINDEN</t>
        </is>
      </c>
      <c r="B21" s="28" t="n">
        <v>1</v>
      </c>
      <c r="C21" s="28" t="inlineStr">
        <is>
          <t>Es Sider</t>
        </is>
      </c>
      <c r="D21" s="28" t="inlineStr">
        <is>
          <t>Libya</t>
        </is>
      </c>
      <c r="E21" s="28" t="n">
        <v>2024</v>
      </c>
      <c r="F21" s="45" t="n">
        <v>0.1677</v>
      </c>
    </row>
    <row r="22">
      <c r="A22" s="28" t="inlineStr">
        <is>
          <t>PHILLIPS_LINDEN</t>
        </is>
      </c>
      <c r="B22" s="28" t="n">
        <v>1</v>
      </c>
      <c r="C22" s="28" t="inlineStr">
        <is>
          <t>Bakken</t>
        </is>
      </c>
      <c r="D22" s="28" t="inlineStr">
        <is>
          <t>United States</t>
        </is>
      </c>
      <c r="E22" s="28" t="n">
        <v>2024</v>
      </c>
      <c r="F22" s="45" t="n">
        <v>0.1297</v>
      </c>
    </row>
    <row r="23">
      <c r="A23" s="28" t="inlineStr">
        <is>
          <t>PHILLIPS_LINDEN</t>
        </is>
      </c>
      <c r="B23" s="28" t="n">
        <v>1</v>
      </c>
      <c r="C23" s="28" t="inlineStr">
        <is>
          <t>Kissanje Blend</t>
        </is>
      </c>
      <c r="D23" s="28" t="inlineStr">
        <is>
          <t>Angola</t>
        </is>
      </c>
      <c r="E23" s="28" t="n">
        <v>2024</v>
      </c>
      <c r="F23" s="45" t="n">
        <v>0.08810000000000001</v>
      </c>
    </row>
    <row r="24">
      <c r="A24" s="28" t="inlineStr">
        <is>
          <t>PHILLIPS_LINDEN</t>
        </is>
      </c>
      <c r="B24" s="28" t="n">
        <v>1</v>
      </c>
      <c r="C24" s="28" t="inlineStr">
        <is>
          <t>Jubilee</t>
        </is>
      </c>
      <c r="D24" s="28" t="inlineStr">
        <is>
          <t>Ghana</t>
        </is>
      </c>
      <c r="E24" s="28" t="n">
        <v>2024</v>
      </c>
      <c r="F24" s="45" t="n">
        <v>0.0779</v>
      </c>
    </row>
    <row r="25">
      <c r="A25" s="28" t="inlineStr">
        <is>
          <t>PHILLIPS_LINDEN</t>
        </is>
      </c>
      <c r="B25" s="28" t="n">
        <v>1</v>
      </c>
      <c r="C25" s="28" t="inlineStr">
        <is>
          <t>Elephant</t>
        </is>
      </c>
      <c r="D25" s="28" t="inlineStr">
        <is>
          <t>Libya</t>
        </is>
      </c>
      <c r="E25" s="28" t="n">
        <v>2024</v>
      </c>
      <c r="F25" s="45" t="n">
        <v>0.0464</v>
      </c>
    </row>
    <row r="26">
      <c r="A26" s="28" t="inlineStr">
        <is>
          <t>PHILLIPS_LINDEN</t>
        </is>
      </c>
      <c r="B26" s="28" t="n">
        <v>1</v>
      </c>
      <c r="C26" s="28" t="inlineStr">
        <is>
          <t>Terra Nova</t>
        </is>
      </c>
      <c r="D26" s="28" t="inlineStr">
        <is>
          <t>Canada (East Coast)</t>
        </is>
      </c>
      <c r="E26" s="28" t="n">
        <v>2024</v>
      </c>
      <c r="F26" s="45" t="n">
        <v>0.0446</v>
      </c>
    </row>
    <row r="27">
      <c r="A27" s="28" t="inlineStr">
        <is>
          <t>PHILLIPS_LINDEN</t>
        </is>
      </c>
      <c r="B27" s="28" t="n">
        <v>1</v>
      </c>
      <c r="C27" s="28" t="inlineStr">
        <is>
          <t>Saharan Blend</t>
        </is>
      </c>
      <c r="D27" s="28" t="inlineStr">
        <is>
          <t>Algeria</t>
        </is>
      </c>
      <c r="E27" s="28" t="n">
        <v>2024</v>
      </c>
      <c r="F27" s="45" t="n">
        <v>0.0429</v>
      </c>
    </row>
    <row r="28">
      <c r="A28" s="28" t="inlineStr">
        <is>
          <t>PHILLIPS_LINDEN</t>
        </is>
      </c>
      <c r="B28" s="28" t="n">
        <v>1</v>
      </c>
      <c r="C28" s="28" t="inlineStr">
        <is>
          <t>Palanca Blend</t>
        </is>
      </c>
      <c r="D28" s="28" t="inlineStr">
        <is>
          <t>Angola</t>
        </is>
      </c>
      <c r="E28" s="28" t="n">
        <v>2024</v>
      </c>
      <c r="F28" s="45" t="n">
        <v>0.03700000000000001</v>
      </c>
    </row>
    <row r="29">
      <c r="A29" s="28" t="inlineStr">
        <is>
          <t>PHILLIPS_LINDEN</t>
        </is>
      </c>
      <c r="B29" s="28" t="n">
        <v>1</v>
      </c>
      <c r="C29" s="28" t="inlineStr">
        <is>
          <t>West Texas Intermediate</t>
        </is>
      </c>
      <c r="D29" s="28" t="inlineStr">
        <is>
          <t>United States</t>
        </is>
      </c>
      <c r="E29" s="28" t="n">
        <v>2024</v>
      </c>
      <c r="F29" s="45" t="n">
        <v>0.0362</v>
      </c>
    </row>
    <row r="30">
      <c r="A30" s="28" t="inlineStr">
        <is>
          <t>PHILLIPS_LINDEN</t>
        </is>
      </c>
      <c r="B30" s="28" t="n">
        <v>1</v>
      </c>
      <c r="C30" s="28" t="inlineStr">
        <is>
          <t>Brass River</t>
        </is>
      </c>
      <c r="D30" s="28" t="inlineStr">
        <is>
          <t>Nigeria</t>
        </is>
      </c>
      <c r="E30" s="28" t="n">
        <v>2024</v>
      </c>
      <c r="F30" s="45" t="n">
        <v>0.0346</v>
      </c>
    </row>
    <row r="31">
      <c r="A31" s="28" t="inlineStr">
        <is>
          <t>PHILLIPS_LINDEN</t>
        </is>
      </c>
      <c r="B31" s="28" t="n">
        <v>1</v>
      </c>
      <c r="C31" s="28" t="inlineStr">
        <is>
          <t>Johan Sverdrup</t>
        </is>
      </c>
      <c r="D31" s="28" t="inlineStr">
        <is>
          <t>Norway</t>
        </is>
      </c>
      <c r="E31" s="28" t="n">
        <v>2024</v>
      </c>
      <c r="F31" s="45" t="n">
        <v>0.025</v>
      </c>
    </row>
    <row r="32">
      <c r="A32" s="28" t="inlineStr">
        <is>
          <t>PHILLIPS_LINDEN</t>
        </is>
      </c>
      <c r="B32" s="28" t="n">
        <v>1</v>
      </c>
      <c r="C32" s="28" t="inlineStr">
        <is>
          <t>Sankofa East</t>
        </is>
      </c>
      <c r="D32" s="28" t="inlineStr">
        <is>
          <t>Ghana</t>
        </is>
      </c>
      <c r="E32" s="28" t="n">
        <v>2024</v>
      </c>
      <c r="F32" s="45" t="n">
        <v>0.0234</v>
      </c>
    </row>
    <row r="33">
      <c r="A33" s="28" t="inlineStr">
        <is>
          <t>PHILLIPS_LINDEN</t>
        </is>
      </c>
      <c r="B33" s="28" t="n">
        <v>1</v>
      </c>
      <c r="C33" s="28" t="inlineStr">
        <is>
          <t>EA</t>
        </is>
      </c>
      <c r="D33" s="28" t="inlineStr">
        <is>
          <t>Nigeria</t>
        </is>
      </c>
      <c r="E33" s="28" t="n">
        <v>2024</v>
      </c>
      <c r="F33" s="45" t="n">
        <v>0.023</v>
      </c>
    </row>
    <row r="34">
      <c r="A34" s="28" t="inlineStr">
        <is>
          <t>PHILLIPS_LINDEN</t>
        </is>
      </c>
      <c r="B34" s="28" t="n">
        <v>1</v>
      </c>
      <c r="C34" s="28" t="inlineStr">
        <is>
          <t>Eagle Ford Crude</t>
        </is>
      </c>
      <c r="D34" s="28" t="inlineStr">
        <is>
          <t>United States</t>
        </is>
      </c>
      <c r="E34" s="28" t="n">
        <v>2024</v>
      </c>
      <c r="F34" s="45" t="n">
        <v>0.0221</v>
      </c>
    </row>
    <row r="35">
      <c r="A35" s="28" t="inlineStr">
        <is>
          <t>PHILLIPS_LINDEN</t>
        </is>
      </c>
      <c r="B35" s="28" t="n">
        <v>1</v>
      </c>
      <c r="C35" s="28" t="inlineStr">
        <is>
          <t>White Rose</t>
        </is>
      </c>
      <c r="D35" s="28" t="inlineStr">
        <is>
          <t>Canada (East Coast)</t>
        </is>
      </c>
      <c r="E35" s="28" t="n">
        <v>2024</v>
      </c>
      <c r="F35" s="45" t="n">
        <v>0.008199999999999999</v>
      </c>
    </row>
    <row r="36">
      <c r="A36" s="28" t="inlineStr">
        <is>
          <t>PHILLIPS_LINDEN</t>
        </is>
      </c>
      <c r="B36" s="28" t="n">
        <v>1</v>
      </c>
      <c r="C36" s="28" t="inlineStr">
        <is>
          <t>Escravos</t>
        </is>
      </c>
      <c r="D36" s="28" t="inlineStr">
        <is>
          <t>Nigeria</t>
        </is>
      </c>
      <c r="E36" s="28" t="n">
        <v>2024</v>
      </c>
      <c r="F36" s="45" t="n">
        <v>0.006</v>
      </c>
    </row>
    <row r="37">
      <c r="A37" s="28" t="inlineStr">
        <is>
          <t>UNITED_WARREN</t>
        </is>
      </c>
      <c r="B37" s="28" t="n">
        <v>1</v>
      </c>
      <c r="C37" s="28" t="inlineStr">
        <is>
          <t>Tight Oil Canada Saskatchewan Midale</t>
        </is>
      </c>
      <c r="D37" s="28" t="inlineStr">
        <is>
          <t>Canada (Saskatchewan)</t>
        </is>
      </c>
      <c r="E37" s="28" t="n">
        <v>2024</v>
      </c>
      <c r="F37" s="45" t="n">
        <v>0.5184000000000001</v>
      </c>
    </row>
    <row r="38">
      <c r="A38" s="28" t="inlineStr">
        <is>
          <t>UNITED_WARREN</t>
        </is>
      </c>
      <c r="B38" s="28" t="n">
        <v>1</v>
      </c>
      <c r="C38" s="28" t="inlineStr">
        <is>
          <t>Bow River</t>
        </is>
      </c>
      <c r="D38" s="28" t="inlineStr">
        <is>
          <t>Canada</t>
        </is>
      </c>
      <c r="E38" s="28" t="n">
        <v>2024</v>
      </c>
      <c r="F38" s="45" t="n">
        <v>0.4709</v>
      </c>
    </row>
    <row r="39">
      <c r="A39" s="28" t="inlineStr">
        <is>
          <t>UNITED_WARREN</t>
        </is>
      </c>
      <c r="B39" s="28" t="n">
        <v>1</v>
      </c>
      <c r="C39" s="28" t="inlineStr">
        <is>
          <t>Pennsylvania Grade 43.0</t>
        </is>
      </c>
      <c r="D39" s="28" t="inlineStr">
        <is>
          <t>United States</t>
        </is>
      </c>
      <c r="E39" s="28" t="n">
        <v>2024</v>
      </c>
      <c r="F39" s="45" t="n">
        <v>0.0107</v>
      </c>
    </row>
    <row r="40">
      <c r="A40" s="28" t="inlineStr">
        <is>
          <t>BP_WHITING</t>
        </is>
      </c>
      <c r="B40" s="28" t="n">
        <v>2</v>
      </c>
      <c r="C40" s="28" t="inlineStr">
        <is>
          <t>Lloyd Blend</t>
        </is>
      </c>
      <c r="D40" s="28" t="inlineStr">
        <is>
          <t>United States</t>
        </is>
      </c>
      <c r="E40" s="28" t="n">
        <v>2024</v>
      </c>
      <c r="F40" s="45" t="n">
        <v>0.2145</v>
      </c>
    </row>
    <row r="41">
      <c r="A41" s="28" t="inlineStr">
        <is>
          <t>BP_WHITING</t>
        </is>
      </c>
      <c r="B41" s="28" t="n">
        <v>2</v>
      </c>
      <c r="C41" s="28" t="inlineStr">
        <is>
          <t>Cold Lake</t>
        </is>
      </c>
      <c r="D41" s="28" t="inlineStr">
        <is>
          <t>Canada (Oil Sands)</t>
        </is>
      </c>
      <c r="E41" s="28" t="n">
        <v>2024</v>
      </c>
      <c r="F41" s="45" t="n">
        <v>0.1827</v>
      </c>
    </row>
    <row r="42">
      <c r="A42" s="28" t="inlineStr">
        <is>
          <t>BP_WHITING</t>
        </is>
      </c>
      <c r="B42" s="28" t="n">
        <v>2</v>
      </c>
      <c r="C42" s="28" t="inlineStr">
        <is>
          <t>West Texas Intermediate</t>
        </is>
      </c>
      <c r="D42" s="28" t="inlineStr">
        <is>
          <t>United States</t>
        </is>
      </c>
      <c r="E42" s="28" t="n">
        <v>2024</v>
      </c>
      <c r="F42" s="45" t="n">
        <v>0.1494</v>
      </c>
    </row>
    <row r="43">
      <c r="A43" s="28" t="inlineStr">
        <is>
          <t>BP_WHITING</t>
        </is>
      </c>
      <c r="B43" s="28" t="n">
        <v>2</v>
      </c>
      <c r="C43" s="28" t="inlineStr">
        <is>
          <t>Wabasca</t>
        </is>
      </c>
      <c r="D43" s="28" t="inlineStr">
        <is>
          <t>Canada</t>
        </is>
      </c>
      <c r="E43" s="28" t="n">
        <v>2024</v>
      </c>
      <c r="F43" s="45" t="n">
        <v>0.1321</v>
      </c>
    </row>
    <row r="44">
      <c r="A44" s="28" t="inlineStr">
        <is>
          <t>BP_WHITING</t>
        </is>
      </c>
      <c r="B44" s="28" t="n">
        <v>2</v>
      </c>
      <c r="C44" s="28" t="inlineStr">
        <is>
          <t>Oil Sands Synthetic</t>
        </is>
      </c>
      <c r="D44" s="28" t="inlineStr">
        <is>
          <t>Canada (Oil Sands)</t>
        </is>
      </c>
      <c r="E44" s="28" t="n">
        <v>2024</v>
      </c>
      <c r="F44" s="45" t="n">
        <v>0.1083</v>
      </c>
    </row>
    <row r="45">
      <c r="A45" s="28" t="inlineStr">
        <is>
          <t>BP_WHITING</t>
        </is>
      </c>
      <c r="B45" s="28" t="n">
        <v>2</v>
      </c>
      <c r="C45" s="28" t="inlineStr">
        <is>
          <t>Bakken</t>
        </is>
      </c>
      <c r="D45" s="28" t="inlineStr">
        <is>
          <t>United States</t>
        </is>
      </c>
      <c r="E45" s="28" t="n">
        <v>2024</v>
      </c>
      <c r="F45" s="45" t="n">
        <v>0.08130000000000001</v>
      </c>
    </row>
    <row r="46">
      <c r="A46" s="28" t="inlineStr">
        <is>
          <t>BP_WHITING</t>
        </is>
      </c>
      <c r="B46" s="28" t="n">
        <v>2</v>
      </c>
      <c r="C46" s="28" t="inlineStr">
        <is>
          <t>Tight Oil Canada Saskatchewan Midale</t>
        </is>
      </c>
      <c r="D46" s="28" t="inlineStr">
        <is>
          <t>Canada (Saskatchewan)</t>
        </is>
      </c>
      <c r="E46" s="28" t="n">
        <v>2024</v>
      </c>
      <c r="F46" s="45" t="n">
        <v>0.0446</v>
      </c>
    </row>
    <row r="47">
      <c r="A47" s="28" t="inlineStr">
        <is>
          <t>BP_WHITING</t>
        </is>
      </c>
      <c r="B47" s="28" t="n">
        <v>2</v>
      </c>
      <c r="C47" s="28" t="inlineStr">
        <is>
          <t>Niobrara</t>
        </is>
      </c>
      <c r="D47" s="28" t="inlineStr">
        <is>
          <t>United States</t>
        </is>
      </c>
      <c r="E47" s="28" t="n">
        <v>2024</v>
      </c>
      <c r="F47" s="45" t="n">
        <v>0.033</v>
      </c>
    </row>
    <row r="48">
      <c r="A48" s="28" t="inlineStr">
        <is>
          <t>BP_WHITING</t>
        </is>
      </c>
      <c r="B48" s="28" t="n">
        <v>2</v>
      </c>
      <c r="C48" s="28" t="inlineStr">
        <is>
          <t>Mars/Ursa</t>
        </is>
      </c>
      <c r="D48" s="28" t="inlineStr">
        <is>
          <t>US (GOM Deepwater)</t>
        </is>
      </c>
      <c r="E48" s="28" t="n">
        <v>2024</v>
      </c>
      <c r="F48" s="45" t="n">
        <v>0.0114</v>
      </c>
    </row>
    <row r="49">
      <c r="A49" s="28" t="inlineStr">
        <is>
          <t>BP_WHITING</t>
        </is>
      </c>
      <c r="B49" s="28" t="n">
        <v>2</v>
      </c>
      <c r="C49" s="28" t="inlineStr">
        <is>
          <t>Milk River</t>
        </is>
      </c>
      <c r="D49" s="28" t="inlineStr">
        <is>
          <t>Canada</t>
        </is>
      </c>
      <c r="E49" s="28" t="n">
        <v>2024</v>
      </c>
      <c r="F49" s="45" t="n">
        <v>0.011</v>
      </c>
    </row>
    <row r="50">
      <c r="A50" s="28" t="inlineStr">
        <is>
          <t>BP_WHITING</t>
        </is>
      </c>
      <c r="B50" s="28" t="n">
        <v>2</v>
      </c>
      <c r="C50" s="28" t="inlineStr">
        <is>
          <t>Western Canadian Select</t>
        </is>
      </c>
      <c r="D50" s="28" t="inlineStr">
        <is>
          <t>Canada</t>
        </is>
      </c>
      <c r="E50" s="28" t="n">
        <v>2024</v>
      </c>
      <c r="F50" s="45" t="n">
        <v>0.0109</v>
      </c>
    </row>
    <row r="51">
      <c r="A51" s="28" t="inlineStr">
        <is>
          <t>BP_WHITING</t>
        </is>
      </c>
      <c r="B51" s="28" t="n">
        <v>2</v>
      </c>
      <c r="C51" s="28" t="inlineStr">
        <is>
          <t>Generic Synbit</t>
        </is>
      </c>
      <c r="D51" s="28" t="inlineStr">
        <is>
          <t>Canada</t>
        </is>
      </c>
      <c r="E51" s="28" t="n">
        <v>2024</v>
      </c>
      <c r="F51" s="45" t="n">
        <v>0.0089</v>
      </c>
    </row>
    <row r="52">
      <c r="A52" s="28" t="inlineStr">
        <is>
          <t>BP_WHITING</t>
        </is>
      </c>
      <c r="B52" s="28" t="n">
        <v>2</v>
      </c>
      <c r="C52" s="28" t="inlineStr">
        <is>
          <t>Domestic NGL British Columbia Canada</t>
        </is>
      </c>
      <c r="D52" s="28" t="inlineStr">
        <is>
          <t>Canada (British Columbia)</t>
        </is>
      </c>
      <c r="E52" s="28" t="n">
        <v>2024</v>
      </c>
      <c r="F52" s="45" t="n">
        <v>0.004699999999999999</v>
      </c>
    </row>
    <row r="53">
      <c r="A53" s="28" t="inlineStr">
        <is>
          <t>BP_WHITING</t>
        </is>
      </c>
      <c r="B53" s="28" t="n">
        <v>2</v>
      </c>
      <c r="C53" s="28" t="inlineStr">
        <is>
          <t>Suncor Synthetic H</t>
        </is>
      </c>
      <c r="D53" s="28" t="inlineStr">
        <is>
          <t>Canada (Saskatchewan)</t>
        </is>
      </c>
      <c r="E53" s="28" t="n">
        <v>2024</v>
      </c>
      <c r="F53" s="45" t="n">
        <v>0.0036</v>
      </c>
    </row>
    <row r="54">
      <c r="A54" s="28" t="inlineStr">
        <is>
          <t>BP_WHITING</t>
        </is>
      </c>
      <c r="B54" s="28" t="n">
        <v>2</v>
      </c>
      <c r="C54" s="28" t="inlineStr">
        <is>
          <t>West Texas Sour</t>
        </is>
      </c>
      <c r="D54" s="28" t="inlineStr">
        <is>
          <t>United States</t>
        </is>
      </c>
      <c r="E54" s="28" t="n">
        <v>2024</v>
      </c>
      <c r="F54" s="45" t="n">
        <v>0.0027</v>
      </c>
    </row>
    <row r="55">
      <c r="A55" s="28" t="inlineStr">
        <is>
          <t>BP_WHITING</t>
        </is>
      </c>
      <c r="B55" s="28" t="n">
        <v>2</v>
      </c>
      <c r="C55" s="28" t="inlineStr">
        <is>
          <t>Mixed Sweet Blend</t>
        </is>
      </c>
      <c r="D55" s="28" t="inlineStr">
        <is>
          <t>Canada</t>
        </is>
      </c>
      <c r="E55" s="28" t="n">
        <v>2024</v>
      </c>
      <c r="F55" s="45" t="n">
        <v>0.0009</v>
      </c>
    </row>
    <row r="56">
      <c r="A56" s="28" t="inlineStr">
        <is>
          <t>CENOVUS_LIMA</t>
        </is>
      </c>
      <c r="B56" s="28" t="n">
        <v>2</v>
      </c>
      <c r="C56" s="28" t="inlineStr">
        <is>
          <t>Cold Lake</t>
        </is>
      </c>
      <c r="D56" s="28" t="inlineStr">
        <is>
          <t>Canada (Oil Sands)</t>
        </is>
      </c>
      <c r="E56" s="28" t="n">
        <v>2024</v>
      </c>
      <c r="F56" s="45" t="n">
        <v>0.4376</v>
      </c>
    </row>
    <row r="57">
      <c r="A57" s="28" t="inlineStr">
        <is>
          <t>CENOVUS_LIMA</t>
        </is>
      </c>
      <c r="B57" s="28" t="n">
        <v>2</v>
      </c>
      <c r="C57" s="28" t="inlineStr">
        <is>
          <t>Bakken</t>
        </is>
      </c>
      <c r="D57" s="28" t="inlineStr">
        <is>
          <t>United States</t>
        </is>
      </c>
      <c r="E57" s="28" t="n">
        <v>2024</v>
      </c>
      <c r="F57" s="45" t="n">
        <v>0.2256</v>
      </c>
    </row>
    <row r="58">
      <c r="A58" s="28" t="inlineStr">
        <is>
          <t>CENOVUS_LIMA</t>
        </is>
      </c>
      <c r="B58" s="28" t="n">
        <v>2</v>
      </c>
      <c r="C58" s="28" t="inlineStr">
        <is>
          <t>Utica Crude</t>
        </is>
      </c>
      <c r="D58" s="28" t="inlineStr">
        <is>
          <t>United States</t>
        </is>
      </c>
      <c r="E58" s="28" t="n">
        <v>2024</v>
      </c>
      <c r="F58" s="45" t="n">
        <v>0.1495</v>
      </c>
    </row>
    <row r="59">
      <c r="A59" s="28" t="inlineStr">
        <is>
          <t>CENOVUS_LIMA</t>
        </is>
      </c>
      <c r="B59" s="28" t="n">
        <v>2</v>
      </c>
      <c r="C59" s="28" t="inlineStr">
        <is>
          <t>Domestic NGL British Columbia Canada</t>
        </is>
      </c>
      <c r="D59" s="28" t="inlineStr">
        <is>
          <t>Canada (British Columbia)</t>
        </is>
      </c>
      <c r="E59" s="28" t="n">
        <v>2024</v>
      </c>
      <c r="F59" s="45" t="n">
        <v>0.0852</v>
      </c>
    </row>
    <row r="60">
      <c r="A60" s="28" t="inlineStr">
        <is>
          <t>CENOVUS_LIMA</t>
        </is>
      </c>
      <c r="B60" s="28" t="n">
        <v>2</v>
      </c>
      <c r="C60" s="28" t="inlineStr">
        <is>
          <t>Oil Sands Synthetic</t>
        </is>
      </c>
      <c r="D60" s="28" t="inlineStr">
        <is>
          <t>Canada (Oil Sands)</t>
        </is>
      </c>
      <c r="E60" s="28" t="n">
        <v>2024</v>
      </c>
      <c r="F60" s="45" t="n">
        <v>0.0529</v>
      </c>
    </row>
    <row r="61">
      <c r="A61" s="28" t="inlineStr">
        <is>
          <t>CENOVUS_LIMA</t>
        </is>
      </c>
      <c r="B61" s="28" t="n">
        <v>2</v>
      </c>
      <c r="C61" s="28" t="inlineStr">
        <is>
          <t>Mixed Sweet Blend</t>
        </is>
      </c>
      <c r="D61" s="28" t="inlineStr">
        <is>
          <t>Canada</t>
        </is>
      </c>
      <c r="E61" s="28" t="n">
        <v>2024</v>
      </c>
      <c r="F61" s="45" t="n">
        <v>0.0345</v>
      </c>
    </row>
    <row r="62">
      <c r="A62" s="28" t="inlineStr">
        <is>
          <t>CENOVUS_LIMA</t>
        </is>
      </c>
      <c r="B62" s="28" t="n">
        <v>2</v>
      </c>
      <c r="C62" s="28" t="inlineStr">
        <is>
          <t>West Texas Intermediate</t>
        </is>
      </c>
      <c r="D62" s="28" t="inlineStr">
        <is>
          <t>United States</t>
        </is>
      </c>
      <c r="E62" s="28" t="n">
        <v>2024</v>
      </c>
      <c r="F62" s="45" t="n">
        <v>0.008</v>
      </c>
    </row>
    <row r="63">
      <c r="A63" s="28" t="inlineStr">
        <is>
          <t>CENOVUS_LIMA</t>
        </is>
      </c>
      <c r="B63" s="28" t="n">
        <v>2</v>
      </c>
      <c r="C63" s="28" t="inlineStr">
        <is>
          <t>Western Canadian Select</t>
        </is>
      </c>
      <c r="D63" s="28" t="inlineStr">
        <is>
          <t>Canada</t>
        </is>
      </c>
      <c r="E63" s="28" t="n">
        <v>2024</v>
      </c>
      <c r="F63" s="45" t="n">
        <v>0.005600000000000001</v>
      </c>
    </row>
    <row r="64">
      <c r="A64" s="28" t="inlineStr">
        <is>
          <t>CENOVUS_LIMA</t>
        </is>
      </c>
      <c r="B64" s="28" t="n">
        <v>2</v>
      </c>
      <c r="C64" s="28" t="inlineStr">
        <is>
          <t>Wabasca</t>
        </is>
      </c>
      <c r="D64" s="28" t="inlineStr">
        <is>
          <t>Canada</t>
        </is>
      </c>
      <c r="E64" s="28" t="n">
        <v>2024</v>
      </c>
      <c r="F64" s="45" t="n">
        <v>0.0011</v>
      </c>
    </row>
    <row r="65">
      <c r="A65" s="28" t="inlineStr">
        <is>
          <t>CENOVUS_TOLEDO</t>
        </is>
      </c>
      <c r="B65" s="28" t="n">
        <v>2</v>
      </c>
      <c r="C65" s="28" t="inlineStr">
        <is>
          <t>Cold Lake</t>
        </is>
      </c>
      <c r="D65" s="28" t="inlineStr">
        <is>
          <t>Canada (Oil Sands)</t>
        </is>
      </c>
      <c r="E65" s="28" t="n">
        <v>2024</v>
      </c>
      <c r="F65" s="45" t="n">
        <v>0.4471</v>
      </c>
    </row>
    <row r="66">
      <c r="A66" s="28" t="inlineStr">
        <is>
          <t>CENOVUS_TOLEDO</t>
        </is>
      </c>
      <c r="B66" s="28" t="n">
        <v>2</v>
      </c>
      <c r="C66" s="28" t="inlineStr">
        <is>
          <t>West Texas Intermediate</t>
        </is>
      </c>
      <c r="D66" s="28" t="inlineStr">
        <is>
          <t>United States</t>
        </is>
      </c>
      <c r="E66" s="28" t="n">
        <v>2024</v>
      </c>
      <c r="F66" s="45" t="n">
        <v>0.2762</v>
      </c>
    </row>
    <row r="67">
      <c r="A67" s="28" t="inlineStr">
        <is>
          <t>CENOVUS_TOLEDO</t>
        </is>
      </c>
      <c r="B67" s="28" t="n">
        <v>2</v>
      </c>
      <c r="C67" s="28" t="inlineStr">
        <is>
          <t>Oil Sands Synthetic</t>
        </is>
      </c>
      <c r="D67" s="28" t="inlineStr">
        <is>
          <t>Canada (Oil Sands)</t>
        </is>
      </c>
      <c r="E67" s="28" t="n">
        <v>2024</v>
      </c>
      <c r="F67" s="45" t="n">
        <v>0.1962</v>
      </c>
    </row>
    <row r="68">
      <c r="A68" s="28" t="inlineStr">
        <is>
          <t>CENOVUS_TOLEDO</t>
        </is>
      </c>
      <c r="B68" s="28" t="n">
        <v>2</v>
      </c>
      <c r="C68" s="28" t="inlineStr">
        <is>
          <t>Bakken</t>
        </is>
      </c>
      <c r="D68" s="28" t="inlineStr">
        <is>
          <t>United States</t>
        </is>
      </c>
      <c r="E68" s="28" t="n">
        <v>2024</v>
      </c>
      <c r="F68" s="45" t="n">
        <v>0.0737</v>
      </c>
    </row>
    <row r="69">
      <c r="A69" s="28" t="inlineStr">
        <is>
          <t>CENOVUS_TOLEDO</t>
        </is>
      </c>
      <c r="B69" s="28" t="n">
        <v>2</v>
      </c>
      <c r="C69" s="28" t="inlineStr">
        <is>
          <t>Domestic NGL British Columbia Canada</t>
        </is>
      </c>
      <c r="D69" s="28" t="inlineStr">
        <is>
          <t>Canada (British Columbia)</t>
        </is>
      </c>
      <c r="E69" s="28" t="n">
        <v>2024</v>
      </c>
      <c r="F69" s="45" t="n">
        <v>0.0068</v>
      </c>
    </row>
    <row r="70">
      <c r="A70" s="28" t="inlineStr">
        <is>
          <t>CENOVUS_WOOD_RIVER</t>
        </is>
      </c>
      <c r="B70" s="28" t="n">
        <v>2</v>
      </c>
      <c r="C70" s="28" t="inlineStr">
        <is>
          <t>West Texas Intermediate</t>
        </is>
      </c>
      <c r="D70" s="28" t="inlineStr">
        <is>
          <t>United States</t>
        </is>
      </c>
      <c r="E70" s="28" t="n">
        <v>2024</v>
      </c>
      <c r="F70" s="45" t="n">
        <v>0.4032</v>
      </c>
    </row>
    <row r="71">
      <c r="A71" s="28" t="inlineStr">
        <is>
          <t>CENOVUS_WOOD_RIVER</t>
        </is>
      </c>
      <c r="B71" s="28" t="n">
        <v>2</v>
      </c>
      <c r="C71" s="28" t="inlineStr">
        <is>
          <t>Western Canadian Select</t>
        </is>
      </c>
      <c r="D71" s="28" t="inlineStr">
        <is>
          <t>Canada</t>
        </is>
      </c>
      <c r="E71" s="28" t="n">
        <v>2024</v>
      </c>
      <c r="F71" s="45" t="n">
        <v>0.2873</v>
      </c>
    </row>
    <row r="72">
      <c r="A72" s="28" t="inlineStr">
        <is>
          <t>CENOVUS_WOOD_RIVER</t>
        </is>
      </c>
      <c r="B72" s="28" t="n">
        <v>2</v>
      </c>
      <c r="C72" s="28" t="inlineStr">
        <is>
          <t>Bakken</t>
        </is>
      </c>
      <c r="D72" s="28" t="inlineStr">
        <is>
          <t>United States</t>
        </is>
      </c>
      <c r="E72" s="28" t="n">
        <v>2024</v>
      </c>
      <c r="F72" s="45" t="n">
        <v>0.151</v>
      </c>
    </row>
    <row r="73">
      <c r="A73" s="28" t="inlineStr">
        <is>
          <t>CENOVUS_WOOD_RIVER</t>
        </is>
      </c>
      <c r="B73" s="28" t="n">
        <v>2</v>
      </c>
      <c r="C73" s="28" t="inlineStr">
        <is>
          <t>Cold Lake</t>
        </is>
      </c>
      <c r="D73" s="28" t="inlineStr">
        <is>
          <t>Canada (Oil Sands)</t>
        </is>
      </c>
      <c r="E73" s="28" t="n">
        <v>2024</v>
      </c>
      <c r="F73" s="45" t="n">
        <v>0.0984</v>
      </c>
    </row>
    <row r="74">
      <c r="A74" s="28" t="inlineStr">
        <is>
          <t>CENOVUS_WOOD_RIVER</t>
        </is>
      </c>
      <c r="B74" s="28" t="n">
        <v>2</v>
      </c>
      <c r="C74" s="28" t="inlineStr">
        <is>
          <t>Lloyd Blend</t>
        </is>
      </c>
      <c r="D74" s="28" t="inlineStr">
        <is>
          <t>United States</t>
        </is>
      </c>
      <c r="E74" s="28" t="n">
        <v>2024</v>
      </c>
      <c r="F74" s="45" t="n">
        <v>0.047</v>
      </c>
    </row>
    <row r="75">
      <c r="A75" s="28" t="inlineStr">
        <is>
          <t>CENOVUS_WOOD_RIVER</t>
        </is>
      </c>
      <c r="B75" s="28" t="n">
        <v>2</v>
      </c>
      <c r="C75" s="28" t="inlineStr">
        <is>
          <t>White Rose</t>
        </is>
      </c>
      <c r="D75" s="28" t="inlineStr">
        <is>
          <t>Canada (East Coast)</t>
        </is>
      </c>
      <c r="E75" s="28" t="n">
        <v>2024</v>
      </c>
      <c r="F75" s="45" t="n">
        <v>0.01</v>
      </c>
    </row>
    <row r="76">
      <c r="A76" s="28" t="inlineStr">
        <is>
          <t>CENOVUS_WOOD_RIVER</t>
        </is>
      </c>
      <c r="B76" s="28" t="n">
        <v>2</v>
      </c>
      <c r="C76" s="28" t="inlineStr">
        <is>
          <t>Suncor Synthetic H</t>
        </is>
      </c>
      <c r="D76" s="28" t="inlineStr">
        <is>
          <t>Canada (Saskatchewan)</t>
        </is>
      </c>
      <c r="E76" s="28" t="n">
        <v>2024</v>
      </c>
      <c r="F76" s="45" t="n">
        <v>0.0017</v>
      </c>
    </row>
    <row r="77">
      <c r="A77" s="28" t="inlineStr">
        <is>
          <t>CENOVUS_WOOD_RIVER</t>
        </is>
      </c>
      <c r="B77" s="28" t="n">
        <v>2</v>
      </c>
      <c r="C77" s="28" t="inlineStr">
        <is>
          <t>Albian Heavy Synthetic</t>
        </is>
      </c>
      <c r="D77" s="28" t="inlineStr">
        <is>
          <t>Canada (Saskatchewan)</t>
        </is>
      </c>
      <c r="E77" s="28" t="n">
        <v>2024</v>
      </c>
      <c r="F77" s="45" t="n">
        <v>0.0008</v>
      </c>
    </row>
    <row r="78">
      <c r="A78" s="28" t="inlineStr">
        <is>
          <t>CENOVUS_WOOD_RIVER</t>
        </is>
      </c>
      <c r="B78" s="28" t="n">
        <v>2</v>
      </c>
      <c r="C78" s="28" t="inlineStr">
        <is>
          <t>Oil Sands Synthetic</t>
        </is>
      </c>
      <c r="D78" s="28" t="inlineStr">
        <is>
          <t>Canada (Oil Sands)</t>
        </is>
      </c>
      <c r="E78" s="28" t="n">
        <v>2024</v>
      </c>
      <c r="F78" s="45" t="n">
        <v>0.0005999999999999999</v>
      </c>
    </row>
    <row r="79">
      <c r="A79" s="28" t="inlineStr">
        <is>
          <t>CITGO_LEMONT</t>
        </is>
      </c>
      <c r="B79" s="28" t="n">
        <v>2</v>
      </c>
      <c r="C79" s="28" t="inlineStr">
        <is>
          <t>Bow River</t>
        </is>
      </c>
      <c r="D79" s="28" t="inlineStr">
        <is>
          <t>Canada</t>
        </is>
      </c>
      <c r="E79" s="28" t="n">
        <v>2024</v>
      </c>
      <c r="F79" s="45" t="n">
        <v>0.5676</v>
      </c>
    </row>
    <row r="80">
      <c r="A80" s="28" t="inlineStr">
        <is>
          <t>CITGO_LEMONT</t>
        </is>
      </c>
      <c r="B80" s="28" t="n">
        <v>2</v>
      </c>
      <c r="C80" s="28" t="inlineStr">
        <is>
          <t>Tight Oil Canada Saskatchewan Midale</t>
        </is>
      </c>
      <c r="D80" s="28" t="inlineStr">
        <is>
          <t>Canada (Saskatchewan)</t>
        </is>
      </c>
      <c r="E80" s="28" t="n">
        <v>2024</v>
      </c>
      <c r="F80" s="45" t="n">
        <v>0.2685</v>
      </c>
    </row>
    <row r="81">
      <c r="A81" s="28" t="inlineStr">
        <is>
          <t>CITGO_LEMONT</t>
        </is>
      </c>
      <c r="B81" s="28" t="n">
        <v>2</v>
      </c>
      <c r="C81" s="28" t="inlineStr">
        <is>
          <t>West Texas Intermediate</t>
        </is>
      </c>
      <c r="D81" s="28" t="inlineStr">
        <is>
          <t>United States</t>
        </is>
      </c>
      <c r="E81" s="28" t="n">
        <v>2024</v>
      </c>
      <c r="F81" s="45" t="n">
        <v>0.1639</v>
      </c>
    </row>
    <row r="82">
      <c r="A82" s="28" t="inlineStr">
        <is>
          <t>CVR_COFFEYVILLE</t>
        </is>
      </c>
      <c r="B82" s="28" t="n">
        <v>2</v>
      </c>
      <c r="C82" s="28" t="inlineStr">
        <is>
          <t>West Texas Intermediate</t>
        </is>
      </c>
      <c r="D82" s="28" t="inlineStr">
        <is>
          <t>United States</t>
        </is>
      </c>
      <c r="E82" s="28" t="n">
        <v>2024</v>
      </c>
      <c r="F82" s="45" t="n">
        <v>0.5411</v>
      </c>
    </row>
    <row r="83">
      <c r="A83" s="28" t="inlineStr">
        <is>
          <t>CVR_COFFEYVILLE</t>
        </is>
      </c>
      <c r="B83" s="28" t="n">
        <v>2</v>
      </c>
      <c r="C83" s="28" t="inlineStr">
        <is>
          <t>Kansas Sweet</t>
        </is>
      </c>
      <c r="D83" s="28" t="inlineStr">
        <is>
          <t>United States</t>
        </is>
      </c>
      <c r="E83" s="28" t="n">
        <v>2024</v>
      </c>
      <c r="F83" s="45" t="n">
        <v>0.2983</v>
      </c>
    </row>
    <row r="84">
      <c r="A84" s="28" t="inlineStr">
        <is>
          <t>CVR_COFFEYVILLE</t>
        </is>
      </c>
      <c r="B84" s="28" t="n">
        <v>2</v>
      </c>
      <c r="C84" s="28" t="inlineStr">
        <is>
          <t>Cold Lake</t>
        </is>
      </c>
      <c r="D84" s="28" t="inlineStr">
        <is>
          <t>Canada (Oil Sands)</t>
        </is>
      </c>
      <c r="E84" s="28" t="n">
        <v>2024</v>
      </c>
      <c r="F84" s="45" t="n">
        <v>0.0706</v>
      </c>
    </row>
    <row r="85">
      <c r="A85" s="28" t="inlineStr">
        <is>
          <t>CVR_COFFEYVILLE</t>
        </is>
      </c>
      <c r="B85" s="28" t="n">
        <v>2</v>
      </c>
      <c r="C85" s="28" t="inlineStr">
        <is>
          <t>Lloyd Blend</t>
        </is>
      </c>
      <c r="D85" s="28" t="inlineStr">
        <is>
          <t>United States</t>
        </is>
      </c>
      <c r="E85" s="28" t="n">
        <v>2024</v>
      </c>
      <c r="F85" s="45" t="n">
        <v>0.0566</v>
      </c>
    </row>
    <row r="86">
      <c r="A86" s="28" t="inlineStr">
        <is>
          <t>CVR_COFFEYVILLE</t>
        </is>
      </c>
      <c r="B86" s="28" t="n">
        <v>2</v>
      </c>
      <c r="C86" s="28" t="inlineStr">
        <is>
          <t>Domestic NGL Alaska United States</t>
        </is>
      </c>
      <c r="D86" s="28" t="inlineStr">
        <is>
          <t>US (Alaska)</t>
        </is>
      </c>
      <c r="E86" s="28" t="n">
        <v>2024</v>
      </c>
      <c r="F86" s="45" t="n">
        <v>0.0241</v>
      </c>
    </row>
    <row r="87">
      <c r="A87" s="28" t="inlineStr">
        <is>
          <t>CVR_COFFEYVILLE</t>
        </is>
      </c>
      <c r="B87" s="28" t="n">
        <v>2</v>
      </c>
      <c r="C87" s="28" t="inlineStr">
        <is>
          <t>Wabasca</t>
        </is>
      </c>
      <c r="D87" s="28" t="inlineStr">
        <is>
          <t>Canada</t>
        </is>
      </c>
      <c r="E87" s="28" t="n">
        <v>2024</v>
      </c>
      <c r="F87" s="45" t="n">
        <v>0.0064</v>
      </c>
    </row>
    <row r="88">
      <c r="A88" s="28" t="inlineStr">
        <is>
          <t>CVR_COFFEYVILLE</t>
        </is>
      </c>
      <c r="B88" s="28" t="n">
        <v>2</v>
      </c>
      <c r="C88" s="28" t="inlineStr">
        <is>
          <t>Oil Sands Synthetic</t>
        </is>
      </c>
      <c r="D88" s="28" t="inlineStr">
        <is>
          <t>Canada (Oil Sands)</t>
        </is>
      </c>
      <c r="E88" s="28" t="n">
        <v>2024</v>
      </c>
      <c r="F88" s="45" t="n">
        <v>0.0016</v>
      </c>
    </row>
    <row r="89">
      <c r="A89" s="28" t="inlineStr">
        <is>
          <t>CVR_COFFEYVILLE</t>
        </is>
      </c>
      <c r="B89" s="28" t="n">
        <v>2</v>
      </c>
      <c r="C89" s="28" t="inlineStr">
        <is>
          <t>Western Canadian Select</t>
        </is>
      </c>
      <c r="D89" s="28" t="inlineStr">
        <is>
          <t>Canada</t>
        </is>
      </c>
      <c r="E89" s="28" t="n">
        <v>2024</v>
      </c>
      <c r="F89" s="45" t="n">
        <v>0.0013</v>
      </c>
    </row>
    <row r="90">
      <c r="A90" s="28" t="inlineStr">
        <is>
          <t>CVR_WYNNEWOOD</t>
        </is>
      </c>
      <c r="B90" s="28" t="n">
        <v>2</v>
      </c>
      <c r="C90" s="28" t="inlineStr">
        <is>
          <t>West Texas Intermediate</t>
        </is>
      </c>
      <c r="D90" s="28" t="inlineStr">
        <is>
          <t>United States</t>
        </is>
      </c>
      <c r="E90" s="28" t="n">
        <v>2024</v>
      </c>
      <c r="F90" s="45" t="n">
        <v>0.8199</v>
      </c>
    </row>
    <row r="91">
      <c r="A91" s="28" t="inlineStr">
        <is>
          <t>CVR_WYNNEWOOD</t>
        </is>
      </c>
      <c r="B91" s="28" t="n">
        <v>2</v>
      </c>
      <c r="C91" s="28" t="inlineStr">
        <is>
          <t>Domestic NGL Alaska United States</t>
        </is>
      </c>
      <c r="D91" s="28" t="inlineStr">
        <is>
          <t>US (Alaska)</t>
        </is>
      </c>
      <c r="E91" s="28" t="n">
        <v>2024</v>
      </c>
      <c r="F91" s="45" t="n">
        <v>0.1627</v>
      </c>
    </row>
    <row r="92">
      <c r="A92" s="28" t="inlineStr">
        <is>
          <t>CVR_WYNNEWOOD</t>
        </is>
      </c>
      <c r="B92" s="28" t="n">
        <v>2</v>
      </c>
      <c r="C92" s="28" t="inlineStr">
        <is>
          <t>East Texas</t>
        </is>
      </c>
      <c r="D92" s="28" t="inlineStr">
        <is>
          <t>United States</t>
        </is>
      </c>
      <c r="E92" s="28" t="n">
        <v>2024</v>
      </c>
      <c r="F92" s="45" t="n">
        <v>0.0174</v>
      </c>
    </row>
    <row r="93">
      <c r="A93" s="28" t="inlineStr">
        <is>
          <t>EXXONMOBIL_JOLIET</t>
        </is>
      </c>
      <c r="B93" s="28" t="n">
        <v>2</v>
      </c>
      <c r="C93" s="28" t="inlineStr">
        <is>
          <t>Cold Lake</t>
        </is>
      </c>
      <c r="D93" s="28" t="inlineStr">
        <is>
          <t>Canada (Oil Sands)</t>
        </is>
      </c>
      <c r="E93" s="28" t="n">
        <v>2024</v>
      </c>
      <c r="F93" s="45" t="n">
        <v>0.5512</v>
      </c>
    </row>
    <row r="94">
      <c r="A94" s="28" t="inlineStr">
        <is>
          <t>EXXONMOBIL_JOLIET</t>
        </is>
      </c>
      <c r="B94" s="28" t="n">
        <v>2</v>
      </c>
      <c r="C94" s="28" t="inlineStr">
        <is>
          <t>Milk River</t>
        </is>
      </c>
      <c r="D94" s="28" t="inlineStr">
        <is>
          <t>Canada</t>
        </is>
      </c>
      <c r="E94" s="28" t="n">
        <v>2024</v>
      </c>
      <c r="F94" s="45" t="n">
        <v>0.1511</v>
      </c>
    </row>
    <row r="95">
      <c r="A95" s="28" t="inlineStr">
        <is>
          <t>EXXONMOBIL_JOLIET</t>
        </is>
      </c>
      <c r="B95" s="28" t="n">
        <v>2</v>
      </c>
      <c r="C95" s="28" t="inlineStr">
        <is>
          <t>Oil Sands Synthetic</t>
        </is>
      </c>
      <c r="D95" s="28" t="inlineStr">
        <is>
          <t>Canada (Oil Sands)</t>
        </is>
      </c>
      <c r="E95" s="28" t="n">
        <v>2024</v>
      </c>
      <c r="F95" s="45" t="n">
        <v>0.1378</v>
      </c>
    </row>
    <row r="96">
      <c r="A96" s="28" t="inlineStr">
        <is>
          <t>EXXONMOBIL_JOLIET</t>
        </is>
      </c>
      <c r="B96" s="28" t="n">
        <v>2</v>
      </c>
      <c r="C96" s="28" t="inlineStr">
        <is>
          <t>Western Canadian Select</t>
        </is>
      </c>
      <c r="D96" s="28" t="inlineStr">
        <is>
          <t>Canada</t>
        </is>
      </c>
      <c r="E96" s="28" t="n">
        <v>2024</v>
      </c>
      <c r="F96" s="45" t="n">
        <v>0.1202</v>
      </c>
    </row>
    <row r="97">
      <c r="A97" s="28" t="inlineStr">
        <is>
          <t>EXXONMOBIL_JOLIET</t>
        </is>
      </c>
      <c r="B97" s="28" t="n">
        <v>2</v>
      </c>
      <c r="C97" s="28" t="inlineStr">
        <is>
          <t>Domestic NGL British Columbia Canada</t>
        </is>
      </c>
      <c r="D97" s="28" t="inlineStr">
        <is>
          <t>Canada (British Columbia)</t>
        </is>
      </c>
      <c r="E97" s="28" t="n">
        <v>2024</v>
      </c>
      <c r="F97" s="45" t="n">
        <v>0.0217</v>
      </c>
    </row>
    <row r="98">
      <c r="A98" s="28" t="inlineStr">
        <is>
          <t>EXXONMOBIL_JOLIET</t>
        </is>
      </c>
      <c r="B98" s="28" t="n">
        <v>2</v>
      </c>
      <c r="C98" s="28" t="inlineStr">
        <is>
          <t>Tight Oil Canada Saskatchewan Midale</t>
        </is>
      </c>
      <c r="D98" s="28" t="inlineStr">
        <is>
          <t>Canada (Saskatchewan)</t>
        </is>
      </c>
      <c r="E98" s="28" t="n">
        <v>2024</v>
      </c>
      <c r="F98" s="45" t="n">
        <v>0.006500000000000001</v>
      </c>
    </row>
    <row r="99">
      <c r="A99" s="28" t="inlineStr">
        <is>
          <t>EXXONMOBIL_JOLIET</t>
        </is>
      </c>
      <c r="B99" s="28" t="n">
        <v>2</v>
      </c>
      <c r="C99" s="28" t="inlineStr">
        <is>
          <t>Mixed Sweet Blend</t>
        </is>
      </c>
      <c r="D99" s="28" t="inlineStr">
        <is>
          <t>Canada</t>
        </is>
      </c>
      <c r="E99" s="28" t="n">
        <v>2024</v>
      </c>
      <c r="F99" s="45" t="n">
        <v>0.006</v>
      </c>
    </row>
    <row r="100">
      <c r="A100" s="28" t="inlineStr">
        <is>
          <t>EXXONMOBIL_JOLIET</t>
        </is>
      </c>
      <c r="B100" s="28" t="n">
        <v>2</v>
      </c>
      <c r="C100" s="28" t="inlineStr">
        <is>
          <t>Suncor Synthetic H</t>
        </is>
      </c>
      <c r="D100" s="28" t="inlineStr">
        <is>
          <t>Canada (Saskatchewan)</t>
        </is>
      </c>
      <c r="E100" s="28" t="n">
        <v>2024</v>
      </c>
      <c r="F100" s="45" t="n">
        <v>0.0049</v>
      </c>
    </row>
    <row r="101">
      <c r="A101" s="28" t="inlineStr">
        <is>
          <t>EXXONMOBIL_JOLIET</t>
        </is>
      </c>
      <c r="B101" s="28" t="n">
        <v>2</v>
      </c>
      <c r="C101" s="28" t="inlineStr">
        <is>
          <t>Lloyd Blend</t>
        </is>
      </c>
      <c r="D101" s="28" t="inlineStr">
        <is>
          <t>United States</t>
        </is>
      </c>
      <c r="E101" s="28" t="n">
        <v>2024</v>
      </c>
      <c r="F101" s="45" t="n">
        <v>0.0005999999999999999</v>
      </c>
    </row>
    <row r="102">
      <c r="A102" s="28" t="inlineStr">
        <is>
          <t>FLINT_ROSEMOUNT</t>
        </is>
      </c>
      <c r="B102" s="28" t="n">
        <v>2</v>
      </c>
      <c r="C102" s="28" t="inlineStr">
        <is>
          <t>Cold Lake</t>
        </is>
      </c>
      <c r="D102" s="28" t="inlineStr">
        <is>
          <t>Canada (Oil Sands)</t>
        </is>
      </c>
      <c r="E102" s="28" t="n">
        <v>2024</v>
      </c>
      <c r="F102" s="45" t="n">
        <v>0.6236</v>
      </c>
    </row>
    <row r="103">
      <c r="A103" s="28" t="inlineStr">
        <is>
          <t>FLINT_ROSEMOUNT</t>
        </is>
      </c>
      <c r="B103" s="28" t="n">
        <v>2</v>
      </c>
      <c r="C103" s="28" t="inlineStr">
        <is>
          <t>Suncor Synthetic H</t>
        </is>
      </c>
      <c r="D103" s="28" t="inlineStr">
        <is>
          <t>Canada (Saskatchewan)</t>
        </is>
      </c>
      <c r="E103" s="28" t="n">
        <v>2024</v>
      </c>
      <c r="F103" s="45" t="n">
        <v>0.1206</v>
      </c>
    </row>
    <row r="104">
      <c r="A104" s="28" t="inlineStr">
        <is>
          <t>FLINT_ROSEMOUNT</t>
        </is>
      </c>
      <c r="B104" s="28" t="n">
        <v>2</v>
      </c>
      <c r="C104" s="28" t="inlineStr">
        <is>
          <t>Western Canadian Select</t>
        </is>
      </c>
      <c r="D104" s="28" t="inlineStr">
        <is>
          <t>Canada</t>
        </is>
      </c>
      <c r="E104" s="28" t="n">
        <v>2024</v>
      </c>
      <c r="F104" s="45" t="n">
        <v>0.07980000000000001</v>
      </c>
    </row>
    <row r="105">
      <c r="A105" s="28" t="inlineStr">
        <is>
          <t>FLINT_ROSEMOUNT</t>
        </is>
      </c>
      <c r="B105" s="28" t="n">
        <v>2</v>
      </c>
      <c r="C105" s="28" t="inlineStr">
        <is>
          <t>Domestic NGL British Columbia Canada</t>
        </is>
      </c>
      <c r="D105" s="28" t="inlineStr">
        <is>
          <t>Canada (British Columbia)</t>
        </is>
      </c>
      <c r="E105" s="28" t="n">
        <v>2024</v>
      </c>
      <c r="F105" s="45" t="n">
        <v>0.0658</v>
      </c>
    </row>
    <row r="106">
      <c r="A106" s="28" t="inlineStr">
        <is>
          <t>FLINT_ROSEMOUNT</t>
        </is>
      </c>
      <c r="B106" s="28" t="n">
        <v>2</v>
      </c>
      <c r="C106" s="28" t="inlineStr">
        <is>
          <t>Lloyd Blend</t>
        </is>
      </c>
      <c r="D106" s="28" t="inlineStr">
        <is>
          <t>United States</t>
        </is>
      </c>
      <c r="E106" s="28" t="n">
        <v>2024</v>
      </c>
      <c r="F106" s="45" t="n">
        <v>0.0504</v>
      </c>
    </row>
    <row r="107">
      <c r="A107" s="28" t="inlineStr">
        <is>
          <t>FLINT_ROSEMOUNT</t>
        </is>
      </c>
      <c r="B107" s="28" t="n">
        <v>2</v>
      </c>
      <c r="C107" s="28" t="inlineStr">
        <is>
          <t>Bakken</t>
        </is>
      </c>
      <c r="D107" s="28" t="inlineStr">
        <is>
          <t>United States</t>
        </is>
      </c>
      <c r="E107" s="28" t="n">
        <v>2024</v>
      </c>
      <c r="F107" s="45" t="n">
        <v>0.0331</v>
      </c>
    </row>
    <row r="108">
      <c r="A108" s="28" t="inlineStr">
        <is>
          <t>FLINT_ROSEMOUNT</t>
        </is>
      </c>
      <c r="B108" s="28" t="n">
        <v>2</v>
      </c>
      <c r="C108" s="28" t="inlineStr">
        <is>
          <t>Milk River</t>
        </is>
      </c>
      <c r="D108" s="28" t="inlineStr">
        <is>
          <t>Canada</t>
        </is>
      </c>
      <c r="E108" s="28" t="n">
        <v>2024</v>
      </c>
      <c r="F108" s="45" t="n">
        <v>0.0149</v>
      </c>
    </row>
    <row r="109">
      <c r="A109" s="28" t="inlineStr">
        <is>
          <t>FLINT_ROSEMOUNT</t>
        </is>
      </c>
      <c r="B109" s="28" t="n">
        <v>2</v>
      </c>
      <c r="C109" s="28" t="inlineStr">
        <is>
          <t>Mixed Sweet Blend</t>
        </is>
      </c>
      <c r="D109" s="28" t="inlineStr">
        <is>
          <t>Canada</t>
        </is>
      </c>
      <c r="E109" s="28" t="n">
        <v>2024</v>
      </c>
      <c r="F109" s="45" t="n">
        <v>0.0098</v>
      </c>
    </row>
    <row r="110">
      <c r="A110" s="28" t="inlineStr">
        <is>
          <t>FLINT_ROSEMOUNT</t>
        </is>
      </c>
      <c r="B110" s="28" t="n">
        <v>2</v>
      </c>
      <c r="C110" s="28" t="inlineStr">
        <is>
          <t>Tight Oil Canada Saskatchewan Midale</t>
        </is>
      </c>
      <c r="D110" s="28" t="inlineStr">
        <is>
          <t>Canada (Saskatchewan)</t>
        </is>
      </c>
      <c r="E110" s="28" t="n">
        <v>2024</v>
      </c>
      <c r="F110" s="45" t="n">
        <v>0.002</v>
      </c>
    </row>
    <row r="111">
      <c r="A111" s="28" t="inlineStr">
        <is>
          <t>HF_EL_DORADO_KS</t>
        </is>
      </c>
      <c r="B111" s="28" t="n">
        <v>2</v>
      </c>
      <c r="C111" s="28" t="inlineStr">
        <is>
          <t>Lloyd Blend</t>
        </is>
      </c>
      <c r="D111" s="28" t="inlineStr">
        <is>
          <t>United States</t>
        </is>
      </c>
      <c r="E111" s="28" t="n">
        <v>2024</v>
      </c>
      <c r="F111" s="45" t="n">
        <v>0.2394</v>
      </c>
    </row>
    <row r="112">
      <c r="A112" s="28" t="inlineStr">
        <is>
          <t>HF_EL_DORADO_KS</t>
        </is>
      </c>
      <c r="B112" s="28" t="n">
        <v>2</v>
      </c>
      <c r="C112" s="28" t="inlineStr">
        <is>
          <t>Cold Lake</t>
        </is>
      </c>
      <c r="D112" s="28" t="inlineStr">
        <is>
          <t>Canada (Oil Sands)</t>
        </is>
      </c>
      <c r="E112" s="28" t="n">
        <v>2024</v>
      </c>
      <c r="F112" s="45" t="n">
        <v>0.2363</v>
      </c>
    </row>
    <row r="113">
      <c r="A113" s="28" t="inlineStr">
        <is>
          <t>HF_EL_DORADO_KS</t>
        </is>
      </c>
      <c r="B113" s="28" t="n">
        <v>2</v>
      </c>
      <c r="C113" s="28" t="inlineStr">
        <is>
          <t>Wabasca</t>
        </is>
      </c>
      <c r="D113" s="28" t="inlineStr">
        <is>
          <t>Canada</t>
        </is>
      </c>
      <c r="E113" s="28" t="n">
        <v>2024</v>
      </c>
      <c r="F113" s="45" t="n">
        <v>0.2022</v>
      </c>
    </row>
    <row r="114">
      <c r="A114" s="28" t="inlineStr">
        <is>
          <t>HF_EL_DORADO_KS</t>
        </is>
      </c>
      <c r="B114" s="28" t="n">
        <v>2</v>
      </c>
      <c r="C114" s="28" t="inlineStr">
        <is>
          <t>West Texas Intermediate</t>
        </is>
      </c>
      <c r="D114" s="28" t="inlineStr">
        <is>
          <t>United States</t>
        </is>
      </c>
      <c r="E114" s="28" t="n">
        <v>2024</v>
      </c>
      <c r="F114" s="45" t="n">
        <v>0.1959</v>
      </c>
    </row>
    <row r="115">
      <c r="A115" s="28" t="inlineStr">
        <is>
          <t>HF_EL_DORADO_KS</t>
        </is>
      </c>
      <c r="B115" s="28" t="n">
        <v>2</v>
      </c>
      <c r="C115" s="28" t="inlineStr">
        <is>
          <t>Oil Sands Synthetic</t>
        </is>
      </c>
      <c r="D115" s="28" t="inlineStr">
        <is>
          <t>Canada (Oil Sands)</t>
        </is>
      </c>
      <c r="E115" s="28" t="n">
        <v>2024</v>
      </c>
      <c r="F115" s="45" t="n">
        <v>0.06480000000000001</v>
      </c>
    </row>
    <row r="116">
      <c r="A116" s="28" t="inlineStr">
        <is>
          <t>HF_EL_DORADO_KS</t>
        </is>
      </c>
      <c r="B116" s="28" t="n">
        <v>2</v>
      </c>
      <c r="C116" s="28" t="inlineStr">
        <is>
          <t>Niobrara</t>
        </is>
      </c>
      <c r="D116" s="28" t="inlineStr">
        <is>
          <t>United States</t>
        </is>
      </c>
      <c r="E116" s="28" t="n">
        <v>2024</v>
      </c>
      <c r="F116" s="45" t="n">
        <v>0.0614</v>
      </c>
    </row>
    <row r="117">
      <c r="A117" s="28" t="inlineStr">
        <is>
          <t>HF_TULSA</t>
        </is>
      </c>
      <c r="B117" s="28" t="n">
        <v>2</v>
      </c>
      <c r="C117" s="28" t="inlineStr">
        <is>
          <t>West Texas Intermediate</t>
        </is>
      </c>
      <c r="D117" s="28" t="inlineStr">
        <is>
          <t>United States</t>
        </is>
      </c>
      <c r="E117" s="28" t="n">
        <v>2024</v>
      </c>
      <c r="F117" s="45" t="n">
        <v>0.8573000000000001</v>
      </c>
    </row>
    <row r="118">
      <c r="A118" s="28" t="inlineStr">
        <is>
          <t>HF_TULSA</t>
        </is>
      </c>
      <c r="B118" s="28" t="n">
        <v>2</v>
      </c>
      <c r="C118" s="28" t="inlineStr">
        <is>
          <t>Milk River</t>
        </is>
      </c>
      <c r="D118" s="28" t="inlineStr">
        <is>
          <t>Canada</t>
        </is>
      </c>
      <c r="E118" s="28" t="n">
        <v>2024</v>
      </c>
      <c r="F118" s="45" t="n">
        <v>0.1399</v>
      </c>
    </row>
    <row r="119">
      <c r="A119" s="28" t="inlineStr">
        <is>
          <t>HF_TULSA</t>
        </is>
      </c>
      <c r="B119" s="28" t="n">
        <v>2</v>
      </c>
      <c r="C119" s="28" t="inlineStr">
        <is>
          <t>Tight Oil Canada Saskatchewan Midale</t>
        </is>
      </c>
      <c r="D119" s="28" t="inlineStr">
        <is>
          <t>Canada (Saskatchewan)</t>
        </is>
      </c>
      <c r="E119" s="28" t="n">
        <v>2024</v>
      </c>
      <c r="F119" s="45" t="n">
        <v>0.0028</v>
      </c>
    </row>
    <row r="120">
      <c r="A120" s="28" t="inlineStr">
        <is>
          <t>MARATHON_CANTON</t>
        </is>
      </c>
      <c r="B120" s="28" t="n">
        <v>2</v>
      </c>
      <c r="C120" s="28" t="inlineStr">
        <is>
          <t>West Texas Intermediate</t>
        </is>
      </c>
      <c r="D120" s="28" t="inlineStr">
        <is>
          <t>United States</t>
        </is>
      </c>
      <c r="E120" s="28" t="n">
        <v>2024</v>
      </c>
      <c r="F120" s="45" t="n">
        <v>0.7037</v>
      </c>
    </row>
    <row r="121">
      <c r="A121" s="28" t="inlineStr">
        <is>
          <t>MARATHON_CANTON</t>
        </is>
      </c>
      <c r="B121" s="28" t="n">
        <v>2</v>
      </c>
      <c r="C121" s="28" t="inlineStr">
        <is>
          <t>Utica Crude</t>
        </is>
      </c>
      <c r="D121" s="28" t="inlineStr">
        <is>
          <t>United States</t>
        </is>
      </c>
      <c r="E121" s="28" t="n">
        <v>2024</v>
      </c>
      <c r="F121" s="45" t="n">
        <v>0.2212</v>
      </c>
    </row>
    <row r="122">
      <c r="A122" s="28" t="inlineStr">
        <is>
          <t>MARATHON_CANTON</t>
        </is>
      </c>
      <c r="B122" s="28" t="n">
        <v>2</v>
      </c>
      <c r="C122" s="28" t="inlineStr">
        <is>
          <t>Bakken</t>
        </is>
      </c>
      <c r="D122" s="28" t="inlineStr">
        <is>
          <t>United States</t>
        </is>
      </c>
      <c r="E122" s="28" t="n">
        <v>2024</v>
      </c>
      <c r="F122" s="45" t="n">
        <v>0.0751</v>
      </c>
    </row>
    <row r="123">
      <c r="A123" s="28" t="inlineStr">
        <is>
          <t>MARATHON_CATLETTSBURG</t>
        </is>
      </c>
      <c r="B123" s="28" t="n">
        <v>2</v>
      </c>
      <c r="C123" s="28" t="inlineStr">
        <is>
          <t>West Texas Intermediate</t>
        </is>
      </c>
      <c r="D123" s="28" t="inlineStr">
        <is>
          <t>United States</t>
        </is>
      </c>
      <c r="E123" s="28" t="n">
        <v>2024</v>
      </c>
      <c r="F123" s="45" t="n">
        <v>0.6742</v>
      </c>
    </row>
    <row r="124">
      <c r="A124" s="28" t="inlineStr">
        <is>
          <t>MARATHON_CATLETTSBURG</t>
        </is>
      </c>
      <c r="B124" s="28" t="n">
        <v>2</v>
      </c>
      <c r="C124" s="28" t="inlineStr">
        <is>
          <t>Utica Crude</t>
        </is>
      </c>
      <c r="D124" s="28" t="inlineStr">
        <is>
          <t>United States</t>
        </is>
      </c>
      <c r="E124" s="28" t="n">
        <v>2024</v>
      </c>
      <c r="F124" s="45" t="n">
        <v>0.3258</v>
      </c>
    </row>
    <row r="125">
      <c r="A125" s="28" t="inlineStr">
        <is>
          <t>MARATHON_DETROIT</t>
        </is>
      </c>
      <c r="B125" s="28" t="n">
        <v>2</v>
      </c>
      <c r="C125" s="28" t="inlineStr">
        <is>
          <t>Bakken</t>
        </is>
      </c>
      <c r="D125" s="28" t="inlineStr">
        <is>
          <t>United States</t>
        </is>
      </c>
      <c r="E125" s="28" t="n">
        <v>2024</v>
      </c>
      <c r="F125" s="45" t="n">
        <v>0.3878</v>
      </c>
    </row>
    <row r="126">
      <c r="A126" s="28" t="inlineStr">
        <is>
          <t>MARATHON_DETROIT</t>
        </is>
      </c>
      <c r="B126" s="28" t="n">
        <v>2</v>
      </c>
      <c r="C126" s="28" t="inlineStr">
        <is>
          <t>Cold Lake</t>
        </is>
      </c>
      <c r="D126" s="28" t="inlineStr">
        <is>
          <t>Canada (Oil Sands)</t>
        </is>
      </c>
      <c r="E126" s="28" t="n">
        <v>2024</v>
      </c>
      <c r="F126" s="45" t="n">
        <v>0.3845</v>
      </c>
    </row>
    <row r="127">
      <c r="A127" s="28" t="inlineStr">
        <is>
          <t>MARATHON_DETROIT</t>
        </is>
      </c>
      <c r="B127" s="28" t="n">
        <v>2</v>
      </c>
      <c r="C127" s="28" t="inlineStr">
        <is>
          <t>Western Canadian Select</t>
        </is>
      </c>
      <c r="D127" s="28" t="inlineStr">
        <is>
          <t>Canada</t>
        </is>
      </c>
      <c r="E127" s="28" t="n">
        <v>2024</v>
      </c>
      <c r="F127" s="45" t="n">
        <v>0.1852</v>
      </c>
    </row>
    <row r="128">
      <c r="A128" s="28" t="inlineStr">
        <is>
          <t>MARATHON_DETROIT</t>
        </is>
      </c>
      <c r="B128" s="28" t="n">
        <v>2</v>
      </c>
      <c r="C128" s="28" t="inlineStr">
        <is>
          <t>Lloyd Blend</t>
        </is>
      </c>
      <c r="D128" s="28" t="inlineStr">
        <is>
          <t>United States</t>
        </is>
      </c>
      <c r="E128" s="28" t="n">
        <v>2024</v>
      </c>
      <c r="F128" s="45" t="n">
        <v>0.0199</v>
      </c>
    </row>
    <row r="129">
      <c r="A129" s="28" t="inlineStr">
        <is>
          <t>MARATHON_DETROIT</t>
        </is>
      </c>
      <c r="B129" s="28" t="n">
        <v>2</v>
      </c>
      <c r="C129" s="28" t="inlineStr">
        <is>
          <t>Oil Sands Synthetic</t>
        </is>
      </c>
      <c r="D129" s="28" t="inlineStr">
        <is>
          <t>Canada (Oil Sands)</t>
        </is>
      </c>
      <c r="E129" s="28" t="n">
        <v>2024</v>
      </c>
      <c r="F129" s="45" t="n">
        <v>0.0185</v>
      </c>
    </row>
    <row r="130">
      <c r="A130" s="28" t="inlineStr">
        <is>
          <t>MARATHON_DETROIT</t>
        </is>
      </c>
      <c r="B130" s="28" t="n">
        <v>2</v>
      </c>
      <c r="C130" s="28" t="inlineStr">
        <is>
          <t>Albian Heavy Synthetic</t>
        </is>
      </c>
      <c r="D130" s="28" t="inlineStr">
        <is>
          <t>Canada (Saskatchewan)</t>
        </is>
      </c>
      <c r="E130" s="28" t="n">
        <v>2024</v>
      </c>
      <c r="F130" s="45" t="n">
        <v>0.004099999999999999</v>
      </c>
    </row>
    <row r="131">
      <c r="A131" s="28" t="inlineStr">
        <is>
          <t>MARATHON_MANDAN</t>
        </is>
      </c>
      <c r="B131" s="28" t="n">
        <v>2</v>
      </c>
      <c r="C131" s="28" t="inlineStr">
        <is>
          <t>Bakken</t>
        </is>
      </c>
      <c r="D131" s="28" t="inlineStr">
        <is>
          <t>United States</t>
        </is>
      </c>
      <c r="E131" s="28" t="n">
        <v>2024</v>
      </c>
      <c r="F131" s="45" t="n">
        <v>1</v>
      </c>
    </row>
    <row r="132">
      <c r="A132" s="28" t="inlineStr">
        <is>
          <t>MARATHON_ROBINSON</t>
        </is>
      </c>
      <c r="B132" s="28" t="n">
        <v>2</v>
      </c>
      <c r="C132" s="28" t="inlineStr">
        <is>
          <t>Cold Lake</t>
        </is>
      </c>
      <c r="D132" s="28" t="inlineStr">
        <is>
          <t>Canada (Oil Sands)</t>
        </is>
      </c>
      <c r="E132" s="28" t="n">
        <v>2024</v>
      </c>
      <c r="F132" s="45" t="n">
        <v>0.309</v>
      </c>
    </row>
    <row r="133">
      <c r="A133" s="28" t="inlineStr">
        <is>
          <t>MARATHON_ROBINSON</t>
        </is>
      </c>
      <c r="B133" s="28" t="n">
        <v>2</v>
      </c>
      <c r="C133" s="28" t="inlineStr">
        <is>
          <t>Western Canadian Select</t>
        </is>
      </c>
      <c r="D133" s="28" t="inlineStr">
        <is>
          <t>Canada</t>
        </is>
      </c>
      <c r="E133" s="28" t="n">
        <v>2024</v>
      </c>
      <c r="F133" s="45" t="n">
        <v>0.2603</v>
      </c>
    </row>
    <row r="134">
      <c r="A134" s="28" t="inlineStr">
        <is>
          <t>MARATHON_ROBINSON</t>
        </is>
      </c>
      <c r="B134" s="28" t="n">
        <v>2</v>
      </c>
      <c r="C134" s="28" t="inlineStr">
        <is>
          <t>Oil Sands Synthetic</t>
        </is>
      </c>
      <c r="D134" s="28" t="inlineStr">
        <is>
          <t>Canada (Oil Sands)</t>
        </is>
      </c>
      <c r="E134" s="28" t="n">
        <v>2024</v>
      </c>
      <c r="F134" s="45" t="n">
        <v>0.206</v>
      </c>
    </row>
    <row r="135">
      <c r="A135" s="28" t="inlineStr">
        <is>
          <t>MARATHON_ROBINSON</t>
        </is>
      </c>
      <c r="B135" s="28" t="n">
        <v>2</v>
      </c>
      <c r="C135" s="28" t="inlineStr">
        <is>
          <t>Albian Heavy Synthetic</t>
        </is>
      </c>
      <c r="D135" s="28" t="inlineStr">
        <is>
          <t>Canada (Saskatchewan)</t>
        </is>
      </c>
      <c r="E135" s="28" t="n">
        <v>2024</v>
      </c>
      <c r="F135" s="45" t="n">
        <v>0.08560000000000001</v>
      </c>
    </row>
    <row r="136">
      <c r="A136" s="28" t="inlineStr">
        <is>
          <t>MARATHON_ROBINSON</t>
        </is>
      </c>
      <c r="B136" s="28" t="n">
        <v>2</v>
      </c>
      <c r="C136" s="28" t="inlineStr">
        <is>
          <t>Lloyd Blend</t>
        </is>
      </c>
      <c r="D136" s="28" t="inlineStr">
        <is>
          <t>United States</t>
        </is>
      </c>
      <c r="E136" s="28" t="n">
        <v>2024</v>
      </c>
      <c r="F136" s="45" t="n">
        <v>0.0665</v>
      </c>
    </row>
    <row r="137">
      <c r="A137" s="28" t="inlineStr">
        <is>
          <t>MARATHON_ROBINSON</t>
        </is>
      </c>
      <c r="B137" s="28" t="n">
        <v>2</v>
      </c>
      <c r="C137" s="28" t="inlineStr">
        <is>
          <t>Tight Oil Canada Saskatchewan Midale</t>
        </is>
      </c>
      <c r="D137" s="28" t="inlineStr">
        <is>
          <t>Canada (Saskatchewan)</t>
        </is>
      </c>
      <c r="E137" s="28" t="n">
        <v>2024</v>
      </c>
      <c r="F137" s="45" t="n">
        <v>0.0423</v>
      </c>
    </row>
    <row r="138">
      <c r="A138" s="28" t="inlineStr">
        <is>
          <t>MARATHON_ROBINSON</t>
        </is>
      </c>
      <c r="B138" s="28" t="n">
        <v>2</v>
      </c>
      <c r="C138" s="28" t="inlineStr">
        <is>
          <t>White Rose</t>
        </is>
      </c>
      <c r="D138" s="28" t="inlineStr">
        <is>
          <t>Canada (East Coast)</t>
        </is>
      </c>
      <c r="E138" s="28" t="n">
        <v>2024</v>
      </c>
      <c r="F138" s="45" t="n">
        <v>0.0177</v>
      </c>
    </row>
    <row r="139">
      <c r="A139" s="28" t="inlineStr">
        <is>
          <t>MARATHON_ROBINSON</t>
        </is>
      </c>
      <c r="B139" s="28" t="n">
        <v>2</v>
      </c>
      <c r="C139" s="28" t="inlineStr">
        <is>
          <t>Milk River</t>
        </is>
      </c>
      <c r="D139" s="28" t="inlineStr">
        <is>
          <t>Canada</t>
        </is>
      </c>
      <c r="E139" s="28" t="n">
        <v>2024</v>
      </c>
      <c r="F139" s="45" t="n">
        <v>0.0074</v>
      </c>
    </row>
    <row r="140">
      <c r="A140" s="28" t="inlineStr">
        <is>
          <t>MARATHON_ROBINSON</t>
        </is>
      </c>
      <c r="B140" s="28" t="n">
        <v>2</v>
      </c>
      <c r="C140" s="28" t="inlineStr">
        <is>
          <t>W. Canada Conventional Light Sweet (Alberta)</t>
        </is>
      </c>
      <c r="D140" s="28" t="inlineStr">
        <is>
          <t>Canada (Alberta)</t>
        </is>
      </c>
      <c r="E140" s="28" t="n">
        <v>2024</v>
      </c>
      <c r="F140" s="45" t="n">
        <v>0.0052</v>
      </c>
    </row>
    <row r="141">
      <c r="A141" s="28" t="inlineStr">
        <is>
          <t>MARATHON_SAINT_PAUL_PARK</t>
        </is>
      </c>
      <c r="B141" s="28" t="n">
        <v>2</v>
      </c>
      <c r="C141" s="28" t="inlineStr">
        <is>
          <t>Bakken</t>
        </is>
      </c>
      <c r="D141" s="28" t="inlineStr">
        <is>
          <t>United States</t>
        </is>
      </c>
      <c r="E141" s="28" t="n">
        <v>2024</v>
      </c>
      <c r="F141" s="45" t="n">
        <v>0.5777</v>
      </c>
    </row>
    <row r="142">
      <c r="A142" s="28" t="inlineStr">
        <is>
          <t>MARATHON_SAINT_PAUL_PARK</t>
        </is>
      </c>
      <c r="B142" s="28" t="n">
        <v>2</v>
      </c>
      <c r="C142" s="28" t="inlineStr">
        <is>
          <t>Western Canadian Select</t>
        </is>
      </c>
      <c r="D142" s="28" t="inlineStr">
        <is>
          <t>Canada</t>
        </is>
      </c>
      <c r="E142" s="28" t="n">
        <v>2024</v>
      </c>
      <c r="F142" s="45" t="n">
        <v>0.1332</v>
      </c>
    </row>
    <row r="143">
      <c r="A143" s="28" t="inlineStr">
        <is>
          <t>MARATHON_SAINT_PAUL_PARK</t>
        </is>
      </c>
      <c r="B143" s="28" t="n">
        <v>2</v>
      </c>
      <c r="C143" s="28" t="inlineStr">
        <is>
          <t>Cold Lake</t>
        </is>
      </c>
      <c r="D143" s="28" t="inlineStr">
        <is>
          <t>Canada (Oil Sands)</t>
        </is>
      </c>
      <c r="E143" s="28" t="n">
        <v>2024</v>
      </c>
      <c r="F143" s="45" t="n">
        <v>0.1184</v>
      </c>
    </row>
    <row r="144">
      <c r="A144" s="28" t="inlineStr">
        <is>
          <t>MARATHON_SAINT_PAUL_PARK</t>
        </is>
      </c>
      <c r="B144" s="28" t="n">
        <v>2</v>
      </c>
      <c r="C144" s="28" t="inlineStr">
        <is>
          <t>Oil Sands Synthetic</t>
        </is>
      </c>
      <c r="D144" s="28" t="inlineStr">
        <is>
          <t>Canada (Oil Sands)</t>
        </is>
      </c>
      <c r="E144" s="28" t="n">
        <v>2024</v>
      </c>
      <c r="F144" s="45" t="n">
        <v>0.1003</v>
      </c>
    </row>
    <row r="145">
      <c r="A145" s="28" t="inlineStr">
        <is>
          <t>MARATHON_SAINT_PAUL_PARK</t>
        </is>
      </c>
      <c r="B145" s="28" t="n">
        <v>2</v>
      </c>
      <c r="C145" s="28" t="inlineStr">
        <is>
          <t>Tight Oil Canada Saskatchewan Midale</t>
        </is>
      </c>
      <c r="D145" s="28" t="inlineStr">
        <is>
          <t>Canada (Saskatchewan)</t>
        </is>
      </c>
      <c r="E145" s="28" t="n">
        <v>2024</v>
      </c>
      <c r="F145" s="45" t="n">
        <v>0.0461</v>
      </c>
    </row>
    <row r="146">
      <c r="A146" s="28" t="inlineStr">
        <is>
          <t>MARATHON_SAINT_PAUL_PARK</t>
        </is>
      </c>
      <c r="B146" s="28" t="n">
        <v>2</v>
      </c>
      <c r="C146" s="28" t="inlineStr">
        <is>
          <t>W. Canada Conventional Light Sweet (Alberta)</t>
        </is>
      </c>
      <c r="D146" s="28" t="inlineStr">
        <is>
          <t>Canada (Alberta)</t>
        </is>
      </c>
      <c r="E146" s="28" t="n">
        <v>2024</v>
      </c>
      <c r="F146" s="45" t="n">
        <v>0.0178</v>
      </c>
    </row>
    <row r="147">
      <c r="A147" s="28" t="inlineStr">
        <is>
          <t>MARATHON_SAINT_PAUL_PARK</t>
        </is>
      </c>
      <c r="B147" s="28" t="n">
        <v>2</v>
      </c>
      <c r="C147" s="28" t="inlineStr">
        <is>
          <t>Domestic NGL British Columbia Canada</t>
        </is>
      </c>
      <c r="D147" s="28" t="inlineStr">
        <is>
          <t>Canada (British Columbia)</t>
        </is>
      </c>
      <c r="E147" s="28" t="n">
        <v>2024</v>
      </c>
      <c r="F147" s="45" t="n">
        <v>0.0051</v>
      </c>
    </row>
    <row r="148">
      <c r="A148" s="28" t="inlineStr">
        <is>
          <t>MARATHON_SAINT_PAUL_PARK</t>
        </is>
      </c>
      <c r="B148" s="28" t="n">
        <v>2</v>
      </c>
      <c r="C148" s="28" t="inlineStr">
        <is>
          <t>Milk River</t>
        </is>
      </c>
      <c r="D148" s="28" t="inlineStr">
        <is>
          <t>Canada</t>
        </is>
      </c>
      <c r="E148" s="28" t="n">
        <v>2024</v>
      </c>
      <c r="F148" s="45" t="n">
        <v>0.0014</v>
      </c>
    </row>
    <row r="149">
      <c r="A149" s="28" t="inlineStr">
        <is>
          <t>NCRA_MCPHERSON</t>
        </is>
      </c>
      <c r="B149" s="28" t="n">
        <v>2</v>
      </c>
      <c r="C149" s="28" t="inlineStr">
        <is>
          <t>Kansas Sweet</t>
        </is>
      </c>
      <c r="D149" s="28" t="inlineStr">
        <is>
          <t>United States</t>
        </is>
      </c>
      <c r="E149" s="28" t="n">
        <v>2024</v>
      </c>
      <c r="F149" s="45" t="n">
        <v>0.4739</v>
      </c>
    </row>
    <row r="150">
      <c r="A150" s="28" t="inlineStr">
        <is>
          <t>NCRA_MCPHERSON</t>
        </is>
      </c>
      <c r="B150" s="28" t="n">
        <v>2</v>
      </c>
      <c r="C150" s="28" t="inlineStr">
        <is>
          <t>Lloyd Blend</t>
        </is>
      </c>
      <c r="D150" s="28" t="inlineStr">
        <is>
          <t>United States</t>
        </is>
      </c>
      <c r="E150" s="28" t="n">
        <v>2024</v>
      </c>
      <c r="F150" s="45" t="n">
        <v>0.2371</v>
      </c>
    </row>
    <row r="151">
      <c r="A151" s="28" t="inlineStr">
        <is>
          <t>NCRA_MCPHERSON</t>
        </is>
      </c>
      <c r="B151" s="28" t="n">
        <v>2</v>
      </c>
      <c r="C151" s="28" t="inlineStr">
        <is>
          <t>Niobrara</t>
        </is>
      </c>
      <c r="D151" s="28" t="inlineStr">
        <is>
          <t>United States</t>
        </is>
      </c>
      <c r="E151" s="28" t="n">
        <v>2024</v>
      </c>
      <c r="F151" s="45" t="n">
        <v>0.1784</v>
      </c>
    </row>
    <row r="152">
      <c r="A152" s="28" t="inlineStr">
        <is>
          <t>NCRA_MCPHERSON</t>
        </is>
      </c>
      <c r="B152" s="28" t="n">
        <v>2</v>
      </c>
      <c r="C152" s="28" t="inlineStr">
        <is>
          <t>Suncor Synthetic H</t>
        </is>
      </c>
      <c r="D152" s="28" t="inlineStr">
        <is>
          <t>Canada (Saskatchewan)</t>
        </is>
      </c>
      <c r="E152" s="28" t="n">
        <v>2024</v>
      </c>
      <c r="F152" s="45" t="n">
        <v>0.06709999999999999</v>
      </c>
    </row>
    <row r="153">
      <c r="A153" s="28" t="inlineStr">
        <is>
          <t>NCRA_MCPHERSON</t>
        </is>
      </c>
      <c r="B153" s="28" t="n">
        <v>2</v>
      </c>
      <c r="C153" s="28" t="inlineStr">
        <is>
          <t>Bakken</t>
        </is>
      </c>
      <c r="D153" s="28" t="inlineStr">
        <is>
          <t>United States</t>
        </is>
      </c>
      <c r="E153" s="28" t="n">
        <v>2024</v>
      </c>
      <c r="F153" s="45" t="n">
        <v>0.0326</v>
      </c>
    </row>
    <row r="154">
      <c r="A154" s="28" t="inlineStr">
        <is>
          <t>NCRA_MCPHERSON</t>
        </is>
      </c>
      <c r="B154" s="28" t="n">
        <v>2</v>
      </c>
      <c r="C154" s="28" t="inlineStr">
        <is>
          <t>Cold Lake</t>
        </is>
      </c>
      <c r="D154" s="28" t="inlineStr">
        <is>
          <t>Canada (Oil Sands)</t>
        </is>
      </c>
      <c r="E154" s="28" t="n">
        <v>2024</v>
      </c>
      <c r="F154" s="45" t="n">
        <v>0.0109</v>
      </c>
    </row>
    <row r="155">
      <c r="A155" s="28" t="inlineStr">
        <is>
          <t>PBF_TOLEDO</t>
        </is>
      </c>
      <c r="B155" s="28" t="n">
        <v>2</v>
      </c>
      <c r="C155" s="28" t="inlineStr">
        <is>
          <t>West Texas Intermediate</t>
        </is>
      </c>
      <c r="D155" s="28" t="inlineStr">
        <is>
          <t>United States</t>
        </is>
      </c>
      <c r="E155" s="28" t="n">
        <v>2024</v>
      </c>
      <c r="F155" s="45" t="n">
        <v>0.5344</v>
      </c>
    </row>
    <row r="156">
      <c r="A156" s="28" t="inlineStr">
        <is>
          <t>PBF_TOLEDO</t>
        </is>
      </c>
      <c r="B156" s="28" t="n">
        <v>2</v>
      </c>
      <c r="C156" s="28" t="inlineStr">
        <is>
          <t>Oil Sands Synthetic</t>
        </is>
      </c>
      <c r="D156" s="28" t="inlineStr">
        <is>
          <t>Canada (Oil Sands)</t>
        </is>
      </c>
      <c r="E156" s="28" t="n">
        <v>2024</v>
      </c>
      <c r="F156" s="45" t="n">
        <v>0.32</v>
      </c>
    </row>
    <row r="157">
      <c r="A157" s="28" t="inlineStr">
        <is>
          <t>PBF_TOLEDO</t>
        </is>
      </c>
      <c r="B157" s="28" t="n">
        <v>2</v>
      </c>
      <c r="C157" s="28" t="inlineStr">
        <is>
          <t>Domestic NGL British Columbia Canada</t>
        </is>
      </c>
      <c r="D157" s="28" t="inlineStr">
        <is>
          <t>Canada (British Columbia)</t>
        </is>
      </c>
      <c r="E157" s="28" t="n">
        <v>2024</v>
      </c>
      <c r="F157" s="45" t="n">
        <v>0.0547</v>
      </c>
    </row>
    <row r="158">
      <c r="A158" s="28" t="inlineStr">
        <is>
          <t>PBF_TOLEDO</t>
        </is>
      </c>
      <c r="B158" s="28" t="n">
        <v>2</v>
      </c>
      <c r="C158" s="28" t="inlineStr">
        <is>
          <t>Bakken</t>
        </is>
      </c>
      <c r="D158" s="28" t="inlineStr">
        <is>
          <t>United States</t>
        </is>
      </c>
      <c r="E158" s="28" t="n">
        <v>2024</v>
      </c>
      <c r="F158" s="45" t="n">
        <v>0.0441</v>
      </c>
    </row>
    <row r="159">
      <c r="A159" s="28" t="inlineStr">
        <is>
          <t>PBF_TOLEDO</t>
        </is>
      </c>
      <c r="B159" s="28" t="n">
        <v>2</v>
      </c>
      <c r="C159" s="28" t="inlineStr">
        <is>
          <t>White Rose</t>
        </is>
      </c>
      <c r="D159" s="28" t="inlineStr">
        <is>
          <t>Canada (East Coast)</t>
        </is>
      </c>
      <c r="E159" s="28" t="n">
        <v>2024</v>
      </c>
      <c r="F159" s="45" t="n">
        <v>0.0222</v>
      </c>
    </row>
    <row r="160">
      <c r="A160" s="28" t="inlineStr">
        <is>
          <t>PBF_TOLEDO</t>
        </is>
      </c>
      <c r="B160" s="28" t="n">
        <v>2</v>
      </c>
      <c r="C160" s="28" t="inlineStr">
        <is>
          <t>Mixed Sweet Blend</t>
        </is>
      </c>
      <c r="D160" s="28" t="inlineStr">
        <is>
          <t>Canada</t>
        </is>
      </c>
      <c r="E160" s="28" t="n">
        <v>2024</v>
      </c>
      <c r="F160" s="45" t="n">
        <v>0.0154</v>
      </c>
    </row>
    <row r="161">
      <c r="A161" s="28" t="inlineStr">
        <is>
          <t>PBF_TOLEDO</t>
        </is>
      </c>
      <c r="B161" s="28" t="n">
        <v>2</v>
      </c>
      <c r="C161" s="28" t="inlineStr">
        <is>
          <t>Hibernia</t>
        </is>
      </c>
      <c r="D161" s="28" t="inlineStr">
        <is>
          <t>Canada (East Coast)</t>
        </is>
      </c>
      <c r="E161" s="28" t="n">
        <v>2024</v>
      </c>
      <c r="F161" s="45" t="n">
        <v>0.008199999999999999</v>
      </c>
    </row>
    <row r="162">
      <c r="A162" s="28" t="inlineStr">
        <is>
          <t>PBF_TOLEDO</t>
        </is>
      </c>
      <c r="B162" s="28" t="n">
        <v>2</v>
      </c>
      <c r="C162" s="28" t="inlineStr">
        <is>
          <t>Terra Nova</t>
        </is>
      </c>
      <c r="D162" s="28" t="inlineStr">
        <is>
          <t>Canada (East Coast)</t>
        </is>
      </c>
      <c r="E162" s="28" t="n">
        <v>2024</v>
      </c>
      <c r="F162" s="45" t="n">
        <v>0.001</v>
      </c>
    </row>
    <row r="163">
      <c r="A163" s="28" t="inlineStr">
        <is>
          <t>PHILLIPS_PONCA_CITY</t>
        </is>
      </c>
      <c r="B163" s="28" t="n">
        <v>2</v>
      </c>
      <c r="C163" s="28" t="inlineStr">
        <is>
          <t>West Texas Intermediate</t>
        </is>
      </c>
      <c r="D163" s="28" t="inlineStr">
        <is>
          <t>United States</t>
        </is>
      </c>
      <c r="E163" s="28" t="n">
        <v>2024</v>
      </c>
      <c r="F163" s="45" t="n">
        <v>0.5603</v>
      </c>
    </row>
    <row r="164">
      <c r="A164" s="28" t="inlineStr">
        <is>
          <t>PHILLIPS_PONCA_CITY</t>
        </is>
      </c>
      <c r="B164" s="28" t="n">
        <v>2</v>
      </c>
      <c r="C164" s="28" t="inlineStr">
        <is>
          <t>Niobrara</t>
        </is>
      </c>
      <c r="D164" s="28" t="inlineStr">
        <is>
          <t>United States</t>
        </is>
      </c>
      <c r="E164" s="28" t="n">
        <v>2024</v>
      </c>
      <c r="F164" s="45" t="n">
        <v>0.3129</v>
      </c>
    </row>
    <row r="165">
      <c r="A165" s="28" t="inlineStr">
        <is>
          <t>PHILLIPS_PONCA_CITY</t>
        </is>
      </c>
      <c r="B165" s="28" t="n">
        <v>2</v>
      </c>
      <c r="C165" s="28" t="inlineStr">
        <is>
          <t>West Texas Sour</t>
        </is>
      </c>
      <c r="D165" s="28" t="inlineStr">
        <is>
          <t>United States</t>
        </is>
      </c>
      <c r="E165" s="28" t="n">
        <v>2024</v>
      </c>
      <c r="F165" s="45" t="n">
        <v>0.1268</v>
      </c>
    </row>
    <row r="166">
      <c r="A166" s="28" t="inlineStr">
        <is>
          <t>VALERO_ARDMORE</t>
        </is>
      </c>
      <c r="B166" s="28" t="n">
        <v>2</v>
      </c>
      <c r="C166" s="28" t="inlineStr">
        <is>
          <t>West Texas Intermediate</t>
        </is>
      </c>
      <c r="D166" s="28" t="inlineStr">
        <is>
          <t>United States</t>
        </is>
      </c>
      <c r="E166" s="28" t="n">
        <v>2024</v>
      </c>
      <c r="F166" s="45" t="n">
        <v>0.8036</v>
      </c>
    </row>
    <row r="167">
      <c r="A167" s="28" t="inlineStr">
        <is>
          <t>VALERO_ARDMORE</t>
        </is>
      </c>
      <c r="B167" s="28" t="n">
        <v>2</v>
      </c>
      <c r="C167" s="28" t="inlineStr">
        <is>
          <t>West Texas Sour</t>
        </is>
      </c>
      <c r="D167" s="28" t="inlineStr">
        <is>
          <t>United States</t>
        </is>
      </c>
      <c r="E167" s="28" t="n">
        <v>2024</v>
      </c>
      <c r="F167" s="45" t="n">
        <v>0.1964</v>
      </c>
    </row>
    <row r="168">
      <c r="A168" s="28" t="inlineStr">
        <is>
          <t>VALERO_MEMPHIS</t>
        </is>
      </c>
      <c r="B168" s="28" t="n">
        <v>2</v>
      </c>
      <c r="C168" s="28" t="inlineStr">
        <is>
          <t>West Texas Intermediate</t>
        </is>
      </c>
      <c r="D168" s="28" t="inlineStr">
        <is>
          <t>United States</t>
        </is>
      </c>
      <c r="E168" s="28" t="n">
        <v>2024</v>
      </c>
      <c r="F168" s="45" t="n">
        <v>0.75</v>
      </c>
    </row>
    <row r="169">
      <c r="A169" s="28" t="inlineStr">
        <is>
          <t>VALERO_MEMPHIS</t>
        </is>
      </c>
      <c r="B169" s="28" t="n">
        <v>2</v>
      </c>
      <c r="C169" s="28" t="inlineStr">
        <is>
          <t>Niobrara</t>
        </is>
      </c>
      <c r="D169" s="28" t="inlineStr">
        <is>
          <t>United States</t>
        </is>
      </c>
      <c r="E169" s="28" t="n">
        <v>2024</v>
      </c>
      <c r="F169" s="45" t="n">
        <v>0.25</v>
      </c>
    </row>
    <row r="170">
      <c r="A170" s="28" t="inlineStr">
        <is>
          <t>ALON_BIG_SPRINGS</t>
        </is>
      </c>
      <c r="B170" s="28" t="n">
        <v>3</v>
      </c>
      <c r="C170" s="28" t="inlineStr">
        <is>
          <t>West Texas Intermediate</t>
        </is>
      </c>
      <c r="D170" s="28" t="inlineStr">
        <is>
          <t>United States</t>
        </is>
      </c>
      <c r="E170" s="28" t="n">
        <v>2024</v>
      </c>
      <c r="F170" s="45" t="n">
        <v>0.7154</v>
      </c>
    </row>
    <row r="171">
      <c r="A171" s="28" t="inlineStr">
        <is>
          <t>ALON_BIG_SPRINGS</t>
        </is>
      </c>
      <c r="B171" s="28" t="n">
        <v>3</v>
      </c>
      <c r="C171" s="28" t="inlineStr">
        <is>
          <t>West Texas Sour</t>
        </is>
      </c>
      <c r="D171" s="28" t="inlineStr">
        <is>
          <t>United States</t>
        </is>
      </c>
      <c r="E171" s="28" t="n">
        <v>2024</v>
      </c>
      <c r="F171" s="45" t="n">
        <v>0.2846</v>
      </c>
    </row>
    <row r="172">
      <c r="A172" s="28" t="inlineStr">
        <is>
          <t>CALUMET_SHREVEPORT</t>
        </is>
      </c>
      <c r="B172" s="28" t="n">
        <v>3</v>
      </c>
      <c r="C172" s="28" t="inlineStr">
        <is>
          <t>West Texas Intermediate</t>
        </is>
      </c>
      <c r="D172" s="28" t="inlineStr">
        <is>
          <t>United States</t>
        </is>
      </c>
      <c r="E172" s="28" t="n">
        <v>2024</v>
      </c>
      <c r="F172" s="45" t="n">
        <v>0.4469</v>
      </c>
    </row>
    <row r="173">
      <c r="A173" s="28" t="inlineStr">
        <is>
          <t>CALUMET_SHREVEPORT</t>
        </is>
      </c>
      <c r="B173" s="28" t="n">
        <v>3</v>
      </c>
      <c r="C173" s="28" t="inlineStr">
        <is>
          <t>East Texas</t>
        </is>
      </c>
      <c r="D173" s="28" t="inlineStr">
        <is>
          <t>United States</t>
        </is>
      </c>
      <c r="E173" s="28" t="n">
        <v>2024</v>
      </c>
      <c r="F173" s="45" t="n">
        <v>0.2294</v>
      </c>
    </row>
    <row r="174">
      <c r="A174" s="28" t="inlineStr">
        <is>
          <t>CALUMET_SHREVEPORT</t>
        </is>
      </c>
      <c r="B174" s="28" t="n">
        <v>3</v>
      </c>
      <c r="C174" s="28" t="inlineStr">
        <is>
          <t>Arkansas Light</t>
        </is>
      </c>
      <c r="D174" s="28" t="inlineStr">
        <is>
          <t>United States</t>
        </is>
      </c>
      <c r="E174" s="28" t="n">
        <v>2024</v>
      </c>
      <c r="F174" s="45" t="n">
        <v>0.2185</v>
      </c>
    </row>
    <row r="175">
      <c r="A175" s="28" t="inlineStr">
        <is>
          <t>CALUMET_SHREVEPORT</t>
        </is>
      </c>
      <c r="B175" s="28" t="n">
        <v>3</v>
      </c>
      <c r="C175" s="28" t="inlineStr">
        <is>
          <t>Light Louisiana Sweet</t>
        </is>
      </c>
      <c r="D175" s="28" t="inlineStr">
        <is>
          <t>United States</t>
        </is>
      </c>
      <c r="E175" s="28" t="n">
        <v>2024</v>
      </c>
      <c r="F175" s="45" t="n">
        <v>0.1052</v>
      </c>
    </row>
    <row r="176">
      <c r="A176" s="28" t="inlineStr">
        <is>
          <t>CHEVRON_PASADENA</t>
        </is>
      </c>
      <c r="B176" s="28" t="n">
        <v>3</v>
      </c>
      <c r="C176" s="28" t="inlineStr">
        <is>
          <t>West Texas Intermediate</t>
        </is>
      </c>
      <c r="D176" s="28" t="inlineStr">
        <is>
          <t>United States</t>
        </is>
      </c>
      <c r="E176" s="28" t="n">
        <v>2024</v>
      </c>
      <c r="F176" s="45" t="n">
        <v>1</v>
      </c>
    </row>
    <row r="177">
      <c r="A177" s="28" t="inlineStr">
        <is>
          <t>CHEVRON_PASCAGOULA</t>
        </is>
      </c>
      <c r="B177" s="28" t="n">
        <v>3</v>
      </c>
      <c r="C177" s="28" t="inlineStr">
        <is>
          <t>Mars/Ursa</t>
        </is>
      </c>
      <c r="D177" s="28" t="inlineStr">
        <is>
          <t>US (GOM Deepwater)</t>
        </is>
      </c>
      <c r="E177" s="28" t="n">
        <v>2024</v>
      </c>
      <c r="F177" s="45" t="n">
        <v>0.1752</v>
      </c>
    </row>
    <row r="178">
      <c r="A178" s="28" t="inlineStr">
        <is>
          <t>CHEVRON_PASCAGOULA</t>
        </is>
      </c>
      <c r="B178" s="28" t="n">
        <v>3</v>
      </c>
      <c r="C178" s="28" t="inlineStr">
        <is>
          <t>Light Louisiana Sweet</t>
        </is>
      </c>
      <c r="D178" s="28" t="inlineStr">
        <is>
          <t>United States</t>
        </is>
      </c>
      <c r="E178" s="28" t="n">
        <v>2024</v>
      </c>
      <c r="F178" s="45" t="n">
        <v>0.1488</v>
      </c>
    </row>
    <row r="179">
      <c r="A179" s="28" t="inlineStr">
        <is>
          <t>CHEVRON_PASCAGOULA</t>
        </is>
      </c>
      <c r="B179" s="28" t="n">
        <v>3</v>
      </c>
      <c r="C179" s="28" t="inlineStr">
        <is>
          <t>Eagle Ford Crude</t>
        </is>
      </c>
      <c r="D179" s="28" t="inlineStr">
        <is>
          <t>United States</t>
        </is>
      </c>
      <c r="E179" s="28" t="n">
        <v>2024</v>
      </c>
      <c r="F179" s="45" t="n">
        <v>0.1176</v>
      </c>
    </row>
    <row r="180">
      <c r="A180" s="28" t="inlineStr">
        <is>
          <t>CHEVRON_PASCAGOULA</t>
        </is>
      </c>
      <c r="B180" s="28" t="n">
        <v>3</v>
      </c>
      <c r="C180" s="28" t="inlineStr">
        <is>
          <t>Maya</t>
        </is>
      </c>
      <c r="D180" s="28" t="inlineStr">
        <is>
          <t>Mexico</t>
        </is>
      </c>
      <c r="E180" s="28" t="n">
        <v>2024</v>
      </c>
      <c r="F180" s="45" t="n">
        <v>0.078</v>
      </c>
    </row>
    <row r="181">
      <c r="A181" s="28" t="inlineStr">
        <is>
          <t>CHEVRON_PASCAGOULA</t>
        </is>
      </c>
      <c r="B181" s="28" t="n">
        <v>3</v>
      </c>
      <c r="C181" s="28" t="inlineStr">
        <is>
          <t>Isthmus</t>
        </is>
      </c>
      <c r="D181" s="28" t="inlineStr">
        <is>
          <t>Mexico</t>
        </is>
      </c>
      <c r="E181" s="28" t="n">
        <v>2024</v>
      </c>
      <c r="F181" s="45" t="n">
        <v>0.0728</v>
      </c>
    </row>
    <row r="182">
      <c r="A182" s="28" t="inlineStr">
        <is>
          <t>CHEVRON_PASCAGOULA</t>
        </is>
      </c>
      <c r="B182" s="28" t="n">
        <v>3</v>
      </c>
      <c r="C182" s="28" t="inlineStr">
        <is>
          <t>Boscan</t>
        </is>
      </c>
      <c r="D182" s="28" t="inlineStr">
        <is>
          <t>Venezuela</t>
        </is>
      </c>
      <c r="E182" s="28" t="n">
        <v>2024</v>
      </c>
      <c r="F182" s="45" t="n">
        <v>0.0562</v>
      </c>
    </row>
    <row r="183">
      <c r="A183" s="28" t="inlineStr">
        <is>
          <t>CHEVRON_PASCAGOULA</t>
        </is>
      </c>
      <c r="B183" s="28" t="n">
        <v>3</v>
      </c>
      <c r="C183" s="28" t="inlineStr">
        <is>
          <t>Merey</t>
        </is>
      </c>
      <c r="D183" s="28" t="inlineStr">
        <is>
          <t>Venezuela</t>
        </is>
      </c>
      <c r="E183" s="28" t="n">
        <v>2024</v>
      </c>
      <c r="F183" s="45" t="n">
        <v>0.051</v>
      </c>
    </row>
    <row r="184">
      <c r="A184" s="28" t="inlineStr">
        <is>
          <t>CHEVRON_PASCAGOULA</t>
        </is>
      </c>
      <c r="B184" s="28" t="n">
        <v>3</v>
      </c>
      <c r="C184" s="28" t="inlineStr">
        <is>
          <t>DCO</t>
        </is>
      </c>
      <c r="D184" s="28" t="inlineStr">
        <is>
          <t>Venezuela</t>
        </is>
      </c>
      <c r="E184" s="28" t="n">
        <v>2024</v>
      </c>
      <c r="F184" s="45" t="n">
        <v>0.0461</v>
      </c>
    </row>
    <row r="185">
      <c r="A185" s="28" t="inlineStr">
        <is>
          <t>CHEVRON_PASCAGOULA</t>
        </is>
      </c>
      <c r="B185" s="28" t="n">
        <v>3</v>
      </c>
      <c r="C185" s="28" t="inlineStr">
        <is>
          <t>Eocene</t>
        </is>
      </c>
      <c r="D185" s="28" t="inlineStr">
        <is>
          <t>Kuwait</t>
        </is>
      </c>
      <c r="E185" s="28" t="n">
        <v>2024</v>
      </c>
      <c r="F185" s="45" t="n">
        <v>0.0349</v>
      </c>
    </row>
    <row r="186">
      <c r="A186" s="28" t="inlineStr">
        <is>
          <t>CHEVRON_PASCAGOULA</t>
        </is>
      </c>
      <c r="B186" s="28" t="n">
        <v>3</v>
      </c>
      <c r="C186" s="28" t="inlineStr">
        <is>
          <t>Peregrino</t>
        </is>
      </c>
      <c r="D186" s="28" t="inlineStr">
        <is>
          <t>Brazil</t>
        </is>
      </c>
      <c r="E186" s="28" t="n">
        <v>2024</v>
      </c>
      <c r="F186" s="45" t="n">
        <v>0.0337</v>
      </c>
    </row>
    <row r="187">
      <c r="A187" s="28" t="inlineStr">
        <is>
          <t>CHEVRON_PASCAGOULA</t>
        </is>
      </c>
      <c r="B187" s="28" t="n">
        <v>3</v>
      </c>
      <c r="C187" s="28" t="inlineStr">
        <is>
          <t>Thunder Horse</t>
        </is>
      </c>
      <c r="D187" s="28" t="inlineStr">
        <is>
          <t>US (GOM Deepwater)</t>
        </is>
      </c>
      <c r="E187" s="28" t="n">
        <v>2024</v>
      </c>
      <c r="F187" s="45" t="n">
        <v>0.0287</v>
      </c>
    </row>
    <row r="188">
      <c r="A188" s="28" t="inlineStr">
        <is>
          <t>CHEVRON_PASCAGOULA</t>
        </is>
      </c>
      <c r="B188" s="28" t="n">
        <v>3</v>
      </c>
      <c r="C188" s="28" t="inlineStr">
        <is>
          <t>Castilla</t>
        </is>
      </c>
      <c r="D188" s="28" t="inlineStr">
        <is>
          <t>Colombia</t>
        </is>
      </c>
      <c r="E188" s="28" t="n">
        <v>2024</v>
      </c>
      <c r="F188" s="45" t="n">
        <v>0.0207</v>
      </c>
    </row>
    <row r="189">
      <c r="A189" s="28" t="inlineStr">
        <is>
          <t>CHEVRON_PASCAGOULA</t>
        </is>
      </c>
      <c r="B189" s="28" t="n">
        <v>3</v>
      </c>
      <c r="C189" s="28" t="inlineStr">
        <is>
          <t>Liza-Payara</t>
        </is>
      </c>
      <c r="D189" s="28" t="inlineStr">
        <is>
          <t>Guyana</t>
        </is>
      </c>
      <c r="E189" s="28" t="n">
        <v>2024</v>
      </c>
      <c r="F189" s="45" t="n">
        <v>0.0169</v>
      </c>
    </row>
    <row r="190">
      <c r="A190" s="28" t="inlineStr">
        <is>
          <t>CHEVRON_PASCAGOULA</t>
        </is>
      </c>
      <c r="B190" s="28" t="n">
        <v>3</v>
      </c>
      <c r="C190" s="28" t="inlineStr">
        <is>
          <t>Olmeca</t>
        </is>
      </c>
      <c r="D190" s="28" t="inlineStr">
        <is>
          <t>Mexico</t>
        </is>
      </c>
      <c r="E190" s="28" t="n">
        <v>2024</v>
      </c>
      <c r="F190" s="45" t="n">
        <v>0.0167</v>
      </c>
    </row>
    <row r="191">
      <c r="A191" s="28" t="inlineStr">
        <is>
          <t>CHEVRON_PASCAGOULA</t>
        </is>
      </c>
      <c r="B191" s="28" t="n">
        <v>3</v>
      </c>
      <c r="C191" s="28" t="inlineStr">
        <is>
          <t>Alba</t>
        </is>
      </c>
      <c r="D191" s="28" t="inlineStr">
        <is>
          <t>United Kingdom</t>
        </is>
      </c>
      <c r="E191" s="28" t="n">
        <v>2024</v>
      </c>
      <c r="F191" s="45" t="n">
        <v>0.0144</v>
      </c>
    </row>
    <row r="192">
      <c r="A192" s="28" t="inlineStr">
        <is>
          <t>CHEVRON_PASCAGOULA</t>
        </is>
      </c>
      <c r="B192" s="28" t="n">
        <v>3</v>
      </c>
      <c r="C192" s="28" t="inlineStr">
        <is>
          <t>Captain</t>
        </is>
      </c>
      <c r="D192" s="28" t="inlineStr">
        <is>
          <t>United Kingdom</t>
        </is>
      </c>
      <c r="E192" s="28" t="n">
        <v>2024</v>
      </c>
      <c r="F192" s="45" t="n">
        <v>0.0136</v>
      </c>
    </row>
    <row r="193">
      <c r="A193" s="28" t="inlineStr">
        <is>
          <t>CHEVRON_PASCAGOULA</t>
        </is>
      </c>
      <c r="B193" s="28" t="n">
        <v>3</v>
      </c>
      <c r="C193" s="28" t="inlineStr">
        <is>
          <t>W. Canada Conventional Heavy Sour (Alberta)</t>
        </is>
      </c>
      <c r="D193" s="28" t="inlineStr">
        <is>
          <t>Canada (Alberta)</t>
        </is>
      </c>
      <c r="E193" s="28" t="n">
        <v>2024</v>
      </c>
      <c r="F193" s="45" t="n">
        <v>0.013</v>
      </c>
    </row>
    <row r="194">
      <c r="A194" s="28" t="inlineStr">
        <is>
          <t>CHEVRON_PASCAGOULA</t>
        </is>
      </c>
      <c r="B194" s="28" t="n">
        <v>3</v>
      </c>
      <c r="C194" s="28" t="inlineStr">
        <is>
          <t>Calypso</t>
        </is>
      </c>
      <c r="D194" s="28" t="inlineStr">
        <is>
          <t>Trinidad and Tobago</t>
        </is>
      </c>
      <c r="E194" s="28" t="n">
        <v>2024</v>
      </c>
      <c r="F194" s="45" t="n">
        <v>0.008500000000000001</v>
      </c>
    </row>
    <row r="195">
      <c r="A195" s="28" t="inlineStr">
        <is>
          <t>CHEVRON_PASCAGOULA</t>
        </is>
      </c>
      <c r="B195" s="28" t="n">
        <v>3</v>
      </c>
      <c r="C195" s="28" t="inlineStr">
        <is>
          <t>Mandji</t>
        </is>
      </c>
      <c r="D195" s="28" t="inlineStr">
        <is>
          <t>Gabon</t>
        </is>
      </c>
      <c r="E195" s="28" t="n">
        <v>2024</v>
      </c>
      <c r="F195" s="45" t="n">
        <v>0.008399999999999999</v>
      </c>
    </row>
    <row r="196">
      <c r="A196" s="28" t="inlineStr">
        <is>
          <t>CHEVRON_PASCAGOULA</t>
        </is>
      </c>
      <c r="B196" s="28" t="n">
        <v>3</v>
      </c>
      <c r="C196" s="28" t="inlineStr">
        <is>
          <t>Kraken</t>
        </is>
      </c>
      <c r="D196" s="28" t="inlineStr">
        <is>
          <t>United Kingdom</t>
        </is>
      </c>
      <c r="E196" s="28" t="n">
        <v>2024</v>
      </c>
      <c r="F196" s="45" t="n">
        <v>0.008199999999999999</v>
      </c>
    </row>
    <row r="197">
      <c r="A197" s="28" t="inlineStr">
        <is>
          <t>CHEVRON_PASCAGOULA</t>
        </is>
      </c>
      <c r="B197" s="28" t="n">
        <v>3</v>
      </c>
      <c r="C197" s="28" t="inlineStr">
        <is>
          <t>Wabasca</t>
        </is>
      </c>
      <c r="D197" s="28" t="inlineStr">
        <is>
          <t>Canada</t>
        </is>
      </c>
      <c r="E197" s="28" t="n">
        <v>2024</v>
      </c>
      <c r="F197" s="45" t="n">
        <v>0.007900000000000001</v>
      </c>
    </row>
    <row r="198">
      <c r="A198" s="28" t="inlineStr">
        <is>
          <t>CHEVRON_PASCAGOULA</t>
        </is>
      </c>
      <c r="B198" s="28" t="n">
        <v>3</v>
      </c>
      <c r="C198" s="28" t="inlineStr">
        <is>
          <t>Johan Sverdrup</t>
        </is>
      </c>
      <c r="D198" s="28" t="inlineStr">
        <is>
          <t>Norway</t>
        </is>
      </c>
      <c r="E198" s="28" t="n">
        <v>2024</v>
      </c>
      <c r="F198" s="45" t="n">
        <v>0.0062</v>
      </c>
    </row>
    <row r="199">
      <c r="A199" s="28" t="inlineStr">
        <is>
          <t>CHEVRON_PASCAGOULA</t>
        </is>
      </c>
      <c r="B199" s="28" t="n">
        <v>3</v>
      </c>
      <c r="C199" s="28" t="inlineStr">
        <is>
          <t>Bachaquero</t>
        </is>
      </c>
      <c r="D199" s="28" t="inlineStr">
        <is>
          <t>Venezuela</t>
        </is>
      </c>
      <c r="E199" s="28" t="n">
        <v>2024</v>
      </c>
      <c r="F199" s="45" t="n">
        <v>0.0061</v>
      </c>
    </row>
    <row r="200">
      <c r="A200" s="28" t="inlineStr">
        <is>
          <t>CHEVRON_PASCAGOULA</t>
        </is>
      </c>
      <c r="B200" s="28" t="n">
        <v>3</v>
      </c>
      <c r="C200" s="28" t="inlineStr">
        <is>
          <t>Rabi Light</t>
        </is>
      </c>
      <c r="D200" s="28" t="inlineStr">
        <is>
          <t>Gabon</t>
        </is>
      </c>
      <c r="E200" s="28" t="n">
        <v>2024</v>
      </c>
      <c r="F200" s="45" t="n">
        <v>0.005500000000000001</v>
      </c>
    </row>
    <row r="201">
      <c r="A201" s="28" t="inlineStr">
        <is>
          <t>CHEVRON_PASCAGOULA</t>
        </is>
      </c>
      <c r="B201" s="28" t="n">
        <v>3</v>
      </c>
      <c r="C201" s="28" t="inlineStr">
        <is>
          <t>Catcher</t>
        </is>
      </c>
      <c r="D201" s="28" t="inlineStr">
        <is>
          <t>United Kingdom</t>
        </is>
      </c>
      <c r="E201" s="28" t="n">
        <v>2024</v>
      </c>
      <c r="F201" s="45" t="n">
        <v>0.0043</v>
      </c>
    </row>
    <row r="202">
      <c r="A202" s="28" t="inlineStr">
        <is>
          <t>CHEVRON_PASCAGOULA</t>
        </is>
      </c>
      <c r="B202" s="28" t="n">
        <v>3</v>
      </c>
      <c r="C202" s="28" t="inlineStr">
        <is>
          <t>Volve</t>
        </is>
      </c>
      <c r="D202" s="28" t="inlineStr">
        <is>
          <t>Norway</t>
        </is>
      </c>
      <c r="E202" s="28" t="n">
        <v>2024</v>
      </c>
      <c r="F202" s="45" t="n">
        <v>0.0034</v>
      </c>
    </row>
    <row r="203">
      <c r="A203" s="28" t="inlineStr">
        <is>
          <t>CHEVRON_PASCAGOULA</t>
        </is>
      </c>
      <c r="B203" s="28" t="n">
        <v>3</v>
      </c>
      <c r="C203" s="28" t="inlineStr">
        <is>
          <t>Domestic NGL Trinidad &amp; Tobago</t>
        </is>
      </c>
      <c r="D203" s="28" t="inlineStr">
        <is>
          <t>Trinidad and Tobago</t>
        </is>
      </c>
      <c r="E203" s="28" t="n">
        <v>2024</v>
      </c>
      <c r="F203" s="45" t="n">
        <v>0.0032</v>
      </c>
    </row>
    <row r="204">
      <c r="A204" s="28" t="inlineStr">
        <is>
          <t>CITGO_CORPUS_CHRISTI</t>
        </is>
      </c>
      <c r="B204" s="28" t="n">
        <v>3</v>
      </c>
      <c r="C204" s="28" t="inlineStr">
        <is>
          <t>Eagle Ford Crude</t>
        </is>
      </c>
      <c r="D204" s="28" t="inlineStr">
        <is>
          <t>United States</t>
        </is>
      </c>
      <c r="E204" s="28" t="n">
        <v>2024</v>
      </c>
      <c r="F204" s="45" t="n">
        <v>0.489</v>
      </c>
    </row>
    <row r="205">
      <c r="A205" s="28" t="inlineStr">
        <is>
          <t>CITGO_CORPUS_CHRISTI</t>
        </is>
      </c>
      <c r="B205" s="28" t="n">
        <v>3</v>
      </c>
      <c r="C205" s="28" t="inlineStr">
        <is>
          <t>Castilla</t>
        </is>
      </c>
      <c r="D205" s="28" t="inlineStr">
        <is>
          <t>Colombia</t>
        </is>
      </c>
      <c r="E205" s="28" t="n">
        <v>2024</v>
      </c>
      <c r="F205" s="45" t="n">
        <v>0.1827</v>
      </c>
    </row>
    <row r="206">
      <c r="A206" s="28" t="inlineStr">
        <is>
          <t>CITGO_CORPUS_CHRISTI</t>
        </is>
      </c>
      <c r="B206" s="28" t="n">
        <v>3</v>
      </c>
      <c r="C206" s="28" t="inlineStr">
        <is>
          <t>Calypso</t>
        </is>
      </c>
      <c r="D206" s="28" t="inlineStr">
        <is>
          <t>Trinidad and Tobago</t>
        </is>
      </c>
      <c r="E206" s="28" t="n">
        <v>2024</v>
      </c>
      <c r="F206" s="45" t="n">
        <v>0.1256</v>
      </c>
    </row>
    <row r="207">
      <c r="A207" s="28" t="inlineStr">
        <is>
          <t>CITGO_CORPUS_CHRISTI</t>
        </is>
      </c>
      <c r="B207" s="28" t="n">
        <v>3</v>
      </c>
      <c r="C207" s="28" t="inlineStr">
        <is>
          <t>Liza-Payara</t>
        </is>
      </c>
      <c r="D207" s="28" t="inlineStr">
        <is>
          <t>Guyana</t>
        </is>
      </c>
      <c r="E207" s="28" t="n">
        <v>2024</v>
      </c>
      <c r="F207" s="45" t="n">
        <v>0.0672</v>
      </c>
    </row>
    <row r="208">
      <c r="A208" s="28" t="inlineStr">
        <is>
          <t>CITGO_CORPUS_CHRISTI</t>
        </is>
      </c>
      <c r="B208" s="28" t="n">
        <v>3</v>
      </c>
      <c r="C208" s="28" t="inlineStr">
        <is>
          <t>Maya</t>
        </is>
      </c>
      <c r="D208" s="28" t="inlineStr">
        <is>
          <t>Mexico</t>
        </is>
      </c>
      <c r="E208" s="28" t="n">
        <v>2024</v>
      </c>
      <c r="F208" s="45" t="n">
        <v>0.0463</v>
      </c>
    </row>
    <row r="209">
      <c r="A209" s="28" t="inlineStr">
        <is>
          <t>CITGO_CORPUS_CHRISTI</t>
        </is>
      </c>
      <c r="B209" s="28" t="n">
        <v>3</v>
      </c>
      <c r="C209" s="28" t="inlineStr">
        <is>
          <t>Cano Limon</t>
        </is>
      </c>
      <c r="D209" s="28" t="inlineStr">
        <is>
          <t>Colombia</t>
        </is>
      </c>
      <c r="E209" s="28" t="n">
        <v>2024</v>
      </c>
      <c r="F209" s="45" t="n">
        <v>0.0392</v>
      </c>
    </row>
    <row r="210">
      <c r="A210" s="28" t="inlineStr">
        <is>
          <t>CITGO_CORPUS_CHRISTI</t>
        </is>
      </c>
      <c r="B210" s="28" t="n">
        <v>3</v>
      </c>
      <c r="C210" s="28" t="inlineStr">
        <is>
          <t>Isthmus</t>
        </is>
      </c>
      <c r="D210" s="28" t="inlineStr">
        <is>
          <t>Mexico</t>
        </is>
      </c>
      <c r="E210" s="28" t="n">
        <v>2024</v>
      </c>
      <c r="F210" s="45" t="n">
        <v>0.0368</v>
      </c>
    </row>
    <row r="211">
      <c r="A211" s="28" t="inlineStr">
        <is>
          <t>CITGO_CORPUS_CHRISTI</t>
        </is>
      </c>
      <c r="B211" s="28" t="n">
        <v>3</v>
      </c>
      <c r="C211" s="28" t="inlineStr">
        <is>
          <t>Napo</t>
        </is>
      </c>
      <c r="D211" s="28" t="inlineStr">
        <is>
          <t>Ecuador</t>
        </is>
      </c>
      <c r="E211" s="28" t="n">
        <v>2024</v>
      </c>
      <c r="F211" s="45" t="n">
        <v>0.0132</v>
      </c>
    </row>
    <row r="212">
      <c r="A212" s="28" t="inlineStr">
        <is>
          <t>CITGO_LAKE_CHARLES</t>
        </is>
      </c>
      <c r="B212" s="28" t="n">
        <v>3</v>
      </c>
      <c r="C212" s="28" t="inlineStr">
        <is>
          <t>West Texas Intermediate</t>
        </is>
      </c>
      <c r="D212" s="28" t="inlineStr">
        <is>
          <t>United States</t>
        </is>
      </c>
      <c r="E212" s="28" t="n">
        <v>2024</v>
      </c>
      <c r="F212" s="45" t="n">
        <v>0.5926</v>
      </c>
    </row>
    <row r="213">
      <c r="A213" s="28" t="inlineStr">
        <is>
          <t>CITGO_LAKE_CHARLES</t>
        </is>
      </c>
      <c r="B213" s="28" t="n">
        <v>3</v>
      </c>
      <c r="C213" s="28" t="inlineStr">
        <is>
          <t>Mars/Ursa</t>
        </is>
      </c>
      <c r="D213" s="28" t="inlineStr">
        <is>
          <t>US (GOM Deepwater)</t>
        </is>
      </c>
      <c r="E213" s="28" t="n">
        <v>2024</v>
      </c>
      <c r="F213" s="45" t="n">
        <v>0.1636</v>
      </c>
    </row>
    <row r="214">
      <c r="A214" s="28" t="inlineStr">
        <is>
          <t>CITGO_LAKE_CHARLES</t>
        </is>
      </c>
      <c r="B214" s="28" t="n">
        <v>3</v>
      </c>
      <c r="C214" s="28" t="inlineStr">
        <is>
          <t>Light Louisiana Sweet</t>
        </is>
      </c>
      <c r="D214" s="28" t="inlineStr">
        <is>
          <t>United States</t>
        </is>
      </c>
      <c r="E214" s="28" t="n">
        <v>2024</v>
      </c>
      <c r="F214" s="45" t="n">
        <v>0.1504</v>
      </c>
    </row>
    <row r="215">
      <c r="A215" s="28" t="inlineStr">
        <is>
          <t>CITGO_LAKE_CHARLES</t>
        </is>
      </c>
      <c r="B215" s="28" t="n">
        <v>3</v>
      </c>
      <c r="C215" s="28" t="inlineStr">
        <is>
          <t>Eugene Island Sour</t>
        </is>
      </c>
      <c r="D215" s="28" t="inlineStr">
        <is>
          <t>United States</t>
        </is>
      </c>
      <c r="E215" s="28" t="n">
        <v>2024</v>
      </c>
      <c r="F215" s="45" t="n">
        <v>0.0732</v>
      </c>
    </row>
    <row r="216">
      <c r="A216" s="28" t="inlineStr">
        <is>
          <t>CITGO_LAKE_CHARLES</t>
        </is>
      </c>
      <c r="B216" s="28" t="n">
        <v>3</v>
      </c>
      <c r="C216" s="28" t="inlineStr">
        <is>
          <t>W. Canada Conventional Heavy Sour (Alberta)</t>
        </is>
      </c>
      <c r="D216" s="28" t="inlineStr">
        <is>
          <t>Canada (Alberta)</t>
        </is>
      </c>
      <c r="E216" s="28" t="n">
        <v>2024</v>
      </c>
      <c r="F216" s="45" t="n">
        <v>0.0173</v>
      </c>
    </row>
    <row r="217">
      <c r="A217" s="28" t="inlineStr">
        <is>
          <t>CITGO_LAKE_CHARLES</t>
        </is>
      </c>
      <c r="B217" s="28" t="n">
        <v>3</v>
      </c>
      <c r="C217" s="28" t="inlineStr">
        <is>
          <t>Cold Lake</t>
        </is>
      </c>
      <c r="D217" s="28" t="inlineStr">
        <is>
          <t>Canada (Oil Sands)</t>
        </is>
      </c>
      <c r="E217" s="28" t="n">
        <v>2024</v>
      </c>
      <c r="F217" s="45" t="n">
        <v>0.0029</v>
      </c>
    </row>
    <row r="218">
      <c r="A218" s="28" t="inlineStr">
        <is>
          <t>DELEK_EL_DORADO_AR</t>
        </is>
      </c>
      <c r="B218" s="28" t="n">
        <v>3</v>
      </c>
      <c r="C218" s="28" t="inlineStr">
        <is>
          <t>West Texas Intermediate</t>
        </is>
      </c>
      <c r="D218" s="28" t="inlineStr">
        <is>
          <t>United States</t>
        </is>
      </c>
      <c r="E218" s="28" t="n">
        <v>2024</v>
      </c>
      <c r="F218" s="45" t="n">
        <v>0.6988</v>
      </c>
    </row>
    <row r="219">
      <c r="A219" s="28" t="inlineStr">
        <is>
          <t>DELEK_EL_DORADO_AR</t>
        </is>
      </c>
      <c r="B219" s="28" t="n">
        <v>3</v>
      </c>
      <c r="C219" s="28" t="inlineStr">
        <is>
          <t>East Texas</t>
        </is>
      </c>
      <c r="D219" s="28" t="inlineStr">
        <is>
          <t>United States</t>
        </is>
      </c>
      <c r="E219" s="28" t="n">
        <v>2024</v>
      </c>
      <c r="F219" s="45" t="n">
        <v>0.1741</v>
      </c>
    </row>
    <row r="220">
      <c r="A220" s="28" t="inlineStr">
        <is>
          <t>DELEK_EL_DORADO_AR</t>
        </is>
      </c>
      <c r="B220" s="28" t="n">
        <v>3</v>
      </c>
      <c r="C220" s="28" t="inlineStr">
        <is>
          <t>Arkansas Light</t>
        </is>
      </c>
      <c r="D220" s="28" t="inlineStr">
        <is>
          <t>United States</t>
        </is>
      </c>
      <c r="E220" s="28" t="n">
        <v>2024</v>
      </c>
      <c r="F220" s="45" t="n">
        <v>0.1271</v>
      </c>
    </row>
    <row r="221">
      <c r="A221" s="28" t="inlineStr">
        <is>
          <t>DELEK_KROTZ_SPRINGS</t>
        </is>
      </c>
      <c r="B221" s="28" t="n">
        <v>3</v>
      </c>
      <c r="C221" s="28" t="inlineStr">
        <is>
          <t>West Texas Intermediate</t>
        </is>
      </c>
      <c r="D221" s="28" t="inlineStr">
        <is>
          <t>United States</t>
        </is>
      </c>
      <c r="E221" s="28" t="n">
        <v>2024</v>
      </c>
      <c r="F221" s="45" t="n">
        <v>0.6995</v>
      </c>
    </row>
    <row r="222">
      <c r="A222" s="28" t="inlineStr">
        <is>
          <t>DELEK_KROTZ_SPRINGS</t>
        </is>
      </c>
      <c r="B222" s="28" t="n">
        <v>3</v>
      </c>
      <c r="C222" s="28" t="inlineStr">
        <is>
          <t>Light Louisiana Sweet</t>
        </is>
      </c>
      <c r="D222" s="28" t="inlineStr">
        <is>
          <t>United States</t>
        </is>
      </c>
      <c r="E222" s="28" t="n">
        <v>2024</v>
      </c>
      <c r="F222" s="45" t="n">
        <v>0.3005</v>
      </c>
    </row>
    <row r="223">
      <c r="A223" s="28" t="inlineStr">
        <is>
          <t>DELEK_TYLER</t>
        </is>
      </c>
      <c r="B223" s="28" t="n">
        <v>3</v>
      </c>
      <c r="C223" s="28" t="inlineStr">
        <is>
          <t>West Texas Intermediate</t>
        </is>
      </c>
      <c r="D223" s="28" t="inlineStr">
        <is>
          <t>United States</t>
        </is>
      </c>
      <c r="E223" s="28" t="n">
        <v>2024</v>
      </c>
      <c r="F223" s="45" t="n">
        <v>0.91</v>
      </c>
    </row>
    <row r="224">
      <c r="A224" s="28" t="inlineStr">
        <is>
          <t>DELEK_TYLER</t>
        </is>
      </c>
      <c r="B224" s="28" t="n">
        <v>3</v>
      </c>
      <c r="C224" s="28" t="inlineStr">
        <is>
          <t>East Texas</t>
        </is>
      </c>
      <c r="D224" s="28" t="inlineStr">
        <is>
          <t>United States</t>
        </is>
      </c>
      <c r="E224" s="28" t="n">
        <v>2024</v>
      </c>
      <c r="F224" s="45" t="n">
        <v>0.09</v>
      </c>
    </row>
    <row r="225">
      <c r="A225" s="28" t="inlineStr">
        <is>
          <t>EXXONMOBIL_BATON_ROUGE</t>
        </is>
      </c>
      <c r="B225" s="28" t="n">
        <v>3</v>
      </c>
      <c r="C225" s="28" t="inlineStr">
        <is>
          <t>West Texas Intermediate</t>
        </is>
      </c>
      <c r="D225" s="28" t="inlineStr">
        <is>
          <t>United States</t>
        </is>
      </c>
      <c r="E225" s="28" t="n">
        <v>2024</v>
      </c>
      <c r="F225" s="45" t="n">
        <v>0.356</v>
      </c>
    </row>
    <row r="226">
      <c r="A226" s="28" t="inlineStr">
        <is>
          <t>EXXONMOBIL_BATON_ROUGE</t>
        </is>
      </c>
      <c r="B226" s="28" t="n">
        <v>3</v>
      </c>
      <c r="C226" s="28" t="inlineStr">
        <is>
          <t>Light Louisiana Sweet</t>
        </is>
      </c>
      <c r="D226" s="28" t="inlineStr">
        <is>
          <t>United States</t>
        </is>
      </c>
      <c r="E226" s="28" t="n">
        <v>2024</v>
      </c>
      <c r="F226" s="45" t="n">
        <v>0.206</v>
      </c>
    </row>
    <row r="227">
      <c r="A227" s="28" t="inlineStr">
        <is>
          <t>EXXONMOBIL_BATON_ROUGE</t>
        </is>
      </c>
      <c r="B227" s="28" t="n">
        <v>3</v>
      </c>
      <c r="C227" s="28" t="inlineStr">
        <is>
          <t>Eugene Island Sour</t>
        </is>
      </c>
      <c r="D227" s="28" t="inlineStr">
        <is>
          <t>United States</t>
        </is>
      </c>
      <c r="E227" s="28" t="n">
        <v>2024</v>
      </c>
      <c r="F227" s="45" t="n">
        <v>0.1389</v>
      </c>
    </row>
    <row r="228">
      <c r="A228" s="28" t="inlineStr">
        <is>
          <t>EXXONMOBIL_BATON_ROUGE</t>
        </is>
      </c>
      <c r="B228" s="28" t="n">
        <v>3</v>
      </c>
      <c r="C228" s="28" t="inlineStr">
        <is>
          <t>Mars/Ursa</t>
        </is>
      </c>
      <c r="D228" s="28" t="inlineStr">
        <is>
          <t>US (GOM Deepwater)</t>
        </is>
      </c>
      <c r="E228" s="28" t="n">
        <v>2024</v>
      </c>
      <c r="F228" s="45" t="n">
        <v>0.1072</v>
      </c>
    </row>
    <row r="229">
      <c r="A229" s="28" t="inlineStr">
        <is>
          <t>EXXONMOBIL_BATON_ROUGE</t>
        </is>
      </c>
      <c r="B229" s="28" t="n">
        <v>3</v>
      </c>
      <c r="C229" s="28" t="inlineStr">
        <is>
          <t>Thunder Horse</t>
        </is>
      </c>
      <c r="D229" s="28" t="inlineStr">
        <is>
          <t>US (GOM Deepwater)</t>
        </is>
      </c>
      <c r="E229" s="28" t="n">
        <v>2024</v>
      </c>
      <c r="F229" s="45" t="n">
        <v>0.09449999999999999</v>
      </c>
    </row>
    <row r="230">
      <c r="A230" s="28" t="inlineStr">
        <is>
          <t>EXXONMOBIL_BATON_ROUGE</t>
        </is>
      </c>
      <c r="B230" s="28" t="n">
        <v>3</v>
      </c>
      <c r="C230" s="28" t="inlineStr">
        <is>
          <t>Heavy Louisiana Sweet</t>
        </is>
      </c>
      <c r="D230" s="28" t="inlineStr">
        <is>
          <t>United States</t>
        </is>
      </c>
      <c r="E230" s="28" t="n">
        <v>2024</v>
      </c>
      <c r="F230" s="45" t="n">
        <v>0.0672</v>
      </c>
    </row>
    <row r="231">
      <c r="A231" s="28" t="inlineStr">
        <is>
          <t>EXXONMOBIL_BATON_ROUGE</t>
        </is>
      </c>
      <c r="B231" s="28" t="n">
        <v>3</v>
      </c>
      <c r="C231" s="28" t="inlineStr">
        <is>
          <t>W. Canada Conventional Heavy Sour (Alberta)</t>
        </is>
      </c>
      <c r="D231" s="28" t="inlineStr">
        <is>
          <t>Canada (Alberta)</t>
        </is>
      </c>
      <c r="E231" s="28" t="n">
        <v>2024</v>
      </c>
      <c r="F231" s="45" t="n">
        <v>0.0127</v>
      </c>
    </row>
    <row r="232">
      <c r="A232" s="28" t="inlineStr">
        <is>
          <t>EXXONMOBIL_BATON_ROUGE</t>
        </is>
      </c>
      <c r="B232" s="28" t="n">
        <v>3</v>
      </c>
      <c r="C232" s="28" t="inlineStr">
        <is>
          <t>Liza-Payara</t>
        </is>
      </c>
      <c r="D232" s="28" t="inlineStr">
        <is>
          <t>Guyana</t>
        </is>
      </c>
      <c r="E232" s="28" t="n">
        <v>2024</v>
      </c>
      <c r="F232" s="45" t="n">
        <v>0.0091</v>
      </c>
    </row>
    <row r="233">
      <c r="A233" s="28" t="inlineStr">
        <is>
          <t>EXXONMOBIL_BATON_ROUGE</t>
        </is>
      </c>
      <c r="B233" s="28" t="n">
        <v>3</v>
      </c>
      <c r="C233" s="28" t="inlineStr">
        <is>
          <t>Merey</t>
        </is>
      </c>
      <c r="D233" s="28" t="inlineStr">
        <is>
          <t>Venezuela</t>
        </is>
      </c>
      <c r="E233" s="28" t="n">
        <v>2024</v>
      </c>
      <c r="F233" s="45" t="n">
        <v>0.004500000000000001</v>
      </c>
    </row>
    <row r="234">
      <c r="A234" s="28" t="inlineStr">
        <is>
          <t>EXXONMOBIL_BATON_ROUGE</t>
        </is>
      </c>
      <c r="B234" s="28" t="n">
        <v>3</v>
      </c>
      <c r="C234" s="28" t="inlineStr">
        <is>
          <t>Wabasca</t>
        </is>
      </c>
      <c r="D234" s="28" t="inlineStr">
        <is>
          <t>Canada</t>
        </is>
      </c>
      <c r="E234" s="28" t="n">
        <v>2024</v>
      </c>
      <c r="F234" s="45" t="n">
        <v>0.0039</v>
      </c>
    </row>
    <row r="235">
      <c r="A235" s="28" t="inlineStr">
        <is>
          <t>EXXONMOBIL_BEAUMONT</t>
        </is>
      </c>
      <c r="B235" s="28" t="n">
        <v>3</v>
      </c>
      <c r="C235" s="28" t="inlineStr">
        <is>
          <t>West Texas Intermediate</t>
        </is>
      </c>
      <c r="D235" s="28" t="inlineStr">
        <is>
          <t>United States</t>
        </is>
      </c>
      <c r="E235" s="28" t="n">
        <v>2024</v>
      </c>
      <c r="F235" s="45" t="n">
        <v>0.8894</v>
      </c>
    </row>
    <row r="236">
      <c r="A236" s="28" t="inlineStr">
        <is>
          <t>EXXONMOBIL_BEAUMONT</t>
        </is>
      </c>
      <c r="B236" s="28" t="n">
        <v>3</v>
      </c>
      <c r="C236" s="28" t="inlineStr">
        <is>
          <t>Cold Lake</t>
        </is>
      </c>
      <c r="D236" s="28" t="inlineStr">
        <is>
          <t>Canada (Oil Sands)</t>
        </is>
      </c>
      <c r="E236" s="28" t="n">
        <v>2024</v>
      </c>
      <c r="F236" s="45" t="n">
        <v>0.0444</v>
      </c>
    </row>
    <row r="237">
      <c r="A237" s="28" t="inlineStr">
        <is>
          <t>EXXONMOBIL_BEAUMONT</t>
        </is>
      </c>
      <c r="B237" s="28" t="n">
        <v>3</v>
      </c>
      <c r="C237" s="28" t="inlineStr">
        <is>
          <t>Western Canadian Select</t>
        </is>
      </c>
      <c r="D237" s="28" t="inlineStr">
        <is>
          <t>Canada</t>
        </is>
      </c>
      <c r="E237" s="28" t="n">
        <v>2024</v>
      </c>
      <c r="F237" s="45" t="n">
        <v>0.0343</v>
      </c>
    </row>
    <row r="238">
      <c r="A238" s="28" t="inlineStr">
        <is>
          <t>EXXONMOBIL_BEAUMONT</t>
        </is>
      </c>
      <c r="B238" s="28" t="n">
        <v>3</v>
      </c>
      <c r="C238" s="28" t="inlineStr">
        <is>
          <t>Wabasca</t>
        </is>
      </c>
      <c r="D238" s="28" t="inlineStr">
        <is>
          <t>Canada</t>
        </is>
      </c>
      <c r="E238" s="28" t="n">
        <v>2024</v>
      </c>
      <c r="F238" s="45" t="n">
        <v>0.0161</v>
      </c>
    </row>
    <row r="239">
      <c r="A239" s="28" t="inlineStr">
        <is>
          <t>EXXONMOBIL_BEAUMONT</t>
        </is>
      </c>
      <c r="B239" s="28" t="n">
        <v>3</v>
      </c>
      <c r="C239" s="28" t="inlineStr">
        <is>
          <t>W. Canada Conventional Heavy Sour (Alberta)</t>
        </is>
      </c>
      <c r="D239" s="28" t="inlineStr">
        <is>
          <t>Canada (Alberta)</t>
        </is>
      </c>
      <c r="E239" s="28" t="n">
        <v>2024</v>
      </c>
      <c r="F239" s="45" t="n">
        <v>0.005699999999999999</v>
      </c>
    </row>
    <row r="240">
      <c r="A240" s="28" t="inlineStr">
        <is>
          <t>EXXONMOBIL_BEAUMONT</t>
        </is>
      </c>
      <c r="B240" s="28" t="n">
        <v>3</v>
      </c>
      <c r="C240" s="28" t="inlineStr">
        <is>
          <t>Suncor Synthetic H</t>
        </is>
      </c>
      <c r="D240" s="28" t="inlineStr">
        <is>
          <t>Canada (Saskatchewan)</t>
        </is>
      </c>
      <c r="E240" s="28" t="n">
        <v>2024</v>
      </c>
      <c r="F240" s="45" t="n">
        <v>0.005500000000000001</v>
      </c>
    </row>
    <row r="241">
      <c r="A241" s="28" t="inlineStr">
        <is>
          <t>EXXONMOBIL_BEAUMONT</t>
        </is>
      </c>
      <c r="B241" s="28" t="n">
        <v>3</v>
      </c>
      <c r="C241" s="28" t="inlineStr">
        <is>
          <t>Lloyd Blend</t>
        </is>
      </c>
      <c r="D241" s="28" t="inlineStr">
        <is>
          <t>United States</t>
        </is>
      </c>
      <c r="E241" s="28" t="n">
        <v>2024</v>
      </c>
      <c r="F241" s="45" t="n">
        <v>0.0046</v>
      </c>
    </row>
    <row r="242">
      <c r="A242" s="28" t="inlineStr">
        <is>
          <t>FLINT_CORPUS_CHRISTI</t>
        </is>
      </c>
      <c r="B242" s="28" t="n">
        <v>3</v>
      </c>
      <c r="C242" s="28" t="inlineStr">
        <is>
          <t>Eagle Ford Crude</t>
        </is>
      </c>
      <c r="D242" s="28" t="inlineStr">
        <is>
          <t>United States</t>
        </is>
      </c>
      <c r="E242" s="28" t="n">
        <v>2024</v>
      </c>
      <c r="F242" s="45" t="n">
        <v>0.8184999999999999</v>
      </c>
    </row>
    <row r="243">
      <c r="A243" s="28" t="inlineStr">
        <is>
          <t>FLINT_CORPUS_CHRISTI</t>
        </is>
      </c>
      <c r="B243" s="28" t="n">
        <v>3</v>
      </c>
      <c r="C243" s="28" t="inlineStr">
        <is>
          <t>South Texas</t>
        </is>
      </c>
      <c r="D243" s="28" t="inlineStr">
        <is>
          <t>United States</t>
        </is>
      </c>
      <c r="E243" s="28" t="n">
        <v>2024</v>
      </c>
      <c r="F243" s="45" t="n">
        <v>0.1815</v>
      </c>
    </row>
    <row r="244">
      <c r="A244" s="28" t="inlineStr">
        <is>
          <t>HF_ARTESIA</t>
        </is>
      </c>
      <c r="B244" s="28" t="n">
        <v>3</v>
      </c>
      <c r="C244" s="28" t="inlineStr">
        <is>
          <t>New Mexico Sour</t>
        </is>
      </c>
      <c r="D244" s="28" t="inlineStr">
        <is>
          <t>United States</t>
        </is>
      </c>
      <c r="E244" s="28" t="n">
        <v>2024</v>
      </c>
      <c r="F244" s="45" t="n">
        <v>0.7109000000000001</v>
      </c>
    </row>
    <row r="245">
      <c r="A245" s="28" t="inlineStr">
        <is>
          <t>HF_ARTESIA</t>
        </is>
      </c>
      <c r="B245" s="28" t="n">
        <v>3</v>
      </c>
      <c r="C245" s="28" t="inlineStr">
        <is>
          <t>West Texas Intermediate</t>
        </is>
      </c>
      <c r="D245" s="28" t="inlineStr">
        <is>
          <t>United States</t>
        </is>
      </c>
      <c r="E245" s="28" t="n">
        <v>2024</v>
      </c>
      <c r="F245" s="45" t="n">
        <v>0.2891</v>
      </c>
    </row>
    <row r="246">
      <c r="A246" s="28" t="inlineStr">
        <is>
          <t>HUNT_TUSCALOOSA</t>
        </is>
      </c>
      <c r="B246" s="28" t="n">
        <v>3</v>
      </c>
      <c r="C246" s="28" t="inlineStr">
        <is>
          <t>Oil Sands Bitumen</t>
        </is>
      </c>
      <c r="D246" s="28" t="inlineStr">
        <is>
          <t>Canada (Oil Sands)</t>
        </is>
      </c>
      <c r="E246" s="28" t="n">
        <v>2024</v>
      </c>
      <c r="F246" s="45" t="n">
        <v>0.4115</v>
      </c>
    </row>
    <row r="247">
      <c r="A247" s="28" t="inlineStr">
        <is>
          <t>HUNT_TUSCALOOSA</t>
        </is>
      </c>
      <c r="B247" s="28" t="n">
        <v>3</v>
      </c>
      <c r="C247" s="28" t="inlineStr">
        <is>
          <t>Maya</t>
        </is>
      </c>
      <c r="D247" s="28" t="inlineStr">
        <is>
          <t>Mexico</t>
        </is>
      </c>
      <c r="E247" s="28" t="n">
        <v>2024</v>
      </c>
      <c r="F247" s="45" t="n">
        <v>0.1715</v>
      </c>
    </row>
    <row r="248">
      <c r="A248" s="28" t="inlineStr">
        <is>
          <t>HUNT_TUSCALOOSA</t>
        </is>
      </c>
      <c r="B248" s="28" t="n">
        <v>3</v>
      </c>
      <c r="C248" s="28" t="inlineStr">
        <is>
          <t>Isthmus</t>
        </is>
      </c>
      <c r="D248" s="28" t="inlineStr">
        <is>
          <t>Mexico</t>
        </is>
      </c>
      <c r="E248" s="28" t="n">
        <v>2024</v>
      </c>
      <c r="F248" s="45" t="n">
        <v>0.17</v>
      </c>
    </row>
    <row r="249">
      <c r="A249" s="28" t="inlineStr">
        <is>
          <t>HUNT_TUSCALOOSA</t>
        </is>
      </c>
      <c r="B249" s="28" t="n">
        <v>3</v>
      </c>
      <c r="C249" s="28" t="inlineStr">
        <is>
          <t>Olmeca</t>
        </is>
      </c>
      <c r="D249" s="28" t="inlineStr">
        <is>
          <t>Mexico</t>
        </is>
      </c>
      <c r="E249" s="28" t="n">
        <v>2024</v>
      </c>
      <c r="F249" s="45" t="n">
        <v>0.1182</v>
      </c>
    </row>
    <row r="250">
      <c r="A250" s="28" t="inlineStr">
        <is>
          <t>HUNT_TUSCALOOSA</t>
        </is>
      </c>
      <c r="B250" s="28" t="n">
        <v>3</v>
      </c>
      <c r="C250" s="28" t="inlineStr">
        <is>
          <t>Light Louisiana Sweet</t>
        </is>
      </c>
      <c r="D250" s="28" t="inlineStr">
        <is>
          <t>United States</t>
        </is>
      </c>
      <c r="E250" s="28" t="n">
        <v>2024</v>
      </c>
      <c r="F250" s="45" t="n">
        <v>0.0723</v>
      </c>
    </row>
    <row r="251">
      <c r="A251" s="28" t="inlineStr">
        <is>
          <t>HUNT_TUSCALOOSA</t>
        </is>
      </c>
      <c r="B251" s="28" t="n">
        <v>3</v>
      </c>
      <c r="C251" s="28" t="inlineStr">
        <is>
          <t>Castilla</t>
        </is>
      </c>
      <c r="D251" s="28" t="inlineStr">
        <is>
          <t>Colombia</t>
        </is>
      </c>
      <c r="E251" s="28" t="n">
        <v>2024</v>
      </c>
      <c r="F251" s="45" t="n">
        <v>0.0565</v>
      </c>
    </row>
    <row r="252">
      <c r="A252" s="28" t="inlineStr">
        <is>
          <t>LYONDELLBASELL_HOUSTON</t>
        </is>
      </c>
      <c r="B252" s="28" t="n">
        <v>3</v>
      </c>
      <c r="C252" s="28" t="inlineStr">
        <is>
          <t>Castilla</t>
        </is>
      </c>
      <c r="D252" s="28" t="inlineStr">
        <is>
          <t>Colombia</t>
        </is>
      </c>
      <c r="E252" s="28" t="n">
        <v>2024</v>
      </c>
      <c r="F252" s="45" t="n">
        <v>0.3517</v>
      </c>
    </row>
    <row r="253">
      <c r="A253" s="28" t="inlineStr">
        <is>
          <t>LYONDELLBASELL_HOUSTON</t>
        </is>
      </c>
      <c r="B253" s="28" t="n">
        <v>3</v>
      </c>
      <c r="C253" s="28" t="inlineStr">
        <is>
          <t>West Texas Intermediate</t>
        </is>
      </c>
      <c r="D253" s="28" t="inlineStr">
        <is>
          <t>United States</t>
        </is>
      </c>
      <c r="E253" s="28" t="n">
        <v>2024</v>
      </c>
      <c r="F253" s="45" t="n">
        <v>0.1814</v>
      </c>
    </row>
    <row r="254">
      <c r="A254" s="28" t="inlineStr">
        <is>
          <t>LYONDELLBASELL_HOUSTON</t>
        </is>
      </c>
      <c r="B254" s="28" t="n">
        <v>3</v>
      </c>
      <c r="C254" s="28" t="inlineStr">
        <is>
          <t>Cold Lake</t>
        </is>
      </c>
      <c r="D254" s="28" t="inlineStr">
        <is>
          <t>Canada (Oil Sands)</t>
        </is>
      </c>
      <c r="E254" s="28" t="n">
        <v>2024</v>
      </c>
      <c r="F254" s="45" t="n">
        <v>0.1673</v>
      </c>
    </row>
    <row r="255">
      <c r="A255" s="28" t="inlineStr">
        <is>
          <t>LYONDELLBASELL_HOUSTON</t>
        </is>
      </c>
      <c r="B255" s="28" t="n">
        <v>3</v>
      </c>
      <c r="C255" s="28" t="inlineStr">
        <is>
          <t>W. Canada Conventional Heavy Sour (Alberta)</t>
        </is>
      </c>
      <c r="D255" s="28" t="inlineStr">
        <is>
          <t>Canada (Alberta)</t>
        </is>
      </c>
      <c r="E255" s="28" t="n">
        <v>2024</v>
      </c>
      <c r="F255" s="45" t="n">
        <v>0.06950000000000001</v>
      </c>
    </row>
    <row r="256">
      <c r="A256" s="28" t="inlineStr">
        <is>
          <t>LYONDELLBASELL_HOUSTON</t>
        </is>
      </c>
      <c r="B256" s="28" t="n">
        <v>3</v>
      </c>
      <c r="C256" s="28" t="inlineStr">
        <is>
          <t>Maya</t>
        </is>
      </c>
      <c r="D256" s="28" t="inlineStr">
        <is>
          <t>Mexico</t>
        </is>
      </c>
      <c r="E256" s="28" t="n">
        <v>2024</v>
      </c>
      <c r="F256" s="45" t="n">
        <v>0.0683</v>
      </c>
    </row>
    <row r="257">
      <c r="A257" s="28" t="inlineStr">
        <is>
          <t>LYONDELLBASELL_HOUSTON</t>
        </is>
      </c>
      <c r="B257" s="28" t="n">
        <v>3</v>
      </c>
      <c r="C257" s="28" t="inlineStr">
        <is>
          <t>Wabasca</t>
        </is>
      </c>
      <c r="D257" s="28" t="inlineStr">
        <is>
          <t>Canada</t>
        </is>
      </c>
      <c r="E257" s="28" t="n">
        <v>2024</v>
      </c>
      <c r="F257" s="45" t="n">
        <v>0.046</v>
      </c>
    </row>
    <row r="258">
      <c r="A258" s="28" t="inlineStr">
        <is>
          <t>LYONDELLBASELL_HOUSTON</t>
        </is>
      </c>
      <c r="B258" s="28" t="n">
        <v>3</v>
      </c>
      <c r="C258" s="28" t="inlineStr">
        <is>
          <t>Ratawi (Saudi Arabia)</t>
        </is>
      </c>
      <c r="D258" s="28" t="inlineStr">
        <is>
          <t>Saudi Arabia</t>
        </is>
      </c>
      <c r="E258" s="28" t="n">
        <v>2024</v>
      </c>
      <c r="F258" s="45" t="n">
        <v>0.0384</v>
      </c>
    </row>
    <row r="259">
      <c r="A259" s="28" t="inlineStr">
        <is>
          <t>LYONDELLBASELL_HOUSTON</t>
        </is>
      </c>
      <c r="B259" s="28" t="n">
        <v>3</v>
      </c>
      <c r="C259" s="28" t="inlineStr">
        <is>
          <t>Lloyd Blend</t>
        </is>
      </c>
      <c r="D259" s="28" t="inlineStr">
        <is>
          <t>United States</t>
        </is>
      </c>
      <c r="E259" s="28" t="n">
        <v>2024</v>
      </c>
      <c r="F259" s="45" t="n">
        <v>0.029</v>
      </c>
    </row>
    <row r="260">
      <c r="A260" s="28" t="inlineStr">
        <is>
          <t>LYONDELLBASELL_HOUSTON</t>
        </is>
      </c>
      <c r="B260" s="28" t="n">
        <v>3</v>
      </c>
      <c r="C260" s="28" t="inlineStr">
        <is>
          <t>DCO</t>
        </is>
      </c>
      <c r="D260" s="28" t="inlineStr">
        <is>
          <t>Venezuela</t>
        </is>
      </c>
      <c r="E260" s="28" t="n">
        <v>2024</v>
      </c>
      <c r="F260" s="45" t="n">
        <v>0.0213</v>
      </c>
    </row>
    <row r="261">
      <c r="A261" s="28" t="inlineStr">
        <is>
          <t>LYONDELLBASELL_HOUSTON</t>
        </is>
      </c>
      <c r="B261" s="28" t="n">
        <v>3</v>
      </c>
      <c r="C261" s="28" t="inlineStr">
        <is>
          <t>Merey</t>
        </is>
      </c>
      <c r="D261" s="28" t="inlineStr">
        <is>
          <t>Venezuela</t>
        </is>
      </c>
      <c r="E261" s="28" t="n">
        <v>2024</v>
      </c>
      <c r="F261" s="45" t="n">
        <v>0.0157</v>
      </c>
    </row>
    <row r="262">
      <c r="A262" s="28" t="inlineStr">
        <is>
          <t>LYONDELLBASELL_HOUSTON</t>
        </is>
      </c>
      <c r="B262" s="28" t="n">
        <v>3</v>
      </c>
      <c r="C262" s="28" t="inlineStr">
        <is>
          <t>Western Canadian Select</t>
        </is>
      </c>
      <c r="D262" s="28" t="inlineStr">
        <is>
          <t>Canada</t>
        </is>
      </c>
      <c r="E262" s="28" t="n">
        <v>2024</v>
      </c>
      <c r="F262" s="45" t="n">
        <v>0.0114</v>
      </c>
    </row>
    <row r="263">
      <c r="A263" s="28" t="inlineStr">
        <is>
          <t>MARATHON_EL_PASO</t>
        </is>
      </c>
      <c r="B263" s="28" t="n">
        <v>3</v>
      </c>
      <c r="C263" s="28" t="inlineStr">
        <is>
          <t>West Texas Intermediate</t>
        </is>
      </c>
      <c r="D263" s="28" t="inlineStr">
        <is>
          <t>United States</t>
        </is>
      </c>
      <c r="E263" s="28" t="n">
        <v>2024</v>
      </c>
      <c r="F263" s="45" t="n">
        <v>0.8206</v>
      </c>
    </row>
    <row r="264">
      <c r="A264" s="28" t="inlineStr">
        <is>
          <t>MARATHON_EL_PASO</t>
        </is>
      </c>
      <c r="B264" s="28" t="n">
        <v>3</v>
      </c>
      <c r="C264" s="28" t="inlineStr">
        <is>
          <t>West Texas Sour</t>
        </is>
      </c>
      <c r="D264" s="28" t="inlineStr">
        <is>
          <t>United States</t>
        </is>
      </c>
      <c r="E264" s="28" t="n">
        <v>2024</v>
      </c>
      <c r="F264" s="45" t="n">
        <v>0.1794</v>
      </c>
    </row>
    <row r="265">
      <c r="A265" s="28" t="inlineStr">
        <is>
          <t>MARATHON_GARYVILLE</t>
        </is>
      </c>
      <c r="B265" s="28" t="n">
        <v>3</v>
      </c>
      <c r="C265" s="28" t="inlineStr">
        <is>
          <t>West Texas Intermediate</t>
        </is>
      </c>
      <c r="D265" s="28" t="inlineStr">
        <is>
          <t>United States</t>
        </is>
      </c>
      <c r="E265" s="28" t="n">
        <v>2024</v>
      </c>
      <c r="F265" s="45" t="n">
        <v>0.448</v>
      </c>
    </row>
    <row r="266">
      <c r="A266" s="28" t="inlineStr">
        <is>
          <t>MARATHON_GARYVILLE</t>
        </is>
      </c>
      <c r="B266" s="28" t="n">
        <v>3</v>
      </c>
      <c r="C266" s="28" t="inlineStr">
        <is>
          <t>Mars/Ursa</t>
        </is>
      </c>
      <c r="D266" s="28" t="inlineStr">
        <is>
          <t>US (GOM Deepwater)</t>
        </is>
      </c>
      <c r="E266" s="28" t="n">
        <v>2024</v>
      </c>
      <c r="F266" s="45" t="n">
        <v>0.228</v>
      </c>
    </row>
    <row r="267">
      <c r="A267" s="28" t="inlineStr">
        <is>
          <t>MARATHON_GARYVILLE</t>
        </is>
      </c>
      <c r="B267" s="28" t="n">
        <v>3</v>
      </c>
      <c r="C267" s="28" t="inlineStr">
        <is>
          <t>Thunder Horse</t>
        </is>
      </c>
      <c r="D267" s="28" t="inlineStr">
        <is>
          <t>US (GOM Deepwater)</t>
        </is>
      </c>
      <c r="E267" s="28" t="n">
        <v>2024</v>
      </c>
      <c r="F267" s="45" t="n">
        <v>0.08869999999999999</v>
      </c>
    </row>
    <row r="268">
      <c r="A268" s="28" t="inlineStr">
        <is>
          <t>MARATHON_GARYVILLE</t>
        </is>
      </c>
      <c r="B268" s="28" t="n">
        <v>3</v>
      </c>
      <c r="C268" s="28" t="inlineStr">
        <is>
          <t>Light Louisiana Sweet</t>
        </is>
      </c>
      <c r="D268" s="28" t="inlineStr">
        <is>
          <t>United States</t>
        </is>
      </c>
      <c r="E268" s="28" t="n">
        <v>2024</v>
      </c>
      <c r="F268" s="45" t="n">
        <v>0.0859</v>
      </c>
    </row>
    <row r="269">
      <c r="A269" s="28" t="inlineStr">
        <is>
          <t>MARATHON_GARYVILLE</t>
        </is>
      </c>
      <c r="B269" s="28" t="n">
        <v>3</v>
      </c>
      <c r="C269" s="28" t="inlineStr">
        <is>
          <t>Heavy Louisiana Sweet</t>
        </is>
      </c>
      <c r="D269" s="28" t="inlineStr">
        <is>
          <t>United States</t>
        </is>
      </c>
      <c r="E269" s="28" t="n">
        <v>2024</v>
      </c>
      <c r="F269" s="45" t="n">
        <v>0.07829999999999999</v>
      </c>
    </row>
    <row r="270">
      <c r="A270" s="28" t="inlineStr">
        <is>
          <t>MARATHON_GARYVILLE</t>
        </is>
      </c>
      <c r="B270" s="28" t="n">
        <v>3</v>
      </c>
      <c r="C270" s="28" t="inlineStr">
        <is>
          <t>Maya</t>
        </is>
      </c>
      <c r="D270" s="28" t="inlineStr">
        <is>
          <t>Mexico</t>
        </is>
      </c>
      <c r="E270" s="28" t="n">
        <v>2024</v>
      </c>
      <c r="F270" s="45" t="n">
        <v>0.0265</v>
      </c>
    </row>
    <row r="271">
      <c r="A271" s="28" t="inlineStr">
        <is>
          <t>MARATHON_GARYVILLE</t>
        </is>
      </c>
      <c r="B271" s="28" t="n">
        <v>3</v>
      </c>
      <c r="C271" s="28" t="inlineStr">
        <is>
          <t>Isthmus</t>
        </is>
      </c>
      <c r="D271" s="28" t="inlineStr">
        <is>
          <t>Mexico</t>
        </is>
      </c>
      <c r="E271" s="28" t="n">
        <v>2024</v>
      </c>
      <c r="F271" s="45" t="n">
        <v>0.0251</v>
      </c>
    </row>
    <row r="272">
      <c r="A272" s="28" t="inlineStr">
        <is>
          <t>MARATHON_GARYVILLE</t>
        </is>
      </c>
      <c r="B272" s="28" t="n">
        <v>3</v>
      </c>
      <c r="C272" s="28" t="inlineStr">
        <is>
          <t>Olmeca</t>
        </is>
      </c>
      <c r="D272" s="28" t="inlineStr">
        <is>
          <t>Mexico</t>
        </is>
      </c>
      <c r="E272" s="28" t="n">
        <v>2024</v>
      </c>
      <c r="F272" s="45" t="n">
        <v>0.009599999999999999</v>
      </c>
    </row>
    <row r="273">
      <c r="A273" s="28" t="inlineStr">
        <is>
          <t>MARATHON_GARYVILLE</t>
        </is>
      </c>
      <c r="B273" s="28" t="n">
        <v>3</v>
      </c>
      <c r="C273" s="28" t="inlineStr">
        <is>
          <t>Castilla</t>
        </is>
      </c>
      <c r="D273" s="28" t="inlineStr">
        <is>
          <t>Colombia</t>
        </is>
      </c>
      <c r="E273" s="28" t="n">
        <v>2024</v>
      </c>
      <c r="F273" s="45" t="n">
        <v>0.0042</v>
      </c>
    </row>
    <row r="274">
      <c r="A274" s="28" t="inlineStr">
        <is>
          <t>MARATHON_GARYVILLE</t>
        </is>
      </c>
      <c r="B274" s="28" t="n">
        <v>3</v>
      </c>
      <c r="C274" s="28" t="inlineStr">
        <is>
          <t>Domestic Oil Guatemala</t>
        </is>
      </c>
      <c r="D274" s="28" t="inlineStr">
        <is>
          <t>Guatemala</t>
        </is>
      </c>
      <c r="E274" s="28" t="n">
        <v>2024</v>
      </c>
      <c r="F274" s="45" t="n">
        <v>0.0031</v>
      </c>
    </row>
    <row r="275">
      <c r="A275" s="28" t="inlineStr">
        <is>
          <t>MARATHON_GARYVILLE</t>
        </is>
      </c>
      <c r="B275" s="28" t="n">
        <v>3</v>
      </c>
      <c r="C275" s="28" t="inlineStr">
        <is>
          <t>Ebok</t>
        </is>
      </c>
      <c r="D275" s="28" t="inlineStr">
        <is>
          <t>Nigeria</t>
        </is>
      </c>
      <c r="E275" s="28" t="n">
        <v>2024</v>
      </c>
      <c r="F275" s="45" t="n">
        <v>0.0026</v>
      </c>
    </row>
    <row r="276">
      <c r="A276" s="28" t="inlineStr">
        <is>
          <t>MOTIVA_PAR</t>
        </is>
      </c>
      <c r="B276" s="28" t="n">
        <v>3</v>
      </c>
      <c r="C276" s="28" t="inlineStr">
        <is>
          <t>West Texas Intermediate</t>
        </is>
      </c>
      <c r="D276" s="28" t="inlineStr">
        <is>
          <t>United States</t>
        </is>
      </c>
      <c r="E276" s="28" t="n">
        <v>2024</v>
      </c>
      <c r="F276" s="45" t="n">
        <v>0.4279</v>
      </c>
    </row>
    <row r="277">
      <c r="A277" s="28" t="inlineStr">
        <is>
          <t>MOTIVA_PAR</t>
        </is>
      </c>
      <c r="B277" s="28" t="n">
        <v>3</v>
      </c>
      <c r="C277" s="28" t="inlineStr">
        <is>
          <t>Arab Light</t>
        </is>
      </c>
      <c r="D277" s="28" t="inlineStr">
        <is>
          <t>Saudi Arabia</t>
        </is>
      </c>
      <c r="E277" s="28" t="n">
        <v>2024</v>
      </c>
      <c r="F277" s="45" t="n">
        <v>0.3629</v>
      </c>
    </row>
    <row r="278">
      <c r="A278" s="28" t="inlineStr">
        <is>
          <t>MOTIVA_PAR</t>
        </is>
      </c>
      <c r="B278" s="28" t="n">
        <v>3</v>
      </c>
      <c r="C278" s="28" t="inlineStr">
        <is>
          <t>Mars/Ursa</t>
        </is>
      </c>
      <c r="D278" s="28" t="inlineStr">
        <is>
          <t>US (GOM Deepwater)</t>
        </is>
      </c>
      <c r="E278" s="28" t="n">
        <v>2024</v>
      </c>
      <c r="F278" s="45" t="n">
        <v>0.1187</v>
      </c>
    </row>
    <row r="279">
      <c r="A279" s="28" t="inlineStr">
        <is>
          <t>MOTIVA_PAR</t>
        </is>
      </c>
      <c r="B279" s="28" t="n">
        <v>3</v>
      </c>
      <c r="C279" s="28" t="inlineStr">
        <is>
          <t>Cold Lake</t>
        </is>
      </c>
      <c r="D279" s="28" t="inlineStr">
        <is>
          <t>Canada (Oil Sands)</t>
        </is>
      </c>
      <c r="E279" s="28" t="n">
        <v>2024</v>
      </c>
      <c r="F279" s="45" t="n">
        <v>0.043</v>
      </c>
    </row>
    <row r="280">
      <c r="A280" s="28" t="inlineStr">
        <is>
          <t>MOTIVA_PAR</t>
        </is>
      </c>
      <c r="B280" s="28" t="n">
        <v>3</v>
      </c>
      <c r="C280" s="28" t="inlineStr">
        <is>
          <t>Western Canadian Select</t>
        </is>
      </c>
      <c r="D280" s="28" t="inlineStr">
        <is>
          <t>Canada</t>
        </is>
      </c>
      <c r="E280" s="28" t="n">
        <v>2024</v>
      </c>
      <c r="F280" s="45" t="n">
        <v>0.0239</v>
      </c>
    </row>
    <row r="281">
      <c r="A281" s="28" t="inlineStr">
        <is>
          <t>MOTIVA_PAR</t>
        </is>
      </c>
      <c r="B281" s="28" t="n">
        <v>3</v>
      </c>
      <c r="C281" s="28" t="inlineStr">
        <is>
          <t>Wabasca</t>
        </is>
      </c>
      <c r="D281" s="28" t="inlineStr">
        <is>
          <t>Canada</t>
        </is>
      </c>
      <c r="E281" s="28" t="n">
        <v>2024</v>
      </c>
      <c r="F281" s="45" t="n">
        <v>0.0119</v>
      </c>
    </row>
    <row r="282">
      <c r="A282" s="28" t="inlineStr">
        <is>
          <t>MOTIVA_PAR</t>
        </is>
      </c>
      <c r="B282" s="28" t="n">
        <v>3</v>
      </c>
      <c r="C282" s="28" t="inlineStr">
        <is>
          <t>Lloyd Blend</t>
        </is>
      </c>
      <c r="D282" s="28" t="inlineStr">
        <is>
          <t>United States</t>
        </is>
      </c>
      <c r="E282" s="28" t="n">
        <v>2024</v>
      </c>
      <c r="F282" s="45" t="n">
        <v>0.0117</v>
      </c>
    </row>
    <row r="283">
      <c r="A283" s="28" t="inlineStr">
        <is>
          <t>MPC_GALV_BAY</t>
        </is>
      </c>
      <c r="B283" s="28" t="n">
        <v>3</v>
      </c>
      <c r="C283" s="28" t="inlineStr">
        <is>
          <t>West Texas Intermediate</t>
        </is>
      </c>
      <c r="D283" s="28" t="inlineStr">
        <is>
          <t>United States</t>
        </is>
      </c>
      <c r="E283" s="28" t="n">
        <v>2024</v>
      </c>
      <c r="F283" s="45" t="n">
        <v>0.5694</v>
      </c>
    </row>
    <row r="284">
      <c r="A284" s="28" t="inlineStr">
        <is>
          <t>MPC_GALV_BAY</t>
        </is>
      </c>
      <c r="B284" s="28" t="n">
        <v>3</v>
      </c>
      <c r="C284" s="28" t="inlineStr">
        <is>
          <t>Hoops Blend</t>
        </is>
      </c>
      <c r="D284" s="28" t="inlineStr">
        <is>
          <t>United States</t>
        </is>
      </c>
      <c r="E284" s="28" t="n">
        <v>2024</v>
      </c>
      <c r="F284" s="45" t="n">
        <v>0.1797</v>
      </c>
    </row>
    <row r="285">
      <c r="A285" s="28" t="inlineStr">
        <is>
          <t>MPC_GALV_BAY</t>
        </is>
      </c>
      <c r="B285" s="28" t="n">
        <v>3</v>
      </c>
      <c r="C285" s="28" t="inlineStr">
        <is>
          <t>Hips Blend</t>
        </is>
      </c>
      <c r="D285" s="28" t="inlineStr">
        <is>
          <t>United States</t>
        </is>
      </c>
      <c r="E285" s="28" t="n">
        <v>2024</v>
      </c>
      <c r="F285" s="45" t="n">
        <v>0.08560000000000001</v>
      </c>
    </row>
    <row r="286">
      <c r="A286" s="28" t="inlineStr">
        <is>
          <t>MPC_GALV_BAY</t>
        </is>
      </c>
      <c r="B286" s="28" t="n">
        <v>3</v>
      </c>
      <c r="C286" s="28" t="inlineStr">
        <is>
          <t>Eagle Ford Crude</t>
        </is>
      </c>
      <c r="D286" s="28" t="inlineStr">
        <is>
          <t>United States</t>
        </is>
      </c>
      <c r="E286" s="28" t="n">
        <v>2024</v>
      </c>
      <c r="F286" s="45" t="n">
        <v>0.0771</v>
      </c>
    </row>
    <row r="287">
      <c r="A287" s="28" t="inlineStr">
        <is>
          <t>MPC_GALV_BAY</t>
        </is>
      </c>
      <c r="B287" s="28" t="n">
        <v>3</v>
      </c>
      <c r="C287" s="28" t="inlineStr">
        <is>
          <t>Wabasca</t>
        </is>
      </c>
      <c r="D287" s="28" t="inlineStr">
        <is>
          <t>Canada</t>
        </is>
      </c>
      <c r="E287" s="28" t="n">
        <v>2024</v>
      </c>
      <c r="F287" s="45" t="n">
        <v>0.0389</v>
      </c>
    </row>
    <row r="288">
      <c r="A288" s="28" t="inlineStr">
        <is>
          <t>MPC_GALV_BAY</t>
        </is>
      </c>
      <c r="B288" s="28" t="n">
        <v>3</v>
      </c>
      <c r="C288" s="28" t="inlineStr">
        <is>
          <t>Isthmus</t>
        </is>
      </c>
      <c r="D288" s="28" t="inlineStr">
        <is>
          <t>Mexico</t>
        </is>
      </c>
      <c r="E288" s="28" t="n">
        <v>2024</v>
      </c>
      <c r="F288" s="45" t="n">
        <v>0.019</v>
      </c>
    </row>
    <row r="289">
      <c r="A289" s="28" t="inlineStr">
        <is>
          <t>MPC_GALV_BAY</t>
        </is>
      </c>
      <c r="B289" s="28" t="n">
        <v>3</v>
      </c>
      <c r="C289" s="28" t="inlineStr">
        <is>
          <t>Cold Lake</t>
        </is>
      </c>
      <c r="D289" s="28" t="inlineStr">
        <is>
          <t>Canada (Oil Sands)</t>
        </is>
      </c>
      <c r="E289" s="28" t="n">
        <v>2024</v>
      </c>
      <c r="F289" s="45" t="n">
        <v>0.013</v>
      </c>
    </row>
    <row r="290">
      <c r="A290" s="28" t="inlineStr">
        <is>
          <t>MPC_GALV_BAY</t>
        </is>
      </c>
      <c r="B290" s="28" t="n">
        <v>3</v>
      </c>
      <c r="C290" s="28" t="inlineStr">
        <is>
          <t>Liza-Payara</t>
        </is>
      </c>
      <c r="D290" s="28" t="inlineStr">
        <is>
          <t>Guyana</t>
        </is>
      </c>
      <c r="E290" s="28" t="n">
        <v>2024</v>
      </c>
      <c r="F290" s="45" t="n">
        <v>0.0097</v>
      </c>
    </row>
    <row r="291">
      <c r="A291" s="28" t="inlineStr">
        <is>
          <t>MPC_GALV_BAY</t>
        </is>
      </c>
      <c r="B291" s="28" t="n">
        <v>3</v>
      </c>
      <c r="C291" s="28" t="inlineStr">
        <is>
          <t>Olmeca</t>
        </is>
      </c>
      <c r="D291" s="28" t="inlineStr">
        <is>
          <t>Mexico</t>
        </is>
      </c>
      <c r="E291" s="28" t="n">
        <v>2024</v>
      </c>
      <c r="F291" s="45" t="n">
        <v>0.0076</v>
      </c>
    </row>
    <row r="292">
      <c r="A292" s="28" t="inlineStr">
        <is>
          <t>PBF_CHALMETTE</t>
        </is>
      </c>
      <c r="B292" s="28" t="n">
        <v>3</v>
      </c>
      <c r="C292" s="28" t="inlineStr">
        <is>
          <t>Light Louisiana Sweet</t>
        </is>
      </c>
      <c r="D292" s="28" t="inlineStr">
        <is>
          <t>United States</t>
        </is>
      </c>
      <c r="E292" s="28" t="n">
        <v>2024</v>
      </c>
      <c r="F292" s="45" t="n">
        <v>0.3353</v>
      </c>
    </row>
    <row r="293">
      <c r="A293" s="28" t="inlineStr">
        <is>
          <t>PBF_CHALMETTE</t>
        </is>
      </c>
      <c r="B293" s="28" t="n">
        <v>3</v>
      </c>
      <c r="C293" s="28" t="inlineStr">
        <is>
          <t>Heavy Louisiana Sweet</t>
        </is>
      </c>
      <c r="D293" s="28" t="inlineStr">
        <is>
          <t>United States</t>
        </is>
      </c>
      <c r="E293" s="28" t="n">
        <v>2024</v>
      </c>
      <c r="F293" s="45" t="n">
        <v>0.324</v>
      </c>
    </row>
    <row r="294">
      <c r="A294" s="28" t="inlineStr">
        <is>
          <t>PBF_CHALMETTE</t>
        </is>
      </c>
      <c r="B294" s="28" t="n">
        <v>3</v>
      </c>
      <c r="C294" s="28" t="inlineStr">
        <is>
          <t>Thunder Horse</t>
        </is>
      </c>
      <c r="D294" s="28" t="inlineStr">
        <is>
          <t>US (GOM Deepwater)</t>
        </is>
      </c>
      <c r="E294" s="28" t="n">
        <v>2024</v>
      </c>
      <c r="F294" s="45" t="n">
        <v>0.09939999999999999</v>
      </c>
    </row>
    <row r="295">
      <c r="A295" s="28" t="inlineStr">
        <is>
          <t>PBF_CHALMETTE</t>
        </is>
      </c>
      <c r="B295" s="28" t="n">
        <v>3</v>
      </c>
      <c r="C295" s="28" t="inlineStr">
        <is>
          <t>Boscan</t>
        </is>
      </c>
      <c r="D295" s="28" t="inlineStr">
        <is>
          <t>Venezuela</t>
        </is>
      </c>
      <c r="E295" s="28" t="n">
        <v>2024</v>
      </c>
      <c r="F295" s="45" t="n">
        <v>0.0953</v>
      </c>
    </row>
    <row r="296">
      <c r="A296" s="28" t="inlineStr">
        <is>
          <t>PBF_CHALMETTE</t>
        </is>
      </c>
      <c r="B296" s="28" t="n">
        <v>3</v>
      </c>
      <c r="C296" s="28" t="inlineStr">
        <is>
          <t>Mars/Ursa</t>
        </is>
      </c>
      <c r="D296" s="28" t="inlineStr">
        <is>
          <t>US (GOM Deepwater)</t>
        </is>
      </c>
      <c r="E296" s="28" t="n">
        <v>2024</v>
      </c>
      <c r="F296" s="45" t="n">
        <v>0.08599999999999999</v>
      </c>
    </row>
    <row r="297">
      <c r="A297" s="28" t="inlineStr">
        <is>
          <t>PBF_CHALMETTE</t>
        </is>
      </c>
      <c r="B297" s="28" t="n">
        <v>3</v>
      </c>
      <c r="C297" s="28" t="inlineStr">
        <is>
          <t>Maya</t>
        </is>
      </c>
      <c r="D297" s="28" t="inlineStr">
        <is>
          <t>Mexico</t>
        </is>
      </c>
      <c r="E297" s="28" t="n">
        <v>2024</v>
      </c>
      <c r="F297" s="45" t="n">
        <v>0.0207</v>
      </c>
    </row>
    <row r="298">
      <c r="A298" s="28" t="inlineStr">
        <is>
          <t>PBF_CHALMETTE</t>
        </is>
      </c>
      <c r="B298" s="28" t="n">
        <v>3</v>
      </c>
      <c r="C298" s="28" t="inlineStr">
        <is>
          <t>Castilla</t>
        </is>
      </c>
      <c r="D298" s="28" t="inlineStr">
        <is>
          <t>Colombia</t>
        </is>
      </c>
      <c r="E298" s="28" t="n">
        <v>2024</v>
      </c>
      <c r="F298" s="45" t="n">
        <v>0.0185</v>
      </c>
    </row>
    <row r="299">
      <c r="A299" s="28" t="inlineStr">
        <is>
          <t>PBF_CHALMETTE</t>
        </is>
      </c>
      <c r="B299" s="28" t="n">
        <v>3</v>
      </c>
      <c r="C299" s="28" t="inlineStr">
        <is>
          <t>DCO</t>
        </is>
      </c>
      <c r="D299" s="28" t="inlineStr">
        <is>
          <t>Venezuela</t>
        </is>
      </c>
      <c r="E299" s="28" t="n">
        <v>2024</v>
      </c>
      <c r="F299" s="45" t="n">
        <v>0.0106</v>
      </c>
    </row>
    <row r="300">
      <c r="A300" s="28" t="inlineStr">
        <is>
          <t>PBF_CHALMETTE</t>
        </is>
      </c>
      <c r="B300" s="28" t="n">
        <v>3</v>
      </c>
      <c r="C300" s="28" t="inlineStr">
        <is>
          <t>Isthmus</t>
        </is>
      </c>
      <c r="D300" s="28" t="inlineStr">
        <is>
          <t>Mexico</t>
        </is>
      </c>
      <c r="E300" s="28" t="n">
        <v>2024</v>
      </c>
      <c r="F300" s="45" t="n">
        <v>0.0102</v>
      </c>
    </row>
    <row r="301">
      <c r="A301" s="28" t="inlineStr">
        <is>
          <t>PEMEX_DEER_PARK</t>
        </is>
      </c>
      <c r="B301" s="28" t="n">
        <v>3</v>
      </c>
      <c r="C301" s="28" t="inlineStr">
        <is>
          <t>West Texas Intermediate</t>
        </is>
      </c>
      <c r="D301" s="28" t="inlineStr">
        <is>
          <t>United States</t>
        </is>
      </c>
      <c r="E301" s="28" t="n">
        <v>2024</v>
      </c>
      <c r="F301" s="45" t="n">
        <v>0.5306999999999999</v>
      </c>
    </row>
    <row r="302">
      <c r="A302" s="28" t="inlineStr">
        <is>
          <t>PEMEX_DEER_PARK</t>
        </is>
      </c>
      <c r="B302" s="28" t="n">
        <v>3</v>
      </c>
      <c r="C302" s="28" t="inlineStr">
        <is>
          <t>Maya</t>
        </is>
      </c>
      <c r="D302" s="28" t="inlineStr">
        <is>
          <t>Mexico</t>
        </is>
      </c>
      <c r="E302" s="28" t="n">
        <v>2024</v>
      </c>
      <c r="F302" s="45" t="n">
        <v>0.2489</v>
      </c>
    </row>
    <row r="303">
      <c r="A303" s="28" t="inlineStr">
        <is>
          <t>PEMEX_DEER_PARK</t>
        </is>
      </c>
      <c r="B303" s="28" t="n">
        <v>3</v>
      </c>
      <c r="C303" s="28" t="inlineStr">
        <is>
          <t>Wabasca</t>
        </is>
      </c>
      <c r="D303" s="28" t="inlineStr">
        <is>
          <t>Canada</t>
        </is>
      </c>
      <c r="E303" s="28" t="n">
        <v>2024</v>
      </c>
      <c r="F303" s="45" t="n">
        <v>0.0682</v>
      </c>
    </row>
    <row r="304">
      <c r="A304" s="28" t="inlineStr">
        <is>
          <t>PEMEX_DEER_PARK</t>
        </is>
      </c>
      <c r="B304" s="28" t="n">
        <v>3</v>
      </c>
      <c r="C304" s="28" t="inlineStr">
        <is>
          <t>Lloyd Blend</t>
        </is>
      </c>
      <c r="D304" s="28" t="inlineStr">
        <is>
          <t>United States</t>
        </is>
      </c>
      <c r="E304" s="28" t="n">
        <v>2024</v>
      </c>
      <c r="F304" s="45" t="n">
        <v>0.0279</v>
      </c>
    </row>
    <row r="305">
      <c r="A305" s="28" t="inlineStr">
        <is>
          <t>PEMEX_DEER_PARK</t>
        </is>
      </c>
      <c r="B305" s="28" t="n">
        <v>3</v>
      </c>
      <c r="C305" s="28" t="inlineStr">
        <is>
          <t>Vasconia</t>
        </is>
      </c>
      <c r="D305" s="28" t="inlineStr">
        <is>
          <t>Colombia</t>
        </is>
      </c>
      <c r="E305" s="28" t="n">
        <v>2024</v>
      </c>
      <c r="F305" s="45" t="n">
        <v>0.0276</v>
      </c>
    </row>
    <row r="306">
      <c r="A306" s="28" t="inlineStr">
        <is>
          <t>PEMEX_DEER_PARK</t>
        </is>
      </c>
      <c r="B306" s="28" t="n">
        <v>3</v>
      </c>
      <c r="C306" s="28" t="inlineStr">
        <is>
          <t>W. Canada Conventional Heavy Sour (Alberta)</t>
        </is>
      </c>
      <c r="D306" s="28" t="inlineStr">
        <is>
          <t>Canada (Alberta)</t>
        </is>
      </c>
      <c r="E306" s="28" t="n">
        <v>2024</v>
      </c>
      <c r="F306" s="45" t="n">
        <v>0.0257</v>
      </c>
    </row>
    <row r="307">
      <c r="A307" s="28" t="inlineStr">
        <is>
          <t>PEMEX_DEER_PARK</t>
        </is>
      </c>
      <c r="B307" s="28" t="n">
        <v>3</v>
      </c>
      <c r="C307" s="28" t="inlineStr">
        <is>
          <t>Calypso</t>
        </is>
      </c>
      <c r="D307" s="28" t="inlineStr">
        <is>
          <t>Trinidad and Tobago</t>
        </is>
      </c>
      <c r="E307" s="28" t="n">
        <v>2024</v>
      </c>
      <c r="F307" s="45" t="n">
        <v>0.0236</v>
      </c>
    </row>
    <row r="308">
      <c r="A308" s="28" t="inlineStr">
        <is>
          <t>PEMEX_DEER_PARK</t>
        </is>
      </c>
      <c r="B308" s="28" t="n">
        <v>3</v>
      </c>
      <c r="C308" s="28" t="inlineStr">
        <is>
          <t>Cold Lake</t>
        </is>
      </c>
      <c r="D308" s="28" t="inlineStr">
        <is>
          <t>Canada (Oil Sands)</t>
        </is>
      </c>
      <c r="E308" s="28" t="n">
        <v>2024</v>
      </c>
      <c r="F308" s="45" t="n">
        <v>0.0223</v>
      </c>
    </row>
    <row r="309">
      <c r="A309" s="28" t="inlineStr">
        <is>
          <t>PEMEX_DEER_PARK</t>
        </is>
      </c>
      <c r="B309" s="28" t="n">
        <v>3</v>
      </c>
      <c r="C309" s="28" t="inlineStr">
        <is>
          <t>Isthmus</t>
        </is>
      </c>
      <c r="D309" s="28" t="inlineStr">
        <is>
          <t>Mexico</t>
        </is>
      </c>
      <c r="E309" s="28" t="n">
        <v>2024</v>
      </c>
      <c r="F309" s="45" t="n">
        <v>0.0191</v>
      </c>
    </row>
    <row r="310">
      <c r="A310" s="28" t="inlineStr">
        <is>
          <t>PEMEX_DEER_PARK</t>
        </is>
      </c>
      <c r="B310" s="28" t="n">
        <v>3</v>
      </c>
      <c r="C310" s="28" t="inlineStr">
        <is>
          <t>Eocene</t>
        </is>
      </c>
      <c r="D310" s="28" t="inlineStr">
        <is>
          <t>Kuwait</t>
        </is>
      </c>
      <c r="E310" s="28" t="n">
        <v>2024</v>
      </c>
      <c r="F310" s="45" t="n">
        <v>0.006</v>
      </c>
    </row>
    <row r="311">
      <c r="A311" s="28" t="inlineStr">
        <is>
          <t>PHILLIPS_SWEENY</t>
        </is>
      </c>
      <c r="B311" s="28" t="n">
        <v>3</v>
      </c>
      <c r="C311" s="28" t="inlineStr">
        <is>
          <t>Eagle Ford Crude</t>
        </is>
      </c>
      <c r="D311" s="28" t="inlineStr">
        <is>
          <t>United States</t>
        </is>
      </c>
      <c r="E311" s="28" t="n">
        <v>2024</v>
      </c>
      <c r="F311" s="45" t="n">
        <v>0.5215</v>
      </c>
    </row>
    <row r="312">
      <c r="A312" s="28" t="inlineStr">
        <is>
          <t>PHILLIPS_SWEENY</t>
        </is>
      </c>
      <c r="B312" s="28" t="n">
        <v>3</v>
      </c>
      <c r="C312" s="28" t="inlineStr">
        <is>
          <t>Lagunillas Heavy</t>
        </is>
      </c>
      <c r="D312" s="28" t="inlineStr">
        <is>
          <t>Venezuela</t>
        </is>
      </c>
      <c r="E312" s="28" t="n">
        <v>2024</v>
      </c>
      <c r="F312" s="45" t="n">
        <v>0.1017</v>
      </c>
    </row>
    <row r="313">
      <c r="A313" s="28" t="inlineStr">
        <is>
          <t>PHILLIPS_SWEENY</t>
        </is>
      </c>
      <c r="B313" s="28" t="n">
        <v>3</v>
      </c>
      <c r="C313" s="28" t="inlineStr">
        <is>
          <t>Domestic Oil Mexico</t>
        </is>
      </c>
      <c r="D313" s="28" t="inlineStr">
        <is>
          <t>Mexico</t>
        </is>
      </c>
      <c r="E313" s="28" t="n">
        <v>2024</v>
      </c>
      <c r="F313" s="45" t="n">
        <v>0.06309999999999999</v>
      </c>
    </row>
    <row r="314">
      <c r="A314" s="28" t="inlineStr">
        <is>
          <t>PHILLIPS_SWEENY</t>
        </is>
      </c>
      <c r="B314" s="28" t="n">
        <v>3</v>
      </c>
      <c r="C314" s="28" t="inlineStr">
        <is>
          <t>Western Canadian Select</t>
        </is>
      </c>
      <c r="D314" s="28" t="inlineStr">
        <is>
          <t>Canada</t>
        </is>
      </c>
      <c r="E314" s="28" t="n">
        <v>2024</v>
      </c>
      <c r="F314" s="45" t="n">
        <v>0.0595</v>
      </c>
    </row>
    <row r="315">
      <c r="A315" s="28" t="inlineStr">
        <is>
          <t>PHILLIPS_SWEENY</t>
        </is>
      </c>
      <c r="B315" s="28" t="n">
        <v>3</v>
      </c>
      <c r="C315" s="28" t="inlineStr">
        <is>
          <t>Dalia Blend</t>
        </is>
      </c>
      <c r="D315" s="28" t="inlineStr">
        <is>
          <t>Angola</t>
        </is>
      </c>
      <c r="E315" s="28" t="n">
        <v>2024</v>
      </c>
      <c r="F315" s="45" t="n">
        <v>0.0473</v>
      </c>
    </row>
    <row r="316">
      <c r="A316" s="28" t="inlineStr">
        <is>
          <t>PHILLIPS_SWEENY</t>
        </is>
      </c>
      <c r="B316" s="28" t="n">
        <v>3</v>
      </c>
      <c r="C316" s="28" t="inlineStr">
        <is>
          <t>W. Canada Conventional Heavy Sour (Alberta)</t>
        </is>
      </c>
      <c r="D316" s="28" t="inlineStr">
        <is>
          <t>Canada (Alberta)</t>
        </is>
      </c>
      <c r="E316" s="28" t="n">
        <v>2024</v>
      </c>
      <c r="F316" s="45" t="n">
        <v>0.0446</v>
      </c>
    </row>
    <row r="317">
      <c r="A317" s="28" t="inlineStr">
        <is>
          <t>PHILLIPS_SWEENY</t>
        </is>
      </c>
      <c r="B317" s="28" t="n">
        <v>3</v>
      </c>
      <c r="C317" s="28" t="inlineStr">
        <is>
          <t>Castilla</t>
        </is>
      </c>
      <c r="D317" s="28" t="inlineStr">
        <is>
          <t>Colombia</t>
        </is>
      </c>
      <c r="E317" s="28" t="n">
        <v>2024</v>
      </c>
      <c r="F317" s="45" t="n">
        <v>0.0276</v>
      </c>
    </row>
    <row r="318">
      <c r="A318" s="28" t="inlineStr">
        <is>
          <t>PHILLIPS_SWEENY</t>
        </is>
      </c>
      <c r="B318" s="28" t="n">
        <v>3</v>
      </c>
      <c r="C318" s="28" t="inlineStr">
        <is>
          <t>Cano Limon</t>
        </is>
      </c>
      <c r="D318" s="28" t="inlineStr">
        <is>
          <t>Colombia</t>
        </is>
      </c>
      <c r="E318" s="28" t="n">
        <v>2024</v>
      </c>
      <c r="F318" s="45" t="n">
        <v>0.0265</v>
      </c>
    </row>
    <row r="319">
      <c r="A319" s="28" t="inlineStr">
        <is>
          <t>PHILLIPS_SWEENY</t>
        </is>
      </c>
      <c r="B319" s="28" t="n">
        <v>3</v>
      </c>
      <c r="C319" s="28" t="inlineStr">
        <is>
          <t>Cold Lake</t>
        </is>
      </c>
      <c r="D319" s="28" t="inlineStr">
        <is>
          <t>Canada (Oil Sands)</t>
        </is>
      </c>
      <c r="E319" s="28" t="n">
        <v>2024</v>
      </c>
      <c r="F319" s="45" t="n">
        <v>0.0202</v>
      </c>
    </row>
    <row r="320">
      <c r="A320" s="28" t="inlineStr">
        <is>
          <t>PHILLIPS_SWEENY</t>
        </is>
      </c>
      <c r="B320" s="28" t="n">
        <v>3</v>
      </c>
      <c r="C320" s="28" t="inlineStr">
        <is>
          <t>Liza-Payara</t>
        </is>
      </c>
      <c r="D320" s="28" t="inlineStr">
        <is>
          <t>Guyana</t>
        </is>
      </c>
      <c r="E320" s="28" t="n">
        <v>2024</v>
      </c>
      <c r="F320" s="45" t="n">
        <v>0.0183</v>
      </c>
    </row>
    <row r="321">
      <c r="A321" s="28" t="inlineStr">
        <is>
          <t>PHILLIPS_SWEENY</t>
        </is>
      </c>
      <c r="B321" s="28" t="n">
        <v>3</v>
      </c>
      <c r="C321" s="28" t="inlineStr">
        <is>
          <t>Marlim</t>
        </is>
      </c>
      <c r="D321" s="28" t="inlineStr">
        <is>
          <t>Brazil</t>
        </is>
      </c>
      <c r="E321" s="28" t="n">
        <v>2024</v>
      </c>
      <c r="F321" s="45" t="n">
        <v>0.0134</v>
      </c>
    </row>
    <row r="322">
      <c r="A322" s="28" t="inlineStr">
        <is>
          <t>PHILLIPS_SWEENY</t>
        </is>
      </c>
      <c r="B322" s="28" t="n">
        <v>3</v>
      </c>
      <c r="C322" s="28" t="inlineStr">
        <is>
          <t>Calypso</t>
        </is>
      </c>
      <c r="D322" s="28" t="inlineStr">
        <is>
          <t>Trinidad and Tobago</t>
        </is>
      </c>
      <c r="E322" s="28" t="n">
        <v>2024</v>
      </c>
      <c r="F322" s="45" t="n">
        <v>0.0133</v>
      </c>
    </row>
    <row r="323">
      <c r="A323" s="28" t="inlineStr">
        <is>
          <t>PHILLIPS_SWEENY</t>
        </is>
      </c>
      <c r="B323" s="28" t="n">
        <v>3</v>
      </c>
      <c r="C323" s="28" t="inlineStr">
        <is>
          <t>Isthmus</t>
        </is>
      </c>
      <c r="D323" s="28" t="inlineStr">
        <is>
          <t>Mexico</t>
        </is>
      </c>
      <c r="E323" s="28" t="n">
        <v>2024</v>
      </c>
      <c r="F323" s="45" t="n">
        <v>0.0132</v>
      </c>
    </row>
    <row r="324">
      <c r="A324" s="28" t="inlineStr">
        <is>
          <t>PHILLIPS_SWEENY</t>
        </is>
      </c>
      <c r="B324" s="28" t="n">
        <v>3</v>
      </c>
      <c r="C324" s="28" t="inlineStr">
        <is>
          <t>Sergipano Terra</t>
        </is>
      </c>
      <c r="D324" s="28" t="inlineStr">
        <is>
          <t>Brazil</t>
        </is>
      </c>
      <c r="E324" s="28" t="n">
        <v>2024</v>
      </c>
      <c r="F324" s="45" t="n">
        <v>0.0091</v>
      </c>
    </row>
    <row r="325">
      <c r="A325" s="28" t="inlineStr">
        <is>
          <t>PHILLIPS_SWEENY</t>
        </is>
      </c>
      <c r="B325" s="28" t="n">
        <v>3</v>
      </c>
      <c r="C325" s="28" t="inlineStr">
        <is>
          <t>Wabasca</t>
        </is>
      </c>
      <c r="D325" s="28" t="inlineStr">
        <is>
          <t>Canada</t>
        </is>
      </c>
      <c r="E325" s="28" t="n">
        <v>2024</v>
      </c>
      <c r="F325" s="45" t="n">
        <v>0.008399999999999999</v>
      </c>
    </row>
    <row r="326">
      <c r="A326" s="28" t="inlineStr">
        <is>
          <t>PHILLIPS_SWEENY</t>
        </is>
      </c>
      <c r="B326" s="28" t="n">
        <v>3</v>
      </c>
      <c r="C326" s="28" t="inlineStr">
        <is>
          <t>Lula</t>
        </is>
      </c>
      <c r="D326" s="28" t="inlineStr">
        <is>
          <t>Brazil</t>
        </is>
      </c>
      <c r="E326" s="28" t="n">
        <v>2024</v>
      </c>
      <c r="F326" s="45" t="n">
        <v>0.0067</v>
      </c>
    </row>
    <row r="327">
      <c r="A327" s="28" t="inlineStr">
        <is>
          <t>PHILLIPS_SWEENY</t>
        </is>
      </c>
      <c r="B327" s="28" t="n">
        <v>3</v>
      </c>
      <c r="C327" s="28" t="inlineStr">
        <is>
          <t>Johan Sverdrup</t>
        </is>
      </c>
      <c r="D327" s="28" t="inlineStr">
        <is>
          <t>Norway</t>
        </is>
      </c>
      <c r="E327" s="28" t="n">
        <v>2024</v>
      </c>
      <c r="F327" s="45" t="n">
        <v>0.005600000000000001</v>
      </c>
    </row>
    <row r="328">
      <c r="A328" s="28" t="inlineStr">
        <is>
          <t>PHILLIPS_WESTLAKE</t>
        </is>
      </c>
      <c r="B328" s="28" t="n">
        <v>3</v>
      </c>
      <c r="C328" s="28" t="inlineStr">
        <is>
          <t>West Texas Intermediate</t>
        </is>
      </c>
      <c r="D328" s="28" t="inlineStr">
        <is>
          <t>United States</t>
        </is>
      </c>
      <c r="E328" s="28" t="n">
        <v>2024</v>
      </c>
      <c r="F328" s="45" t="n">
        <v>0.536</v>
      </c>
    </row>
    <row r="329">
      <c r="A329" s="28" t="inlineStr">
        <is>
          <t>PHILLIPS_WESTLAKE</t>
        </is>
      </c>
      <c r="B329" s="28" t="n">
        <v>3</v>
      </c>
      <c r="C329" s="28" t="inlineStr">
        <is>
          <t>Eagle Ford Crude</t>
        </is>
      </c>
      <c r="D329" s="28" t="inlineStr">
        <is>
          <t>United States</t>
        </is>
      </c>
      <c r="E329" s="28" t="n">
        <v>2024</v>
      </c>
      <c r="F329" s="45" t="n">
        <v>0.144</v>
      </c>
    </row>
    <row r="330">
      <c r="A330" s="28" t="inlineStr">
        <is>
          <t>PHILLIPS_WESTLAKE</t>
        </is>
      </c>
      <c r="B330" s="28" t="n">
        <v>3</v>
      </c>
      <c r="C330" s="28" t="inlineStr">
        <is>
          <t>Light Louisiana Sweet</t>
        </is>
      </c>
      <c r="D330" s="28" t="inlineStr">
        <is>
          <t>United States</t>
        </is>
      </c>
      <c r="E330" s="28" t="n">
        <v>2024</v>
      </c>
      <c r="F330" s="45" t="n">
        <v>0.128</v>
      </c>
    </row>
    <row r="331">
      <c r="A331" s="28" t="inlineStr">
        <is>
          <t>PHILLIPS_WESTLAKE</t>
        </is>
      </c>
      <c r="B331" s="28" t="n">
        <v>3</v>
      </c>
      <c r="C331" s="28" t="inlineStr">
        <is>
          <t>Domestic Oil Mexico</t>
        </is>
      </c>
      <c r="D331" s="28" t="inlineStr">
        <is>
          <t>Mexico</t>
        </is>
      </c>
      <c r="E331" s="28" t="n">
        <v>2024</v>
      </c>
      <c r="F331" s="45" t="n">
        <v>0.1036</v>
      </c>
    </row>
    <row r="332">
      <c r="A332" s="28" t="inlineStr">
        <is>
          <t>PHILLIPS_WESTLAKE</t>
        </is>
      </c>
      <c r="B332" s="28" t="n">
        <v>3</v>
      </c>
      <c r="C332" s="28" t="inlineStr">
        <is>
          <t>Isthmus</t>
        </is>
      </c>
      <c r="D332" s="28" t="inlineStr">
        <is>
          <t>Mexico</t>
        </is>
      </c>
      <c r="E332" s="28" t="n">
        <v>2024</v>
      </c>
      <c r="F332" s="45" t="n">
        <v>0.0253</v>
      </c>
    </row>
    <row r="333">
      <c r="A333" s="28" t="inlineStr">
        <is>
          <t>PHILLIPS_WESTLAKE</t>
        </is>
      </c>
      <c r="B333" s="28" t="n">
        <v>3</v>
      </c>
      <c r="C333" s="28" t="inlineStr">
        <is>
          <t>Liza-Payara</t>
        </is>
      </c>
      <c r="D333" s="28" t="inlineStr">
        <is>
          <t>Guyana</t>
        </is>
      </c>
      <c r="E333" s="28" t="n">
        <v>2024</v>
      </c>
      <c r="F333" s="45" t="n">
        <v>0.021</v>
      </c>
    </row>
    <row r="334">
      <c r="A334" s="28" t="inlineStr">
        <is>
          <t>PHILLIPS_WESTLAKE</t>
        </is>
      </c>
      <c r="B334" s="28" t="n">
        <v>3</v>
      </c>
      <c r="C334" s="28" t="inlineStr">
        <is>
          <t>Marlim</t>
        </is>
      </c>
      <c r="D334" s="28" t="inlineStr">
        <is>
          <t>Brazil</t>
        </is>
      </c>
      <c r="E334" s="28" t="n">
        <v>2024</v>
      </c>
      <c r="F334" s="45" t="n">
        <v>0.0149</v>
      </c>
    </row>
    <row r="335">
      <c r="A335" s="28" t="inlineStr">
        <is>
          <t>PHILLIPS_WESTLAKE</t>
        </is>
      </c>
      <c r="B335" s="28" t="n">
        <v>3</v>
      </c>
      <c r="C335" s="28" t="inlineStr">
        <is>
          <t>Kissanje Blend</t>
        </is>
      </c>
      <c r="D335" s="28" t="inlineStr">
        <is>
          <t>Angola</t>
        </is>
      </c>
      <c r="E335" s="28" t="n">
        <v>2024</v>
      </c>
      <c r="F335" s="45" t="n">
        <v>0.0101</v>
      </c>
    </row>
    <row r="336">
      <c r="A336" s="28" t="inlineStr">
        <is>
          <t>PHILLIPS_WESTLAKE</t>
        </is>
      </c>
      <c r="B336" s="28" t="n">
        <v>3</v>
      </c>
      <c r="C336" s="28" t="inlineStr">
        <is>
          <t>Dalia Blend</t>
        </is>
      </c>
      <c r="D336" s="28" t="inlineStr">
        <is>
          <t>Angola</t>
        </is>
      </c>
      <c r="E336" s="28" t="n">
        <v>2024</v>
      </c>
      <c r="F336" s="45" t="n">
        <v>0.009899999999999999</v>
      </c>
    </row>
    <row r="337">
      <c r="A337" s="28" t="inlineStr">
        <is>
          <t>PHILLIPS_WESTLAKE</t>
        </is>
      </c>
      <c r="B337" s="28" t="n">
        <v>3</v>
      </c>
      <c r="C337" s="28" t="inlineStr">
        <is>
          <t>Hibernia</t>
        </is>
      </c>
      <c r="D337" s="28" t="inlineStr">
        <is>
          <t>Canada (East Coast)</t>
        </is>
      </c>
      <c r="E337" s="28" t="n">
        <v>2024</v>
      </c>
      <c r="F337" s="45" t="n">
        <v>0.0072</v>
      </c>
    </row>
    <row r="338">
      <c r="A338" s="28" t="inlineStr">
        <is>
          <t>PLACID_PORT_ALLEN</t>
        </is>
      </c>
      <c r="B338" s="28" t="n">
        <v>3</v>
      </c>
      <c r="C338" s="28" t="inlineStr">
        <is>
          <t>Light Louisiana Sweet</t>
        </is>
      </c>
      <c r="D338" s="28" t="inlineStr">
        <is>
          <t>United States</t>
        </is>
      </c>
      <c r="E338" s="28" t="n">
        <v>2024</v>
      </c>
      <c r="F338" s="45" t="n">
        <v>0.4539</v>
      </c>
    </row>
    <row r="339">
      <c r="A339" s="28" t="inlineStr">
        <is>
          <t>PLACID_PORT_ALLEN</t>
        </is>
      </c>
      <c r="B339" s="28" t="n">
        <v>3</v>
      </c>
      <c r="C339" s="28" t="inlineStr">
        <is>
          <t>Eugene Island Sour</t>
        </is>
      </c>
      <c r="D339" s="28" t="inlineStr">
        <is>
          <t>United States</t>
        </is>
      </c>
      <c r="E339" s="28" t="n">
        <v>2024</v>
      </c>
      <c r="F339" s="45" t="n">
        <v>0.1459</v>
      </c>
    </row>
    <row r="340">
      <c r="A340" s="28" t="inlineStr">
        <is>
          <t>PLACID_PORT_ALLEN</t>
        </is>
      </c>
      <c r="B340" s="28" t="n">
        <v>3</v>
      </c>
      <c r="C340" s="28" t="inlineStr">
        <is>
          <t>Heavy Louisiana Sweet</t>
        </is>
      </c>
      <c r="D340" s="28" t="inlineStr">
        <is>
          <t>United States</t>
        </is>
      </c>
      <c r="E340" s="28" t="n">
        <v>2024</v>
      </c>
      <c r="F340" s="45" t="n">
        <v>0.1408</v>
      </c>
    </row>
    <row r="341">
      <c r="A341" s="28" t="inlineStr">
        <is>
          <t>PLACID_PORT_ALLEN</t>
        </is>
      </c>
      <c r="B341" s="28" t="n">
        <v>3</v>
      </c>
      <c r="C341" s="28" t="inlineStr">
        <is>
          <t>Mars/Ursa</t>
        </is>
      </c>
      <c r="D341" s="28" t="inlineStr">
        <is>
          <t>US (GOM Deepwater)</t>
        </is>
      </c>
      <c r="E341" s="28" t="n">
        <v>2024</v>
      </c>
      <c r="F341" s="45" t="n">
        <v>0.1297</v>
      </c>
    </row>
    <row r="342">
      <c r="A342" s="28" t="inlineStr">
        <is>
          <t>PLACID_PORT_ALLEN</t>
        </is>
      </c>
      <c r="B342" s="28" t="n">
        <v>3</v>
      </c>
      <c r="C342" s="28" t="inlineStr">
        <is>
          <t>Poseidon Blend Deepwater</t>
        </is>
      </c>
      <c r="D342" s="28" t="inlineStr">
        <is>
          <t>US (GOM Deepwater)</t>
        </is>
      </c>
      <c r="E342" s="28" t="n">
        <v>2024</v>
      </c>
      <c r="F342" s="45" t="n">
        <v>0.1297</v>
      </c>
    </row>
    <row r="343">
      <c r="A343" s="28" t="inlineStr">
        <is>
          <t>SHELL_CONVENT</t>
        </is>
      </c>
      <c r="B343" s="28" t="n">
        <v>3</v>
      </c>
      <c r="C343" s="28" t="inlineStr">
        <is>
          <t>West Texas Intermediate</t>
        </is>
      </c>
      <c r="D343" s="28" t="inlineStr">
        <is>
          <t>United States</t>
        </is>
      </c>
      <c r="E343" s="28" t="n">
        <v>2019</v>
      </c>
      <c r="F343" s="45" t="n">
        <v>0.621</v>
      </c>
    </row>
    <row r="344">
      <c r="A344" s="28" t="inlineStr">
        <is>
          <t>SHELL_CONVENT</t>
        </is>
      </c>
      <c r="B344" s="28" t="n">
        <v>3</v>
      </c>
      <c r="C344" s="28" t="inlineStr">
        <is>
          <t>Heavy Louisiana Sweet</t>
        </is>
      </c>
      <c r="D344" s="28" t="inlineStr">
        <is>
          <t>United States</t>
        </is>
      </c>
      <c r="E344" s="28" t="n">
        <v>2019</v>
      </c>
      <c r="F344" s="45" t="n">
        <v>0.1886</v>
      </c>
    </row>
    <row r="345">
      <c r="A345" s="28" t="inlineStr">
        <is>
          <t>SHELL_CONVENT</t>
        </is>
      </c>
      <c r="B345" s="28" t="n">
        <v>3</v>
      </c>
      <c r="C345" s="28" t="inlineStr">
        <is>
          <t>Light Louisiana Sweet</t>
        </is>
      </c>
      <c r="D345" s="28" t="inlineStr">
        <is>
          <t>United States</t>
        </is>
      </c>
      <c r="E345" s="28" t="n">
        <v>2019</v>
      </c>
      <c r="F345" s="45" t="n">
        <v>0.1691</v>
      </c>
    </row>
    <row r="346">
      <c r="A346" s="28" t="inlineStr">
        <is>
          <t>SHELL_CONVENT</t>
        </is>
      </c>
      <c r="B346" s="28" t="n">
        <v>3</v>
      </c>
      <c r="C346" s="28" t="inlineStr">
        <is>
          <t>Kuwait Export</t>
        </is>
      </c>
      <c r="D346" s="28" t="inlineStr">
        <is>
          <t>Kuwait</t>
        </is>
      </c>
      <c r="E346" s="28" t="n">
        <v>2019</v>
      </c>
      <c r="F346" s="45" t="n">
        <v>0.008500000000000001</v>
      </c>
    </row>
    <row r="347">
      <c r="A347" s="28" t="inlineStr">
        <is>
          <t>SHELL_CONVENT</t>
        </is>
      </c>
      <c r="B347" s="28" t="n">
        <v>3</v>
      </c>
      <c r="C347" s="28" t="inlineStr">
        <is>
          <t>Kirkuk Blend</t>
        </is>
      </c>
      <c r="D347" s="28" t="inlineStr">
        <is>
          <t>Iraq</t>
        </is>
      </c>
      <c r="E347" s="28" t="n">
        <v>2019</v>
      </c>
      <c r="F347" s="45" t="n">
        <v>0.0061</v>
      </c>
    </row>
    <row r="348">
      <c r="A348" s="28" t="inlineStr">
        <is>
          <t>SHELL_CONVENT</t>
        </is>
      </c>
      <c r="B348" s="28" t="n">
        <v>3</v>
      </c>
      <c r="C348" s="28" t="inlineStr">
        <is>
          <t>Peregrino</t>
        </is>
      </c>
      <c r="D348" s="28" t="inlineStr">
        <is>
          <t>Brazil</t>
        </is>
      </c>
      <c r="E348" s="28" t="n">
        <v>2019</v>
      </c>
      <c r="F348" s="45" t="n">
        <v>0.0022</v>
      </c>
    </row>
    <row r="349">
      <c r="A349" s="28" t="inlineStr">
        <is>
          <t>SHELL_CONVENT</t>
        </is>
      </c>
      <c r="B349" s="28" t="n">
        <v>3</v>
      </c>
      <c r="C349" s="28" t="inlineStr">
        <is>
          <t>Kraken</t>
        </is>
      </c>
      <c r="D349" s="28" t="inlineStr">
        <is>
          <t>United Kingdom</t>
        </is>
      </c>
      <c r="E349" s="28" t="n">
        <v>2019</v>
      </c>
      <c r="F349" s="45" t="n">
        <v>0.002</v>
      </c>
    </row>
    <row r="350">
      <c r="A350" s="28" t="inlineStr">
        <is>
          <t>SHELL_CONVENT</t>
        </is>
      </c>
      <c r="B350" s="28" t="n">
        <v>3</v>
      </c>
      <c r="C350" s="28" t="inlineStr">
        <is>
          <t>Wabasca</t>
        </is>
      </c>
      <c r="D350" s="28" t="inlineStr">
        <is>
          <t>Canada</t>
        </is>
      </c>
      <c r="E350" s="28" t="n">
        <v>2019</v>
      </c>
      <c r="F350" s="45" t="n">
        <v>0.0019</v>
      </c>
    </row>
    <row r="351">
      <c r="A351" s="28" t="inlineStr">
        <is>
          <t>SHELL_CONVENT</t>
        </is>
      </c>
      <c r="B351" s="28" t="n">
        <v>3</v>
      </c>
      <c r="C351" s="28" t="inlineStr">
        <is>
          <t>Belize Light Crude</t>
        </is>
      </c>
      <c r="D351" s="28" t="inlineStr">
        <is>
          <t>Belize</t>
        </is>
      </c>
      <c r="E351" s="28" t="n">
        <v>2019</v>
      </c>
      <c r="F351" s="45" t="n">
        <v>0.0007000000000000001</v>
      </c>
    </row>
    <row r="352">
      <c r="A352" s="28" t="inlineStr">
        <is>
          <t>SHELL_NORCO</t>
        </is>
      </c>
      <c r="B352" s="28" t="n">
        <v>3</v>
      </c>
      <c r="C352" s="28" t="inlineStr">
        <is>
          <t>Light Louisiana Sweet</t>
        </is>
      </c>
      <c r="D352" s="28" t="inlineStr">
        <is>
          <t>United States</t>
        </is>
      </c>
      <c r="E352" s="28" t="n">
        <v>2024</v>
      </c>
      <c r="F352" s="45" t="n">
        <v>0.3249</v>
      </c>
    </row>
    <row r="353">
      <c r="A353" s="28" t="inlineStr">
        <is>
          <t>SHELL_NORCO</t>
        </is>
      </c>
      <c r="B353" s="28" t="n">
        <v>3</v>
      </c>
      <c r="C353" s="28" t="inlineStr">
        <is>
          <t>West Texas Intermediate</t>
        </is>
      </c>
      <c r="D353" s="28" t="inlineStr">
        <is>
          <t>United States</t>
        </is>
      </c>
      <c r="E353" s="28" t="n">
        <v>2024</v>
      </c>
      <c r="F353" s="45" t="n">
        <v>0.2646</v>
      </c>
    </row>
    <row r="354">
      <c r="A354" s="28" t="inlineStr">
        <is>
          <t>SHELL_NORCO</t>
        </is>
      </c>
      <c r="B354" s="28" t="n">
        <v>3</v>
      </c>
      <c r="C354" s="28" t="inlineStr">
        <is>
          <t>Mars/Ursa</t>
        </is>
      </c>
      <c r="D354" s="28" t="inlineStr">
        <is>
          <t>US (GOM Deepwater)</t>
        </is>
      </c>
      <c r="E354" s="28" t="n">
        <v>2024</v>
      </c>
      <c r="F354" s="45" t="n">
        <v>0.2475</v>
      </c>
    </row>
    <row r="355">
      <c r="A355" s="28" t="inlineStr">
        <is>
          <t>SHELL_NORCO</t>
        </is>
      </c>
      <c r="B355" s="28" t="n">
        <v>3</v>
      </c>
      <c r="C355" s="28" t="inlineStr">
        <is>
          <t>Heavy Louisiana Sweet</t>
        </is>
      </c>
      <c r="D355" s="28" t="inlineStr">
        <is>
          <t>United States</t>
        </is>
      </c>
      <c r="E355" s="28" t="n">
        <v>2024</v>
      </c>
      <c r="F355" s="45" t="n">
        <v>0.1503</v>
      </c>
    </row>
    <row r="356">
      <c r="A356" s="28" t="inlineStr">
        <is>
          <t>SHELL_NORCO</t>
        </is>
      </c>
      <c r="B356" s="28" t="n">
        <v>3</v>
      </c>
      <c r="C356" s="28" t="inlineStr">
        <is>
          <t>Wabasca</t>
        </is>
      </c>
      <c r="D356" s="28" t="inlineStr">
        <is>
          <t>Canada</t>
        </is>
      </c>
      <c r="E356" s="28" t="n">
        <v>2024</v>
      </c>
      <c r="F356" s="45" t="n">
        <v>0.0127</v>
      </c>
    </row>
    <row r="357">
      <c r="A357" s="28" t="inlineStr">
        <is>
          <t>TOTAL_PORT_ARTHUR</t>
        </is>
      </c>
      <c r="B357" s="28" t="n">
        <v>3</v>
      </c>
      <c r="C357" s="28" t="inlineStr">
        <is>
          <t>West Texas Intermediate</t>
        </is>
      </c>
      <c r="D357" s="28" t="inlineStr">
        <is>
          <t>United States</t>
        </is>
      </c>
      <c r="E357" s="28" t="n">
        <v>2024</v>
      </c>
      <c r="F357" s="45" t="n">
        <v>0.5550999999999999</v>
      </c>
    </row>
    <row r="358">
      <c r="A358" s="28" t="inlineStr">
        <is>
          <t>TOTAL_PORT_ARTHUR</t>
        </is>
      </c>
      <c r="B358" s="28" t="n">
        <v>3</v>
      </c>
      <c r="C358" s="28" t="inlineStr">
        <is>
          <t>Cold Lake</t>
        </is>
      </c>
      <c r="D358" s="28" t="inlineStr">
        <is>
          <t>Canada (Oil Sands)</t>
        </is>
      </c>
      <c r="E358" s="28" t="n">
        <v>2024</v>
      </c>
      <c r="F358" s="45" t="n">
        <v>0.1615</v>
      </c>
    </row>
    <row r="359">
      <c r="A359" s="28" t="inlineStr">
        <is>
          <t>TOTAL_PORT_ARTHUR</t>
        </is>
      </c>
      <c r="B359" s="28" t="n">
        <v>3</v>
      </c>
      <c r="C359" s="28" t="inlineStr">
        <is>
          <t>Maya</t>
        </is>
      </c>
      <c r="D359" s="28" t="inlineStr">
        <is>
          <t>Mexico</t>
        </is>
      </c>
      <c r="E359" s="28" t="n">
        <v>2024</v>
      </c>
      <c r="F359" s="45" t="n">
        <v>0.1167</v>
      </c>
    </row>
    <row r="360">
      <c r="A360" s="28" t="inlineStr">
        <is>
          <t>TOTAL_PORT_ARTHUR</t>
        </is>
      </c>
      <c r="B360" s="28" t="n">
        <v>3</v>
      </c>
      <c r="C360" s="28" t="inlineStr">
        <is>
          <t>Eagle Ford Crude</t>
        </is>
      </c>
      <c r="D360" s="28" t="inlineStr">
        <is>
          <t>United States</t>
        </is>
      </c>
      <c r="E360" s="28" t="n">
        <v>2024</v>
      </c>
      <c r="F360" s="45" t="n">
        <v>0.1056</v>
      </c>
    </row>
    <row r="361">
      <c r="A361" s="28" t="inlineStr">
        <is>
          <t>TOTAL_PORT_ARTHUR</t>
        </is>
      </c>
      <c r="B361" s="28" t="n">
        <v>3</v>
      </c>
      <c r="C361" s="28" t="inlineStr">
        <is>
          <t>Isthmus</t>
        </is>
      </c>
      <c r="D361" s="28" t="inlineStr">
        <is>
          <t>Mexico</t>
        </is>
      </c>
      <c r="E361" s="28" t="n">
        <v>2024</v>
      </c>
      <c r="F361" s="45" t="n">
        <v>0.031</v>
      </c>
    </row>
    <row r="362">
      <c r="A362" s="28" t="inlineStr">
        <is>
          <t>TOTAL_PORT_ARTHUR</t>
        </is>
      </c>
      <c r="B362" s="28" t="n">
        <v>3</v>
      </c>
      <c r="C362" s="28" t="inlineStr">
        <is>
          <t>Castilla</t>
        </is>
      </c>
      <c r="D362" s="28" t="inlineStr">
        <is>
          <t>Colombia</t>
        </is>
      </c>
      <c r="E362" s="28" t="n">
        <v>2024</v>
      </c>
      <c r="F362" s="45" t="n">
        <v>0.0301</v>
      </c>
    </row>
    <row r="363">
      <c r="A363" s="28" t="inlineStr">
        <is>
          <t>VALERO_CORPUS_CHRISTI</t>
        </is>
      </c>
      <c r="B363" s="28" t="n">
        <v>3</v>
      </c>
      <c r="C363" s="28" t="inlineStr">
        <is>
          <t>Eagle Ford Crude</t>
        </is>
      </c>
      <c r="D363" s="28" t="inlineStr">
        <is>
          <t>United States</t>
        </is>
      </c>
      <c r="E363" s="28" t="n">
        <v>2024</v>
      </c>
      <c r="F363" s="45" t="n">
        <v>0.7365999999999999</v>
      </c>
    </row>
    <row r="364">
      <c r="A364" s="28" t="inlineStr">
        <is>
          <t>VALERO_CORPUS_CHRISTI</t>
        </is>
      </c>
      <c r="B364" s="28" t="n">
        <v>3</v>
      </c>
      <c r="C364" s="28" t="inlineStr">
        <is>
          <t>Boscan</t>
        </is>
      </c>
      <c r="D364" s="28" t="inlineStr">
        <is>
          <t>Venezuela</t>
        </is>
      </c>
      <c r="E364" s="28" t="n">
        <v>2024</v>
      </c>
      <c r="F364" s="45" t="n">
        <v>0.0859</v>
      </c>
    </row>
    <row r="365">
      <c r="A365" s="28" t="inlineStr">
        <is>
          <t>VALERO_CORPUS_CHRISTI</t>
        </is>
      </c>
      <c r="B365" s="28" t="n">
        <v>3</v>
      </c>
      <c r="C365" s="28" t="inlineStr">
        <is>
          <t>Olmeca</t>
        </is>
      </c>
      <c r="D365" s="28" t="inlineStr">
        <is>
          <t>Mexico</t>
        </is>
      </c>
      <c r="E365" s="28" t="n">
        <v>2024</v>
      </c>
      <c r="F365" s="45" t="n">
        <v>0.0741</v>
      </c>
    </row>
    <row r="366">
      <c r="A366" s="28" t="inlineStr">
        <is>
          <t>VALERO_CORPUS_CHRISTI</t>
        </is>
      </c>
      <c r="B366" s="28" t="n">
        <v>3</v>
      </c>
      <c r="C366" s="28" t="inlineStr">
        <is>
          <t>Isthmus</t>
        </is>
      </c>
      <c r="D366" s="28" t="inlineStr">
        <is>
          <t>Mexico</t>
        </is>
      </c>
      <c r="E366" s="28" t="n">
        <v>2024</v>
      </c>
      <c r="F366" s="45" t="n">
        <v>0.0675</v>
      </c>
    </row>
    <row r="367">
      <c r="A367" s="28" t="inlineStr">
        <is>
          <t>VALERO_CORPUS_CHRISTI</t>
        </is>
      </c>
      <c r="B367" s="28" t="n">
        <v>3</v>
      </c>
      <c r="C367" s="28" t="inlineStr">
        <is>
          <t>Catcher</t>
        </is>
      </c>
      <c r="D367" s="28" t="inlineStr">
        <is>
          <t>United Kingdom</t>
        </is>
      </c>
      <c r="E367" s="28" t="n">
        <v>2024</v>
      </c>
      <c r="F367" s="45" t="n">
        <v>0.0164</v>
      </c>
    </row>
    <row r="368">
      <c r="A368" s="28" t="inlineStr">
        <is>
          <t>VALERO_CORPUS_CHRISTI</t>
        </is>
      </c>
      <c r="B368" s="28" t="n">
        <v>3</v>
      </c>
      <c r="C368" s="28" t="inlineStr">
        <is>
          <t>Basrah Medium</t>
        </is>
      </c>
      <c r="D368" s="28" t="inlineStr">
        <is>
          <t>Iraq</t>
        </is>
      </c>
      <c r="E368" s="28" t="n">
        <v>2024</v>
      </c>
      <c r="F368" s="45" t="n">
        <v>0.0107</v>
      </c>
    </row>
    <row r="369">
      <c r="A369" s="28" t="inlineStr">
        <is>
          <t>VALERO_CORPUS_CHRISTI</t>
        </is>
      </c>
      <c r="B369" s="28" t="n">
        <v>3</v>
      </c>
      <c r="C369" s="28" t="inlineStr">
        <is>
          <t>Castilla</t>
        </is>
      </c>
      <c r="D369" s="28" t="inlineStr">
        <is>
          <t>Colombia</t>
        </is>
      </c>
      <c r="E369" s="28" t="n">
        <v>2024</v>
      </c>
      <c r="F369" s="45" t="n">
        <v>0.0062</v>
      </c>
    </row>
    <row r="370">
      <c r="A370" s="28" t="inlineStr">
        <is>
          <t>VALERO_CORPUS_CHRISTI</t>
        </is>
      </c>
      <c r="B370" s="28" t="n">
        <v>3</v>
      </c>
      <c r="C370" s="28" t="inlineStr">
        <is>
          <t>Maya</t>
        </is>
      </c>
      <c r="D370" s="28" t="inlineStr">
        <is>
          <t>Mexico</t>
        </is>
      </c>
      <c r="E370" s="28" t="n">
        <v>2024</v>
      </c>
      <c r="F370" s="45" t="n">
        <v>0.0026</v>
      </c>
    </row>
    <row r="371">
      <c r="A371" s="28" t="inlineStr">
        <is>
          <t>VALERO_HOUSTON</t>
        </is>
      </c>
      <c r="B371" s="28" t="n">
        <v>3</v>
      </c>
      <c r="C371" s="28" t="inlineStr">
        <is>
          <t>West Texas Intermediate</t>
        </is>
      </c>
      <c r="D371" s="28" t="inlineStr">
        <is>
          <t>United States</t>
        </is>
      </c>
      <c r="E371" s="28" t="n">
        <v>2024</v>
      </c>
      <c r="F371" s="45" t="n">
        <v>0.6524</v>
      </c>
    </row>
    <row r="372">
      <c r="A372" s="28" t="inlineStr">
        <is>
          <t>VALERO_HOUSTON</t>
        </is>
      </c>
      <c r="B372" s="28" t="n">
        <v>3</v>
      </c>
      <c r="C372" s="28" t="inlineStr">
        <is>
          <t>Eagle Ford Crude</t>
        </is>
      </c>
      <c r="D372" s="28" t="inlineStr">
        <is>
          <t>United States</t>
        </is>
      </c>
      <c r="E372" s="28" t="n">
        <v>2024</v>
      </c>
      <c r="F372" s="45" t="n">
        <v>0.3307</v>
      </c>
    </row>
    <row r="373">
      <c r="A373" s="28" t="inlineStr">
        <is>
          <t>VALERO_HOUSTON</t>
        </is>
      </c>
      <c r="B373" s="28" t="n">
        <v>3</v>
      </c>
      <c r="C373" s="28" t="inlineStr">
        <is>
          <t>Cold Lake</t>
        </is>
      </c>
      <c r="D373" s="28" t="inlineStr">
        <is>
          <t>Canada (Oil Sands)</t>
        </is>
      </c>
      <c r="E373" s="28" t="n">
        <v>2024</v>
      </c>
      <c r="F373" s="45" t="n">
        <v>0.0169</v>
      </c>
    </row>
    <row r="374">
      <c r="A374" s="28" t="inlineStr">
        <is>
          <t>VALERO_MERAUX</t>
        </is>
      </c>
      <c r="B374" s="28" t="n">
        <v>3</v>
      </c>
      <c r="C374" s="28" t="inlineStr">
        <is>
          <t>Light Louisiana Sweet</t>
        </is>
      </c>
      <c r="D374" s="28" t="inlineStr">
        <is>
          <t>United States</t>
        </is>
      </c>
      <c r="E374" s="28" t="n">
        <v>2024</v>
      </c>
      <c r="F374" s="45" t="n">
        <v>0.5199</v>
      </c>
    </row>
    <row r="375">
      <c r="A375" s="28" t="inlineStr">
        <is>
          <t>VALERO_MERAUX</t>
        </is>
      </c>
      <c r="B375" s="28" t="n">
        <v>3</v>
      </c>
      <c r="C375" s="28" t="inlineStr">
        <is>
          <t>Heavy Louisiana Sweet</t>
        </is>
      </c>
      <c r="D375" s="28" t="inlineStr">
        <is>
          <t>United States</t>
        </is>
      </c>
      <c r="E375" s="28" t="n">
        <v>2024</v>
      </c>
      <c r="F375" s="45" t="n">
        <v>0.4006</v>
      </c>
    </row>
    <row r="376">
      <c r="A376" s="28" t="inlineStr">
        <is>
          <t>VALERO_MERAUX</t>
        </is>
      </c>
      <c r="B376" s="28" t="n">
        <v>3</v>
      </c>
      <c r="C376" s="28" t="inlineStr">
        <is>
          <t>West Texas Intermediate</t>
        </is>
      </c>
      <c r="D376" s="28" t="inlineStr">
        <is>
          <t>United States</t>
        </is>
      </c>
      <c r="E376" s="28" t="n">
        <v>2024</v>
      </c>
      <c r="F376" s="45" t="n">
        <v>0.053</v>
      </c>
    </row>
    <row r="377">
      <c r="A377" s="28" t="inlineStr">
        <is>
          <t>VALERO_MERAUX</t>
        </is>
      </c>
      <c r="B377" s="28" t="n">
        <v>3</v>
      </c>
      <c r="C377" s="28" t="inlineStr">
        <is>
          <t>Lokele</t>
        </is>
      </c>
      <c r="D377" s="28" t="inlineStr">
        <is>
          <t>Cameroon</t>
        </is>
      </c>
      <c r="E377" s="28" t="n">
        <v>2024</v>
      </c>
      <c r="F377" s="45" t="n">
        <v>0.015</v>
      </c>
    </row>
    <row r="378">
      <c r="A378" s="28" t="inlineStr">
        <is>
          <t>VALERO_MERAUX</t>
        </is>
      </c>
      <c r="B378" s="28" t="n">
        <v>3</v>
      </c>
      <c r="C378" s="28" t="inlineStr">
        <is>
          <t>Liza-Payara</t>
        </is>
      </c>
      <c r="D378" s="28" t="inlineStr">
        <is>
          <t>Guyana</t>
        </is>
      </c>
      <c r="E378" s="28" t="n">
        <v>2024</v>
      </c>
      <c r="F378" s="45" t="n">
        <v>0.0115</v>
      </c>
    </row>
    <row r="379">
      <c r="A379" s="28" t="inlineStr">
        <is>
          <t>VALERO_PORT_ARTHUR</t>
        </is>
      </c>
      <c r="B379" s="28" t="n">
        <v>3</v>
      </c>
      <c r="C379" s="28" t="inlineStr">
        <is>
          <t>West Texas Intermediate</t>
        </is>
      </c>
      <c r="D379" s="28" t="inlineStr">
        <is>
          <t>United States</t>
        </is>
      </c>
      <c r="E379" s="28" t="n">
        <v>2024</v>
      </c>
      <c r="F379" s="45" t="n">
        <v>0.3947</v>
      </c>
    </row>
    <row r="380">
      <c r="A380" s="28" t="inlineStr">
        <is>
          <t>VALERO_PORT_ARTHUR</t>
        </is>
      </c>
      <c r="B380" s="28" t="n">
        <v>3</v>
      </c>
      <c r="C380" s="28" t="inlineStr">
        <is>
          <t>Maya</t>
        </is>
      </c>
      <c r="D380" s="28" t="inlineStr">
        <is>
          <t>Mexico</t>
        </is>
      </c>
      <c r="E380" s="28" t="n">
        <v>2024</v>
      </c>
      <c r="F380" s="45" t="n">
        <v>0.3802</v>
      </c>
    </row>
    <row r="381">
      <c r="A381" s="28" t="inlineStr">
        <is>
          <t>VALERO_PORT_ARTHUR</t>
        </is>
      </c>
      <c r="B381" s="28" t="n">
        <v>3</v>
      </c>
      <c r="C381" s="28" t="inlineStr">
        <is>
          <t>Boscan</t>
        </is>
      </c>
      <c r="D381" s="28" t="inlineStr">
        <is>
          <t>Venezuela</t>
        </is>
      </c>
      <c r="E381" s="28" t="n">
        <v>2024</v>
      </c>
      <c r="F381" s="45" t="n">
        <v>0.1266</v>
      </c>
    </row>
    <row r="382">
      <c r="A382" s="28" t="inlineStr">
        <is>
          <t>VALERO_PORT_ARTHUR</t>
        </is>
      </c>
      <c r="B382" s="28" t="n">
        <v>3</v>
      </c>
      <c r="C382" s="28" t="inlineStr">
        <is>
          <t>Alba</t>
        </is>
      </c>
      <c r="D382" s="28" t="inlineStr">
        <is>
          <t>United Kingdom</t>
        </is>
      </c>
      <c r="E382" s="28" t="n">
        <v>2024</v>
      </c>
      <c r="F382" s="45" t="n">
        <v>0.0299</v>
      </c>
    </row>
    <row r="383">
      <c r="A383" s="28" t="inlineStr">
        <is>
          <t>VALERO_PORT_ARTHUR</t>
        </is>
      </c>
      <c r="B383" s="28" t="n">
        <v>3</v>
      </c>
      <c r="C383" s="28" t="inlineStr">
        <is>
          <t>Merey</t>
        </is>
      </c>
      <c r="D383" s="28" t="inlineStr">
        <is>
          <t>Venezuela</t>
        </is>
      </c>
      <c r="E383" s="28" t="n">
        <v>2024</v>
      </c>
      <c r="F383" s="45" t="n">
        <v>0.021</v>
      </c>
    </row>
    <row r="384">
      <c r="A384" s="28" t="inlineStr">
        <is>
          <t>VALERO_PORT_ARTHUR</t>
        </is>
      </c>
      <c r="B384" s="28" t="n">
        <v>3</v>
      </c>
      <c r="C384" s="28" t="inlineStr">
        <is>
          <t>DCO</t>
        </is>
      </c>
      <c r="D384" s="28" t="inlineStr">
        <is>
          <t>Venezuela</t>
        </is>
      </c>
      <c r="E384" s="28" t="n">
        <v>2024</v>
      </c>
      <c r="F384" s="45" t="n">
        <v>0.0183</v>
      </c>
    </row>
    <row r="385">
      <c r="A385" s="28" t="inlineStr">
        <is>
          <t>VALERO_PORT_ARTHUR</t>
        </is>
      </c>
      <c r="B385" s="28" t="n">
        <v>3</v>
      </c>
      <c r="C385" s="28" t="inlineStr">
        <is>
          <t>Domestic Oil Guatemala</t>
        </is>
      </c>
      <c r="D385" s="28" t="inlineStr">
        <is>
          <t>Guatemala</t>
        </is>
      </c>
      <c r="E385" s="28" t="n">
        <v>2024</v>
      </c>
      <c r="F385" s="45" t="n">
        <v>0.0077</v>
      </c>
    </row>
    <row r="386">
      <c r="A386" s="28" t="inlineStr">
        <is>
          <t>VALERO_PORT_ARTHUR</t>
        </is>
      </c>
      <c r="B386" s="28" t="n">
        <v>3</v>
      </c>
      <c r="C386" s="28" t="inlineStr">
        <is>
          <t>Castilla</t>
        </is>
      </c>
      <c r="D386" s="28" t="inlineStr">
        <is>
          <t>Colombia</t>
        </is>
      </c>
      <c r="E386" s="28" t="n">
        <v>2024</v>
      </c>
      <c r="F386" s="45" t="n">
        <v>0.006</v>
      </c>
    </row>
    <row r="387">
      <c r="A387" s="28" t="inlineStr">
        <is>
          <t>VALERO_PORT_ARTHUR</t>
        </is>
      </c>
      <c r="B387" s="28" t="n">
        <v>3</v>
      </c>
      <c r="C387" s="28" t="inlineStr">
        <is>
          <t>Basrah Heavy</t>
        </is>
      </c>
      <c r="D387" s="28" t="inlineStr">
        <is>
          <t>Iraq</t>
        </is>
      </c>
      <c r="E387" s="28" t="n">
        <v>2024</v>
      </c>
      <c r="F387" s="45" t="n">
        <v>0.0054</v>
      </c>
    </row>
    <row r="388">
      <c r="A388" s="28" t="inlineStr">
        <is>
          <t>VALERO_PORT_ARTHUR</t>
        </is>
      </c>
      <c r="B388" s="28" t="n">
        <v>3</v>
      </c>
      <c r="C388" s="28" t="inlineStr">
        <is>
          <t>Eocene</t>
        </is>
      </c>
      <c r="D388" s="28" t="inlineStr">
        <is>
          <t>Kuwait</t>
        </is>
      </c>
      <c r="E388" s="28" t="n">
        <v>2024</v>
      </c>
      <c r="F388" s="45" t="n">
        <v>0.0052</v>
      </c>
    </row>
    <row r="389">
      <c r="A389" s="28" t="inlineStr">
        <is>
          <t>VALERO_PORT_ARTHUR</t>
        </is>
      </c>
      <c r="B389" s="28" t="n">
        <v>3</v>
      </c>
      <c r="C389" s="28" t="inlineStr">
        <is>
          <t>Peregrino</t>
        </is>
      </c>
      <c r="D389" s="28" t="inlineStr">
        <is>
          <t>Brazil</t>
        </is>
      </c>
      <c r="E389" s="28" t="n">
        <v>2024</v>
      </c>
      <c r="F389" s="45" t="n">
        <v>0.005</v>
      </c>
    </row>
    <row r="390">
      <c r="A390" s="28" t="inlineStr">
        <is>
          <t>VALERO_SAINT_CHARLES</t>
        </is>
      </c>
      <c r="B390" s="28" t="n">
        <v>3</v>
      </c>
      <c r="C390" s="28" t="inlineStr">
        <is>
          <t>West Texas Intermediate</t>
        </is>
      </c>
      <c r="D390" s="28" t="inlineStr">
        <is>
          <t>United States</t>
        </is>
      </c>
      <c r="E390" s="28" t="n">
        <v>2024</v>
      </c>
      <c r="F390" s="45" t="n">
        <v>0.2332</v>
      </c>
    </row>
    <row r="391">
      <c r="A391" s="28" t="inlineStr">
        <is>
          <t>VALERO_SAINT_CHARLES</t>
        </is>
      </c>
      <c r="B391" s="28" t="n">
        <v>3</v>
      </c>
      <c r="C391" s="28" t="inlineStr">
        <is>
          <t>Merey</t>
        </is>
      </c>
      <c r="D391" s="28" t="inlineStr">
        <is>
          <t>Venezuela</t>
        </is>
      </c>
      <c r="E391" s="28" t="n">
        <v>2024</v>
      </c>
      <c r="F391" s="45" t="n">
        <v>0.2287</v>
      </c>
    </row>
    <row r="392">
      <c r="A392" s="28" t="inlineStr">
        <is>
          <t>VALERO_SAINT_CHARLES</t>
        </is>
      </c>
      <c r="B392" s="28" t="n">
        <v>3</v>
      </c>
      <c r="C392" s="28" t="inlineStr">
        <is>
          <t>DCO</t>
        </is>
      </c>
      <c r="D392" s="28" t="inlineStr">
        <is>
          <t>Venezuela</t>
        </is>
      </c>
      <c r="E392" s="28" t="n">
        <v>2024</v>
      </c>
      <c r="F392" s="45" t="n">
        <v>0.1089</v>
      </c>
    </row>
    <row r="393">
      <c r="A393" s="28" t="inlineStr">
        <is>
          <t>VALERO_SAINT_CHARLES</t>
        </is>
      </c>
      <c r="B393" s="28" t="n">
        <v>3</v>
      </c>
      <c r="C393" s="28" t="inlineStr">
        <is>
          <t>Light Louisiana Sweet</t>
        </is>
      </c>
      <c r="D393" s="28" t="inlineStr">
        <is>
          <t>United States</t>
        </is>
      </c>
      <c r="E393" s="28" t="n">
        <v>2024</v>
      </c>
      <c r="F393" s="45" t="n">
        <v>0.1002</v>
      </c>
    </row>
    <row r="394">
      <c r="A394" s="28" t="inlineStr">
        <is>
          <t>VALERO_SAINT_CHARLES</t>
        </is>
      </c>
      <c r="B394" s="28" t="n">
        <v>3</v>
      </c>
      <c r="C394" s="28" t="inlineStr">
        <is>
          <t>Thunder Horse</t>
        </is>
      </c>
      <c r="D394" s="28" t="inlineStr">
        <is>
          <t>US (GOM Deepwater)</t>
        </is>
      </c>
      <c r="E394" s="28" t="n">
        <v>2024</v>
      </c>
      <c r="F394" s="45" t="n">
        <v>0.091</v>
      </c>
    </row>
    <row r="395">
      <c r="A395" s="28" t="inlineStr">
        <is>
          <t>VALERO_SAINT_CHARLES</t>
        </is>
      </c>
      <c r="B395" s="28" t="n">
        <v>3</v>
      </c>
      <c r="C395" s="28" t="inlineStr">
        <is>
          <t>Mars/Ursa</t>
        </is>
      </c>
      <c r="D395" s="28" t="inlineStr">
        <is>
          <t>US (GOM Deepwater)</t>
        </is>
      </c>
      <c r="E395" s="28" t="n">
        <v>2024</v>
      </c>
      <c r="F395" s="45" t="n">
        <v>0.0815</v>
      </c>
    </row>
    <row r="396">
      <c r="A396" s="28" t="inlineStr">
        <is>
          <t>VALERO_SAINT_CHARLES</t>
        </is>
      </c>
      <c r="B396" s="28" t="n">
        <v>3</v>
      </c>
      <c r="C396" s="28" t="inlineStr">
        <is>
          <t>Maya</t>
        </is>
      </c>
      <c r="D396" s="28" t="inlineStr">
        <is>
          <t>Mexico</t>
        </is>
      </c>
      <c r="E396" s="28" t="n">
        <v>2024</v>
      </c>
      <c r="F396" s="45" t="n">
        <v>0.0655</v>
      </c>
    </row>
    <row r="397">
      <c r="A397" s="28" t="inlineStr">
        <is>
          <t>VALERO_SAINT_CHARLES</t>
        </is>
      </c>
      <c r="B397" s="28" t="n">
        <v>3</v>
      </c>
      <c r="C397" s="28" t="inlineStr">
        <is>
          <t>Olmeca</t>
        </is>
      </c>
      <c r="D397" s="28" t="inlineStr">
        <is>
          <t>Mexico</t>
        </is>
      </c>
      <c r="E397" s="28" t="n">
        <v>2024</v>
      </c>
      <c r="F397" s="45" t="n">
        <v>0.0387</v>
      </c>
    </row>
    <row r="398">
      <c r="A398" s="28" t="inlineStr">
        <is>
          <t>VALERO_SAINT_CHARLES</t>
        </is>
      </c>
      <c r="B398" s="28" t="n">
        <v>3</v>
      </c>
      <c r="C398" s="28" t="inlineStr">
        <is>
          <t>Heavy Louisiana Sweet</t>
        </is>
      </c>
      <c r="D398" s="28" t="inlineStr">
        <is>
          <t>United States</t>
        </is>
      </c>
      <c r="E398" s="28" t="n">
        <v>2024</v>
      </c>
      <c r="F398" s="45" t="n">
        <v>0.0264</v>
      </c>
    </row>
    <row r="399">
      <c r="A399" s="28" t="inlineStr">
        <is>
          <t>VALERO_SAINT_CHARLES</t>
        </is>
      </c>
      <c r="B399" s="28" t="n">
        <v>3</v>
      </c>
      <c r="C399" s="28" t="inlineStr">
        <is>
          <t>Isthmus</t>
        </is>
      </c>
      <c r="D399" s="28" t="inlineStr">
        <is>
          <t>Mexico</t>
        </is>
      </c>
      <c r="E399" s="28" t="n">
        <v>2024</v>
      </c>
      <c r="F399" s="45" t="n">
        <v>0.0144</v>
      </c>
    </row>
    <row r="400">
      <c r="A400" s="28" t="inlineStr">
        <is>
          <t>VALERO_SAINT_CHARLES</t>
        </is>
      </c>
      <c r="B400" s="28" t="n">
        <v>3</v>
      </c>
      <c r="C400" s="28" t="inlineStr">
        <is>
          <t>Liza-Payara</t>
        </is>
      </c>
      <c r="D400" s="28" t="inlineStr">
        <is>
          <t>Guyana</t>
        </is>
      </c>
      <c r="E400" s="28" t="n">
        <v>2024</v>
      </c>
      <c r="F400" s="45" t="n">
        <v>0.0115</v>
      </c>
    </row>
    <row r="401">
      <c r="A401" s="28" t="inlineStr">
        <is>
          <t>VALERO_SUNRAY</t>
        </is>
      </c>
      <c r="B401" s="28" t="n">
        <v>3</v>
      </c>
      <c r="C401" s="28" t="inlineStr">
        <is>
          <t>West Texas Intermediate</t>
        </is>
      </c>
      <c r="D401" s="28" t="inlineStr">
        <is>
          <t>United States</t>
        </is>
      </c>
      <c r="E401" s="28" t="n">
        <v>2024</v>
      </c>
      <c r="F401" s="45" t="n">
        <v>0.889</v>
      </c>
    </row>
    <row r="402">
      <c r="A402" s="28" t="inlineStr">
        <is>
          <t>VALERO_SUNRAY</t>
        </is>
      </c>
      <c r="B402" s="28" t="n">
        <v>3</v>
      </c>
      <c r="C402" s="28" t="inlineStr">
        <is>
          <t>West Texas Sour</t>
        </is>
      </c>
      <c r="D402" s="28" t="inlineStr">
        <is>
          <t>United States</t>
        </is>
      </c>
      <c r="E402" s="28" t="n">
        <v>2024</v>
      </c>
      <c r="F402" s="45" t="n">
        <v>0.111</v>
      </c>
    </row>
    <row r="403">
      <c r="A403" s="28" t="inlineStr">
        <is>
          <t>VALERO_TEXAS_CITY</t>
        </is>
      </c>
      <c r="B403" s="28" t="n">
        <v>3</v>
      </c>
      <c r="C403" s="28" t="inlineStr">
        <is>
          <t>West Texas Intermediate</t>
        </is>
      </c>
      <c r="D403" s="28" t="inlineStr">
        <is>
          <t>United States</t>
        </is>
      </c>
      <c r="E403" s="28" t="n">
        <v>2024</v>
      </c>
      <c r="F403" s="45" t="n">
        <v>0.4497</v>
      </c>
    </row>
    <row r="404">
      <c r="A404" s="28" t="inlineStr">
        <is>
          <t>VALERO_TEXAS_CITY</t>
        </is>
      </c>
      <c r="B404" s="28" t="n">
        <v>3</v>
      </c>
      <c r="C404" s="28" t="inlineStr">
        <is>
          <t>Hips Blend</t>
        </is>
      </c>
      <c r="D404" s="28" t="inlineStr">
        <is>
          <t>United States</t>
        </is>
      </c>
      <c r="E404" s="28" t="n">
        <v>2024</v>
      </c>
      <c r="F404" s="45" t="n">
        <v>0.2096</v>
      </c>
    </row>
    <row r="405">
      <c r="A405" s="28" t="inlineStr">
        <is>
          <t>VALERO_TEXAS_CITY</t>
        </is>
      </c>
      <c r="B405" s="28" t="n">
        <v>3</v>
      </c>
      <c r="C405" s="28" t="inlineStr">
        <is>
          <t>Hoops Blend</t>
        </is>
      </c>
      <c r="D405" s="28" t="inlineStr">
        <is>
          <t>United States</t>
        </is>
      </c>
      <c r="E405" s="28" t="n">
        <v>2024</v>
      </c>
      <c r="F405" s="45" t="n">
        <v>0.1483</v>
      </c>
    </row>
    <row r="406">
      <c r="A406" s="28" t="inlineStr">
        <is>
          <t>VALERO_TEXAS_CITY</t>
        </is>
      </c>
      <c r="B406" s="28" t="n">
        <v>3</v>
      </c>
      <c r="C406" s="28" t="inlineStr">
        <is>
          <t>Isthmus</t>
        </is>
      </c>
      <c r="D406" s="28" t="inlineStr">
        <is>
          <t>Mexico</t>
        </is>
      </c>
      <c r="E406" s="28" t="n">
        <v>2024</v>
      </c>
      <c r="F406" s="45" t="n">
        <v>0.049</v>
      </c>
    </row>
    <row r="407">
      <c r="A407" s="28" t="inlineStr">
        <is>
          <t>VALERO_TEXAS_CITY</t>
        </is>
      </c>
      <c r="B407" s="28" t="n">
        <v>3</v>
      </c>
      <c r="C407" s="28" t="inlineStr">
        <is>
          <t>Olmeca</t>
        </is>
      </c>
      <c r="D407" s="28" t="inlineStr">
        <is>
          <t>Mexico</t>
        </is>
      </c>
      <c r="E407" s="28" t="n">
        <v>2024</v>
      </c>
      <c r="F407" s="45" t="n">
        <v>0.0363</v>
      </c>
    </row>
    <row r="408">
      <c r="A408" s="28" t="inlineStr">
        <is>
          <t>VALERO_TEXAS_CITY</t>
        </is>
      </c>
      <c r="B408" s="28" t="n">
        <v>3</v>
      </c>
      <c r="C408" s="28" t="inlineStr">
        <is>
          <t>Peregrino</t>
        </is>
      </c>
      <c r="D408" s="28" t="inlineStr">
        <is>
          <t>Brazil</t>
        </is>
      </c>
      <c r="E408" s="28" t="n">
        <v>2024</v>
      </c>
      <c r="F408" s="45" t="n">
        <v>0.0282</v>
      </c>
    </row>
    <row r="409">
      <c r="A409" s="28" t="inlineStr">
        <is>
          <t>VALERO_TEXAS_CITY</t>
        </is>
      </c>
      <c r="B409" s="28" t="n">
        <v>3</v>
      </c>
      <c r="C409" s="28" t="inlineStr">
        <is>
          <t>Castilla</t>
        </is>
      </c>
      <c r="D409" s="28" t="inlineStr">
        <is>
          <t>Colombia</t>
        </is>
      </c>
      <c r="E409" s="28" t="n">
        <v>2024</v>
      </c>
      <c r="F409" s="45" t="n">
        <v>0.026</v>
      </c>
    </row>
    <row r="410">
      <c r="A410" s="28" t="inlineStr">
        <is>
          <t>VALERO_TEXAS_CITY</t>
        </is>
      </c>
      <c r="B410" s="28" t="n">
        <v>3</v>
      </c>
      <c r="C410" s="28" t="inlineStr">
        <is>
          <t>Maya</t>
        </is>
      </c>
      <c r="D410" s="28" t="inlineStr">
        <is>
          <t>Mexico</t>
        </is>
      </c>
      <c r="E410" s="28" t="n">
        <v>2024</v>
      </c>
      <c r="F410" s="45" t="n">
        <v>0.0211</v>
      </c>
    </row>
    <row r="411">
      <c r="A411" s="28" t="inlineStr">
        <is>
          <t>VALERO_TEXAS_CITY</t>
        </is>
      </c>
      <c r="B411" s="28" t="n">
        <v>3</v>
      </c>
      <c r="C411" s="28" t="inlineStr">
        <is>
          <t>Merey</t>
        </is>
      </c>
      <c r="D411" s="28" t="inlineStr">
        <is>
          <t>Venezuela</t>
        </is>
      </c>
      <c r="E411" s="28" t="n">
        <v>2024</v>
      </c>
      <c r="F411" s="45" t="n">
        <v>0.0173</v>
      </c>
    </row>
    <row r="412">
      <c r="A412" s="28" t="inlineStr">
        <is>
          <t>VALERO_TEXAS_CITY</t>
        </is>
      </c>
      <c r="B412" s="28" t="n">
        <v>3</v>
      </c>
      <c r="C412" s="28" t="inlineStr">
        <is>
          <t>Alba</t>
        </is>
      </c>
      <c r="D412" s="28" t="inlineStr">
        <is>
          <t>United Kingdom</t>
        </is>
      </c>
      <c r="E412" s="28" t="n">
        <v>2024</v>
      </c>
      <c r="F412" s="45" t="n">
        <v>0.0145</v>
      </c>
    </row>
    <row r="413">
      <c r="A413" s="28" t="inlineStr">
        <is>
          <t>VALERO_THREE_RIVERS</t>
        </is>
      </c>
      <c r="B413" s="28" t="n">
        <v>3</v>
      </c>
      <c r="C413" s="28" t="inlineStr">
        <is>
          <t>West Texas Intermediate</t>
        </is>
      </c>
      <c r="D413" s="28" t="inlineStr">
        <is>
          <t>United States</t>
        </is>
      </c>
      <c r="E413" s="28" t="n">
        <v>2024</v>
      </c>
      <c r="F413" s="45" t="n">
        <v>0.4901</v>
      </c>
    </row>
    <row r="414">
      <c r="A414" s="28" t="inlineStr">
        <is>
          <t>VALERO_THREE_RIVERS</t>
        </is>
      </c>
      <c r="B414" s="28" t="n">
        <v>3</v>
      </c>
      <c r="C414" s="28" t="inlineStr">
        <is>
          <t>Eagle Ford Crude</t>
        </is>
      </c>
      <c r="D414" s="28" t="inlineStr">
        <is>
          <t>United States</t>
        </is>
      </c>
      <c r="E414" s="28" t="n">
        <v>2024</v>
      </c>
      <c r="F414" s="45" t="n">
        <v>0.2999</v>
      </c>
    </row>
    <row r="415">
      <c r="A415" s="28" t="inlineStr">
        <is>
          <t>VALERO_THREE_RIVERS</t>
        </is>
      </c>
      <c r="B415" s="28" t="n">
        <v>3</v>
      </c>
      <c r="C415" s="28" t="inlineStr">
        <is>
          <t>South Texas</t>
        </is>
      </c>
      <c r="D415" s="28" t="inlineStr">
        <is>
          <t>United States</t>
        </is>
      </c>
      <c r="E415" s="28" t="n">
        <v>2024</v>
      </c>
      <c r="F415" s="45" t="n">
        <v>0.21</v>
      </c>
    </row>
    <row r="416">
      <c r="A416" s="28" t="inlineStr">
        <is>
          <t>VERTEX_MOBILE</t>
        </is>
      </c>
      <c r="B416" s="28" t="n">
        <v>3</v>
      </c>
      <c r="C416" s="28" t="inlineStr">
        <is>
          <t>Light Louisiana Sweet</t>
        </is>
      </c>
      <c r="D416" s="28" t="inlineStr">
        <is>
          <t>United States</t>
        </is>
      </c>
      <c r="E416" s="28" t="n">
        <v>2024</v>
      </c>
      <c r="F416" s="45" t="n">
        <v>0.5589</v>
      </c>
    </row>
    <row r="417">
      <c r="A417" s="28" t="inlineStr">
        <is>
          <t>VERTEX_MOBILE</t>
        </is>
      </c>
      <c r="B417" s="28" t="n">
        <v>3</v>
      </c>
      <c r="C417" s="28" t="inlineStr">
        <is>
          <t>West Texas Intermediate</t>
        </is>
      </c>
      <c r="D417" s="28" t="inlineStr">
        <is>
          <t>United States</t>
        </is>
      </c>
      <c r="E417" s="28" t="n">
        <v>2024</v>
      </c>
      <c r="F417" s="45" t="n">
        <v>0.232</v>
      </c>
    </row>
    <row r="418">
      <c r="A418" s="28" t="inlineStr">
        <is>
          <t>VERTEX_MOBILE</t>
        </is>
      </c>
      <c r="B418" s="28" t="n">
        <v>3</v>
      </c>
      <c r="C418" s="28" t="inlineStr">
        <is>
          <t>Heavy Louisiana Sweet</t>
        </is>
      </c>
      <c r="D418" s="28" t="inlineStr">
        <is>
          <t>United States</t>
        </is>
      </c>
      <c r="E418" s="28" t="n">
        <v>2024</v>
      </c>
      <c r="F418" s="45" t="n">
        <v>0.2091</v>
      </c>
    </row>
    <row r="419">
      <c r="A419" s="28" t="inlineStr">
        <is>
          <t>WRB_BORGER</t>
        </is>
      </c>
      <c r="B419" s="28" t="n">
        <v>3</v>
      </c>
      <c r="C419" s="28" t="inlineStr">
        <is>
          <t>West Texas Intermediate</t>
        </is>
      </c>
      <c r="D419" s="28" t="inlineStr">
        <is>
          <t>United States</t>
        </is>
      </c>
      <c r="E419" s="28" t="n">
        <v>2024</v>
      </c>
      <c r="F419" s="45" t="n">
        <v>0.5577000000000001</v>
      </c>
    </row>
    <row r="420">
      <c r="A420" s="28" t="inlineStr">
        <is>
          <t>WRB_BORGER</t>
        </is>
      </c>
      <c r="B420" s="28" t="n">
        <v>3</v>
      </c>
      <c r="C420" s="28" t="inlineStr">
        <is>
          <t>West Texas Sour</t>
        </is>
      </c>
      <c r="D420" s="28" t="inlineStr">
        <is>
          <t>United States</t>
        </is>
      </c>
      <c r="E420" s="28" t="n">
        <v>2024</v>
      </c>
      <c r="F420" s="45" t="n">
        <v>0.3582</v>
      </c>
    </row>
    <row r="421">
      <c r="A421" s="28" t="inlineStr">
        <is>
          <t>WRB_BORGER</t>
        </is>
      </c>
      <c r="B421" s="28" t="n">
        <v>3</v>
      </c>
      <c r="C421" s="28" t="inlineStr">
        <is>
          <t>Cold Lake</t>
        </is>
      </c>
      <c r="D421" s="28" t="inlineStr">
        <is>
          <t>Canada (Oil Sands)</t>
        </is>
      </c>
      <c r="E421" s="28" t="n">
        <v>2024</v>
      </c>
      <c r="F421" s="45" t="n">
        <v>0.0644</v>
      </c>
    </row>
    <row r="422">
      <c r="A422" s="28" t="inlineStr">
        <is>
          <t>WRB_BORGER</t>
        </is>
      </c>
      <c r="B422" s="28" t="n">
        <v>3</v>
      </c>
      <c r="C422" s="28" t="inlineStr">
        <is>
          <t>Lloyd Blend</t>
        </is>
      </c>
      <c r="D422" s="28" t="inlineStr">
        <is>
          <t>United States</t>
        </is>
      </c>
      <c r="E422" s="28" t="n">
        <v>2024</v>
      </c>
      <c r="F422" s="45" t="n">
        <v>0.0197</v>
      </c>
    </row>
    <row r="423">
      <c r="A423" s="28" t="inlineStr">
        <is>
          <t>XOM_BAYTOWN</t>
        </is>
      </c>
      <c r="B423" s="28" t="n">
        <v>3</v>
      </c>
      <c r="C423" s="28" t="inlineStr">
        <is>
          <t>West Texas Intermediate</t>
        </is>
      </c>
      <c r="D423" s="28" t="inlineStr">
        <is>
          <t>United States</t>
        </is>
      </c>
      <c r="E423" s="28" t="n">
        <v>2024</v>
      </c>
      <c r="F423" s="45" t="n">
        <v>0.6264999999999999</v>
      </c>
    </row>
    <row r="424">
      <c r="A424" s="28" t="inlineStr">
        <is>
          <t>XOM_BAYTOWN</t>
        </is>
      </c>
      <c r="B424" s="28" t="n">
        <v>3</v>
      </c>
      <c r="C424" s="28" t="inlineStr">
        <is>
          <t>West Texas Sour</t>
        </is>
      </c>
      <c r="D424" s="28" t="inlineStr">
        <is>
          <t>United States</t>
        </is>
      </c>
      <c r="E424" s="28" t="n">
        <v>2024</v>
      </c>
      <c r="F424" s="45" t="n">
        <v>0.1522</v>
      </c>
    </row>
    <row r="425">
      <c r="A425" s="28" t="inlineStr">
        <is>
          <t>XOM_BAYTOWN</t>
        </is>
      </c>
      <c r="B425" s="28" t="n">
        <v>3</v>
      </c>
      <c r="C425" s="28" t="inlineStr">
        <is>
          <t>Hoops Blend</t>
        </is>
      </c>
      <c r="D425" s="28" t="inlineStr">
        <is>
          <t>United States</t>
        </is>
      </c>
      <c r="E425" s="28" t="n">
        <v>2024</v>
      </c>
      <c r="F425" s="45" t="n">
        <v>0.1515</v>
      </c>
    </row>
    <row r="426">
      <c r="A426" s="28" t="inlineStr">
        <is>
          <t>XOM_BAYTOWN</t>
        </is>
      </c>
      <c r="B426" s="28" t="n">
        <v>3</v>
      </c>
      <c r="C426" s="28" t="inlineStr">
        <is>
          <t>Western Canadian Select</t>
        </is>
      </c>
      <c r="D426" s="28" t="inlineStr">
        <is>
          <t>Canada</t>
        </is>
      </c>
      <c r="E426" s="28" t="n">
        <v>2024</v>
      </c>
      <c r="F426" s="45" t="n">
        <v>0.031</v>
      </c>
    </row>
    <row r="427">
      <c r="A427" s="28" t="inlineStr">
        <is>
          <t>XOM_BAYTOWN</t>
        </is>
      </c>
      <c r="B427" s="28" t="n">
        <v>3</v>
      </c>
      <c r="C427" s="28" t="inlineStr">
        <is>
          <t>Cold Lake</t>
        </is>
      </c>
      <c r="D427" s="28" t="inlineStr">
        <is>
          <t>Canada (Oil Sands)</t>
        </is>
      </c>
      <c r="E427" s="28" t="n">
        <v>2024</v>
      </c>
      <c r="F427" s="45" t="n">
        <v>0.0295</v>
      </c>
    </row>
    <row r="428">
      <c r="A428" s="28" t="inlineStr">
        <is>
          <t>XOM_BAYTOWN</t>
        </is>
      </c>
      <c r="B428" s="28" t="n">
        <v>3</v>
      </c>
      <c r="C428" s="28" t="inlineStr">
        <is>
          <t>Merey</t>
        </is>
      </c>
      <c r="D428" s="28" t="inlineStr">
        <is>
          <t>Venezuela</t>
        </is>
      </c>
      <c r="E428" s="28" t="n">
        <v>2024</v>
      </c>
      <c r="F428" s="45" t="n">
        <v>0.009300000000000001</v>
      </c>
    </row>
    <row r="429">
      <c r="A429" s="28" t="inlineStr">
        <is>
          <t>BIG_NORTH_SLATERVILLE_CANAL</t>
        </is>
      </c>
      <c r="B429" s="28" t="n">
        <v>4</v>
      </c>
      <c r="C429" s="28" t="inlineStr">
        <is>
          <t>Niobrara</t>
        </is>
      </c>
      <c r="D429" s="28" t="inlineStr">
        <is>
          <t>United States</t>
        </is>
      </c>
      <c r="E429" s="28" t="n">
        <v>2024</v>
      </c>
      <c r="F429" s="45" t="n">
        <v>0.3997</v>
      </c>
    </row>
    <row r="430">
      <c r="A430" s="28" t="inlineStr">
        <is>
          <t>BIG_NORTH_SLATERVILLE_CANAL</t>
        </is>
      </c>
      <c r="B430" s="28" t="n">
        <v>4</v>
      </c>
      <c r="C430" s="28" t="inlineStr">
        <is>
          <t>Uintah Black Wax</t>
        </is>
      </c>
      <c r="D430" s="28" t="inlineStr">
        <is>
          <t>United States</t>
        </is>
      </c>
      <c r="E430" s="28" t="n">
        <v>2024</v>
      </c>
      <c r="F430" s="45" t="n">
        <v>0.3793</v>
      </c>
    </row>
    <row r="431">
      <c r="A431" s="28" t="inlineStr">
        <is>
          <t>BIG_NORTH_SLATERVILLE_CANAL</t>
        </is>
      </c>
      <c r="B431" s="28" t="n">
        <v>4</v>
      </c>
      <c r="C431" s="28" t="inlineStr">
        <is>
          <t>Utah Light</t>
        </is>
      </c>
      <c r="D431" s="28" t="inlineStr">
        <is>
          <t>United States</t>
        </is>
      </c>
      <c r="E431" s="28" t="n">
        <v>2024</v>
      </c>
      <c r="F431" s="45" t="n">
        <v>0.221</v>
      </c>
    </row>
    <row r="432">
      <c r="A432" s="28" t="inlineStr">
        <is>
          <t>CHEVRON_SALT_LAKE_CITY</t>
        </is>
      </c>
      <c r="B432" s="28" t="n">
        <v>4</v>
      </c>
      <c r="C432" s="28" t="inlineStr">
        <is>
          <t>Utah Light</t>
        </is>
      </c>
      <c r="D432" s="28" t="inlineStr">
        <is>
          <t>United States</t>
        </is>
      </c>
      <c r="E432" s="28" t="n">
        <v>2024</v>
      </c>
      <c r="F432" s="45" t="n">
        <v>0.4366</v>
      </c>
    </row>
    <row r="433">
      <c r="A433" s="28" t="inlineStr">
        <is>
          <t>CHEVRON_SALT_LAKE_CITY</t>
        </is>
      </c>
      <c r="B433" s="28" t="n">
        <v>4</v>
      </c>
      <c r="C433" s="28" t="inlineStr">
        <is>
          <t>Niobrara</t>
        </is>
      </c>
      <c r="D433" s="28" t="inlineStr">
        <is>
          <t>United States</t>
        </is>
      </c>
      <c r="E433" s="28" t="n">
        <v>2024</v>
      </c>
      <c r="F433" s="45" t="n">
        <v>0.2964</v>
      </c>
    </row>
    <row r="434">
      <c r="A434" s="28" t="inlineStr">
        <is>
          <t>CHEVRON_SALT_LAKE_CITY</t>
        </is>
      </c>
      <c r="B434" s="28" t="n">
        <v>4</v>
      </c>
      <c r="C434" s="28" t="inlineStr">
        <is>
          <t>Oil Sands Synthetic</t>
        </is>
      </c>
      <c r="D434" s="28" t="inlineStr">
        <is>
          <t>Canada (Oil Sands)</t>
        </is>
      </c>
      <c r="E434" s="28" t="n">
        <v>2024</v>
      </c>
      <c r="F434" s="45" t="n">
        <v>0.2259</v>
      </c>
    </row>
    <row r="435">
      <c r="A435" s="28" t="inlineStr">
        <is>
          <t>CHEVRON_SALT_LAKE_CITY</t>
        </is>
      </c>
      <c r="B435" s="28" t="n">
        <v>4</v>
      </c>
      <c r="C435" s="28" t="inlineStr">
        <is>
          <t>Cold Lake</t>
        </is>
      </c>
      <c r="D435" s="28" t="inlineStr">
        <is>
          <t>Canada (Oil Sands)</t>
        </is>
      </c>
      <c r="E435" s="28" t="n">
        <v>2024</v>
      </c>
      <c r="F435" s="45" t="n">
        <v>0.0239</v>
      </c>
    </row>
    <row r="436">
      <c r="A436" s="28" t="inlineStr">
        <is>
          <t>CHEVRON_SALT_LAKE_CITY</t>
        </is>
      </c>
      <c r="B436" s="28" t="n">
        <v>4</v>
      </c>
      <c r="C436" s="28" t="inlineStr">
        <is>
          <t>Wabasca</t>
        </is>
      </c>
      <c r="D436" s="28" t="inlineStr">
        <is>
          <t>Canada</t>
        </is>
      </c>
      <c r="E436" s="28" t="n">
        <v>2024</v>
      </c>
      <c r="F436" s="45" t="n">
        <v>0.0104</v>
      </c>
    </row>
    <row r="437">
      <c r="A437" s="28" t="inlineStr">
        <is>
          <t>CHEVRON_SALT_LAKE_CITY</t>
        </is>
      </c>
      <c r="B437" s="28" t="n">
        <v>4</v>
      </c>
      <c r="C437" s="28" t="inlineStr">
        <is>
          <t>Western Canadian Select</t>
        </is>
      </c>
      <c r="D437" s="28" t="inlineStr">
        <is>
          <t>Canada</t>
        </is>
      </c>
      <c r="E437" s="28" t="n">
        <v>2024</v>
      </c>
      <c r="F437" s="45" t="n">
        <v>0.0068</v>
      </c>
    </row>
    <row r="438">
      <c r="A438" s="28" t="inlineStr">
        <is>
          <t>CHS_LAUREL</t>
        </is>
      </c>
      <c r="B438" s="28" t="n">
        <v>4</v>
      </c>
      <c r="C438" s="28" t="inlineStr">
        <is>
          <t>Cold Lake</t>
        </is>
      </c>
      <c r="D438" s="28" t="inlineStr">
        <is>
          <t>Canada (Oil Sands)</t>
        </is>
      </c>
      <c r="E438" s="28" t="n">
        <v>2024</v>
      </c>
      <c r="F438" s="45" t="n">
        <v>0.4151</v>
      </c>
    </row>
    <row r="439">
      <c r="A439" s="28" t="inlineStr">
        <is>
          <t>CHS_LAUREL</t>
        </is>
      </c>
      <c r="B439" s="28" t="n">
        <v>4</v>
      </c>
      <c r="C439" s="28" t="inlineStr">
        <is>
          <t>Bow River</t>
        </is>
      </c>
      <c r="D439" s="28" t="inlineStr">
        <is>
          <t>Canada</t>
        </is>
      </c>
      <c r="E439" s="28" t="n">
        <v>2024</v>
      </c>
      <c r="F439" s="45" t="n">
        <v>0.2622</v>
      </c>
    </row>
    <row r="440">
      <c r="A440" s="28" t="inlineStr">
        <is>
          <t>CHS_LAUREL</t>
        </is>
      </c>
      <c r="B440" s="28" t="n">
        <v>4</v>
      </c>
      <c r="C440" s="28" t="inlineStr">
        <is>
          <t>Western Canadian Select</t>
        </is>
      </c>
      <c r="D440" s="28" t="inlineStr">
        <is>
          <t>Canada</t>
        </is>
      </c>
      <c r="E440" s="28" t="n">
        <v>2024</v>
      </c>
      <c r="F440" s="45" t="n">
        <v>0.1254</v>
      </c>
    </row>
    <row r="441">
      <c r="A441" s="28" t="inlineStr">
        <is>
          <t>CHS_LAUREL</t>
        </is>
      </c>
      <c r="B441" s="28" t="n">
        <v>4</v>
      </c>
      <c r="C441" s="28" t="inlineStr">
        <is>
          <t>Lloyd Blend</t>
        </is>
      </c>
      <c r="D441" s="28" t="inlineStr">
        <is>
          <t>United States</t>
        </is>
      </c>
      <c r="E441" s="28" t="n">
        <v>2024</v>
      </c>
      <c r="F441" s="45" t="n">
        <v>0.1093</v>
      </c>
    </row>
    <row r="442">
      <c r="A442" s="28" t="inlineStr">
        <is>
          <t>CHS_LAUREL</t>
        </is>
      </c>
      <c r="B442" s="28" t="n">
        <v>4</v>
      </c>
      <c r="C442" s="28" t="inlineStr">
        <is>
          <t>Oil Sands Synthetic</t>
        </is>
      </c>
      <c r="D442" s="28" t="inlineStr">
        <is>
          <t>Canada (Oil Sands)</t>
        </is>
      </c>
      <c r="E442" s="28" t="n">
        <v>2024</v>
      </c>
      <c r="F442" s="45" t="n">
        <v>0.0538</v>
      </c>
    </row>
    <row r="443">
      <c r="A443" s="28" t="inlineStr">
        <is>
          <t>CHS_LAUREL</t>
        </is>
      </c>
      <c r="B443" s="28" t="n">
        <v>4</v>
      </c>
      <c r="C443" s="28" t="inlineStr">
        <is>
          <t>Albian Heavy Synthetic</t>
        </is>
      </c>
      <c r="D443" s="28" t="inlineStr">
        <is>
          <t>Canada (Saskatchewan)</t>
        </is>
      </c>
      <c r="E443" s="28" t="n">
        <v>2024</v>
      </c>
      <c r="F443" s="45" t="n">
        <v>0.0158</v>
      </c>
    </row>
    <row r="444">
      <c r="A444" s="28" t="inlineStr">
        <is>
          <t>CHS_LAUREL</t>
        </is>
      </c>
      <c r="B444" s="28" t="n">
        <v>4</v>
      </c>
      <c r="C444" s="28" t="inlineStr">
        <is>
          <t>Montana Light Sweet</t>
        </is>
      </c>
      <c r="D444" s="28" t="inlineStr">
        <is>
          <t>United States</t>
        </is>
      </c>
      <c r="E444" s="28" t="n">
        <v>2024</v>
      </c>
      <c r="F444" s="45" t="n">
        <v>0.009899999999999999</v>
      </c>
    </row>
    <row r="445">
      <c r="A445" s="28" t="inlineStr">
        <is>
          <t>CHS_LAUREL</t>
        </is>
      </c>
      <c r="B445" s="28" t="n">
        <v>4</v>
      </c>
      <c r="C445" s="28" t="inlineStr">
        <is>
          <t>Generic Synbit</t>
        </is>
      </c>
      <c r="D445" s="28" t="inlineStr">
        <is>
          <t>Canada</t>
        </is>
      </c>
      <c r="E445" s="28" t="n">
        <v>2024</v>
      </c>
      <c r="F445" s="45" t="n">
        <v>0.0059</v>
      </c>
    </row>
    <row r="446">
      <c r="A446" s="28" t="inlineStr">
        <is>
          <t>CHS_LAUREL</t>
        </is>
      </c>
      <c r="B446" s="28" t="n">
        <v>4</v>
      </c>
      <c r="C446" s="28" t="inlineStr">
        <is>
          <t>Tight Oil Canada Saskatchewan Midale</t>
        </is>
      </c>
      <c r="D446" s="28" t="inlineStr">
        <is>
          <t>Canada (Saskatchewan)</t>
        </is>
      </c>
      <c r="E446" s="28" t="n">
        <v>2024</v>
      </c>
      <c r="F446" s="45" t="n">
        <v>0.0026</v>
      </c>
    </row>
    <row r="447">
      <c r="A447" s="28" t="inlineStr">
        <is>
          <t>HF_WOODS_CROSS</t>
        </is>
      </c>
      <c r="B447" s="28" t="n">
        <v>4</v>
      </c>
      <c r="C447" s="28" t="inlineStr">
        <is>
          <t>Uintah Black Wax</t>
        </is>
      </c>
      <c r="D447" s="28" t="inlineStr">
        <is>
          <t>United States</t>
        </is>
      </c>
      <c r="E447" s="28" t="n">
        <v>2024</v>
      </c>
      <c r="F447" s="45" t="n">
        <v>0.493</v>
      </c>
    </row>
    <row r="448">
      <c r="A448" s="28" t="inlineStr">
        <is>
          <t>HF_WOODS_CROSS</t>
        </is>
      </c>
      <c r="B448" s="28" t="n">
        <v>4</v>
      </c>
      <c r="C448" s="28" t="inlineStr">
        <is>
          <t>Utah Light</t>
        </is>
      </c>
      <c r="D448" s="28" t="inlineStr">
        <is>
          <t>United States</t>
        </is>
      </c>
      <c r="E448" s="28" t="n">
        <v>2024</v>
      </c>
      <c r="F448" s="45" t="n">
        <v>0.3788</v>
      </c>
    </row>
    <row r="449">
      <c r="A449" s="28" t="inlineStr">
        <is>
          <t>HF_WOODS_CROSS</t>
        </is>
      </c>
      <c r="B449" s="28" t="n">
        <v>4</v>
      </c>
      <c r="C449" s="28" t="inlineStr">
        <is>
          <t>Oil Sands Synthetic</t>
        </is>
      </c>
      <c r="D449" s="28" t="inlineStr">
        <is>
          <t>Canada (Oil Sands)</t>
        </is>
      </c>
      <c r="E449" s="28" t="n">
        <v>2024</v>
      </c>
      <c r="F449" s="45" t="n">
        <v>0.1282</v>
      </c>
    </row>
    <row r="450">
      <c r="A450" s="28" t="inlineStr">
        <is>
          <t>MARATHON_SALT_LAKE_CITY</t>
        </is>
      </c>
      <c r="B450" s="28" t="n">
        <v>4</v>
      </c>
      <c r="C450" s="28" t="inlineStr">
        <is>
          <t>Niobrara</t>
        </is>
      </c>
      <c r="D450" s="28" t="inlineStr">
        <is>
          <t>United States</t>
        </is>
      </c>
      <c r="E450" s="28" t="n">
        <v>2024</v>
      </c>
      <c r="F450" s="45" t="n">
        <v>0.4</v>
      </c>
    </row>
    <row r="451">
      <c r="A451" s="28" t="inlineStr">
        <is>
          <t>MARATHON_SALT_LAKE_CITY</t>
        </is>
      </c>
      <c r="B451" s="28" t="n">
        <v>4</v>
      </c>
      <c r="C451" s="28" t="inlineStr">
        <is>
          <t>Utah Light</t>
        </is>
      </c>
      <c r="D451" s="28" t="inlineStr">
        <is>
          <t>United States</t>
        </is>
      </c>
      <c r="E451" s="28" t="n">
        <v>2024</v>
      </c>
      <c r="F451" s="45" t="n">
        <v>0.3825</v>
      </c>
    </row>
    <row r="452">
      <c r="A452" s="28" t="inlineStr">
        <is>
          <t>MARATHON_SALT_LAKE_CITY</t>
        </is>
      </c>
      <c r="B452" s="28" t="n">
        <v>4</v>
      </c>
      <c r="C452" s="28" t="inlineStr">
        <is>
          <t>Uintah Black Wax</t>
        </is>
      </c>
      <c r="D452" s="28" t="inlineStr">
        <is>
          <t>United States</t>
        </is>
      </c>
      <c r="E452" s="28" t="n">
        <v>2024</v>
      </c>
      <c r="F452" s="45" t="n">
        <v>0.2175</v>
      </c>
    </row>
    <row r="453">
      <c r="A453" s="28" t="inlineStr">
        <is>
          <t>PAR_BILLINGS</t>
        </is>
      </c>
      <c r="B453" s="28" t="n">
        <v>4</v>
      </c>
      <c r="C453" s="28" t="inlineStr">
        <is>
          <t>Bow River</t>
        </is>
      </c>
      <c r="D453" s="28" t="inlineStr">
        <is>
          <t>Canada</t>
        </is>
      </c>
      <c r="E453" s="28" t="n">
        <v>2024</v>
      </c>
      <c r="F453" s="45" t="n">
        <v>0.3195</v>
      </c>
    </row>
    <row r="454">
      <c r="A454" s="28" t="inlineStr">
        <is>
          <t>PAR_BILLINGS</t>
        </is>
      </c>
      <c r="B454" s="28" t="n">
        <v>4</v>
      </c>
      <c r="C454" s="28" t="inlineStr">
        <is>
          <t>Wyoming Sour</t>
        </is>
      </c>
      <c r="D454" s="28" t="inlineStr">
        <is>
          <t>United States</t>
        </is>
      </c>
      <c r="E454" s="28" t="n">
        <v>2024</v>
      </c>
      <c r="F454" s="45" t="n">
        <v>0.2755</v>
      </c>
    </row>
    <row r="455">
      <c r="A455" s="28" t="inlineStr">
        <is>
          <t>PAR_BILLINGS</t>
        </is>
      </c>
      <c r="B455" s="28" t="n">
        <v>4</v>
      </c>
      <c r="C455" s="28" t="inlineStr">
        <is>
          <t>Domestic Oil Alberta Canada</t>
        </is>
      </c>
      <c r="D455" s="28" t="inlineStr">
        <is>
          <t>Canada (Alberta)</t>
        </is>
      </c>
      <c r="E455" s="28" t="n">
        <v>2024</v>
      </c>
      <c r="F455" s="45" t="n">
        <v>0.1939</v>
      </c>
    </row>
    <row r="456">
      <c r="A456" s="28" t="inlineStr">
        <is>
          <t>PAR_BILLINGS</t>
        </is>
      </c>
      <c r="B456" s="28" t="n">
        <v>4</v>
      </c>
      <c r="C456" s="28" t="inlineStr">
        <is>
          <t>Oil Sands Synthetic</t>
        </is>
      </c>
      <c r="D456" s="28" t="inlineStr">
        <is>
          <t>Canada (Oil Sands)</t>
        </is>
      </c>
      <c r="E456" s="28" t="n">
        <v>2024</v>
      </c>
      <c r="F456" s="45" t="n">
        <v>0.09539999999999998</v>
      </c>
    </row>
    <row r="457">
      <c r="A457" s="28" t="inlineStr">
        <is>
          <t>PAR_BILLINGS</t>
        </is>
      </c>
      <c r="B457" s="28" t="n">
        <v>4</v>
      </c>
      <c r="C457" s="28" t="inlineStr">
        <is>
          <t>Mixed Sweet Blend</t>
        </is>
      </c>
      <c r="D457" s="28" t="inlineStr">
        <is>
          <t>Canada</t>
        </is>
      </c>
      <c r="E457" s="28" t="n">
        <v>2024</v>
      </c>
      <c r="F457" s="45" t="n">
        <v>0.04849999999999999</v>
      </c>
    </row>
    <row r="458">
      <c r="A458" s="28" t="inlineStr">
        <is>
          <t>PAR_BILLINGS</t>
        </is>
      </c>
      <c r="B458" s="28" t="n">
        <v>4</v>
      </c>
      <c r="C458" s="28" t="inlineStr">
        <is>
          <t>Milk River</t>
        </is>
      </c>
      <c r="D458" s="28" t="inlineStr">
        <is>
          <t>Canada</t>
        </is>
      </c>
      <c r="E458" s="28" t="n">
        <v>2024</v>
      </c>
      <c r="F458" s="45" t="n">
        <v>0.032</v>
      </c>
    </row>
    <row r="459">
      <c r="A459" s="28" t="inlineStr">
        <is>
          <t>PAR_BILLINGS</t>
        </is>
      </c>
      <c r="B459" s="28" t="n">
        <v>4</v>
      </c>
      <c r="C459" s="28" t="inlineStr">
        <is>
          <t>Tight Oil Canada Saskatchewan Midale</t>
        </is>
      </c>
      <c r="D459" s="28" t="inlineStr">
        <is>
          <t>Canada (Saskatchewan)</t>
        </is>
      </c>
      <c r="E459" s="28" t="n">
        <v>2024</v>
      </c>
      <c r="F459" s="45" t="n">
        <v>0.0138</v>
      </c>
    </row>
    <row r="460">
      <c r="A460" s="28" t="inlineStr">
        <is>
          <t>PAR_BILLINGS</t>
        </is>
      </c>
      <c r="B460" s="28" t="n">
        <v>4</v>
      </c>
      <c r="C460" s="28" t="inlineStr">
        <is>
          <t>Domestic NGL British Columbia Canada</t>
        </is>
      </c>
      <c r="D460" s="28" t="inlineStr">
        <is>
          <t>Canada (British Columbia)</t>
        </is>
      </c>
      <c r="E460" s="28" t="n">
        <v>2024</v>
      </c>
      <c r="F460" s="45" t="n">
        <v>0.0133</v>
      </c>
    </row>
    <row r="461">
      <c r="A461" s="28" t="inlineStr">
        <is>
          <t>PAR_BILLINGS</t>
        </is>
      </c>
      <c r="B461" s="28" t="n">
        <v>4</v>
      </c>
      <c r="C461" s="28" t="inlineStr">
        <is>
          <t>Cold Lake</t>
        </is>
      </c>
      <c r="D461" s="28" t="inlineStr">
        <is>
          <t>Canada (Oil Sands)</t>
        </is>
      </c>
      <c r="E461" s="28" t="n">
        <v>2024</v>
      </c>
      <c r="F461" s="45" t="n">
        <v>0.004699999999999999</v>
      </c>
    </row>
    <row r="462">
      <c r="A462" s="28" t="inlineStr">
        <is>
          <t>PAR_BILLINGS</t>
        </is>
      </c>
      <c r="B462" s="28" t="n">
        <v>4</v>
      </c>
      <c r="C462" s="28" t="inlineStr">
        <is>
          <t>W. Canada Conventional Light Sweet (Alberta)</t>
        </is>
      </c>
      <c r="D462" s="28" t="inlineStr">
        <is>
          <t>Canada (Alberta)</t>
        </is>
      </c>
      <c r="E462" s="28" t="n">
        <v>2024</v>
      </c>
      <c r="F462" s="45" t="n">
        <v>0.0034</v>
      </c>
    </row>
    <row r="463">
      <c r="A463" s="28" t="inlineStr">
        <is>
          <t>PHILLIPS_BILLINGS</t>
        </is>
      </c>
      <c r="B463" s="28" t="n">
        <v>4</v>
      </c>
      <c r="C463" s="28" t="inlineStr">
        <is>
          <t>Western Canadian Select</t>
        </is>
      </c>
      <c r="D463" s="28" t="inlineStr">
        <is>
          <t>Canada</t>
        </is>
      </c>
      <c r="E463" s="28" t="n">
        <v>2024</v>
      </c>
      <c r="F463" s="45" t="n">
        <v>0.3134</v>
      </c>
    </row>
    <row r="464">
      <c r="A464" s="28" t="inlineStr">
        <is>
          <t>PHILLIPS_BILLINGS</t>
        </is>
      </c>
      <c r="B464" s="28" t="n">
        <v>4</v>
      </c>
      <c r="C464" s="28" t="inlineStr">
        <is>
          <t>Cold Lake</t>
        </is>
      </c>
      <c r="D464" s="28" t="inlineStr">
        <is>
          <t>Canada (Oil Sands)</t>
        </is>
      </c>
      <c r="E464" s="28" t="n">
        <v>2024</v>
      </c>
      <c r="F464" s="45" t="n">
        <v>0.2261</v>
      </c>
    </row>
    <row r="465">
      <c r="A465" s="28" t="inlineStr">
        <is>
          <t>PHILLIPS_BILLINGS</t>
        </is>
      </c>
      <c r="B465" s="28" t="n">
        <v>4</v>
      </c>
      <c r="C465" s="28" t="inlineStr">
        <is>
          <t>Tight Oil Canada Saskatchewan Midale</t>
        </is>
      </c>
      <c r="D465" s="28" t="inlineStr">
        <is>
          <t>Canada (Saskatchewan)</t>
        </is>
      </c>
      <c r="E465" s="28" t="n">
        <v>2024</v>
      </c>
      <c r="F465" s="45" t="n">
        <v>0.22</v>
      </c>
    </row>
    <row r="466">
      <c r="A466" s="28" t="inlineStr">
        <is>
          <t>PHILLIPS_BILLINGS</t>
        </is>
      </c>
      <c r="B466" s="28" t="n">
        <v>4</v>
      </c>
      <c r="C466" s="28" t="inlineStr">
        <is>
          <t>Oil Sands Synthetic</t>
        </is>
      </c>
      <c r="D466" s="28" t="inlineStr">
        <is>
          <t>Canada (Oil Sands)</t>
        </is>
      </c>
      <c r="E466" s="28" t="n">
        <v>2024</v>
      </c>
      <c r="F466" s="45" t="n">
        <v>0.139</v>
      </c>
    </row>
    <row r="467">
      <c r="A467" s="28" t="inlineStr">
        <is>
          <t>PHILLIPS_BILLINGS</t>
        </is>
      </c>
      <c r="B467" s="28" t="n">
        <v>4</v>
      </c>
      <c r="C467" s="28" t="inlineStr">
        <is>
          <t>Montana Light Sweet</t>
        </is>
      </c>
      <c r="D467" s="28" t="inlineStr">
        <is>
          <t>United States</t>
        </is>
      </c>
      <c r="E467" s="28" t="n">
        <v>2024</v>
      </c>
      <c r="F467" s="45" t="n">
        <v>0.0463</v>
      </c>
    </row>
    <row r="468">
      <c r="A468" s="28" t="inlineStr">
        <is>
          <t>PHILLIPS_BILLINGS</t>
        </is>
      </c>
      <c r="B468" s="28" t="n">
        <v>4</v>
      </c>
      <c r="C468" s="28" t="inlineStr">
        <is>
          <t>Mixed Sweet Blend</t>
        </is>
      </c>
      <c r="D468" s="28" t="inlineStr">
        <is>
          <t>Canada</t>
        </is>
      </c>
      <c r="E468" s="28" t="n">
        <v>2024</v>
      </c>
      <c r="F468" s="45" t="n">
        <v>0.0424</v>
      </c>
    </row>
    <row r="469">
      <c r="A469" s="28" t="inlineStr">
        <is>
          <t>PHILLIPS_BILLINGS</t>
        </is>
      </c>
      <c r="B469" s="28" t="n">
        <v>4</v>
      </c>
      <c r="C469" s="28" t="inlineStr">
        <is>
          <t>Lloyd Blend</t>
        </is>
      </c>
      <c r="D469" s="28" t="inlineStr">
        <is>
          <t>United States</t>
        </is>
      </c>
      <c r="E469" s="28" t="n">
        <v>2024</v>
      </c>
      <c r="F469" s="45" t="n">
        <v>0.0128</v>
      </c>
    </row>
    <row r="470">
      <c r="A470" s="28" t="inlineStr">
        <is>
          <t>SINCLAIR_SINCLAIR</t>
        </is>
      </c>
      <c r="B470" s="28" t="n">
        <v>4</v>
      </c>
      <c r="C470" s="28" t="inlineStr">
        <is>
          <t>Wyoming Sweet</t>
        </is>
      </c>
      <c r="D470" s="28" t="inlineStr">
        <is>
          <t>United States</t>
        </is>
      </c>
      <c r="E470" s="28" t="n">
        <v>2024</v>
      </c>
      <c r="F470" s="45" t="n">
        <v>0.7986</v>
      </c>
    </row>
    <row r="471">
      <c r="A471" s="28" t="inlineStr">
        <is>
          <t>SINCLAIR_SINCLAIR</t>
        </is>
      </c>
      <c r="B471" s="28" t="n">
        <v>4</v>
      </c>
      <c r="C471" s="28" t="inlineStr">
        <is>
          <t>Uintah Black Wax</t>
        </is>
      </c>
      <c r="D471" s="28" t="inlineStr">
        <is>
          <t>United States</t>
        </is>
      </c>
      <c r="E471" s="28" t="n">
        <v>2024</v>
      </c>
      <c r="F471" s="45" t="n">
        <v>0.0828</v>
      </c>
    </row>
    <row r="472">
      <c r="A472" s="28" t="inlineStr">
        <is>
          <t>SINCLAIR_SINCLAIR</t>
        </is>
      </c>
      <c r="B472" s="28" t="n">
        <v>4</v>
      </c>
      <c r="C472" s="28" t="inlineStr">
        <is>
          <t>Niobrara</t>
        </is>
      </c>
      <c r="D472" s="28" t="inlineStr">
        <is>
          <t>United States</t>
        </is>
      </c>
      <c r="E472" s="28" t="n">
        <v>2024</v>
      </c>
      <c r="F472" s="45" t="n">
        <v>0.0552</v>
      </c>
    </row>
    <row r="473">
      <c r="A473" s="28" t="inlineStr">
        <is>
          <t>SINCLAIR_SINCLAIR</t>
        </is>
      </c>
      <c r="B473" s="28" t="n">
        <v>4</v>
      </c>
      <c r="C473" s="28" t="inlineStr">
        <is>
          <t>Cold Lake</t>
        </is>
      </c>
      <c r="D473" s="28" t="inlineStr">
        <is>
          <t>Canada (Oil Sands)</t>
        </is>
      </c>
      <c r="E473" s="28" t="n">
        <v>2024</v>
      </c>
      <c r="F473" s="45" t="n">
        <v>0.0513</v>
      </c>
    </row>
    <row r="474">
      <c r="A474" s="28" t="inlineStr">
        <is>
          <t>SINCLAIR_SINCLAIR</t>
        </is>
      </c>
      <c r="B474" s="28" t="n">
        <v>4</v>
      </c>
      <c r="C474" s="28" t="inlineStr">
        <is>
          <t>Western Canadian Select</t>
        </is>
      </c>
      <c r="D474" s="28" t="inlineStr">
        <is>
          <t>Canada</t>
        </is>
      </c>
      <c r="E474" s="28" t="n">
        <v>2024</v>
      </c>
      <c r="F474" s="45" t="n">
        <v>0.0062</v>
      </c>
    </row>
    <row r="475">
      <c r="A475" s="28" t="inlineStr">
        <is>
          <t>SINCLAIR_SINCLAIR</t>
        </is>
      </c>
      <c r="B475" s="28" t="n">
        <v>4</v>
      </c>
      <c r="C475" s="28" t="inlineStr">
        <is>
          <t>Lloyd Blend</t>
        </is>
      </c>
      <c r="D475" s="28" t="inlineStr">
        <is>
          <t>United States</t>
        </is>
      </c>
      <c r="E475" s="28" t="n">
        <v>2024</v>
      </c>
      <c r="F475" s="45" t="n">
        <v>0.0059</v>
      </c>
    </row>
    <row r="476">
      <c r="A476" s="28" t="inlineStr">
        <is>
          <t>SUNCOR_DENVER</t>
        </is>
      </c>
      <c r="B476" s="28" t="n">
        <v>4</v>
      </c>
      <c r="C476" s="28" t="inlineStr">
        <is>
          <t>Wyoming Sweet</t>
        </is>
      </c>
      <c r="D476" s="28" t="inlineStr">
        <is>
          <t>United States</t>
        </is>
      </c>
      <c r="E476" s="28" t="n">
        <v>2024</v>
      </c>
      <c r="F476" s="45" t="n">
        <v>0.4239</v>
      </c>
    </row>
    <row r="477">
      <c r="A477" s="28" t="inlineStr">
        <is>
          <t>SUNCOR_DENVER</t>
        </is>
      </c>
      <c r="B477" s="28" t="n">
        <v>4</v>
      </c>
      <c r="C477" s="28" t="inlineStr">
        <is>
          <t>Niobrara</t>
        </is>
      </c>
      <c r="D477" s="28" t="inlineStr">
        <is>
          <t>United States</t>
        </is>
      </c>
      <c r="E477" s="28" t="n">
        <v>2024</v>
      </c>
      <c r="F477" s="45" t="n">
        <v>0.4052</v>
      </c>
    </row>
    <row r="478">
      <c r="A478" s="28" t="inlineStr">
        <is>
          <t>SUNCOR_DENVER</t>
        </is>
      </c>
      <c r="B478" s="28" t="n">
        <v>4</v>
      </c>
      <c r="C478" s="28" t="inlineStr">
        <is>
          <t>Wyoming Sour</t>
        </is>
      </c>
      <c r="D478" s="28" t="inlineStr">
        <is>
          <t>United States</t>
        </is>
      </c>
      <c r="E478" s="28" t="n">
        <v>2024</v>
      </c>
      <c r="F478" s="45" t="n">
        <v>0.1709</v>
      </c>
    </row>
    <row r="479">
      <c r="A479" s="28" t="inlineStr">
        <is>
          <t>BP_FERNDALE</t>
        </is>
      </c>
      <c r="B479" s="28" t="n">
        <v>5</v>
      </c>
      <c r="C479" s="28" t="inlineStr">
        <is>
          <t>Alaska North Slope</t>
        </is>
      </c>
      <c r="D479" s="28" t="inlineStr">
        <is>
          <t>US (Alaska)</t>
        </is>
      </c>
      <c r="E479" s="28" t="n">
        <v>2024</v>
      </c>
      <c r="F479" s="45" t="n">
        <v>0.4138</v>
      </c>
    </row>
    <row r="480">
      <c r="A480" s="28" t="inlineStr">
        <is>
          <t>BP_FERNDALE</t>
        </is>
      </c>
      <c r="B480" s="28" t="n">
        <v>5</v>
      </c>
      <c r="C480" s="28" t="inlineStr">
        <is>
          <t>Bakken</t>
        </is>
      </c>
      <c r="D480" s="28" t="inlineStr">
        <is>
          <t>United States</t>
        </is>
      </c>
      <c r="E480" s="28" t="n">
        <v>2024</v>
      </c>
      <c r="F480" s="45" t="n">
        <v>0.1728</v>
      </c>
    </row>
    <row r="481">
      <c r="A481" s="28" t="inlineStr">
        <is>
          <t>BP_FERNDALE</t>
        </is>
      </c>
      <c r="B481" s="28" t="n">
        <v>5</v>
      </c>
      <c r="C481" s="28" t="inlineStr">
        <is>
          <t>Milk River</t>
        </is>
      </c>
      <c r="D481" s="28" t="inlineStr">
        <is>
          <t>Canada</t>
        </is>
      </c>
      <c r="E481" s="28" t="n">
        <v>2024</v>
      </c>
      <c r="F481" s="45" t="n">
        <v>0.0993</v>
      </c>
    </row>
    <row r="482">
      <c r="A482" s="28" t="inlineStr">
        <is>
          <t>BP_FERNDALE</t>
        </is>
      </c>
      <c r="B482" s="28" t="n">
        <v>5</v>
      </c>
      <c r="C482" s="28" t="inlineStr">
        <is>
          <t>Cold Lake</t>
        </is>
      </c>
      <c r="D482" s="28" t="inlineStr">
        <is>
          <t>Canada (Oil Sands)</t>
        </is>
      </c>
      <c r="E482" s="28" t="n">
        <v>2024</v>
      </c>
      <c r="F482" s="45" t="n">
        <v>0.08740000000000001</v>
      </c>
    </row>
    <row r="483">
      <c r="A483" s="28" t="inlineStr">
        <is>
          <t>BP_FERNDALE</t>
        </is>
      </c>
      <c r="B483" s="28" t="n">
        <v>5</v>
      </c>
      <c r="C483" s="28" t="inlineStr">
        <is>
          <t>Mixed Sweet Blend</t>
        </is>
      </c>
      <c r="D483" s="28" t="inlineStr">
        <is>
          <t>Canada</t>
        </is>
      </c>
      <c r="E483" s="28" t="n">
        <v>2024</v>
      </c>
      <c r="F483" s="45" t="n">
        <v>0.07190000000000001</v>
      </c>
    </row>
    <row r="484">
      <c r="A484" s="28" t="inlineStr">
        <is>
          <t>BP_FERNDALE</t>
        </is>
      </c>
      <c r="B484" s="28" t="n">
        <v>5</v>
      </c>
      <c r="C484" s="28" t="inlineStr">
        <is>
          <t>Oil Sands Synthetic</t>
        </is>
      </c>
      <c r="D484" s="28" t="inlineStr">
        <is>
          <t>Canada (Oil Sands)</t>
        </is>
      </c>
      <c r="E484" s="28" t="n">
        <v>2024</v>
      </c>
      <c r="F484" s="45" t="n">
        <v>0.0591</v>
      </c>
    </row>
    <row r="485">
      <c r="A485" s="28" t="inlineStr">
        <is>
          <t>BP_FERNDALE</t>
        </is>
      </c>
      <c r="B485" s="28" t="n">
        <v>5</v>
      </c>
      <c r="C485" s="28" t="inlineStr">
        <is>
          <t>Lula</t>
        </is>
      </c>
      <c r="D485" s="28" t="inlineStr">
        <is>
          <t>Brazil</t>
        </is>
      </c>
      <c r="E485" s="28" t="n">
        <v>2024</v>
      </c>
      <c r="F485" s="45" t="n">
        <v>0.0527</v>
      </c>
    </row>
    <row r="486">
      <c r="A486" s="28" t="inlineStr">
        <is>
          <t>BP_FERNDALE</t>
        </is>
      </c>
      <c r="B486" s="28" t="n">
        <v>5</v>
      </c>
      <c r="C486" s="28" t="inlineStr">
        <is>
          <t>Escalante</t>
        </is>
      </c>
      <c r="D486" s="28" t="inlineStr">
        <is>
          <t>Argentina</t>
        </is>
      </c>
      <c r="E486" s="28" t="n">
        <v>2024</v>
      </c>
      <c r="F486" s="45" t="n">
        <v>0.0406</v>
      </c>
    </row>
    <row r="487">
      <c r="A487" s="28" t="inlineStr">
        <is>
          <t>BP_FERNDALE</t>
        </is>
      </c>
      <c r="B487" s="28" t="n">
        <v>5</v>
      </c>
      <c r="C487" s="28" t="inlineStr">
        <is>
          <t>Domestic Oil Other Argentina</t>
        </is>
      </c>
      <c r="D487" s="28" t="inlineStr">
        <is>
          <t>Argentina</t>
        </is>
      </c>
      <c r="E487" s="28" t="n">
        <v>2024</v>
      </c>
      <c r="F487" s="45" t="n">
        <v>0.0024</v>
      </c>
    </row>
    <row r="488">
      <c r="A488" s="28" t="inlineStr">
        <is>
          <t>CHEVRON_EL_SEGUNDO</t>
        </is>
      </c>
      <c r="B488" s="28" t="n">
        <v>5</v>
      </c>
      <c r="C488" s="28" t="inlineStr">
        <is>
          <t>Liza-Payara</t>
        </is>
      </c>
      <c r="D488" s="28" t="inlineStr">
        <is>
          <t>Guyana</t>
        </is>
      </c>
      <c r="E488" s="28" t="n">
        <v>2024</v>
      </c>
      <c r="F488" s="45" t="n">
        <v>0.362</v>
      </c>
    </row>
    <row r="489">
      <c r="A489" s="28" t="inlineStr">
        <is>
          <t>CHEVRON_EL_SEGUNDO</t>
        </is>
      </c>
      <c r="B489" s="28" t="n">
        <v>5</v>
      </c>
      <c r="C489" s="28" t="inlineStr">
        <is>
          <t>San Joaquin Valley Lt</t>
        </is>
      </c>
      <c r="D489" s="28" t="inlineStr">
        <is>
          <t>United States</t>
        </is>
      </c>
      <c r="E489" s="28" t="n">
        <v>2024</v>
      </c>
      <c r="F489" s="45" t="n">
        <v>0.3302</v>
      </c>
    </row>
    <row r="490">
      <c r="A490" s="28" t="inlineStr">
        <is>
          <t>CHEVRON_EL_SEGUNDO</t>
        </is>
      </c>
      <c r="B490" s="28" t="n">
        <v>5</v>
      </c>
      <c r="C490" s="28" t="inlineStr">
        <is>
          <t>Vasconia</t>
        </is>
      </c>
      <c r="D490" s="28" t="inlineStr">
        <is>
          <t>Colombia</t>
        </is>
      </c>
      <c r="E490" s="28" t="n">
        <v>2024</v>
      </c>
      <c r="F490" s="45" t="n">
        <v>0.1123</v>
      </c>
    </row>
    <row r="491">
      <c r="A491" s="28" t="inlineStr">
        <is>
          <t>CHEVRON_EL_SEGUNDO</t>
        </is>
      </c>
      <c r="B491" s="28" t="n">
        <v>5</v>
      </c>
      <c r="C491" s="28" t="inlineStr">
        <is>
          <t>Napo</t>
        </is>
      </c>
      <c r="D491" s="28" t="inlineStr">
        <is>
          <t>Ecuador</t>
        </is>
      </c>
      <c r="E491" s="28" t="n">
        <v>2024</v>
      </c>
      <c r="F491" s="45" t="n">
        <v>0.0345</v>
      </c>
    </row>
    <row r="492">
      <c r="A492" s="28" t="inlineStr">
        <is>
          <t>CHEVRON_EL_SEGUNDO</t>
        </is>
      </c>
      <c r="B492" s="28" t="n">
        <v>5</v>
      </c>
      <c r="C492" s="28" t="inlineStr">
        <is>
          <t>Western Canadian Select</t>
        </is>
      </c>
      <c r="D492" s="28" t="inlineStr">
        <is>
          <t>Canada</t>
        </is>
      </c>
      <c r="E492" s="28" t="n">
        <v>2024</v>
      </c>
      <c r="F492" s="45" t="n">
        <v>0.027</v>
      </c>
    </row>
    <row r="493">
      <c r="A493" s="28" t="inlineStr">
        <is>
          <t>CHEVRON_EL_SEGUNDO</t>
        </is>
      </c>
      <c r="B493" s="28" t="n">
        <v>5</v>
      </c>
      <c r="C493" s="28" t="inlineStr">
        <is>
          <t>Oil Sands Synthetic</t>
        </is>
      </c>
      <c r="D493" s="28" t="inlineStr">
        <is>
          <t>Canada (Oil Sands)</t>
        </is>
      </c>
      <c r="E493" s="28" t="n">
        <v>2024</v>
      </c>
      <c r="F493" s="45" t="n">
        <v>0.0267</v>
      </c>
    </row>
    <row r="494">
      <c r="A494" s="28" t="inlineStr">
        <is>
          <t>CHEVRON_EL_SEGUNDO</t>
        </is>
      </c>
      <c r="B494" s="28" t="n">
        <v>5</v>
      </c>
      <c r="C494" s="28" t="inlineStr">
        <is>
          <t>Lula</t>
        </is>
      </c>
      <c r="D494" s="28" t="inlineStr">
        <is>
          <t>Brazil</t>
        </is>
      </c>
      <c r="E494" s="28" t="n">
        <v>2024</v>
      </c>
      <c r="F494" s="45" t="n">
        <v>0.0184</v>
      </c>
    </row>
    <row r="495">
      <c r="A495" s="28" t="inlineStr">
        <is>
          <t>CHEVRON_EL_SEGUNDO</t>
        </is>
      </c>
      <c r="B495" s="28" t="n">
        <v>5</v>
      </c>
      <c r="C495" s="28" t="inlineStr">
        <is>
          <t>Marlim</t>
        </is>
      </c>
      <c r="D495" s="28" t="inlineStr">
        <is>
          <t>Brazil</t>
        </is>
      </c>
      <c r="E495" s="28" t="n">
        <v>2024</v>
      </c>
      <c r="F495" s="45" t="n">
        <v>0.0175</v>
      </c>
    </row>
    <row r="496">
      <c r="A496" s="28" t="inlineStr">
        <is>
          <t>CHEVRON_EL_SEGUNDO</t>
        </is>
      </c>
      <c r="B496" s="28" t="n">
        <v>5</v>
      </c>
      <c r="C496" s="28" t="inlineStr">
        <is>
          <t>Basrah Heavy</t>
        </is>
      </c>
      <c r="D496" s="28" t="inlineStr">
        <is>
          <t>Iraq</t>
        </is>
      </c>
      <c r="E496" s="28" t="n">
        <v>2024</v>
      </c>
      <c r="F496" s="45" t="n">
        <v>0.009599999999999999</v>
      </c>
    </row>
    <row r="497">
      <c r="A497" s="28" t="inlineStr">
        <is>
          <t>CHEVRON_EL_SEGUNDO</t>
        </is>
      </c>
      <c r="B497" s="28" t="n">
        <v>5</v>
      </c>
      <c r="C497" s="28" t="inlineStr">
        <is>
          <t>Tight Oil Argentina</t>
        </is>
      </c>
      <c r="D497" s="28" t="inlineStr">
        <is>
          <t>Argentina</t>
        </is>
      </c>
      <c r="E497" s="28" t="n">
        <v>2024</v>
      </c>
      <c r="F497" s="45" t="n">
        <v>0.0076</v>
      </c>
    </row>
    <row r="498">
      <c r="A498" s="28" t="inlineStr">
        <is>
          <t>CHEVRON_EL_SEGUNDO</t>
        </is>
      </c>
      <c r="B498" s="28" t="n">
        <v>5</v>
      </c>
      <c r="C498" s="28" t="inlineStr">
        <is>
          <t>Pt. Arguello</t>
        </is>
      </c>
      <c r="D498" s="28" t="inlineStr">
        <is>
          <t>United States</t>
        </is>
      </c>
      <c r="E498" s="28" t="n">
        <v>2024</v>
      </c>
      <c r="F498" s="45" t="n">
        <v>0.0075</v>
      </c>
    </row>
    <row r="499">
      <c r="A499" s="28" t="inlineStr">
        <is>
          <t>CHEVRON_EL_SEGUNDO</t>
        </is>
      </c>
      <c r="B499" s="28" t="n">
        <v>5</v>
      </c>
      <c r="C499" s="28" t="inlineStr">
        <is>
          <t>Suncor Synthetic H</t>
        </is>
      </c>
      <c r="D499" s="28" t="inlineStr">
        <is>
          <t>Canada (Saskatchewan)</t>
        </is>
      </c>
      <c r="E499" s="28" t="n">
        <v>2024</v>
      </c>
      <c r="F499" s="45" t="n">
        <v>0.0067</v>
      </c>
    </row>
    <row r="500">
      <c r="A500" s="28" t="inlineStr">
        <is>
          <t>CHEVRON_EL_SEGUNDO</t>
        </is>
      </c>
      <c r="B500" s="28" t="n">
        <v>5</v>
      </c>
      <c r="C500" s="28" t="inlineStr">
        <is>
          <t>W. Canada Conventional Heavy Sour (Alberta)</t>
        </is>
      </c>
      <c r="D500" s="28" t="inlineStr">
        <is>
          <t>Canada (Alberta)</t>
        </is>
      </c>
      <c r="E500" s="28" t="n">
        <v>2024</v>
      </c>
      <c r="F500" s="45" t="n">
        <v>0.0067</v>
      </c>
    </row>
    <row r="501">
      <c r="A501" s="28" t="inlineStr">
        <is>
          <t>CHEVRON_EL_SEGUNDO</t>
        </is>
      </c>
      <c r="B501" s="28" t="n">
        <v>5</v>
      </c>
      <c r="C501" s="28" t="inlineStr">
        <is>
          <t>Domestic Oil Colombia</t>
        </is>
      </c>
      <c r="D501" s="28" t="inlineStr">
        <is>
          <t>Colombia</t>
        </is>
      </c>
      <c r="E501" s="28" t="n">
        <v>2024</v>
      </c>
      <c r="F501" s="45" t="n">
        <v>0.0064</v>
      </c>
    </row>
    <row r="502">
      <c r="A502" s="28" t="inlineStr">
        <is>
          <t>CHEVRON_EL_SEGUNDO</t>
        </is>
      </c>
      <c r="B502" s="28" t="n">
        <v>5</v>
      </c>
      <c r="C502" s="28" t="inlineStr">
        <is>
          <t>Sapinhoa</t>
        </is>
      </c>
      <c r="D502" s="28" t="inlineStr">
        <is>
          <t>Brazil</t>
        </is>
      </c>
      <c r="E502" s="28" t="n">
        <v>2024</v>
      </c>
      <c r="F502" s="45" t="n">
        <v>0.0061</v>
      </c>
    </row>
    <row r="503">
      <c r="A503" s="28" t="inlineStr">
        <is>
          <t>CHEVRON_EL_SEGUNDO</t>
        </is>
      </c>
      <c r="B503" s="28" t="n">
        <v>5</v>
      </c>
      <c r="C503" s="28" t="inlineStr">
        <is>
          <t>South Blend</t>
        </is>
      </c>
      <c r="D503" s="28" t="inlineStr">
        <is>
          <t>Colombia</t>
        </is>
      </c>
      <c r="E503" s="28" t="n">
        <v>2024</v>
      </c>
      <c r="F503" s="45" t="n">
        <v>0.0061</v>
      </c>
    </row>
    <row r="504">
      <c r="A504" s="28" t="inlineStr">
        <is>
          <t>CHEVRON_EL_SEGUNDO</t>
        </is>
      </c>
      <c r="B504" s="28" t="n">
        <v>5</v>
      </c>
      <c r="C504" s="28" t="inlineStr">
        <is>
          <t>Basrah Medium</t>
        </is>
      </c>
      <c r="D504" s="28" t="inlineStr">
        <is>
          <t>Iraq</t>
        </is>
      </c>
      <c r="E504" s="28" t="n">
        <v>2024</v>
      </c>
      <c r="F504" s="45" t="n">
        <v>0.005699999999999999</v>
      </c>
    </row>
    <row r="505">
      <c r="A505" s="28" t="inlineStr">
        <is>
          <t>CHEVRON_EL_SEGUNDO</t>
        </is>
      </c>
      <c r="B505" s="28" t="n">
        <v>5</v>
      </c>
      <c r="C505" s="28" t="inlineStr">
        <is>
          <t>Maya</t>
        </is>
      </c>
      <c r="D505" s="28" t="inlineStr">
        <is>
          <t>Mexico</t>
        </is>
      </c>
      <c r="E505" s="28" t="n">
        <v>2024</v>
      </c>
      <c r="F505" s="45" t="n">
        <v>0.0049</v>
      </c>
    </row>
    <row r="506">
      <c r="A506" s="28" t="inlineStr">
        <is>
          <t>CHEVRON_EL_SEGUNDO</t>
        </is>
      </c>
      <c r="B506" s="28" t="n">
        <v>5</v>
      </c>
      <c r="C506" s="28" t="inlineStr">
        <is>
          <t>Eocene</t>
        </is>
      </c>
      <c r="D506" s="28" t="inlineStr">
        <is>
          <t>Kuwait</t>
        </is>
      </c>
      <c r="E506" s="28" t="n">
        <v>2024</v>
      </c>
      <c r="F506" s="45" t="n">
        <v>0.0016</v>
      </c>
    </row>
    <row r="507">
      <c r="A507" s="28" t="inlineStr">
        <is>
          <t>CHEVRON_EL_SEGUNDO</t>
        </is>
      </c>
      <c r="B507" s="28" t="n">
        <v>5</v>
      </c>
      <c r="C507" s="28" t="inlineStr">
        <is>
          <t>Cano Limon</t>
        </is>
      </c>
      <c r="D507" s="28" t="inlineStr">
        <is>
          <t>Colombia</t>
        </is>
      </c>
      <c r="E507" s="28" t="n">
        <v>2024</v>
      </c>
      <c r="F507" s="45" t="n">
        <v>0.0011</v>
      </c>
    </row>
    <row r="508">
      <c r="A508" s="28" t="inlineStr">
        <is>
          <t>CHEVRON_EL_SEGUNDO</t>
        </is>
      </c>
      <c r="B508" s="28" t="n">
        <v>5</v>
      </c>
      <c r="C508" s="28" t="inlineStr">
        <is>
          <t>Oriente</t>
        </is>
      </c>
      <c r="D508" s="28" t="inlineStr">
        <is>
          <t>Ecuador</t>
        </is>
      </c>
      <c r="E508" s="28" t="n">
        <v>2024</v>
      </c>
      <c r="F508" s="45" t="n">
        <v>0.0011</v>
      </c>
    </row>
    <row r="509">
      <c r="A509" s="28" t="inlineStr">
        <is>
          <t>CHEVRON_EL_SEGUNDO</t>
        </is>
      </c>
      <c r="B509" s="28" t="n">
        <v>5</v>
      </c>
      <c r="C509" s="28" t="inlineStr">
        <is>
          <t>San Joaquin Valley Hvy</t>
        </is>
      </c>
      <c r="D509" s="28" t="inlineStr">
        <is>
          <t>United States</t>
        </is>
      </c>
      <c r="E509" s="28" t="n">
        <v>2024</v>
      </c>
      <c r="F509" s="45" t="n">
        <v>0.0003</v>
      </c>
    </row>
    <row r="510">
      <c r="A510" s="28" t="inlineStr">
        <is>
          <t>CHEVRON_RICHMOND</t>
        </is>
      </c>
      <c r="B510" s="28" t="n">
        <v>5</v>
      </c>
      <c r="C510" s="28" t="inlineStr">
        <is>
          <t>Alaska North Slope</t>
        </is>
      </c>
      <c r="D510" s="28" t="inlineStr">
        <is>
          <t>US (Alaska)</t>
        </is>
      </c>
      <c r="E510" s="28" t="n">
        <v>2024</v>
      </c>
      <c r="F510" s="45" t="n">
        <v>0.3093</v>
      </c>
    </row>
    <row r="511">
      <c r="A511" s="28" t="inlineStr">
        <is>
          <t>CHEVRON_RICHMOND</t>
        </is>
      </c>
      <c r="B511" s="28" t="n">
        <v>5</v>
      </c>
      <c r="C511" s="28" t="inlineStr">
        <is>
          <t>Basrah Medium</t>
        </is>
      </c>
      <c r="D511" s="28" t="inlineStr">
        <is>
          <t>Iraq</t>
        </is>
      </c>
      <c r="E511" s="28" t="n">
        <v>2024</v>
      </c>
      <c r="F511" s="45" t="n">
        <v>0.2786</v>
      </c>
    </row>
    <row r="512">
      <c r="A512" s="28" t="inlineStr">
        <is>
          <t>CHEVRON_RICHMOND</t>
        </is>
      </c>
      <c r="B512" s="28" t="n">
        <v>5</v>
      </c>
      <c r="C512" s="28" t="inlineStr">
        <is>
          <t>Arab Light</t>
        </is>
      </c>
      <c r="D512" s="28" t="inlineStr">
        <is>
          <t>Saudi Arabia</t>
        </is>
      </c>
      <c r="E512" s="28" t="n">
        <v>2024</v>
      </c>
      <c r="F512" s="45" t="n">
        <v>0.1568</v>
      </c>
    </row>
    <row r="513">
      <c r="A513" s="28" t="inlineStr">
        <is>
          <t>CHEVRON_RICHMOND</t>
        </is>
      </c>
      <c r="B513" s="28" t="n">
        <v>5</v>
      </c>
      <c r="C513" s="28" t="inlineStr">
        <is>
          <t>Liza-Payara</t>
        </is>
      </c>
      <c r="D513" s="28" t="inlineStr">
        <is>
          <t>Guyana</t>
        </is>
      </c>
      <c r="E513" s="28" t="n">
        <v>2024</v>
      </c>
      <c r="F513" s="45" t="n">
        <v>0.0888</v>
      </c>
    </row>
    <row r="514">
      <c r="A514" s="28" t="inlineStr">
        <is>
          <t>CHEVRON_RICHMOND</t>
        </is>
      </c>
      <c r="B514" s="28" t="n">
        <v>5</v>
      </c>
      <c r="C514" s="28" t="inlineStr">
        <is>
          <t>Tight Oil Argentina</t>
        </is>
      </c>
      <c r="D514" s="28" t="inlineStr">
        <is>
          <t>Argentina</t>
        </is>
      </c>
      <c r="E514" s="28" t="n">
        <v>2024</v>
      </c>
      <c r="F514" s="45" t="n">
        <v>0.0375</v>
      </c>
    </row>
    <row r="515">
      <c r="A515" s="28" t="inlineStr">
        <is>
          <t>CHEVRON_RICHMOND</t>
        </is>
      </c>
      <c r="B515" s="28" t="n">
        <v>5</v>
      </c>
      <c r="C515" s="28" t="inlineStr">
        <is>
          <t>Murban</t>
        </is>
      </c>
      <c r="D515" s="28" t="inlineStr">
        <is>
          <t>United Arab Emirates</t>
        </is>
      </c>
      <c r="E515" s="28" t="n">
        <v>2024</v>
      </c>
      <c r="F515" s="45" t="n">
        <v>0.0365</v>
      </c>
    </row>
    <row r="516">
      <c r="A516" s="28" t="inlineStr">
        <is>
          <t>CHEVRON_RICHMOND</t>
        </is>
      </c>
      <c r="B516" s="28" t="n">
        <v>5</v>
      </c>
      <c r="C516" s="28" t="inlineStr">
        <is>
          <t>Arab Heavy</t>
        </is>
      </c>
      <c r="D516" s="28" t="inlineStr">
        <is>
          <t>Saudi Arabia</t>
        </is>
      </c>
      <c r="E516" s="28" t="n">
        <v>2024</v>
      </c>
      <c r="F516" s="45" t="n">
        <v>0.0209</v>
      </c>
    </row>
    <row r="517">
      <c r="A517" s="28" t="inlineStr">
        <is>
          <t>CHEVRON_RICHMOND</t>
        </is>
      </c>
      <c r="B517" s="28" t="n">
        <v>5</v>
      </c>
      <c r="C517" s="28" t="inlineStr">
        <is>
          <t>Basrah Heavy</t>
        </is>
      </c>
      <c r="D517" s="28" t="inlineStr">
        <is>
          <t>Iraq</t>
        </is>
      </c>
      <c r="E517" s="28" t="n">
        <v>2024</v>
      </c>
      <c r="F517" s="45" t="n">
        <v>0.0178</v>
      </c>
    </row>
    <row r="518">
      <c r="A518" s="28" t="inlineStr">
        <is>
          <t>CHEVRON_RICHMOND</t>
        </is>
      </c>
      <c r="B518" s="28" t="n">
        <v>5</v>
      </c>
      <c r="C518" s="28" t="inlineStr">
        <is>
          <t>Dubai</t>
        </is>
      </c>
      <c r="D518" s="28" t="inlineStr">
        <is>
          <t>United Arab Emirates</t>
        </is>
      </c>
      <c r="E518" s="28" t="n">
        <v>2024</v>
      </c>
      <c r="F518" s="45" t="n">
        <v>0.0116</v>
      </c>
    </row>
    <row r="519">
      <c r="A519" s="28" t="inlineStr">
        <is>
          <t>CHEVRON_RICHMOND</t>
        </is>
      </c>
      <c r="B519" s="28" t="n">
        <v>5</v>
      </c>
      <c r="C519" s="28" t="inlineStr">
        <is>
          <t>Khafji (Saudi Arabia)</t>
        </is>
      </c>
      <c r="D519" s="28" t="inlineStr">
        <is>
          <t>Saudi Arabia</t>
        </is>
      </c>
      <c r="E519" s="28" t="n">
        <v>2024</v>
      </c>
      <c r="F519" s="45" t="n">
        <v>0.008699999999999999</v>
      </c>
    </row>
    <row r="520">
      <c r="A520" s="28" t="inlineStr">
        <is>
          <t>CHEVRON_RICHMOND</t>
        </is>
      </c>
      <c r="B520" s="28" t="n">
        <v>5</v>
      </c>
      <c r="C520" s="28" t="inlineStr">
        <is>
          <t>Eocene</t>
        </is>
      </c>
      <c r="D520" s="28" t="inlineStr">
        <is>
          <t>Kuwait</t>
        </is>
      </c>
      <c r="E520" s="28" t="n">
        <v>2024</v>
      </c>
      <c r="F520" s="45" t="n">
        <v>0.008199999999999999</v>
      </c>
    </row>
    <row r="521">
      <c r="A521" s="28" t="inlineStr">
        <is>
          <t>CHEVRON_RICHMOND</t>
        </is>
      </c>
      <c r="B521" s="28" t="n">
        <v>5</v>
      </c>
      <c r="C521" s="28" t="inlineStr">
        <is>
          <t>Kirkuk Blend</t>
        </is>
      </c>
      <c r="D521" s="28" t="inlineStr">
        <is>
          <t>Iraq</t>
        </is>
      </c>
      <c r="E521" s="28" t="n">
        <v>2024</v>
      </c>
      <c r="F521" s="45" t="n">
        <v>0.006500000000000001</v>
      </c>
    </row>
    <row r="522">
      <c r="A522" s="28" t="inlineStr">
        <is>
          <t>CHEVRON_RICHMOND</t>
        </is>
      </c>
      <c r="B522" s="28" t="n">
        <v>5</v>
      </c>
      <c r="C522" s="28" t="inlineStr">
        <is>
          <t>Arab Medium</t>
        </is>
      </c>
      <c r="D522" s="28" t="inlineStr">
        <is>
          <t>Saudi Arabia</t>
        </is>
      </c>
      <c r="E522" s="28" t="n">
        <v>2024</v>
      </c>
      <c r="F522" s="45" t="n">
        <v>0.004500000000000001</v>
      </c>
    </row>
    <row r="523">
      <c r="A523" s="28" t="inlineStr">
        <is>
          <t>CHEVRON_RICHMOND</t>
        </is>
      </c>
      <c r="B523" s="28" t="n">
        <v>5</v>
      </c>
      <c r="C523" s="28" t="inlineStr">
        <is>
          <t>Domestic NGL British Columbia Canada</t>
        </is>
      </c>
      <c r="D523" s="28" t="inlineStr">
        <is>
          <t>Canada (British Columbia)</t>
        </is>
      </c>
      <c r="E523" s="28" t="n">
        <v>2024</v>
      </c>
      <c r="F523" s="45" t="n">
        <v>0.004</v>
      </c>
    </row>
    <row r="524">
      <c r="A524" s="28" t="inlineStr">
        <is>
          <t>CHEVRON_RICHMOND</t>
        </is>
      </c>
      <c r="B524" s="28" t="n">
        <v>5</v>
      </c>
      <c r="C524" s="28" t="inlineStr">
        <is>
          <t>Light Sour Blend</t>
        </is>
      </c>
      <c r="D524" s="28" t="inlineStr">
        <is>
          <t>Canada</t>
        </is>
      </c>
      <c r="E524" s="28" t="n">
        <v>2024</v>
      </c>
      <c r="F524" s="45" t="n">
        <v>0.0028</v>
      </c>
    </row>
    <row r="525">
      <c r="A525" s="28" t="inlineStr">
        <is>
          <t>CHEVRON_RICHMOND</t>
        </is>
      </c>
      <c r="B525" s="28" t="n">
        <v>5</v>
      </c>
      <c r="C525" s="28" t="inlineStr">
        <is>
          <t>W. Canada Conventional Heavy Sour (Alberta)</t>
        </is>
      </c>
      <c r="D525" s="28" t="inlineStr">
        <is>
          <t>Canada (Alberta)</t>
        </is>
      </c>
      <c r="E525" s="28" t="n">
        <v>2024</v>
      </c>
      <c r="F525" s="45" t="n">
        <v>0.0023</v>
      </c>
    </row>
    <row r="526">
      <c r="A526" s="28" t="inlineStr">
        <is>
          <t>CHEVRON_RICHMOND</t>
        </is>
      </c>
      <c r="B526" s="28" t="n">
        <v>5</v>
      </c>
      <c r="C526" s="28" t="inlineStr">
        <is>
          <t>Arab Extra Light</t>
        </is>
      </c>
      <c r="D526" s="28" t="inlineStr">
        <is>
          <t>Saudi Arabia</t>
        </is>
      </c>
      <c r="E526" s="28" t="n">
        <v>2024</v>
      </c>
      <c r="F526" s="45" t="n">
        <v>0.0022</v>
      </c>
    </row>
    <row r="527">
      <c r="A527" s="28" t="inlineStr">
        <is>
          <t>CHEVRON_RICHMOND</t>
        </is>
      </c>
      <c r="B527" s="28" t="n">
        <v>5</v>
      </c>
      <c r="C527" s="28" t="inlineStr">
        <is>
          <t>Oil Sands Synthetic</t>
        </is>
      </c>
      <c r="D527" s="28" t="inlineStr">
        <is>
          <t>Canada (Oil Sands)</t>
        </is>
      </c>
      <c r="E527" s="28" t="n">
        <v>2024</v>
      </c>
      <c r="F527" s="45" t="n">
        <v>0.0017</v>
      </c>
    </row>
    <row r="528">
      <c r="A528" s="28" t="inlineStr">
        <is>
          <t>CHEVRON_RICHMOND</t>
        </is>
      </c>
      <c r="B528" s="28" t="n">
        <v>5</v>
      </c>
      <c r="C528" s="28" t="inlineStr">
        <is>
          <t>Ratawi (Saudi Arabia)</t>
        </is>
      </c>
      <c r="D528" s="28" t="inlineStr">
        <is>
          <t>Saudi Arabia</t>
        </is>
      </c>
      <c r="E528" s="28" t="n">
        <v>2024</v>
      </c>
      <c r="F528" s="45" t="n">
        <v>0.0013</v>
      </c>
    </row>
    <row r="529">
      <c r="A529" s="28" t="inlineStr">
        <is>
          <t>HF_ANACORTES</t>
        </is>
      </c>
      <c r="B529" s="28" t="n">
        <v>5</v>
      </c>
      <c r="C529" s="28" t="inlineStr">
        <is>
          <t>Alaska North Slope</t>
        </is>
      </c>
      <c r="D529" s="28" t="inlineStr">
        <is>
          <t>US (Alaska)</t>
        </is>
      </c>
      <c r="E529" s="28" t="n">
        <v>2024</v>
      </c>
      <c r="F529" s="45" t="n">
        <v>0.5182</v>
      </c>
    </row>
    <row r="530">
      <c r="A530" s="28" t="inlineStr">
        <is>
          <t>HF_ANACORTES</t>
        </is>
      </c>
      <c r="B530" s="28" t="n">
        <v>5</v>
      </c>
      <c r="C530" s="28" t="inlineStr">
        <is>
          <t>Tight Oil Canada Saskatchewan Midale</t>
        </is>
      </c>
      <c r="D530" s="28" t="inlineStr">
        <is>
          <t>Canada (Saskatchewan)</t>
        </is>
      </c>
      <c r="E530" s="28" t="n">
        <v>2024</v>
      </c>
      <c r="F530" s="45" t="n">
        <v>0.2321</v>
      </c>
    </row>
    <row r="531">
      <c r="A531" s="28" t="inlineStr">
        <is>
          <t>HF_ANACORTES</t>
        </is>
      </c>
      <c r="B531" s="28" t="n">
        <v>5</v>
      </c>
      <c r="C531" s="28" t="inlineStr">
        <is>
          <t>Oil Sands Synthetic</t>
        </is>
      </c>
      <c r="D531" s="28" t="inlineStr">
        <is>
          <t>Canada (Oil Sands)</t>
        </is>
      </c>
      <c r="E531" s="28" t="n">
        <v>2024</v>
      </c>
      <c r="F531" s="45" t="n">
        <v>0.214</v>
      </c>
    </row>
    <row r="532">
      <c r="A532" s="28" t="inlineStr">
        <is>
          <t>HF_ANACORTES</t>
        </is>
      </c>
      <c r="B532" s="28" t="n">
        <v>5</v>
      </c>
      <c r="C532" s="28" t="inlineStr">
        <is>
          <t>Light Sour Blend</t>
        </is>
      </c>
      <c r="D532" s="28" t="inlineStr">
        <is>
          <t>Canada</t>
        </is>
      </c>
      <c r="E532" s="28" t="n">
        <v>2024</v>
      </c>
      <c r="F532" s="45" t="n">
        <v>0.0163</v>
      </c>
    </row>
    <row r="533">
      <c r="A533" s="28" t="inlineStr">
        <is>
          <t>HF_ANACORTES</t>
        </is>
      </c>
      <c r="B533" s="28" t="n">
        <v>5</v>
      </c>
      <c r="C533" s="28" t="inlineStr">
        <is>
          <t>Pembina</t>
        </is>
      </c>
      <c r="D533" s="28" t="inlineStr">
        <is>
          <t>Canada</t>
        </is>
      </c>
      <c r="E533" s="28" t="n">
        <v>2024</v>
      </c>
      <c r="F533" s="45" t="n">
        <v>0.0131</v>
      </c>
    </row>
    <row r="534">
      <c r="A534" s="28" t="inlineStr">
        <is>
          <t>HF_ANACORTES</t>
        </is>
      </c>
      <c r="B534" s="28" t="n">
        <v>5</v>
      </c>
      <c r="C534" s="28" t="inlineStr">
        <is>
          <t>Domestic NGL British Columbia Canada</t>
        </is>
      </c>
      <c r="D534" s="28" t="inlineStr">
        <is>
          <t>Canada (British Columbia)</t>
        </is>
      </c>
      <c r="E534" s="28" t="n">
        <v>2024</v>
      </c>
      <c r="F534" s="45" t="n">
        <v>0.0036</v>
      </c>
    </row>
    <row r="535">
      <c r="A535" s="28" t="inlineStr">
        <is>
          <t>HF_ANACORTES</t>
        </is>
      </c>
      <c r="B535" s="28" t="n">
        <v>5</v>
      </c>
      <c r="C535" s="28" t="inlineStr">
        <is>
          <t>Domestic Oil Alberta Canada</t>
        </is>
      </c>
      <c r="D535" s="28" t="inlineStr">
        <is>
          <t>Canada (Alberta)</t>
        </is>
      </c>
      <c r="E535" s="28" t="n">
        <v>2024</v>
      </c>
      <c r="F535" s="45" t="n">
        <v>0.0016</v>
      </c>
    </row>
    <row r="536">
      <c r="A536" s="28" t="inlineStr">
        <is>
          <t>HF_ANACORTES</t>
        </is>
      </c>
      <c r="B536" s="28" t="n">
        <v>5</v>
      </c>
      <c r="C536" s="28" t="inlineStr">
        <is>
          <t>Mixed Sweet Blend</t>
        </is>
      </c>
      <c r="D536" s="28" t="inlineStr">
        <is>
          <t>Canada</t>
        </is>
      </c>
      <c r="E536" s="28" t="n">
        <v>2024</v>
      </c>
      <c r="F536" s="45" t="n">
        <v>0.0011</v>
      </c>
    </row>
    <row r="537">
      <c r="A537" s="28" t="inlineStr">
        <is>
          <t>MARATHON_ANACORTES</t>
        </is>
      </c>
      <c r="B537" s="28" t="n">
        <v>5</v>
      </c>
      <c r="C537" s="28" t="inlineStr">
        <is>
          <t>Bakken</t>
        </is>
      </c>
      <c r="D537" s="28" t="inlineStr">
        <is>
          <t>United States</t>
        </is>
      </c>
      <c r="E537" s="28" t="n">
        <v>2024</v>
      </c>
      <c r="F537" s="45" t="n">
        <v>0.3561</v>
      </c>
    </row>
    <row r="538">
      <c r="A538" s="28" t="inlineStr">
        <is>
          <t>MARATHON_ANACORTES</t>
        </is>
      </c>
      <c r="B538" s="28" t="n">
        <v>5</v>
      </c>
      <c r="C538" s="28" t="inlineStr">
        <is>
          <t>Domestic NGL British Columbia Canada</t>
        </is>
      </c>
      <c r="D538" s="28" t="inlineStr">
        <is>
          <t>Canada (British Columbia)</t>
        </is>
      </c>
      <c r="E538" s="28" t="n">
        <v>2024</v>
      </c>
      <c r="F538" s="45" t="n">
        <v>0.3227</v>
      </c>
    </row>
    <row r="539">
      <c r="A539" s="28" t="inlineStr">
        <is>
          <t>MARATHON_ANACORTES</t>
        </is>
      </c>
      <c r="B539" s="28" t="n">
        <v>5</v>
      </c>
      <c r="C539" s="28" t="inlineStr">
        <is>
          <t>Hebron/Ben Nevis</t>
        </is>
      </c>
      <c r="D539" s="28" t="inlineStr">
        <is>
          <t>Canada (East Coast)</t>
        </is>
      </c>
      <c r="E539" s="28" t="n">
        <v>2024</v>
      </c>
      <c r="F539" s="45" t="n">
        <v>0.216</v>
      </c>
    </row>
    <row r="540">
      <c r="A540" s="28" t="inlineStr">
        <is>
          <t>MARATHON_ANACORTES</t>
        </is>
      </c>
      <c r="B540" s="28" t="n">
        <v>5</v>
      </c>
      <c r="C540" s="28" t="inlineStr">
        <is>
          <t>Tight Oil Argentina</t>
        </is>
      </c>
      <c r="D540" s="28" t="inlineStr">
        <is>
          <t>Argentina</t>
        </is>
      </c>
      <c r="E540" s="28" t="n">
        <v>2024</v>
      </c>
      <c r="F540" s="45" t="n">
        <v>0.0924</v>
      </c>
    </row>
    <row r="541">
      <c r="A541" s="28" t="inlineStr">
        <is>
          <t>MARATHON_ANACORTES</t>
        </is>
      </c>
      <c r="B541" s="28" t="n">
        <v>5</v>
      </c>
      <c r="C541" s="28" t="inlineStr">
        <is>
          <t>Domestic Oil Other Argentina</t>
        </is>
      </c>
      <c r="D541" s="28" t="inlineStr">
        <is>
          <t>Argentina</t>
        </is>
      </c>
      <c r="E541" s="28" t="n">
        <v>2024</v>
      </c>
      <c r="F541" s="45" t="n">
        <v>0.01</v>
      </c>
    </row>
    <row r="542">
      <c r="A542" s="28" t="inlineStr">
        <is>
          <t>MARATHON_ANACORTES</t>
        </is>
      </c>
      <c r="B542" s="28" t="n">
        <v>5</v>
      </c>
      <c r="C542" s="28" t="inlineStr">
        <is>
          <t>Oil Sands Synthetic</t>
        </is>
      </c>
      <c r="D542" s="28" t="inlineStr">
        <is>
          <t>Canada (Oil Sands)</t>
        </is>
      </c>
      <c r="E542" s="28" t="n">
        <v>2024</v>
      </c>
      <c r="F542" s="45" t="n">
        <v>0.0028</v>
      </c>
    </row>
    <row r="543">
      <c r="A543" s="28" t="inlineStr">
        <is>
          <t>MARATHON_NIKISKI</t>
        </is>
      </c>
      <c r="B543" s="28" t="n">
        <v>5</v>
      </c>
      <c r="C543" s="28" t="inlineStr">
        <is>
          <t>Alaska North Slope</t>
        </is>
      </c>
      <c r="D543" s="28" t="inlineStr">
        <is>
          <t>US (Alaska)</t>
        </is>
      </c>
      <c r="E543" s="28" t="n">
        <v>2024</v>
      </c>
      <c r="F543" s="45" t="n">
        <v>0.6898000000000001</v>
      </c>
    </row>
    <row r="544">
      <c r="A544" s="28" t="inlineStr">
        <is>
          <t>MARATHON_NIKISKI</t>
        </is>
      </c>
      <c r="B544" s="28" t="n">
        <v>5</v>
      </c>
      <c r="C544" s="28" t="inlineStr">
        <is>
          <t>Cook Inlet</t>
        </is>
      </c>
      <c r="D544" s="28" t="inlineStr">
        <is>
          <t>US (Alaska)</t>
        </is>
      </c>
      <c r="E544" s="28" t="n">
        <v>2024</v>
      </c>
      <c r="F544" s="45" t="n">
        <v>0.2966</v>
      </c>
    </row>
    <row r="545">
      <c r="A545" s="28" t="inlineStr">
        <is>
          <t>MARATHON_NIKISKI</t>
        </is>
      </c>
      <c r="B545" s="28" t="n">
        <v>5</v>
      </c>
      <c r="C545" s="28" t="inlineStr">
        <is>
          <t>Oil Sands Synthetic</t>
        </is>
      </c>
      <c r="D545" s="28" t="inlineStr">
        <is>
          <t>Canada (Oil Sands)</t>
        </is>
      </c>
      <c r="E545" s="28" t="n">
        <v>2024</v>
      </c>
      <c r="F545" s="45" t="n">
        <v>0.0136</v>
      </c>
    </row>
    <row r="546">
      <c r="A546" s="28" t="inlineStr">
        <is>
          <t>PAR_EWA_BEACH</t>
        </is>
      </c>
      <c r="B546" s="28" t="n">
        <v>5</v>
      </c>
      <c r="C546" s="28" t="inlineStr">
        <is>
          <t>Alaska North Slope</t>
        </is>
      </c>
      <c r="D546" s="28" t="inlineStr">
        <is>
          <t>US (Alaska)</t>
        </is>
      </c>
      <c r="E546" s="28" t="n">
        <v>2024</v>
      </c>
      <c r="F546" s="45" t="n">
        <v>0.7716</v>
      </c>
    </row>
    <row r="547">
      <c r="A547" s="28" t="inlineStr">
        <is>
          <t>PAR_EWA_BEACH</t>
        </is>
      </c>
      <c r="B547" s="28" t="n">
        <v>5</v>
      </c>
      <c r="C547" s="28" t="inlineStr">
        <is>
          <t>Amna</t>
        </is>
      </c>
      <c r="D547" s="28" t="inlineStr">
        <is>
          <t>Libya</t>
        </is>
      </c>
      <c r="E547" s="28" t="n">
        <v>2024</v>
      </c>
      <c r="F547" s="45" t="n">
        <v>0.0698</v>
      </c>
    </row>
    <row r="548">
      <c r="A548" s="28" t="inlineStr">
        <is>
          <t>PAR_EWA_BEACH</t>
        </is>
      </c>
      <c r="B548" s="28" t="n">
        <v>5</v>
      </c>
      <c r="C548" s="28" t="inlineStr">
        <is>
          <t>Tight Oil Argentina</t>
        </is>
      </c>
      <c r="D548" s="28" t="inlineStr">
        <is>
          <t>Argentina</t>
        </is>
      </c>
      <c r="E548" s="28" t="n">
        <v>2024</v>
      </c>
      <c r="F548" s="45" t="n">
        <v>0.0441</v>
      </c>
    </row>
    <row r="549">
      <c r="A549" s="28" t="inlineStr">
        <is>
          <t>PAR_EWA_BEACH</t>
        </is>
      </c>
      <c r="B549" s="28" t="n">
        <v>5</v>
      </c>
      <c r="C549" s="28" t="inlineStr">
        <is>
          <t>Saharan Blend</t>
        </is>
      </c>
      <c r="D549" s="28" t="inlineStr">
        <is>
          <t>Algeria</t>
        </is>
      </c>
      <c r="E549" s="28" t="n">
        <v>2024</v>
      </c>
      <c r="F549" s="45" t="n">
        <v>0.0352</v>
      </c>
    </row>
    <row r="550">
      <c r="A550" s="28" t="inlineStr">
        <is>
          <t>PAR_EWA_BEACH</t>
        </is>
      </c>
      <c r="B550" s="28" t="n">
        <v>5</v>
      </c>
      <c r="C550" s="28" t="inlineStr">
        <is>
          <t>Cañadón Seco</t>
        </is>
      </c>
      <c r="D550" s="28" t="inlineStr">
        <is>
          <t>Argentina</t>
        </is>
      </c>
      <c r="E550" s="28" t="n">
        <v>2024</v>
      </c>
      <c r="F550" s="45" t="n">
        <v>0.0343</v>
      </c>
    </row>
    <row r="551">
      <c r="A551" s="28" t="inlineStr">
        <is>
          <t>PAR_EWA_BEACH</t>
        </is>
      </c>
      <c r="B551" s="28" t="n">
        <v>5</v>
      </c>
      <c r="C551" s="28" t="inlineStr">
        <is>
          <t>Agbami-Ekoli Condensate</t>
        </is>
      </c>
      <c r="D551" s="28" t="inlineStr">
        <is>
          <t>Nigeria</t>
        </is>
      </c>
      <c r="E551" s="28" t="n">
        <v>2024</v>
      </c>
      <c r="F551" s="45" t="n">
        <v>0.0333</v>
      </c>
    </row>
    <row r="552">
      <c r="A552" s="28" t="inlineStr">
        <is>
          <t>PAR_EWA_BEACH</t>
        </is>
      </c>
      <c r="B552" s="28" t="n">
        <v>5</v>
      </c>
      <c r="C552" s="28" t="inlineStr">
        <is>
          <t>Okono-Okpoho</t>
        </is>
      </c>
      <c r="D552" s="28" t="inlineStr">
        <is>
          <t>Nigeria</t>
        </is>
      </c>
      <c r="E552" s="28" t="n">
        <v>2024</v>
      </c>
      <c r="F552" s="45" t="n">
        <v>0.008800000000000001</v>
      </c>
    </row>
    <row r="553">
      <c r="A553" s="28" t="inlineStr">
        <is>
          <t>PAR_EWA_BEACH</t>
        </is>
      </c>
      <c r="B553" s="28" t="n">
        <v>5</v>
      </c>
      <c r="C553" s="28" t="inlineStr">
        <is>
          <t>Domestic NGL Argentina</t>
        </is>
      </c>
      <c r="D553" s="28" t="inlineStr">
        <is>
          <t>Argentina</t>
        </is>
      </c>
      <c r="E553" s="28" t="n">
        <v>2024</v>
      </c>
      <c r="F553" s="45" t="n">
        <v>0.0029</v>
      </c>
    </row>
    <row r="554">
      <c r="A554" s="28" t="inlineStr">
        <is>
          <t>PBF_MARTINEZ</t>
        </is>
      </c>
      <c r="B554" s="28" t="n">
        <v>5</v>
      </c>
      <c r="C554" s="28" t="inlineStr">
        <is>
          <t>San Joaquin Valley Lt</t>
        </is>
      </c>
      <c r="D554" s="28" t="inlineStr">
        <is>
          <t>United States</t>
        </is>
      </c>
      <c r="E554" s="28" t="n">
        <v>2024</v>
      </c>
      <c r="F554" s="45" t="n">
        <v>0.3719</v>
      </c>
    </row>
    <row r="555">
      <c r="A555" s="28" t="inlineStr">
        <is>
          <t>PBF_MARTINEZ</t>
        </is>
      </c>
      <c r="B555" s="28" t="n">
        <v>5</v>
      </c>
      <c r="C555" s="28" t="inlineStr">
        <is>
          <t>Oriente</t>
        </is>
      </c>
      <c r="D555" s="28" t="inlineStr">
        <is>
          <t>Ecuador</t>
        </is>
      </c>
      <c r="E555" s="28" t="n">
        <v>2024</v>
      </c>
      <c r="F555" s="45" t="n">
        <v>0.177</v>
      </c>
    </row>
    <row r="556">
      <c r="A556" s="28" t="inlineStr">
        <is>
          <t>PBF_MARTINEZ</t>
        </is>
      </c>
      <c r="B556" s="28" t="n">
        <v>5</v>
      </c>
      <c r="C556" s="28" t="inlineStr">
        <is>
          <t>Lula</t>
        </is>
      </c>
      <c r="D556" s="28" t="inlineStr">
        <is>
          <t>Brazil</t>
        </is>
      </c>
      <c r="E556" s="28" t="n">
        <v>2024</v>
      </c>
      <c r="F556" s="45" t="n">
        <v>0.1183</v>
      </c>
    </row>
    <row r="557">
      <c r="A557" s="28" t="inlineStr">
        <is>
          <t>PBF_MARTINEZ</t>
        </is>
      </c>
      <c r="B557" s="28" t="n">
        <v>5</v>
      </c>
      <c r="C557" s="28" t="inlineStr">
        <is>
          <t>Napo</t>
        </is>
      </c>
      <c r="D557" s="28" t="inlineStr">
        <is>
          <t>Ecuador</t>
        </is>
      </c>
      <c r="E557" s="28" t="n">
        <v>2024</v>
      </c>
      <c r="F557" s="45" t="n">
        <v>0.1008</v>
      </c>
    </row>
    <row r="558">
      <c r="A558" s="28" t="inlineStr">
        <is>
          <t>PBF_MARTINEZ</t>
        </is>
      </c>
      <c r="B558" s="28" t="n">
        <v>5</v>
      </c>
      <c r="C558" s="28" t="inlineStr">
        <is>
          <t>Marlim</t>
        </is>
      </c>
      <c r="D558" s="28" t="inlineStr">
        <is>
          <t>Brazil</t>
        </is>
      </c>
      <c r="E558" s="28" t="n">
        <v>2024</v>
      </c>
      <c r="F558" s="45" t="n">
        <v>0.0506</v>
      </c>
    </row>
    <row r="559">
      <c r="A559" s="28" t="inlineStr">
        <is>
          <t>PBF_MARTINEZ</t>
        </is>
      </c>
      <c r="B559" s="28" t="n">
        <v>5</v>
      </c>
      <c r="C559" s="28" t="inlineStr">
        <is>
          <t>Sapinhoa</t>
        </is>
      </c>
      <c r="D559" s="28" t="inlineStr">
        <is>
          <t>Brazil</t>
        </is>
      </c>
      <c r="E559" s="28" t="n">
        <v>2024</v>
      </c>
      <c r="F559" s="45" t="n">
        <v>0.04219999999999999</v>
      </c>
    </row>
    <row r="560">
      <c r="A560" s="28" t="inlineStr">
        <is>
          <t>PBF_MARTINEZ</t>
        </is>
      </c>
      <c r="B560" s="28" t="n">
        <v>5</v>
      </c>
      <c r="C560" s="28" t="inlineStr">
        <is>
          <t>Buzios</t>
        </is>
      </c>
      <c r="D560" s="28" t="inlineStr">
        <is>
          <t>Brazil</t>
        </is>
      </c>
      <c r="E560" s="28" t="n">
        <v>2024</v>
      </c>
      <c r="F560" s="45" t="n">
        <v>0.04019999999999999</v>
      </c>
    </row>
    <row r="561">
      <c r="A561" s="28" t="inlineStr">
        <is>
          <t>PBF_MARTINEZ</t>
        </is>
      </c>
      <c r="B561" s="28" t="n">
        <v>5</v>
      </c>
      <c r="C561" s="28" t="inlineStr">
        <is>
          <t>Oil Sands Synthetic</t>
        </is>
      </c>
      <c r="D561" s="28" t="inlineStr">
        <is>
          <t>Canada (Oil Sands)</t>
        </is>
      </c>
      <c r="E561" s="28" t="n">
        <v>2024</v>
      </c>
      <c r="F561" s="45" t="n">
        <v>0.0272</v>
      </c>
    </row>
    <row r="562">
      <c r="A562" s="28" t="inlineStr">
        <is>
          <t>PBF_MARTINEZ</t>
        </is>
      </c>
      <c r="B562" s="28" t="n">
        <v>5</v>
      </c>
      <c r="C562" s="28" t="inlineStr">
        <is>
          <t>Cold Lake</t>
        </is>
      </c>
      <c r="D562" s="28" t="inlineStr">
        <is>
          <t>Canada (Oil Sands)</t>
        </is>
      </c>
      <c r="E562" s="28" t="n">
        <v>2024</v>
      </c>
      <c r="F562" s="45" t="n">
        <v>0.0267</v>
      </c>
    </row>
    <row r="563">
      <c r="A563" s="28" t="inlineStr">
        <is>
          <t>PBF_MARTINEZ</t>
        </is>
      </c>
      <c r="B563" s="28" t="n">
        <v>5</v>
      </c>
      <c r="C563" s="28" t="inlineStr">
        <is>
          <t>San Joaquin Valley Hvy</t>
        </is>
      </c>
      <c r="D563" s="28" t="inlineStr">
        <is>
          <t>United States</t>
        </is>
      </c>
      <c r="E563" s="28" t="n">
        <v>2024</v>
      </c>
      <c r="F563" s="45" t="n">
        <v>0.0252</v>
      </c>
    </row>
    <row r="564">
      <c r="A564" s="28" t="inlineStr">
        <is>
          <t>PBF_MARTINEZ</t>
        </is>
      </c>
      <c r="B564" s="28" t="n">
        <v>5</v>
      </c>
      <c r="C564" s="28" t="inlineStr">
        <is>
          <t>Sergipano Terra</t>
        </is>
      </c>
      <c r="D564" s="28" t="inlineStr">
        <is>
          <t>Brazil</t>
        </is>
      </c>
      <c r="E564" s="28" t="n">
        <v>2024</v>
      </c>
      <c r="F564" s="45" t="n">
        <v>0.0107</v>
      </c>
    </row>
    <row r="565">
      <c r="A565" s="28" t="inlineStr">
        <is>
          <t>PBF_MARTINEZ</t>
        </is>
      </c>
      <c r="B565" s="28" t="n">
        <v>5</v>
      </c>
      <c r="C565" s="28" t="inlineStr">
        <is>
          <t>Lloyd Blend</t>
        </is>
      </c>
      <c r="D565" s="28" t="inlineStr">
        <is>
          <t>United States</t>
        </is>
      </c>
      <c r="E565" s="28" t="n">
        <v>2024</v>
      </c>
      <c r="F565" s="45" t="n">
        <v>0.0092</v>
      </c>
    </row>
    <row r="566">
      <c r="A566" s="28" t="inlineStr">
        <is>
          <t>PBF_TORRANCE</t>
        </is>
      </c>
      <c r="B566" s="28" t="n">
        <v>5</v>
      </c>
      <c r="C566" s="28" t="inlineStr">
        <is>
          <t>San Joaquin Valley Hvy</t>
        </is>
      </c>
      <c r="D566" s="28" t="inlineStr">
        <is>
          <t>United States</t>
        </is>
      </c>
      <c r="E566" s="28" t="n">
        <v>2024</v>
      </c>
      <c r="F566" s="45" t="n">
        <v>0.386</v>
      </c>
    </row>
    <row r="567">
      <c r="A567" s="28" t="inlineStr">
        <is>
          <t>PBF_TORRANCE</t>
        </is>
      </c>
      <c r="B567" s="28" t="n">
        <v>5</v>
      </c>
      <c r="C567" s="28" t="inlineStr">
        <is>
          <t>San Joaquin Valley Lt</t>
        </is>
      </c>
      <c r="D567" s="28" t="inlineStr">
        <is>
          <t>United States</t>
        </is>
      </c>
      <c r="E567" s="28" t="n">
        <v>2024</v>
      </c>
      <c r="F567" s="45" t="n">
        <v>0.1802</v>
      </c>
    </row>
    <row r="568">
      <c r="A568" s="28" t="inlineStr">
        <is>
          <t>PBF_TORRANCE</t>
        </is>
      </c>
      <c r="B568" s="28" t="n">
        <v>5</v>
      </c>
      <c r="C568" s="28" t="inlineStr">
        <is>
          <t>Napo</t>
        </is>
      </c>
      <c r="D568" s="28" t="inlineStr">
        <is>
          <t>Ecuador</t>
        </is>
      </c>
      <c r="E568" s="28" t="n">
        <v>2024</v>
      </c>
      <c r="F568" s="45" t="n">
        <v>0.1111</v>
      </c>
    </row>
    <row r="569">
      <c r="A569" s="28" t="inlineStr">
        <is>
          <t>PBF_TORRANCE</t>
        </is>
      </c>
      <c r="B569" s="28" t="n">
        <v>5</v>
      </c>
      <c r="C569" s="28" t="inlineStr">
        <is>
          <t>Lula</t>
        </is>
      </c>
      <c r="D569" s="28" t="inlineStr">
        <is>
          <t>Brazil</t>
        </is>
      </c>
      <c r="E569" s="28" t="n">
        <v>2024</v>
      </c>
      <c r="F569" s="45" t="n">
        <v>0.0968</v>
      </c>
    </row>
    <row r="570">
      <c r="A570" s="28" t="inlineStr">
        <is>
          <t>PBF_TORRANCE</t>
        </is>
      </c>
      <c r="B570" s="28" t="n">
        <v>5</v>
      </c>
      <c r="C570" s="28" t="inlineStr">
        <is>
          <t>Sapinhoa</t>
        </is>
      </c>
      <c r="D570" s="28" t="inlineStr">
        <is>
          <t>Brazil</t>
        </is>
      </c>
      <c r="E570" s="28" t="n">
        <v>2024</v>
      </c>
      <c r="F570" s="45" t="n">
        <v>0.0944</v>
      </c>
    </row>
    <row r="571">
      <c r="A571" s="28" t="inlineStr">
        <is>
          <t>PBF_TORRANCE</t>
        </is>
      </c>
      <c r="B571" s="28" t="n">
        <v>5</v>
      </c>
      <c r="C571" s="28" t="inlineStr">
        <is>
          <t>Oriente</t>
        </is>
      </c>
      <c r="D571" s="28" t="inlineStr">
        <is>
          <t>Ecuador</t>
        </is>
      </c>
      <c r="E571" s="28" t="n">
        <v>2024</v>
      </c>
      <c r="F571" s="45" t="n">
        <v>0.0673</v>
      </c>
    </row>
    <row r="572">
      <c r="A572" s="28" t="inlineStr">
        <is>
          <t>PBF_TORRANCE</t>
        </is>
      </c>
      <c r="B572" s="28" t="n">
        <v>5</v>
      </c>
      <c r="C572" s="28" t="inlineStr">
        <is>
          <t>Marlim</t>
        </is>
      </c>
      <c r="D572" s="28" t="inlineStr">
        <is>
          <t>Brazil</t>
        </is>
      </c>
      <c r="E572" s="28" t="n">
        <v>2024</v>
      </c>
      <c r="F572" s="45" t="n">
        <v>0.0192</v>
      </c>
    </row>
    <row r="573">
      <c r="A573" s="28" t="inlineStr">
        <is>
          <t>PBF_TORRANCE</t>
        </is>
      </c>
      <c r="B573" s="28" t="n">
        <v>5</v>
      </c>
      <c r="C573" s="28" t="inlineStr">
        <is>
          <t>Loreto</t>
        </is>
      </c>
      <c r="D573" s="28" t="inlineStr">
        <is>
          <t>Peru</t>
        </is>
      </c>
      <c r="E573" s="28" t="n">
        <v>2024</v>
      </c>
      <c r="F573" s="45" t="n">
        <v>0.0143</v>
      </c>
    </row>
    <row r="574">
      <c r="A574" s="28" t="inlineStr">
        <is>
          <t>PBF_TORRANCE</t>
        </is>
      </c>
      <c r="B574" s="28" t="n">
        <v>5</v>
      </c>
      <c r="C574" s="28" t="inlineStr">
        <is>
          <t>Pt. Arguello</t>
        </is>
      </c>
      <c r="D574" s="28" t="inlineStr">
        <is>
          <t>United States</t>
        </is>
      </c>
      <c r="E574" s="28" t="n">
        <v>2024</v>
      </c>
      <c r="F574" s="45" t="n">
        <v>0.0127</v>
      </c>
    </row>
    <row r="575">
      <c r="A575" s="28" t="inlineStr">
        <is>
          <t>PBF_TORRANCE</t>
        </is>
      </c>
      <c r="B575" s="28" t="n">
        <v>5</v>
      </c>
      <c r="C575" s="28" t="inlineStr">
        <is>
          <t>Vasconia</t>
        </is>
      </c>
      <c r="D575" s="28" t="inlineStr">
        <is>
          <t>Colombia</t>
        </is>
      </c>
      <c r="E575" s="28" t="n">
        <v>2024</v>
      </c>
      <c r="F575" s="45" t="n">
        <v>0.0107</v>
      </c>
    </row>
    <row r="576">
      <c r="A576" s="28" t="inlineStr">
        <is>
          <t>PBF_TORRANCE</t>
        </is>
      </c>
      <c r="B576" s="28" t="n">
        <v>5</v>
      </c>
      <c r="C576" s="28" t="inlineStr">
        <is>
          <t>Cold Lake</t>
        </is>
      </c>
      <c r="D576" s="28" t="inlineStr">
        <is>
          <t>Canada (Oil Sands)</t>
        </is>
      </c>
      <c r="E576" s="28" t="n">
        <v>2024</v>
      </c>
      <c r="F576" s="45" t="n">
        <v>0.0033</v>
      </c>
    </row>
    <row r="577">
      <c r="A577" s="28" t="inlineStr">
        <is>
          <t>PBF_TORRANCE</t>
        </is>
      </c>
      <c r="B577" s="28" t="n">
        <v>5</v>
      </c>
      <c r="C577" s="28" t="inlineStr">
        <is>
          <t>Lloyd Blend</t>
        </is>
      </c>
      <c r="D577" s="28" t="inlineStr">
        <is>
          <t>United States</t>
        </is>
      </c>
      <c r="E577" s="28" t="n">
        <v>2024</v>
      </c>
      <c r="F577" s="45" t="n">
        <v>0.0032</v>
      </c>
    </row>
    <row r="578">
      <c r="A578" s="28" t="inlineStr">
        <is>
          <t>PBF_TORRANCE</t>
        </is>
      </c>
      <c r="B578" s="28" t="n">
        <v>5</v>
      </c>
      <c r="C578" s="28" t="inlineStr">
        <is>
          <t>Oil Sands Synthetic</t>
        </is>
      </c>
      <c r="D578" s="28" t="inlineStr">
        <is>
          <t>Canada (Oil Sands)</t>
        </is>
      </c>
      <c r="E578" s="28" t="n">
        <v>2024</v>
      </c>
      <c r="F578" s="45" t="n">
        <v>0.0008</v>
      </c>
    </row>
    <row r="579">
      <c r="A579" s="28" t="inlineStr">
        <is>
          <t>PETRO_NORTH_POLE</t>
        </is>
      </c>
      <c r="B579" s="28" t="n">
        <v>5</v>
      </c>
      <c r="C579" s="28" t="inlineStr">
        <is>
          <t>Alaska North Slope</t>
        </is>
      </c>
      <c r="D579" s="28" t="inlineStr">
        <is>
          <t>US (Alaska)</t>
        </is>
      </c>
      <c r="E579" s="28" t="n">
        <v>2014</v>
      </c>
      <c r="F579" s="45" t="n">
        <v>1</v>
      </c>
    </row>
    <row r="580">
      <c r="A580" s="28" t="inlineStr">
        <is>
          <t>PHILLIPS_FERNDALE</t>
        </is>
      </c>
      <c r="B580" s="28" t="n">
        <v>5</v>
      </c>
      <c r="C580" s="28" t="inlineStr">
        <is>
          <t>Oil Sands Synthetic</t>
        </is>
      </c>
      <c r="D580" s="28" t="inlineStr">
        <is>
          <t>Canada (Oil Sands)</t>
        </is>
      </c>
      <c r="E580" s="28" t="n">
        <v>2024</v>
      </c>
      <c r="F580" s="45" t="n">
        <v>0.6068</v>
      </c>
    </row>
    <row r="581">
      <c r="A581" s="28" t="inlineStr">
        <is>
          <t>PHILLIPS_FERNDALE</t>
        </is>
      </c>
      <c r="B581" s="28" t="n">
        <v>5</v>
      </c>
      <c r="C581" s="28" t="inlineStr">
        <is>
          <t>Bakken</t>
        </is>
      </c>
      <c r="D581" s="28" t="inlineStr">
        <is>
          <t>United States</t>
        </is>
      </c>
      <c r="E581" s="28" t="n">
        <v>2024</v>
      </c>
      <c r="F581" s="45" t="n">
        <v>0.1946</v>
      </c>
    </row>
    <row r="582">
      <c r="A582" s="28" t="inlineStr">
        <is>
          <t>PHILLIPS_FERNDALE</t>
        </is>
      </c>
      <c r="B582" s="28" t="n">
        <v>5</v>
      </c>
      <c r="C582" s="28" t="inlineStr">
        <is>
          <t>Alaska North Slope</t>
        </is>
      </c>
      <c r="D582" s="28" t="inlineStr">
        <is>
          <t>US (Alaska)</t>
        </is>
      </c>
      <c r="E582" s="28" t="n">
        <v>2024</v>
      </c>
      <c r="F582" s="45" t="n">
        <v>0.126</v>
      </c>
    </row>
    <row r="583">
      <c r="A583" s="28" t="inlineStr">
        <is>
          <t>PHILLIPS_FERNDALE</t>
        </is>
      </c>
      <c r="B583" s="28" t="n">
        <v>5</v>
      </c>
      <c r="C583" s="28" t="inlineStr">
        <is>
          <t>Tight Oil Argentina</t>
        </is>
      </c>
      <c r="D583" s="28" t="inlineStr">
        <is>
          <t>Argentina</t>
        </is>
      </c>
      <c r="E583" s="28" t="n">
        <v>2024</v>
      </c>
      <c r="F583" s="45" t="n">
        <v>0.0206</v>
      </c>
    </row>
    <row r="584">
      <c r="A584" s="28" t="inlineStr">
        <is>
          <t>PHILLIPS_FERNDALE</t>
        </is>
      </c>
      <c r="B584" s="28" t="n">
        <v>5</v>
      </c>
      <c r="C584" s="28" t="inlineStr">
        <is>
          <t>Western Canadian Select</t>
        </is>
      </c>
      <c r="D584" s="28" t="inlineStr">
        <is>
          <t>Canada</t>
        </is>
      </c>
      <c r="E584" s="28" t="n">
        <v>2024</v>
      </c>
      <c r="F584" s="45" t="n">
        <v>0.0204</v>
      </c>
    </row>
    <row r="585">
      <c r="A585" s="28" t="inlineStr">
        <is>
          <t>PHILLIPS_FERNDALE</t>
        </is>
      </c>
      <c r="B585" s="28" t="n">
        <v>5</v>
      </c>
      <c r="C585" s="28" t="inlineStr">
        <is>
          <t>Albian Heavy Synthetic</t>
        </is>
      </c>
      <c r="D585" s="28" t="inlineStr">
        <is>
          <t>Canada (Saskatchewan)</t>
        </is>
      </c>
      <c r="E585" s="28" t="n">
        <v>2024</v>
      </c>
      <c r="F585" s="45" t="n">
        <v>0.0168</v>
      </c>
    </row>
    <row r="586">
      <c r="A586" s="28" t="inlineStr">
        <is>
          <t>PHILLIPS_FERNDALE</t>
        </is>
      </c>
      <c r="B586" s="28" t="n">
        <v>5</v>
      </c>
      <c r="C586" s="28" t="inlineStr">
        <is>
          <t>Pembina</t>
        </is>
      </c>
      <c r="D586" s="28" t="inlineStr">
        <is>
          <t>Canada</t>
        </is>
      </c>
      <c r="E586" s="28" t="n">
        <v>2024</v>
      </c>
      <c r="F586" s="45" t="n">
        <v>0.0063</v>
      </c>
    </row>
    <row r="587">
      <c r="A587" s="28" t="inlineStr">
        <is>
          <t>PHILLIPS_FERNDALE</t>
        </is>
      </c>
      <c r="B587" s="28" t="n">
        <v>5</v>
      </c>
      <c r="C587" s="28" t="inlineStr">
        <is>
          <t>Domestic NGL British Columbia Canada</t>
        </is>
      </c>
      <c r="D587" s="28" t="inlineStr">
        <is>
          <t>Canada (British Columbia)</t>
        </is>
      </c>
      <c r="E587" s="28" t="n">
        <v>2024</v>
      </c>
      <c r="F587" s="45" t="n">
        <v>0.004500000000000001</v>
      </c>
    </row>
    <row r="588">
      <c r="A588" s="28" t="inlineStr">
        <is>
          <t>PHILLIPS_FERNDALE</t>
        </is>
      </c>
      <c r="B588" s="28" t="n">
        <v>5</v>
      </c>
      <c r="C588" s="28" t="inlineStr">
        <is>
          <t>Mixed Sweet Blend</t>
        </is>
      </c>
      <c r="D588" s="28" t="inlineStr">
        <is>
          <t>Canada</t>
        </is>
      </c>
      <c r="E588" s="28" t="n">
        <v>2024</v>
      </c>
      <c r="F588" s="45" t="n">
        <v>0.0036</v>
      </c>
    </row>
    <row r="589">
      <c r="A589" s="28" t="inlineStr">
        <is>
          <t>PHILLIPS_FERNDALE</t>
        </is>
      </c>
      <c r="B589" s="28" t="n">
        <v>5</v>
      </c>
      <c r="C589" s="28" t="inlineStr">
        <is>
          <t>Milk River</t>
        </is>
      </c>
      <c r="D589" s="28" t="inlineStr">
        <is>
          <t>Canada</t>
        </is>
      </c>
      <c r="E589" s="28" t="n">
        <v>2024</v>
      </c>
      <c r="F589" s="45" t="n">
        <v>0.0004</v>
      </c>
    </row>
    <row r="590">
      <c r="A590" s="28" t="inlineStr">
        <is>
          <t>PHILLIPS_LOS_ANGELES</t>
        </is>
      </c>
      <c r="B590" s="28" t="n">
        <v>5</v>
      </c>
      <c r="C590" s="28" t="inlineStr">
        <is>
          <t>Alaska North Slope</t>
        </is>
      </c>
      <c r="D590" s="28" t="inlineStr">
        <is>
          <t>US (Alaska)</t>
        </is>
      </c>
      <c r="E590" s="28" t="n">
        <v>2024</v>
      </c>
      <c r="F590" s="45" t="n">
        <v>0.2002</v>
      </c>
    </row>
    <row r="591">
      <c r="A591" s="28" t="inlineStr">
        <is>
          <t>PHILLIPS_LOS_ANGELES</t>
        </is>
      </c>
      <c r="B591" s="28" t="n">
        <v>5</v>
      </c>
      <c r="C591" s="28" t="inlineStr">
        <is>
          <t>Wilmington/THUMS</t>
        </is>
      </c>
      <c r="D591" s="28" t="inlineStr">
        <is>
          <t>United States</t>
        </is>
      </c>
      <c r="E591" s="28" t="n">
        <v>2024</v>
      </c>
      <c r="F591" s="45" t="n">
        <v>0.194</v>
      </c>
    </row>
    <row r="592">
      <c r="A592" s="28" t="inlineStr">
        <is>
          <t>PHILLIPS_LOS_ANGELES</t>
        </is>
      </c>
      <c r="B592" s="28" t="n">
        <v>5</v>
      </c>
      <c r="C592" s="28" t="inlineStr">
        <is>
          <t>Isthmus</t>
        </is>
      </c>
      <c r="D592" s="28" t="inlineStr">
        <is>
          <t>Mexico</t>
        </is>
      </c>
      <c r="E592" s="28" t="n">
        <v>2024</v>
      </c>
      <c r="F592" s="45" t="n">
        <v>0.0992</v>
      </c>
    </row>
    <row r="593">
      <c r="A593" s="28" t="inlineStr">
        <is>
          <t>PHILLIPS_LOS_ANGELES</t>
        </is>
      </c>
      <c r="B593" s="28" t="n">
        <v>5</v>
      </c>
      <c r="C593" s="28" t="inlineStr">
        <is>
          <t>Liza-Payara</t>
        </is>
      </c>
      <c r="D593" s="28" t="inlineStr">
        <is>
          <t>Guyana</t>
        </is>
      </c>
      <c r="E593" s="28" t="n">
        <v>2024</v>
      </c>
      <c r="F593" s="45" t="n">
        <v>0.0915</v>
      </c>
    </row>
    <row r="594">
      <c r="A594" s="28" t="inlineStr">
        <is>
          <t>PHILLIPS_LOS_ANGELES</t>
        </is>
      </c>
      <c r="B594" s="28" t="n">
        <v>5</v>
      </c>
      <c r="C594" s="28" t="inlineStr">
        <is>
          <t>Cold Lake</t>
        </is>
      </c>
      <c r="D594" s="28" t="inlineStr">
        <is>
          <t>Canada (Oil Sands)</t>
        </is>
      </c>
      <c r="E594" s="28" t="n">
        <v>2024</v>
      </c>
      <c r="F594" s="45" t="n">
        <v>0.079</v>
      </c>
    </row>
    <row r="595">
      <c r="A595" s="28" t="inlineStr">
        <is>
          <t>PHILLIPS_LOS_ANGELES</t>
        </is>
      </c>
      <c r="B595" s="28" t="n">
        <v>5</v>
      </c>
      <c r="C595" s="28" t="inlineStr">
        <is>
          <t>San Joaquin Valley Lt</t>
        </is>
      </c>
      <c r="D595" s="28" t="inlineStr">
        <is>
          <t>United States</t>
        </is>
      </c>
      <c r="E595" s="28" t="n">
        <v>2024</v>
      </c>
      <c r="F595" s="45" t="n">
        <v>0.07829999999999999</v>
      </c>
    </row>
    <row r="596">
      <c r="A596" s="28" t="inlineStr">
        <is>
          <t>PHILLIPS_LOS_ANGELES</t>
        </is>
      </c>
      <c r="B596" s="28" t="n">
        <v>5</v>
      </c>
      <c r="C596" s="28" t="inlineStr">
        <is>
          <t>Marlim</t>
        </is>
      </c>
      <c r="D596" s="28" t="inlineStr">
        <is>
          <t>Brazil</t>
        </is>
      </c>
      <c r="E596" s="28" t="n">
        <v>2024</v>
      </c>
      <c r="F596" s="45" t="n">
        <v>0.0528</v>
      </c>
    </row>
    <row r="597">
      <c r="A597" s="28" t="inlineStr">
        <is>
          <t>PHILLIPS_LOS_ANGELES</t>
        </is>
      </c>
      <c r="B597" s="28" t="n">
        <v>5</v>
      </c>
      <c r="C597" s="28" t="inlineStr">
        <is>
          <t>Cat Canyon</t>
        </is>
      </c>
      <c r="D597" s="28" t="inlineStr">
        <is>
          <t>United States</t>
        </is>
      </c>
      <c r="E597" s="28" t="n">
        <v>2024</v>
      </c>
      <c r="F597" s="45" t="n">
        <v>0.0496</v>
      </c>
    </row>
    <row r="598">
      <c r="A598" s="28" t="inlineStr">
        <is>
          <t>PHILLIPS_LOS_ANGELES</t>
        </is>
      </c>
      <c r="B598" s="28" t="n">
        <v>5</v>
      </c>
      <c r="C598" s="28" t="inlineStr">
        <is>
          <t>Oil Sands Synthetic</t>
        </is>
      </c>
      <c r="D598" s="28" t="inlineStr">
        <is>
          <t>Canada (Oil Sands)</t>
        </is>
      </c>
      <c r="E598" s="28" t="n">
        <v>2024</v>
      </c>
      <c r="F598" s="45" t="n">
        <v>0.0495</v>
      </c>
    </row>
    <row r="599">
      <c r="A599" s="28" t="inlineStr">
        <is>
          <t>PHILLIPS_LOS_ANGELES</t>
        </is>
      </c>
      <c r="B599" s="28" t="n">
        <v>5</v>
      </c>
      <c r="C599" s="28" t="inlineStr">
        <is>
          <t>Lula</t>
        </is>
      </c>
      <c r="D599" s="28" t="inlineStr">
        <is>
          <t>Brazil</t>
        </is>
      </c>
      <c r="E599" s="28" t="n">
        <v>2024</v>
      </c>
      <c r="F599" s="45" t="n">
        <v>0.0316</v>
      </c>
    </row>
    <row r="600">
      <c r="A600" s="28" t="inlineStr">
        <is>
          <t>PHILLIPS_LOS_ANGELES</t>
        </is>
      </c>
      <c r="B600" s="28" t="n">
        <v>5</v>
      </c>
      <c r="C600" s="28" t="inlineStr">
        <is>
          <t>Oriente</t>
        </is>
      </c>
      <c r="D600" s="28" t="inlineStr">
        <is>
          <t>Ecuador</t>
        </is>
      </c>
      <c r="E600" s="28" t="n">
        <v>2024</v>
      </c>
      <c r="F600" s="45" t="n">
        <v>0.0208</v>
      </c>
    </row>
    <row r="601">
      <c r="A601" s="28" t="inlineStr">
        <is>
          <t>PHILLIPS_LOS_ANGELES</t>
        </is>
      </c>
      <c r="B601" s="28" t="n">
        <v>5</v>
      </c>
      <c r="C601" s="28" t="inlineStr">
        <is>
          <t>Basrah Medium</t>
        </is>
      </c>
      <c r="D601" s="28" t="inlineStr">
        <is>
          <t>Iraq</t>
        </is>
      </c>
      <c r="E601" s="28" t="n">
        <v>2024</v>
      </c>
      <c r="F601" s="45" t="n">
        <v>0.0108</v>
      </c>
    </row>
    <row r="602">
      <c r="A602" s="28" t="inlineStr">
        <is>
          <t>PHILLIPS_LOS_ANGELES</t>
        </is>
      </c>
      <c r="B602" s="28" t="n">
        <v>5</v>
      </c>
      <c r="C602" s="28" t="inlineStr">
        <is>
          <t>Western Canadian Select</t>
        </is>
      </c>
      <c r="D602" s="28" t="inlineStr">
        <is>
          <t>Canada</t>
        </is>
      </c>
      <c r="E602" s="28" t="n">
        <v>2024</v>
      </c>
      <c r="F602" s="45" t="n">
        <v>0.0106</v>
      </c>
    </row>
    <row r="603">
      <c r="A603" s="28" t="inlineStr">
        <is>
          <t>PHILLIPS_LOS_ANGELES</t>
        </is>
      </c>
      <c r="B603" s="28" t="n">
        <v>5</v>
      </c>
      <c r="C603" s="28" t="inlineStr">
        <is>
          <t>Sergipano Terra</t>
        </is>
      </c>
      <c r="D603" s="28" t="inlineStr">
        <is>
          <t>Brazil</t>
        </is>
      </c>
      <c r="E603" s="28" t="n">
        <v>2024</v>
      </c>
      <c r="F603" s="45" t="n">
        <v>0.0105</v>
      </c>
    </row>
    <row r="604">
      <c r="A604" s="28" t="inlineStr">
        <is>
          <t>PHILLIPS_LOS_ANGELES</t>
        </is>
      </c>
      <c r="B604" s="28" t="n">
        <v>5</v>
      </c>
      <c r="C604" s="28" t="inlineStr">
        <is>
          <t>Olmeca</t>
        </is>
      </c>
      <c r="D604" s="28" t="inlineStr">
        <is>
          <t>Mexico</t>
        </is>
      </c>
      <c r="E604" s="28" t="n">
        <v>2024</v>
      </c>
      <c r="F604" s="45" t="n">
        <v>0.008399999999999999</v>
      </c>
    </row>
    <row r="605">
      <c r="A605" s="28" t="inlineStr">
        <is>
          <t>PHILLIPS_LOS_ANGELES</t>
        </is>
      </c>
      <c r="B605" s="28" t="n">
        <v>5</v>
      </c>
      <c r="C605" s="28" t="inlineStr">
        <is>
          <t>Napo</t>
        </is>
      </c>
      <c r="D605" s="28" t="inlineStr">
        <is>
          <t>Ecuador</t>
        </is>
      </c>
      <c r="E605" s="28" t="n">
        <v>2024</v>
      </c>
      <c r="F605" s="45" t="n">
        <v>0.0074</v>
      </c>
    </row>
    <row r="606">
      <c r="A606" s="28" t="inlineStr">
        <is>
          <t>PHILLIPS_LOS_ANGELES</t>
        </is>
      </c>
      <c r="B606" s="28" t="n">
        <v>5</v>
      </c>
      <c r="C606" s="28" t="inlineStr">
        <is>
          <t>Cano Limon</t>
        </is>
      </c>
      <c r="D606" s="28" t="inlineStr">
        <is>
          <t>Colombia</t>
        </is>
      </c>
      <c r="E606" s="28" t="n">
        <v>2024</v>
      </c>
      <c r="F606" s="45" t="n">
        <v>0.0058</v>
      </c>
    </row>
    <row r="607">
      <c r="A607" s="28" t="inlineStr">
        <is>
          <t>VALERO_BENICIA</t>
        </is>
      </c>
      <c r="B607" s="28" t="n">
        <v>5</v>
      </c>
      <c r="C607" s="28" t="inlineStr">
        <is>
          <t>San Joaquin Valley Lt</t>
        </is>
      </c>
      <c r="D607" s="28" t="inlineStr">
        <is>
          <t>United States</t>
        </is>
      </c>
      <c r="E607" s="28" t="n">
        <v>2024</v>
      </c>
      <c r="F607" s="45" t="n">
        <v>0.2622</v>
      </c>
    </row>
    <row r="608">
      <c r="A608" s="28" t="inlineStr">
        <is>
          <t>VALERO_BENICIA</t>
        </is>
      </c>
      <c r="B608" s="28" t="n">
        <v>5</v>
      </c>
      <c r="C608" s="28" t="inlineStr">
        <is>
          <t>Domestic Oil Onshore Brazil</t>
        </is>
      </c>
      <c r="D608" s="28" t="inlineStr">
        <is>
          <t>Brazil</t>
        </is>
      </c>
      <c r="E608" s="28" t="n">
        <v>2024</v>
      </c>
      <c r="F608" s="45" t="n">
        <v>0.118</v>
      </c>
    </row>
    <row r="609">
      <c r="A609" s="28" t="inlineStr">
        <is>
          <t>VALERO_BENICIA</t>
        </is>
      </c>
      <c r="B609" s="28" t="n">
        <v>5</v>
      </c>
      <c r="C609" s="28" t="inlineStr">
        <is>
          <t>Lula</t>
        </is>
      </c>
      <c r="D609" s="28" t="inlineStr">
        <is>
          <t>Brazil</t>
        </is>
      </c>
      <c r="E609" s="28" t="n">
        <v>2024</v>
      </c>
      <c r="F609" s="45" t="n">
        <v>0.1002</v>
      </c>
    </row>
    <row r="610">
      <c r="A610" s="28" t="inlineStr">
        <is>
          <t>VALERO_BENICIA</t>
        </is>
      </c>
      <c r="B610" s="28" t="n">
        <v>5</v>
      </c>
      <c r="C610" s="28" t="inlineStr">
        <is>
          <t>San Joaquin Valley Hvy</t>
        </is>
      </c>
      <c r="D610" s="28" t="inlineStr">
        <is>
          <t>United States</t>
        </is>
      </c>
      <c r="E610" s="28" t="n">
        <v>2024</v>
      </c>
      <c r="F610" s="45" t="n">
        <v>0.09519999999999999</v>
      </c>
    </row>
    <row r="611">
      <c r="A611" s="28" t="inlineStr">
        <is>
          <t>VALERO_BENICIA</t>
        </is>
      </c>
      <c r="B611" s="28" t="n">
        <v>5</v>
      </c>
      <c r="C611" s="28" t="inlineStr">
        <is>
          <t>Alaska North Slope</t>
        </is>
      </c>
      <c r="D611" s="28" t="inlineStr">
        <is>
          <t>US (Alaska)</t>
        </is>
      </c>
      <c r="E611" s="28" t="n">
        <v>2024</v>
      </c>
      <c r="F611" s="45" t="n">
        <v>0.0843</v>
      </c>
    </row>
    <row r="612">
      <c r="A612" s="28" t="inlineStr">
        <is>
          <t>VALERO_BENICIA</t>
        </is>
      </c>
      <c r="B612" s="28" t="n">
        <v>5</v>
      </c>
      <c r="C612" s="28" t="inlineStr">
        <is>
          <t>Cold Lake</t>
        </is>
      </c>
      <c r="D612" s="28" t="inlineStr">
        <is>
          <t>Canada (Oil Sands)</t>
        </is>
      </c>
      <c r="E612" s="28" t="n">
        <v>2024</v>
      </c>
      <c r="F612" s="45" t="n">
        <v>0.0496</v>
      </c>
    </row>
    <row r="613">
      <c r="A613" s="28" t="inlineStr">
        <is>
          <t>VALERO_BENICIA</t>
        </is>
      </c>
      <c r="B613" s="28" t="n">
        <v>5</v>
      </c>
      <c r="C613" s="28" t="inlineStr">
        <is>
          <t>Oil Sands Synthetic</t>
        </is>
      </c>
      <c r="D613" s="28" t="inlineStr">
        <is>
          <t>Canada (Oil Sands)</t>
        </is>
      </c>
      <c r="E613" s="28" t="n">
        <v>2024</v>
      </c>
      <c r="F613" s="45" t="n">
        <v>0.04099999999999999</v>
      </c>
    </row>
    <row r="614">
      <c r="A614" s="28" t="inlineStr">
        <is>
          <t>VALERO_BENICIA</t>
        </is>
      </c>
      <c r="B614" s="28" t="n">
        <v>5</v>
      </c>
      <c r="C614" s="28" t="inlineStr">
        <is>
          <t>Western Canadian Select</t>
        </is>
      </c>
      <c r="D614" s="28" t="inlineStr">
        <is>
          <t>Canada</t>
        </is>
      </c>
      <c r="E614" s="28" t="n">
        <v>2024</v>
      </c>
      <c r="F614" s="45" t="n">
        <v>0.04019999999999999</v>
      </c>
    </row>
    <row r="615">
      <c r="A615" s="28" t="inlineStr">
        <is>
          <t>VALERO_BENICIA</t>
        </is>
      </c>
      <c r="B615" s="28" t="n">
        <v>5</v>
      </c>
      <c r="C615" s="28" t="inlineStr">
        <is>
          <t>Basrah Medium</t>
        </is>
      </c>
      <c r="D615" s="28" t="inlineStr">
        <is>
          <t>Iraq</t>
        </is>
      </c>
      <c r="E615" s="28" t="n">
        <v>2024</v>
      </c>
      <c r="F615" s="45" t="n">
        <v>0.0359</v>
      </c>
    </row>
    <row r="616">
      <c r="A616" s="28" t="inlineStr">
        <is>
          <t>VALERO_BENICIA</t>
        </is>
      </c>
      <c r="B616" s="28" t="n">
        <v>5</v>
      </c>
      <c r="C616" s="28" t="inlineStr">
        <is>
          <t>Tight Oil Argentina</t>
        </is>
      </c>
      <c r="D616" s="28" t="inlineStr">
        <is>
          <t>Argentina</t>
        </is>
      </c>
      <c r="E616" s="28" t="n">
        <v>2024</v>
      </c>
      <c r="F616" s="45" t="n">
        <v>0.0319</v>
      </c>
    </row>
    <row r="617">
      <c r="A617" s="28" t="inlineStr">
        <is>
          <t>VALERO_BENICIA</t>
        </is>
      </c>
      <c r="B617" s="28" t="n">
        <v>5</v>
      </c>
      <c r="C617" s="28" t="inlineStr">
        <is>
          <t>Liza-Payara</t>
        </is>
      </c>
      <c r="D617" s="28" t="inlineStr">
        <is>
          <t>Guyana</t>
        </is>
      </c>
      <c r="E617" s="28" t="n">
        <v>2024</v>
      </c>
      <c r="F617" s="45" t="n">
        <v>0.0311</v>
      </c>
    </row>
    <row r="618">
      <c r="A618" s="28" t="inlineStr">
        <is>
          <t>VALERO_BENICIA</t>
        </is>
      </c>
      <c r="B618" s="28" t="n">
        <v>5</v>
      </c>
      <c r="C618" s="28" t="inlineStr">
        <is>
          <t>Lloyd Blend</t>
        </is>
      </c>
      <c r="D618" s="28" t="inlineStr">
        <is>
          <t>United States</t>
        </is>
      </c>
      <c r="E618" s="28" t="n">
        <v>2024</v>
      </c>
      <c r="F618" s="45" t="n">
        <v>0.0222</v>
      </c>
    </row>
    <row r="619">
      <c r="A619" s="28" t="inlineStr">
        <is>
          <t>VALERO_BENICIA</t>
        </is>
      </c>
      <c r="B619" s="28" t="n">
        <v>5</v>
      </c>
      <c r="C619" s="28" t="inlineStr">
        <is>
          <t>Napo</t>
        </is>
      </c>
      <c r="D619" s="28" t="inlineStr">
        <is>
          <t>Ecuador</t>
        </is>
      </c>
      <c r="E619" s="28" t="n">
        <v>2024</v>
      </c>
      <c r="F619" s="45" t="n">
        <v>0.0162</v>
      </c>
    </row>
    <row r="620">
      <c r="A620" s="28" t="inlineStr">
        <is>
          <t>VALERO_BENICIA</t>
        </is>
      </c>
      <c r="B620" s="28" t="n">
        <v>5</v>
      </c>
      <c r="C620" s="28" t="inlineStr">
        <is>
          <t>Marlim</t>
        </is>
      </c>
      <c r="D620" s="28" t="inlineStr">
        <is>
          <t>Brazil</t>
        </is>
      </c>
      <c r="E620" s="28" t="n">
        <v>2024</v>
      </c>
      <c r="F620" s="45" t="n">
        <v>0.0155</v>
      </c>
    </row>
    <row r="621">
      <c r="A621" s="28" t="inlineStr">
        <is>
          <t>VALERO_BENICIA</t>
        </is>
      </c>
      <c r="B621" s="28" t="n">
        <v>5</v>
      </c>
      <c r="C621" s="28" t="inlineStr">
        <is>
          <t>Castilla</t>
        </is>
      </c>
      <c r="D621" s="28" t="inlineStr">
        <is>
          <t>Colombia</t>
        </is>
      </c>
      <c r="E621" s="28" t="n">
        <v>2024</v>
      </c>
      <c r="F621" s="45" t="n">
        <v>0.0144</v>
      </c>
    </row>
    <row r="622">
      <c r="A622" s="28" t="inlineStr">
        <is>
          <t>VALERO_BENICIA</t>
        </is>
      </c>
      <c r="B622" s="28" t="n">
        <v>5</v>
      </c>
      <c r="C622" s="28" t="inlineStr">
        <is>
          <t>Mixed Sweet Blend</t>
        </is>
      </c>
      <c r="D622" s="28" t="inlineStr">
        <is>
          <t>Canada</t>
        </is>
      </c>
      <c r="E622" s="28" t="n">
        <v>2024</v>
      </c>
      <c r="F622" s="45" t="n">
        <v>0.0111</v>
      </c>
    </row>
    <row r="623">
      <c r="A623" s="28" t="inlineStr">
        <is>
          <t>VALERO_BENICIA</t>
        </is>
      </c>
      <c r="B623" s="28" t="n">
        <v>5</v>
      </c>
      <c r="C623" s="28" t="inlineStr">
        <is>
          <t>Sergipano Terra</t>
        </is>
      </c>
      <c r="D623" s="28" t="inlineStr">
        <is>
          <t>Brazil</t>
        </is>
      </c>
      <c r="E623" s="28" t="n">
        <v>2024</v>
      </c>
      <c r="F623" s="45" t="n">
        <v>0.0074</v>
      </c>
    </row>
    <row r="624">
      <c r="A624" s="28" t="inlineStr">
        <is>
          <t>VALERO_BENICIA</t>
        </is>
      </c>
      <c r="B624" s="28" t="n">
        <v>5</v>
      </c>
      <c r="C624" s="28" t="inlineStr">
        <is>
          <t>Wabasca</t>
        </is>
      </c>
      <c r="D624" s="28" t="inlineStr">
        <is>
          <t>Canada</t>
        </is>
      </c>
      <c r="E624" s="28" t="n">
        <v>2024</v>
      </c>
      <c r="F624" s="45" t="n">
        <v>0.0074</v>
      </c>
    </row>
    <row r="625">
      <c r="A625" s="28" t="inlineStr">
        <is>
          <t>VALERO_BENICIA</t>
        </is>
      </c>
      <c r="B625" s="28" t="n">
        <v>5</v>
      </c>
      <c r="C625" s="28" t="inlineStr">
        <is>
          <t>Domestic NGL British Columbia Canada</t>
        </is>
      </c>
      <c r="D625" s="28" t="inlineStr">
        <is>
          <t>Canada (British Columbia)</t>
        </is>
      </c>
      <c r="E625" s="28" t="n">
        <v>2024</v>
      </c>
      <c r="F625" s="45" t="n">
        <v>0.0066</v>
      </c>
    </row>
    <row r="626">
      <c r="A626" s="28" t="inlineStr">
        <is>
          <t>VALERO_BENICIA</t>
        </is>
      </c>
      <c r="B626" s="28" t="n">
        <v>5</v>
      </c>
      <c r="C626" s="28" t="inlineStr">
        <is>
          <t>Buzios</t>
        </is>
      </c>
      <c r="D626" s="28" t="inlineStr">
        <is>
          <t>Brazil</t>
        </is>
      </c>
      <c r="E626" s="28" t="n">
        <v>2024</v>
      </c>
      <c r="F626" s="45" t="n">
        <v>0.0059</v>
      </c>
    </row>
    <row r="627">
      <c r="A627" s="28" t="inlineStr">
        <is>
          <t>VALERO_BENICIA</t>
        </is>
      </c>
      <c r="B627" s="28" t="n">
        <v>5</v>
      </c>
      <c r="C627" s="28" t="inlineStr">
        <is>
          <t>South Blend</t>
        </is>
      </c>
      <c r="D627" s="28" t="inlineStr">
        <is>
          <t>Colombia</t>
        </is>
      </c>
      <c r="E627" s="28" t="n">
        <v>2024</v>
      </c>
      <c r="F627" s="45" t="n">
        <v>0.0037</v>
      </c>
    </row>
    <row r="628">
      <c r="A628" s="28" t="inlineStr">
        <is>
          <t>VALERO_LOS_ANGELES</t>
        </is>
      </c>
      <c r="B628" s="28" t="n">
        <v>5</v>
      </c>
      <c r="C628" s="28" t="inlineStr">
        <is>
          <t>Lula</t>
        </is>
      </c>
      <c r="D628" s="28" t="inlineStr">
        <is>
          <t>Brazil</t>
        </is>
      </c>
      <c r="E628" s="28" t="n">
        <v>2024</v>
      </c>
      <c r="F628" s="45" t="n">
        <v>0.1276</v>
      </c>
    </row>
    <row r="629">
      <c r="A629" s="28" t="inlineStr">
        <is>
          <t>VALERO_LOS_ANGELES</t>
        </is>
      </c>
      <c r="B629" s="28" t="n">
        <v>5</v>
      </c>
      <c r="C629" s="28" t="inlineStr">
        <is>
          <t>Cold Lake</t>
        </is>
      </c>
      <c r="D629" s="28" t="inlineStr">
        <is>
          <t>Canada (Oil Sands)</t>
        </is>
      </c>
      <c r="E629" s="28" t="n">
        <v>2024</v>
      </c>
      <c r="F629" s="45" t="n">
        <v>0.1049</v>
      </c>
    </row>
    <row r="630">
      <c r="A630" s="28" t="inlineStr">
        <is>
          <t>VALERO_LOS_ANGELES</t>
        </is>
      </c>
      <c r="B630" s="28" t="n">
        <v>5</v>
      </c>
      <c r="C630" s="28" t="inlineStr">
        <is>
          <t>Sapinhoa</t>
        </is>
      </c>
      <c r="D630" s="28" t="inlineStr">
        <is>
          <t>Brazil</t>
        </is>
      </c>
      <c r="E630" s="28" t="n">
        <v>2024</v>
      </c>
      <c r="F630" s="45" t="n">
        <v>0.09539999999999998</v>
      </c>
    </row>
    <row r="631">
      <c r="A631" s="28" t="inlineStr">
        <is>
          <t>VALERO_LOS_ANGELES</t>
        </is>
      </c>
      <c r="B631" s="28" t="n">
        <v>5</v>
      </c>
      <c r="C631" s="28" t="inlineStr">
        <is>
          <t>Basrah Medium</t>
        </is>
      </c>
      <c r="D631" s="28" t="inlineStr">
        <is>
          <t>Iraq</t>
        </is>
      </c>
      <c r="E631" s="28" t="n">
        <v>2024</v>
      </c>
      <c r="F631" s="45" t="n">
        <v>0.08990000000000001</v>
      </c>
    </row>
    <row r="632">
      <c r="A632" s="28" t="inlineStr">
        <is>
          <t>VALERO_LOS_ANGELES</t>
        </is>
      </c>
      <c r="B632" s="28" t="n">
        <v>5</v>
      </c>
      <c r="C632" s="28" t="inlineStr">
        <is>
          <t>CPC (Augusta)</t>
        </is>
      </c>
      <c r="D632" s="28" t="inlineStr">
        <is>
          <t>Kazakhstan</t>
        </is>
      </c>
      <c r="E632" s="28" t="n">
        <v>2024</v>
      </c>
      <c r="F632" s="45" t="n">
        <v>0.0697</v>
      </c>
    </row>
    <row r="633">
      <c r="A633" s="28" t="inlineStr">
        <is>
          <t>VALERO_LOS_ANGELES</t>
        </is>
      </c>
      <c r="B633" s="28" t="n">
        <v>5</v>
      </c>
      <c r="C633" s="28" t="inlineStr">
        <is>
          <t>Oil Sands Synthetic</t>
        </is>
      </c>
      <c r="D633" s="28" t="inlineStr">
        <is>
          <t>Canada (Oil Sands)</t>
        </is>
      </c>
      <c r="E633" s="28" t="n">
        <v>2024</v>
      </c>
      <c r="F633" s="45" t="n">
        <v>0.0696</v>
      </c>
    </row>
    <row r="634">
      <c r="A634" s="28" t="inlineStr">
        <is>
          <t>VALERO_LOS_ANGELES</t>
        </is>
      </c>
      <c r="B634" s="28" t="n">
        <v>5</v>
      </c>
      <c r="C634" s="28" t="inlineStr">
        <is>
          <t>Alaska North Slope</t>
        </is>
      </c>
      <c r="D634" s="28" t="inlineStr">
        <is>
          <t>US (Alaska)</t>
        </is>
      </c>
      <c r="E634" s="28" t="n">
        <v>2024</v>
      </c>
      <c r="F634" s="45" t="n">
        <v>0.06849999999999999</v>
      </c>
    </row>
    <row r="635">
      <c r="A635" s="28" t="inlineStr">
        <is>
          <t>VALERO_LOS_ANGELES</t>
        </is>
      </c>
      <c r="B635" s="28" t="n">
        <v>5</v>
      </c>
      <c r="C635" s="28" t="inlineStr">
        <is>
          <t>Napo</t>
        </is>
      </c>
      <c r="D635" s="28" t="inlineStr">
        <is>
          <t>Ecuador</t>
        </is>
      </c>
      <c r="E635" s="28" t="n">
        <v>2024</v>
      </c>
      <c r="F635" s="45" t="n">
        <v>0.06320000000000001</v>
      </c>
    </row>
    <row r="636">
      <c r="A636" s="28" t="inlineStr">
        <is>
          <t>VALERO_LOS_ANGELES</t>
        </is>
      </c>
      <c r="B636" s="28" t="n">
        <v>5</v>
      </c>
      <c r="C636" s="28" t="inlineStr">
        <is>
          <t>LA Basin Light</t>
        </is>
      </c>
      <c r="D636" s="28" t="inlineStr">
        <is>
          <t>United States</t>
        </is>
      </c>
      <c r="E636" s="28" t="n">
        <v>2024</v>
      </c>
      <c r="F636" s="45" t="n">
        <v>0.061</v>
      </c>
    </row>
    <row r="637">
      <c r="A637" s="28" t="inlineStr">
        <is>
          <t>VALERO_LOS_ANGELES</t>
        </is>
      </c>
      <c r="B637" s="28" t="n">
        <v>5</v>
      </c>
      <c r="C637" s="28" t="inlineStr">
        <is>
          <t>Tight Oil Argentina</t>
        </is>
      </c>
      <c r="D637" s="28" t="inlineStr">
        <is>
          <t>Argentina</t>
        </is>
      </c>
      <c r="E637" s="28" t="n">
        <v>2024</v>
      </c>
      <c r="F637" s="45" t="n">
        <v>0.0351</v>
      </c>
    </row>
    <row r="638">
      <c r="A638" s="28" t="inlineStr">
        <is>
          <t>VALERO_LOS_ANGELES</t>
        </is>
      </c>
      <c r="B638" s="28" t="n">
        <v>5</v>
      </c>
      <c r="C638" s="28" t="inlineStr">
        <is>
          <t>Kirkuk Blend</t>
        </is>
      </c>
      <c r="D638" s="28" t="inlineStr">
        <is>
          <t>Iraq</t>
        </is>
      </c>
      <c r="E638" s="28" t="n">
        <v>2024</v>
      </c>
      <c r="F638" s="45" t="n">
        <v>0.0333</v>
      </c>
    </row>
    <row r="639">
      <c r="A639" s="28" t="inlineStr">
        <is>
          <t>VALERO_LOS_ANGELES</t>
        </is>
      </c>
      <c r="B639" s="28" t="n">
        <v>5</v>
      </c>
      <c r="C639" s="28" t="inlineStr">
        <is>
          <t>San Joaquin Valley Hvy</t>
        </is>
      </c>
      <c r="D639" s="28" t="inlineStr">
        <is>
          <t>United States</t>
        </is>
      </c>
      <c r="E639" s="28" t="n">
        <v>2024</v>
      </c>
      <c r="F639" s="45" t="n">
        <v>0.03240000000000001</v>
      </c>
    </row>
    <row r="640">
      <c r="A640" s="28" t="inlineStr">
        <is>
          <t>VALERO_LOS_ANGELES</t>
        </is>
      </c>
      <c r="B640" s="28" t="n">
        <v>5</v>
      </c>
      <c r="C640" s="28" t="inlineStr">
        <is>
          <t>Liza-Payara</t>
        </is>
      </c>
      <c r="D640" s="28" t="inlineStr">
        <is>
          <t>Guyana</t>
        </is>
      </c>
      <c r="E640" s="28" t="n">
        <v>2024</v>
      </c>
      <c r="F640" s="45" t="n">
        <v>0.0317</v>
      </c>
    </row>
    <row r="641">
      <c r="A641" s="28" t="inlineStr">
        <is>
          <t>VALERO_LOS_ANGELES</t>
        </is>
      </c>
      <c r="B641" s="28" t="n">
        <v>5</v>
      </c>
      <c r="C641" s="28" t="inlineStr">
        <is>
          <t>Western Canadian Select</t>
        </is>
      </c>
      <c r="D641" s="28" t="inlineStr">
        <is>
          <t>Canada</t>
        </is>
      </c>
      <c r="E641" s="28" t="n">
        <v>2024</v>
      </c>
      <c r="F641" s="45" t="n">
        <v>0.0265</v>
      </c>
    </row>
    <row r="642">
      <c r="A642" s="28" t="inlineStr">
        <is>
          <t>VALERO_LOS_ANGELES</t>
        </is>
      </c>
      <c r="B642" s="28" t="n">
        <v>5</v>
      </c>
      <c r="C642" s="28" t="inlineStr">
        <is>
          <t>Domestic Oil Other Argentina</t>
        </is>
      </c>
      <c r="D642" s="28" t="inlineStr">
        <is>
          <t>Argentina</t>
        </is>
      </c>
      <c r="E642" s="28" t="n">
        <v>2024</v>
      </c>
      <c r="F642" s="45" t="n">
        <v>0.0199</v>
      </c>
    </row>
    <row r="643">
      <c r="A643" s="28" t="inlineStr">
        <is>
          <t>VALERO_LOS_ANGELES</t>
        </is>
      </c>
      <c r="B643" s="28" t="n">
        <v>5</v>
      </c>
      <c r="C643" s="28" t="inlineStr">
        <is>
          <t>Oriente</t>
        </is>
      </c>
      <c r="D643" s="28" t="inlineStr">
        <is>
          <t>Ecuador</t>
        </is>
      </c>
      <c r="E643" s="28" t="n">
        <v>2024</v>
      </c>
      <c r="F643" s="45" t="n">
        <v>0.0196</v>
      </c>
    </row>
    <row r="644">
      <c r="A644" s="28" t="inlineStr">
        <is>
          <t>VALERO_LOS_ANGELES</t>
        </is>
      </c>
      <c r="B644" s="28" t="n">
        <v>5</v>
      </c>
      <c r="C644" s="28" t="inlineStr">
        <is>
          <t>Marlim</t>
        </is>
      </c>
      <c r="D644" s="28" t="inlineStr">
        <is>
          <t>Brazil</t>
        </is>
      </c>
      <c r="E644" s="28" t="n">
        <v>2024</v>
      </c>
      <c r="F644" s="45" t="n">
        <v>0.0147</v>
      </c>
    </row>
    <row r="645">
      <c r="A645" s="28" t="inlineStr">
        <is>
          <t>VALERO_LOS_ANGELES</t>
        </is>
      </c>
      <c r="B645" s="28" t="n">
        <v>5</v>
      </c>
      <c r="C645" s="28" t="inlineStr">
        <is>
          <t>Lloyd Blend</t>
        </is>
      </c>
      <c r="D645" s="28" t="inlineStr">
        <is>
          <t>United States</t>
        </is>
      </c>
      <c r="E645" s="28" t="n">
        <v>2024</v>
      </c>
      <c r="F645" s="45" t="n">
        <v>0.0134</v>
      </c>
    </row>
    <row r="646">
      <c r="A646" s="28" t="inlineStr">
        <is>
          <t>VALERO_LOS_ANGELES</t>
        </is>
      </c>
      <c r="B646" s="28" t="n">
        <v>5</v>
      </c>
      <c r="C646" s="28" t="inlineStr">
        <is>
          <t>Sergipano Terra</t>
        </is>
      </c>
      <c r="D646" s="28" t="inlineStr">
        <is>
          <t>Brazil</t>
        </is>
      </c>
      <c r="E646" s="28" t="n">
        <v>2024</v>
      </c>
      <c r="F646" s="45" t="n">
        <v>0.0091</v>
      </c>
    </row>
    <row r="647">
      <c r="A647" s="28" t="inlineStr">
        <is>
          <t>VALERO_LOS_ANGELES</t>
        </is>
      </c>
      <c r="B647" s="28" t="n">
        <v>5</v>
      </c>
      <c r="C647" s="28" t="inlineStr">
        <is>
          <t>Buzios</t>
        </is>
      </c>
      <c r="D647" s="28" t="inlineStr">
        <is>
          <t>Brazil</t>
        </is>
      </c>
      <c r="E647" s="28" t="n">
        <v>2024</v>
      </c>
      <c r="F647" s="45" t="n">
        <v>0.008699999999999999</v>
      </c>
    </row>
    <row r="648">
      <c r="A648" s="28" t="inlineStr">
        <is>
          <t>VALERO_LOS_ANGELES</t>
        </is>
      </c>
      <c r="B648" s="28" t="n">
        <v>5</v>
      </c>
      <c r="C648" s="28" t="inlineStr">
        <is>
          <t>Mixed Sweet Blend</t>
        </is>
      </c>
      <c r="D648" s="28" t="inlineStr">
        <is>
          <t>Canada</t>
        </is>
      </c>
      <c r="E648" s="28" t="n">
        <v>2024</v>
      </c>
      <c r="F648" s="45" t="n">
        <v>0.0058</v>
      </c>
    </row>
    <row r="650" ht="20" customHeight="1">
      <c r="A650" s="8" t="inlineStr">
        <is>
          <t>Purchased supplementary feedstocks, 2024 — naphtha/reformate purchases mark merchant naphtha BUYERS</t>
        </is>
      </c>
      <c r="B650" s="9" t="n"/>
      <c r="C650" s="9" t="n"/>
      <c r="D650" s="9" t="n"/>
      <c r="E650" s="9" t="n"/>
      <c r="F650" s="9" t="n"/>
      <c r="G650" s="9" t="n"/>
      <c r="H650" s="9" t="n"/>
    </row>
    <row r="651">
      <c r="A651" s="23" t="inlineStr">
        <is>
          <t>refinery_id</t>
        </is>
      </c>
      <c r="B651" s="23" t="inlineStr">
        <is>
          <t>padd</t>
        </is>
      </c>
      <c r="C651" s="23" t="inlineStr">
        <is>
          <t>feedstock</t>
        </is>
      </c>
      <c r="D651" s="23" t="inlineStr">
        <is>
          <t>to unit</t>
        </is>
      </c>
      <c r="E651" s="23" t="inlineStr">
        <is>
          <t>kbd</t>
        </is>
      </c>
      <c r="F651" s="23" t="inlineStr">
        <is>
          <t>API</t>
        </is>
      </c>
      <c r="G651" s="23" t="inlineStr">
        <is>
          <t>type</t>
        </is>
      </c>
      <c r="H651" s="23" t="inlineStr">
        <is>
          <t>naphtha buyer?</t>
        </is>
      </c>
    </row>
    <row r="652">
      <c r="A652" s="28" t="inlineStr">
        <is>
          <t>UNITED_WARREN</t>
        </is>
      </c>
      <c r="B652" s="28" t="n">
        <v>1</v>
      </c>
      <c r="C652" s="28" t="inlineStr">
        <is>
          <t>I-Butane</t>
        </is>
      </c>
      <c r="D652" s="28" t="inlineStr">
        <is>
          <t>IC4imports</t>
        </is>
      </c>
      <c r="E652" s="46" t="n">
        <v>0.85</v>
      </c>
      <c r="F652" s="46" t="n">
        <v>120.01</v>
      </c>
      <c r="G652" s="28" t="inlineStr">
        <is>
          <t>Light</t>
        </is>
      </c>
      <c r="H652" s="28" t="inlineStr"/>
    </row>
    <row r="653">
      <c r="A653" s="28" t="inlineStr">
        <is>
          <t>CENOVUS_LIMA</t>
        </is>
      </c>
      <c r="B653" s="28" t="n">
        <v>2</v>
      </c>
      <c r="C653" s="28" t="inlineStr">
        <is>
          <t>Naphtha</t>
        </is>
      </c>
      <c r="D653" s="28" t="inlineStr">
        <is>
          <t>NHT</t>
        </is>
      </c>
      <c r="E653" s="46" t="n">
        <v>10</v>
      </c>
      <c r="F653" s="46" t="n">
        <v>56</v>
      </c>
      <c r="G653" s="28" t="inlineStr">
        <is>
          <t>Light</t>
        </is>
      </c>
      <c r="H653" s="36" t="inlineStr">
        <is>
          <t>BUYER</t>
        </is>
      </c>
    </row>
    <row r="654">
      <c r="A654" s="28" t="inlineStr">
        <is>
          <t>CENOVUS_WOOD_RIVER</t>
        </is>
      </c>
      <c r="B654" s="28" t="n">
        <v>2</v>
      </c>
      <c r="C654" s="28" t="inlineStr">
        <is>
          <t>VGO - Low Sulphur</t>
        </is>
      </c>
      <c r="D654" s="28" t="inlineStr">
        <is>
          <t>FCC</t>
        </is>
      </c>
      <c r="E654" s="46" t="n">
        <v>10</v>
      </c>
      <c r="F654" s="46" t="n">
        <v>27.19</v>
      </c>
      <c r="G654" s="28" t="inlineStr">
        <is>
          <t>Heavy</t>
        </is>
      </c>
      <c r="H654" s="28" t="inlineStr"/>
    </row>
    <row r="655">
      <c r="A655" s="28" t="inlineStr">
        <is>
          <t>PBF_TOLEDO</t>
        </is>
      </c>
      <c r="B655" s="28" t="n">
        <v>2</v>
      </c>
      <c r="C655" s="28" t="inlineStr">
        <is>
          <t>VGO - High Sulphur</t>
        </is>
      </c>
      <c r="D655" s="28" t="inlineStr">
        <is>
          <t>RFCC</t>
        </is>
      </c>
      <c r="E655" s="46" t="n">
        <v>10</v>
      </c>
      <c r="F655" s="46" t="n">
        <v>24.15</v>
      </c>
      <c r="G655" s="28" t="inlineStr">
        <is>
          <t>Heavy</t>
        </is>
      </c>
      <c r="H655" s="28" t="inlineStr"/>
    </row>
    <row r="656">
      <c r="A656" s="28" t="inlineStr">
        <is>
          <t>HF_TULSA</t>
        </is>
      </c>
      <c r="B656" s="28" t="n">
        <v>2</v>
      </c>
      <c r="C656" s="28" t="inlineStr">
        <is>
          <t>VGO - Low Sulphur</t>
        </is>
      </c>
      <c r="D656" s="28" t="inlineStr">
        <is>
          <t>FCC</t>
        </is>
      </c>
      <c r="E656" s="46" t="n">
        <v>7</v>
      </c>
      <c r="F656" s="46" t="n">
        <v>27.19</v>
      </c>
      <c r="G656" s="28" t="inlineStr">
        <is>
          <t>Heavy</t>
        </is>
      </c>
      <c r="H656" s="28" t="inlineStr"/>
    </row>
    <row r="657">
      <c r="A657" s="28" t="inlineStr">
        <is>
          <t>MARATHON_CATLETTSBURG</t>
        </is>
      </c>
      <c r="B657" s="28" t="n">
        <v>2</v>
      </c>
      <c r="C657" s="28" t="inlineStr">
        <is>
          <t>I-Butane</t>
        </is>
      </c>
      <c r="D657" s="28" t="inlineStr">
        <is>
          <t>IC4Imports</t>
        </is>
      </c>
      <c r="E657" s="46" t="n">
        <v>6.92</v>
      </c>
      <c r="F657" s="46" t="n">
        <v>120.01</v>
      </c>
      <c r="G657" s="28" t="inlineStr">
        <is>
          <t>Light</t>
        </is>
      </c>
      <c r="H657" s="28" t="inlineStr"/>
    </row>
    <row r="658">
      <c r="A658" s="28" t="inlineStr">
        <is>
          <t>CITGO_LEMONT</t>
        </is>
      </c>
      <c r="B658" s="28" t="n">
        <v>2</v>
      </c>
      <c r="C658" s="28" t="inlineStr">
        <is>
          <t>I-Butane</t>
        </is>
      </c>
      <c r="D658" s="28" t="inlineStr">
        <is>
          <t>IC4Imports</t>
        </is>
      </c>
      <c r="E658" s="46" t="n">
        <v>6.53</v>
      </c>
      <c r="F658" s="46" t="n">
        <v>120.01</v>
      </c>
      <c r="G658" s="28" t="inlineStr">
        <is>
          <t>Light</t>
        </is>
      </c>
      <c r="H658" s="28" t="inlineStr"/>
    </row>
    <row r="659">
      <c r="A659" s="28" t="inlineStr">
        <is>
          <t>EXXONMOBIL_JOLIET</t>
        </is>
      </c>
      <c r="B659" s="28" t="n">
        <v>2</v>
      </c>
      <c r="C659" s="28" t="inlineStr">
        <is>
          <t>I-Butane</t>
        </is>
      </c>
      <c r="D659" s="28" t="inlineStr">
        <is>
          <t>IC4Imports</t>
        </is>
      </c>
      <c r="E659" s="46" t="n">
        <v>6.02</v>
      </c>
      <c r="F659" s="46" t="n">
        <v>120.01</v>
      </c>
      <c r="G659" s="28" t="inlineStr">
        <is>
          <t>Light</t>
        </is>
      </c>
      <c r="H659" s="28" t="inlineStr"/>
    </row>
    <row r="660">
      <c r="A660" s="28" t="inlineStr">
        <is>
          <t>CVR_COFFEYVILLE</t>
        </is>
      </c>
      <c r="B660" s="28" t="n">
        <v>2</v>
      </c>
      <c r="C660" s="28" t="inlineStr">
        <is>
          <t>Atres - High Sulphur</t>
        </is>
      </c>
      <c r="D660" s="28" t="inlineStr">
        <is>
          <t>AtRes Spl</t>
        </is>
      </c>
      <c r="E660" s="46" t="n">
        <v>6</v>
      </c>
      <c r="F660" s="46" t="n">
        <v>9.949999999999999</v>
      </c>
      <c r="G660" s="28" t="inlineStr">
        <is>
          <t>Heavy</t>
        </is>
      </c>
      <c r="H660" s="28" t="inlineStr"/>
    </row>
    <row r="661">
      <c r="A661" s="28" t="inlineStr">
        <is>
          <t>NCRA_MCPHERSON</t>
        </is>
      </c>
      <c r="B661" s="28" t="n">
        <v>2</v>
      </c>
      <c r="C661" s="28" t="inlineStr">
        <is>
          <t>VGO - Low Sulphur</t>
        </is>
      </c>
      <c r="D661" s="28" t="inlineStr">
        <is>
          <t>FCC</t>
        </is>
      </c>
      <c r="E661" s="46" t="n">
        <v>6</v>
      </c>
      <c r="F661" s="46" t="n">
        <v>27.19</v>
      </c>
      <c r="G661" s="28" t="inlineStr">
        <is>
          <t>Heavy</t>
        </is>
      </c>
      <c r="H661" s="28" t="inlineStr"/>
    </row>
    <row r="662">
      <c r="A662" s="28" t="inlineStr">
        <is>
          <t>BP_WHITING</t>
        </is>
      </c>
      <c r="B662" s="28" t="n">
        <v>2</v>
      </c>
      <c r="C662" s="28" t="inlineStr">
        <is>
          <t>VGO - Low Sulphur</t>
        </is>
      </c>
      <c r="D662" s="28" t="inlineStr">
        <is>
          <t>FCC ZSM</t>
        </is>
      </c>
      <c r="E662" s="46" t="n">
        <v>5.8</v>
      </c>
      <c r="F662" s="46" t="n">
        <v>27.19</v>
      </c>
      <c r="G662" s="28" t="inlineStr">
        <is>
          <t>Heavy</t>
        </is>
      </c>
      <c r="H662" s="28" t="inlineStr"/>
    </row>
    <row r="663">
      <c r="A663" s="28" t="inlineStr">
        <is>
          <t>BP_WHITING</t>
        </is>
      </c>
      <c r="B663" s="28" t="n">
        <v>2</v>
      </c>
      <c r="C663" s="28" t="inlineStr">
        <is>
          <t>I-Butane</t>
        </is>
      </c>
      <c r="D663" s="28" t="inlineStr">
        <is>
          <t>IC4Imports</t>
        </is>
      </c>
      <c r="E663" s="46" t="n">
        <v>5.72</v>
      </c>
      <c r="F663" s="46" t="n">
        <v>120.01</v>
      </c>
      <c r="G663" s="28" t="inlineStr">
        <is>
          <t>Light</t>
        </is>
      </c>
      <c r="H663" s="28" t="inlineStr"/>
    </row>
    <row r="664">
      <c r="A664" s="28" t="inlineStr">
        <is>
          <t>CVR_WYNNEWOOD</t>
        </is>
      </c>
      <c r="B664" s="28" t="n">
        <v>2</v>
      </c>
      <c r="C664" s="28" t="inlineStr">
        <is>
          <t>Refined Veg Oils</t>
        </is>
      </c>
      <c r="D664" s="28" t="inlineStr">
        <is>
          <t>HVOHT</t>
        </is>
      </c>
      <c r="E664" s="46" t="n">
        <v>5.53</v>
      </c>
      <c r="F664" s="46" t="n">
        <v>23.99</v>
      </c>
      <c r="G664" s="28" t="inlineStr">
        <is>
          <t>Heavy</t>
        </is>
      </c>
      <c r="H664" s="28" t="inlineStr"/>
    </row>
    <row r="665">
      <c r="A665" s="28" t="inlineStr">
        <is>
          <t>BP_WHITING</t>
        </is>
      </c>
      <c r="B665" s="28" t="n">
        <v>2</v>
      </c>
      <c r="C665" s="28" t="inlineStr">
        <is>
          <t>Naphtha</t>
        </is>
      </c>
      <c r="D665" s="28" t="inlineStr">
        <is>
          <t>NHT</t>
        </is>
      </c>
      <c r="E665" s="46" t="n">
        <v>5.3</v>
      </c>
      <c r="F665" s="46" t="n">
        <v>56</v>
      </c>
      <c r="G665" s="28" t="inlineStr">
        <is>
          <t>Light</t>
        </is>
      </c>
      <c r="H665" s="36" t="inlineStr">
        <is>
          <t>BUYER</t>
        </is>
      </c>
    </row>
    <row r="666">
      <c r="A666" s="28" t="inlineStr">
        <is>
          <t>PHILLIPS_PONCA_CITY</t>
        </is>
      </c>
      <c r="B666" s="28" t="n">
        <v>2</v>
      </c>
      <c r="C666" s="28" t="inlineStr">
        <is>
          <t>VGO - High Sulphur</t>
        </is>
      </c>
      <c r="D666" s="28" t="inlineStr">
        <is>
          <t>CFHT</t>
        </is>
      </c>
      <c r="E666" s="46" t="n">
        <v>5</v>
      </c>
      <c r="F666" s="46" t="n">
        <v>24.15</v>
      </c>
      <c r="G666" s="28" t="inlineStr">
        <is>
          <t>Heavy</t>
        </is>
      </c>
      <c r="H666" s="28" t="inlineStr"/>
    </row>
    <row r="667">
      <c r="A667" s="28" t="inlineStr">
        <is>
          <t>BP_WHITING</t>
        </is>
      </c>
      <c r="B667" s="28" t="n">
        <v>2</v>
      </c>
      <c r="C667" s="28" t="inlineStr">
        <is>
          <t>Reformate</t>
        </is>
      </c>
      <c r="D667" s="28" t="inlineStr">
        <is>
          <t>PurRefor Spl</t>
        </is>
      </c>
      <c r="E667" s="46" t="n">
        <v>3.5</v>
      </c>
      <c r="F667" s="46" t="n">
        <v>38.8</v>
      </c>
      <c r="G667" s="28" t="inlineStr">
        <is>
          <t>Light</t>
        </is>
      </c>
      <c r="H667" s="36" t="inlineStr">
        <is>
          <t>BUYER</t>
        </is>
      </c>
    </row>
    <row r="668">
      <c r="A668" s="28" t="inlineStr">
        <is>
          <t>CVR_COFFEYVILLE</t>
        </is>
      </c>
      <c r="B668" s="28" t="n">
        <v>2</v>
      </c>
      <c r="C668" s="28" t="inlineStr">
        <is>
          <t>I-Butane</t>
        </is>
      </c>
      <c r="D668" s="28" t="inlineStr">
        <is>
          <t>IC4Imports</t>
        </is>
      </c>
      <c r="E668" s="46" t="n">
        <v>3.37</v>
      </c>
      <c r="F668" s="46" t="n">
        <v>120.01</v>
      </c>
      <c r="G668" s="28" t="inlineStr">
        <is>
          <t>Light</t>
        </is>
      </c>
      <c r="H668" s="28" t="inlineStr"/>
    </row>
    <row r="669">
      <c r="A669" s="28" t="inlineStr">
        <is>
          <t>CITGO_LEMONT</t>
        </is>
      </c>
      <c r="B669" s="28" t="n">
        <v>2</v>
      </c>
      <c r="C669" s="28" t="inlineStr">
        <is>
          <t>VGO - Low Sulphur</t>
        </is>
      </c>
      <c r="D669" s="28" t="inlineStr">
        <is>
          <t>FCC</t>
        </is>
      </c>
      <c r="E669" s="46" t="n">
        <v>3</v>
      </c>
      <c r="F669" s="46" t="n">
        <v>27.19</v>
      </c>
      <c r="G669" s="28" t="inlineStr">
        <is>
          <t>Heavy</t>
        </is>
      </c>
      <c r="H669" s="28" t="inlineStr"/>
    </row>
    <row r="670">
      <c r="A670" s="28" t="inlineStr">
        <is>
          <t>HF_EL_DORADO_KS</t>
        </is>
      </c>
      <c r="B670" s="28" t="n">
        <v>2</v>
      </c>
      <c r="C670" s="28" t="inlineStr">
        <is>
          <t>Butane</t>
        </is>
      </c>
      <c r="D670" s="28" t="inlineStr">
        <is>
          <t>NC4Imports</t>
        </is>
      </c>
      <c r="E670" s="46" t="n">
        <v>2.42</v>
      </c>
      <c r="F670" s="46" t="n">
        <v>112.47</v>
      </c>
      <c r="G670" s="28" t="inlineStr">
        <is>
          <t>Light</t>
        </is>
      </c>
      <c r="H670" s="28" t="inlineStr"/>
    </row>
    <row r="671">
      <c r="A671" s="28" t="inlineStr">
        <is>
          <t>CENOVUS_TOLEDO</t>
        </is>
      </c>
      <c r="B671" s="28" t="n">
        <v>2</v>
      </c>
      <c r="C671" s="28" t="inlineStr">
        <is>
          <t>I-Butane</t>
        </is>
      </c>
      <c r="D671" s="28" t="inlineStr">
        <is>
          <t>IC4imports</t>
        </is>
      </c>
      <c r="E671" s="46" t="n">
        <v>2.28</v>
      </c>
      <c r="F671" s="46" t="n">
        <v>120.01</v>
      </c>
      <c r="G671" s="28" t="inlineStr">
        <is>
          <t>Light</t>
        </is>
      </c>
      <c r="H671" s="28" t="inlineStr"/>
    </row>
    <row r="672">
      <c r="A672" s="28" t="inlineStr">
        <is>
          <t>CVR_COFFEYVILLE</t>
        </is>
      </c>
      <c r="B672" s="28" t="n">
        <v>2</v>
      </c>
      <c r="C672" s="28" t="inlineStr">
        <is>
          <t>VGO - Low Sulphur</t>
        </is>
      </c>
      <c r="D672" s="28" t="inlineStr">
        <is>
          <t>FCC</t>
        </is>
      </c>
      <c r="E672" s="46" t="n">
        <v>2</v>
      </c>
      <c r="F672" s="46" t="n">
        <v>27.19</v>
      </c>
      <c r="G672" s="28" t="inlineStr">
        <is>
          <t>Heavy</t>
        </is>
      </c>
      <c r="H672" s="28" t="inlineStr"/>
    </row>
    <row r="673">
      <c r="A673" s="28" t="inlineStr">
        <is>
          <t>HF_TULSA</t>
        </is>
      </c>
      <c r="B673" s="28" t="n">
        <v>2</v>
      </c>
      <c r="C673" s="28" t="inlineStr">
        <is>
          <t>Atres - High Sulphur</t>
        </is>
      </c>
      <c r="D673" s="28" t="inlineStr">
        <is>
          <t>VDU</t>
        </is>
      </c>
      <c r="E673" s="46" t="n">
        <v>2</v>
      </c>
      <c r="F673" s="46" t="n">
        <v>9.949999999999999</v>
      </c>
      <c r="G673" s="28" t="inlineStr">
        <is>
          <t>Heavy</t>
        </is>
      </c>
      <c r="H673" s="28" t="inlineStr"/>
    </row>
    <row r="674">
      <c r="A674" s="28" t="inlineStr">
        <is>
          <t>PHILLIPS_PONCA_CITY</t>
        </is>
      </c>
      <c r="B674" s="28" t="n">
        <v>2</v>
      </c>
      <c r="C674" s="28" t="inlineStr">
        <is>
          <t>I-Butane</t>
        </is>
      </c>
      <c r="D674" s="28" t="inlineStr">
        <is>
          <t>IC4imports</t>
        </is>
      </c>
      <c r="E674" s="46" t="n">
        <v>1.95</v>
      </c>
      <c r="F674" s="46" t="n">
        <v>120.01</v>
      </c>
      <c r="G674" s="28" t="inlineStr">
        <is>
          <t>Light</t>
        </is>
      </c>
      <c r="H674" s="28" t="inlineStr"/>
    </row>
    <row r="675">
      <c r="A675" s="28" t="inlineStr">
        <is>
          <t>CENOVUS_WOOD_RIVER</t>
        </is>
      </c>
      <c r="B675" s="28" t="n">
        <v>2</v>
      </c>
      <c r="C675" s="28" t="inlineStr">
        <is>
          <t>I-Butane</t>
        </is>
      </c>
      <c r="D675" s="28" t="inlineStr">
        <is>
          <t>IC4imports</t>
        </is>
      </c>
      <c r="E675" s="46" t="n">
        <v>1.78</v>
      </c>
      <c r="F675" s="46" t="n">
        <v>120.01</v>
      </c>
      <c r="G675" s="28" t="inlineStr">
        <is>
          <t>Light</t>
        </is>
      </c>
      <c r="H675" s="28" t="inlineStr"/>
    </row>
    <row r="676">
      <c r="A676" s="28" t="inlineStr">
        <is>
          <t>MARATHON_CANTON</t>
        </is>
      </c>
      <c r="B676" s="28" t="n">
        <v>2</v>
      </c>
      <c r="C676" s="28" t="inlineStr">
        <is>
          <t>I-Butane</t>
        </is>
      </c>
      <c r="D676" s="28" t="inlineStr">
        <is>
          <t>IC4Imports</t>
        </is>
      </c>
      <c r="E676" s="46" t="n">
        <v>1.45</v>
      </c>
      <c r="F676" s="46" t="n">
        <v>120.01</v>
      </c>
      <c r="G676" s="28" t="inlineStr">
        <is>
          <t>Light</t>
        </is>
      </c>
      <c r="H676" s="28" t="inlineStr"/>
    </row>
    <row r="677">
      <c r="A677" s="28" t="inlineStr">
        <is>
          <t>MARATHON_MANDAN</t>
        </is>
      </c>
      <c r="B677" s="28" t="n">
        <v>2</v>
      </c>
      <c r="C677" s="28" t="inlineStr">
        <is>
          <t>I-Butane</t>
        </is>
      </c>
      <c r="D677" s="28" t="inlineStr">
        <is>
          <t>IC4Imports</t>
        </is>
      </c>
      <c r="E677" s="46" t="n">
        <v>1.43</v>
      </c>
      <c r="F677" s="46" t="n">
        <v>120.01</v>
      </c>
      <c r="G677" s="28" t="inlineStr">
        <is>
          <t>Light</t>
        </is>
      </c>
      <c r="H677" s="28" t="inlineStr"/>
    </row>
    <row r="678">
      <c r="A678" s="28" t="inlineStr">
        <is>
          <t>MARATHON_ROBINSON</t>
        </is>
      </c>
      <c r="B678" s="28" t="n">
        <v>2</v>
      </c>
      <c r="C678" s="28" t="inlineStr">
        <is>
          <t>I-Butane</t>
        </is>
      </c>
      <c r="D678" s="28" t="inlineStr">
        <is>
          <t>IC4Imports</t>
        </is>
      </c>
      <c r="E678" s="46" t="n">
        <v>1.33</v>
      </c>
      <c r="F678" s="46" t="n">
        <v>120.01</v>
      </c>
      <c r="G678" s="28" t="inlineStr">
        <is>
          <t>Light</t>
        </is>
      </c>
      <c r="H678" s="28" t="inlineStr"/>
    </row>
    <row r="679">
      <c r="A679" s="28" t="inlineStr">
        <is>
          <t>CVR_WYNNEWOOD</t>
        </is>
      </c>
      <c r="B679" s="28" t="n">
        <v>2</v>
      </c>
      <c r="C679" s="28" t="inlineStr">
        <is>
          <t>I-Butane</t>
        </is>
      </c>
      <c r="D679" s="28" t="inlineStr">
        <is>
          <t>IC4Imports</t>
        </is>
      </c>
      <c r="E679" s="46" t="n">
        <v>0.77</v>
      </c>
      <c r="F679" s="46" t="n">
        <v>120.01</v>
      </c>
      <c r="G679" s="28" t="inlineStr">
        <is>
          <t>Light</t>
        </is>
      </c>
      <c r="H679" s="28" t="inlineStr"/>
    </row>
    <row r="680">
      <c r="A680" s="28" t="inlineStr">
        <is>
          <t>VALERO_ARDMORE</t>
        </is>
      </c>
      <c r="B680" s="28" t="n">
        <v>2</v>
      </c>
      <c r="C680" s="28" t="inlineStr">
        <is>
          <t>I-Butane</t>
        </is>
      </c>
      <c r="D680" s="28" t="inlineStr">
        <is>
          <t>IC4imports</t>
        </is>
      </c>
      <c r="E680" s="46" t="n">
        <v>0.15</v>
      </c>
      <c r="F680" s="46" t="n">
        <v>120.01</v>
      </c>
      <c r="G680" s="28" t="inlineStr">
        <is>
          <t>Light</t>
        </is>
      </c>
      <c r="H680" s="28" t="inlineStr"/>
    </row>
    <row r="681">
      <c r="A681" s="28" t="inlineStr">
        <is>
          <t>VALERO_SAINT_CHARLES</t>
        </is>
      </c>
      <c r="B681" s="28" t="n">
        <v>3</v>
      </c>
      <c r="C681" s="28" t="inlineStr">
        <is>
          <t>Atres - High Sulphur</t>
        </is>
      </c>
      <c r="D681" s="28" t="inlineStr">
        <is>
          <t>VDU</t>
        </is>
      </c>
      <c r="E681" s="46" t="n">
        <v>90</v>
      </c>
      <c r="F681" s="46" t="n">
        <v>16.86</v>
      </c>
      <c r="G681" s="28" t="inlineStr">
        <is>
          <t>Heavy</t>
        </is>
      </c>
      <c r="H681" s="28" t="inlineStr"/>
    </row>
    <row r="682">
      <c r="A682" s="28" t="inlineStr">
        <is>
          <t>MARATHON_GARYVILLE</t>
        </is>
      </c>
      <c r="B682" s="28" t="n">
        <v>3</v>
      </c>
      <c r="C682" s="28" t="inlineStr">
        <is>
          <t>VGO - Low Sulphur</t>
        </is>
      </c>
      <c r="D682" s="28" t="inlineStr">
        <is>
          <t>LVGO Spl</t>
        </is>
      </c>
      <c r="E682" s="46" t="n">
        <v>85</v>
      </c>
      <c r="F682" s="46" t="n">
        <v>27.19</v>
      </c>
      <c r="G682" s="28" t="inlineStr">
        <is>
          <t>Heavy</t>
        </is>
      </c>
      <c r="H682" s="28" t="inlineStr"/>
    </row>
    <row r="683">
      <c r="A683" s="28" t="inlineStr">
        <is>
          <t>XOM_BAYTOWN</t>
        </is>
      </c>
      <c r="B683" s="28" t="n">
        <v>3</v>
      </c>
      <c r="C683" s="28" t="inlineStr">
        <is>
          <t>VGO - Low Sulphur</t>
        </is>
      </c>
      <c r="D683" s="28" t="inlineStr">
        <is>
          <t>FCC</t>
        </is>
      </c>
      <c r="E683" s="46" t="n">
        <v>80</v>
      </c>
      <c r="F683" s="46" t="n">
        <v>27.19</v>
      </c>
      <c r="G683" s="28" t="inlineStr">
        <is>
          <t>Heavy</t>
        </is>
      </c>
      <c r="H683" s="28" t="inlineStr"/>
    </row>
    <row r="684">
      <c r="A684" s="28" t="inlineStr">
        <is>
          <t>VALERO_CORPUS_CHRISTI</t>
        </is>
      </c>
      <c r="B684" s="28" t="n">
        <v>3</v>
      </c>
      <c r="C684" s="28" t="inlineStr">
        <is>
          <t>Atres - High Sulphur</t>
        </is>
      </c>
      <c r="D684" s="28" t="inlineStr">
        <is>
          <t>VDU</t>
        </is>
      </c>
      <c r="E684" s="46" t="n">
        <v>40</v>
      </c>
      <c r="F684" s="46" t="n">
        <v>16.86</v>
      </c>
      <c r="G684" s="28" t="inlineStr">
        <is>
          <t>Heavy</t>
        </is>
      </c>
      <c r="H684" s="28" t="inlineStr"/>
    </row>
    <row r="685">
      <c r="A685" s="28" t="inlineStr">
        <is>
          <t>EXXONMOBIL_BATON_ROUGE</t>
        </is>
      </c>
      <c r="B685" s="28" t="n">
        <v>3</v>
      </c>
      <c r="C685" s="28" t="inlineStr">
        <is>
          <t>Atres - High Sulphur</t>
        </is>
      </c>
      <c r="D685" s="28" t="inlineStr">
        <is>
          <t>VDU</t>
        </is>
      </c>
      <c r="E685" s="46" t="n">
        <v>38</v>
      </c>
      <c r="F685" s="46" t="n">
        <v>16.86</v>
      </c>
      <c r="G685" s="28" t="inlineStr">
        <is>
          <t>Heavy</t>
        </is>
      </c>
      <c r="H685" s="28" t="inlineStr"/>
    </row>
    <row r="686">
      <c r="A686" s="28" t="inlineStr">
        <is>
          <t>EXXONMOBIL_BATON_ROUGE</t>
        </is>
      </c>
      <c r="B686" s="28" t="n">
        <v>3</v>
      </c>
      <c r="C686" s="28" t="inlineStr">
        <is>
          <t>VGO - High Sulphur</t>
        </is>
      </c>
      <c r="D686" s="28" t="inlineStr">
        <is>
          <t>FCC</t>
        </is>
      </c>
      <c r="E686" s="46" t="n">
        <v>35</v>
      </c>
      <c r="F686" s="46" t="n">
        <v>24.15</v>
      </c>
      <c r="G686" s="28" t="inlineStr">
        <is>
          <t>Heavy</t>
        </is>
      </c>
      <c r="H686" s="28" t="inlineStr"/>
    </row>
    <row r="687">
      <c r="A687" s="28" t="inlineStr">
        <is>
          <t>MPC_GALV_BAY</t>
        </is>
      </c>
      <c r="B687" s="28" t="n">
        <v>3</v>
      </c>
      <c r="C687" s="28" t="inlineStr">
        <is>
          <t>VGO - High Sulphur</t>
        </is>
      </c>
      <c r="D687" s="28" t="inlineStr">
        <is>
          <t>LVGO Spl</t>
        </is>
      </c>
      <c r="E687" s="46" t="n">
        <v>33</v>
      </c>
      <c r="F687" s="46" t="n">
        <v>24.15</v>
      </c>
      <c r="G687" s="28" t="inlineStr">
        <is>
          <t>Heavy</t>
        </is>
      </c>
      <c r="H687" s="28" t="inlineStr"/>
    </row>
    <row r="688">
      <c r="A688" s="28" t="inlineStr">
        <is>
          <t>MARATHON_GARYVILLE</t>
        </is>
      </c>
      <c r="B688" s="28" t="n">
        <v>3</v>
      </c>
      <c r="C688" s="28" t="inlineStr">
        <is>
          <t>Naphtha</t>
        </is>
      </c>
      <c r="D688" s="28" t="inlineStr">
        <is>
          <t>CCR</t>
        </is>
      </c>
      <c r="E688" s="46" t="n">
        <v>30</v>
      </c>
      <c r="F688" s="46" t="n">
        <v>56</v>
      </c>
      <c r="G688" s="28" t="inlineStr">
        <is>
          <t>Light</t>
        </is>
      </c>
      <c r="H688" s="36" t="inlineStr">
        <is>
          <t>BUYER</t>
        </is>
      </c>
    </row>
    <row r="689">
      <c r="A689" s="28" t="inlineStr">
        <is>
          <t>MARATHON_GARYVILLE</t>
        </is>
      </c>
      <c r="B689" s="28" t="n">
        <v>3</v>
      </c>
      <c r="C689" s="28" t="inlineStr">
        <is>
          <t>RuGo</t>
        </is>
      </c>
      <c r="D689" s="28" t="inlineStr">
        <is>
          <t>DHT</t>
        </is>
      </c>
      <c r="E689" s="46" t="n">
        <v>30</v>
      </c>
      <c r="F689" s="46" t="n">
        <v>38.98</v>
      </c>
      <c r="G689" s="28" t="inlineStr">
        <is>
          <t>Light</t>
        </is>
      </c>
      <c r="H689" s="28" t="inlineStr"/>
    </row>
    <row r="690">
      <c r="A690" s="28" t="inlineStr">
        <is>
          <t>PBF_CHALMETTE</t>
        </is>
      </c>
      <c r="B690" s="28" t="n">
        <v>3</v>
      </c>
      <c r="C690" s="28" t="inlineStr">
        <is>
          <t>Atres - High Sulphur</t>
        </is>
      </c>
      <c r="D690" s="28" t="inlineStr">
        <is>
          <t>VDU</t>
        </is>
      </c>
      <c r="E690" s="46" t="n">
        <v>30</v>
      </c>
      <c r="F690" s="46" t="n">
        <v>16.86</v>
      </c>
      <c r="G690" s="28" t="inlineStr">
        <is>
          <t>Heavy</t>
        </is>
      </c>
      <c r="H690" s="28" t="inlineStr"/>
    </row>
    <row r="691">
      <c r="A691" s="28" t="inlineStr">
        <is>
          <t>VALERO_SAINT_CHARLES</t>
        </is>
      </c>
      <c r="B691" s="28" t="n">
        <v>3</v>
      </c>
      <c r="C691" s="28" t="inlineStr">
        <is>
          <t>VGO - High Sulphur</t>
        </is>
      </c>
      <c r="D691" s="28" t="inlineStr">
        <is>
          <t>FCC</t>
        </is>
      </c>
      <c r="E691" s="46" t="n">
        <v>30</v>
      </c>
      <c r="F691" s="46" t="n">
        <v>24.15</v>
      </c>
      <c r="G691" s="28" t="inlineStr">
        <is>
          <t>Heavy</t>
        </is>
      </c>
      <c r="H691" s="28" t="inlineStr"/>
    </row>
    <row r="692">
      <c r="A692" s="28" t="inlineStr">
        <is>
          <t>VALERO_PORT_ARTHUR</t>
        </is>
      </c>
      <c r="B692" s="28" t="n">
        <v>3</v>
      </c>
      <c r="C692" s="28" t="inlineStr">
        <is>
          <t>Atres - High Sulphur</t>
        </is>
      </c>
      <c r="D692" s="28" t="inlineStr">
        <is>
          <t>VDU</t>
        </is>
      </c>
      <c r="E692" s="46" t="n">
        <v>20</v>
      </c>
      <c r="F692" s="46" t="n">
        <v>16.86</v>
      </c>
      <c r="G692" s="28" t="inlineStr">
        <is>
          <t>Heavy</t>
        </is>
      </c>
      <c r="H692" s="28" t="inlineStr"/>
    </row>
    <row r="693">
      <c r="A693" s="28" t="inlineStr">
        <is>
          <t>PHILLIPS_SWEENY</t>
        </is>
      </c>
      <c r="B693" s="28" t="n">
        <v>3</v>
      </c>
      <c r="C693" s="28" t="inlineStr">
        <is>
          <t>Atres - High Sulphur</t>
        </is>
      </c>
      <c r="D693" s="28" t="inlineStr">
        <is>
          <t>VDU</t>
        </is>
      </c>
      <c r="E693" s="46" t="n">
        <v>20</v>
      </c>
      <c r="F693" s="46" t="n">
        <v>16.86</v>
      </c>
      <c r="G693" s="28" t="inlineStr">
        <is>
          <t>Heavy</t>
        </is>
      </c>
      <c r="H693" s="28" t="inlineStr"/>
    </row>
    <row r="694">
      <c r="A694" s="28" t="inlineStr">
        <is>
          <t>XOM_BAYTOWN</t>
        </is>
      </c>
      <c r="B694" s="28" t="n">
        <v>3</v>
      </c>
      <c r="C694" s="28" t="inlineStr">
        <is>
          <t>VGO - High Sulphur</t>
        </is>
      </c>
      <c r="D694" s="28" t="inlineStr">
        <is>
          <t>CFHT</t>
        </is>
      </c>
      <c r="E694" s="46" t="n">
        <v>20</v>
      </c>
      <c r="F694" s="46" t="n">
        <v>24.15</v>
      </c>
      <c r="G694" s="28" t="inlineStr">
        <is>
          <t>Heavy</t>
        </is>
      </c>
      <c r="H694" s="28" t="inlineStr"/>
    </row>
    <row r="695">
      <c r="A695" s="28" t="inlineStr">
        <is>
          <t>MPC_GALV_BAY</t>
        </is>
      </c>
      <c r="B695" s="28" t="n">
        <v>3</v>
      </c>
      <c r="C695" s="28" t="inlineStr">
        <is>
          <t>I-Butane</t>
        </is>
      </c>
      <c r="D695" s="28" t="inlineStr">
        <is>
          <t>IC4Imports</t>
        </is>
      </c>
      <c r="E695" s="46" t="n">
        <v>17.3</v>
      </c>
      <c r="F695" s="46" t="n">
        <v>120.01</v>
      </c>
      <c r="G695" s="28" t="inlineStr">
        <is>
          <t>Light</t>
        </is>
      </c>
      <c r="H695" s="28" t="inlineStr"/>
    </row>
    <row r="696">
      <c r="A696" s="28" t="inlineStr">
        <is>
          <t>MOTIVA_PAR</t>
        </is>
      </c>
      <c r="B696" s="28" t="n">
        <v>3</v>
      </c>
      <c r="C696" s="28" t="inlineStr">
        <is>
          <t>Atres - High Sulphur</t>
        </is>
      </c>
      <c r="D696" s="28" t="inlineStr">
        <is>
          <t>VDU</t>
        </is>
      </c>
      <c r="E696" s="46" t="n">
        <v>17</v>
      </c>
      <c r="F696" s="46" t="n">
        <v>16.86</v>
      </c>
      <c r="G696" s="28" t="inlineStr">
        <is>
          <t>Heavy</t>
        </is>
      </c>
      <c r="H696" s="28" t="inlineStr"/>
    </row>
    <row r="697">
      <c r="A697" s="28" t="inlineStr">
        <is>
          <t>HF_ARTESIA</t>
        </is>
      </c>
      <c r="B697" s="28" t="n">
        <v>3</v>
      </c>
      <c r="C697" s="28" t="inlineStr">
        <is>
          <t>VGO - Low Sulphur</t>
        </is>
      </c>
      <c r="D697" s="28" t="inlineStr">
        <is>
          <t>VGOSPL</t>
        </is>
      </c>
      <c r="E697" s="46" t="n">
        <v>15</v>
      </c>
      <c r="F697" s="46" t="n">
        <v>27.19</v>
      </c>
      <c r="G697" s="28" t="inlineStr">
        <is>
          <t>Heavy</t>
        </is>
      </c>
      <c r="H697" s="28" t="inlineStr"/>
    </row>
    <row r="698">
      <c r="A698" s="28" t="inlineStr">
        <is>
          <t>PHILLIPS_SWEENY</t>
        </is>
      </c>
      <c r="B698" s="28" t="n">
        <v>3</v>
      </c>
      <c r="C698" s="28" t="inlineStr">
        <is>
          <t>VGO - High Sulphur</t>
        </is>
      </c>
      <c r="D698" s="28" t="inlineStr">
        <is>
          <t>CFHT</t>
        </is>
      </c>
      <c r="E698" s="46" t="n">
        <v>15</v>
      </c>
      <c r="F698" s="46" t="n">
        <v>24.15</v>
      </c>
      <c r="G698" s="28" t="inlineStr">
        <is>
          <t>Heavy</t>
        </is>
      </c>
      <c r="H698" s="28" t="inlineStr"/>
    </row>
    <row r="699">
      <c r="A699" s="28" t="inlineStr">
        <is>
          <t>VALERO_HOUSTON</t>
        </is>
      </c>
      <c r="B699" s="28" t="n">
        <v>3</v>
      </c>
      <c r="C699" s="28" t="inlineStr">
        <is>
          <t>I-Butane</t>
        </is>
      </c>
      <c r="D699" s="28" t="inlineStr">
        <is>
          <t>IC4imports</t>
        </is>
      </c>
      <c r="E699" s="46" t="n">
        <v>12.37</v>
      </c>
      <c r="F699" s="46" t="n">
        <v>120.01</v>
      </c>
      <c r="G699" s="28" t="inlineStr">
        <is>
          <t>Light</t>
        </is>
      </c>
      <c r="H699" s="28" t="inlineStr"/>
    </row>
    <row r="700">
      <c r="A700" s="28" t="inlineStr">
        <is>
          <t>CITGO_CORPUS_CHRISTI</t>
        </is>
      </c>
      <c r="B700" s="28" t="n">
        <v>3</v>
      </c>
      <c r="C700" s="28" t="inlineStr">
        <is>
          <t>I-Butane</t>
        </is>
      </c>
      <c r="D700" s="28" t="inlineStr">
        <is>
          <t>IC4Imports</t>
        </is>
      </c>
      <c r="E700" s="46" t="n">
        <v>10.69</v>
      </c>
      <c r="F700" s="46" t="n">
        <v>120.01</v>
      </c>
      <c r="G700" s="28" t="inlineStr">
        <is>
          <t>Light</t>
        </is>
      </c>
      <c r="H700" s="28" t="inlineStr"/>
    </row>
    <row r="701">
      <c r="A701" s="28" t="inlineStr">
        <is>
          <t>VALERO_TEXAS_CITY</t>
        </is>
      </c>
      <c r="B701" s="28" t="n">
        <v>3</v>
      </c>
      <c r="C701" s="28" t="inlineStr">
        <is>
          <t>VGO - High Sulphur</t>
        </is>
      </c>
      <c r="D701" s="28" t="inlineStr">
        <is>
          <t>CFHT</t>
        </is>
      </c>
      <c r="E701" s="46" t="n">
        <v>10</v>
      </c>
      <c r="F701" s="46" t="n">
        <v>24.15</v>
      </c>
      <c r="G701" s="28" t="inlineStr">
        <is>
          <t>Heavy</t>
        </is>
      </c>
      <c r="H701" s="28" t="inlineStr"/>
    </row>
    <row r="702">
      <c r="A702" s="28" t="inlineStr">
        <is>
          <t>VALERO_TEXAS_CITY</t>
        </is>
      </c>
      <c r="B702" s="28" t="n">
        <v>3</v>
      </c>
      <c r="C702" s="28" t="inlineStr">
        <is>
          <t>Atres - High Sulphur</t>
        </is>
      </c>
      <c r="D702" s="28" t="inlineStr">
        <is>
          <t>VDU</t>
        </is>
      </c>
      <c r="E702" s="46" t="n">
        <v>10</v>
      </c>
      <c r="F702" s="46" t="n">
        <v>16.86</v>
      </c>
      <c r="G702" s="28" t="inlineStr">
        <is>
          <t>Heavy</t>
        </is>
      </c>
      <c r="H702" s="28" t="inlineStr"/>
    </row>
    <row r="703">
      <c r="A703" s="28" t="inlineStr">
        <is>
          <t>CITGO_CORPUS_CHRISTI</t>
        </is>
      </c>
      <c r="B703" s="28" t="n">
        <v>3</v>
      </c>
      <c r="C703" s="28" t="inlineStr">
        <is>
          <t>Atres - High Sulphur</t>
        </is>
      </c>
      <c r="D703" s="28" t="inlineStr">
        <is>
          <t>VDU</t>
        </is>
      </c>
      <c r="E703" s="46" t="n">
        <v>7</v>
      </c>
      <c r="F703" s="46" t="n">
        <v>21.92</v>
      </c>
      <c r="G703" s="28" t="inlineStr">
        <is>
          <t>Heavy</t>
        </is>
      </c>
      <c r="H703" s="28" t="inlineStr"/>
    </row>
    <row r="704">
      <c r="A704" s="28" t="inlineStr">
        <is>
          <t>VALERO_THREE_RIVERS</t>
        </is>
      </c>
      <c r="B704" s="28" t="n">
        <v>3</v>
      </c>
      <c r="C704" s="28" t="inlineStr">
        <is>
          <t>Atres - High Sulphur</t>
        </is>
      </c>
      <c r="D704" s="28" t="inlineStr">
        <is>
          <t>VDU</t>
        </is>
      </c>
      <c r="E704" s="46" t="n">
        <v>7</v>
      </c>
      <c r="F704" s="46" t="n">
        <v>16.86</v>
      </c>
      <c r="G704" s="28" t="inlineStr">
        <is>
          <t>Heavy</t>
        </is>
      </c>
      <c r="H704" s="28" t="inlineStr"/>
    </row>
    <row r="705">
      <c r="A705" s="28" t="inlineStr">
        <is>
          <t>SHELL_NORCO</t>
        </is>
      </c>
      <c r="B705" s="28" t="n">
        <v>3</v>
      </c>
      <c r="C705" s="28" t="inlineStr">
        <is>
          <t>VGO - Low Sulphur</t>
        </is>
      </c>
      <c r="D705" s="28" t="inlineStr">
        <is>
          <t>RFCC</t>
        </is>
      </c>
      <c r="E705" s="46" t="n">
        <v>7</v>
      </c>
      <c r="F705" s="46" t="n">
        <v>22.3</v>
      </c>
      <c r="G705" s="28" t="inlineStr">
        <is>
          <t>Heavy</t>
        </is>
      </c>
      <c r="H705" s="28" t="inlineStr"/>
    </row>
    <row r="706">
      <c r="A706" s="28" t="inlineStr">
        <is>
          <t>EXXONMOBIL_BATON_ROUGE</t>
        </is>
      </c>
      <c r="B706" s="28" t="n">
        <v>3</v>
      </c>
      <c r="C706" s="28" t="inlineStr">
        <is>
          <t>I-Butane</t>
        </is>
      </c>
      <c r="D706" s="28" t="inlineStr">
        <is>
          <t>IC4imports</t>
        </is>
      </c>
      <c r="E706" s="46" t="n">
        <v>6.44</v>
      </c>
      <c r="F706" s="46" t="n">
        <v>120.01</v>
      </c>
      <c r="G706" s="28" t="inlineStr">
        <is>
          <t>Light</t>
        </is>
      </c>
      <c r="H706" s="28" t="inlineStr"/>
    </row>
    <row r="707">
      <c r="A707" s="28" t="inlineStr">
        <is>
          <t>VALERO_PORT_ARTHUR</t>
        </is>
      </c>
      <c r="B707" s="28" t="n">
        <v>3</v>
      </c>
      <c r="C707" s="28" t="inlineStr">
        <is>
          <t>I-Butane</t>
        </is>
      </c>
      <c r="D707" s="28" t="inlineStr">
        <is>
          <t>IC4imports</t>
        </is>
      </c>
      <c r="E707" s="46" t="n">
        <v>6.15</v>
      </c>
      <c r="F707" s="46" t="n">
        <v>120.01</v>
      </c>
      <c r="G707" s="28" t="inlineStr">
        <is>
          <t>Light</t>
        </is>
      </c>
      <c r="H707" s="28" t="inlineStr"/>
    </row>
    <row r="708">
      <c r="A708" s="28" t="inlineStr">
        <is>
          <t>PEMEX_DEER_PARK</t>
        </is>
      </c>
      <c r="B708" s="28" t="n">
        <v>3</v>
      </c>
      <c r="C708" s="28" t="inlineStr">
        <is>
          <t>VGO - High Sulphur</t>
        </is>
      </c>
      <c r="D708" s="28" t="inlineStr">
        <is>
          <t>FCC</t>
        </is>
      </c>
      <c r="E708" s="46" t="n">
        <v>6</v>
      </c>
      <c r="F708" s="46" t="n">
        <v>24.15</v>
      </c>
      <c r="G708" s="28" t="inlineStr">
        <is>
          <t>Heavy</t>
        </is>
      </c>
      <c r="H708" s="28" t="inlineStr"/>
    </row>
    <row r="709">
      <c r="A709" s="28" t="inlineStr">
        <is>
          <t>VALERO_PORT_ARTHUR</t>
        </is>
      </c>
      <c r="B709" s="28" t="n">
        <v>3</v>
      </c>
      <c r="C709" s="28" t="inlineStr">
        <is>
          <t>VGO - High Sulphur</t>
        </is>
      </c>
      <c r="D709" s="28" t="inlineStr">
        <is>
          <t>DHCU</t>
        </is>
      </c>
      <c r="E709" s="46" t="n">
        <v>5</v>
      </c>
      <c r="F709" s="46" t="n">
        <v>24.15</v>
      </c>
      <c r="G709" s="28" t="inlineStr">
        <is>
          <t>Heavy</t>
        </is>
      </c>
      <c r="H709" s="28" t="inlineStr"/>
    </row>
    <row r="710">
      <c r="A710" s="28" t="inlineStr">
        <is>
          <t>CHEVRON_PASCAGOULA</t>
        </is>
      </c>
      <c r="B710" s="28" t="n">
        <v>3</v>
      </c>
      <c r="C710" s="28" t="inlineStr">
        <is>
          <t>VGO - Low Sulphur</t>
        </is>
      </c>
      <c r="D710" s="28" t="inlineStr">
        <is>
          <t>FCC</t>
        </is>
      </c>
      <c r="E710" s="46" t="n">
        <v>5</v>
      </c>
      <c r="F710" s="46" t="n">
        <v>27.19</v>
      </c>
      <c r="G710" s="28" t="inlineStr">
        <is>
          <t>Heavy</t>
        </is>
      </c>
      <c r="H710" s="28" t="inlineStr"/>
    </row>
    <row r="711">
      <c r="A711" s="28" t="inlineStr">
        <is>
          <t>PEMEX_DEER_PARK</t>
        </is>
      </c>
      <c r="B711" s="28" t="n">
        <v>3</v>
      </c>
      <c r="C711" s="28" t="inlineStr">
        <is>
          <t>I-Butane</t>
        </is>
      </c>
      <c r="D711" s="28" t="inlineStr">
        <is>
          <t>IC4imports</t>
        </is>
      </c>
      <c r="E711" s="46" t="n">
        <v>4.79</v>
      </c>
      <c r="F711" s="46" t="n">
        <v>120.01</v>
      </c>
      <c r="G711" s="28" t="inlineStr">
        <is>
          <t>Light</t>
        </is>
      </c>
      <c r="H711" s="28" t="inlineStr"/>
    </row>
    <row r="712">
      <c r="A712" s="28" t="inlineStr">
        <is>
          <t>PHILLIPS_SWEENY</t>
        </is>
      </c>
      <c r="B712" s="28" t="n">
        <v>3</v>
      </c>
      <c r="C712" s="28" t="inlineStr">
        <is>
          <t>I-Butane</t>
        </is>
      </c>
      <c r="D712" s="28" t="inlineStr">
        <is>
          <t>IC4imports</t>
        </is>
      </c>
      <c r="E712" s="46" t="n">
        <v>4.14</v>
      </c>
      <c r="F712" s="46" t="n">
        <v>120.01</v>
      </c>
      <c r="G712" s="28" t="inlineStr">
        <is>
          <t>Light</t>
        </is>
      </c>
      <c r="H712" s="28" t="inlineStr"/>
    </row>
    <row r="713">
      <c r="A713" s="28" t="inlineStr">
        <is>
          <t>VALERO_TEXAS_CITY</t>
        </is>
      </c>
      <c r="B713" s="28" t="n">
        <v>3</v>
      </c>
      <c r="C713" s="28" t="inlineStr">
        <is>
          <t>I-Butane</t>
        </is>
      </c>
      <c r="D713" s="28" t="inlineStr">
        <is>
          <t>IC4imports</t>
        </is>
      </c>
      <c r="E713" s="46" t="n">
        <v>3.97</v>
      </c>
      <c r="F713" s="46" t="n">
        <v>120.01</v>
      </c>
      <c r="G713" s="28" t="inlineStr">
        <is>
          <t>Light</t>
        </is>
      </c>
      <c r="H713" s="28" t="inlineStr"/>
    </row>
    <row r="714">
      <c r="A714" s="28" t="inlineStr">
        <is>
          <t>CITGO_LAKE_CHARLES</t>
        </is>
      </c>
      <c r="B714" s="28" t="n">
        <v>3</v>
      </c>
      <c r="C714" s="28" t="inlineStr">
        <is>
          <t>I-Butane</t>
        </is>
      </c>
      <c r="D714" s="28" t="inlineStr">
        <is>
          <t>IC4Imports</t>
        </is>
      </c>
      <c r="E714" s="46" t="n">
        <v>3.32</v>
      </c>
      <c r="F714" s="46" t="n">
        <v>120.01</v>
      </c>
      <c r="G714" s="28" t="inlineStr">
        <is>
          <t>Light</t>
        </is>
      </c>
      <c r="H714" s="28" t="inlineStr"/>
    </row>
    <row r="715">
      <c r="A715" s="28" t="inlineStr">
        <is>
          <t>VALERO_SAINT_CHARLES</t>
        </is>
      </c>
      <c r="B715" s="28" t="n">
        <v>3</v>
      </c>
      <c r="C715" s="28" t="inlineStr">
        <is>
          <t>I-Butane</t>
        </is>
      </c>
      <c r="D715" s="28" t="inlineStr">
        <is>
          <t>IC4imports</t>
        </is>
      </c>
      <c r="E715" s="46" t="n">
        <v>3.15</v>
      </c>
      <c r="F715" s="46" t="n">
        <v>120.01</v>
      </c>
      <c r="G715" s="28" t="inlineStr">
        <is>
          <t>Light</t>
        </is>
      </c>
      <c r="H715" s="28" t="inlineStr"/>
    </row>
    <row r="716">
      <c r="A716" s="28" t="inlineStr">
        <is>
          <t>HF_ARTESIA</t>
        </is>
      </c>
      <c r="B716" s="28" t="n">
        <v>3</v>
      </c>
      <c r="C716" s="28" t="inlineStr">
        <is>
          <t>Crude Animal Fats</t>
        </is>
      </c>
      <c r="D716" s="28" t="inlineStr">
        <is>
          <t>HVOHT</t>
        </is>
      </c>
      <c r="E716" s="46" t="n">
        <v>3.06</v>
      </c>
      <c r="F716" s="46" t="n">
        <v>23.99</v>
      </c>
      <c r="G716" s="28" t="inlineStr">
        <is>
          <t>Heavy</t>
        </is>
      </c>
      <c r="H716" s="28" t="inlineStr"/>
    </row>
    <row r="717">
      <c r="A717" s="28" t="inlineStr">
        <is>
          <t>HF_ARTESIA</t>
        </is>
      </c>
      <c r="B717" s="28" t="n">
        <v>3</v>
      </c>
      <c r="C717" s="28" t="inlineStr">
        <is>
          <t>Crude Veg Oils</t>
        </is>
      </c>
      <c r="D717" s="28" t="inlineStr">
        <is>
          <t>HVOHT</t>
        </is>
      </c>
      <c r="E717" s="46" t="n">
        <v>3.04</v>
      </c>
      <c r="F717" s="46" t="n">
        <v>23.99</v>
      </c>
      <c r="G717" s="28" t="inlineStr">
        <is>
          <t>Heavy</t>
        </is>
      </c>
      <c r="H717" s="28" t="inlineStr"/>
    </row>
    <row r="718">
      <c r="A718" s="28" t="inlineStr">
        <is>
          <t>VERTEX_MOBILE</t>
        </is>
      </c>
      <c r="B718" s="28" t="n">
        <v>3</v>
      </c>
      <c r="C718" s="28" t="inlineStr">
        <is>
          <t>Crude Veg Oils</t>
        </is>
      </c>
      <c r="D718" s="28" t="inlineStr">
        <is>
          <t>HVOHT</t>
        </is>
      </c>
      <c r="E718" s="46" t="n">
        <v>2.97</v>
      </c>
      <c r="F718" s="46" t="n">
        <v>23.99</v>
      </c>
      <c r="G718" s="28" t="inlineStr">
        <is>
          <t>Heavy</t>
        </is>
      </c>
      <c r="H718" s="28" t="inlineStr"/>
    </row>
    <row r="719">
      <c r="A719" s="28" t="inlineStr">
        <is>
          <t>DELEK_EL_DORADO_AR</t>
        </is>
      </c>
      <c r="B719" s="28" t="n">
        <v>3</v>
      </c>
      <c r="C719" s="28" t="inlineStr">
        <is>
          <t>Atres - High Sulphur</t>
        </is>
      </c>
      <c r="D719" s="28" t="inlineStr">
        <is>
          <t>VDU</t>
        </is>
      </c>
      <c r="E719" s="46" t="n">
        <v>2.89</v>
      </c>
      <c r="F719" s="46" t="n">
        <v>9.949999999999999</v>
      </c>
      <c r="G719" s="28" t="inlineStr">
        <is>
          <t>Heavy</t>
        </is>
      </c>
      <c r="H719" s="28" t="inlineStr"/>
    </row>
    <row r="720">
      <c r="A720" s="28" t="inlineStr">
        <is>
          <t>PBF_CHALMETTE</t>
        </is>
      </c>
      <c r="B720" s="28" t="n">
        <v>3</v>
      </c>
      <c r="C720" s="28" t="inlineStr">
        <is>
          <t>Butane</t>
        </is>
      </c>
      <c r="D720" s="28" t="inlineStr">
        <is>
          <t>NC4Imports</t>
        </is>
      </c>
      <c r="E720" s="46" t="n">
        <v>2.03</v>
      </c>
      <c r="F720" s="46" t="n">
        <v>112.47</v>
      </c>
      <c r="G720" s="28" t="inlineStr">
        <is>
          <t>Light</t>
        </is>
      </c>
      <c r="H720" s="28" t="inlineStr"/>
    </row>
    <row r="721">
      <c r="A721" s="28" t="inlineStr">
        <is>
          <t>MARATHON_EL_PASO</t>
        </is>
      </c>
      <c r="B721" s="28" t="n">
        <v>3</v>
      </c>
      <c r="C721" s="28" t="inlineStr">
        <is>
          <t>Butane</t>
        </is>
      </c>
      <c r="D721" s="28" t="inlineStr">
        <is>
          <t>NC4Imports</t>
        </is>
      </c>
      <c r="E721" s="46" t="n">
        <v>1.8</v>
      </c>
      <c r="F721" s="46" t="n">
        <v>112.47</v>
      </c>
      <c r="G721" s="28" t="inlineStr">
        <is>
          <t>Light</t>
        </is>
      </c>
      <c r="H721" s="28" t="inlineStr"/>
    </row>
    <row r="722">
      <c r="A722" s="28" t="inlineStr">
        <is>
          <t>SHELL_NORCO</t>
        </is>
      </c>
      <c r="B722" s="28" t="n">
        <v>3</v>
      </c>
      <c r="C722" s="28" t="inlineStr">
        <is>
          <t>I-Butane</t>
        </is>
      </c>
      <c r="D722" s="28" t="inlineStr">
        <is>
          <t>IC4imports</t>
        </is>
      </c>
      <c r="E722" s="46" t="n">
        <v>1.8</v>
      </c>
      <c r="F722" s="46" t="n">
        <v>120.01</v>
      </c>
      <c r="G722" s="28" t="inlineStr">
        <is>
          <t>Light</t>
        </is>
      </c>
      <c r="H722" s="28" t="inlineStr"/>
    </row>
    <row r="723">
      <c r="A723" s="28" t="inlineStr">
        <is>
          <t>PLACID_PORT_ALLEN</t>
        </is>
      </c>
      <c r="B723" s="28" t="n">
        <v>3</v>
      </c>
      <c r="C723" s="28" t="inlineStr">
        <is>
          <t>I-Butane</t>
        </is>
      </c>
      <c r="D723" s="28" t="inlineStr">
        <is>
          <t>IC4Imports</t>
        </is>
      </c>
      <c r="E723" s="46" t="n">
        <v>1.63</v>
      </c>
      <c r="F723" s="46" t="n">
        <v>120.01</v>
      </c>
      <c r="G723" s="28" t="inlineStr">
        <is>
          <t>Light</t>
        </is>
      </c>
      <c r="H723" s="28" t="inlineStr"/>
    </row>
    <row r="724">
      <c r="A724" s="28" t="inlineStr">
        <is>
          <t>CHEVRON_PASCAGOULA</t>
        </is>
      </c>
      <c r="B724" s="28" t="n">
        <v>3</v>
      </c>
      <c r="C724" s="28" t="inlineStr">
        <is>
          <t>I-Butane</t>
        </is>
      </c>
      <c r="D724" s="28" t="inlineStr">
        <is>
          <t>IC4Imports</t>
        </is>
      </c>
      <c r="E724" s="46" t="n">
        <v>1.56</v>
      </c>
      <c r="F724" s="46" t="n">
        <v>120.01</v>
      </c>
      <c r="G724" s="28" t="inlineStr">
        <is>
          <t>Light</t>
        </is>
      </c>
      <c r="H724" s="28" t="inlineStr"/>
    </row>
    <row r="725">
      <c r="A725" s="28" t="inlineStr">
        <is>
          <t>FLINT_CORPUS_CHRISTI</t>
        </is>
      </c>
      <c r="B725" s="28" t="n">
        <v>3</v>
      </c>
      <c r="C725" s="28" t="inlineStr">
        <is>
          <t>I-Butane</t>
        </is>
      </c>
      <c r="D725" s="28" t="inlineStr">
        <is>
          <t>IC4imports</t>
        </is>
      </c>
      <c r="E725" s="46" t="n">
        <v>1.38</v>
      </c>
      <c r="F725" s="46" t="n">
        <v>120.01</v>
      </c>
      <c r="G725" s="28" t="inlineStr">
        <is>
          <t>Light</t>
        </is>
      </c>
      <c r="H725" s="28" t="inlineStr"/>
    </row>
    <row r="726">
      <c r="A726" s="28" t="inlineStr">
        <is>
          <t>HF_ARTESIA</t>
        </is>
      </c>
      <c r="B726" s="28" t="n">
        <v>3</v>
      </c>
      <c r="C726" s="28" t="inlineStr">
        <is>
          <t>I-Butane</t>
        </is>
      </c>
      <c r="D726" s="28" t="inlineStr">
        <is>
          <t>IC4Imports</t>
        </is>
      </c>
      <c r="E726" s="46" t="n">
        <v>1.32</v>
      </c>
      <c r="F726" s="46" t="n">
        <v>120.01</v>
      </c>
      <c r="G726" s="28" t="inlineStr">
        <is>
          <t>Light</t>
        </is>
      </c>
      <c r="H726" s="28" t="inlineStr"/>
    </row>
    <row r="727">
      <c r="A727" s="28" t="inlineStr">
        <is>
          <t>DELEK_TYLER</t>
        </is>
      </c>
      <c r="B727" s="28" t="n">
        <v>3</v>
      </c>
      <c r="C727" s="28" t="inlineStr">
        <is>
          <t>I-Butane</t>
        </is>
      </c>
      <c r="D727" s="28" t="inlineStr">
        <is>
          <t>IC4Imports</t>
        </is>
      </c>
      <c r="E727" s="46" t="n">
        <v>0.72</v>
      </c>
      <c r="F727" s="46" t="n">
        <v>120.01</v>
      </c>
      <c r="G727" s="28" t="inlineStr">
        <is>
          <t>Light</t>
        </is>
      </c>
      <c r="H727" s="28" t="inlineStr"/>
    </row>
    <row r="728">
      <c r="A728" s="28" t="inlineStr">
        <is>
          <t>MOTIVA_PAR</t>
        </is>
      </c>
      <c r="B728" s="28" t="n">
        <v>3</v>
      </c>
      <c r="C728" s="28" t="inlineStr">
        <is>
          <t>I-Butane</t>
        </is>
      </c>
      <c r="D728" s="28" t="inlineStr">
        <is>
          <t>IC4imports</t>
        </is>
      </c>
      <c r="E728" s="46" t="n">
        <v>0.68</v>
      </c>
      <c r="F728" s="46" t="n">
        <v>120.01</v>
      </c>
      <c r="G728" s="28" t="inlineStr">
        <is>
          <t>Light</t>
        </is>
      </c>
      <c r="H728" s="28" t="inlineStr"/>
    </row>
    <row r="729">
      <c r="A729" s="28" t="inlineStr">
        <is>
          <t>ALON_BIG_SPRINGS</t>
        </is>
      </c>
      <c r="B729" s="28" t="n">
        <v>3</v>
      </c>
      <c r="C729" s="28" t="inlineStr">
        <is>
          <t>I-Butane</t>
        </is>
      </c>
      <c r="D729" s="28" t="inlineStr">
        <is>
          <t>IC4Imports</t>
        </is>
      </c>
      <c r="E729" s="46" t="n">
        <v>0.54</v>
      </c>
      <c r="F729" s="46" t="n">
        <v>120.01</v>
      </c>
      <c r="G729" s="28" t="inlineStr">
        <is>
          <t>Light</t>
        </is>
      </c>
      <c r="H729" s="28" t="inlineStr"/>
    </row>
    <row r="730">
      <c r="A730" s="28" t="inlineStr">
        <is>
          <t>HF_WOODS_CROSS</t>
        </is>
      </c>
      <c r="B730" s="28" t="n">
        <v>4</v>
      </c>
      <c r="C730" s="28" t="inlineStr">
        <is>
          <t>VGO - Low Sulphur</t>
        </is>
      </c>
      <c r="D730" s="28" t="inlineStr">
        <is>
          <t>DHCU</t>
        </is>
      </c>
      <c r="E730" s="46" t="n">
        <v>5.8</v>
      </c>
      <c r="F730" s="46" t="n">
        <v>27.19</v>
      </c>
      <c r="G730" s="28" t="inlineStr">
        <is>
          <t>Heavy</t>
        </is>
      </c>
      <c r="H730" s="28" t="inlineStr"/>
    </row>
    <row r="731">
      <c r="A731" s="28" t="inlineStr">
        <is>
          <t>SINCLAIR_SINCLAIR</t>
        </is>
      </c>
      <c r="B731" s="28" t="n">
        <v>4</v>
      </c>
      <c r="C731" s="28" t="inlineStr">
        <is>
          <t>Crude Veg Oils</t>
        </is>
      </c>
      <c r="D731" s="28" t="inlineStr">
        <is>
          <t>HVOHT</t>
        </is>
      </c>
      <c r="E731" s="46" t="n">
        <v>5.08</v>
      </c>
      <c r="F731" s="46" t="n">
        <v>23.99</v>
      </c>
      <c r="G731" s="28" t="inlineStr">
        <is>
          <t>Heavy</t>
        </is>
      </c>
      <c r="H731" s="28" t="inlineStr"/>
    </row>
    <row r="732">
      <c r="A732" s="28" t="inlineStr">
        <is>
          <t>CHS_LAUREL</t>
        </is>
      </c>
      <c r="B732" s="28" t="n">
        <v>4</v>
      </c>
      <c r="C732" s="28" t="inlineStr">
        <is>
          <t>VGO - Low Sulphur</t>
        </is>
      </c>
      <c r="D732" s="28" t="inlineStr">
        <is>
          <t>FCC</t>
        </is>
      </c>
      <c r="E732" s="46" t="n">
        <v>4</v>
      </c>
      <c r="F732" s="46" t="n">
        <v>27.19</v>
      </c>
      <c r="G732" s="28" t="inlineStr">
        <is>
          <t>Heavy</t>
        </is>
      </c>
      <c r="H732" s="28" t="inlineStr"/>
    </row>
    <row r="733">
      <c r="A733" s="28" t="inlineStr">
        <is>
          <t>HF_WOODS_CROSS</t>
        </is>
      </c>
      <c r="B733" s="28" t="n">
        <v>4</v>
      </c>
      <c r="C733" s="28" t="inlineStr">
        <is>
          <t>I-Butane</t>
        </is>
      </c>
      <c r="D733" s="28" t="inlineStr">
        <is>
          <t>IC4Imports</t>
        </is>
      </c>
      <c r="E733" s="46" t="n">
        <v>2.15</v>
      </c>
      <c r="F733" s="46" t="n">
        <v>120.01</v>
      </c>
      <c r="G733" s="28" t="inlineStr">
        <is>
          <t>Light</t>
        </is>
      </c>
      <c r="H733" s="28" t="inlineStr"/>
    </row>
    <row r="734">
      <c r="A734" s="28" t="inlineStr">
        <is>
          <t>PAR_BILLINGS</t>
        </is>
      </c>
      <c r="B734" s="28" t="n">
        <v>4</v>
      </c>
      <c r="C734" s="28" t="inlineStr">
        <is>
          <t>I-Butane</t>
        </is>
      </c>
      <c r="D734" s="28" t="inlineStr">
        <is>
          <t>IC4imports</t>
        </is>
      </c>
      <c r="E734" s="46" t="n">
        <v>1.09</v>
      </c>
      <c r="F734" s="46" t="n">
        <v>120.01</v>
      </c>
      <c r="G734" s="28" t="inlineStr">
        <is>
          <t>Light</t>
        </is>
      </c>
      <c r="H734" s="28" t="inlineStr"/>
    </row>
    <row r="735">
      <c r="A735" s="28" t="inlineStr">
        <is>
          <t>MARATHON_SALT_LAKE_CITY</t>
        </is>
      </c>
      <c r="B735" s="28" t="n">
        <v>4</v>
      </c>
      <c r="C735" s="28" t="inlineStr">
        <is>
          <t>I-Butane</t>
        </is>
      </c>
      <c r="D735" s="28" t="inlineStr">
        <is>
          <t>IC4Imports</t>
        </is>
      </c>
      <c r="E735" s="46" t="n">
        <v>1.05</v>
      </c>
      <c r="F735" s="46" t="n">
        <v>120.01</v>
      </c>
      <c r="G735" s="28" t="inlineStr">
        <is>
          <t>Light</t>
        </is>
      </c>
      <c r="H735" s="28" t="inlineStr"/>
    </row>
    <row r="736">
      <c r="A736" s="28" t="inlineStr">
        <is>
          <t>CHEVRON_SALT_LAKE_CITY</t>
        </is>
      </c>
      <c r="B736" s="28" t="n">
        <v>4</v>
      </c>
      <c r="C736" s="28" t="inlineStr">
        <is>
          <t>Butane</t>
        </is>
      </c>
      <c r="D736" s="28" t="inlineStr">
        <is>
          <t>NC4Imports</t>
        </is>
      </c>
      <c r="E736" s="46" t="n">
        <v>0.48</v>
      </c>
      <c r="F736" s="46" t="n">
        <v>112.47</v>
      </c>
      <c r="G736" s="28" t="inlineStr">
        <is>
          <t>Light</t>
        </is>
      </c>
      <c r="H736" s="28" t="inlineStr"/>
    </row>
    <row r="737">
      <c r="A737" s="28" t="inlineStr">
        <is>
          <t>PBF_MARTINEZ</t>
        </is>
      </c>
      <c r="B737" s="28" t="n">
        <v>5</v>
      </c>
      <c r="C737" s="28" t="inlineStr">
        <is>
          <t>VGO - Low Sulphur</t>
        </is>
      </c>
      <c r="D737" s="28" t="inlineStr">
        <is>
          <t>FCC</t>
        </is>
      </c>
      <c r="E737" s="46" t="n">
        <v>37</v>
      </c>
      <c r="F737" s="46" t="n">
        <v>27.19</v>
      </c>
      <c r="G737" s="28" t="inlineStr">
        <is>
          <t>Heavy</t>
        </is>
      </c>
      <c r="H737" s="28" t="inlineStr"/>
    </row>
    <row r="738">
      <c r="A738" s="28" t="inlineStr">
        <is>
          <t>VALERO_BENICIA</t>
        </is>
      </c>
      <c r="B738" s="28" t="n">
        <v>5</v>
      </c>
      <c r="C738" s="28" t="inlineStr">
        <is>
          <t>VGO - High Sulphur</t>
        </is>
      </c>
      <c r="D738" s="28" t="inlineStr">
        <is>
          <t>FCC</t>
        </is>
      </c>
      <c r="E738" s="46" t="n">
        <v>22</v>
      </c>
      <c r="F738" s="46" t="n">
        <v>24.15</v>
      </c>
      <c r="G738" s="28" t="inlineStr">
        <is>
          <t>Heavy</t>
        </is>
      </c>
      <c r="H738" s="28" t="inlineStr"/>
    </row>
    <row r="739">
      <c r="A739" s="28" t="inlineStr">
        <is>
          <t>CHEVRON_RICHMOND</t>
        </is>
      </c>
      <c r="B739" s="28" t="n">
        <v>5</v>
      </c>
      <c r="C739" s="28" t="inlineStr">
        <is>
          <t>VGO - Low Sulphur</t>
        </is>
      </c>
      <c r="D739" s="28" t="inlineStr">
        <is>
          <t>DHCU</t>
        </is>
      </c>
      <c r="E739" s="46" t="n">
        <v>13.87</v>
      </c>
      <c r="F739" s="46" t="n">
        <v>27.19</v>
      </c>
      <c r="G739" s="28" t="inlineStr">
        <is>
          <t>Heavy</t>
        </is>
      </c>
      <c r="H739" s="28" t="inlineStr"/>
    </row>
    <row r="740">
      <c r="A740" s="28" t="inlineStr">
        <is>
          <t>VALERO_LOS_ANGELES</t>
        </is>
      </c>
      <c r="B740" s="28" t="n">
        <v>5</v>
      </c>
      <c r="C740" s="28" t="inlineStr">
        <is>
          <t>VGO - High Sulphur</t>
        </is>
      </c>
      <c r="D740" s="28" t="inlineStr">
        <is>
          <t>CFHT</t>
        </is>
      </c>
      <c r="E740" s="46" t="n">
        <v>10</v>
      </c>
      <c r="F740" s="46" t="n">
        <v>24.15</v>
      </c>
      <c r="G740" s="28" t="inlineStr">
        <is>
          <t>Heavy</t>
        </is>
      </c>
      <c r="H740" s="28" t="inlineStr"/>
    </row>
    <row r="741">
      <c r="A741" s="28" t="inlineStr">
        <is>
          <t>MARATHON_ANACORTES</t>
        </is>
      </c>
      <c r="B741" s="28" t="n">
        <v>5</v>
      </c>
      <c r="C741" s="28" t="inlineStr">
        <is>
          <t>VGO - Low Sulphur</t>
        </is>
      </c>
      <c r="D741" s="28" t="inlineStr">
        <is>
          <t>FCC</t>
        </is>
      </c>
      <c r="E741" s="46" t="n">
        <v>8</v>
      </c>
      <c r="F741" s="46" t="n">
        <v>27.19</v>
      </c>
      <c r="G741" s="28" t="inlineStr">
        <is>
          <t>Heavy</t>
        </is>
      </c>
      <c r="H741" s="28" t="inlineStr"/>
    </row>
    <row r="742">
      <c r="A742" s="28" t="inlineStr">
        <is>
          <t>PHILLIPS_LOS_ANGELES</t>
        </is>
      </c>
      <c r="B742" s="28" t="n">
        <v>5</v>
      </c>
      <c r="C742" s="28" t="inlineStr">
        <is>
          <t>VGO - High Sulphur</t>
        </is>
      </c>
      <c r="D742" s="28" t="inlineStr">
        <is>
          <t>FCC</t>
        </is>
      </c>
      <c r="E742" s="46" t="n">
        <v>8</v>
      </c>
      <c r="F742" s="46" t="n">
        <v>24.15</v>
      </c>
      <c r="G742" s="28" t="inlineStr">
        <is>
          <t>Heavy</t>
        </is>
      </c>
      <c r="H742" s="28" t="inlineStr"/>
    </row>
    <row r="743">
      <c r="A743" s="28" t="inlineStr">
        <is>
          <t>PBF_TORRANCE</t>
        </is>
      </c>
      <c r="B743" s="28" t="n">
        <v>5</v>
      </c>
      <c r="C743" s="28" t="inlineStr">
        <is>
          <t>VGO - Low Sulphur</t>
        </is>
      </c>
      <c r="D743" s="28" t="inlineStr">
        <is>
          <t>DHCUN</t>
        </is>
      </c>
      <c r="E743" s="46" t="n">
        <v>5</v>
      </c>
      <c r="F743" s="46" t="n">
        <v>27.19</v>
      </c>
      <c r="G743" s="28" t="inlineStr">
        <is>
          <t>Heavy</t>
        </is>
      </c>
      <c r="H743" s="28" t="inlineStr"/>
    </row>
    <row r="744">
      <c r="A744" s="28" t="inlineStr">
        <is>
          <t>BP_FERNDALE</t>
        </is>
      </c>
      <c r="B744" s="28" t="n">
        <v>5</v>
      </c>
      <c r="C744" s="28" t="inlineStr">
        <is>
          <t>Crude Animal Fats</t>
        </is>
      </c>
      <c r="D744" s="28" t="inlineStr">
        <is>
          <t>HVOHT</t>
        </is>
      </c>
      <c r="E744" s="46" t="n">
        <v>3.26</v>
      </c>
      <c r="F744" s="46" t="n">
        <v>23.99</v>
      </c>
      <c r="G744" s="28" t="inlineStr">
        <is>
          <t>Heavy</t>
        </is>
      </c>
      <c r="H744" s="28" t="inlineStr"/>
    </row>
    <row r="745">
      <c r="A745" s="28" t="inlineStr">
        <is>
          <t>CHEVRON_RICHMOND</t>
        </is>
      </c>
      <c r="B745" s="28" t="n">
        <v>5</v>
      </c>
      <c r="C745" s="28" t="inlineStr">
        <is>
          <t>Naphtha</t>
        </is>
      </c>
      <c r="D745" s="28" t="inlineStr">
        <is>
          <t>NHT</t>
        </is>
      </c>
      <c r="E745" s="46" t="n">
        <v>2.02</v>
      </c>
      <c r="F745" s="46" t="n">
        <v>56</v>
      </c>
      <c r="G745" s="28" t="inlineStr">
        <is>
          <t>Light</t>
        </is>
      </c>
      <c r="H745" s="36" t="inlineStr">
        <is>
          <t>BUYER</t>
        </is>
      </c>
    </row>
    <row r="746">
      <c r="A746" s="28" t="inlineStr">
        <is>
          <t>VALERO_LOS_ANGELES</t>
        </is>
      </c>
      <c r="B746" s="28" t="n">
        <v>5</v>
      </c>
      <c r="C746" s="28" t="inlineStr">
        <is>
          <t>I-Butane</t>
        </is>
      </c>
      <c r="D746" s="28" t="inlineStr">
        <is>
          <t>IC4imports</t>
        </is>
      </c>
      <c r="E746" s="46" t="n">
        <v>1.88</v>
      </c>
      <c r="F746" s="46" t="n">
        <v>120.01</v>
      </c>
      <c r="G746" s="28" t="inlineStr">
        <is>
          <t>Light</t>
        </is>
      </c>
      <c r="H746" s="28" t="inlineStr"/>
    </row>
    <row r="747">
      <c r="A747" s="28" t="inlineStr">
        <is>
          <t>PBF_MARTINEZ</t>
        </is>
      </c>
      <c r="B747" s="28" t="n">
        <v>5</v>
      </c>
      <c r="C747" s="28" t="inlineStr">
        <is>
          <t>I-Butane</t>
        </is>
      </c>
      <c r="D747" s="28" t="inlineStr">
        <is>
          <t>IC4imports</t>
        </is>
      </c>
      <c r="E747" s="46" t="n">
        <v>1.77</v>
      </c>
      <c r="F747" s="46" t="n">
        <v>120.01</v>
      </c>
      <c r="G747" s="28" t="inlineStr">
        <is>
          <t>Light</t>
        </is>
      </c>
      <c r="H747" s="28" t="inlineStr"/>
    </row>
    <row r="748">
      <c r="A748" s="28" t="inlineStr">
        <is>
          <t>PHILLIPS_FERNDALE</t>
        </is>
      </c>
      <c r="B748" s="28" t="n">
        <v>5</v>
      </c>
      <c r="C748" s="28" t="inlineStr">
        <is>
          <t>Butane</t>
        </is>
      </c>
      <c r="D748" s="28" t="inlineStr">
        <is>
          <t>NC4Imports</t>
        </is>
      </c>
      <c r="E748" s="46" t="n">
        <v>1.53</v>
      </c>
      <c r="F748" s="46" t="n">
        <v>112.47</v>
      </c>
      <c r="G748" s="28" t="inlineStr">
        <is>
          <t>Light</t>
        </is>
      </c>
      <c r="H748" s="28" t="inlineStr"/>
    </row>
    <row r="749">
      <c r="A749" s="28" t="inlineStr">
        <is>
          <t>HF_ANACORTES</t>
        </is>
      </c>
      <c r="B749" s="28" t="n">
        <v>5</v>
      </c>
      <c r="C749" s="28" t="inlineStr">
        <is>
          <t>I-Butane</t>
        </is>
      </c>
      <c r="D749" s="28" t="inlineStr">
        <is>
          <t>IC4imports</t>
        </is>
      </c>
      <c r="E749" s="46" t="n">
        <v>1.5</v>
      </c>
      <c r="F749" s="46" t="n">
        <v>120.01</v>
      </c>
      <c r="G749" s="28" t="inlineStr">
        <is>
          <t>Light</t>
        </is>
      </c>
      <c r="H749" s="28" t="inlineStr"/>
    </row>
    <row r="750">
      <c r="A750" s="28" t="inlineStr">
        <is>
          <t>MARATHON_ANACORTES</t>
        </is>
      </c>
      <c r="B750" s="28" t="n">
        <v>5</v>
      </c>
      <c r="C750" s="28" t="inlineStr">
        <is>
          <t>Butane</t>
        </is>
      </c>
      <c r="D750" s="28" t="inlineStr">
        <is>
          <t>NC4Imports</t>
        </is>
      </c>
      <c r="E750" s="46" t="n">
        <v>1.01</v>
      </c>
      <c r="F750" s="46" t="n">
        <v>112.47</v>
      </c>
      <c r="G750" s="28" t="inlineStr">
        <is>
          <t>Light</t>
        </is>
      </c>
      <c r="H750" s="28" t="inlineStr"/>
    </row>
    <row r="751">
      <c r="A751" s="28" t="inlineStr">
        <is>
          <t>PBF_TORRANCE</t>
        </is>
      </c>
      <c r="B751" s="28" t="n">
        <v>5</v>
      </c>
      <c r="C751" s="28" t="inlineStr">
        <is>
          <t>I-Butane</t>
        </is>
      </c>
      <c r="D751" s="28" t="inlineStr">
        <is>
          <t>IC4imports</t>
        </is>
      </c>
      <c r="E751" s="46" t="n">
        <v>0.85</v>
      </c>
      <c r="F751" s="46" t="n">
        <v>120.01</v>
      </c>
      <c r="G751" s="28" t="inlineStr">
        <is>
          <t>Light</t>
        </is>
      </c>
      <c r="H751" s="28" t="inlineStr"/>
    </row>
    <row r="752">
      <c r="A752" s="28" t="inlineStr">
        <is>
          <t>BP_FERNDALE</t>
        </is>
      </c>
      <c r="B752" s="28" t="n">
        <v>5</v>
      </c>
      <c r="C752" s="28" t="inlineStr">
        <is>
          <t>Crude UCO</t>
        </is>
      </c>
      <c r="D752" s="28" t="inlineStr">
        <is>
          <t>HVOHT</t>
        </is>
      </c>
      <c r="E752" s="46" t="n">
        <v>0.61</v>
      </c>
      <c r="F752" s="46" t="n">
        <v>23.99</v>
      </c>
      <c r="G752" s="28" t="inlineStr">
        <is>
          <t>Heavy</t>
        </is>
      </c>
      <c r="H752" s="28" t="inlineStr"/>
    </row>
  </sheetData>
  <mergeCells count="2">
    <mergeCell ref="A650:H650"/>
    <mergeCell ref="A1:H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A23B3B"/>
    <outlinePr summaryBelow="1" summaryRight="1"/>
    <pageSetUpPr fitToPage="1"/>
  </sheetPr>
  <dimension ref="A1:H22"/>
  <sheetViews>
    <sheetView showGridLines="0" zoomScale="9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0" customHeight="1">
      <c r="A1" s="8" t="inlineStr">
        <is>
          <t>Blending economics — FRAMEWORK: fill the blue price / freight / scenario inputs on the Assumptions tab and every number here goes live.</t>
        </is>
      </c>
      <c r="B1" s="9" t="n"/>
      <c r="C1" s="9" t="n"/>
      <c r="D1" s="9" t="n"/>
      <c r="E1" s="9" t="n"/>
      <c r="F1" s="9" t="n"/>
      <c r="G1" s="9" t="n"/>
      <c r="H1" s="9" t="n"/>
    </row>
    <row r="3" ht="20" customHeight="1">
      <c r="A3" s="8" t="inlineStr">
        <is>
          <t>Blend value spreads ($/bbl)</t>
        </is>
      </c>
      <c r="B3" s="9" t="n"/>
      <c r="C3" s="9" t="n"/>
      <c r="D3" s="9" t="n"/>
    </row>
    <row r="4">
      <c r="A4" s="11" t="inlineStr">
        <is>
          <t>Gasoline - HVN (naphtha pull into mogas when positive)</t>
        </is>
      </c>
      <c r="D4" s="47">
        <f>Assumptions!$S$14-Assumptions!$S$15</f>
        <v/>
      </c>
    </row>
    <row r="5">
      <c r="A5" s="11" t="inlineStr">
        <is>
          <t>Gasoline - LVN</t>
        </is>
      </c>
      <c r="D5" s="47">
        <f>Assumptions!$S$14-Assumptions!$S$16</f>
        <v/>
      </c>
    </row>
    <row r="6">
      <c r="A6" s="11" t="inlineStr">
        <is>
          <t>Reformate - HVN (reforming uplift)</t>
        </is>
      </c>
      <c r="D6" s="47">
        <f>Assumptions!$S$19-Assumptions!$S$15</f>
        <v/>
      </c>
    </row>
    <row r="7">
      <c r="A7" s="11" t="inlineStr">
        <is>
          <t>Naphtha USGC - WTI (naphtha crack)</t>
        </is>
      </c>
      <c r="D7" s="47">
        <f>Assumptions!$S$15-Assumptions!$S$20</f>
        <v/>
      </c>
    </row>
    <row r="9" ht="20" customHeight="1">
      <c r="A9" s="8" t="inlineStr">
        <is>
          <t>Arbitrage netbacks ($/bbl) — positive = arb OPEN</t>
        </is>
      </c>
      <c r="B9" s="9" t="n"/>
      <c r="C9" s="9" t="n"/>
      <c r="D9" s="9" t="n"/>
    </row>
    <row r="10">
      <c r="A10" s="11" t="inlineStr">
        <is>
          <t>USGC -&gt; Asia</t>
        </is>
      </c>
      <c r="D10" s="48">
        <f>Assumptions!$S$18-Assumptions!$S$15-Assumptions!$S$26</f>
        <v/>
      </c>
      <c r="E10" s="49">
        <f>IF(D10&gt;0,"OPEN","shut")</f>
        <v/>
      </c>
    </row>
    <row r="11">
      <c r="A11" s="11" t="inlineStr">
        <is>
          <t>USGC -&gt; NWE</t>
        </is>
      </c>
      <c r="D11" s="48">
        <f>Assumptions!$S$17-Assumptions!$S$15-Assumptions!$S$27</f>
        <v/>
      </c>
      <c r="E11" s="49">
        <f>IF(D11&gt;0,"OPEN","shut")</f>
        <v/>
      </c>
    </row>
    <row r="12">
      <c r="A12" s="11" t="inlineStr">
        <is>
          <t>NWE -&gt; USGC (imports)</t>
        </is>
      </c>
      <c r="D12" s="48">
        <f>Assumptions!$S$15-Assumptions!$S$17-Assumptions!$S$28</f>
        <v/>
      </c>
      <c r="E12" s="49">
        <f>IF(D12&gt;0,"OPEN","shut")</f>
        <v/>
      </c>
    </row>
    <row r="14" ht="20" customHeight="1">
      <c r="A14" s="8" t="inlineStr">
        <is>
          <t>Slate scenarios by PADD (kbd) — max-light vs max-heavy crude</t>
        </is>
      </c>
      <c r="B14" s="9" t="n"/>
      <c r="C14" s="9" t="n"/>
      <c r="D14" s="9" t="n"/>
      <c r="E14" s="9" t="n"/>
      <c r="F14" s="9" t="n"/>
      <c r="G14" s="9" t="n"/>
      <c r="H14" s="9" t="n"/>
    </row>
    <row r="15">
      <c r="A15" s="23" t="inlineStr">
        <is>
          <t>PADD</t>
        </is>
      </c>
      <c r="B15" s="23" t="inlineStr">
        <is>
          <t>crude runs</t>
        </is>
      </c>
      <c r="C15" s="23" t="inlineStr">
        <is>
          <t>net naphtha (base)</t>
        </is>
      </c>
      <c r="D15" s="23" t="inlineStr">
        <is>
          <t>max-light delta</t>
        </is>
      </c>
      <c r="E15" s="23" t="inlineStr">
        <is>
          <t>max-heavy delta</t>
        </is>
      </c>
      <c r="F15" s="23" t="inlineStr">
        <is>
          <t>$k/day at stake (light, vs mogas)</t>
        </is>
      </c>
    </row>
    <row r="16">
      <c r="A16" s="50" t="n">
        <v>1</v>
      </c>
      <c r="B16" s="30">
        <f>SUMPRODUCT((('Individual Refineries'!$D$3:$D$1084="CDU")+('Individual Refineries'!$D$3:$D$1084="CRUDE-EST"))*('Individual Refineries'!$C$3:$C$1084=1)*'Individual Refineries'!$F$3:$F$1084*'Individual Refineries'!$K$3:$K$1084)</f>
        <v/>
      </c>
      <c r="C16" s="35">
        <f>SUMPRODUCT(('Individual Refineries'!$A$3:$A$1084="TOTAL")*('Individual Refineries'!$C$3:$C$1084=1)*'Individual Refineries'!$Q$3:$Q$1084)</f>
        <v/>
      </c>
      <c r="D16" s="51">
        <f>$B16*Assumptions!$S$34/100</f>
        <v/>
      </c>
      <c r="E16" s="51">
        <f>-$B16*Assumptions!$S$35/100</f>
        <v/>
      </c>
      <c r="F16" s="35">
        <f>$D16*1000*$D$4/1000</f>
        <v/>
      </c>
    </row>
    <row r="17">
      <c r="A17" s="50" t="n">
        <v>2</v>
      </c>
      <c r="B17" s="30">
        <f>SUMPRODUCT((('Individual Refineries'!$D$3:$D$1084="CDU")+('Individual Refineries'!$D$3:$D$1084="CRUDE-EST"))*('Individual Refineries'!$C$3:$C$1084=2)*'Individual Refineries'!$F$3:$F$1084*'Individual Refineries'!$K$3:$K$1084)</f>
        <v/>
      </c>
      <c r="C17" s="35">
        <f>SUMPRODUCT(('Individual Refineries'!$A$3:$A$1084="TOTAL")*('Individual Refineries'!$C$3:$C$1084=2)*'Individual Refineries'!$Q$3:$Q$1084)</f>
        <v/>
      </c>
      <c r="D17" s="51">
        <f>$B17*Assumptions!$S$34/100</f>
        <v/>
      </c>
      <c r="E17" s="51">
        <f>-$B17*Assumptions!$S$35/100</f>
        <v/>
      </c>
      <c r="F17" s="35">
        <f>$D17*1000*$D$4/1000</f>
        <v/>
      </c>
    </row>
    <row r="18">
      <c r="A18" s="50" t="n">
        <v>3</v>
      </c>
      <c r="B18" s="30">
        <f>SUMPRODUCT((('Individual Refineries'!$D$3:$D$1084="CDU")+('Individual Refineries'!$D$3:$D$1084="CRUDE-EST"))*('Individual Refineries'!$C$3:$C$1084=3)*'Individual Refineries'!$F$3:$F$1084*'Individual Refineries'!$K$3:$K$1084)</f>
        <v/>
      </c>
      <c r="C18" s="35">
        <f>SUMPRODUCT(('Individual Refineries'!$A$3:$A$1084="TOTAL")*('Individual Refineries'!$C$3:$C$1084=3)*'Individual Refineries'!$Q$3:$Q$1084)</f>
        <v/>
      </c>
      <c r="D18" s="51">
        <f>$B18*Assumptions!$S$34/100</f>
        <v/>
      </c>
      <c r="E18" s="51">
        <f>-$B18*Assumptions!$S$35/100</f>
        <v/>
      </c>
      <c r="F18" s="35">
        <f>$D18*1000*$D$4/1000</f>
        <v/>
      </c>
    </row>
    <row r="19">
      <c r="A19" s="50" t="n">
        <v>4</v>
      </c>
      <c r="B19" s="30">
        <f>SUMPRODUCT((('Individual Refineries'!$D$3:$D$1084="CDU")+('Individual Refineries'!$D$3:$D$1084="CRUDE-EST"))*('Individual Refineries'!$C$3:$C$1084=4)*'Individual Refineries'!$F$3:$F$1084*'Individual Refineries'!$K$3:$K$1084)</f>
        <v/>
      </c>
      <c r="C19" s="35">
        <f>SUMPRODUCT(('Individual Refineries'!$A$3:$A$1084="TOTAL")*('Individual Refineries'!$C$3:$C$1084=4)*'Individual Refineries'!$Q$3:$Q$1084)</f>
        <v/>
      </c>
      <c r="D19" s="51">
        <f>$B19*Assumptions!$S$34/100</f>
        <v/>
      </c>
      <c r="E19" s="51">
        <f>-$B19*Assumptions!$S$35/100</f>
        <v/>
      </c>
      <c r="F19" s="35">
        <f>$D19*1000*$D$4/1000</f>
        <v/>
      </c>
    </row>
    <row r="20">
      <c r="A20" s="50" t="n">
        <v>5</v>
      </c>
      <c r="B20" s="30">
        <f>SUMPRODUCT((('Individual Refineries'!$D$3:$D$1084="CDU")+('Individual Refineries'!$D$3:$D$1084="CRUDE-EST"))*('Individual Refineries'!$C$3:$C$1084=5)*'Individual Refineries'!$F$3:$F$1084*'Individual Refineries'!$K$3:$K$1084)</f>
        <v/>
      </c>
      <c r="C20" s="35">
        <f>SUMPRODUCT(('Individual Refineries'!$A$3:$A$1084="TOTAL")*('Individual Refineries'!$C$3:$C$1084=5)*'Individual Refineries'!$Q$3:$Q$1084)</f>
        <v/>
      </c>
      <c r="D20" s="51">
        <f>$B20*Assumptions!$S$34/100</f>
        <v/>
      </c>
      <c r="E20" s="51">
        <f>-$B20*Assumptions!$S$35/100</f>
        <v/>
      </c>
      <c r="F20" s="35">
        <f>$D20*1000*$D$4/1000</f>
        <v/>
      </c>
    </row>
    <row r="22">
      <c r="A22" s="11" t="inlineStr">
        <is>
          <t>Where blends become economical: switch to max-light when the naphtha value chain (spreads + open arbs) beats the light-crude premium plus logistics; the desk sets those inputs on Assumptions.</t>
        </is>
      </c>
    </row>
  </sheetData>
  <mergeCells count="4">
    <mergeCell ref="A9:D9"/>
    <mergeCell ref="A14:H14"/>
    <mergeCell ref="A3:D3"/>
    <mergeCell ref="A1:H1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7A5195"/>
    <outlinePr summaryBelow="1" summaryRight="1"/>
    <pageSetUpPr fitToPage="1"/>
  </sheetPr>
  <dimension ref="A1:O113"/>
  <sheetViews>
    <sheetView showGridLines="0" zoomScale="9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" customWidth="1" min="2" max="2"/>
    <col width="8" customWidth="1" min="3" max="3"/>
    <col width="8" customWidth="1" min="4" max="4"/>
    <col width="8" customWidth="1" min="5" max="5"/>
    <col width="10" customWidth="1" min="6" max="6"/>
    <col width="11" customWidth="1" min="7" max="7"/>
    <col width="8" customWidth="1" min="8" max="8"/>
    <col width="12" customWidth="1" min="9" max="9"/>
    <col width="9" customWidth="1" min="10" max="10"/>
    <col width="11" customWidth="1" min="11" max="11"/>
    <col width="11" customWidth="1" min="12" max="12"/>
    <col width="10" customWidth="1" min="13" max="13"/>
    <col width="11" customWidth="1" min="14" max="14"/>
    <col width="13" customWidth="1" min="15" max="15"/>
  </cols>
  <sheetData>
    <row r="1" ht="20" customHeight="1">
      <c r="A1" s="8" t="inlineStr">
        <is>
          <t>Kit walk — CDU -&gt; overheads (SR naphtha) -&gt; naphtha hydrofiner -&gt; reformer -&gt; net naphtha vs 2024 actual. The yield-tuning workbench: adjust Assumptions/box yields until delta ~ 0 per refinery.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2">
      <c r="A2" s="23" t="inlineStr">
        <is>
          <t>refinery_id</t>
        </is>
      </c>
      <c r="B2" s="23" t="inlineStr">
        <is>
          <t>padd</t>
        </is>
      </c>
      <c r="C2" s="23" t="inlineStr">
        <is>
          <t>CDU cap</t>
        </is>
      </c>
      <c r="D2" s="23" t="inlineStr">
        <is>
          <t>CDU util</t>
        </is>
      </c>
      <c r="E2" s="23" t="inlineStr">
        <is>
          <t>CDU runs</t>
        </is>
      </c>
      <c r="F2" s="23" t="inlineStr">
        <is>
          <t>SR naphtha %</t>
        </is>
      </c>
      <c r="G2" s="23" t="inlineStr">
        <is>
          <t>SR naphtha kbd</t>
        </is>
      </c>
      <c r="H2" s="23" t="inlineStr">
        <is>
          <t>NHT cap</t>
        </is>
      </c>
      <c r="I2" s="23" t="inlineStr">
        <is>
          <t>reformer feed</t>
        </is>
      </c>
      <c r="J2" s="23" t="inlineStr">
        <is>
          <t>isom pull</t>
        </is>
      </c>
      <c r="K2" s="23" t="inlineStr">
        <is>
          <t>net naphtha</t>
        </is>
      </c>
      <c r="L2" s="23" t="inlineStr">
        <is>
          <t>2024 actual %</t>
        </is>
      </c>
      <c r="M2" s="23" t="inlineStr">
        <is>
          <t>implied %</t>
        </is>
      </c>
      <c r="N2" s="23" t="inlineStr">
        <is>
          <t>delta (pts)</t>
        </is>
      </c>
      <c r="O2" s="23" t="inlineStr">
        <is>
          <t>flag</t>
        </is>
      </c>
    </row>
    <row r="3">
      <c r="A3" s="40" t="inlineStr">
        <is>
          <t>PHILLIPS_LINDEN</t>
        </is>
      </c>
      <c r="B3" s="28" t="n">
        <v>1</v>
      </c>
      <c r="C3" s="30">
        <f>SUMPRODUCT(('Individual Refineries'!$B$3:$B$1084=$A3)*('Individual Refineries'!$D$3:$D$1084="CDU")*'Individual Refineries'!$F$3:$F$1084)</f>
        <v/>
      </c>
      <c r="D3" s="52">
        <f>SUMPRODUCT(('Individual Refineries'!$B$3:$B$1084=$A3)*('Individual Refineries'!$D$3:$D$1084="CDU")*'Individual Refineries'!$K$3:$K$1084)</f>
        <v/>
      </c>
      <c r="E3" s="30">
        <f>$C3*$D3</f>
        <v/>
      </c>
      <c r="F3" s="33">
        <f>SUMPRODUCT(('Individual Refineries'!$B$3:$B$1084=$A3)*('Individual Refineries'!$D$3:$D$1084="CDU")*'Individual Refineries'!$P$3:$P$1084)</f>
        <v/>
      </c>
      <c r="G3" s="35">
        <f>$E3*$F3</f>
        <v/>
      </c>
      <c r="H3" s="30">
        <f>SUMPRODUCT(('Individual Refineries'!$B$3:$B$1084=$A3)*('Individual Refineries'!$D$3:$D$1084="NHT")*'Individual Refineries'!$F$3:$F$1084)</f>
        <v/>
      </c>
      <c r="I3" s="35">
        <f>SUMPRODUCT(('Individual Refineries'!$B$3:$B$1084=$A3)*('Individual Refineries'!$D$3:$D$1084="REF")*'Individual Refineries'!$F$3:$F$1084)*SUMPRODUCT(('Individual Refineries'!$B$3:$B$1084=$A3)*('Individual Refineries'!$D$3:$D$1084="REF")*'Individual Refineries'!$K$3:$K$1084)+SUMPRODUCT(('Individual Refineries'!$B$3:$B$1084=$A3)*('Individual Refineries'!$D$3:$D$1084="CCR")*'Individual Refineries'!$F$3:$F$1084)*SUMPRODUCT(('Individual Refineries'!$B$3:$B$1084=$A3)*('Individual Refineries'!$D$3:$D$1084="CCR")*'Individual Refineries'!$K$3:$K$1084)</f>
        <v/>
      </c>
      <c r="J3" s="35">
        <f>SUMPRODUCT(('Individual Refineries'!$B$3:$B$1084=$A3)*('Individual Refineries'!$D$3:$D$1084="ISOM")*'Individual Refineries'!$F$3:$F$1084)*SUMPRODUCT(('Individual Refineries'!$B$3:$B$1084=$A3)*('Individual Refineries'!$D$3:$D$1084="ISOM")*'Individual Refineries'!$K$3:$K$1084)</f>
        <v/>
      </c>
      <c r="K3" s="35">
        <f>SUMPRODUCT(('Individual Refineries'!$A$3:$A$1084="TOTAL")*('Individual Refineries'!$B$3:$B$1084=$A3)*'Individual Refineries'!$Q$3:$Q$1084)</f>
        <v/>
      </c>
      <c r="L3" s="34">
        <f>SUMIFS(Data!$N$3:$N$125,Data!$A$3:$A$125,$A3)</f>
        <v/>
      </c>
      <c r="M3" s="34">
        <f>IFERROR($K3/(SUMIFS(Data!$G$3:$G$125,Data!$A$3:$A$125,$A3)*$D3),"")</f>
        <v/>
      </c>
      <c r="N3" s="53">
        <f>IF($M3="","",$M3-$L3)</f>
        <v/>
      </c>
      <c r="O3" s="49">
        <f>IF(AND($H3&gt;0,$G3&gt;$H3*1.05),"SR &gt; NHT cap","")</f>
        <v/>
      </c>
    </row>
    <row r="4">
      <c r="A4" s="40" t="inlineStr">
        <is>
          <t>MONROE_TRAINER</t>
        </is>
      </c>
      <c r="B4" s="28" t="n">
        <v>1</v>
      </c>
      <c r="C4" s="30">
        <f>SUMPRODUCT(('Individual Refineries'!$B$3:$B$1084=$A4)*('Individual Refineries'!$D$3:$D$1084="CDU")*'Individual Refineries'!$F$3:$F$1084)</f>
        <v/>
      </c>
      <c r="D4" s="52">
        <f>SUMPRODUCT(('Individual Refineries'!$B$3:$B$1084=$A4)*('Individual Refineries'!$D$3:$D$1084="CDU")*'Individual Refineries'!$K$3:$K$1084)</f>
        <v/>
      </c>
      <c r="E4" s="30">
        <f>$C4*$D4</f>
        <v/>
      </c>
      <c r="F4" s="33">
        <f>SUMPRODUCT(('Individual Refineries'!$B$3:$B$1084=$A4)*('Individual Refineries'!$D$3:$D$1084="CDU")*'Individual Refineries'!$P$3:$P$1084)</f>
        <v/>
      </c>
      <c r="G4" s="35">
        <f>$E4*$F4</f>
        <v/>
      </c>
      <c r="H4" s="30">
        <f>SUMPRODUCT(('Individual Refineries'!$B$3:$B$1084=$A4)*('Individual Refineries'!$D$3:$D$1084="NHT")*'Individual Refineries'!$F$3:$F$1084)</f>
        <v/>
      </c>
      <c r="I4" s="35">
        <f>SUMPRODUCT(('Individual Refineries'!$B$3:$B$1084=$A4)*('Individual Refineries'!$D$3:$D$1084="REF")*'Individual Refineries'!$F$3:$F$1084)*SUMPRODUCT(('Individual Refineries'!$B$3:$B$1084=$A4)*('Individual Refineries'!$D$3:$D$1084="REF")*'Individual Refineries'!$K$3:$K$1084)+SUMPRODUCT(('Individual Refineries'!$B$3:$B$1084=$A4)*('Individual Refineries'!$D$3:$D$1084="CCR")*'Individual Refineries'!$F$3:$F$1084)*SUMPRODUCT(('Individual Refineries'!$B$3:$B$1084=$A4)*('Individual Refineries'!$D$3:$D$1084="CCR")*'Individual Refineries'!$K$3:$K$1084)</f>
        <v/>
      </c>
      <c r="J4" s="35">
        <f>SUMPRODUCT(('Individual Refineries'!$B$3:$B$1084=$A4)*('Individual Refineries'!$D$3:$D$1084="ISOM")*'Individual Refineries'!$F$3:$F$1084)*SUMPRODUCT(('Individual Refineries'!$B$3:$B$1084=$A4)*('Individual Refineries'!$D$3:$D$1084="ISOM")*'Individual Refineries'!$K$3:$K$1084)</f>
        <v/>
      </c>
      <c r="K4" s="35">
        <f>SUMPRODUCT(('Individual Refineries'!$A$3:$A$1084="TOTAL")*('Individual Refineries'!$B$3:$B$1084=$A4)*'Individual Refineries'!$Q$3:$Q$1084)</f>
        <v/>
      </c>
      <c r="L4" s="34">
        <f>SUMIFS(Data!$N$3:$N$125,Data!$A$3:$A$125,$A4)</f>
        <v/>
      </c>
      <c r="M4" s="34">
        <f>IFERROR($K4/(SUMIFS(Data!$G$3:$G$125,Data!$A$3:$A$125,$A4)*$D4),"")</f>
        <v/>
      </c>
      <c r="N4" s="53">
        <f>IF($M4="","",$M4-$L4)</f>
        <v/>
      </c>
      <c r="O4" s="49">
        <f>IF(AND($H4&gt;0,$G4&gt;$H4*1.05),"SR &gt; NHT cap","")</f>
        <v/>
      </c>
    </row>
    <row r="5">
      <c r="A5" s="40" t="inlineStr">
        <is>
          <t>UNITED_WARREN</t>
        </is>
      </c>
      <c r="B5" s="28" t="n">
        <v>1</v>
      </c>
      <c r="C5" s="30">
        <f>SUMPRODUCT(('Individual Refineries'!$B$3:$B$1084=$A5)*('Individual Refineries'!$D$3:$D$1084="CDU")*'Individual Refineries'!$F$3:$F$1084)</f>
        <v/>
      </c>
      <c r="D5" s="52">
        <f>SUMPRODUCT(('Individual Refineries'!$B$3:$B$1084=$A5)*('Individual Refineries'!$D$3:$D$1084="CDU")*'Individual Refineries'!$K$3:$K$1084)</f>
        <v/>
      </c>
      <c r="E5" s="30">
        <f>$C5*$D5</f>
        <v/>
      </c>
      <c r="F5" s="33">
        <f>SUMPRODUCT(('Individual Refineries'!$B$3:$B$1084=$A5)*('Individual Refineries'!$D$3:$D$1084="CDU")*'Individual Refineries'!$P$3:$P$1084)</f>
        <v/>
      </c>
      <c r="G5" s="35">
        <f>$E5*$F5</f>
        <v/>
      </c>
      <c r="H5" s="30">
        <f>SUMPRODUCT(('Individual Refineries'!$B$3:$B$1084=$A5)*('Individual Refineries'!$D$3:$D$1084="NHT")*'Individual Refineries'!$F$3:$F$1084)</f>
        <v/>
      </c>
      <c r="I5" s="35">
        <f>SUMPRODUCT(('Individual Refineries'!$B$3:$B$1084=$A5)*('Individual Refineries'!$D$3:$D$1084="REF")*'Individual Refineries'!$F$3:$F$1084)*SUMPRODUCT(('Individual Refineries'!$B$3:$B$1084=$A5)*('Individual Refineries'!$D$3:$D$1084="REF")*'Individual Refineries'!$K$3:$K$1084)+SUMPRODUCT(('Individual Refineries'!$B$3:$B$1084=$A5)*('Individual Refineries'!$D$3:$D$1084="CCR")*'Individual Refineries'!$F$3:$F$1084)*SUMPRODUCT(('Individual Refineries'!$B$3:$B$1084=$A5)*('Individual Refineries'!$D$3:$D$1084="CCR")*'Individual Refineries'!$K$3:$K$1084)</f>
        <v/>
      </c>
      <c r="J5" s="35">
        <f>SUMPRODUCT(('Individual Refineries'!$B$3:$B$1084=$A5)*('Individual Refineries'!$D$3:$D$1084="ISOM")*'Individual Refineries'!$F$3:$F$1084)*SUMPRODUCT(('Individual Refineries'!$B$3:$B$1084=$A5)*('Individual Refineries'!$D$3:$D$1084="ISOM")*'Individual Refineries'!$K$3:$K$1084)</f>
        <v/>
      </c>
      <c r="K5" s="35">
        <f>SUMPRODUCT(('Individual Refineries'!$A$3:$A$1084="TOTAL")*('Individual Refineries'!$B$3:$B$1084=$A5)*'Individual Refineries'!$Q$3:$Q$1084)</f>
        <v/>
      </c>
      <c r="L5" s="34">
        <f>SUMIFS(Data!$N$3:$N$125,Data!$A$3:$A$125,$A5)</f>
        <v/>
      </c>
      <c r="M5" s="34">
        <f>IFERROR($K5/(SUMIFS(Data!$G$3:$G$125,Data!$A$3:$A$125,$A5)*$D5),"")</f>
        <v/>
      </c>
      <c r="N5" s="53">
        <f>IF($M5="","",$M5-$L5)</f>
        <v/>
      </c>
      <c r="O5" s="49">
        <f>IF(AND($H5&gt;0,$G5&gt;$H5*1.05),"SR &gt; NHT cap","")</f>
        <v/>
      </c>
    </row>
    <row r="6">
      <c r="A6" s="40" t="inlineStr">
        <is>
          <t>ERGON_NEWELL</t>
        </is>
      </c>
      <c r="B6" s="28" t="n">
        <v>1</v>
      </c>
      <c r="C6" s="30">
        <f>SUMPRODUCT(('Individual Refineries'!$B$3:$B$1084=$A6)*('Individual Refineries'!$D$3:$D$1084="CDU")*'Individual Refineries'!$F$3:$F$1084)</f>
        <v/>
      </c>
      <c r="D6" s="52">
        <f>SUMPRODUCT(('Individual Refineries'!$B$3:$B$1084=$A6)*('Individual Refineries'!$D$3:$D$1084="CDU")*'Individual Refineries'!$K$3:$K$1084)</f>
        <v/>
      </c>
      <c r="E6" s="30">
        <f>$C6*$D6</f>
        <v/>
      </c>
      <c r="F6" s="33">
        <f>SUMPRODUCT(('Individual Refineries'!$B$3:$B$1084=$A6)*('Individual Refineries'!$D$3:$D$1084="CDU")*'Individual Refineries'!$P$3:$P$1084)</f>
        <v/>
      </c>
      <c r="G6" s="35">
        <f>$E6*$F6</f>
        <v/>
      </c>
      <c r="H6" s="30">
        <f>SUMPRODUCT(('Individual Refineries'!$B$3:$B$1084=$A6)*('Individual Refineries'!$D$3:$D$1084="NHT")*'Individual Refineries'!$F$3:$F$1084)</f>
        <v/>
      </c>
      <c r="I6" s="35">
        <f>SUMPRODUCT(('Individual Refineries'!$B$3:$B$1084=$A6)*('Individual Refineries'!$D$3:$D$1084="REF")*'Individual Refineries'!$F$3:$F$1084)*SUMPRODUCT(('Individual Refineries'!$B$3:$B$1084=$A6)*('Individual Refineries'!$D$3:$D$1084="REF")*'Individual Refineries'!$K$3:$K$1084)+SUMPRODUCT(('Individual Refineries'!$B$3:$B$1084=$A6)*('Individual Refineries'!$D$3:$D$1084="CCR")*'Individual Refineries'!$F$3:$F$1084)*SUMPRODUCT(('Individual Refineries'!$B$3:$B$1084=$A6)*('Individual Refineries'!$D$3:$D$1084="CCR")*'Individual Refineries'!$K$3:$K$1084)</f>
        <v/>
      </c>
      <c r="J6" s="35">
        <f>SUMPRODUCT(('Individual Refineries'!$B$3:$B$1084=$A6)*('Individual Refineries'!$D$3:$D$1084="ISOM")*'Individual Refineries'!$F$3:$F$1084)*SUMPRODUCT(('Individual Refineries'!$B$3:$B$1084=$A6)*('Individual Refineries'!$D$3:$D$1084="ISOM")*'Individual Refineries'!$K$3:$K$1084)</f>
        <v/>
      </c>
      <c r="K6" s="35">
        <f>SUMPRODUCT(('Individual Refineries'!$A$3:$A$1084="TOTAL")*('Individual Refineries'!$B$3:$B$1084=$A6)*'Individual Refineries'!$Q$3:$Q$1084)</f>
        <v/>
      </c>
      <c r="L6" s="34">
        <f>SUMIFS(Data!$N$3:$N$125,Data!$A$3:$A$125,$A6)</f>
        <v/>
      </c>
      <c r="M6" s="34">
        <f>IFERROR($K6/(SUMIFS(Data!$G$3:$G$125,Data!$A$3:$A$125,$A6)*$D6),"")</f>
        <v/>
      </c>
      <c r="N6" s="53">
        <f>IF($M6="","",$M6-$L6)</f>
        <v/>
      </c>
      <c r="O6" s="49">
        <f>IF(AND($H6&gt;0,$G6&gt;$H6*1.05),"SR &gt; NHT cap","")</f>
        <v/>
      </c>
    </row>
    <row r="7">
      <c r="A7" s="40" t="inlineStr">
        <is>
          <t>AMERICAN_BRADFORD</t>
        </is>
      </c>
      <c r="B7" s="28" t="n">
        <v>1</v>
      </c>
      <c r="C7" s="30">
        <f>SUMPRODUCT(('Individual Refineries'!$B$3:$B$1084=$A7)*('Individual Refineries'!$D$3:$D$1084="CDU")*'Individual Refineries'!$F$3:$F$1084)</f>
        <v/>
      </c>
      <c r="D7" s="52">
        <f>SUMPRODUCT(('Individual Refineries'!$B$3:$B$1084=$A7)*('Individual Refineries'!$D$3:$D$1084="CDU")*'Individual Refineries'!$K$3:$K$1084)</f>
        <v/>
      </c>
      <c r="E7" s="30">
        <f>$C7*$D7</f>
        <v/>
      </c>
      <c r="F7" s="33">
        <f>SUMPRODUCT(('Individual Refineries'!$B$3:$B$1084=$A7)*('Individual Refineries'!$D$3:$D$1084="CDU")*'Individual Refineries'!$P$3:$P$1084)</f>
        <v/>
      </c>
      <c r="G7" s="35">
        <f>$E7*$F7</f>
        <v/>
      </c>
      <c r="H7" s="30">
        <f>SUMPRODUCT(('Individual Refineries'!$B$3:$B$1084=$A7)*('Individual Refineries'!$D$3:$D$1084="NHT")*'Individual Refineries'!$F$3:$F$1084)</f>
        <v/>
      </c>
      <c r="I7" s="35">
        <f>SUMPRODUCT(('Individual Refineries'!$B$3:$B$1084=$A7)*('Individual Refineries'!$D$3:$D$1084="REF")*'Individual Refineries'!$F$3:$F$1084)*SUMPRODUCT(('Individual Refineries'!$B$3:$B$1084=$A7)*('Individual Refineries'!$D$3:$D$1084="REF")*'Individual Refineries'!$K$3:$K$1084)+SUMPRODUCT(('Individual Refineries'!$B$3:$B$1084=$A7)*('Individual Refineries'!$D$3:$D$1084="CCR")*'Individual Refineries'!$F$3:$F$1084)*SUMPRODUCT(('Individual Refineries'!$B$3:$B$1084=$A7)*('Individual Refineries'!$D$3:$D$1084="CCR")*'Individual Refineries'!$K$3:$K$1084)</f>
        <v/>
      </c>
      <c r="J7" s="35">
        <f>SUMPRODUCT(('Individual Refineries'!$B$3:$B$1084=$A7)*('Individual Refineries'!$D$3:$D$1084="ISOM")*'Individual Refineries'!$F$3:$F$1084)*SUMPRODUCT(('Individual Refineries'!$B$3:$B$1084=$A7)*('Individual Refineries'!$D$3:$D$1084="ISOM")*'Individual Refineries'!$K$3:$K$1084)</f>
        <v/>
      </c>
      <c r="K7" s="35">
        <f>SUMPRODUCT(('Individual Refineries'!$A$3:$A$1084="TOTAL")*('Individual Refineries'!$B$3:$B$1084=$A7)*'Individual Refineries'!$Q$3:$Q$1084)</f>
        <v/>
      </c>
      <c r="L7" s="34">
        <f>SUMIFS(Data!$N$3:$N$125,Data!$A$3:$A$125,$A7)</f>
        <v/>
      </c>
      <c r="M7" s="34">
        <f>IFERROR($K7/(SUMIFS(Data!$G$3:$G$125,Data!$A$3:$A$125,$A7)*$D7),"")</f>
        <v/>
      </c>
      <c r="N7" s="53">
        <f>IF($M7="","",$M7-$L7)</f>
        <v/>
      </c>
      <c r="O7" s="49">
        <f>IF(AND($H7&gt;0,$G7&gt;$H7*1.05),"SR &gt; NHT cap","")</f>
        <v/>
      </c>
    </row>
    <row r="8">
      <c r="A8" s="40" t="inlineStr">
        <is>
          <t>BP_WHITING</t>
        </is>
      </c>
      <c r="B8" s="28" t="n">
        <v>2</v>
      </c>
      <c r="C8" s="30">
        <f>SUMPRODUCT(('Individual Refineries'!$B$3:$B$1084=$A8)*('Individual Refineries'!$D$3:$D$1084="CDU")*'Individual Refineries'!$F$3:$F$1084)</f>
        <v/>
      </c>
      <c r="D8" s="52">
        <f>SUMPRODUCT(('Individual Refineries'!$B$3:$B$1084=$A8)*('Individual Refineries'!$D$3:$D$1084="CDU")*'Individual Refineries'!$K$3:$K$1084)</f>
        <v/>
      </c>
      <c r="E8" s="30">
        <f>$C8*$D8</f>
        <v/>
      </c>
      <c r="F8" s="33">
        <f>SUMPRODUCT(('Individual Refineries'!$B$3:$B$1084=$A8)*('Individual Refineries'!$D$3:$D$1084="CDU")*'Individual Refineries'!$P$3:$P$1084)</f>
        <v/>
      </c>
      <c r="G8" s="35">
        <f>$E8*$F8</f>
        <v/>
      </c>
      <c r="H8" s="30">
        <f>SUMPRODUCT(('Individual Refineries'!$B$3:$B$1084=$A8)*('Individual Refineries'!$D$3:$D$1084="NHT")*'Individual Refineries'!$F$3:$F$1084)</f>
        <v/>
      </c>
      <c r="I8" s="35">
        <f>SUMPRODUCT(('Individual Refineries'!$B$3:$B$1084=$A8)*('Individual Refineries'!$D$3:$D$1084="REF")*'Individual Refineries'!$F$3:$F$1084)*SUMPRODUCT(('Individual Refineries'!$B$3:$B$1084=$A8)*('Individual Refineries'!$D$3:$D$1084="REF")*'Individual Refineries'!$K$3:$K$1084)+SUMPRODUCT(('Individual Refineries'!$B$3:$B$1084=$A8)*('Individual Refineries'!$D$3:$D$1084="CCR")*'Individual Refineries'!$F$3:$F$1084)*SUMPRODUCT(('Individual Refineries'!$B$3:$B$1084=$A8)*('Individual Refineries'!$D$3:$D$1084="CCR")*'Individual Refineries'!$K$3:$K$1084)</f>
        <v/>
      </c>
      <c r="J8" s="35">
        <f>SUMPRODUCT(('Individual Refineries'!$B$3:$B$1084=$A8)*('Individual Refineries'!$D$3:$D$1084="ISOM")*'Individual Refineries'!$F$3:$F$1084)*SUMPRODUCT(('Individual Refineries'!$B$3:$B$1084=$A8)*('Individual Refineries'!$D$3:$D$1084="ISOM")*'Individual Refineries'!$K$3:$K$1084)</f>
        <v/>
      </c>
      <c r="K8" s="35">
        <f>SUMPRODUCT(('Individual Refineries'!$A$3:$A$1084="TOTAL")*('Individual Refineries'!$B$3:$B$1084=$A8)*'Individual Refineries'!$Q$3:$Q$1084)</f>
        <v/>
      </c>
      <c r="L8" s="34">
        <f>SUMIFS(Data!$N$3:$N$125,Data!$A$3:$A$125,$A8)</f>
        <v/>
      </c>
      <c r="M8" s="34">
        <f>IFERROR($K8/(SUMIFS(Data!$G$3:$G$125,Data!$A$3:$A$125,$A8)*$D8),"")</f>
        <v/>
      </c>
      <c r="N8" s="53">
        <f>IF($M8="","",$M8-$L8)</f>
        <v/>
      </c>
      <c r="O8" s="49">
        <f>IF(AND($H8&gt;0,$G8&gt;$H8*1.05),"SR &gt; NHT cap","")</f>
        <v/>
      </c>
    </row>
    <row r="9">
      <c r="A9" s="40" t="inlineStr">
        <is>
          <t>FLINT_ROSEMOUNT</t>
        </is>
      </c>
      <c r="B9" s="28" t="n">
        <v>2</v>
      </c>
      <c r="C9" s="30">
        <f>SUMPRODUCT(('Individual Refineries'!$B$3:$B$1084=$A9)*('Individual Refineries'!$D$3:$D$1084="CDU")*'Individual Refineries'!$F$3:$F$1084)</f>
        <v/>
      </c>
      <c r="D9" s="52">
        <f>SUMPRODUCT(('Individual Refineries'!$B$3:$B$1084=$A9)*('Individual Refineries'!$D$3:$D$1084="CDU")*'Individual Refineries'!$K$3:$K$1084)</f>
        <v/>
      </c>
      <c r="E9" s="30">
        <f>$C9*$D9</f>
        <v/>
      </c>
      <c r="F9" s="33">
        <f>SUMPRODUCT(('Individual Refineries'!$B$3:$B$1084=$A9)*('Individual Refineries'!$D$3:$D$1084="CDU")*'Individual Refineries'!$P$3:$P$1084)</f>
        <v/>
      </c>
      <c r="G9" s="35">
        <f>$E9*$F9</f>
        <v/>
      </c>
      <c r="H9" s="30">
        <f>SUMPRODUCT(('Individual Refineries'!$B$3:$B$1084=$A9)*('Individual Refineries'!$D$3:$D$1084="NHT")*'Individual Refineries'!$F$3:$F$1084)</f>
        <v/>
      </c>
      <c r="I9" s="35">
        <f>SUMPRODUCT(('Individual Refineries'!$B$3:$B$1084=$A9)*('Individual Refineries'!$D$3:$D$1084="REF")*'Individual Refineries'!$F$3:$F$1084)*SUMPRODUCT(('Individual Refineries'!$B$3:$B$1084=$A9)*('Individual Refineries'!$D$3:$D$1084="REF")*'Individual Refineries'!$K$3:$K$1084)+SUMPRODUCT(('Individual Refineries'!$B$3:$B$1084=$A9)*('Individual Refineries'!$D$3:$D$1084="CCR")*'Individual Refineries'!$F$3:$F$1084)*SUMPRODUCT(('Individual Refineries'!$B$3:$B$1084=$A9)*('Individual Refineries'!$D$3:$D$1084="CCR")*'Individual Refineries'!$K$3:$K$1084)</f>
        <v/>
      </c>
      <c r="J9" s="35">
        <f>SUMPRODUCT(('Individual Refineries'!$B$3:$B$1084=$A9)*('Individual Refineries'!$D$3:$D$1084="ISOM")*'Individual Refineries'!$F$3:$F$1084)*SUMPRODUCT(('Individual Refineries'!$B$3:$B$1084=$A9)*('Individual Refineries'!$D$3:$D$1084="ISOM")*'Individual Refineries'!$K$3:$K$1084)</f>
        <v/>
      </c>
      <c r="K9" s="35">
        <f>SUMPRODUCT(('Individual Refineries'!$A$3:$A$1084="TOTAL")*('Individual Refineries'!$B$3:$B$1084=$A9)*'Individual Refineries'!$Q$3:$Q$1084)</f>
        <v/>
      </c>
      <c r="L9" s="34">
        <f>SUMIFS(Data!$N$3:$N$125,Data!$A$3:$A$125,$A9)</f>
        <v/>
      </c>
      <c r="M9" s="34">
        <f>IFERROR($K9/(SUMIFS(Data!$G$3:$G$125,Data!$A$3:$A$125,$A9)*$D9),"")</f>
        <v/>
      </c>
      <c r="N9" s="53">
        <f>IF($M9="","",$M9-$L9)</f>
        <v/>
      </c>
      <c r="O9" s="49">
        <f>IF(AND($H9&gt;0,$G9&gt;$H9*1.05),"SR &gt; NHT cap","")</f>
        <v/>
      </c>
    </row>
    <row r="10">
      <c r="A10" s="40" t="inlineStr">
        <is>
          <t>CENOVUS_WOOD_RIVER</t>
        </is>
      </c>
      <c r="B10" s="28" t="n">
        <v>2</v>
      </c>
      <c r="C10" s="30">
        <f>SUMPRODUCT(('Individual Refineries'!$B$3:$B$1084=$A10)*('Individual Refineries'!$D$3:$D$1084="CDU")*'Individual Refineries'!$F$3:$F$1084)</f>
        <v/>
      </c>
      <c r="D10" s="52">
        <f>SUMPRODUCT(('Individual Refineries'!$B$3:$B$1084=$A10)*('Individual Refineries'!$D$3:$D$1084="CDU")*'Individual Refineries'!$K$3:$K$1084)</f>
        <v/>
      </c>
      <c r="E10" s="30">
        <f>$C10*$D10</f>
        <v/>
      </c>
      <c r="F10" s="33">
        <f>SUMPRODUCT(('Individual Refineries'!$B$3:$B$1084=$A10)*('Individual Refineries'!$D$3:$D$1084="CDU")*'Individual Refineries'!$P$3:$P$1084)</f>
        <v/>
      </c>
      <c r="G10" s="35">
        <f>$E10*$F10</f>
        <v/>
      </c>
      <c r="H10" s="30">
        <f>SUMPRODUCT(('Individual Refineries'!$B$3:$B$1084=$A10)*('Individual Refineries'!$D$3:$D$1084="NHT")*'Individual Refineries'!$F$3:$F$1084)</f>
        <v/>
      </c>
      <c r="I10" s="35">
        <f>SUMPRODUCT(('Individual Refineries'!$B$3:$B$1084=$A10)*('Individual Refineries'!$D$3:$D$1084="REF")*'Individual Refineries'!$F$3:$F$1084)*SUMPRODUCT(('Individual Refineries'!$B$3:$B$1084=$A10)*('Individual Refineries'!$D$3:$D$1084="REF")*'Individual Refineries'!$K$3:$K$1084)+SUMPRODUCT(('Individual Refineries'!$B$3:$B$1084=$A10)*('Individual Refineries'!$D$3:$D$1084="CCR")*'Individual Refineries'!$F$3:$F$1084)*SUMPRODUCT(('Individual Refineries'!$B$3:$B$1084=$A10)*('Individual Refineries'!$D$3:$D$1084="CCR")*'Individual Refineries'!$K$3:$K$1084)</f>
        <v/>
      </c>
      <c r="J10" s="35">
        <f>SUMPRODUCT(('Individual Refineries'!$B$3:$B$1084=$A10)*('Individual Refineries'!$D$3:$D$1084="ISOM")*'Individual Refineries'!$F$3:$F$1084)*SUMPRODUCT(('Individual Refineries'!$B$3:$B$1084=$A10)*('Individual Refineries'!$D$3:$D$1084="ISOM")*'Individual Refineries'!$K$3:$K$1084)</f>
        <v/>
      </c>
      <c r="K10" s="35">
        <f>SUMPRODUCT(('Individual Refineries'!$A$3:$A$1084="TOTAL")*('Individual Refineries'!$B$3:$B$1084=$A10)*'Individual Refineries'!$Q$3:$Q$1084)</f>
        <v/>
      </c>
      <c r="L10" s="34">
        <f>SUMIFS(Data!$N$3:$N$125,Data!$A$3:$A$125,$A10)</f>
        <v/>
      </c>
      <c r="M10" s="34">
        <f>IFERROR($K10/(SUMIFS(Data!$G$3:$G$125,Data!$A$3:$A$125,$A10)*$D10),"")</f>
        <v/>
      </c>
      <c r="N10" s="53">
        <f>IF($M10="","",$M10-$L10)</f>
        <v/>
      </c>
      <c r="O10" s="49">
        <f>IF(AND($H10&gt;0,$G10&gt;$H10*1.05),"SR &gt; NHT cap","")</f>
        <v/>
      </c>
    </row>
    <row r="11">
      <c r="A11" s="40" t="inlineStr">
        <is>
          <t>MARATHON_CATLETTSBURG</t>
        </is>
      </c>
      <c r="B11" s="28" t="n">
        <v>2</v>
      </c>
      <c r="C11" s="30">
        <f>SUMPRODUCT(('Individual Refineries'!$B$3:$B$1084=$A11)*('Individual Refineries'!$D$3:$D$1084="CDU")*'Individual Refineries'!$F$3:$F$1084)</f>
        <v/>
      </c>
      <c r="D11" s="52">
        <f>SUMPRODUCT(('Individual Refineries'!$B$3:$B$1084=$A11)*('Individual Refineries'!$D$3:$D$1084="CDU")*'Individual Refineries'!$K$3:$K$1084)</f>
        <v/>
      </c>
      <c r="E11" s="30">
        <f>$C11*$D11</f>
        <v/>
      </c>
      <c r="F11" s="33">
        <f>SUMPRODUCT(('Individual Refineries'!$B$3:$B$1084=$A11)*('Individual Refineries'!$D$3:$D$1084="CDU")*'Individual Refineries'!$P$3:$P$1084)</f>
        <v/>
      </c>
      <c r="G11" s="35">
        <f>$E11*$F11</f>
        <v/>
      </c>
      <c r="H11" s="30">
        <f>SUMPRODUCT(('Individual Refineries'!$B$3:$B$1084=$A11)*('Individual Refineries'!$D$3:$D$1084="NHT")*'Individual Refineries'!$F$3:$F$1084)</f>
        <v/>
      </c>
      <c r="I11" s="35">
        <f>SUMPRODUCT(('Individual Refineries'!$B$3:$B$1084=$A11)*('Individual Refineries'!$D$3:$D$1084="REF")*'Individual Refineries'!$F$3:$F$1084)*SUMPRODUCT(('Individual Refineries'!$B$3:$B$1084=$A11)*('Individual Refineries'!$D$3:$D$1084="REF")*'Individual Refineries'!$K$3:$K$1084)+SUMPRODUCT(('Individual Refineries'!$B$3:$B$1084=$A11)*('Individual Refineries'!$D$3:$D$1084="CCR")*'Individual Refineries'!$F$3:$F$1084)*SUMPRODUCT(('Individual Refineries'!$B$3:$B$1084=$A11)*('Individual Refineries'!$D$3:$D$1084="CCR")*'Individual Refineries'!$K$3:$K$1084)</f>
        <v/>
      </c>
      <c r="J11" s="35">
        <f>SUMPRODUCT(('Individual Refineries'!$B$3:$B$1084=$A11)*('Individual Refineries'!$D$3:$D$1084="ISOM")*'Individual Refineries'!$F$3:$F$1084)*SUMPRODUCT(('Individual Refineries'!$B$3:$B$1084=$A11)*('Individual Refineries'!$D$3:$D$1084="ISOM")*'Individual Refineries'!$K$3:$K$1084)</f>
        <v/>
      </c>
      <c r="K11" s="35">
        <f>SUMPRODUCT(('Individual Refineries'!$A$3:$A$1084="TOTAL")*('Individual Refineries'!$B$3:$B$1084=$A11)*'Individual Refineries'!$Q$3:$Q$1084)</f>
        <v/>
      </c>
      <c r="L11" s="34">
        <f>SUMIFS(Data!$N$3:$N$125,Data!$A$3:$A$125,$A11)</f>
        <v/>
      </c>
      <c r="M11" s="34">
        <f>IFERROR($K11/(SUMIFS(Data!$G$3:$G$125,Data!$A$3:$A$125,$A11)*$D11),"")</f>
        <v/>
      </c>
      <c r="N11" s="53">
        <f>IF($M11="","",$M11-$L11)</f>
        <v/>
      </c>
      <c r="O11" s="49">
        <f>IF(AND($H11&gt;0,$G11&gt;$H11*1.05),"SR &gt; NHT cap","")</f>
        <v/>
      </c>
    </row>
    <row r="12">
      <c r="A12" s="40" t="inlineStr">
        <is>
          <t>MARATHON_ROBINSON</t>
        </is>
      </c>
      <c r="B12" s="28" t="n">
        <v>2</v>
      </c>
      <c r="C12" s="30">
        <f>SUMPRODUCT(('Individual Refineries'!$B$3:$B$1084=$A12)*('Individual Refineries'!$D$3:$D$1084="CDU")*'Individual Refineries'!$F$3:$F$1084)</f>
        <v/>
      </c>
      <c r="D12" s="52">
        <f>SUMPRODUCT(('Individual Refineries'!$B$3:$B$1084=$A12)*('Individual Refineries'!$D$3:$D$1084="CDU")*'Individual Refineries'!$K$3:$K$1084)</f>
        <v/>
      </c>
      <c r="E12" s="30">
        <f>$C12*$D12</f>
        <v/>
      </c>
      <c r="F12" s="33">
        <f>SUMPRODUCT(('Individual Refineries'!$B$3:$B$1084=$A12)*('Individual Refineries'!$D$3:$D$1084="CDU")*'Individual Refineries'!$P$3:$P$1084)</f>
        <v/>
      </c>
      <c r="G12" s="35">
        <f>$E12*$F12</f>
        <v/>
      </c>
      <c r="H12" s="30">
        <f>SUMPRODUCT(('Individual Refineries'!$B$3:$B$1084=$A12)*('Individual Refineries'!$D$3:$D$1084="NHT")*'Individual Refineries'!$F$3:$F$1084)</f>
        <v/>
      </c>
      <c r="I12" s="35">
        <f>SUMPRODUCT(('Individual Refineries'!$B$3:$B$1084=$A12)*('Individual Refineries'!$D$3:$D$1084="REF")*'Individual Refineries'!$F$3:$F$1084)*SUMPRODUCT(('Individual Refineries'!$B$3:$B$1084=$A12)*('Individual Refineries'!$D$3:$D$1084="REF")*'Individual Refineries'!$K$3:$K$1084)+SUMPRODUCT(('Individual Refineries'!$B$3:$B$1084=$A12)*('Individual Refineries'!$D$3:$D$1084="CCR")*'Individual Refineries'!$F$3:$F$1084)*SUMPRODUCT(('Individual Refineries'!$B$3:$B$1084=$A12)*('Individual Refineries'!$D$3:$D$1084="CCR")*'Individual Refineries'!$K$3:$K$1084)</f>
        <v/>
      </c>
      <c r="J12" s="35">
        <f>SUMPRODUCT(('Individual Refineries'!$B$3:$B$1084=$A12)*('Individual Refineries'!$D$3:$D$1084="ISOM")*'Individual Refineries'!$F$3:$F$1084)*SUMPRODUCT(('Individual Refineries'!$B$3:$B$1084=$A12)*('Individual Refineries'!$D$3:$D$1084="ISOM")*'Individual Refineries'!$K$3:$K$1084)</f>
        <v/>
      </c>
      <c r="K12" s="35">
        <f>SUMPRODUCT(('Individual Refineries'!$A$3:$A$1084="TOTAL")*('Individual Refineries'!$B$3:$B$1084=$A12)*'Individual Refineries'!$Q$3:$Q$1084)</f>
        <v/>
      </c>
      <c r="L12" s="34">
        <f>SUMIFS(Data!$N$3:$N$125,Data!$A$3:$A$125,$A12)</f>
        <v/>
      </c>
      <c r="M12" s="34">
        <f>IFERROR($K12/(SUMIFS(Data!$G$3:$G$125,Data!$A$3:$A$125,$A12)*$D12),"")</f>
        <v/>
      </c>
      <c r="N12" s="53">
        <f>IF($M12="","",$M12-$L12)</f>
        <v/>
      </c>
      <c r="O12" s="49">
        <f>IF(AND($H12&gt;0,$G12&gt;$H12*1.05),"SR &gt; NHT cap","")</f>
        <v/>
      </c>
    </row>
    <row r="13">
      <c r="A13" s="40" t="inlineStr">
        <is>
          <t>EXXONMOBIL_JOLIET</t>
        </is>
      </c>
      <c r="B13" s="28" t="n">
        <v>2</v>
      </c>
      <c r="C13" s="30">
        <f>SUMPRODUCT(('Individual Refineries'!$B$3:$B$1084=$A13)*('Individual Refineries'!$D$3:$D$1084="CDU")*'Individual Refineries'!$F$3:$F$1084)</f>
        <v/>
      </c>
      <c r="D13" s="52">
        <f>SUMPRODUCT(('Individual Refineries'!$B$3:$B$1084=$A13)*('Individual Refineries'!$D$3:$D$1084="CDU")*'Individual Refineries'!$K$3:$K$1084)</f>
        <v/>
      </c>
      <c r="E13" s="30">
        <f>$C13*$D13</f>
        <v/>
      </c>
      <c r="F13" s="33">
        <f>SUMPRODUCT(('Individual Refineries'!$B$3:$B$1084=$A13)*('Individual Refineries'!$D$3:$D$1084="CDU")*'Individual Refineries'!$P$3:$P$1084)</f>
        <v/>
      </c>
      <c r="G13" s="35">
        <f>$E13*$F13</f>
        <v/>
      </c>
      <c r="H13" s="30">
        <f>SUMPRODUCT(('Individual Refineries'!$B$3:$B$1084=$A13)*('Individual Refineries'!$D$3:$D$1084="NHT")*'Individual Refineries'!$F$3:$F$1084)</f>
        <v/>
      </c>
      <c r="I13" s="35">
        <f>SUMPRODUCT(('Individual Refineries'!$B$3:$B$1084=$A13)*('Individual Refineries'!$D$3:$D$1084="REF")*'Individual Refineries'!$F$3:$F$1084)*SUMPRODUCT(('Individual Refineries'!$B$3:$B$1084=$A13)*('Individual Refineries'!$D$3:$D$1084="REF")*'Individual Refineries'!$K$3:$K$1084)+SUMPRODUCT(('Individual Refineries'!$B$3:$B$1084=$A13)*('Individual Refineries'!$D$3:$D$1084="CCR")*'Individual Refineries'!$F$3:$F$1084)*SUMPRODUCT(('Individual Refineries'!$B$3:$B$1084=$A13)*('Individual Refineries'!$D$3:$D$1084="CCR")*'Individual Refineries'!$K$3:$K$1084)</f>
        <v/>
      </c>
      <c r="J13" s="35">
        <f>SUMPRODUCT(('Individual Refineries'!$B$3:$B$1084=$A13)*('Individual Refineries'!$D$3:$D$1084="ISOM")*'Individual Refineries'!$F$3:$F$1084)*SUMPRODUCT(('Individual Refineries'!$B$3:$B$1084=$A13)*('Individual Refineries'!$D$3:$D$1084="ISOM")*'Individual Refineries'!$K$3:$K$1084)</f>
        <v/>
      </c>
      <c r="K13" s="35">
        <f>SUMPRODUCT(('Individual Refineries'!$A$3:$A$1084="TOTAL")*('Individual Refineries'!$B$3:$B$1084=$A13)*'Individual Refineries'!$Q$3:$Q$1084)</f>
        <v/>
      </c>
      <c r="L13" s="34">
        <f>SUMIFS(Data!$N$3:$N$125,Data!$A$3:$A$125,$A13)</f>
        <v/>
      </c>
      <c r="M13" s="34">
        <f>IFERROR($K13/(SUMIFS(Data!$G$3:$G$125,Data!$A$3:$A$125,$A13)*$D13),"")</f>
        <v/>
      </c>
      <c r="N13" s="53">
        <f>IF($M13="","",$M13-$L13)</f>
        <v/>
      </c>
      <c r="O13" s="49">
        <f>IF(AND($H13&gt;0,$G13&gt;$H13*1.05),"SR &gt; NHT cap","")</f>
        <v/>
      </c>
    </row>
    <row r="14">
      <c r="A14" s="40" t="inlineStr">
        <is>
          <t>PHILLIPS_PONCA_CITY</t>
        </is>
      </c>
      <c r="B14" s="28" t="n">
        <v>2</v>
      </c>
      <c r="C14" s="30">
        <f>SUMPRODUCT(('Individual Refineries'!$B$3:$B$1084=$A14)*('Individual Refineries'!$D$3:$D$1084="CDU")*'Individual Refineries'!$F$3:$F$1084)</f>
        <v/>
      </c>
      <c r="D14" s="52">
        <f>SUMPRODUCT(('Individual Refineries'!$B$3:$B$1084=$A14)*('Individual Refineries'!$D$3:$D$1084="CDU")*'Individual Refineries'!$K$3:$K$1084)</f>
        <v/>
      </c>
      <c r="E14" s="30">
        <f>$C14*$D14</f>
        <v/>
      </c>
      <c r="F14" s="33">
        <f>SUMPRODUCT(('Individual Refineries'!$B$3:$B$1084=$A14)*('Individual Refineries'!$D$3:$D$1084="CDU")*'Individual Refineries'!$P$3:$P$1084)</f>
        <v/>
      </c>
      <c r="G14" s="35">
        <f>$E14*$F14</f>
        <v/>
      </c>
      <c r="H14" s="30">
        <f>SUMPRODUCT(('Individual Refineries'!$B$3:$B$1084=$A14)*('Individual Refineries'!$D$3:$D$1084="NHT")*'Individual Refineries'!$F$3:$F$1084)</f>
        <v/>
      </c>
      <c r="I14" s="35">
        <f>SUMPRODUCT(('Individual Refineries'!$B$3:$B$1084=$A14)*('Individual Refineries'!$D$3:$D$1084="REF")*'Individual Refineries'!$F$3:$F$1084)*SUMPRODUCT(('Individual Refineries'!$B$3:$B$1084=$A14)*('Individual Refineries'!$D$3:$D$1084="REF")*'Individual Refineries'!$K$3:$K$1084)+SUMPRODUCT(('Individual Refineries'!$B$3:$B$1084=$A14)*('Individual Refineries'!$D$3:$D$1084="CCR")*'Individual Refineries'!$F$3:$F$1084)*SUMPRODUCT(('Individual Refineries'!$B$3:$B$1084=$A14)*('Individual Refineries'!$D$3:$D$1084="CCR")*'Individual Refineries'!$K$3:$K$1084)</f>
        <v/>
      </c>
      <c r="J14" s="35">
        <f>SUMPRODUCT(('Individual Refineries'!$B$3:$B$1084=$A14)*('Individual Refineries'!$D$3:$D$1084="ISOM")*'Individual Refineries'!$F$3:$F$1084)*SUMPRODUCT(('Individual Refineries'!$B$3:$B$1084=$A14)*('Individual Refineries'!$D$3:$D$1084="ISOM")*'Individual Refineries'!$K$3:$K$1084)</f>
        <v/>
      </c>
      <c r="K14" s="35">
        <f>SUMPRODUCT(('Individual Refineries'!$A$3:$A$1084="TOTAL")*('Individual Refineries'!$B$3:$B$1084=$A14)*'Individual Refineries'!$Q$3:$Q$1084)</f>
        <v/>
      </c>
      <c r="L14" s="34">
        <f>SUMIFS(Data!$N$3:$N$125,Data!$A$3:$A$125,$A14)</f>
        <v/>
      </c>
      <c r="M14" s="34">
        <f>IFERROR($K14/(SUMIFS(Data!$G$3:$G$125,Data!$A$3:$A$125,$A14)*$D14),"")</f>
        <v/>
      </c>
      <c r="N14" s="53">
        <f>IF($M14="","",$M14-$L14)</f>
        <v/>
      </c>
      <c r="O14" s="49">
        <f>IF(AND($H14&gt;0,$G14&gt;$H14*1.05),"SR &gt; NHT cap","")</f>
        <v/>
      </c>
    </row>
    <row r="15">
      <c r="A15" s="40" t="inlineStr">
        <is>
          <t>CITGO_LEMONT</t>
        </is>
      </c>
      <c r="B15" s="28" t="n">
        <v>2</v>
      </c>
      <c r="C15" s="30">
        <f>SUMPRODUCT(('Individual Refineries'!$B$3:$B$1084=$A15)*('Individual Refineries'!$D$3:$D$1084="CDU")*'Individual Refineries'!$F$3:$F$1084)</f>
        <v/>
      </c>
      <c r="D15" s="52">
        <f>SUMPRODUCT(('Individual Refineries'!$B$3:$B$1084=$A15)*('Individual Refineries'!$D$3:$D$1084="CDU")*'Individual Refineries'!$K$3:$K$1084)</f>
        <v/>
      </c>
      <c r="E15" s="30">
        <f>$C15*$D15</f>
        <v/>
      </c>
      <c r="F15" s="33">
        <f>SUMPRODUCT(('Individual Refineries'!$B$3:$B$1084=$A15)*('Individual Refineries'!$D$3:$D$1084="CDU")*'Individual Refineries'!$P$3:$P$1084)</f>
        <v/>
      </c>
      <c r="G15" s="35">
        <f>$E15*$F15</f>
        <v/>
      </c>
      <c r="H15" s="30">
        <f>SUMPRODUCT(('Individual Refineries'!$B$3:$B$1084=$A15)*('Individual Refineries'!$D$3:$D$1084="NHT")*'Individual Refineries'!$F$3:$F$1084)</f>
        <v/>
      </c>
      <c r="I15" s="35">
        <f>SUMPRODUCT(('Individual Refineries'!$B$3:$B$1084=$A15)*('Individual Refineries'!$D$3:$D$1084="REF")*'Individual Refineries'!$F$3:$F$1084)*SUMPRODUCT(('Individual Refineries'!$B$3:$B$1084=$A15)*('Individual Refineries'!$D$3:$D$1084="REF")*'Individual Refineries'!$K$3:$K$1084)+SUMPRODUCT(('Individual Refineries'!$B$3:$B$1084=$A15)*('Individual Refineries'!$D$3:$D$1084="CCR")*'Individual Refineries'!$F$3:$F$1084)*SUMPRODUCT(('Individual Refineries'!$B$3:$B$1084=$A15)*('Individual Refineries'!$D$3:$D$1084="CCR")*'Individual Refineries'!$K$3:$K$1084)</f>
        <v/>
      </c>
      <c r="J15" s="35">
        <f>SUMPRODUCT(('Individual Refineries'!$B$3:$B$1084=$A15)*('Individual Refineries'!$D$3:$D$1084="ISOM")*'Individual Refineries'!$F$3:$F$1084)*SUMPRODUCT(('Individual Refineries'!$B$3:$B$1084=$A15)*('Individual Refineries'!$D$3:$D$1084="ISOM")*'Individual Refineries'!$K$3:$K$1084)</f>
        <v/>
      </c>
      <c r="K15" s="35">
        <f>SUMPRODUCT(('Individual Refineries'!$A$3:$A$1084="TOTAL")*('Individual Refineries'!$B$3:$B$1084=$A15)*'Individual Refineries'!$Q$3:$Q$1084)</f>
        <v/>
      </c>
      <c r="L15" s="34">
        <f>SUMIFS(Data!$N$3:$N$125,Data!$A$3:$A$125,$A15)</f>
        <v/>
      </c>
      <c r="M15" s="34">
        <f>IFERROR($K15/(SUMIFS(Data!$G$3:$G$125,Data!$A$3:$A$125,$A15)*$D15),"")</f>
        <v/>
      </c>
      <c r="N15" s="53">
        <f>IF($M15="","",$M15-$L15)</f>
        <v/>
      </c>
      <c r="O15" s="49">
        <f>IF(AND($H15&gt;0,$G15&gt;$H15*1.05),"SR &gt; NHT cap","")</f>
        <v/>
      </c>
    </row>
    <row r="16">
      <c r="A16" s="40" t="inlineStr">
        <is>
          <t>CENOVUS_LIMA</t>
        </is>
      </c>
      <c r="B16" s="28" t="n">
        <v>2</v>
      </c>
      <c r="C16" s="30">
        <f>SUMPRODUCT(('Individual Refineries'!$B$3:$B$1084=$A16)*('Individual Refineries'!$D$3:$D$1084="CDU")*'Individual Refineries'!$F$3:$F$1084)</f>
        <v/>
      </c>
      <c r="D16" s="52">
        <f>SUMPRODUCT(('Individual Refineries'!$B$3:$B$1084=$A16)*('Individual Refineries'!$D$3:$D$1084="CDU")*'Individual Refineries'!$K$3:$K$1084)</f>
        <v/>
      </c>
      <c r="E16" s="30">
        <f>$C16*$D16</f>
        <v/>
      </c>
      <c r="F16" s="33">
        <f>SUMPRODUCT(('Individual Refineries'!$B$3:$B$1084=$A16)*('Individual Refineries'!$D$3:$D$1084="CDU")*'Individual Refineries'!$P$3:$P$1084)</f>
        <v/>
      </c>
      <c r="G16" s="35">
        <f>$E16*$F16</f>
        <v/>
      </c>
      <c r="H16" s="30">
        <f>SUMPRODUCT(('Individual Refineries'!$B$3:$B$1084=$A16)*('Individual Refineries'!$D$3:$D$1084="NHT")*'Individual Refineries'!$F$3:$F$1084)</f>
        <v/>
      </c>
      <c r="I16" s="35">
        <f>SUMPRODUCT(('Individual Refineries'!$B$3:$B$1084=$A16)*('Individual Refineries'!$D$3:$D$1084="REF")*'Individual Refineries'!$F$3:$F$1084)*SUMPRODUCT(('Individual Refineries'!$B$3:$B$1084=$A16)*('Individual Refineries'!$D$3:$D$1084="REF")*'Individual Refineries'!$K$3:$K$1084)+SUMPRODUCT(('Individual Refineries'!$B$3:$B$1084=$A16)*('Individual Refineries'!$D$3:$D$1084="CCR")*'Individual Refineries'!$F$3:$F$1084)*SUMPRODUCT(('Individual Refineries'!$B$3:$B$1084=$A16)*('Individual Refineries'!$D$3:$D$1084="CCR")*'Individual Refineries'!$K$3:$K$1084)</f>
        <v/>
      </c>
      <c r="J16" s="35">
        <f>SUMPRODUCT(('Individual Refineries'!$B$3:$B$1084=$A16)*('Individual Refineries'!$D$3:$D$1084="ISOM")*'Individual Refineries'!$F$3:$F$1084)*SUMPRODUCT(('Individual Refineries'!$B$3:$B$1084=$A16)*('Individual Refineries'!$D$3:$D$1084="ISOM")*'Individual Refineries'!$K$3:$K$1084)</f>
        <v/>
      </c>
      <c r="K16" s="35">
        <f>SUMPRODUCT(('Individual Refineries'!$A$3:$A$1084="TOTAL")*('Individual Refineries'!$B$3:$B$1084=$A16)*'Individual Refineries'!$Q$3:$Q$1084)</f>
        <v/>
      </c>
      <c r="L16" s="34">
        <f>SUMIFS(Data!$N$3:$N$125,Data!$A$3:$A$125,$A16)</f>
        <v/>
      </c>
      <c r="M16" s="34">
        <f>IFERROR($K16/(SUMIFS(Data!$G$3:$G$125,Data!$A$3:$A$125,$A16)*$D16),"")</f>
        <v/>
      </c>
      <c r="N16" s="53">
        <f>IF($M16="","",$M16-$L16)</f>
        <v/>
      </c>
      <c r="O16" s="49">
        <f>IF(AND($H16&gt;0,$G16&gt;$H16*1.05),"SR &gt; NHT cap","")</f>
        <v/>
      </c>
    </row>
    <row r="17">
      <c r="A17" s="40" t="inlineStr">
        <is>
          <t>PBF_TOLEDO</t>
        </is>
      </c>
      <c r="B17" s="28" t="n">
        <v>2</v>
      </c>
      <c r="C17" s="30">
        <f>SUMPRODUCT(('Individual Refineries'!$B$3:$B$1084=$A17)*('Individual Refineries'!$D$3:$D$1084="CDU")*'Individual Refineries'!$F$3:$F$1084)</f>
        <v/>
      </c>
      <c r="D17" s="52">
        <f>SUMPRODUCT(('Individual Refineries'!$B$3:$B$1084=$A17)*('Individual Refineries'!$D$3:$D$1084="CDU")*'Individual Refineries'!$K$3:$K$1084)</f>
        <v/>
      </c>
      <c r="E17" s="30">
        <f>$C17*$D17</f>
        <v/>
      </c>
      <c r="F17" s="33">
        <f>SUMPRODUCT(('Individual Refineries'!$B$3:$B$1084=$A17)*('Individual Refineries'!$D$3:$D$1084="CDU")*'Individual Refineries'!$P$3:$P$1084)</f>
        <v/>
      </c>
      <c r="G17" s="35">
        <f>$E17*$F17</f>
        <v/>
      </c>
      <c r="H17" s="30">
        <f>SUMPRODUCT(('Individual Refineries'!$B$3:$B$1084=$A17)*('Individual Refineries'!$D$3:$D$1084="NHT")*'Individual Refineries'!$F$3:$F$1084)</f>
        <v/>
      </c>
      <c r="I17" s="35">
        <f>SUMPRODUCT(('Individual Refineries'!$B$3:$B$1084=$A17)*('Individual Refineries'!$D$3:$D$1084="REF")*'Individual Refineries'!$F$3:$F$1084)*SUMPRODUCT(('Individual Refineries'!$B$3:$B$1084=$A17)*('Individual Refineries'!$D$3:$D$1084="REF")*'Individual Refineries'!$K$3:$K$1084)+SUMPRODUCT(('Individual Refineries'!$B$3:$B$1084=$A17)*('Individual Refineries'!$D$3:$D$1084="CCR")*'Individual Refineries'!$F$3:$F$1084)*SUMPRODUCT(('Individual Refineries'!$B$3:$B$1084=$A17)*('Individual Refineries'!$D$3:$D$1084="CCR")*'Individual Refineries'!$K$3:$K$1084)</f>
        <v/>
      </c>
      <c r="J17" s="35">
        <f>SUMPRODUCT(('Individual Refineries'!$B$3:$B$1084=$A17)*('Individual Refineries'!$D$3:$D$1084="ISOM")*'Individual Refineries'!$F$3:$F$1084)*SUMPRODUCT(('Individual Refineries'!$B$3:$B$1084=$A17)*('Individual Refineries'!$D$3:$D$1084="ISOM")*'Individual Refineries'!$K$3:$K$1084)</f>
        <v/>
      </c>
      <c r="K17" s="35">
        <f>SUMPRODUCT(('Individual Refineries'!$A$3:$A$1084="TOTAL")*('Individual Refineries'!$B$3:$B$1084=$A17)*'Individual Refineries'!$Q$3:$Q$1084)</f>
        <v/>
      </c>
      <c r="L17" s="34">
        <f>SUMIFS(Data!$N$3:$N$125,Data!$A$3:$A$125,$A17)</f>
        <v/>
      </c>
      <c r="M17" s="34">
        <f>IFERROR($K17/(SUMIFS(Data!$G$3:$G$125,Data!$A$3:$A$125,$A17)*$D17),"")</f>
        <v/>
      </c>
      <c r="N17" s="53">
        <f>IF($M17="","",$M17-$L17)</f>
        <v/>
      </c>
      <c r="O17" s="49">
        <f>IF(AND($H17&gt;0,$G17&gt;$H17*1.05),"SR &gt; NHT cap","")</f>
        <v/>
      </c>
    </row>
    <row r="18">
      <c r="A18" s="40" t="inlineStr">
        <is>
          <t>VALERO_MEMPHIS</t>
        </is>
      </c>
      <c r="B18" s="28" t="n">
        <v>2</v>
      </c>
      <c r="C18" s="30">
        <f>SUMPRODUCT(('Individual Refineries'!$B$3:$B$1084=$A18)*('Individual Refineries'!$D$3:$D$1084="CDU")*'Individual Refineries'!$F$3:$F$1084)</f>
        <v/>
      </c>
      <c r="D18" s="52">
        <f>SUMPRODUCT(('Individual Refineries'!$B$3:$B$1084=$A18)*('Individual Refineries'!$D$3:$D$1084="CDU")*'Individual Refineries'!$K$3:$K$1084)</f>
        <v/>
      </c>
      <c r="E18" s="30">
        <f>$C18*$D18</f>
        <v/>
      </c>
      <c r="F18" s="33">
        <f>SUMPRODUCT(('Individual Refineries'!$B$3:$B$1084=$A18)*('Individual Refineries'!$D$3:$D$1084="CDU")*'Individual Refineries'!$P$3:$P$1084)</f>
        <v/>
      </c>
      <c r="G18" s="35">
        <f>$E18*$F18</f>
        <v/>
      </c>
      <c r="H18" s="30">
        <f>SUMPRODUCT(('Individual Refineries'!$B$3:$B$1084=$A18)*('Individual Refineries'!$D$3:$D$1084="NHT")*'Individual Refineries'!$F$3:$F$1084)</f>
        <v/>
      </c>
      <c r="I18" s="35">
        <f>SUMPRODUCT(('Individual Refineries'!$B$3:$B$1084=$A18)*('Individual Refineries'!$D$3:$D$1084="REF")*'Individual Refineries'!$F$3:$F$1084)*SUMPRODUCT(('Individual Refineries'!$B$3:$B$1084=$A18)*('Individual Refineries'!$D$3:$D$1084="REF")*'Individual Refineries'!$K$3:$K$1084)+SUMPRODUCT(('Individual Refineries'!$B$3:$B$1084=$A18)*('Individual Refineries'!$D$3:$D$1084="CCR")*'Individual Refineries'!$F$3:$F$1084)*SUMPRODUCT(('Individual Refineries'!$B$3:$B$1084=$A18)*('Individual Refineries'!$D$3:$D$1084="CCR")*'Individual Refineries'!$K$3:$K$1084)</f>
        <v/>
      </c>
      <c r="J18" s="35">
        <f>SUMPRODUCT(('Individual Refineries'!$B$3:$B$1084=$A18)*('Individual Refineries'!$D$3:$D$1084="ISOM")*'Individual Refineries'!$F$3:$F$1084)*SUMPRODUCT(('Individual Refineries'!$B$3:$B$1084=$A18)*('Individual Refineries'!$D$3:$D$1084="ISOM")*'Individual Refineries'!$K$3:$K$1084)</f>
        <v/>
      </c>
      <c r="K18" s="35">
        <f>SUMPRODUCT(('Individual Refineries'!$A$3:$A$1084="TOTAL")*('Individual Refineries'!$B$3:$B$1084=$A18)*'Individual Refineries'!$Q$3:$Q$1084)</f>
        <v/>
      </c>
      <c r="L18" s="34">
        <f>SUMIFS(Data!$N$3:$N$125,Data!$A$3:$A$125,$A18)</f>
        <v/>
      </c>
      <c r="M18" s="34">
        <f>IFERROR($K18/(SUMIFS(Data!$G$3:$G$125,Data!$A$3:$A$125,$A18)*$D18),"")</f>
        <v/>
      </c>
      <c r="N18" s="53">
        <f>IF($M18="","",$M18-$L18)</f>
        <v/>
      </c>
      <c r="O18" s="49">
        <f>IF(AND($H18&gt;0,$G18&gt;$H18*1.05),"SR &gt; NHT cap","")</f>
        <v/>
      </c>
    </row>
    <row r="19">
      <c r="A19" s="40" t="inlineStr">
        <is>
          <t>CENOVUS_TOLEDO</t>
        </is>
      </c>
      <c r="B19" s="28" t="n">
        <v>2</v>
      </c>
      <c r="C19" s="30">
        <f>SUMPRODUCT(('Individual Refineries'!$B$3:$B$1084=$A19)*('Individual Refineries'!$D$3:$D$1084="CDU")*'Individual Refineries'!$F$3:$F$1084)</f>
        <v/>
      </c>
      <c r="D19" s="52">
        <f>SUMPRODUCT(('Individual Refineries'!$B$3:$B$1084=$A19)*('Individual Refineries'!$D$3:$D$1084="CDU")*'Individual Refineries'!$K$3:$K$1084)</f>
        <v/>
      </c>
      <c r="E19" s="30">
        <f>$C19*$D19</f>
        <v/>
      </c>
      <c r="F19" s="33">
        <f>SUMPRODUCT(('Individual Refineries'!$B$3:$B$1084=$A19)*('Individual Refineries'!$D$3:$D$1084="CDU")*'Individual Refineries'!$P$3:$P$1084)</f>
        <v/>
      </c>
      <c r="G19" s="35">
        <f>$E19*$F19</f>
        <v/>
      </c>
      <c r="H19" s="30">
        <f>SUMPRODUCT(('Individual Refineries'!$B$3:$B$1084=$A19)*('Individual Refineries'!$D$3:$D$1084="NHT")*'Individual Refineries'!$F$3:$F$1084)</f>
        <v/>
      </c>
      <c r="I19" s="35">
        <f>SUMPRODUCT(('Individual Refineries'!$B$3:$B$1084=$A19)*('Individual Refineries'!$D$3:$D$1084="REF")*'Individual Refineries'!$F$3:$F$1084)*SUMPRODUCT(('Individual Refineries'!$B$3:$B$1084=$A19)*('Individual Refineries'!$D$3:$D$1084="REF")*'Individual Refineries'!$K$3:$K$1084)+SUMPRODUCT(('Individual Refineries'!$B$3:$B$1084=$A19)*('Individual Refineries'!$D$3:$D$1084="CCR")*'Individual Refineries'!$F$3:$F$1084)*SUMPRODUCT(('Individual Refineries'!$B$3:$B$1084=$A19)*('Individual Refineries'!$D$3:$D$1084="CCR")*'Individual Refineries'!$K$3:$K$1084)</f>
        <v/>
      </c>
      <c r="J19" s="35">
        <f>SUMPRODUCT(('Individual Refineries'!$B$3:$B$1084=$A19)*('Individual Refineries'!$D$3:$D$1084="ISOM")*'Individual Refineries'!$F$3:$F$1084)*SUMPRODUCT(('Individual Refineries'!$B$3:$B$1084=$A19)*('Individual Refineries'!$D$3:$D$1084="ISOM")*'Individual Refineries'!$K$3:$K$1084)</f>
        <v/>
      </c>
      <c r="K19" s="35">
        <f>SUMPRODUCT(('Individual Refineries'!$A$3:$A$1084="TOTAL")*('Individual Refineries'!$B$3:$B$1084=$A19)*'Individual Refineries'!$Q$3:$Q$1084)</f>
        <v/>
      </c>
      <c r="L19" s="34">
        <f>SUMIFS(Data!$N$3:$N$125,Data!$A$3:$A$125,$A19)</f>
        <v/>
      </c>
      <c r="M19" s="34">
        <f>IFERROR($K19/(SUMIFS(Data!$G$3:$G$125,Data!$A$3:$A$125,$A19)*$D19),"")</f>
        <v/>
      </c>
      <c r="N19" s="53">
        <f>IF($M19="","",$M19-$L19)</f>
        <v/>
      </c>
      <c r="O19" s="49">
        <f>IF(AND($H19&gt;0,$G19&gt;$H19*1.05),"SR &gt; NHT cap","")</f>
        <v/>
      </c>
    </row>
    <row r="20">
      <c r="A20" s="40" t="inlineStr">
        <is>
          <t>MARATHON_DETROIT</t>
        </is>
      </c>
      <c r="B20" s="28" t="n">
        <v>2</v>
      </c>
      <c r="C20" s="30">
        <f>SUMPRODUCT(('Individual Refineries'!$B$3:$B$1084=$A20)*('Individual Refineries'!$D$3:$D$1084="CDU")*'Individual Refineries'!$F$3:$F$1084)</f>
        <v/>
      </c>
      <c r="D20" s="52">
        <f>SUMPRODUCT(('Individual Refineries'!$B$3:$B$1084=$A20)*('Individual Refineries'!$D$3:$D$1084="CDU")*'Individual Refineries'!$K$3:$K$1084)</f>
        <v/>
      </c>
      <c r="E20" s="30">
        <f>$C20*$D20</f>
        <v/>
      </c>
      <c r="F20" s="33">
        <f>SUMPRODUCT(('Individual Refineries'!$B$3:$B$1084=$A20)*('Individual Refineries'!$D$3:$D$1084="CDU")*'Individual Refineries'!$P$3:$P$1084)</f>
        <v/>
      </c>
      <c r="G20" s="35">
        <f>$E20*$F20</f>
        <v/>
      </c>
      <c r="H20" s="30">
        <f>SUMPRODUCT(('Individual Refineries'!$B$3:$B$1084=$A20)*('Individual Refineries'!$D$3:$D$1084="NHT")*'Individual Refineries'!$F$3:$F$1084)</f>
        <v/>
      </c>
      <c r="I20" s="35">
        <f>SUMPRODUCT(('Individual Refineries'!$B$3:$B$1084=$A20)*('Individual Refineries'!$D$3:$D$1084="REF")*'Individual Refineries'!$F$3:$F$1084)*SUMPRODUCT(('Individual Refineries'!$B$3:$B$1084=$A20)*('Individual Refineries'!$D$3:$D$1084="REF")*'Individual Refineries'!$K$3:$K$1084)+SUMPRODUCT(('Individual Refineries'!$B$3:$B$1084=$A20)*('Individual Refineries'!$D$3:$D$1084="CCR")*'Individual Refineries'!$F$3:$F$1084)*SUMPRODUCT(('Individual Refineries'!$B$3:$B$1084=$A20)*('Individual Refineries'!$D$3:$D$1084="CCR")*'Individual Refineries'!$K$3:$K$1084)</f>
        <v/>
      </c>
      <c r="J20" s="35">
        <f>SUMPRODUCT(('Individual Refineries'!$B$3:$B$1084=$A20)*('Individual Refineries'!$D$3:$D$1084="ISOM")*'Individual Refineries'!$F$3:$F$1084)*SUMPRODUCT(('Individual Refineries'!$B$3:$B$1084=$A20)*('Individual Refineries'!$D$3:$D$1084="ISOM")*'Individual Refineries'!$K$3:$K$1084)</f>
        <v/>
      </c>
      <c r="K20" s="35">
        <f>SUMPRODUCT(('Individual Refineries'!$A$3:$A$1084="TOTAL")*('Individual Refineries'!$B$3:$B$1084=$A20)*'Individual Refineries'!$Q$3:$Q$1084)</f>
        <v/>
      </c>
      <c r="L20" s="34">
        <f>SUMIFS(Data!$N$3:$N$125,Data!$A$3:$A$125,$A20)</f>
        <v/>
      </c>
      <c r="M20" s="34">
        <f>IFERROR($K20/(SUMIFS(Data!$G$3:$G$125,Data!$A$3:$A$125,$A20)*$D20),"")</f>
        <v/>
      </c>
      <c r="N20" s="53">
        <f>IF($M20="","",$M20-$L20)</f>
        <v/>
      </c>
      <c r="O20" s="49">
        <f>IF(AND($H20&gt;0,$G20&gt;$H20*1.05),"SR &gt; NHT cap","")</f>
        <v/>
      </c>
    </row>
    <row r="21">
      <c r="A21" s="40" t="inlineStr">
        <is>
          <t>HF_EL_DORADO_KS</t>
        </is>
      </c>
      <c r="B21" s="28" t="n">
        <v>2</v>
      </c>
      <c r="C21" s="30">
        <f>SUMPRODUCT(('Individual Refineries'!$B$3:$B$1084=$A21)*('Individual Refineries'!$D$3:$D$1084="CDU")*'Individual Refineries'!$F$3:$F$1084)</f>
        <v/>
      </c>
      <c r="D21" s="52">
        <f>SUMPRODUCT(('Individual Refineries'!$B$3:$B$1084=$A21)*('Individual Refineries'!$D$3:$D$1084="CDU")*'Individual Refineries'!$K$3:$K$1084)</f>
        <v/>
      </c>
      <c r="E21" s="30">
        <f>$C21*$D21</f>
        <v/>
      </c>
      <c r="F21" s="33">
        <f>SUMPRODUCT(('Individual Refineries'!$B$3:$B$1084=$A21)*('Individual Refineries'!$D$3:$D$1084="CDU")*'Individual Refineries'!$P$3:$P$1084)</f>
        <v/>
      </c>
      <c r="G21" s="35">
        <f>$E21*$F21</f>
        <v/>
      </c>
      <c r="H21" s="30">
        <f>SUMPRODUCT(('Individual Refineries'!$B$3:$B$1084=$A21)*('Individual Refineries'!$D$3:$D$1084="NHT")*'Individual Refineries'!$F$3:$F$1084)</f>
        <v/>
      </c>
      <c r="I21" s="35">
        <f>SUMPRODUCT(('Individual Refineries'!$B$3:$B$1084=$A21)*('Individual Refineries'!$D$3:$D$1084="REF")*'Individual Refineries'!$F$3:$F$1084)*SUMPRODUCT(('Individual Refineries'!$B$3:$B$1084=$A21)*('Individual Refineries'!$D$3:$D$1084="REF")*'Individual Refineries'!$K$3:$K$1084)+SUMPRODUCT(('Individual Refineries'!$B$3:$B$1084=$A21)*('Individual Refineries'!$D$3:$D$1084="CCR")*'Individual Refineries'!$F$3:$F$1084)*SUMPRODUCT(('Individual Refineries'!$B$3:$B$1084=$A21)*('Individual Refineries'!$D$3:$D$1084="CCR")*'Individual Refineries'!$K$3:$K$1084)</f>
        <v/>
      </c>
      <c r="J21" s="35">
        <f>SUMPRODUCT(('Individual Refineries'!$B$3:$B$1084=$A21)*('Individual Refineries'!$D$3:$D$1084="ISOM")*'Individual Refineries'!$F$3:$F$1084)*SUMPRODUCT(('Individual Refineries'!$B$3:$B$1084=$A21)*('Individual Refineries'!$D$3:$D$1084="ISOM")*'Individual Refineries'!$K$3:$K$1084)</f>
        <v/>
      </c>
      <c r="K21" s="35">
        <f>SUMPRODUCT(('Individual Refineries'!$A$3:$A$1084="TOTAL")*('Individual Refineries'!$B$3:$B$1084=$A21)*'Individual Refineries'!$Q$3:$Q$1084)</f>
        <v/>
      </c>
      <c r="L21" s="34">
        <f>SUMIFS(Data!$N$3:$N$125,Data!$A$3:$A$125,$A21)</f>
        <v/>
      </c>
      <c r="M21" s="34">
        <f>IFERROR($K21/(SUMIFS(Data!$G$3:$G$125,Data!$A$3:$A$125,$A21)*$D21),"")</f>
        <v/>
      </c>
      <c r="N21" s="53">
        <f>IF($M21="","",$M21-$L21)</f>
        <v/>
      </c>
      <c r="O21" s="49">
        <f>IF(AND($H21&gt;0,$G21&gt;$H21*1.05),"SR &gt; NHT cap","")</f>
        <v/>
      </c>
    </row>
    <row r="22">
      <c r="A22" s="40" t="inlineStr">
        <is>
          <t>CVR_COFFEYVILLE</t>
        </is>
      </c>
      <c r="B22" s="28" t="n">
        <v>2</v>
      </c>
      <c r="C22" s="30">
        <f>SUMPRODUCT(('Individual Refineries'!$B$3:$B$1084=$A22)*('Individual Refineries'!$D$3:$D$1084="CDU")*'Individual Refineries'!$F$3:$F$1084)</f>
        <v/>
      </c>
      <c r="D22" s="52">
        <f>SUMPRODUCT(('Individual Refineries'!$B$3:$B$1084=$A22)*('Individual Refineries'!$D$3:$D$1084="CDU")*'Individual Refineries'!$K$3:$K$1084)</f>
        <v/>
      </c>
      <c r="E22" s="30">
        <f>$C22*$D22</f>
        <v/>
      </c>
      <c r="F22" s="33">
        <f>SUMPRODUCT(('Individual Refineries'!$B$3:$B$1084=$A22)*('Individual Refineries'!$D$3:$D$1084="CDU")*'Individual Refineries'!$P$3:$P$1084)</f>
        <v/>
      </c>
      <c r="G22" s="35">
        <f>$E22*$F22</f>
        <v/>
      </c>
      <c r="H22" s="30">
        <f>SUMPRODUCT(('Individual Refineries'!$B$3:$B$1084=$A22)*('Individual Refineries'!$D$3:$D$1084="NHT")*'Individual Refineries'!$F$3:$F$1084)</f>
        <v/>
      </c>
      <c r="I22" s="35">
        <f>SUMPRODUCT(('Individual Refineries'!$B$3:$B$1084=$A22)*('Individual Refineries'!$D$3:$D$1084="REF")*'Individual Refineries'!$F$3:$F$1084)*SUMPRODUCT(('Individual Refineries'!$B$3:$B$1084=$A22)*('Individual Refineries'!$D$3:$D$1084="REF")*'Individual Refineries'!$K$3:$K$1084)+SUMPRODUCT(('Individual Refineries'!$B$3:$B$1084=$A22)*('Individual Refineries'!$D$3:$D$1084="CCR")*'Individual Refineries'!$F$3:$F$1084)*SUMPRODUCT(('Individual Refineries'!$B$3:$B$1084=$A22)*('Individual Refineries'!$D$3:$D$1084="CCR")*'Individual Refineries'!$K$3:$K$1084)</f>
        <v/>
      </c>
      <c r="J22" s="35">
        <f>SUMPRODUCT(('Individual Refineries'!$B$3:$B$1084=$A22)*('Individual Refineries'!$D$3:$D$1084="ISOM")*'Individual Refineries'!$F$3:$F$1084)*SUMPRODUCT(('Individual Refineries'!$B$3:$B$1084=$A22)*('Individual Refineries'!$D$3:$D$1084="ISOM")*'Individual Refineries'!$K$3:$K$1084)</f>
        <v/>
      </c>
      <c r="K22" s="35">
        <f>SUMPRODUCT(('Individual Refineries'!$A$3:$A$1084="TOTAL")*('Individual Refineries'!$B$3:$B$1084=$A22)*'Individual Refineries'!$Q$3:$Q$1084)</f>
        <v/>
      </c>
      <c r="L22" s="34">
        <f>SUMIFS(Data!$N$3:$N$125,Data!$A$3:$A$125,$A22)</f>
        <v/>
      </c>
      <c r="M22" s="34">
        <f>IFERROR($K22/(SUMIFS(Data!$G$3:$G$125,Data!$A$3:$A$125,$A22)*$D22),"")</f>
        <v/>
      </c>
      <c r="N22" s="53">
        <f>IF($M22="","",$M22-$L22)</f>
        <v/>
      </c>
      <c r="O22" s="49">
        <f>IF(AND($H22&gt;0,$G22&gt;$H22*1.05),"SR &gt; NHT cap","")</f>
        <v/>
      </c>
    </row>
    <row r="23">
      <c r="A23" s="40" t="inlineStr">
        <is>
          <t>HF_TULSA</t>
        </is>
      </c>
      <c r="B23" s="28" t="n">
        <v>2</v>
      </c>
      <c r="C23" s="30">
        <f>SUMPRODUCT(('Individual Refineries'!$B$3:$B$1084=$A23)*('Individual Refineries'!$D$3:$D$1084="CDU")*'Individual Refineries'!$F$3:$F$1084)</f>
        <v/>
      </c>
      <c r="D23" s="52">
        <f>SUMPRODUCT(('Individual Refineries'!$B$3:$B$1084=$A23)*('Individual Refineries'!$D$3:$D$1084="CDU")*'Individual Refineries'!$K$3:$K$1084)</f>
        <v/>
      </c>
      <c r="E23" s="30">
        <f>$C23*$D23</f>
        <v/>
      </c>
      <c r="F23" s="33">
        <f>SUMPRODUCT(('Individual Refineries'!$B$3:$B$1084=$A23)*('Individual Refineries'!$D$3:$D$1084="CDU")*'Individual Refineries'!$P$3:$P$1084)</f>
        <v/>
      </c>
      <c r="G23" s="35">
        <f>$E23*$F23</f>
        <v/>
      </c>
      <c r="H23" s="30">
        <f>SUMPRODUCT(('Individual Refineries'!$B$3:$B$1084=$A23)*('Individual Refineries'!$D$3:$D$1084="NHT")*'Individual Refineries'!$F$3:$F$1084)</f>
        <v/>
      </c>
      <c r="I23" s="35">
        <f>SUMPRODUCT(('Individual Refineries'!$B$3:$B$1084=$A23)*('Individual Refineries'!$D$3:$D$1084="REF")*'Individual Refineries'!$F$3:$F$1084)*SUMPRODUCT(('Individual Refineries'!$B$3:$B$1084=$A23)*('Individual Refineries'!$D$3:$D$1084="REF")*'Individual Refineries'!$K$3:$K$1084)+SUMPRODUCT(('Individual Refineries'!$B$3:$B$1084=$A23)*('Individual Refineries'!$D$3:$D$1084="CCR")*'Individual Refineries'!$F$3:$F$1084)*SUMPRODUCT(('Individual Refineries'!$B$3:$B$1084=$A23)*('Individual Refineries'!$D$3:$D$1084="CCR")*'Individual Refineries'!$K$3:$K$1084)</f>
        <v/>
      </c>
      <c r="J23" s="35">
        <f>SUMPRODUCT(('Individual Refineries'!$B$3:$B$1084=$A23)*('Individual Refineries'!$D$3:$D$1084="ISOM")*'Individual Refineries'!$F$3:$F$1084)*SUMPRODUCT(('Individual Refineries'!$B$3:$B$1084=$A23)*('Individual Refineries'!$D$3:$D$1084="ISOM")*'Individual Refineries'!$K$3:$K$1084)</f>
        <v/>
      </c>
      <c r="K23" s="35">
        <f>SUMPRODUCT(('Individual Refineries'!$A$3:$A$1084="TOTAL")*('Individual Refineries'!$B$3:$B$1084=$A23)*'Individual Refineries'!$Q$3:$Q$1084)</f>
        <v/>
      </c>
      <c r="L23" s="34">
        <f>SUMIFS(Data!$N$3:$N$125,Data!$A$3:$A$125,$A23)</f>
        <v/>
      </c>
      <c r="M23" s="34">
        <f>IFERROR($K23/(SUMIFS(Data!$G$3:$G$125,Data!$A$3:$A$125,$A23)*$D23),"")</f>
        <v/>
      </c>
      <c r="N23" s="53">
        <f>IF($M23="","",$M23-$L23)</f>
        <v/>
      </c>
      <c r="O23" s="49">
        <f>IF(AND($H23&gt;0,$G23&gt;$H23*1.05),"SR &gt; NHT cap","")</f>
        <v/>
      </c>
    </row>
    <row r="24">
      <c r="A24" s="40" t="inlineStr">
        <is>
          <t>NCRA_MCPHERSON</t>
        </is>
      </c>
      <c r="B24" s="28" t="n">
        <v>2</v>
      </c>
      <c r="C24" s="30">
        <f>SUMPRODUCT(('Individual Refineries'!$B$3:$B$1084=$A24)*('Individual Refineries'!$D$3:$D$1084="CDU")*'Individual Refineries'!$F$3:$F$1084)</f>
        <v/>
      </c>
      <c r="D24" s="52">
        <f>SUMPRODUCT(('Individual Refineries'!$B$3:$B$1084=$A24)*('Individual Refineries'!$D$3:$D$1084="CDU")*'Individual Refineries'!$K$3:$K$1084)</f>
        <v/>
      </c>
      <c r="E24" s="30">
        <f>$C24*$D24</f>
        <v/>
      </c>
      <c r="F24" s="33">
        <f>SUMPRODUCT(('Individual Refineries'!$B$3:$B$1084=$A24)*('Individual Refineries'!$D$3:$D$1084="CDU")*'Individual Refineries'!$P$3:$P$1084)</f>
        <v/>
      </c>
      <c r="G24" s="35">
        <f>$E24*$F24</f>
        <v/>
      </c>
      <c r="H24" s="30">
        <f>SUMPRODUCT(('Individual Refineries'!$B$3:$B$1084=$A24)*('Individual Refineries'!$D$3:$D$1084="NHT")*'Individual Refineries'!$F$3:$F$1084)</f>
        <v/>
      </c>
      <c r="I24" s="35">
        <f>SUMPRODUCT(('Individual Refineries'!$B$3:$B$1084=$A24)*('Individual Refineries'!$D$3:$D$1084="REF")*'Individual Refineries'!$F$3:$F$1084)*SUMPRODUCT(('Individual Refineries'!$B$3:$B$1084=$A24)*('Individual Refineries'!$D$3:$D$1084="REF")*'Individual Refineries'!$K$3:$K$1084)+SUMPRODUCT(('Individual Refineries'!$B$3:$B$1084=$A24)*('Individual Refineries'!$D$3:$D$1084="CCR")*'Individual Refineries'!$F$3:$F$1084)*SUMPRODUCT(('Individual Refineries'!$B$3:$B$1084=$A24)*('Individual Refineries'!$D$3:$D$1084="CCR")*'Individual Refineries'!$K$3:$K$1084)</f>
        <v/>
      </c>
      <c r="J24" s="35">
        <f>SUMPRODUCT(('Individual Refineries'!$B$3:$B$1084=$A24)*('Individual Refineries'!$D$3:$D$1084="ISOM")*'Individual Refineries'!$F$3:$F$1084)*SUMPRODUCT(('Individual Refineries'!$B$3:$B$1084=$A24)*('Individual Refineries'!$D$3:$D$1084="ISOM")*'Individual Refineries'!$K$3:$K$1084)</f>
        <v/>
      </c>
      <c r="K24" s="35">
        <f>SUMPRODUCT(('Individual Refineries'!$A$3:$A$1084="TOTAL")*('Individual Refineries'!$B$3:$B$1084=$A24)*'Individual Refineries'!$Q$3:$Q$1084)</f>
        <v/>
      </c>
      <c r="L24" s="34">
        <f>SUMIFS(Data!$N$3:$N$125,Data!$A$3:$A$125,$A24)</f>
        <v/>
      </c>
      <c r="M24" s="34">
        <f>IFERROR($K24/(SUMIFS(Data!$G$3:$G$125,Data!$A$3:$A$125,$A24)*$D24),"")</f>
        <v/>
      </c>
      <c r="N24" s="53">
        <f>IF($M24="","",$M24-$L24)</f>
        <v/>
      </c>
      <c r="O24" s="49">
        <f>IF(AND($H24&gt;0,$G24&gt;$H24*1.05),"SR &gt; NHT cap","")</f>
        <v/>
      </c>
    </row>
    <row r="25">
      <c r="A25" s="40" t="inlineStr">
        <is>
          <t>MARATHON_SAINT_PAUL_PARK</t>
        </is>
      </c>
      <c r="B25" s="28" t="n">
        <v>2</v>
      </c>
      <c r="C25" s="30">
        <f>SUMPRODUCT(('Individual Refineries'!$B$3:$B$1084=$A25)*('Individual Refineries'!$D$3:$D$1084="CDU")*'Individual Refineries'!$F$3:$F$1084)</f>
        <v/>
      </c>
      <c r="D25" s="52">
        <f>SUMPRODUCT(('Individual Refineries'!$B$3:$B$1084=$A25)*('Individual Refineries'!$D$3:$D$1084="CDU")*'Individual Refineries'!$K$3:$K$1084)</f>
        <v/>
      </c>
      <c r="E25" s="30">
        <f>$C25*$D25</f>
        <v/>
      </c>
      <c r="F25" s="33">
        <f>SUMPRODUCT(('Individual Refineries'!$B$3:$B$1084=$A25)*('Individual Refineries'!$D$3:$D$1084="CDU")*'Individual Refineries'!$P$3:$P$1084)</f>
        <v/>
      </c>
      <c r="G25" s="35">
        <f>$E25*$F25</f>
        <v/>
      </c>
      <c r="H25" s="30">
        <f>SUMPRODUCT(('Individual Refineries'!$B$3:$B$1084=$A25)*('Individual Refineries'!$D$3:$D$1084="NHT")*'Individual Refineries'!$F$3:$F$1084)</f>
        <v/>
      </c>
      <c r="I25" s="35">
        <f>SUMPRODUCT(('Individual Refineries'!$B$3:$B$1084=$A25)*('Individual Refineries'!$D$3:$D$1084="REF")*'Individual Refineries'!$F$3:$F$1084)*SUMPRODUCT(('Individual Refineries'!$B$3:$B$1084=$A25)*('Individual Refineries'!$D$3:$D$1084="REF")*'Individual Refineries'!$K$3:$K$1084)+SUMPRODUCT(('Individual Refineries'!$B$3:$B$1084=$A25)*('Individual Refineries'!$D$3:$D$1084="CCR")*'Individual Refineries'!$F$3:$F$1084)*SUMPRODUCT(('Individual Refineries'!$B$3:$B$1084=$A25)*('Individual Refineries'!$D$3:$D$1084="CCR")*'Individual Refineries'!$K$3:$K$1084)</f>
        <v/>
      </c>
      <c r="J25" s="35">
        <f>SUMPRODUCT(('Individual Refineries'!$B$3:$B$1084=$A25)*('Individual Refineries'!$D$3:$D$1084="ISOM")*'Individual Refineries'!$F$3:$F$1084)*SUMPRODUCT(('Individual Refineries'!$B$3:$B$1084=$A25)*('Individual Refineries'!$D$3:$D$1084="ISOM")*'Individual Refineries'!$K$3:$K$1084)</f>
        <v/>
      </c>
      <c r="K25" s="35">
        <f>SUMPRODUCT(('Individual Refineries'!$A$3:$A$1084="TOTAL")*('Individual Refineries'!$B$3:$B$1084=$A25)*'Individual Refineries'!$Q$3:$Q$1084)</f>
        <v/>
      </c>
      <c r="L25" s="34">
        <f>SUMIFS(Data!$N$3:$N$125,Data!$A$3:$A$125,$A25)</f>
        <v/>
      </c>
      <c r="M25" s="34">
        <f>IFERROR($K25/(SUMIFS(Data!$G$3:$G$125,Data!$A$3:$A$125,$A25)*$D25),"")</f>
        <v/>
      </c>
      <c r="N25" s="53">
        <f>IF($M25="","",$M25-$L25)</f>
        <v/>
      </c>
      <c r="O25" s="49">
        <f>IF(AND($H25&gt;0,$G25&gt;$H25*1.05),"SR &gt; NHT cap","")</f>
        <v/>
      </c>
    </row>
    <row r="26">
      <c r="A26" s="40" t="inlineStr">
        <is>
          <t>MARATHON_CANTON</t>
        </is>
      </c>
      <c r="B26" s="28" t="n">
        <v>2</v>
      </c>
      <c r="C26" s="30">
        <f>SUMPRODUCT(('Individual Refineries'!$B$3:$B$1084=$A26)*('Individual Refineries'!$D$3:$D$1084="CDU")*'Individual Refineries'!$F$3:$F$1084)</f>
        <v/>
      </c>
      <c r="D26" s="52">
        <f>SUMPRODUCT(('Individual Refineries'!$B$3:$B$1084=$A26)*('Individual Refineries'!$D$3:$D$1084="CDU")*'Individual Refineries'!$K$3:$K$1084)</f>
        <v/>
      </c>
      <c r="E26" s="30">
        <f>$C26*$D26</f>
        <v/>
      </c>
      <c r="F26" s="33">
        <f>SUMPRODUCT(('Individual Refineries'!$B$3:$B$1084=$A26)*('Individual Refineries'!$D$3:$D$1084="CDU")*'Individual Refineries'!$P$3:$P$1084)</f>
        <v/>
      </c>
      <c r="G26" s="35">
        <f>$E26*$F26</f>
        <v/>
      </c>
      <c r="H26" s="30">
        <f>SUMPRODUCT(('Individual Refineries'!$B$3:$B$1084=$A26)*('Individual Refineries'!$D$3:$D$1084="NHT")*'Individual Refineries'!$F$3:$F$1084)</f>
        <v/>
      </c>
      <c r="I26" s="35">
        <f>SUMPRODUCT(('Individual Refineries'!$B$3:$B$1084=$A26)*('Individual Refineries'!$D$3:$D$1084="REF")*'Individual Refineries'!$F$3:$F$1084)*SUMPRODUCT(('Individual Refineries'!$B$3:$B$1084=$A26)*('Individual Refineries'!$D$3:$D$1084="REF")*'Individual Refineries'!$K$3:$K$1084)+SUMPRODUCT(('Individual Refineries'!$B$3:$B$1084=$A26)*('Individual Refineries'!$D$3:$D$1084="CCR")*'Individual Refineries'!$F$3:$F$1084)*SUMPRODUCT(('Individual Refineries'!$B$3:$B$1084=$A26)*('Individual Refineries'!$D$3:$D$1084="CCR")*'Individual Refineries'!$K$3:$K$1084)</f>
        <v/>
      </c>
      <c r="J26" s="35">
        <f>SUMPRODUCT(('Individual Refineries'!$B$3:$B$1084=$A26)*('Individual Refineries'!$D$3:$D$1084="ISOM")*'Individual Refineries'!$F$3:$F$1084)*SUMPRODUCT(('Individual Refineries'!$B$3:$B$1084=$A26)*('Individual Refineries'!$D$3:$D$1084="ISOM")*'Individual Refineries'!$K$3:$K$1084)</f>
        <v/>
      </c>
      <c r="K26" s="35">
        <f>SUMPRODUCT(('Individual Refineries'!$A$3:$A$1084="TOTAL")*('Individual Refineries'!$B$3:$B$1084=$A26)*'Individual Refineries'!$Q$3:$Q$1084)</f>
        <v/>
      </c>
      <c r="L26" s="34">
        <f>SUMIFS(Data!$N$3:$N$125,Data!$A$3:$A$125,$A26)</f>
        <v/>
      </c>
      <c r="M26" s="34">
        <f>IFERROR($K26/(SUMIFS(Data!$G$3:$G$125,Data!$A$3:$A$125,$A26)*$D26),"")</f>
        <v/>
      </c>
      <c r="N26" s="53">
        <f>IF($M26="","",$M26-$L26)</f>
        <v/>
      </c>
      <c r="O26" s="49">
        <f>IF(AND($H26&gt;0,$G26&gt;$H26*1.05),"SR &gt; NHT cap","")</f>
        <v/>
      </c>
    </row>
    <row r="27">
      <c r="A27" s="40" t="inlineStr">
        <is>
          <t>VALERO_ARDMORE</t>
        </is>
      </c>
      <c r="B27" s="28" t="n">
        <v>2</v>
      </c>
      <c r="C27" s="30">
        <f>SUMPRODUCT(('Individual Refineries'!$B$3:$B$1084=$A27)*('Individual Refineries'!$D$3:$D$1084="CDU")*'Individual Refineries'!$F$3:$F$1084)</f>
        <v/>
      </c>
      <c r="D27" s="52">
        <f>SUMPRODUCT(('Individual Refineries'!$B$3:$B$1084=$A27)*('Individual Refineries'!$D$3:$D$1084="CDU")*'Individual Refineries'!$K$3:$K$1084)</f>
        <v/>
      </c>
      <c r="E27" s="30">
        <f>$C27*$D27</f>
        <v/>
      </c>
      <c r="F27" s="33">
        <f>SUMPRODUCT(('Individual Refineries'!$B$3:$B$1084=$A27)*('Individual Refineries'!$D$3:$D$1084="CDU")*'Individual Refineries'!$P$3:$P$1084)</f>
        <v/>
      </c>
      <c r="G27" s="35">
        <f>$E27*$F27</f>
        <v/>
      </c>
      <c r="H27" s="30">
        <f>SUMPRODUCT(('Individual Refineries'!$B$3:$B$1084=$A27)*('Individual Refineries'!$D$3:$D$1084="NHT")*'Individual Refineries'!$F$3:$F$1084)</f>
        <v/>
      </c>
      <c r="I27" s="35">
        <f>SUMPRODUCT(('Individual Refineries'!$B$3:$B$1084=$A27)*('Individual Refineries'!$D$3:$D$1084="REF")*'Individual Refineries'!$F$3:$F$1084)*SUMPRODUCT(('Individual Refineries'!$B$3:$B$1084=$A27)*('Individual Refineries'!$D$3:$D$1084="REF")*'Individual Refineries'!$K$3:$K$1084)+SUMPRODUCT(('Individual Refineries'!$B$3:$B$1084=$A27)*('Individual Refineries'!$D$3:$D$1084="CCR")*'Individual Refineries'!$F$3:$F$1084)*SUMPRODUCT(('Individual Refineries'!$B$3:$B$1084=$A27)*('Individual Refineries'!$D$3:$D$1084="CCR")*'Individual Refineries'!$K$3:$K$1084)</f>
        <v/>
      </c>
      <c r="J27" s="35">
        <f>SUMPRODUCT(('Individual Refineries'!$B$3:$B$1084=$A27)*('Individual Refineries'!$D$3:$D$1084="ISOM")*'Individual Refineries'!$F$3:$F$1084)*SUMPRODUCT(('Individual Refineries'!$B$3:$B$1084=$A27)*('Individual Refineries'!$D$3:$D$1084="ISOM")*'Individual Refineries'!$K$3:$K$1084)</f>
        <v/>
      </c>
      <c r="K27" s="35">
        <f>SUMPRODUCT(('Individual Refineries'!$A$3:$A$1084="TOTAL")*('Individual Refineries'!$B$3:$B$1084=$A27)*'Individual Refineries'!$Q$3:$Q$1084)</f>
        <v/>
      </c>
      <c r="L27" s="34">
        <f>SUMIFS(Data!$N$3:$N$125,Data!$A$3:$A$125,$A27)</f>
        <v/>
      </c>
      <c r="M27" s="34">
        <f>IFERROR($K27/(SUMIFS(Data!$G$3:$G$125,Data!$A$3:$A$125,$A27)*$D27),"")</f>
        <v/>
      </c>
      <c r="N27" s="53">
        <f>IF($M27="","",$M27-$L27)</f>
        <v/>
      </c>
      <c r="O27" s="49">
        <f>IF(AND($H27&gt;0,$G27&gt;$H27*1.05),"SR &gt; NHT cap","")</f>
        <v/>
      </c>
    </row>
    <row r="28">
      <c r="A28" s="40" t="inlineStr">
        <is>
          <t>MARATHON_MANDAN</t>
        </is>
      </c>
      <c r="B28" s="28" t="n">
        <v>2</v>
      </c>
      <c r="C28" s="30">
        <f>SUMPRODUCT(('Individual Refineries'!$B$3:$B$1084=$A28)*('Individual Refineries'!$D$3:$D$1084="CDU")*'Individual Refineries'!$F$3:$F$1084)</f>
        <v/>
      </c>
      <c r="D28" s="52">
        <f>SUMPRODUCT(('Individual Refineries'!$B$3:$B$1084=$A28)*('Individual Refineries'!$D$3:$D$1084="CDU")*'Individual Refineries'!$K$3:$K$1084)</f>
        <v/>
      </c>
      <c r="E28" s="30">
        <f>$C28*$D28</f>
        <v/>
      </c>
      <c r="F28" s="33">
        <f>SUMPRODUCT(('Individual Refineries'!$B$3:$B$1084=$A28)*('Individual Refineries'!$D$3:$D$1084="CDU")*'Individual Refineries'!$P$3:$P$1084)</f>
        <v/>
      </c>
      <c r="G28" s="35">
        <f>$E28*$F28</f>
        <v/>
      </c>
      <c r="H28" s="30">
        <f>SUMPRODUCT(('Individual Refineries'!$B$3:$B$1084=$A28)*('Individual Refineries'!$D$3:$D$1084="NHT")*'Individual Refineries'!$F$3:$F$1084)</f>
        <v/>
      </c>
      <c r="I28" s="35">
        <f>SUMPRODUCT(('Individual Refineries'!$B$3:$B$1084=$A28)*('Individual Refineries'!$D$3:$D$1084="REF")*'Individual Refineries'!$F$3:$F$1084)*SUMPRODUCT(('Individual Refineries'!$B$3:$B$1084=$A28)*('Individual Refineries'!$D$3:$D$1084="REF")*'Individual Refineries'!$K$3:$K$1084)+SUMPRODUCT(('Individual Refineries'!$B$3:$B$1084=$A28)*('Individual Refineries'!$D$3:$D$1084="CCR")*'Individual Refineries'!$F$3:$F$1084)*SUMPRODUCT(('Individual Refineries'!$B$3:$B$1084=$A28)*('Individual Refineries'!$D$3:$D$1084="CCR")*'Individual Refineries'!$K$3:$K$1084)</f>
        <v/>
      </c>
      <c r="J28" s="35">
        <f>SUMPRODUCT(('Individual Refineries'!$B$3:$B$1084=$A28)*('Individual Refineries'!$D$3:$D$1084="ISOM")*'Individual Refineries'!$F$3:$F$1084)*SUMPRODUCT(('Individual Refineries'!$B$3:$B$1084=$A28)*('Individual Refineries'!$D$3:$D$1084="ISOM")*'Individual Refineries'!$K$3:$K$1084)</f>
        <v/>
      </c>
      <c r="K28" s="35">
        <f>SUMPRODUCT(('Individual Refineries'!$A$3:$A$1084="TOTAL")*('Individual Refineries'!$B$3:$B$1084=$A28)*'Individual Refineries'!$Q$3:$Q$1084)</f>
        <v/>
      </c>
      <c r="L28" s="34">
        <f>SUMIFS(Data!$N$3:$N$125,Data!$A$3:$A$125,$A28)</f>
        <v/>
      </c>
      <c r="M28" s="34">
        <f>IFERROR($K28/(SUMIFS(Data!$G$3:$G$125,Data!$A$3:$A$125,$A28)*$D28),"")</f>
        <v/>
      </c>
      <c r="N28" s="53">
        <f>IF($M28="","",$M28-$L28)</f>
        <v/>
      </c>
      <c r="O28" s="49">
        <f>IF(AND($H28&gt;0,$G28&gt;$H28*1.05),"SR &gt; NHT cap","")</f>
        <v/>
      </c>
    </row>
    <row r="29">
      <c r="A29" s="40" t="inlineStr">
        <is>
          <t>CVR_WYNNEWOOD</t>
        </is>
      </c>
      <c r="B29" s="28" t="n">
        <v>2</v>
      </c>
      <c r="C29" s="30">
        <f>SUMPRODUCT(('Individual Refineries'!$B$3:$B$1084=$A29)*('Individual Refineries'!$D$3:$D$1084="CDU")*'Individual Refineries'!$F$3:$F$1084)</f>
        <v/>
      </c>
      <c r="D29" s="52">
        <f>SUMPRODUCT(('Individual Refineries'!$B$3:$B$1084=$A29)*('Individual Refineries'!$D$3:$D$1084="CDU")*'Individual Refineries'!$K$3:$K$1084)</f>
        <v/>
      </c>
      <c r="E29" s="30">
        <f>$C29*$D29</f>
        <v/>
      </c>
      <c r="F29" s="33">
        <f>SUMPRODUCT(('Individual Refineries'!$B$3:$B$1084=$A29)*('Individual Refineries'!$D$3:$D$1084="CDU")*'Individual Refineries'!$P$3:$P$1084)</f>
        <v/>
      </c>
      <c r="G29" s="35">
        <f>$E29*$F29</f>
        <v/>
      </c>
      <c r="H29" s="30">
        <f>SUMPRODUCT(('Individual Refineries'!$B$3:$B$1084=$A29)*('Individual Refineries'!$D$3:$D$1084="NHT")*'Individual Refineries'!$F$3:$F$1084)</f>
        <v/>
      </c>
      <c r="I29" s="35">
        <f>SUMPRODUCT(('Individual Refineries'!$B$3:$B$1084=$A29)*('Individual Refineries'!$D$3:$D$1084="REF")*'Individual Refineries'!$F$3:$F$1084)*SUMPRODUCT(('Individual Refineries'!$B$3:$B$1084=$A29)*('Individual Refineries'!$D$3:$D$1084="REF")*'Individual Refineries'!$K$3:$K$1084)+SUMPRODUCT(('Individual Refineries'!$B$3:$B$1084=$A29)*('Individual Refineries'!$D$3:$D$1084="CCR")*'Individual Refineries'!$F$3:$F$1084)*SUMPRODUCT(('Individual Refineries'!$B$3:$B$1084=$A29)*('Individual Refineries'!$D$3:$D$1084="CCR")*'Individual Refineries'!$K$3:$K$1084)</f>
        <v/>
      </c>
      <c r="J29" s="35">
        <f>SUMPRODUCT(('Individual Refineries'!$B$3:$B$1084=$A29)*('Individual Refineries'!$D$3:$D$1084="ISOM")*'Individual Refineries'!$F$3:$F$1084)*SUMPRODUCT(('Individual Refineries'!$B$3:$B$1084=$A29)*('Individual Refineries'!$D$3:$D$1084="ISOM")*'Individual Refineries'!$K$3:$K$1084)</f>
        <v/>
      </c>
      <c r="K29" s="35">
        <f>SUMPRODUCT(('Individual Refineries'!$A$3:$A$1084="TOTAL")*('Individual Refineries'!$B$3:$B$1084=$A29)*'Individual Refineries'!$Q$3:$Q$1084)</f>
        <v/>
      </c>
      <c r="L29" s="34">
        <f>SUMIFS(Data!$N$3:$N$125,Data!$A$3:$A$125,$A29)</f>
        <v/>
      </c>
      <c r="M29" s="34">
        <f>IFERROR($K29/(SUMIFS(Data!$G$3:$G$125,Data!$A$3:$A$125,$A29)*$D29),"")</f>
        <v/>
      </c>
      <c r="N29" s="53">
        <f>IF($M29="","",$M29-$L29)</f>
        <v/>
      </c>
      <c r="O29" s="49">
        <f>IF(AND($H29&gt;0,$G29&gt;$H29*1.05),"SR &gt; NHT cap","")</f>
        <v/>
      </c>
    </row>
    <row r="30">
      <c r="A30" s="40" t="inlineStr">
        <is>
          <t>CENOVUS_SUPERIOR</t>
        </is>
      </c>
      <c r="B30" s="28" t="n">
        <v>2</v>
      </c>
      <c r="C30" s="30">
        <f>SUMPRODUCT(('Individual Refineries'!$B$3:$B$1084=$A30)*('Individual Refineries'!$D$3:$D$1084="CDU")*'Individual Refineries'!$F$3:$F$1084)</f>
        <v/>
      </c>
      <c r="D30" s="52">
        <f>SUMPRODUCT(('Individual Refineries'!$B$3:$B$1084=$A30)*('Individual Refineries'!$D$3:$D$1084="CDU")*'Individual Refineries'!$K$3:$K$1084)</f>
        <v/>
      </c>
      <c r="E30" s="30">
        <f>$C30*$D30</f>
        <v/>
      </c>
      <c r="F30" s="33">
        <f>SUMPRODUCT(('Individual Refineries'!$B$3:$B$1084=$A30)*('Individual Refineries'!$D$3:$D$1084="CDU")*'Individual Refineries'!$P$3:$P$1084)</f>
        <v/>
      </c>
      <c r="G30" s="35">
        <f>$E30*$F30</f>
        <v/>
      </c>
      <c r="H30" s="30">
        <f>SUMPRODUCT(('Individual Refineries'!$B$3:$B$1084=$A30)*('Individual Refineries'!$D$3:$D$1084="NHT")*'Individual Refineries'!$F$3:$F$1084)</f>
        <v/>
      </c>
      <c r="I30" s="35">
        <f>SUMPRODUCT(('Individual Refineries'!$B$3:$B$1084=$A30)*('Individual Refineries'!$D$3:$D$1084="REF")*'Individual Refineries'!$F$3:$F$1084)*SUMPRODUCT(('Individual Refineries'!$B$3:$B$1084=$A30)*('Individual Refineries'!$D$3:$D$1084="REF")*'Individual Refineries'!$K$3:$K$1084)+SUMPRODUCT(('Individual Refineries'!$B$3:$B$1084=$A30)*('Individual Refineries'!$D$3:$D$1084="CCR")*'Individual Refineries'!$F$3:$F$1084)*SUMPRODUCT(('Individual Refineries'!$B$3:$B$1084=$A30)*('Individual Refineries'!$D$3:$D$1084="CCR")*'Individual Refineries'!$K$3:$K$1084)</f>
        <v/>
      </c>
      <c r="J30" s="35">
        <f>SUMPRODUCT(('Individual Refineries'!$B$3:$B$1084=$A30)*('Individual Refineries'!$D$3:$D$1084="ISOM")*'Individual Refineries'!$F$3:$F$1084)*SUMPRODUCT(('Individual Refineries'!$B$3:$B$1084=$A30)*('Individual Refineries'!$D$3:$D$1084="ISOM")*'Individual Refineries'!$K$3:$K$1084)</f>
        <v/>
      </c>
      <c r="K30" s="35">
        <f>SUMPRODUCT(('Individual Refineries'!$A$3:$A$1084="TOTAL")*('Individual Refineries'!$B$3:$B$1084=$A30)*'Individual Refineries'!$Q$3:$Q$1084)</f>
        <v/>
      </c>
      <c r="L30" s="34">
        <f>SUMIFS(Data!$N$3:$N$125,Data!$A$3:$A$125,$A30)</f>
        <v/>
      </c>
      <c r="M30" s="34">
        <f>IFERROR($K30/(SUMIFS(Data!$G$3:$G$125,Data!$A$3:$A$125,$A30)*$D30),"")</f>
        <v/>
      </c>
      <c r="N30" s="53">
        <f>IF($M30="","",$M30-$L30)</f>
        <v/>
      </c>
      <c r="O30" s="49">
        <f>IF(AND($H30&gt;0,$G30&gt;$H30*1.05),"SR &gt; NHT cap","")</f>
        <v/>
      </c>
    </row>
    <row r="31">
      <c r="A31" s="40" t="inlineStr">
        <is>
          <t>COUNTRYMARK_MOUNT_VERNON</t>
        </is>
      </c>
      <c r="B31" s="28" t="n">
        <v>2</v>
      </c>
      <c r="C31" s="30">
        <f>SUMPRODUCT(('Individual Refineries'!$B$3:$B$1084=$A31)*('Individual Refineries'!$D$3:$D$1084="CDU")*'Individual Refineries'!$F$3:$F$1084)</f>
        <v/>
      </c>
      <c r="D31" s="52">
        <f>SUMPRODUCT(('Individual Refineries'!$B$3:$B$1084=$A31)*('Individual Refineries'!$D$3:$D$1084="CDU")*'Individual Refineries'!$K$3:$K$1084)</f>
        <v/>
      </c>
      <c r="E31" s="30">
        <f>$C31*$D31</f>
        <v/>
      </c>
      <c r="F31" s="33">
        <f>SUMPRODUCT(('Individual Refineries'!$B$3:$B$1084=$A31)*('Individual Refineries'!$D$3:$D$1084="CDU")*'Individual Refineries'!$P$3:$P$1084)</f>
        <v/>
      </c>
      <c r="G31" s="35">
        <f>$E31*$F31</f>
        <v/>
      </c>
      <c r="H31" s="30">
        <f>SUMPRODUCT(('Individual Refineries'!$B$3:$B$1084=$A31)*('Individual Refineries'!$D$3:$D$1084="NHT")*'Individual Refineries'!$F$3:$F$1084)</f>
        <v/>
      </c>
      <c r="I31" s="35">
        <f>SUMPRODUCT(('Individual Refineries'!$B$3:$B$1084=$A31)*('Individual Refineries'!$D$3:$D$1084="REF")*'Individual Refineries'!$F$3:$F$1084)*SUMPRODUCT(('Individual Refineries'!$B$3:$B$1084=$A31)*('Individual Refineries'!$D$3:$D$1084="REF")*'Individual Refineries'!$K$3:$K$1084)+SUMPRODUCT(('Individual Refineries'!$B$3:$B$1084=$A31)*('Individual Refineries'!$D$3:$D$1084="CCR")*'Individual Refineries'!$F$3:$F$1084)*SUMPRODUCT(('Individual Refineries'!$B$3:$B$1084=$A31)*('Individual Refineries'!$D$3:$D$1084="CCR")*'Individual Refineries'!$K$3:$K$1084)</f>
        <v/>
      </c>
      <c r="J31" s="35">
        <f>SUMPRODUCT(('Individual Refineries'!$B$3:$B$1084=$A31)*('Individual Refineries'!$D$3:$D$1084="ISOM")*'Individual Refineries'!$F$3:$F$1084)*SUMPRODUCT(('Individual Refineries'!$B$3:$B$1084=$A31)*('Individual Refineries'!$D$3:$D$1084="ISOM")*'Individual Refineries'!$K$3:$K$1084)</f>
        <v/>
      </c>
      <c r="K31" s="35">
        <f>SUMPRODUCT(('Individual Refineries'!$A$3:$A$1084="TOTAL")*('Individual Refineries'!$B$3:$B$1084=$A31)*'Individual Refineries'!$Q$3:$Q$1084)</f>
        <v/>
      </c>
      <c r="L31" s="34">
        <f>SUMIFS(Data!$N$3:$N$125,Data!$A$3:$A$125,$A31)</f>
        <v/>
      </c>
      <c r="M31" s="34">
        <f>IFERROR($K31/(SUMIFS(Data!$G$3:$G$125,Data!$A$3:$A$125,$A31)*$D31),"")</f>
        <v/>
      </c>
      <c r="N31" s="53">
        <f>IF($M31="","",$M31-$L31)</f>
        <v/>
      </c>
      <c r="O31" s="49">
        <f>IF(AND($H31&gt;0,$G31&gt;$H31*1.05),"SR &gt; NHT cap","")</f>
        <v/>
      </c>
    </row>
    <row r="32">
      <c r="A32" s="40" t="inlineStr">
        <is>
          <t>MPC_GALV_BAY</t>
        </is>
      </c>
      <c r="B32" s="28" t="n">
        <v>3</v>
      </c>
      <c r="C32" s="30">
        <f>SUMPRODUCT(('Individual Refineries'!$B$3:$B$1084=$A32)*('Individual Refineries'!$D$3:$D$1084="CDU")*'Individual Refineries'!$F$3:$F$1084)</f>
        <v/>
      </c>
      <c r="D32" s="52">
        <f>SUMPRODUCT(('Individual Refineries'!$B$3:$B$1084=$A32)*('Individual Refineries'!$D$3:$D$1084="CDU")*'Individual Refineries'!$K$3:$K$1084)</f>
        <v/>
      </c>
      <c r="E32" s="30">
        <f>$C32*$D32</f>
        <v/>
      </c>
      <c r="F32" s="33">
        <f>SUMPRODUCT(('Individual Refineries'!$B$3:$B$1084=$A32)*('Individual Refineries'!$D$3:$D$1084="CDU")*'Individual Refineries'!$P$3:$P$1084)</f>
        <v/>
      </c>
      <c r="G32" s="35">
        <f>$E32*$F32</f>
        <v/>
      </c>
      <c r="H32" s="30">
        <f>SUMPRODUCT(('Individual Refineries'!$B$3:$B$1084=$A32)*('Individual Refineries'!$D$3:$D$1084="NHT")*'Individual Refineries'!$F$3:$F$1084)</f>
        <v/>
      </c>
      <c r="I32" s="35">
        <f>SUMPRODUCT(('Individual Refineries'!$B$3:$B$1084=$A32)*('Individual Refineries'!$D$3:$D$1084="REF")*'Individual Refineries'!$F$3:$F$1084)*SUMPRODUCT(('Individual Refineries'!$B$3:$B$1084=$A32)*('Individual Refineries'!$D$3:$D$1084="REF")*'Individual Refineries'!$K$3:$K$1084)+SUMPRODUCT(('Individual Refineries'!$B$3:$B$1084=$A32)*('Individual Refineries'!$D$3:$D$1084="CCR")*'Individual Refineries'!$F$3:$F$1084)*SUMPRODUCT(('Individual Refineries'!$B$3:$B$1084=$A32)*('Individual Refineries'!$D$3:$D$1084="CCR")*'Individual Refineries'!$K$3:$K$1084)</f>
        <v/>
      </c>
      <c r="J32" s="35">
        <f>SUMPRODUCT(('Individual Refineries'!$B$3:$B$1084=$A32)*('Individual Refineries'!$D$3:$D$1084="ISOM")*'Individual Refineries'!$F$3:$F$1084)*SUMPRODUCT(('Individual Refineries'!$B$3:$B$1084=$A32)*('Individual Refineries'!$D$3:$D$1084="ISOM")*'Individual Refineries'!$K$3:$K$1084)</f>
        <v/>
      </c>
      <c r="K32" s="35">
        <f>SUMPRODUCT(('Individual Refineries'!$A$3:$A$1084="TOTAL")*('Individual Refineries'!$B$3:$B$1084=$A32)*'Individual Refineries'!$Q$3:$Q$1084)</f>
        <v/>
      </c>
      <c r="L32" s="34">
        <f>SUMIFS(Data!$N$3:$N$125,Data!$A$3:$A$125,$A32)</f>
        <v/>
      </c>
      <c r="M32" s="34">
        <f>IFERROR($K32/(SUMIFS(Data!$G$3:$G$125,Data!$A$3:$A$125,$A32)*$D32),"")</f>
        <v/>
      </c>
      <c r="N32" s="53">
        <f>IF($M32="","",$M32-$L32)</f>
        <v/>
      </c>
      <c r="O32" s="49">
        <f>IF(AND($H32&gt;0,$G32&gt;$H32*1.05),"SR &gt; NHT cap","")</f>
        <v/>
      </c>
    </row>
    <row r="33">
      <c r="A33" s="40" t="inlineStr">
        <is>
          <t>MOTIVA_PAR</t>
        </is>
      </c>
      <c r="B33" s="28" t="n">
        <v>3</v>
      </c>
      <c r="C33" s="30">
        <f>SUMPRODUCT(('Individual Refineries'!$B$3:$B$1084=$A33)*('Individual Refineries'!$D$3:$D$1084="CDU")*'Individual Refineries'!$F$3:$F$1084)</f>
        <v/>
      </c>
      <c r="D33" s="52">
        <f>SUMPRODUCT(('Individual Refineries'!$B$3:$B$1084=$A33)*('Individual Refineries'!$D$3:$D$1084="CDU")*'Individual Refineries'!$K$3:$K$1084)</f>
        <v/>
      </c>
      <c r="E33" s="30">
        <f>$C33*$D33</f>
        <v/>
      </c>
      <c r="F33" s="33">
        <f>SUMPRODUCT(('Individual Refineries'!$B$3:$B$1084=$A33)*('Individual Refineries'!$D$3:$D$1084="CDU")*'Individual Refineries'!$P$3:$P$1084)</f>
        <v/>
      </c>
      <c r="G33" s="35">
        <f>$E33*$F33</f>
        <v/>
      </c>
      <c r="H33" s="30">
        <f>SUMPRODUCT(('Individual Refineries'!$B$3:$B$1084=$A33)*('Individual Refineries'!$D$3:$D$1084="NHT")*'Individual Refineries'!$F$3:$F$1084)</f>
        <v/>
      </c>
      <c r="I33" s="35">
        <f>SUMPRODUCT(('Individual Refineries'!$B$3:$B$1084=$A33)*('Individual Refineries'!$D$3:$D$1084="REF")*'Individual Refineries'!$F$3:$F$1084)*SUMPRODUCT(('Individual Refineries'!$B$3:$B$1084=$A33)*('Individual Refineries'!$D$3:$D$1084="REF")*'Individual Refineries'!$K$3:$K$1084)+SUMPRODUCT(('Individual Refineries'!$B$3:$B$1084=$A33)*('Individual Refineries'!$D$3:$D$1084="CCR")*'Individual Refineries'!$F$3:$F$1084)*SUMPRODUCT(('Individual Refineries'!$B$3:$B$1084=$A33)*('Individual Refineries'!$D$3:$D$1084="CCR")*'Individual Refineries'!$K$3:$K$1084)</f>
        <v/>
      </c>
      <c r="J33" s="35">
        <f>SUMPRODUCT(('Individual Refineries'!$B$3:$B$1084=$A33)*('Individual Refineries'!$D$3:$D$1084="ISOM")*'Individual Refineries'!$F$3:$F$1084)*SUMPRODUCT(('Individual Refineries'!$B$3:$B$1084=$A33)*('Individual Refineries'!$D$3:$D$1084="ISOM")*'Individual Refineries'!$K$3:$K$1084)</f>
        <v/>
      </c>
      <c r="K33" s="35">
        <f>SUMPRODUCT(('Individual Refineries'!$A$3:$A$1084="TOTAL")*('Individual Refineries'!$B$3:$B$1084=$A33)*'Individual Refineries'!$Q$3:$Q$1084)</f>
        <v/>
      </c>
      <c r="L33" s="34">
        <f>SUMIFS(Data!$N$3:$N$125,Data!$A$3:$A$125,$A33)</f>
        <v/>
      </c>
      <c r="M33" s="34">
        <f>IFERROR($K33/(SUMIFS(Data!$G$3:$G$125,Data!$A$3:$A$125,$A33)*$D33),"")</f>
        <v/>
      </c>
      <c r="N33" s="53">
        <f>IF($M33="","",$M33-$L33)</f>
        <v/>
      </c>
      <c r="O33" s="49">
        <f>IF(AND($H33&gt;0,$G33&gt;$H33*1.05),"SR &gt; NHT cap","")</f>
        <v/>
      </c>
    </row>
    <row r="34">
      <c r="A34" s="40" t="inlineStr">
        <is>
          <t>EXXONMOBIL_BEAUMONT</t>
        </is>
      </c>
      <c r="B34" s="28" t="n">
        <v>3</v>
      </c>
      <c r="C34" s="30">
        <f>SUMPRODUCT(('Individual Refineries'!$B$3:$B$1084=$A34)*('Individual Refineries'!$D$3:$D$1084="CDU")*'Individual Refineries'!$F$3:$F$1084)</f>
        <v/>
      </c>
      <c r="D34" s="52">
        <f>SUMPRODUCT(('Individual Refineries'!$B$3:$B$1084=$A34)*('Individual Refineries'!$D$3:$D$1084="CDU")*'Individual Refineries'!$K$3:$K$1084)</f>
        <v/>
      </c>
      <c r="E34" s="30">
        <f>$C34*$D34</f>
        <v/>
      </c>
      <c r="F34" s="33">
        <f>SUMPRODUCT(('Individual Refineries'!$B$3:$B$1084=$A34)*('Individual Refineries'!$D$3:$D$1084="CDU")*'Individual Refineries'!$P$3:$P$1084)</f>
        <v/>
      </c>
      <c r="G34" s="35">
        <f>$E34*$F34</f>
        <v/>
      </c>
      <c r="H34" s="30">
        <f>SUMPRODUCT(('Individual Refineries'!$B$3:$B$1084=$A34)*('Individual Refineries'!$D$3:$D$1084="NHT")*'Individual Refineries'!$F$3:$F$1084)</f>
        <v/>
      </c>
      <c r="I34" s="35">
        <f>SUMPRODUCT(('Individual Refineries'!$B$3:$B$1084=$A34)*('Individual Refineries'!$D$3:$D$1084="REF")*'Individual Refineries'!$F$3:$F$1084)*SUMPRODUCT(('Individual Refineries'!$B$3:$B$1084=$A34)*('Individual Refineries'!$D$3:$D$1084="REF")*'Individual Refineries'!$K$3:$K$1084)+SUMPRODUCT(('Individual Refineries'!$B$3:$B$1084=$A34)*('Individual Refineries'!$D$3:$D$1084="CCR")*'Individual Refineries'!$F$3:$F$1084)*SUMPRODUCT(('Individual Refineries'!$B$3:$B$1084=$A34)*('Individual Refineries'!$D$3:$D$1084="CCR")*'Individual Refineries'!$K$3:$K$1084)</f>
        <v/>
      </c>
      <c r="J34" s="35">
        <f>SUMPRODUCT(('Individual Refineries'!$B$3:$B$1084=$A34)*('Individual Refineries'!$D$3:$D$1084="ISOM")*'Individual Refineries'!$F$3:$F$1084)*SUMPRODUCT(('Individual Refineries'!$B$3:$B$1084=$A34)*('Individual Refineries'!$D$3:$D$1084="ISOM")*'Individual Refineries'!$K$3:$K$1084)</f>
        <v/>
      </c>
      <c r="K34" s="35">
        <f>SUMPRODUCT(('Individual Refineries'!$A$3:$A$1084="TOTAL")*('Individual Refineries'!$B$3:$B$1084=$A34)*'Individual Refineries'!$Q$3:$Q$1084)</f>
        <v/>
      </c>
      <c r="L34" s="34">
        <f>SUMIFS(Data!$N$3:$N$125,Data!$A$3:$A$125,$A34)</f>
        <v/>
      </c>
      <c r="M34" s="34">
        <f>IFERROR($K34/(SUMIFS(Data!$G$3:$G$125,Data!$A$3:$A$125,$A34)*$D34),"")</f>
        <v/>
      </c>
      <c r="N34" s="53">
        <f>IF($M34="","",$M34-$L34)</f>
        <v/>
      </c>
      <c r="O34" s="49">
        <f>IF(AND($H34&gt;0,$G34&gt;$H34*1.05),"SR &gt; NHT cap","")</f>
        <v/>
      </c>
    </row>
    <row r="35">
      <c r="A35" s="40" t="inlineStr">
        <is>
          <t>MARATHON_GARYVILLE</t>
        </is>
      </c>
      <c r="B35" s="28" t="n">
        <v>3</v>
      </c>
      <c r="C35" s="30">
        <f>SUMPRODUCT(('Individual Refineries'!$B$3:$B$1084=$A35)*('Individual Refineries'!$D$3:$D$1084="CDU")*'Individual Refineries'!$F$3:$F$1084)</f>
        <v/>
      </c>
      <c r="D35" s="52">
        <f>SUMPRODUCT(('Individual Refineries'!$B$3:$B$1084=$A35)*('Individual Refineries'!$D$3:$D$1084="CDU")*'Individual Refineries'!$K$3:$K$1084)</f>
        <v/>
      </c>
      <c r="E35" s="30">
        <f>$C35*$D35</f>
        <v/>
      </c>
      <c r="F35" s="33">
        <f>SUMPRODUCT(('Individual Refineries'!$B$3:$B$1084=$A35)*('Individual Refineries'!$D$3:$D$1084="CDU")*'Individual Refineries'!$P$3:$P$1084)</f>
        <v/>
      </c>
      <c r="G35" s="35">
        <f>$E35*$F35</f>
        <v/>
      </c>
      <c r="H35" s="30">
        <f>SUMPRODUCT(('Individual Refineries'!$B$3:$B$1084=$A35)*('Individual Refineries'!$D$3:$D$1084="NHT")*'Individual Refineries'!$F$3:$F$1084)</f>
        <v/>
      </c>
      <c r="I35" s="35">
        <f>SUMPRODUCT(('Individual Refineries'!$B$3:$B$1084=$A35)*('Individual Refineries'!$D$3:$D$1084="REF")*'Individual Refineries'!$F$3:$F$1084)*SUMPRODUCT(('Individual Refineries'!$B$3:$B$1084=$A35)*('Individual Refineries'!$D$3:$D$1084="REF")*'Individual Refineries'!$K$3:$K$1084)+SUMPRODUCT(('Individual Refineries'!$B$3:$B$1084=$A35)*('Individual Refineries'!$D$3:$D$1084="CCR")*'Individual Refineries'!$F$3:$F$1084)*SUMPRODUCT(('Individual Refineries'!$B$3:$B$1084=$A35)*('Individual Refineries'!$D$3:$D$1084="CCR")*'Individual Refineries'!$K$3:$K$1084)</f>
        <v/>
      </c>
      <c r="J35" s="35">
        <f>SUMPRODUCT(('Individual Refineries'!$B$3:$B$1084=$A35)*('Individual Refineries'!$D$3:$D$1084="ISOM")*'Individual Refineries'!$F$3:$F$1084)*SUMPRODUCT(('Individual Refineries'!$B$3:$B$1084=$A35)*('Individual Refineries'!$D$3:$D$1084="ISOM")*'Individual Refineries'!$K$3:$K$1084)</f>
        <v/>
      </c>
      <c r="K35" s="35">
        <f>SUMPRODUCT(('Individual Refineries'!$A$3:$A$1084="TOTAL")*('Individual Refineries'!$B$3:$B$1084=$A35)*'Individual Refineries'!$Q$3:$Q$1084)</f>
        <v/>
      </c>
      <c r="L35" s="34">
        <f>SUMIFS(Data!$N$3:$N$125,Data!$A$3:$A$125,$A35)</f>
        <v/>
      </c>
      <c r="M35" s="34">
        <f>IFERROR($K35/(SUMIFS(Data!$G$3:$G$125,Data!$A$3:$A$125,$A35)*$D35),"")</f>
        <v/>
      </c>
      <c r="N35" s="53">
        <f>IF($M35="","",$M35-$L35)</f>
        <v/>
      </c>
      <c r="O35" s="49">
        <f>IF(AND($H35&gt;0,$G35&gt;$H35*1.05),"SR &gt; NHT cap","")</f>
        <v/>
      </c>
    </row>
    <row r="36">
      <c r="A36" s="40" t="inlineStr">
        <is>
          <t>XOM_BAYTOWN</t>
        </is>
      </c>
      <c r="B36" s="28" t="n">
        <v>3</v>
      </c>
      <c r="C36" s="30">
        <f>SUMPRODUCT(('Individual Refineries'!$B$3:$B$1084=$A36)*('Individual Refineries'!$D$3:$D$1084="CDU")*'Individual Refineries'!$F$3:$F$1084)</f>
        <v/>
      </c>
      <c r="D36" s="52">
        <f>SUMPRODUCT(('Individual Refineries'!$B$3:$B$1084=$A36)*('Individual Refineries'!$D$3:$D$1084="CDU")*'Individual Refineries'!$K$3:$K$1084)</f>
        <v/>
      </c>
      <c r="E36" s="30">
        <f>$C36*$D36</f>
        <v/>
      </c>
      <c r="F36" s="33">
        <f>SUMPRODUCT(('Individual Refineries'!$B$3:$B$1084=$A36)*('Individual Refineries'!$D$3:$D$1084="CDU")*'Individual Refineries'!$P$3:$P$1084)</f>
        <v/>
      </c>
      <c r="G36" s="35">
        <f>$E36*$F36</f>
        <v/>
      </c>
      <c r="H36" s="30">
        <f>SUMPRODUCT(('Individual Refineries'!$B$3:$B$1084=$A36)*('Individual Refineries'!$D$3:$D$1084="NHT")*'Individual Refineries'!$F$3:$F$1084)</f>
        <v/>
      </c>
      <c r="I36" s="35">
        <f>SUMPRODUCT(('Individual Refineries'!$B$3:$B$1084=$A36)*('Individual Refineries'!$D$3:$D$1084="REF")*'Individual Refineries'!$F$3:$F$1084)*SUMPRODUCT(('Individual Refineries'!$B$3:$B$1084=$A36)*('Individual Refineries'!$D$3:$D$1084="REF")*'Individual Refineries'!$K$3:$K$1084)+SUMPRODUCT(('Individual Refineries'!$B$3:$B$1084=$A36)*('Individual Refineries'!$D$3:$D$1084="CCR")*'Individual Refineries'!$F$3:$F$1084)*SUMPRODUCT(('Individual Refineries'!$B$3:$B$1084=$A36)*('Individual Refineries'!$D$3:$D$1084="CCR")*'Individual Refineries'!$K$3:$K$1084)</f>
        <v/>
      </c>
      <c r="J36" s="35">
        <f>SUMPRODUCT(('Individual Refineries'!$B$3:$B$1084=$A36)*('Individual Refineries'!$D$3:$D$1084="ISOM")*'Individual Refineries'!$F$3:$F$1084)*SUMPRODUCT(('Individual Refineries'!$B$3:$B$1084=$A36)*('Individual Refineries'!$D$3:$D$1084="ISOM")*'Individual Refineries'!$K$3:$K$1084)</f>
        <v/>
      </c>
      <c r="K36" s="35">
        <f>SUMPRODUCT(('Individual Refineries'!$A$3:$A$1084="TOTAL")*('Individual Refineries'!$B$3:$B$1084=$A36)*'Individual Refineries'!$Q$3:$Q$1084)</f>
        <v/>
      </c>
      <c r="L36" s="34">
        <f>SUMIFS(Data!$N$3:$N$125,Data!$A$3:$A$125,$A36)</f>
        <v/>
      </c>
      <c r="M36" s="34">
        <f>IFERROR($K36/(SUMIFS(Data!$G$3:$G$125,Data!$A$3:$A$125,$A36)*$D36),"")</f>
        <v/>
      </c>
      <c r="N36" s="53">
        <f>IF($M36="","",$M36-$L36)</f>
        <v/>
      </c>
      <c r="O36" s="49">
        <f>IF(AND($H36&gt;0,$G36&gt;$H36*1.05),"SR &gt; NHT cap","")</f>
        <v/>
      </c>
    </row>
    <row r="37">
      <c r="A37" s="40" t="inlineStr">
        <is>
          <t>EXXONMOBIL_BATON_ROUGE</t>
        </is>
      </c>
      <c r="B37" s="28" t="n">
        <v>3</v>
      </c>
      <c r="C37" s="30">
        <f>SUMPRODUCT(('Individual Refineries'!$B$3:$B$1084=$A37)*('Individual Refineries'!$D$3:$D$1084="CDU")*'Individual Refineries'!$F$3:$F$1084)</f>
        <v/>
      </c>
      <c r="D37" s="52">
        <f>SUMPRODUCT(('Individual Refineries'!$B$3:$B$1084=$A37)*('Individual Refineries'!$D$3:$D$1084="CDU")*'Individual Refineries'!$K$3:$K$1084)</f>
        <v/>
      </c>
      <c r="E37" s="30">
        <f>$C37*$D37</f>
        <v/>
      </c>
      <c r="F37" s="33">
        <f>SUMPRODUCT(('Individual Refineries'!$B$3:$B$1084=$A37)*('Individual Refineries'!$D$3:$D$1084="CDU")*'Individual Refineries'!$P$3:$P$1084)</f>
        <v/>
      </c>
      <c r="G37" s="35">
        <f>$E37*$F37</f>
        <v/>
      </c>
      <c r="H37" s="30">
        <f>SUMPRODUCT(('Individual Refineries'!$B$3:$B$1084=$A37)*('Individual Refineries'!$D$3:$D$1084="NHT")*'Individual Refineries'!$F$3:$F$1084)</f>
        <v/>
      </c>
      <c r="I37" s="35">
        <f>SUMPRODUCT(('Individual Refineries'!$B$3:$B$1084=$A37)*('Individual Refineries'!$D$3:$D$1084="REF")*'Individual Refineries'!$F$3:$F$1084)*SUMPRODUCT(('Individual Refineries'!$B$3:$B$1084=$A37)*('Individual Refineries'!$D$3:$D$1084="REF")*'Individual Refineries'!$K$3:$K$1084)+SUMPRODUCT(('Individual Refineries'!$B$3:$B$1084=$A37)*('Individual Refineries'!$D$3:$D$1084="CCR")*'Individual Refineries'!$F$3:$F$1084)*SUMPRODUCT(('Individual Refineries'!$B$3:$B$1084=$A37)*('Individual Refineries'!$D$3:$D$1084="CCR")*'Individual Refineries'!$K$3:$K$1084)</f>
        <v/>
      </c>
      <c r="J37" s="35">
        <f>SUMPRODUCT(('Individual Refineries'!$B$3:$B$1084=$A37)*('Individual Refineries'!$D$3:$D$1084="ISOM")*'Individual Refineries'!$F$3:$F$1084)*SUMPRODUCT(('Individual Refineries'!$B$3:$B$1084=$A37)*('Individual Refineries'!$D$3:$D$1084="ISOM")*'Individual Refineries'!$K$3:$K$1084)</f>
        <v/>
      </c>
      <c r="K37" s="35">
        <f>SUMPRODUCT(('Individual Refineries'!$A$3:$A$1084="TOTAL")*('Individual Refineries'!$B$3:$B$1084=$A37)*'Individual Refineries'!$Q$3:$Q$1084)</f>
        <v/>
      </c>
      <c r="L37" s="34">
        <f>SUMIFS(Data!$N$3:$N$125,Data!$A$3:$A$125,$A37)</f>
        <v/>
      </c>
      <c r="M37" s="34">
        <f>IFERROR($K37/(SUMIFS(Data!$G$3:$G$125,Data!$A$3:$A$125,$A37)*$D37),"")</f>
        <v/>
      </c>
      <c r="N37" s="53">
        <f>IF($M37="","",$M37-$L37)</f>
        <v/>
      </c>
      <c r="O37" s="49">
        <f>IF(AND($H37&gt;0,$G37&gt;$H37*1.05),"SR &gt; NHT cap","")</f>
        <v/>
      </c>
    </row>
    <row r="38">
      <c r="A38" s="40" t="inlineStr">
        <is>
          <t>CITGO_LAKE_CHARLES</t>
        </is>
      </c>
      <c r="B38" s="28" t="n">
        <v>3</v>
      </c>
      <c r="C38" s="30">
        <f>SUMPRODUCT(('Individual Refineries'!$B$3:$B$1084=$A38)*('Individual Refineries'!$D$3:$D$1084="CDU")*'Individual Refineries'!$F$3:$F$1084)</f>
        <v/>
      </c>
      <c r="D38" s="52">
        <f>SUMPRODUCT(('Individual Refineries'!$B$3:$B$1084=$A38)*('Individual Refineries'!$D$3:$D$1084="CDU")*'Individual Refineries'!$K$3:$K$1084)</f>
        <v/>
      </c>
      <c r="E38" s="30">
        <f>$C38*$D38</f>
        <v/>
      </c>
      <c r="F38" s="33">
        <f>SUMPRODUCT(('Individual Refineries'!$B$3:$B$1084=$A38)*('Individual Refineries'!$D$3:$D$1084="CDU")*'Individual Refineries'!$P$3:$P$1084)</f>
        <v/>
      </c>
      <c r="G38" s="35">
        <f>$E38*$F38</f>
        <v/>
      </c>
      <c r="H38" s="30">
        <f>SUMPRODUCT(('Individual Refineries'!$B$3:$B$1084=$A38)*('Individual Refineries'!$D$3:$D$1084="NHT")*'Individual Refineries'!$F$3:$F$1084)</f>
        <v/>
      </c>
      <c r="I38" s="35">
        <f>SUMPRODUCT(('Individual Refineries'!$B$3:$B$1084=$A38)*('Individual Refineries'!$D$3:$D$1084="REF")*'Individual Refineries'!$F$3:$F$1084)*SUMPRODUCT(('Individual Refineries'!$B$3:$B$1084=$A38)*('Individual Refineries'!$D$3:$D$1084="REF")*'Individual Refineries'!$K$3:$K$1084)+SUMPRODUCT(('Individual Refineries'!$B$3:$B$1084=$A38)*('Individual Refineries'!$D$3:$D$1084="CCR")*'Individual Refineries'!$F$3:$F$1084)*SUMPRODUCT(('Individual Refineries'!$B$3:$B$1084=$A38)*('Individual Refineries'!$D$3:$D$1084="CCR")*'Individual Refineries'!$K$3:$K$1084)</f>
        <v/>
      </c>
      <c r="J38" s="35">
        <f>SUMPRODUCT(('Individual Refineries'!$B$3:$B$1084=$A38)*('Individual Refineries'!$D$3:$D$1084="ISOM")*'Individual Refineries'!$F$3:$F$1084)*SUMPRODUCT(('Individual Refineries'!$B$3:$B$1084=$A38)*('Individual Refineries'!$D$3:$D$1084="ISOM")*'Individual Refineries'!$K$3:$K$1084)</f>
        <v/>
      </c>
      <c r="K38" s="35">
        <f>SUMPRODUCT(('Individual Refineries'!$A$3:$A$1084="TOTAL")*('Individual Refineries'!$B$3:$B$1084=$A38)*'Individual Refineries'!$Q$3:$Q$1084)</f>
        <v/>
      </c>
      <c r="L38" s="34">
        <f>SUMIFS(Data!$N$3:$N$125,Data!$A$3:$A$125,$A38)</f>
        <v/>
      </c>
      <c r="M38" s="34">
        <f>IFERROR($K38/(SUMIFS(Data!$G$3:$G$125,Data!$A$3:$A$125,$A38)*$D38),"")</f>
        <v/>
      </c>
      <c r="N38" s="53">
        <f>IF($M38="","",$M38-$L38)</f>
        <v/>
      </c>
      <c r="O38" s="49">
        <f>IF(AND($H38&gt;0,$G38&gt;$H38*1.05),"SR &gt; NHT cap","")</f>
        <v/>
      </c>
    </row>
    <row r="39">
      <c r="A39" s="40" t="inlineStr">
        <is>
          <t>VALERO_PORT_ARTHUR</t>
        </is>
      </c>
      <c r="B39" s="28" t="n">
        <v>3</v>
      </c>
      <c r="C39" s="30">
        <f>SUMPRODUCT(('Individual Refineries'!$B$3:$B$1084=$A39)*('Individual Refineries'!$D$3:$D$1084="CDU")*'Individual Refineries'!$F$3:$F$1084)</f>
        <v/>
      </c>
      <c r="D39" s="52">
        <f>SUMPRODUCT(('Individual Refineries'!$B$3:$B$1084=$A39)*('Individual Refineries'!$D$3:$D$1084="CDU")*'Individual Refineries'!$K$3:$K$1084)</f>
        <v/>
      </c>
      <c r="E39" s="30">
        <f>$C39*$D39</f>
        <v/>
      </c>
      <c r="F39" s="33">
        <f>SUMPRODUCT(('Individual Refineries'!$B$3:$B$1084=$A39)*('Individual Refineries'!$D$3:$D$1084="CDU")*'Individual Refineries'!$P$3:$P$1084)</f>
        <v/>
      </c>
      <c r="G39" s="35">
        <f>$E39*$F39</f>
        <v/>
      </c>
      <c r="H39" s="30">
        <f>SUMPRODUCT(('Individual Refineries'!$B$3:$B$1084=$A39)*('Individual Refineries'!$D$3:$D$1084="NHT")*'Individual Refineries'!$F$3:$F$1084)</f>
        <v/>
      </c>
      <c r="I39" s="35">
        <f>SUMPRODUCT(('Individual Refineries'!$B$3:$B$1084=$A39)*('Individual Refineries'!$D$3:$D$1084="REF")*'Individual Refineries'!$F$3:$F$1084)*SUMPRODUCT(('Individual Refineries'!$B$3:$B$1084=$A39)*('Individual Refineries'!$D$3:$D$1084="REF")*'Individual Refineries'!$K$3:$K$1084)+SUMPRODUCT(('Individual Refineries'!$B$3:$B$1084=$A39)*('Individual Refineries'!$D$3:$D$1084="CCR")*'Individual Refineries'!$F$3:$F$1084)*SUMPRODUCT(('Individual Refineries'!$B$3:$B$1084=$A39)*('Individual Refineries'!$D$3:$D$1084="CCR")*'Individual Refineries'!$K$3:$K$1084)</f>
        <v/>
      </c>
      <c r="J39" s="35">
        <f>SUMPRODUCT(('Individual Refineries'!$B$3:$B$1084=$A39)*('Individual Refineries'!$D$3:$D$1084="ISOM")*'Individual Refineries'!$F$3:$F$1084)*SUMPRODUCT(('Individual Refineries'!$B$3:$B$1084=$A39)*('Individual Refineries'!$D$3:$D$1084="ISOM")*'Individual Refineries'!$K$3:$K$1084)</f>
        <v/>
      </c>
      <c r="K39" s="35">
        <f>SUMPRODUCT(('Individual Refineries'!$A$3:$A$1084="TOTAL")*('Individual Refineries'!$B$3:$B$1084=$A39)*'Individual Refineries'!$Q$3:$Q$1084)</f>
        <v/>
      </c>
      <c r="L39" s="34">
        <f>SUMIFS(Data!$N$3:$N$125,Data!$A$3:$A$125,$A39)</f>
        <v/>
      </c>
      <c r="M39" s="34">
        <f>IFERROR($K39/(SUMIFS(Data!$G$3:$G$125,Data!$A$3:$A$125,$A39)*$D39),"")</f>
        <v/>
      </c>
      <c r="N39" s="53">
        <f>IF($M39="","",$M39-$L39)</f>
        <v/>
      </c>
      <c r="O39" s="49">
        <f>IF(AND($H39&gt;0,$G39&gt;$H39*1.05),"SR &gt; NHT cap","")</f>
        <v/>
      </c>
    </row>
    <row r="40">
      <c r="A40" s="40" t="inlineStr">
        <is>
          <t>CHEVRON_PASCAGOULA</t>
        </is>
      </c>
      <c r="B40" s="28" t="n">
        <v>3</v>
      </c>
      <c r="C40" s="30">
        <f>SUMPRODUCT(('Individual Refineries'!$B$3:$B$1084=$A40)*('Individual Refineries'!$D$3:$D$1084="CDU")*'Individual Refineries'!$F$3:$F$1084)</f>
        <v/>
      </c>
      <c r="D40" s="52">
        <f>SUMPRODUCT(('Individual Refineries'!$B$3:$B$1084=$A40)*('Individual Refineries'!$D$3:$D$1084="CDU")*'Individual Refineries'!$K$3:$K$1084)</f>
        <v/>
      </c>
      <c r="E40" s="30">
        <f>$C40*$D40</f>
        <v/>
      </c>
      <c r="F40" s="33">
        <f>SUMPRODUCT(('Individual Refineries'!$B$3:$B$1084=$A40)*('Individual Refineries'!$D$3:$D$1084="CDU")*'Individual Refineries'!$P$3:$P$1084)</f>
        <v/>
      </c>
      <c r="G40" s="35">
        <f>$E40*$F40</f>
        <v/>
      </c>
      <c r="H40" s="30">
        <f>SUMPRODUCT(('Individual Refineries'!$B$3:$B$1084=$A40)*('Individual Refineries'!$D$3:$D$1084="NHT")*'Individual Refineries'!$F$3:$F$1084)</f>
        <v/>
      </c>
      <c r="I40" s="35">
        <f>SUMPRODUCT(('Individual Refineries'!$B$3:$B$1084=$A40)*('Individual Refineries'!$D$3:$D$1084="REF")*'Individual Refineries'!$F$3:$F$1084)*SUMPRODUCT(('Individual Refineries'!$B$3:$B$1084=$A40)*('Individual Refineries'!$D$3:$D$1084="REF")*'Individual Refineries'!$K$3:$K$1084)+SUMPRODUCT(('Individual Refineries'!$B$3:$B$1084=$A40)*('Individual Refineries'!$D$3:$D$1084="CCR")*'Individual Refineries'!$F$3:$F$1084)*SUMPRODUCT(('Individual Refineries'!$B$3:$B$1084=$A40)*('Individual Refineries'!$D$3:$D$1084="CCR")*'Individual Refineries'!$K$3:$K$1084)</f>
        <v/>
      </c>
      <c r="J40" s="35">
        <f>SUMPRODUCT(('Individual Refineries'!$B$3:$B$1084=$A40)*('Individual Refineries'!$D$3:$D$1084="ISOM")*'Individual Refineries'!$F$3:$F$1084)*SUMPRODUCT(('Individual Refineries'!$B$3:$B$1084=$A40)*('Individual Refineries'!$D$3:$D$1084="ISOM")*'Individual Refineries'!$K$3:$K$1084)</f>
        <v/>
      </c>
      <c r="K40" s="35">
        <f>SUMPRODUCT(('Individual Refineries'!$A$3:$A$1084="TOTAL")*('Individual Refineries'!$B$3:$B$1084=$A40)*'Individual Refineries'!$Q$3:$Q$1084)</f>
        <v/>
      </c>
      <c r="L40" s="34">
        <f>SUMIFS(Data!$N$3:$N$125,Data!$A$3:$A$125,$A40)</f>
        <v/>
      </c>
      <c r="M40" s="34">
        <f>IFERROR($K40/(SUMIFS(Data!$G$3:$G$125,Data!$A$3:$A$125,$A40)*$D40),"")</f>
        <v/>
      </c>
      <c r="N40" s="53">
        <f>IF($M40="","",$M40-$L40)</f>
        <v/>
      </c>
      <c r="O40" s="49">
        <f>IF(AND($H40&gt;0,$G40&gt;$H40*1.05),"SR &gt; NHT cap","")</f>
        <v/>
      </c>
    </row>
    <row r="41">
      <c r="A41" s="40" t="inlineStr">
        <is>
          <t>PEMEX_DEER_PARK</t>
        </is>
      </c>
      <c r="B41" s="28" t="n">
        <v>3</v>
      </c>
      <c r="C41" s="30">
        <f>SUMPRODUCT(('Individual Refineries'!$B$3:$B$1084=$A41)*('Individual Refineries'!$D$3:$D$1084="CDU")*'Individual Refineries'!$F$3:$F$1084)</f>
        <v/>
      </c>
      <c r="D41" s="52">
        <f>SUMPRODUCT(('Individual Refineries'!$B$3:$B$1084=$A41)*('Individual Refineries'!$D$3:$D$1084="CDU")*'Individual Refineries'!$K$3:$K$1084)</f>
        <v/>
      </c>
      <c r="E41" s="30">
        <f>$C41*$D41</f>
        <v/>
      </c>
      <c r="F41" s="33">
        <f>SUMPRODUCT(('Individual Refineries'!$B$3:$B$1084=$A41)*('Individual Refineries'!$D$3:$D$1084="CDU")*'Individual Refineries'!$P$3:$P$1084)</f>
        <v/>
      </c>
      <c r="G41" s="35">
        <f>$E41*$F41</f>
        <v/>
      </c>
      <c r="H41" s="30">
        <f>SUMPRODUCT(('Individual Refineries'!$B$3:$B$1084=$A41)*('Individual Refineries'!$D$3:$D$1084="NHT")*'Individual Refineries'!$F$3:$F$1084)</f>
        <v/>
      </c>
      <c r="I41" s="35">
        <f>SUMPRODUCT(('Individual Refineries'!$B$3:$B$1084=$A41)*('Individual Refineries'!$D$3:$D$1084="REF")*'Individual Refineries'!$F$3:$F$1084)*SUMPRODUCT(('Individual Refineries'!$B$3:$B$1084=$A41)*('Individual Refineries'!$D$3:$D$1084="REF")*'Individual Refineries'!$K$3:$K$1084)+SUMPRODUCT(('Individual Refineries'!$B$3:$B$1084=$A41)*('Individual Refineries'!$D$3:$D$1084="CCR")*'Individual Refineries'!$F$3:$F$1084)*SUMPRODUCT(('Individual Refineries'!$B$3:$B$1084=$A41)*('Individual Refineries'!$D$3:$D$1084="CCR")*'Individual Refineries'!$K$3:$K$1084)</f>
        <v/>
      </c>
      <c r="J41" s="35">
        <f>SUMPRODUCT(('Individual Refineries'!$B$3:$B$1084=$A41)*('Individual Refineries'!$D$3:$D$1084="ISOM")*'Individual Refineries'!$F$3:$F$1084)*SUMPRODUCT(('Individual Refineries'!$B$3:$B$1084=$A41)*('Individual Refineries'!$D$3:$D$1084="ISOM")*'Individual Refineries'!$K$3:$K$1084)</f>
        <v/>
      </c>
      <c r="K41" s="35">
        <f>SUMPRODUCT(('Individual Refineries'!$A$3:$A$1084="TOTAL")*('Individual Refineries'!$B$3:$B$1084=$A41)*'Individual Refineries'!$Q$3:$Q$1084)</f>
        <v/>
      </c>
      <c r="L41" s="34">
        <f>SUMIFS(Data!$N$3:$N$125,Data!$A$3:$A$125,$A41)</f>
        <v/>
      </c>
      <c r="M41" s="34">
        <f>IFERROR($K41/(SUMIFS(Data!$G$3:$G$125,Data!$A$3:$A$125,$A41)*$D41),"")</f>
        <v/>
      </c>
      <c r="N41" s="53">
        <f>IF($M41="","",$M41-$L41)</f>
        <v/>
      </c>
      <c r="O41" s="49">
        <f>IF(AND($H41&gt;0,$G41&gt;$H41*1.05),"SR &gt; NHT cap","")</f>
        <v/>
      </c>
    </row>
    <row r="42">
      <c r="A42" s="40" t="inlineStr">
        <is>
          <t>FLINT_CORPUS_CHRISTI</t>
        </is>
      </c>
      <c r="B42" s="28" t="n">
        <v>3</v>
      </c>
      <c r="C42" s="30">
        <f>SUMPRODUCT(('Individual Refineries'!$B$3:$B$1084=$A42)*('Individual Refineries'!$D$3:$D$1084="CDU")*'Individual Refineries'!$F$3:$F$1084)</f>
        <v/>
      </c>
      <c r="D42" s="52">
        <f>SUMPRODUCT(('Individual Refineries'!$B$3:$B$1084=$A42)*('Individual Refineries'!$D$3:$D$1084="CDU")*'Individual Refineries'!$K$3:$K$1084)</f>
        <v/>
      </c>
      <c r="E42" s="30">
        <f>$C42*$D42</f>
        <v/>
      </c>
      <c r="F42" s="33">
        <f>SUMPRODUCT(('Individual Refineries'!$B$3:$B$1084=$A42)*('Individual Refineries'!$D$3:$D$1084="CDU")*'Individual Refineries'!$P$3:$P$1084)</f>
        <v/>
      </c>
      <c r="G42" s="35">
        <f>$E42*$F42</f>
        <v/>
      </c>
      <c r="H42" s="30">
        <f>SUMPRODUCT(('Individual Refineries'!$B$3:$B$1084=$A42)*('Individual Refineries'!$D$3:$D$1084="NHT")*'Individual Refineries'!$F$3:$F$1084)</f>
        <v/>
      </c>
      <c r="I42" s="35">
        <f>SUMPRODUCT(('Individual Refineries'!$B$3:$B$1084=$A42)*('Individual Refineries'!$D$3:$D$1084="REF")*'Individual Refineries'!$F$3:$F$1084)*SUMPRODUCT(('Individual Refineries'!$B$3:$B$1084=$A42)*('Individual Refineries'!$D$3:$D$1084="REF")*'Individual Refineries'!$K$3:$K$1084)+SUMPRODUCT(('Individual Refineries'!$B$3:$B$1084=$A42)*('Individual Refineries'!$D$3:$D$1084="CCR")*'Individual Refineries'!$F$3:$F$1084)*SUMPRODUCT(('Individual Refineries'!$B$3:$B$1084=$A42)*('Individual Refineries'!$D$3:$D$1084="CCR")*'Individual Refineries'!$K$3:$K$1084)</f>
        <v/>
      </c>
      <c r="J42" s="35">
        <f>SUMPRODUCT(('Individual Refineries'!$B$3:$B$1084=$A42)*('Individual Refineries'!$D$3:$D$1084="ISOM")*'Individual Refineries'!$F$3:$F$1084)*SUMPRODUCT(('Individual Refineries'!$B$3:$B$1084=$A42)*('Individual Refineries'!$D$3:$D$1084="ISOM")*'Individual Refineries'!$K$3:$K$1084)</f>
        <v/>
      </c>
      <c r="K42" s="35">
        <f>SUMPRODUCT(('Individual Refineries'!$A$3:$A$1084="TOTAL")*('Individual Refineries'!$B$3:$B$1084=$A42)*'Individual Refineries'!$Q$3:$Q$1084)</f>
        <v/>
      </c>
      <c r="L42" s="34">
        <f>SUMIFS(Data!$N$3:$N$125,Data!$A$3:$A$125,$A42)</f>
        <v/>
      </c>
      <c r="M42" s="34">
        <f>IFERROR($K42/(SUMIFS(Data!$G$3:$G$125,Data!$A$3:$A$125,$A42)*$D42),"")</f>
        <v/>
      </c>
      <c r="N42" s="53">
        <f>IF($M42="","",$M42-$L42)</f>
        <v/>
      </c>
      <c r="O42" s="49">
        <f>IF(AND($H42&gt;0,$G42&gt;$H42*1.05),"SR &gt; NHT cap","")</f>
        <v/>
      </c>
    </row>
    <row r="43">
      <c r="A43" s="40" t="inlineStr">
        <is>
          <t>VALERO_CORPUS_CHRISTI</t>
        </is>
      </c>
      <c r="B43" s="28" t="n">
        <v>3</v>
      </c>
      <c r="C43" s="30">
        <f>SUMPRODUCT(('Individual Refineries'!$B$3:$B$1084=$A43)*('Individual Refineries'!$D$3:$D$1084="CDU")*'Individual Refineries'!$F$3:$F$1084)</f>
        <v/>
      </c>
      <c r="D43" s="52">
        <f>SUMPRODUCT(('Individual Refineries'!$B$3:$B$1084=$A43)*('Individual Refineries'!$D$3:$D$1084="CDU")*'Individual Refineries'!$K$3:$K$1084)</f>
        <v/>
      </c>
      <c r="E43" s="30">
        <f>$C43*$D43</f>
        <v/>
      </c>
      <c r="F43" s="33">
        <f>SUMPRODUCT(('Individual Refineries'!$B$3:$B$1084=$A43)*('Individual Refineries'!$D$3:$D$1084="CDU")*'Individual Refineries'!$P$3:$P$1084)</f>
        <v/>
      </c>
      <c r="G43" s="35">
        <f>$E43*$F43</f>
        <v/>
      </c>
      <c r="H43" s="30">
        <f>SUMPRODUCT(('Individual Refineries'!$B$3:$B$1084=$A43)*('Individual Refineries'!$D$3:$D$1084="NHT")*'Individual Refineries'!$F$3:$F$1084)</f>
        <v/>
      </c>
      <c r="I43" s="35">
        <f>SUMPRODUCT(('Individual Refineries'!$B$3:$B$1084=$A43)*('Individual Refineries'!$D$3:$D$1084="REF")*'Individual Refineries'!$F$3:$F$1084)*SUMPRODUCT(('Individual Refineries'!$B$3:$B$1084=$A43)*('Individual Refineries'!$D$3:$D$1084="REF")*'Individual Refineries'!$K$3:$K$1084)+SUMPRODUCT(('Individual Refineries'!$B$3:$B$1084=$A43)*('Individual Refineries'!$D$3:$D$1084="CCR")*'Individual Refineries'!$F$3:$F$1084)*SUMPRODUCT(('Individual Refineries'!$B$3:$B$1084=$A43)*('Individual Refineries'!$D$3:$D$1084="CCR")*'Individual Refineries'!$K$3:$K$1084)</f>
        <v/>
      </c>
      <c r="J43" s="35">
        <f>SUMPRODUCT(('Individual Refineries'!$B$3:$B$1084=$A43)*('Individual Refineries'!$D$3:$D$1084="ISOM")*'Individual Refineries'!$F$3:$F$1084)*SUMPRODUCT(('Individual Refineries'!$B$3:$B$1084=$A43)*('Individual Refineries'!$D$3:$D$1084="ISOM")*'Individual Refineries'!$K$3:$K$1084)</f>
        <v/>
      </c>
      <c r="K43" s="35">
        <f>SUMPRODUCT(('Individual Refineries'!$A$3:$A$1084="TOTAL")*('Individual Refineries'!$B$3:$B$1084=$A43)*'Individual Refineries'!$Q$3:$Q$1084)</f>
        <v/>
      </c>
      <c r="L43" s="34">
        <f>SUMIFS(Data!$N$3:$N$125,Data!$A$3:$A$125,$A43)</f>
        <v/>
      </c>
      <c r="M43" s="34">
        <f>IFERROR($K43/(SUMIFS(Data!$G$3:$G$125,Data!$A$3:$A$125,$A43)*$D43),"")</f>
        <v/>
      </c>
      <c r="N43" s="53">
        <f>IF($M43="","",$M43-$L43)</f>
        <v/>
      </c>
      <c r="O43" s="49">
        <f>IF(AND($H43&gt;0,$G43&gt;$H43*1.05),"SR &gt; NHT cap","")</f>
        <v/>
      </c>
    </row>
    <row r="44">
      <c r="A44" s="40" t="inlineStr">
        <is>
          <t>PHILLIPS_WESTLAKE</t>
        </is>
      </c>
      <c r="B44" s="28" t="n">
        <v>3</v>
      </c>
      <c r="C44" s="30">
        <f>SUMPRODUCT(('Individual Refineries'!$B$3:$B$1084=$A44)*('Individual Refineries'!$D$3:$D$1084="CDU")*'Individual Refineries'!$F$3:$F$1084)</f>
        <v/>
      </c>
      <c r="D44" s="52">
        <f>SUMPRODUCT(('Individual Refineries'!$B$3:$B$1084=$A44)*('Individual Refineries'!$D$3:$D$1084="CDU")*'Individual Refineries'!$K$3:$K$1084)</f>
        <v/>
      </c>
      <c r="E44" s="30">
        <f>$C44*$D44</f>
        <v/>
      </c>
      <c r="F44" s="33">
        <f>SUMPRODUCT(('Individual Refineries'!$B$3:$B$1084=$A44)*('Individual Refineries'!$D$3:$D$1084="CDU")*'Individual Refineries'!$P$3:$P$1084)</f>
        <v/>
      </c>
      <c r="G44" s="35">
        <f>$E44*$F44</f>
        <v/>
      </c>
      <c r="H44" s="30">
        <f>SUMPRODUCT(('Individual Refineries'!$B$3:$B$1084=$A44)*('Individual Refineries'!$D$3:$D$1084="NHT")*'Individual Refineries'!$F$3:$F$1084)</f>
        <v/>
      </c>
      <c r="I44" s="35">
        <f>SUMPRODUCT(('Individual Refineries'!$B$3:$B$1084=$A44)*('Individual Refineries'!$D$3:$D$1084="REF")*'Individual Refineries'!$F$3:$F$1084)*SUMPRODUCT(('Individual Refineries'!$B$3:$B$1084=$A44)*('Individual Refineries'!$D$3:$D$1084="REF")*'Individual Refineries'!$K$3:$K$1084)+SUMPRODUCT(('Individual Refineries'!$B$3:$B$1084=$A44)*('Individual Refineries'!$D$3:$D$1084="CCR")*'Individual Refineries'!$F$3:$F$1084)*SUMPRODUCT(('Individual Refineries'!$B$3:$B$1084=$A44)*('Individual Refineries'!$D$3:$D$1084="CCR")*'Individual Refineries'!$K$3:$K$1084)</f>
        <v/>
      </c>
      <c r="J44" s="35">
        <f>SUMPRODUCT(('Individual Refineries'!$B$3:$B$1084=$A44)*('Individual Refineries'!$D$3:$D$1084="ISOM")*'Individual Refineries'!$F$3:$F$1084)*SUMPRODUCT(('Individual Refineries'!$B$3:$B$1084=$A44)*('Individual Refineries'!$D$3:$D$1084="ISOM")*'Individual Refineries'!$K$3:$K$1084)</f>
        <v/>
      </c>
      <c r="K44" s="35">
        <f>SUMPRODUCT(('Individual Refineries'!$A$3:$A$1084="TOTAL")*('Individual Refineries'!$B$3:$B$1084=$A44)*'Individual Refineries'!$Q$3:$Q$1084)</f>
        <v/>
      </c>
      <c r="L44" s="34">
        <f>SUMIFS(Data!$N$3:$N$125,Data!$A$3:$A$125,$A44)</f>
        <v/>
      </c>
      <c r="M44" s="34">
        <f>IFERROR($K44/(SUMIFS(Data!$G$3:$G$125,Data!$A$3:$A$125,$A44)*$D44),"")</f>
        <v/>
      </c>
      <c r="N44" s="53">
        <f>IF($M44="","",$M44-$L44)</f>
        <v/>
      </c>
      <c r="O44" s="49">
        <f>IF(AND($H44&gt;0,$G44&gt;$H44*1.05),"SR &gt; NHT cap","")</f>
        <v/>
      </c>
    </row>
    <row r="45">
      <c r="A45" s="40" t="inlineStr">
        <is>
          <t>PHILLIPS_SWEENY</t>
        </is>
      </c>
      <c r="B45" s="28" t="n">
        <v>3</v>
      </c>
      <c r="C45" s="30">
        <f>SUMPRODUCT(('Individual Refineries'!$B$3:$B$1084=$A45)*('Individual Refineries'!$D$3:$D$1084="CDU")*'Individual Refineries'!$F$3:$F$1084)</f>
        <v/>
      </c>
      <c r="D45" s="52">
        <f>SUMPRODUCT(('Individual Refineries'!$B$3:$B$1084=$A45)*('Individual Refineries'!$D$3:$D$1084="CDU")*'Individual Refineries'!$K$3:$K$1084)</f>
        <v/>
      </c>
      <c r="E45" s="30">
        <f>$C45*$D45</f>
        <v/>
      </c>
      <c r="F45" s="33">
        <f>SUMPRODUCT(('Individual Refineries'!$B$3:$B$1084=$A45)*('Individual Refineries'!$D$3:$D$1084="CDU")*'Individual Refineries'!$P$3:$P$1084)</f>
        <v/>
      </c>
      <c r="G45" s="35">
        <f>$E45*$F45</f>
        <v/>
      </c>
      <c r="H45" s="30">
        <f>SUMPRODUCT(('Individual Refineries'!$B$3:$B$1084=$A45)*('Individual Refineries'!$D$3:$D$1084="NHT")*'Individual Refineries'!$F$3:$F$1084)</f>
        <v/>
      </c>
      <c r="I45" s="35">
        <f>SUMPRODUCT(('Individual Refineries'!$B$3:$B$1084=$A45)*('Individual Refineries'!$D$3:$D$1084="REF")*'Individual Refineries'!$F$3:$F$1084)*SUMPRODUCT(('Individual Refineries'!$B$3:$B$1084=$A45)*('Individual Refineries'!$D$3:$D$1084="REF")*'Individual Refineries'!$K$3:$K$1084)+SUMPRODUCT(('Individual Refineries'!$B$3:$B$1084=$A45)*('Individual Refineries'!$D$3:$D$1084="CCR")*'Individual Refineries'!$F$3:$F$1084)*SUMPRODUCT(('Individual Refineries'!$B$3:$B$1084=$A45)*('Individual Refineries'!$D$3:$D$1084="CCR")*'Individual Refineries'!$K$3:$K$1084)</f>
        <v/>
      </c>
      <c r="J45" s="35">
        <f>SUMPRODUCT(('Individual Refineries'!$B$3:$B$1084=$A45)*('Individual Refineries'!$D$3:$D$1084="ISOM")*'Individual Refineries'!$F$3:$F$1084)*SUMPRODUCT(('Individual Refineries'!$B$3:$B$1084=$A45)*('Individual Refineries'!$D$3:$D$1084="ISOM")*'Individual Refineries'!$K$3:$K$1084)</f>
        <v/>
      </c>
      <c r="K45" s="35">
        <f>SUMPRODUCT(('Individual Refineries'!$A$3:$A$1084="TOTAL")*('Individual Refineries'!$B$3:$B$1084=$A45)*'Individual Refineries'!$Q$3:$Q$1084)</f>
        <v/>
      </c>
      <c r="L45" s="34">
        <f>SUMIFS(Data!$N$3:$N$125,Data!$A$3:$A$125,$A45)</f>
        <v/>
      </c>
      <c r="M45" s="34">
        <f>IFERROR($K45/(SUMIFS(Data!$G$3:$G$125,Data!$A$3:$A$125,$A45)*$D45),"")</f>
        <v/>
      </c>
      <c r="N45" s="53">
        <f>IF($M45="","",$M45-$L45)</f>
        <v/>
      </c>
      <c r="O45" s="49">
        <f>IF(AND($H45&gt;0,$G45&gt;$H45*1.05),"SR &gt; NHT cap","")</f>
        <v/>
      </c>
    </row>
    <row r="46">
      <c r="A46" s="40" t="inlineStr">
        <is>
          <t>VALERO_TEXAS_CITY</t>
        </is>
      </c>
      <c r="B46" s="28" t="n">
        <v>3</v>
      </c>
      <c r="C46" s="30">
        <f>SUMPRODUCT(('Individual Refineries'!$B$3:$B$1084=$A46)*('Individual Refineries'!$D$3:$D$1084="CDU")*'Individual Refineries'!$F$3:$F$1084)</f>
        <v/>
      </c>
      <c r="D46" s="52">
        <f>SUMPRODUCT(('Individual Refineries'!$B$3:$B$1084=$A46)*('Individual Refineries'!$D$3:$D$1084="CDU")*'Individual Refineries'!$K$3:$K$1084)</f>
        <v/>
      </c>
      <c r="E46" s="30">
        <f>$C46*$D46</f>
        <v/>
      </c>
      <c r="F46" s="33">
        <f>SUMPRODUCT(('Individual Refineries'!$B$3:$B$1084=$A46)*('Individual Refineries'!$D$3:$D$1084="CDU")*'Individual Refineries'!$P$3:$P$1084)</f>
        <v/>
      </c>
      <c r="G46" s="35">
        <f>$E46*$F46</f>
        <v/>
      </c>
      <c r="H46" s="30">
        <f>SUMPRODUCT(('Individual Refineries'!$B$3:$B$1084=$A46)*('Individual Refineries'!$D$3:$D$1084="NHT")*'Individual Refineries'!$F$3:$F$1084)</f>
        <v/>
      </c>
      <c r="I46" s="35">
        <f>SUMPRODUCT(('Individual Refineries'!$B$3:$B$1084=$A46)*('Individual Refineries'!$D$3:$D$1084="REF")*'Individual Refineries'!$F$3:$F$1084)*SUMPRODUCT(('Individual Refineries'!$B$3:$B$1084=$A46)*('Individual Refineries'!$D$3:$D$1084="REF")*'Individual Refineries'!$K$3:$K$1084)+SUMPRODUCT(('Individual Refineries'!$B$3:$B$1084=$A46)*('Individual Refineries'!$D$3:$D$1084="CCR")*'Individual Refineries'!$F$3:$F$1084)*SUMPRODUCT(('Individual Refineries'!$B$3:$B$1084=$A46)*('Individual Refineries'!$D$3:$D$1084="CCR")*'Individual Refineries'!$K$3:$K$1084)</f>
        <v/>
      </c>
      <c r="J46" s="35">
        <f>SUMPRODUCT(('Individual Refineries'!$B$3:$B$1084=$A46)*('Individual Refineries'!$D$3:$D$1084="ISOM")*'Individual Refineries'!$F$3:$F$1084)*SUMPRODUCT(('Individual Refineries'!$B$3:$B$1084=$A46)*('Individual Refineries'!$D$3:$D$1084="ISOM")*'Individual Refineries'!$K$3:$K$1084)</f>
        <v/>
      </c>
      <c r="K46" s="35">
        <f>SUMPRODUCT(('Individual Refineries'!$A$3:$A$1084="TOTAL")*('Individual Refineries'!$B$3:$B$1084=$A46)*'Individual Refineries'!$Q$3:$Q$1084)</f>
        <v/>
      </c>
      <c r="L46" s="34">
        <f>SUMIFS(Data!$N$3:$N$125,Data!$A$3:$A$125,$A46)</f>
        <v/>
      </c>
      <c r="M46" s="34">
        <f>IFERROR($K46/(SUMIFS(Data!$G$3:$G$125,Data!$A$3:$A$125,$A46)*$D46),"")</f>
        <v/>
      </c>
      <c r="N46" s="53">
        <f>IF($M46="","",$M46-$L46)</f>
        <v/>
      </c>
      <c r="O46" s="49">
        <f>IF(AND($H46&gt;0,$G46&gt;$H46*1.05),"SR &gt; NHT cap","")</f>
        <v/>
      </c>
    </row>
    <row r="47">
      <c r="A47" s="40" t="inlineStr">
        <is>
          <t>SHELL_NORCO</t>
        </is>
      </c>
      <c r="B47" s="28" t="n">
        <v>3</v>
      </c>
      <c r="C47" s="30">
        <f>SUMPRODUCT(('Individual Refineries'!$B$3:$B$1084=$A47)*('Individual Refineries'!$D$3:$D$1084="CDU")*'Individual Refineries'!$F$3:$F$1084)</f>
        <v/>
      </c>
      <c r="D47" s="52">
        <f>SUMPRODUCT(('Individual Refineries'!$B$3:$B$1084=$A47)*('Individual Refineries'!$D$3:$D$1084="CDU")*'Individual Refineries'!$K$3:$K$1084)</f>
        <v/>
      </c>
      <c r="E47" s="30">
        <f>$C47*$D47</f>
        <v/>
      </c>
      <c r="F47" s="33">
        <f>SUMPRODUCT(('Individual Refineries'!$B$3:$B$1084=$A47)*('Individual Refineries'!$D$3:$D$1084="CDU")*'Individual Refineries'!$P$3:$P$1084)</f>
        <v/>
      </c>
      <c r="G47" s="35">
        <f>$E47*$F47</f>
        <v/>
      </c>
      <c r="H47" s="30">
        <f>SUMPRODUCT(('Individual Refineries'!$B$3:$B$1084=$A47)*('Individual Refineries'!$D$3:$D$1084="NHT")*'Individual Refineries'!$F$3:$F$1084)</f>
        <v/>
      </c>
      <c r="I47" s="35">
        <f>SUMPRODUCT(('Individual Refineries'!$B$3:$B$1084=$A47)*('Individual Refineries'!$D$3:$D$1084="REF")*'Individual Refineries'!$F$3:$F$1084)*SUMPRODUCT(('Individual Refineries'!$B$3:$B$1084=$A47)*('Individual Refineries'!$D$3:$D$1084="REF")*'Individual Refineries'!$K$3:$K$1084)+SUMPRODUCT(('Individual Refineries'!$B$3:$B$1084=$A47)*('Individual Refineries'!$D$3:$D$1084="CCR")*'Individual Refineries'!$F$3:$F$1084)*SUMPRODUCT(('Individual Refineries'!$B$3:$B$1084=$A47)*('Individual Refineries'!$D$3:$D$1084="CCR")*'Individual Refineries'!$K$3:$K$1084)</f>
        <v/>
      </c>
      <c r="J47" s="35">
        <f>SUMPRODUCT(('Individual Refineries'!$B$3:$B$1084=$A47)*('Individual Refineries'!$D$3:$D$1084="ISOM")*'Individual Refineries'!$F$3:$F$1084)*SUMPRODUCT(('Individual Refineries'!$B$3:$B$1084=$A47)*('Individual Refineries'!$D$3:$D$1084="ISOM")*'Individual Refineries'!$K$3:$K$1084)</f>
        <v/>
      </c>
      <c r="K47" s="35">
        <f>SUMPRODUCT(('Individual Refineries'!$A$3:$A$1084="TOTAL")*('Individual Refineries'!$B$3:$B$1084=$A47)*'Individual Refineries'!$Q$3:$Q$1084)</f>
        <v/>
      </c>
      <c r="L47" s="34">
        <f>SUMIFS(Data!$N$3:$N$125,Data!$A$3:$A$125,$A47)</f>
        <v/>
      </c>
      <c r="M47" s="34">
        <f>IFERROR($K47/(SUMIFS(Data!$G$3:$G$125,Data!$A$3:$A$125,$A47)*$D47),"")</f>
        <v/>
      </c>
      <c r="N47" s="53">
        <f>IF($M47="","",$M47-$L47)</f>
        <v/>
      </c>
      <c r="O47" s="49">
        <f>IF(AND($H47&gt;0,$G47&gt;$H47*1.05),"SR &gt; NHT cap","")</f>
        <v/>
      </c>
    </row>
    <row r="48">
      <c r="A48" s="40" t="inlineStr">
        <is>
          <t>TOTAL_PORT_ARTHUR</t>
        </is>
      </c>
      <c r="B48" s="28" t="n">
        <v>3</v>
      </c>
      <c r="C48" s="30">
        <f>SUMPRODUCT(('Individual Refineries'!$B$3:$B$1084=$A48)*('Individual Refineries'!$D$3:$D$1084="CDU")*'Individual Refineries'!$F$3:$F$1084)</f>
        <v/>
      </c>
      <c r="D48" s="52">
        <f>SUMPRODUCT(('Individual Refineries'!$B$3:$B$1084=$A48)*('Individual Refineries'!$D$3:$D$1084="CDU")*'Individual Refineries'!$K$3:$K$1084)</f>
        <v/>
      </c>
      <c r="E48" s="30">
        <f>$C48*$D48</f>
        <v/>
      </c>
      <c r="F48" s="33">
        <f>SUMPRODUCT(('Individual Refineries'!$B$3:$B$1084=$A48)*('Individual Refineries'!$D$3:$D$1084="CDU")*'Individual Refineries'!$P$3:$P$1084)</f>
        <v/>
      </c>
      <c r="G48" s="35">
        <f>$E48*$F48</f>
        <v/>
      </c>
      <c r="H48" s="30">
        <f>SUMPRODUCT(('Individual Refineries'!$B$3:$B$1084=$A48)*('Individual Refineries'!$D$3:$D$1084="NHT")*'Individual Refineries'!$F$3:$F$1084)</f>
        <v/>
      </c>
      <c r="I48" s="35">
        <f>SUMPRODUCT(('Individual Refineries'!$B$3:$B$1084=$A48)*('Individual Refineries'!$D$3:$D$1084="REF")*'Individual Refineries'!$F$3:$F$1084)*SUMPRODUCT(('Individual Refineries'!$B$3:$B$1084=$A48)*('Individual Refineries'!$D$3:$D$1084="REF")*'Individual Refineries'!$K$3:$K$1084)+SUMPRODUCT(('Individual Refineries'!$B$3:$B$1084=$A48)*('Individual Refineries'!$D$3:$D$1084="CCR")*'Individual Refineries'!$F$3:$F$1084)*SUMPRODUCT(('Individual Refineries'!$B$3:$B$1084=$A48)*('Individual Refineries'!$D$3:$D$1084="CCR")*'Individual Refineries'!$K$3:$K$1084)</f>
        <v/>
      </c>
      <c r="J48" s="35">
        <f>SUMPRODUCT(('Individual Refineries'!$B$3:$B$1084=$A48)*('Individual Refineries'!$D$3:$D$1084="ISOM")*'Individual Refineries'!$F$3:$F$1084)*SUMPRODUCT(('Individual Refineries'!$B$3:$B$1084=$A48)*('Individual Refineries'!$D$3:$D$1084="ISOM")*'Individual Refineries'!$K$3:$K$1084)</f>
        <v/>
      </c>
      <c r="K48" s="35">
        <f>SUMPRODUCT(('Individual Refineries'!$A$3:$A$1084="TOTAL")*('Individual Refineries'!$B$3:$B$1084=$A48)*'Individual Refineries'!$Q$3:$Q$1084)</f>
        <v/>
      </c>
      <c r="L48" s="34">
        <f>SUMIFS(Data!$N$3:$N$125,Data!$A$3:$A$125,$A48)</f>
        <v/>
      </c>
      <c r="M48" s="34">
        <f>IFERROR($K48/(SUMIFS(Data!$G$3:$G$125,Data!$A$3:$A$125,$A48)*$D48),"")</f>
        <v/>
      </c>
      <c r="N48" s="53">
        <f>IF($M48="","",$M48-$L48)</f>
        <v/>
      </c>
      <c r="O48" s="49">
        <f>IF(AND($H48&gt;0,$G48&gt;$H48*1.05),"SR &gt; NHT cap","")</f>
        <v/>
      </c>
    </row>
    <row r="49">
      <c r="A49" s="40" t="inlineStr">
        <is>
          <t>VALERO_SAINT_CHARLES</t>
        </is>
      </c>
      <c r="B49" s="28" t="n">
        <v>3</v>
      </c>
      <c r="C49" s="30">
        <f>SUMPRODUCT(('Individual Refineries'!$B$3:$B$1084=$A49)*('Individual Refineries'!$D$3:$D$1084="CDU")*'Individual Refineries'!$F$3:$F$1084)</f>
        <v/>
      </c>
      <c r="D49" s="52">
        <f>SUMPRODUCT(('Individual Refineries'!$B$3:$B$1084=$A49)*('Individual Refineries'!$D$3:$D$1084="CDU")*'Individual Refineries'!$K$3:$K$1084)</f>
        <v/>
      </c>
      <c r="E49" s="30">
        <f>$C49*$D49</f>
        <v/>
      </c>
      <c r="F49" s="33">
        <f>SUMPRODUCT(('Individual Refineries'!$B$3:$B$1084=$A49)*('Individual Refineries'!$D$3:$D$1084="CDU")*'Individual Refineries'!$P$3:$P$1084)</f>
        <v/>
      </c>
      <c r="G49" s="35">
        <f>$E49*$F49</f>
        <v/>
      </c>
      <c r="H49" s="30">
        <f>SUMPRODUCT(('Individual Refineries'!$B$3:$B$1084=$A49)*('Individual Refineries'!$D$3:$D$1084="NHT")*'Individual Refineries'!$F$3:$F$1084)</f>
        <v/>
      </c>
      <c r="I49" s="35">
        <f>SUMPRODUCT(('Individual Refineries'!$B$3:$B$1084=$A49)*('Individual Refineries'!$D$3:$D$1084="REF")*'Individual Refineries'!$F$3:$F$1084)*SUMPRODUCT(('Individual Refineries'!$B$3:$B$1084=$A49)*('Individual Refineries'!$D$3:$D$1084="REF")*'Individual Refineries'!$K$3:$K$1084)+SUMPRODUCT(('Individual Refineries'!$B$3:$B$1084=$A49)*('Individual Refineries'!$D$3:$D$1084="CCR")*'Individual Refineries'!$F$3:$F$1084)*SUMPRODUCT(('Individual Refineries'!$B$3:$B$1084=$A49)*('Individual Refineries'!$D$3:$D$1084="CCR")*'Individual Refineries'!$K$3:$K$1084)</f>
        <v/>
      </c>
      <c r="J49" s="35">
        <f>SUMPRODUCT(('Individual Refineries'!$B$3:$B$1084=$A49)*('Individual Refineries'!$D$3:$D$1084="ISOM")*'Individual Refineries'!$F$3:$F$1084)*SUMPRODUCT(('Individual Refineries'!$B$3:$B$1084=$A49)*('Individual Refineries'!$D$3:$D$1084="ISOM")*'Individual Refineries'!$K$3:$K$1084)</f>
        <v/>
      </c>
      <c r="K49" s="35">
        <f>SUMPRODUCT(('Individual Refineries'!$A$3:$A$1084="TOTAL")*('Individual Refineries'!$B$3:$B$1084=$A49)*'Individual Refineries'!$Q$3:$Q$1084)</f>
        <v/>
      </c>
      <c r="L49" s="34">
        <f>SUMIFS(Data!$N$3:$N$125,Data!$A$3:$A$125,$A49)</f>
        <v/>
      </c>
      <c r="M49" s="34">
        <f>IFERROR($K49/(SUMIFS(Data!$G$3:$G$125,Data!$A$3:$A$125,$A49)*$D49),"")</f>
        <v/>
      </c>
      <c r="N49" s="53">
        <f>IF($M49="","",$M49-$L49)</f>
        <v/>
      </c>
      <c r="O49" s="49">
        <f>IF(AND($H49&gt;0,$G49&gt;$H49*1.05),"SR &gt; NHT cap","")</f>
        <v/>
      </c>
    </row>
    <row r="50">
      <c r="A50" s="40" t="inlineStr">
        <is>
          <t>VALERO_HOUSTON</t>
        </is>
      </c>
      <c r="B50" s="28" t="n">
        <v>3</v>
      </c>
      <c r="C50" s="30">
        <f>SUMPRODUCT(('Individual Refineries'!$B$3:$B$1084=$A50)*('Individual Refineries'!$D$3:$D$1084="CDU")*'Individual Refineries'!$F$3:$F$1084)</f>
        <v/>
      </c>
      <c r="D50" s="52">
        <f>SUMPRODUCT(('Individual Refineries'!$B$3:$B$1084=$A50)*('Individual Refineries'!$D$3:$D$1084="CDU")*'Individual Refineries'!$K$3:$K$1084)</f>
        <v/>
      </c>
      <c r="E50" s="30">
        <f>$C50*$D50</f>
        <v/>
      </c>
      <c r="F50" s="33">
        <f>SUMPRODUCT(('Individual Refineries'!$B$3:$B$1084=$A50)*('Individual Refineries'!$D$3:$D$1084="CDU")*'Individual Refineries'!$P$3:$P$1084)</f>
        <v/>
      </c>
      <c r="G50" s="35">
        <f>$E50*$F50</f>
        <v/>
      </c>
      <c r="H50" s="30">
        <f>SUMPRODUCT(('Individual Refineries'!$B$3:$B$1084=$A50)*('Individual Refineries'!$D$3:$D$1084="NHT")*'Individual Refineries'!$F$3:$F$1084)</f>
        <v/>
      </c>
      <c r="I50" s="35">
        <f>SUMPRODUCT(('Individual Refineries'!$B$3:$B$1084=$A50)*('Individual Refineries'!$D$3:$D$1084="REF")*'Individual Refineries'!$F$3:$F$1084)*SUMPRODUCT(('Individual Refineries'!$B$3:$B$1084=$A50)*('Individual Refineries'!$D$3:$D$1084="REF")*'Individual Refineries'!$K$3:$K$1084)+SUMPRODUCT(('Individual Refineries'!$B$3:$B$1084=$A50)*('Individual Refineries'!$D$3:$D$1084="CCR")*'Individual Refineries'!$F$3:$F$1084)*SUMPRODUCT(('Individual Refineries'!$B$3:$B$1084=$A50)*('Individual Refineries'!$D$3:$D$1084="CCR")*'Individual Refineries'!$K$3:$K$1084)</f>
        <v/>
      </c>
      <c r="J50" s="35">
        <f>SUMPRODUCT(('Individual Refineries'!$B$3:$B$1084=$A50)*('Individual Refineries'!$D$3:$D$1084="ISOM")*'Individual Refineries'!$F$3:$F$1084)*SUMPRODUCT(('Individual Refineries'!$B$3:$B$1084=$A50)*('Individual Refineries'!$D$3:$D$1084="ISOM")*'Individual Refineries'!$K$3:$K$1084)</f>
        <v/>
      </c>
      <c r="K50" s="35">
        <f>SUMPRODUCT(('Individual Refineries'!$A$3:$A$1084="TOTAL")*('Individual Refineries'!$B$3:$B$1084=$A50)*'Individual Refineries'!$Q$3:$Q$1084)</f>
        <v/>
      </c>
      <c r="L50" s="34">
        <f>SUMIFS(Data!$N$3:$N$125,Data!$A$3:$A$125,$A50)</f>
        <v/>
      </c>
      <c r="M50" s="34">
        <f>IFERROR($K50/(SUMIFS(Data!$G$3:$G$125,Data!$A$3:$A$125,$A50)*$D50),"")</f>
        <v/>
      </c>
      <c r="N50" s="53">
        <f>IF($M50="","",$M50-$L50)</f>
        <v/>
      </c>
      <c r="O50" s="49">
        <f>IF(AND($H50&gt;0,$G50&gt;$H50*1.05),"SR &gt; NHT cap","")</f>
        <v/>
      </c>
    </row>
    <row r="51">
      <c r="A51" s="40" t="inlineStr">
        <is>
          <t>VALERO_SUNRAY</t>
        </is>
      </c>
      <c r="B51" s="28" t="n">
        <v>3</v>
      </c>
      <c r="C51" s="30">
        <f>SUMPRODUCT(('Individual Refineries'!$B$3:$B$1084=$A51)*('Individual Refineries'!$D$3:$D$1084="CDU")*'Individual Refineries'!$F$3:$F$1084)</f>
        <v/>
      </c>
      <c r="D51" s="52">
        <f>SUMPRODUCT(('Individual Refineries'!$B$3:$B$1084=$A51)*('Individual Refineries'!$D$3:$D$1084="CDU")*'Individual Refineries'!$K$3:$K$1084)</f>
        <v/>
      </c>
      <c r="E51" s="30">
        <f>$C51*$D51</f>
        <v/>
      </c>
      <c r="F51" s="33">
        <f>SUMPRODUCT(('Individual Refineries'!$B$3:$B$1084=$A51)*('Individual Refineries'!$D$3:$D$1084="CDU")*'Individual Refineries'!$P$3:$P$1084)</f>
        <v/>
      </c>
      <c r="G51" s="35">
        <f>$E51*$F51</f>
        <v/>
      </c>
      <c r="H51" s="30">
        <f>SUMPRODUCT(('Individual Refineries'!$B$3:$B$1084=$A51)*('Individual Refineries'!$D$3:$D$1084="NHT")*'Individual Refineries'!$F$3:$F$1084)</f>
        <v/>
      </c>
      <c r="I51" s="35">
        <f>SUMPRODUCT(('Individual Refineries'!$B$3:$B$1084=$A51)*('Individual Refineries'!$D$3:$D$1084="REF")*'Individual Refineries'!$F$3:$F$1084)*SUMPRODUCT(('Individual Refineries'!$B$3:$B$1084=$A51)*('Individual Refineries'!$D$3:$D$1084="REF")*'Individual Refineries'!$K$3:$K$1084)+SUMPRODUCT(('Individual Refineries'!$B$3:$B$1084=$A51)*('Individual Refineries'!$D$3:$D$1084="CCR")*'Individual Refineries'!$F$3:$F$1084)*SUMPRODUCT(('Individual Refineries'!$B$3:$B$1084=$A51)*('Individual Refineries'!$D$3:$D$1084="CCR")*'Individual Refineries'!$K$3:$K$1084)</f>
        <v/>
      </c>
      <c r="J51" s="35">
        <f>SUMPRODUCT(('Individual Refineries'!$B$3:$B$1084=$A51)*('Individual Refineries'!$D$3:$D$1084="ISOM")*'Individual Refineries'!$F$3:$F$1084)*SUMPRODUCT(('Individual Refineries'!$B$3:$B$1084=$A51)*('Individual Refineries'!$D$3:$D$1084="ISOM")*'Individual Refineries'!$K$3:$K$1084)</f>
        <v/>
      </c>
      <c r="K51" s="35">
        <f>SUMPRODUCT(('Individual Refineries'!$A$3:$A$1084="TOTAL")*('Individual Refineries'!$B$3:$B$1084=$A51)*'Individual Refineries'!$Q$3:$Q$1084)</f>
        <v/>
      </c>
      <c r="L51" s="34">
        <f>SUMIFS(Data!$N$3:$N$125,Data!$A$3:$A$125,$A51)</f>
        <v/>
      </c>
      <c r="M51" s="34">
        <f>IFERROR($K51/(SUMIFS(Data!$G$3:$G$125,Data!$A$3:$A$125,$A51)*$D51),"")</f>
        <v/>
      </c>
      <c r="N51" s="53">
        <f>IF($M51="","",$M51-$L51)</f>
        <v/>
      </c>
      <c r="O51" s="49">
        <f>IF(AND($H51&gt;0,$G51&gt;$H51*1.05),"SR &gt; NHT cap","")</f>
        <v/>
      </c>
    </row>
    <row r="52">
      <c r="A52" s="40" t="inlineStr">
        <is>
          <t>PBF_CHALMETTE</t>
        </is>
      </c>
      <c r="B52" s="28" t="n">
        <v>3</v>
      </c>
      <c r="C52" s="30">
        <f>SUMPRODUCT(('Individual Refineries'!$B$3:$B$1084=$A52)*('Individual Refineries'!$D$3:$D$1084="CDU")*'Individual Refineries'!$F$3:$F$1084)</f>
        <v/>
      </c>
      <c r="D52" s="52">
        <f>SUMPRODUCT(('Individual Refineries'!$B$3:$B$1084=$A52)*('Individual Refineries'!$D$3:$D$1084="CDU")*'Individual Refineries'!$K$3:$K$1084)</f>
        <v/>
      </c>
      <c r="E52" s="30">
        <f>$C52*$D52</f>
        <v/>
      </c>
      <c r="F52" s="33">
        <f>SUMPRODUCT(('Individual Refineries'!$B$3:$B$1084=$A52)*('Individual Refineries'!$D$3:$D$1084="CDU")*'Individual Refineries'!$P$3:$P$1084)</f>
        <v/>
      </c>
      <c r="G52" s="35">
        <f>$E52*$F52</f>
        <v/>
      </c>
      <c r="H52" s="30">
        <f>SUMPRODUCT(('Individual Refineries'!$B$3:$B$1084=$A52)*('Individual Refineries'!$D$3:$D$1084="NHT")*'Individual Refineries'!$F$3:$F$1084)</f>
        <v/>
      </c>
      <c r="I52" s="35">
        <f>SUMPRODUCT(('Individual Refineries'!$B$3:$B$1084=$A52)*('Individual Refineries'!$D$3:$D$1084="REF")*'Individual Refineries'!$F$3:$F$1084)*SUMPRODUCT(('Individual Refineries'!$B$3:$B$1084=$A52)*('Individual Refineries'!$D$3:$D$1084="REF")*'Individual Refineries'!$K$3:$K$1084)+SUMPRODUCT(('Individual Refineries'!$B$3:$B$1084=$A52)*('Individual Refineries'!$D$3:$D$1084="CCR")*'Individual Refineries'!$F$3:$F$1084)*SUMPRODUCT(('Individual Refineries'!$B$3:$B$1084=$A52)*('Individual Refineries'!$D$3:$D$1084="CCR")*'Individual Refineries'!$K$3:$K$1084)</f>
        <v/>
      </c>
      <c r="J52" s="35">
        <f>SUMPRODUCT(('Individual Refineries'!$B$3:$B$1084=$A52)*('Individual Refineries'!$D$3:$D$1084="ISOM")*'Individual Refineries'!$F$3:$F$1084)*SUMPRODUCT(('Individual Refineries'!$B$3:$B$1084=$A52)*('Individual Refineries'!$D$3:$D$1084="ISOM")*'Individual Refineries'!$K$3:$K$1084)</f>
        <v/>
      </c>
      <c r="K52" s="35">
        <f>SUMPRODUCT(('Individual Refineries'!$A$3:$A$1084="TOTAL")*('Individual Refineries'!$B$3:$B$1084=$A52)*'Individual Refineries'!$Q$3:$Q$1084)</f>
        <v/>
      </c>
      <c r="L52" s="34">
        <f>SUMIFS(Data!$N$3:$N$125,Data!$A$3:$A$125,$A52)</f>
        <v/>
      </c>
      <c r="M52" s="34">
        <f>IFERROR($K52/(SUMIFS(Data!$G$3:$G$125,Data!$A$3:$A$125,$A52)*$D52),"")</f>
        <v/>
      </c>
      <c r="N52" s="53">
        <f>IF($M52="","",$M52-$L52)</f>
        <v/>
      </c>
      <c r="O52" s="49">
        <f>IF(AND($H52&gt;0,$G52&gt;$H52*1.05),"SR &gt; NHT cap","")</f>
        <v/>
      </c>
    </row>
    <row r="53">
      <c r="A53" s="40" t="inlineStr">
        <is>
          <t>CITGO_CORPUS_CHRISTI</t>
        </is>
      </c>
      <c r="B53" s="28" t="n">
        <v>3</v>
      </c>
      <c r="C53" s="30">
        <f>SUMPRODUCT(('Individual Refineries'!$B$3:$B$1084=$A53)*('Individual Refineries'!$D$3:$D$1084="CDU")*'Individual Refineries'!$F$3:$F$1084)</f>
        <v/>
      </c>
      <c r="D53" s="52">
        <f>SUMPRODUCT(('Individual Refineries'!$B$3:$B$1084=$A53)*('Individual Refineries'!$D$3:$D$1084="CDU")*'Individual Refineries'!$K$3:$K$1084)</f>
        <v/>
      </c>
      <c r="E53" s="30">
        <f>$C53*$D53</f>
        <v/>
      </c>
      <c r="F53" s="33">
        <f>SUMPRODUCT(('Individual Refineries'!$B$3:$B$1084=$A53)*('Individual Refineries'!$D$3:$D$1084="CDU")*'Individual Refineries'!$P$3:$P$1084)</f>
        <v/>
      </c>
      <c r="G53" s="35">
        <f>$E53*$F53</f>
        <v/>
      </c>
      <c r="H53" s="30">
        <f>SUMPRODUCT(('Individual Refineries'!$B$3:$B$1084=$A53)*('Individual Refineries'!$D$3:$D$1084="NHT")*'Individual Refineries'!$F$3:$F$1084)</f>
        <v/>
      </c>
      <c r="I53" s="35">
        <f>SUMPRODUCT(('Individual Refineries'!$B$3:$B$1084=$A53)*('Individual Refineries'!$D$3:$D$1084="REF")*'Individual Refineries'!$F$3:$F$1084)*SUMPRODUCT(('Individual Refineries'!$B$3:$B$1084=$A53)*('Individual Refineries'!$D$3:$D$1084="REF")*'Individual Refineries'!$K$3:$K$1084)+SUMPRODUCT(('Individual Refineries'!$B$3:$B$1084=$A53)*('Individual Refineries'!$D$3:$D$1084="CCR")*'Individual Refineries'!$F$3:$F$1084)*SUMPRODUCT(('Individual Refineries'!$B$3:$B$1084=$A53)*('Individual Refineries'!$D$3:$D$1084="CCR")*'Individual Refineries'!$K$3:$K$1084)</f>
        <v/>
      </c>
      <c r="J53" s="35">
        <f>SUMPRODUCT(('Individual Refineries'!$B$3:$B$1084=$A53)*('Individual Refineries'!$D$3:$D$1084="ISOM")*'Individual Refineries'!$F$3:$F$1084)*SUMPRODUCT(('Individual Refineries'!$B$3:$B$1084=$A53)*('Individual Refineries'!$D$3:$D$1084="ISOM")*'Individual Refineries'!$K$3:$K$1084)</f>
        <v/>
      </c>
      <c r="K53" s="35">
        <f>SUMPRODUCT(('Individual Refineries'!$A$3:$A$1084="TOTAL")*('Individual Refineries'!$B$3:$B$1084=$A53)*'Individual Refineries'!$Q$3:$Q$1084)</f>
        <v/>
      </c>
      <c r="L53" s="34">
        <f>SUMIFS(Data!$N$3:$N$125,Data!$A$3:$A$125,$A53)</f>
        <v/>
      </c>
      <c r="M53" s="34">
        <f>IFERROR($K53/(SUMIFS(Data!$G$3:$G$125,Data!$A$3:$A$125,$A53)*$D53),"")</f>
        <v/>
      </c>
      <c r="N53" s="53">
        <f>IF($M53="","",$M53-$L53)</f>
        <v/>
      </c>
      <c r="O53" s="49">
        <f>IF(AND($H53&gt;0,$G53&gt;$H53*1.05),"SR &gt; NHT cap","")</f>
        <v/>
      </c>
    </row>
    <row r="54">
      <c r="A54" s="40" t="inlineStr">
        <is>
          <t>WRB_BORGER</t>
        </is>
      </c>
      <c r="B54" s="28" t="n">
        <v>3</v>
      </c>
      <c r="C54" s="30">
        <f>SUMPRODUCT(('Individual Refineries'!$B$3:$B$1084=$A54)*('Individual Refineries'!$D$3:$D$1084="CDU")*'Individual Refineries'!$F$3:$F$1084)</f>
        <v/>
      </c>
      <c r="D54" s="52">
        <f>SUMPRODUCT(('Individual Refineries'!$B$3:$B$1084=$A54)*('Individual Refineries'!$D$3:$D$1084="CDU")*'Individual Refineries'!$K$3:$K$1084)</f>
        <v/>
      </c>
      <c r="E54" s="30">
        <f>$C54*$D54</f>
        <v/>
      </c>
      <c r="F54" s="33">
        <f>SUMPRODUCT(('Individual Refineries'!$B$3:$B$1084=$A54)*('Individual Refineries'!$D$3:$D$1084="CDU")*'Individual Refineries'!$P$3:$P$1084)</f>
        <v/>
      </c>
      <c r="G54" s="35">
        <f>$E54*$F54</f>
        <v/>
      </c>
      <c r="H54" s="30">
        <f>SUMPRODUCT(('Individual Refineries'!$B$3:$B$1084=$A54)*('Individual Refineries'!$D$3:$D$1084="NHT")*'Individual Refineries'!$F$3:$F$1084)</f>
        <v/>
      </c>
      <c r="I54" s="35">
        <f>SUMPRODUCT(('Individual Refineries'!$B$3:$B$1084=$A54)*('Individual Refineries'!$D$3:$D$1084="REF")*'Individual Refineries'!$F$3:$F$1084)*SUMPRODUCT(('Individual Refineries'!$B$3:$B$1084=$A54)*('Individual Refineries'!$D$3:$D$1084="REF")*'Individual Refineries'!$K$3:$K$1084)+SUMPRODUCT(('Individual Refineries'!$B$3:$B$1084=$A54)*('Individual Refineries'!$D$3:$D$1084="CCR")*'Individual Refineries'!$F$3:$F$1084)*SUMPRODUCT(('Individual Refineries'!$B$3:$B$1084=$A54)*('Individual Refineries'!$D$3:$D$1084="CCR")*'Individual Refineries'!$K$3:$K$1084)</f>
        <v/>
      </c>
      <c r="J54" s="35">
        <f>SUMPRODUCT(('Individual Refineries'!$B$3:$B$1084=$A54)*('Individual Refineries'!$D$3:$D$1084="ISOM")*'Individual Refineries'!$F$3:$F$1084)*SUMPRODUCT(('Individual Refineries'!$B$3:$B$1084=$A54)*('Individual Refineries'!$D$3:$D$1084="ISOM")*'Individual Refineries'!$K$3:$K$1084)</f>
        <v/>
      </c>
      <c r="K54" s="35">
        <f>SUMPRODUCT(('Individual Refineries'!$A$3:$A$1084="TOTAL")*('Individual Refineries'!$B$3:$B$1084=$A54)*'Individual Refineries'!$Q$3:$Q$1084)</f>
        <v/>
      </c>
      <c r="L54" s="34">
        <f>SUMIFS(Data!$N$3:$N$125,Data!$A$3:$A$125,$A54)</f>
        <v/>
      </c>
      <c r="M54" s="34">
        <f>IFERROR($K54/(SUMIFS(Data!$G$3:$G$125,Data!$A$3:$A$125,$A54)*$D54),"")</f>
        <v/>
      </c>
      <c r="N54" s="53">
        <f>IF($M54="","",$M54-$L54)</f>
        <v/>
      </c>
      <c r="O54" s="49">
        <f>IF(AND($H54&gt;0,$G54&gt;$H54*1.05),"SR &gt; NHT cap","")</f>
        <v/>
      </c>
    </row>
    <row r="55">
      <c r="A55" s="40" t="inlineStr">
        <is>
          <t>MARATHON_EL_PASO</t>
        </is>
      </c>
      <c r="B55" s="28" t="n">
        <v>3</v>
      </c>
      <c r="C55" s="30">
        <f>SUMPRODUCT(('Individual Refineries'!$B$3:$B$1084=$A55)*('Individual Refineries'!$D$3:$D$1084="CDU")*'Individual Refineries'!$F$3:$F$1084)</f>
        <v/>
      </c>
      <c r="D55" s="52">
        <f>SUMPRODUCT(('Individual Refineries'!$B$3:$B$1084=$A55)*('Individual Refineries'!$D$3:$D$1084="CDU")*'Individual Refineries'!$K$3:$K$1084)</f>
        <v/>
      </c>
      <c r="E55" s="30">
        <f>$C55*$D55</f>
        <v/>
      </c>
      <c r="F55" s="33">
        <f>SUMPRODUCT(('Individual Refineries'!$B$3:$B$1084=$A55)*('Individual Refineries'!$D$3:$D$1084="CDU")*'Individual Refineries'!$P$3:$P$1084)</f>
        <v/>
      </c>
      <c r="G55" s="35">
        <f>$E55*$F55</f>
        <v/>
      </c>
      <c r="H55" s="30">
        <f>SUMPRODUCT(('Individual Refineries'!$B$3:$B$1084=$A55)*('Individual Refineries'!$D$3:$D$1084="NHT")*'Individual Refineries'!$F$3:$F$1084)</f>
        <v/>
      </c>
      <c r="I55" s="35">
        <f>SUMPRODUCT(('Individual Refineries'!$B$3:$B$1084=$A55)*('Individual Refineries'!$D$3:$D$1084="REF")*'Individual Refineries'!$F$3:$F$1084)*SUMPRODUCT(('Individual Refineries'!$B$3:$B$1084=$A55)*('Individual Refineries'!$D$3:$D$1084="REF")*'Individual Refineries'!$K$3:$K$1084)+SUMPRODUCT(('Individual Refineries'!$B$3:$B$1084=$A55)*('Individual Refineries'!$D$3:$D$1084="CCR")*'Individual Refineries'!$F$3:$F$1084)*SUMPRODUCT(('Individual Refineries'!$B$3:$B$1084=$A55)*('Individual Refineries'!$D$3:$D$1084="CCR")*'Individual Refineries'!$K$3:$K$1084)</f>
        <v/>
      </c>
      <c r="J55" s="35">
        <f>SUMPRODUCT(('Individual Refineries'!$B$3:$B$1084=$A55)*('Individual Refineries'!$D$3:$D$1084="ISOM")*'Individual Refineries'!$F$3:$F$1084)*SUMPRODUCT(('Individual Refineries'!$B$3:$B$1084=$A55)*('Individual Refineries'!$D$3:$D$1084="ISOM")*'Individual Refineries'!$K$3:$K$1084)</f>
        <v/>
      </c>
      <c r="K55" s="35">
        <f>SUMPRODUCT(('Individual Refineries'!$A$3:$A$1084="TOTAL")*('Individual Refineries'!$B$3:$B$1084=$A55)*'Individual Refineries'!$Q$3:$Q$1084)</f>
        <v/>
      </c>
      <c r="L55" s="34">
        <f>SUMIFS(Data!$N$3:$N$125,Data!$A$3:$A$125,$A55)</f>
        <v/>
      </c>
      <c r="M55" s="34">
        <f>IFERROR($K55/(SUMIFS(Data!$G$3:$G$125,Data!$A$3:$A$125,$A55)*$D55),"")</f>
        <v/>
      </c>
      <c r="N55" s="53">
        <f>IF($M55="","",$M55-$L55)</f>
        <v/>
      </c>
      <c r="O55" s="49">
        <f>IF(AND($H55&gt;0,$G55&gt;$H55*1.05),"SR &gt; NHT cap","")</f>
        <v/>
      </c>
    </row>
    <row r="56">
      <c r="A56" s="40" t="inlineStr">
        <is>
          <t>CHEVRON_PASADENA</t>
        </is>
      </c>
      <c r="B56" s="28" t="n">
        <v>3</v>
      </c>
      <c r="C56" s="30">
        <f>SUMPRODUCT(('Individual Refineries'!$B$3:$B$1084=$A56)*('Individual Refineries'!$D$3:$D$1084="CDU")*'Individual Refineries'!$F$3:$F$1084)</f>
        <v/>
      </c>
      <c r="D56" s="52">
        <f>SUMPRODUCT(('Individual Refineries'!$B$3:$B$1084=$A56)*('Individual Refineries'!$D$3:$D$1084="CDU")*'Individual Refineries'!$K$3:$K$1084)</f>
        <v/>
      </c>
      <c r="E56" s="30">
        <f>$C56*$D56</f>
        <v/>
      </c>
      <c r="F56" s="33">
        <f>SUMPRODUCT(('Individual Refineries'!$B$3:$B$1084=$A56)*('Individual Refineries'!$D$3:$D$1084="CDU")*'Individual Refineries'!$P$3:$P$1084)</f>
        <v/>
      </c>
      <c r="G56" s="35">
        <f>$E56*$F56</f>
        <v/>
      </c>
      <c r="H56" s="30">
        <f>SUMPRODUCT(('Individual Refineries'!$B$3:$B$1084=$A56)*('Individual Refineries'!$D$3:$D$1084="NHT")*'Individual Refineries'!$F$3:$F$1084)</f>
        <v/>
      </c>
      <c r="I56" s="35">
        <f>SUMPRODUCT(('Individual Refineries'!$B$3:$B$1084=$A56)*('Individual Refineries'!$D$3:$D$1084="REF")*'Individual Refineries'!$F$3:$F$1084)*SUMPRODUCT(('Individual Refineries'!$B$3:$B$1084=$A56)*('Individual Refineries'!$D$3:$D$1084="REF")*'Individual Refineries'!$K$3:$K$1084)+SUMPRODUCT(('Individual Refineries'!$B$3:$B$1084=$A56)*('Individual Refineries'!$D$3:$D$1084="CCR")*'Individual Refineries'!$F$3:$F$1084)*SUMPRODUCT(('Individual Refineries'!$B$3:$B$1084=$A56)*('Individual Refineries'!$D$3:$D$1084="CCR")*'Individual Refineries'!$K$3:$K$1084)</f>
        <v/>
      </c>
      <c r="J56" s="35">
        <f>SUMPRODUCT(('Individual Refineries'!$B$3:$B$1084=$A56)*('Individual Refineries'!$D$3:$D$1084="ISOM")*'Individual Refineries'!$F$3:$F$1084)*SUMPRODUCT(('Individual Refineries'!$B$3:$B$1084=$A56)*('Individual Refineries'!$D$3:$D$1084="ISOM")*'Individual Refineries'!$K$3:$K$1084)</f>
        <v/>
      </c>
      <c r="K56" s="35">
        <f>SUMPRODUCT(('Individual Refineries'!$A$3:$A$1084="TOTAL")*('Individual Refineries'!$B$3:$B$1084=$A56)*'Individual Refineries'!$Q$3:$Q$1084)</f>
        <v/>
      </c>
      <c r="L56" s="34">
        <f>SUMIFS(Data!$N$3:$N$125,Data!$A$3:$A$125,$A56)</f>
        <v/>
      </c>
      <c r="M56" s="34">
        <f>IFERROR($K56/(SUMIFS(Data!$G$3:$G$125,Data!$A$3:$A$125,$A56)*$D56),"")</f>
        <v/>
      </c>
      <c r="N56" s="53">
        <f>IF($M56="","",$M56-$L56)</f>
        <v/>
      </c>
      <c r="O56" s="49">
        <f>IF(AND($H56&gt;0,$G56&gt;$H56*1.05),"SR &gt; NHT cap","")</f>
        <v/>
      </c>
    </row>
    <row r="57">
      <c r="A57" s="40" t="inlineStr">
        <is>
          <t>VALERO_MERAUX</t>
        </is>
      </c>
      <c r="B57" s="28" t="n">
        <v>3</v>
      </c>
      <c r="C57" s="30">
        <f>SUMPRODUCT(('Individual Refineries'!$B$3:$B$1084=$A57)*('Individual Refineries'!$D$3:$D$1084="CDU")*'Individual Refineries'!$F$3:$F$1084)</f>
        <v/>
      </c>
      <c r="D57" s="52">
        <f>SUMPRODUCT(('Individual Refineries'!$B$3:$B$1084=$A57)*('Individual Refineries'!$D$3:$D$1084="CDU")*'Individual Refineries'!$K$3:$K$1084)</f>
        <v/>
      </c>
      <c r="E57" s="30">
        <f>$C57*$D57</f>
        <v/>
      </c>
      <c r="F57" s="33">
        <f>SUMPRODUCT(('Individual Refineries'!$B$3:$B$1084=$A57)*('Individual Refineries'!$D$3:$D$1084="CDU")*'Individual Refineries'!$P$3:$P$1084)</f>
        <v/>
      </c>
      <c r="G57" s="35">
        <f>$E57*$F57</f>
        <v/>
      </c>
      <c r="H57" s="30">
        <f>SUMPRODUCT(('Individual Refineries'!$B$3:$B$1084=$A57)*('Individual Refineries'!$D$3:$D$1084="NHT")*'Individual Refineries'!$F$3:$F$1084)</f>
        <v/>
      </c>
      <c r="I57" s="35">
        <f>SUMPRODUCT(('Individual Refineries'!$B$3:$B$1084=$A57)*('Individual Refineries'!$D$3:$D$1084="REF")*'Individual Refineries'!$F$3:$F$1084)*SUMPRODUCT(('Individual Refineries'!$B$3:$B$1084=$A57)*('Individual Refineries'!$D$3:$D$1084="REF")*'Individual Refineries'!$K$3:$K$1084)+SUMPRODUCT(('Individual Refineries'!$B$3:$B$1084=$A57)*('Individual Refineries'!$D$3:$D$1084="CCR")*'Individual Refineries'!$F$3:$F$1084)*SUMPRODUCT(('Individual Refineries'!$B$3:$B$1084=$A57)*('Individual Refineries'!$D$3:$D$1084="CCR")*'Individual Refineries'!$K$3:$K$1084)</f>
        <v/>
      </c>
      <c r="J57" s="35">
        <f>SUMPRODUCT(('Individual Refineries'!$B$3:$B$1084=$A57)*('Individual Refineries'!$D$3:$D$1084="ISOM")*'Individual Refineries'!$F$3:$F$1084)*SUMPRODUCT(('Individual Refineries'!$B$3:$B$1084=$A57)*('Individual Refineries'!$D$3:$D$1084="ISOM")*'Individual Refineries'!$K$3:$K$1084)</f>
        <v/>
      </c>
      <c r="K57" s="35">
        <f>SUMPRODUCT(('Individual Refineries'!$A$3:$A$1084="TOTAL")*('Individual Refineries'!$B$3:$B$1084=$A57)*'Individual Refineries'!$Q$3:$Q$1084)</f>
        <v/>
      </c>
      <c r="L57" s="34">
        <f>SUMIFS(Data!$N$3:$N$125,Data!$A$3:$A$125,$A57)</f>
        <v/>
      </c>
      <c r="M57" s="34">
        <f>IFERROR($K57/(SUMIFS(Data!$G$3:$G$125,Data!$A$3:$A$125,$A57)*$D57),"")</f>
        <v/>
      </c>
      <c r="N57" s="53">
        <f>IF($M57="","",$M57-$L57)</f>
        <v/>
      </c>
      <c r="O57" s="49">
        <f>IF(AND($H57&gt;0,$G57&gt;$H57*1.05),"SR &gt; NHT cap","")</f>
        <v/>
      </c>
    </row>
    <row r="58">
      <c r="A58" s="40" t="inlineStr">
        <is>
          <t>KINDER_HOUSTON</t>
        </is>
      </c>
      <c r="B58" s="28" t="n">
        <v>3</v>
      </c>
      <c r="C58" s="30">
        <f>SUMPRODUCT(('Individual Refineries'!$B$3:$B$1084=$A58)*('Individual Refineries'!$D$3:$D$1084="CDU")*'Individual Refineries'!$F$3:$F$1084)</f>
        <v/>
      </c>
      <c r="D58" s="52">
        <f>SUMPRODUCT(('Individual Refineries'!$B$3:$B$1084=$A58)*('Individual Refineries'!$D$3:$D$1084="CDU")*'Individual Refineries'!$K$3:$K$1084)</f>
        <v/>
      </c>
      <c r="E58" s="30">
        <f>$C58*$D58</f>
        <v/>
      </c>
      <c r="F58" s="33">
        <f>SUMPRODUCT(('Individual Refineries'!$B$3:$B$1084=$A58)*('Individual Refineries'!$D$3:$D$1084="CDU")*'Individual Refineries'!$P$3:$P$1084)</f>
        <v/>
      </c>
      <c r="G58" s="35">
        <f>$E58*$F58</f>
        <v/>
      </c>
      <c r="H58" s="30">
        <f>SUMPRODUCT(('Individual Refineries'!$B$3:$B$1084=$A58)*('Individual Refineries'!$D$3:$D$1084="NHT")*'Individual Refineries'!$F$3:$F$1084)</f>
        <v/>
      </c>
      <c r="I58" s="35">
        <f>SUMPRODUCT(('Individual Refineries'!$B$3:$B$1084=$A58)*('Individual Refineries'!$D$3:$D$1084="REF")*'Individual Refineries'!$F$3:$F$1084)*SUMPRODUCT(('Individual Refineries'!$B$3:$B$1084=$A58)*('Individual Refineries'!$D$3:$D$1084="REF")*'Individual Refineries'!$K$3:$K$1084)+SUMPRODUCT(('Individual Refineries'!$B$3:$B$1084=$A58)*('Individual Refineries'!$D$3:$D$1084="CCR")*'Individual Refineries'!$F$3:$F$1084)*SUMPRODUCT(('Individual Refineries'!$B$3:$B$1084=$A58)*('Individual Refineries'!$D$3:$D$1084="CCR")*'Individual Refineries'!$K$3:$K$1084)</f>
        <v/>
      </c>
      <c r="J58" s="35">
        <f>SUMPRODUCT(('Individual Refineries'!$B$3:$B$1084=$A58)*('Individual Refineries'!$D$3:$D$1084="ISOM")*'Individual Refineries'!$F$3:$F$1084)*SUMPRODUCT(('Individual Refineries'!$B$3:$B$1084=$A58)*('Individual Refineries'!$D$3:$D$1084="ISOM")*'Individual Refineries'!$K$3:$K$1084)</f>
        <v/>
      </c>
      <c r="K58" s="35">
        <f>SUMPRODUCT(('Individual Refineries'!$A$3:$A$1084="TOTAL")*('Individual Refineries'!$B$3:$B$1084=$A58)*'Individual Refineries'!$Q$3:$Q$1084)</f>
        <v/>
      </c>
      <c r="L58" s="34">
        <f>SUMIFS(Data!$N$3:$N$125,Data!$A$3:$A$125,$A58)</f>
        <v/>
      </c>
      <c r="M58" s="34">
        <f>IFERROR($K58/(SUMIFS(Data!$G$3:$G$125,Data!$A$3:$A$125,$A58)*$D58),"")</f>
        <v/>
      </c>
      <c r="N58" s="53">
        <f>IF($M58="","",$M58-$L58)</f>
        <v/>
      </c>
      <c r="O58" s="49">
        <f>IF(AND($H58&gt;0,$G58&gt;$H58*1.05),"SR &gt; NHT cap","")</f>
        <v/>
      </c>
    </row>
    <row r="59">
      <c r="A59" s="40" t="inlineStr">
        <is>
          <t>CALCASIEU_LAKE_CHARLES</t>
        </is>
      </c>
      <c r="B59" s="28" t="n">
        <v>3</v>
      </c>
      <c r="C59" s="30">
        <f>SUMPRODUCT(('Individual Refineries'!$B$3:$B$1084=$A59)*('Individual Refineries'!$D$3:$D$1084="CDU")*'Individual Refineries'!$F$3:$F$1084)</f>
        <v/>
      </c>
      <c r="D59" s="52">
        <f>SUMPRODUCT(('Individual Refineries'!$B$3:$B$1084=$A59)*('Individual Refineries'!$D$3:$D$1084="CDU")*'Individual Refineries'!$K$3:$K$1084)</f>
        <v/>
      </c>
      <c r="E59" s="30">
        <f>$C59*$D59</f>
        <v/>
      </c>
      <c r="F59" s="33">
        <f>SUMPRODUCT(('Individual Refineries'!$B$3:$B$1084=$A59)*('Individual Refineries'!$D$3:$D$1084="CDU")*'Individual Refineries'!$P$3:$P$1084)</f>
        <v/>
      </c>
      <c r="G59" s="35">
        <f>$E59*$F59</f>
        <v/>
      </c>
      <c r="H59" s="30">
        <f>SUMPRODUCT(('Individual Refineries'!$B$3:$B$1084=$A59)*('Individual Refineries'!$D$3:$D$1084="NHT")*'Individual Refineries'!$F$3:$F$1084)</f>
        <v/>
      </c>
      <c r="I59" s="35">
        <f>SUMPRODUCT(('Individual Refineries'!$B$3:$B$1084=$A59)*('Individual Refineries'!$D$3:$D$1084="REF")*'Individual Refineries'!$F$3:$F$1084)*SUMPRODUCT(('Individual Refineries'!$B$3:$B$1084=$A59)*('Individual Refineries'!$D$3:$D$1084="REF")*'Individual Refineries'!$K$3:$K$1084)+SUMPRODUCT(('Individual Refineries'!$B$3:$B$1084=$A59)*('Individual Refineries'!$D$3:$D$1084="CCR")*'Individual Refineries'!$F$3:$F$1084)*SUMPRODUCT(('Individual Refineries'!$B$3:$B$1084=$A59)*('Individual Refineries'!$D$3:$D$1084="CCR")*'Individual Refineries'!$K$3:$K$1084)</f>
        <v/>
      </c>
      <c r="J59" s="35">
        <f>SUMPRODUCT(('Individual Refineries'!$B$3:$B$1084=$A59)*('Individual Refineries'!$D$3:$D$1084="ISOM")*'Individual Refineries'!$F$3:$F$1084)*SUMPRODUCT(('Individual Refineries'!$B$3:$B$1084=$A59)*('Individual Refineries'!$D$3:$D$1084="ISOM")*'Individual Refineries'!$K$3:$K$1084)</f>
        <v/>
      </c>
      <c r="K59" s="35">
        <f>SUMPRODUCT(('Individual Refineries'!$A$3:$A$1084="TOTAL")*('Individual Refineries'!$B$3:$B$1084=$A59)*'Individual Refineries'!$Q$3:$Q$1084)</f>
        <v/>
      </c>
      <c r="L59" s="34">
        <f>SUMIFS(Data!$N$3:$N$125,Data!$A$3:$A$125,$A59)</f>
        <v/>
      </c>
      <c r="M59" s="34">
        <f>IFERROR($K59/(SUMIFS(Data!$G$3:$G$125,Data!$A$3:$A$125,$A59)*$D59),"")</f>
        <v/>
      </c>
      <c r="N59" s="53">
        <f>IF($M59="","",$M59-$L59)</f>
        <v/>
      </c>
      <c r="O59" s="49">
        <f>IF(AND($H59&gt;0,$G59&gt;$H59*1.05),"SR &gt; NHT cap","")</f>
        <v/>
      </c>
    </row>
    <row r="60">
      <c r="A60" s="40" t="inlineStr">
        <is>
          <t>HF_ARTESIA</t>
        </is>
      </c>
      <c r="B60" s="28" t="n">
        <v>3</v>
      </c>
      <c r="C60" s="30">
        <f>SUMPRODUCT(('Individual Refineries'!$B$3:$B$1084=$A60)*('Individual Refineries'!$D$3:$D$1084="CDU")*'Individual Refineries'!$F$3:$F$1084)</f>
        <v/>
      </c>
      <c r="D60" s="52">
        <f>SUMPRODUCT(('Individual Refineries'!$B$3:$B$1084=$A60)*('Individual Refineries'!$D$3:$D$1084="CDU")*'Individual Refineries'!$K$3:$K$1084)</f>
        <v/>
      </c>
      <c r="E60" s="30">
        <f>$C60*$D60</f>
        <v/>
      </c>
      <c r="F60" s="33">
        <f>SUMPRODUCT(('Individual Refineries'!$B$3:$B$1084=$A60)*('Individual Refineries'!$D$3:$D$1084="CDU")*'Individual Refineries'!$P$3:$P$1084)</f>
        <v/>
      </c>
      <c r="G60" s="35">
        <f>$E60*$F60</f>
        <v/>
      </c>
      <c r="H60" s="30">
        <f>SUMPRODUCT(('Individual Refineries'!$B$3:$B$1084=$A60)*('Individual Refineries'!$D$3:$D$1084="NHT")*'Individual Refineries'!$F$3:$F$1084)</f>
        <v/>
      </c>
      <c r="I60" s="35">
        <f>SUMPRODUCT(('Individual Refineries'!$B$3:$B$1084=$A60)*('Individual Refineries'!$D$3:$D$1084="REF")*'Individual Refineries'!$F$3:$F$1084)*SUMPRODUCT(('Individual Refineries'!$B$3:$B$1084=$A60)*('Individual Refineries'!$D$3:$D$1084="REF")*'Individual Refineries'!$K$3:$K$1084)+SUMPRODUCT(('Individual Refineries'!$B$3:$B$1084=$A60)*('Individual Refineries'!$D$3:$D$1084="CCR")*'Individual Refineries'!$F$3:$F$1084)*SUMPRODUCT(('Individual Refineries'!$B$3:$B$1084=$A60)*('Individual Refineries'!$D$3:$D$1084="CCR")*'Individual Refineries'!$K$3:$K$1084)</f>
        <v/>
      </c>
      <c r="J60" s="35">
        <f>SUMPRODUCT(('Individual Refineries'!$B$3:$B$1084=$A60)*('Individual Refineries'!$D$3:$D$1084="ISOM")*'Individual Refineries'!$F$3:$F$1084)*SUMPRODUCT(('Individual Refineries'!$B$3:$B$1084=$A60)*('Individual Refineries'!$D$3:$D$1084="ISOM")*'Individual Refineries'!$K$3:$K$1084)</f>
        <v/>
      </c>
      <c r="K60" s="35">
        <f>SUMPRODUCT(('Individual Refineries'!$A$3:$A$1084="TOTAL")*('Individual Refineries'!$B$3:$B$1084=$A60)*'Individual Refineries'!$Q$3:$Q$1084)</f>
        <v/>
      </c>
      <c r="L60" s="34">
        <f>SUMIFS(Data!$N$3:$N$125,Data!$A$3:$A$125,$A60)</f>
        <v/>
      </c>
      <c r="M60" s="34">
        <f>IFERROR($K60/(SUMIFS(Data!$G$3:$G$125,Data!$A$3:$A$125,$A60)*$D60),"")</f>
        <v/>
      </c>
      <c r="N60" s="53">
        <f>IF($M60="","",$M60-$L60)</f>
        <v/>
      </c>
      <c r="O60" s="49">
        <f>IF(AND($H60&gt;0,$G60&gt;$H60*1.05),"SR &gt; NHT cap","")</f>
        <v/>
      </c>
    </row>
    <row r="61">
      <c r="A61" s="40" t="inlineStr">
        <is>
          <t>VALERO_THREE_RIVERS</t>
        </is>
      </c>
      <c r="B61" s="28" t="n">
        <v>3</v>
      </c>
      <c r="C61" s="30">
        <f>SUMPRODUCT(('Individual Refineries'!$B$3:$B$1084=$A61)*('Individual Refineries'!$D$3:$D$1084="CDU")*'Individual Refineries'!$F$3:$F$1084)</f>
        <v/>
      </c>
      <c r="D61" s="52">
        <f>SUMPRODUCT(('Individual Refineries'!$B$3:$B$1084=$A61)*('Individual Refineries'!$D$3:$D$1084="CDU")*'Individual Refineries'!$K$3:$K$1084)</f>
        <v/>
      </c>
      <c r="E61" s="30">
        <f>$C61*$D61</f>
        <v/>
      </c>
      <c r="F61" s="33">
        <f>SUMPRODUCT(('Individual Refineries'!$B$3:$B$1084=$A61)*('Individual Refineries'!$D$3:$D$1084="CDU")*'Individual Refineries'!$P$3:$P$1084)</f>
        <v/>
      </c>
      <c r="G61" s="35">
        <f>$E61*$F61</f>
        <v/>
      </c>
      <c r="H61" s="30">
        <f>SUMPRODUCT(('Individual Refineries'!$B$3:$B$1084=$A61)*('Individual Refineries'!$D$3:$D$1084="NHT")*'Individual Refineries'!$F$3:$F$1084)</f>
        <v/>
      </c>
      <c r="I61" s="35">
        <f>SUMPRODUCT(('Individual Refineries'!$B$3:$B$1084=$A61)*('Individual Refineries'!$D$3:$D$1084="REF")*'Individual Refineries'!$F$3:$F$1084)*SUMPRODUCT(('Individual Refineries'!$B$3:$B$1084=$A61)*('Individual Refineries'!$D$3:$D$1084="REF")*'Individual Refineries'!$K$3:$K$1084)+SUMPRODUCT(('Individual Refineries'!$B$3:$B$1084=$A61)*('Individual Refineries'!$D$3:$D$1084="CCR")*'Individual Refineries'!$F$3:$F$1084)*SUMPRODUCT(('Individual Refineries'!$B$3:$B$1084=$A61)*('Individual Refineries'!$D$3:$D$1084="CCR")*'Individual Refineries'!$K$3:$K$1084)</f>
        <v/>
      </c>
      <c r="J61" s="35">
        <f>SUMPRODUCT(('Individual Refineries'!$B$3:$B$1084=$A61)*('Individual Refineries'!$D$3:$D$1084="ISOM")*'Individual Refineries'!$F$3:$F$1084)*SUMPRODUCT(('Individual Refineries'!$B$3:$B$1084=$A61)*('Individual Refineries'!$D$3:$D$1084="ISOM")*'Individual Refineries'!$K$3:$K$1084)</f>
        <v/>
      </c>
      <c r="K61" s="35">
        <f>SUMPRODUCT(('Individual Refineries'!$A$3:$A$1084="TOTAL")*('Individual Refineries'!$B$3:$B$1084=$A61)*'Individual Refineries'!$Q$3:$Q$1084)</f>
        <v/>
      </c>
      <c r="L61" s="34">
        <f>SUMIFS(Data!$N$3:$N$125,Data!$A$3:$A$125,$A61)</f>
        <v/>
      </c>
      <c r="M61" s="34">
        <f>IFERROR($K61/(SUMIFS(Data!$G$3:$G$125,Data!$A$3:$A$125,$A61)*$D61),"")</f>
        <v/>
      </c>
      <c r="N61" s="53">
        <f>IF($M61="","",$M61-$L61)</f>
        <v/>
      </c>
      <c r="O61" s="49">
        <f>IF(AND($H61&gt;0,$G61&gt;$H61*1.05),"SR &gt; NHT cap","")</f>
        <v/>
      </c>
    </row>
    <row r="62">
      <c r="A62" s="40" t="inlineStr">
        <is>
          <t>VERTEX_MOBILE</t>
        </is>
      </c>
      <c r="B62" s="28" t="n">
        <v>3</v>
      </c>
      <c r="C62" s="30">
        <f>SUMPRODUCT(('Individual Refineries'!$B$3:$B$1084=$A62)*('Individual Refineries'!$D$3:$D$1084="CDU")*'Individual Refineries'!$F$3:$F$1084)</f>
        <v/>
      </c>
      <c r="D62" s="52">
        <f>SUMPRODUCT(('Individual Refineries'!$B$3:$B$1084=$A62)*('Individual Refineries'!$D$3:$D$1084="CDU")*'Individual Refineries'!$K$3:$K$1084)</f>
        <v/>
      </c>
      <c r="E62" s="30">
        <f>$C62*$D62</f>
        <v/>
      </c>
      <c r="F62" s="33">
        <f>SUMPRODUCT(('Individual Refineries'!$B$3:$B$1084=$A62)*('Individual Refineries'!$D$3:$D$1084="CDU")*'Individual Refineries'!$P$3:$P$1084)</f>
        <v/>
      </c>
      <c r="G62" s="35">
        <f>$E62*$F62</f>
        <v/>
      </c>
      <c r="H62" s="30">
        <f>SUMPRODUCT(('Individual Refineries'!$B$3:$B$1084=$A62)*('Individual Refineries'!$D$3:$D$1084="NHT")*'Individual Refineries'!$F$3:$F$1084)</f>
        <v/>
      </c>
      <c r="I62" s="35">
        <f>SUMPRODUCT(('Individual Refineries'!$B$3:$B$1084=$A62)*('Individual Refineries'!$D$3:$D$1084="REF")*'Individual Refineries'!$F$3:$F$1084)*SUMPRODUCT(('Individual Refineries'!$B$3:$B$1084=$A62)*('Individual Refineries'!$D$3:$D$1084="REF")*'Individual Refineries'!$K$3:$K$1084)+SUMPRODUCT(('Individual Refineries'!$B$3:$B$1084=$A62)*('Individual Refineries'!$D$3:$D$1084="CCR")*'Individual Refineries'!$F$3:$F$1084)*SUMPRODUCT(('Individual Refineries'!$B$3:$B$1084=$A62)*('Individual Refineries'!$D$3:$D$1084="CCR")*'Individual Refineries'!$K$3:$K$1084)</f>
        <v/>
      </c>
      <c r="J62" s="35">
        <f>SUMPRODUCT(('Individual Refineries'!$B$3:$B$1084=$A62)*('Individual Refineries'!$D$3:$D$1084="ISOM")*'Individual Refineries'!$F$3:$F$1084)*SUMPRODUCT(('Individual Refineries'!$B$3:$B$1084=$A62)*('Individual Refineries'!$D$3:$D$1084="ISOM")*'Individual Refineries'!$K$3:$K$1084)</f>
        <v/>
      </c>
      <c r="K62" s="35">
        <f>SUMPRODUCT(('Individual Refineries'!$A$3:$A$1084="TOTAL")*('Individual Refineries'!$B$3:$B$1084=$A62)*'Individual Refineries'!$Q$3:$Q$1084)</f>
        <v/>
      </c>
      <c r="L62" s="34">
        <f>SUMIFS(Data!$N$3:$N$125,Data!$A$3:$A$125,$A62)</f>
        <v/>
      </c>
      <c r="M62" s="34">
        <f>IFERROR($K62/(SUMIFS(Data!$G$3:$G$125,Data!$A$3:$A$125,$A62)*$D62),"")</f>
        <v/>
      </c>
      <c r="N62" s="53">
        <f>IF($M62="","",$M62-$L62)</f>
        <v/>
      </c>
      <c r="O62" s="49">
        <f>IF(AND($H62&gt;0,$G62&gt;$H62*1.05),"SR &gt; NHT cap","")</f>
        <v/>
      </c>
    </row>
    <row r="63">
      <c r="A63" s="40" t="inlineStr">
        <is>
          <t>DELEK_EL_DORADO_AR</t>
        </is>
      </c>
      <c r="B63" s="28" t="n">
        <v>3</v>
      </c>
      <c r="C63" s="30">
        <f>SUMPRODUCT(('Individual Refineries'!$B$3:$B$1084=$A63)*('Individual Refineries'!$D$3:$D$1084="CDU")*'Individual Refineries'!$F$3:$F$1084)</f>
        <v/>
      </c>
      <c r="D63" s="52">
        <f>SUMPRODUCT(('Individual Refineries'!$B$3:$B$1084=$A63)*('Individual Refineries'!$D$3:$D$1084="CDU")*'Individual Refineries'!$K$3:$K$1084)</f>
        <v/>
      </c>
      <c r="E63" s="30">
        <f>$C63*$D63</f>
        <v/>
      </c>
      <c r="F63" s="33">
        <f>SUMPRODUCT(('Individual Refineries'!$B$3:$B$1084=$A63)*('Individual Refineries'!$D$3:$D$1084="CDU")*'Individual Refineries'!$P$3:$P$1084)</f>
        <v/>
      </c>
      <c r="G63" s="35">
        <f>$E63*$F63</f>
        <v/>
      </c>
      <c r="H63" s="30">
        <f>SUMPRODUCT(('Individual Refineries'!$B$3:$B$1084=$A63)*('Individual Refineries'!$D$3:$D$1084="NHT")*'Individual Refineries'!$F$3:$F$1084)</f>
        <v/>
      </c>
      <c r="I63" s="35">
        <f>SUMPRODUCT(('Individual Refineries'!$B$3:$B$1084=$A63)*('Individual Refineries'!$D$3:$D$1084="REF")*'Individual Refineries'!$F$3:$F$1084)*SUMPRODUCT(('Individual Refineries'!$B$3:$B$1084=$A63)*('Individual Refineries'!$D$3:$D$1084="REF")*'Individual Refineries'!$K$3:$K$1084)+SUMPRODUCT(('Individual Refineries'!$B$3:$B$1084=$A63)*('Individual Refineries'!$D$3:$D$1084="CCR")*'Individual Refineries'!$F$3:$F$1084)*SUMPRODUCT(('Individual Refineries'!$B$3:$B$1084=$A63)*('Individual Refineries'!$D$3:$D$1084="CCR")*'Individual Refineries'!$K$3:$K$1084)</f>
        <v/>
      </c>
      <c r="J63" s="35">
        <f>SUMPRODUCT(('Individual Refineries'!$B$3:$B$1084=$A63)*('Individual Refineries'!$D$3:$D$1084="ISOM")*'Individual Refineries'!$F$3:$F$1084)*SUMPRODUCT(('Individual Refineries'!$B$3:$B$1084=$A63)*('Individual Refineries'!$D$3:$D$1084="ISOM")*'Individual Refineries'!$K$3:$K$1084)</f>
        <v/>
      </c>
      <c r="K63" s="35">
        <f>SUMPRODUCT(('Individual Refineries'!$A$3:$A$1084="TOTAL")*('Individual Refineries'!$B$3:$B$1084=$A63)*'Individual Refineries'!$Q$3:$Q$1084)</f>
        <v/>
      </c>
      <c r="L63" s="34">
        <f>SUMIFS(Data!$N$3:$N$125,Data!$A$3:$A$125,$A63)</f>
        <v/>
      </c>
      <c r="M63" s="34">
        <f>IFERROR($K63/(SUMIFS(Data!$G$3:$G$125,Data!$A$3:$A$125,$A63)*$D63),"")</f>
        <v/>
      </c>
      <c r="N63" s="53">
        <f>IF($M63="","",$M63-$L63)</f>
        <v/>
      </c>
      <c r="O63" s="49">
        <f>IF(AND($H63&gt;0,$G63&gt;$H63*1.05),"SR &gt; NHT cap","")</f>
        <v/>
      </c>
    </row>
    <row r="64">
      <c r="A64" s="40" t="inlineStr">
        <is>
          <t>DELEK_TYLER</t>
        </is>
      </c>
      <c r="B64" s="28" t="n">
        <v>3</v>
      </c>
      <c r="C64" s="30">
        <f>SUMPRODUCT(('Individual Refineries'!$B$3:$B$1084=$A64)*('Individual Refineries'!$D$3:$D$1084="CDU")*'Individual Refineries'!$F$3:$F$1084)</f>
        <v/>
      </c>
      <c r="D64" s="52">
        <f>SUMPRODUCT(('Individual Refineries'!$B$3:$B$1084=$A64)*('Individual Refineries'!$D$3:$D$1084="CDU")*'Individual Refineries'!$K$3:$K$1084)</f>
        <v/>
      </c>
      <c r="E64" s="30">
        <f>$C64*$D64</f>
        <v/>
      </c>
      <c r="F64" s="33">
        <f>SUMPRODUCT(('Individual Refineries'!$B$3:$B$1084=$A64)*('Individual Refineries'!$D$3:$D$1084="CDU")*'Individual Refineries'!$P$3:$P$1084)</f>
        <v/>
      </c>
      <c r="G64" s="35">
        <f>$E64*$F64</f>
        <v/>
      </c>
      <c r="H64" s="30">
        <f>SUMPRODUCT(('Individual Refineries'!$B$3:$B$1084=$A64)*('Individual Refineries'!$D$3:$D$1084="NHT")*'Individual Refineries'!$F$3:$F$1084)</f>
        <v/>
      </c>
      <c r="I64" s="35">
        <f>SUMPRODUCT(('Individual Refineries'!$B$3:$B$1084=$A64)*('Individual Refineries'!$D$3:$D$1084="REF")*'Individual Refineries'!$F$3:$F$1084)*SUMPRODUCT(('Individual Refineries'!$B$3:$B$1084=$A64)*('Individual Refineries'!$D$3:$D$1084="REF")*'Individual Refineries'!$K$3:$K$1084)+SUMPRODUCT(('Individual Refineries'!$B$3:$B$1084=$A64)*('Individual Refineries'!$D$3:$D$1084="CCR")*'Individual Refineries'!$F$3:$F$1084)*SUMPRODUCT(('Individual Refineries'!$B$3:$B$1084=$A64)*('Individual Refineries'!$D$3:$D$1084="CCR")*'Individual Refineries'!$K$3:$K$1084)</f>
        <v/>
      </c>
      <c r="J64" s="35">
        <f>SUMPRODUCT(('Individual Refineries'!$B$3:$B$1084=$A64)*('Individual Refineries'!$D$3:$D$1084="ISOM")*'Individual Refineries'!$F$3:$F$1084)*SUMPRODUCT(('Individual Refineries'!$B$3:$B$1084=$A64)*('Individual Refineries'!$D$3:$D$1084="ISOM")*'Individual Refineries'!$K$3:$K$1084)</f>
        <v/>
      </c>
      <c r="K64" s="35">
        <f>SUMPRODUCT(('Individual Refineries'!$A$3:$A$1084="TOTAL")*('Individual Refineries'!$B$3:$B$1084=$A64)*'Individual Refineries'!$Q$3:$Q$1084)</f>
        <v/>
      </c>
      <c r="L64" s="34">
        <f>SUMIFS(Data!$N$3:$N$125,Data!$A$3:$A$125,$A64)</f>
        <v/>
      </c>
      <c r="M64" s="34">
        <f>IFERROR($K64/(SUMIFS(Data!$G$3:$G$125,Data!$A$3:$A$125,$A64)*$D64),"")</f>
        <v/>
      </c>
      <c r="N64" s="53">
        <f>IF($M64="","",$M64-$L64)</f>
        <v/>
      </c>
      <c r="O64" s="49">
        <f>IF(AND($H64&gt;0,$G64&gt;$H64*1.05),"SR &gt; NHT cap","")</f>
        <v/>
      </c>
    </row>
    <row r="65">
      <c r="A65" s="40" t="inlineStr">
        <is>
          <t>PLACID_PORT_ALLEN</t>
        </is>
      </c>
      <c r="B65" s="28" t="n">
        <v>3</v>
      </c>
      <c r="C65" s="30">
        <f>SUMPRODUCT(('Individual Refineries'!$B$3:$B$1084=$A65)*('Individual Refineries'!$D$3:$D$1084="CDU")*'Individual Refineries'!$F$3:$F$1084)</f>
        <v/>
      </c>
      <c r="D65" s="52">
        <f>SUMPRODUCT(('Individual Refineries'!$B$3:$B$1084=$A65)*('Individual Refineries'!$D$3:$D$1084="CDU")*'Individual Refineries'!$K$3:$K$1084)</f>
        <v/>
      </c>
      <c r="E65" s="30">
        <f>$C65*$D65</f>
        <v/>
      </c>
      <c r="F65" s="33">
        <f>SUMPRODUCT(('Individual Refineries'!$B$3:$B$1084=$A65)*('Individual Refineries'!$D$3:$D$1084="CDU")*'Individual Refineries'!$P$3:$P$1084)</f>
        <v/>
      </c>
      <c r="G65" s="35">
        <f>$E65*$F65</f>
        <v/>
      </c>
      <c r="H65" s="30">
        <f>SUMPRODUCT(('Individual Refineries'!$B$3:$B$1084=$A65)*('Individual Refineries'!$D$3:$D$1084="NHT")*'Individual Refineries'!$F$3:$F$1084)</f>
        <v/>
      </c>
      <c r="I65" s="35">
        <f>SUMPRODUCT(('Individual Refineries'!$B$3:$B$1084=$A65)*('Individual Refineries'!$D$3:$D$1084="REF")*'Individual Refineries'!$F$3:$F$1084)*SUMPRODUCT(('Individual Refineries'!$B$3:$B$1084=$A65)*('Individual Refineries'!$D$3:$D$1084="REF")*'Individual Refineries'!$K$3:$K$1084)+SUMPRODUCT(('Individual Refineries'!$B$3:$B$1084=$A65)*('Individual Refineries'!$D$3:$D$1084="CCR")*'Individual Refineries'!$F$3:$F$1084)*SUMPRODUCT(('Individual Refineries'!$B$3:$B$1084=$A65)*('Individual Refineries'!$D$3:$D$1084="CCR")*'Individual Refineries'!$K$3:$K$1084)</f>
        <v/>
      </c>
      <c r="J65" s="35">
        <f>SUMPRODUCT(('Individual Refineries'!$B$3:$B$1084=$A65)*('Individual Refineries'!$D$3:$D$1084="ISOM")*'Individual Refineries'!$F$3:$F$1084)*SUMPRODUCT(('Individual Refineries'!$B$3:$B$1084=$A65)*('Individual Refineries'!$D$3:$D$1084="ISOM")*'Individual Refineries'!$K$3:$K$1084)</f>
        <v/>
      </c>
      <c r="K65" s="35">
        <f>SUMPRODUCT(('Individual Refineries'!$A$3:$A$1084="TOTAL")*('Individual Refineries'!$B$3:$B$1084=$A65)*'Individual Refineries'!$Q$3:$Q$1084)</f>
        <v/>
      </c>
      <c r="L65" s="34">
        <f>SUMIFS(Data!$N$3:$N$125,Data!$A$3:$A$125,$A65)</f>
        <v/>
      </c>
      <c r="M65" s="34">
        <f>IFERROR($K65/(SUMIFS(Data!$G$3:$G$125,Data!$A$3:$A$125,$A65)*$D65),"")</f>
        <v/>
      </c>
      <c r="N65" s="53">
        <f>IF($M65="","",$M65-$L65)</f>
        <v/>
      </c>
      <c r="O65" s="49">
        <f>IF(AND($H65&gt;0,$G65&gt;$H65*1.05),"SR &gt; NHT cap","")</f>
        <v/>
      </c>
    </row>
    <row r="66">
      <c r="A66" s="40" t="inlineStr">
        <is>
          <t>DELEK_KROTZ_SPRINGS</t>
        </is>
      </c>
      <c r="B66" s="28" t="n">
        <v>3</v>
      </c>
      <c r="C66" s="30">
        <f>SUMPRODUCT(('Individual Refineries'!$B$3:$B$1084=$A66)*('Individual Refineries'!$D$3:$D$1084="CDU")*'Individual Refineries'!$F$3:$F$1084)</f>
        <v/>
      </c>
      <c r="D66" s="52">
        <f>SUMPRODUCT(('Individual Refineries'!$B$3:$B$1084=$A66)*('Individual Refineries'!$D$3:$D$1084="CDU")*'Individual Refineries'!$K$3:$K$1084)</f>
        <v/>
      </c>
      <c r="E66" s="30">
        <f>$C66*$D66</f>
        <v/>
      </c>
      <c r="F66" s="33">
        <f>SUMPRODUCT(('Individual Refineries'!$B$3:$B$1084=$A66)*('Individual Refineries'!$D$3:$D$1084="CDU")*'Individual Refineries'!$P$3:$P$1084)</f>
        <v/>
      </c>
      <c r="G66" s="35">
        <f>$E66*$F66</f>
        <v/>
      </c>
      <c r="H66" s="30">
        <f>SUMPRODUCT(('Individual Refineries'!$B$3:$B$1084=$A66)*('Individual Refineries'!$D$3:$D$1084="NHT")*'Individual Refineries'!$F$3:$F$1084)</f>
        <v/>
      </c>
      <c r="I66" s="35">
        <f>SUMPRODUCT(('Individual Refineries'!$B$3:$B$1084=$A66)*('Individual Refineries'!$D$3:$D$1084="REF")*'Individual Refineries'!$F$3:$F$1084)*SUMPRODUCT(('Individual Refineries'!$B$3:$B$1084=$A66)*('Individual Refineries'!$D$3:$D$1084="REF")*'Individual Refineries'!$K$3:$K$1084)+SUMPRODUCT(('Individual Refineries'!$B$3:$B$1084=$A66)*('Individual Refineries'!$D$3:$D$1084="CCR")*'Individual Refineries'!$F$3:$F$1084)*SUMPRODUCT(('Individual Refineries'!$B$3:$B$1084=$A66)*('Individual Refineries'!$D$3:$D$1084="CCR")*'Individual Refineries'!$K$3:$K$1084)</f>
        <v/>
      </c>
      <c r="J66" s="35">
        <f>SUMPRODUCT(('Individual Refineries'!$B$3:$B$1084=$A66)*('Individual Refineries'!$D$3:$D$1084="ISOM")*'Individual Refineries'!$F$3:$F$1084)*SUMPRODUCT(('Individual Refineries'!$B$3:$B$1084=$A66)*('Individual Refineries'!$D$3:$D$1084="ISOM")*'Individual Refineries'!$K$3:$K$1084)</f>
        <v/>
      </c>
      <c r="K66" s="35">
        <f>SUMPRODUCT(('Individual Refineries'!$A$3:$A$1084="TOTAL")*('Individual Refineries'!$B$3:$B$1084=$A66)*'Individual Refineries'!$Q$3:$Q$1084)</f>
        <v/>
      </c>
      <c r="L66" s="34">
        <f>SUMIFS(Data!$N$3:$N$125,Data!$A$3:$A$125,$A66)</f>
        <v/>
      </c>
      <c r="M66" s="34">
        <f>IFERROR($K66/(SUMIFS(Data!$G$3:$G$125,Data!$A$3:$A$125,$A66)*$D66),"")</f>
        <v/>
      </c>
      <c r="N66" s="53">
        <f>IF($M66="","",$M66-$L66)</f>
        <v/>
      </c>
      <c r="O66" s="49">
        <f>IF(AND($H66&gt;0,$G66&gt;$H66*1.05),"SR &gt; NHT cap","")</f>
        <v/>
      </c>
    </row>
    <row r="67">
      <c r="A67" s="40" t="inlineStr">
        <is>
          <t>ALON_BIG_SPRINGS</t>
        </is>
      </c>
      <c r="B67" s="28" t="n">
        <v>3</v>
      </c>
      <c r="C67" s="30">
        <f>SUMPRODUCT(('Individual Refineries'!$B$3:$B$1084=$A67)*('Individual Refineries'!$D$3:$D$1084="CDU")*'Individual Refineries'!$F$3:$F$1084)</f>
        <v/>
      </c>
      <c r="D67" s="52">
        <f>SUMPRODUCT(('Individual Refineries'!$B$3:$B$1084=$A67)*('Individual Refineries'!$D$3:$D$1084="CDU")*'Individual Refineries'!$K$3:$K$1084)</f>
        <v/>
      </c>
      <c r="E67" s="30">
        <f>$C67*$D67</f>
        <v/>
      </c>
      <c r="F67" s="33">
        <f>SUMPRODUCT(('Individual Refineries'!$B$3:$B$1084=$A67)*('Individual Refineries'!$D$3:$D$1084="CDU")*'Individual Refineries'!$P$3:$P$1084)</f>
        <v/>
      </c>
      <c r="G67" s="35">
        <f>$E67*$F67</f>
        <v/>
      </c>
      <c r="H67" s="30">
        <f>SUMPRODUCT(('Individual Refineries'!$B$3:$B$1084=$A67)*('Individual Refineries'!$D$3:$D$1084="NHT")*'Individual Refineries'!$F$3:$F$1084)</f>
        <v/>
      </c>
      <c r="I67" s="35">
        <f>SUMPRODUCT(('Individual Refineries'!$B$3:$B$1084=$A67)*('Individual Refineries'!$D$3:$D$1084="REF")*'Individual Refineries'!$F$3:$F$1084)*SUMPRODUCT(('Individual Refineries'!$B$3:$B$1084=$A67)*('Individual Refineries'!$D$3:$D$1084="REF")*'Individual Refineries'!$K$3:$K$1084)+SUMPRODUCT(('Individual Refineries'!$B$3:$B$1084=$A67)*('Individual Refineries'!$D$3:$D$1084="CCR")*'Individual Refineries'!$F$3:$F$1084)*SUMPRODUCT(('Individual Refineries'!$B$3:$B$1084=$A67)*('Individual Refineries'!$D$3:$D$1084="CCR")*'Individual Refineries'!$K$3:$K$1084)</f>
        <v/>
      </c>
      <c r="J67" s="35">
        <f>SUMPRODUCT(('Individual Refineries'!$B$3:$B$1084=$A67)*('Individual Refineries'!$D$3:$D$1084="ISOM")*'Individual Refineries'!$F$3:$F$1084)*SUMPRODUCT(('Individual Refineries'!$B$3:$B$1084=$A67)*('Individual Refineries'!$D$3:$D$1084="ISOM")*'Individual Refineries'!$K$3:$K$1084)</f>
        <v/>
      </c>
      <c r="K67" s="35">
        <f>SUMPRODUCT(('Individual Refineries'!$A$3:$A$1084="TOTAL")*('Individual Refineries'!$B$3:$B$1084=$A67)*'Individual Refineries'!$Q$3:$Q$1084)</f>
        <v/>
      </c>
      <c r="L67" s="34">
        <f>SUMIFS(Data!$N$3:$N$125,Data!$A$3:$A$125,$A67)</f>
        <v/>
      </c>
      <c r="M67" s="34">
        <f>IFERROR($K67/(SUMIFS(Data!$G$3:$G$125,Data!$A$3:$A$125,$A67)*$D67),"")</f>
        <v/>
      </c>
      <c r="N67" s="53">
        <f>IF($M67="","",$M67-$L67)</f>
        <v/>
      </c>
      <c r="O67" s="49">
        <f>IF(AND($H67&gt;0,$G67&gt;$H67*1.05),"SR &gt; NHT cap","")</f>
        <v/>
      </c>
    </row>
    <row r="68">
      <c r="A68" s="40" t="inlineStr">
        <is>
          <t>BUCKEYE_CORPUS_CHRISTI</t>
        </is>
      </c>
      <c r="B68" s="28" t="n">
        <v>3</v>
      </c>
      <c r="C68" s="30">
        <f>SUMPRODUCT(('Individual Refineries'!$B$3:$B$1084=$A68)*('Individual Refineries'!$D$3:$D$1084="CDU")*'Individual Refineries'!$F$3:$F$1084)</f>
        <v/>
      </c>
      <c r="D68" s="52">
        <f>SUMPRODUCT(('Individual Refineries'!$B$3:$B$1084=$A68)*('Individual Refineries'!$D$3:$D$1084="CDU")*'Individual Refineries'!$K$3:$K$1084)</f>
        <v/>
      </c>
      <c r="E68" s="30">
        <f>$C68*$D68</f>
        <v/>
      </c>
      <c r="F68" s="33">
        <f>SUMPRODUCT(('Individual Refineries'!$B$3:$B$1084=$A68)*('Individual Refineries'!$D$3:$D$1084="CDU")*'Individual Refineries'!$P$3:$P$1084)</f>
        <v/>
      </c>
      <c r="G68" s="35">
        <f>$E68*$F68</f>
        <v/>
      </c>
      <c r="H68" s="30">
        <f>SUMPRODUCT(('Individual Refineries'!$B$3:$B$1084=$A68)*('Individual Refineries'!$D$3:$D$1084="NHT")*'Individual Refineries'!$F$3:$F$1084)</f>
        <v/>
      </c>
      <c r="I68" s="35">
        <f>SUMPRODUCT(('Individual Refineries'!$B$3:$B$1084=$A68)*('Individual Refineries'!$D$3:$D$1084="REF")*'Individual Refineries'!$F$3:$F$1084)*SUMPRODUCT(('Individual Refineries'!$B$3:$B$1084=$A68)*('Individual Refineries'!$D$3:$D$1084="REF")*'Individual Refineries'!$K$3:$K$1084)+SUMPRODUCT(('Individual Refineries'!$B$3:$B$1084=$A68)*('Individual Refineries'!$D$3:$D$1084="CCR")*'Individual Refineries'!$F$3:$F$1084)*SUMPRODUCT(('Individual Refineries'!$B$3:$B$1084=$A68)*('Individual Refineries'!$D$3:$D$1084="CCR")*'Individual Refineries'!$K$3:$K$1084)</f>
        <v/>
      </c>
      <c r="J68" s="35">
        <f>SUMPRODUCT(('Individual Refineries'!$B$3:$B$1084=$A68)*('Individual Refineries'!$D$3:$D$1084="ISOM")*'Individual Refineries'!$F$3:$F$1084)*SUMPRODUCT(('Individual Refineries'!$B$3:$B$1084=$A68)*('Individual Refineries'!$D$3:$D$1084="ISOM")*'Individual Refineries'!$K$3:$K$1084)</f>
        <v/>
      </c>
      <c r="K68" s="35">
        <f>SUMPRODUCT(('Individual Refineries'!$A$3:$A$1084="TOTAL")*('Individual Refineries'!$B$3:$B$1084=$A68)*'Individual Refineries'!$Q$3:$Q$1084)</f>
        <v/>
      </c>
      <c r="L68" s="34">
        <f>SUMIFS(Data!$N$3:$N$125,Data!$A$3:$A$125,$A68)</f>
        <v/>
      </c>
      <c r="M68" s="34">
        <f>IFERROR($K68/(SUMIFS(Data!$G$3:$G$125,Data!$A$3:$A$125,$A68)*$D68),"")</f>
        <v/>
      </c>
      <c r="N68" s="53">
        <f>IF($M68="","",$M68-$L68)</f>
        <v/>
      </c>
      <c r="O68" s="49">
        <f>IF(AND($H68&gt;0,$G68&gt;$H68*1.05),"SR &gt; NHT cap","")</f>
        <v/>
      </c>
    </row>
    <row r="69">
      <c r="A69" s="40" t="inlineStr">
        <is>
          <t>CALUMET_SHREVEPORT</t>
        </is>
      </c>
      <c r="B69" s="28" t="n">
        <v>3</v>
      </c>
      <c r="C69" s="30">
        <f>SUMPRODUCT(('Individual Refineries'!$B$3:$B$1084=$A69)*('Individual Refineries'!$D$3:$D$1084="CDU")*'Individual Refineries'!$F$3:$F$1084)</f>
        <v/>
      </c>
      <c r="D69" s="52">
        <f>SUMPRODUCT(('Individual Refineries'!$B$3:$B$1084=$A69)*('Individual Refineries'!$D$3:$D$1084="CDU")*'Individual Refineries'!$K$3:$K$1084)</f>
        <v/>
      </c>
      <c r="E69" s="30">
        <f>$C69*$D69</f>
        <v/>
      </c>
      <c r="F69" s="33">
        <f>SUMPRODUCT(('Individual Refineries'!$B$3:$B$1084=$A69)*('Individual Refineries'!$D$3:$D$1084="CDU")*'Individual Refineries'!$P$3:$P$1084)</f>
        <v/>
      </c>
      <c r="G69" s="35">
        <f>$E69*$F69</f>
        <v/>
      </c>
      <c r="H69" s="30">
        <f>SUMPRODUCT(('Individual Refineries'!$B$3:$B$1084=$A69)*('Individual Refineries'!$D$3:$D$1084="NHT")*'Individual Refineries'!$F$3:$F$1084)</f>
        <v/>
      </c>
      <c r="I69" s="35">
        <f>SUMPRODUCT(('Individual Refineries'!$B$3:$B$1084=$A69)*('Individual Refineries'!$D$3:$D$1084="REF")*'Individual Refineries'!$F$3:$F$1084)*SUMPRODUCT(('Individual Refineries'!$B$3:$B$1084=$A69)*('Individual Refineries'!$D$3:$D$1084="REF")*'Individual Refineries'!$K$3:$K$1084)+SUMPRODUCT(('Individual Refineries'!$B$3:$B$1084=$A69)*('Individual Refineries'!$D$3:$D$1084="CCR")*'Individual Refineries'!$F$3:$F$1084)*SUMPRODUCT(('Individual Refineries'!$B$3:$B$1084=$A69)*('Individual Refineries'!$D$3:$D$1084="CCR")*'Individual Refineries'!$K$3:$K$1084)</f>
        <v/>
      </c>
      <c r="J69" s="35">
        <f>SUMPRODUCT(('Individual Refineries'!$B$3:$B$1084=$A69)*('Individual Refineries'!$D$3:$D$1084="ISOM")*'Individual Refineries'!$F$3:$F$1084)*SUMPRODUCT(('Individual Refineries'!$B$3:$B$1084=$A69)*('Individual Refineries'!$D$3:$D$1084="ISOM")*'Individual Refineries'!$K$3:$K$1084)</f>
        <v/>
      </c>
      <c r="K69" s="35">
        <f>SUMPRODUCT(('Individual Refineries'!$A$3:$A$1084="TOTAL")*('Individual Refineries'!$B$3:$B$1084=$A69)*'Individual Refineries'!$Q$3:$Q$1084)</f>
        <v/>
      </c>
      <c r="L69" s="34">
        <f>SUMIFS(Data!$N$3:$N$125,Data!$A$3:$A$125,$A69)</f>
        <v/>
      </c>
      <c r="M69" s="34">
        <f>IFERROR($K69/(SUMIFS(Data!$G$3:$G$125,Data!$A$3:$A$125,$A69)*$D69),"")</f>
        <v/>
      </c>
      <c r="N69" s="53">
        <f>IF($M69="","",$M69-$L69)</f>
        <v/>
      </c>
      <c r="O69" s="49">
        <f>IF(AND($H69&gt;0,$G69&gt;$H69*1.05),"SR &gt; NHT cap","")</f>
        <v/>
      </c>
    </row>
    <row r="70">
      <c r="A70" s="40" t="inlineStr">
        <is>
          <t>HUNT_TUSCALOOSA</t>
        </is>
      </c>
      <c r="B70" s="28" t="n">
        <v>3</v>
      </c>
      <c r="C70" s="30">
        <f>SUMPRODUCT(('Individual Refineries'!$B$3:$B$1084=$A70)*('Individual Refineries'!$D$3:$D$1084="CDU")*'Individual Refineries'!$F$3:$F$1084)</f>
        <v/>
      </c>
      <c r="D70" s="52">
        <f>SUMPRODUCT(('Individual Refineries'!$B$3:$B$1084=$A70)*('Individual Refineries'!$D$3:$D$1084="CDU")*'Individual Refineries'!$K$3:$K$1084)</f>
        <v/>
      </c>
      <c r="E70" s="30">
        <f>$C70*$D70</f>
        <v/>
      </c>
      <c r="F70" s="33">
        <f>SUMPRODUCT(('Individual Refineries'!$B$3:$B$1084=$A70)*('Individual Refineries'!$D$3:$D$1084="CDU")*'Individual Refineries'!$P$3:$P$1084)</f>
        <v/>
      </c>
      <c r="G70" s="35">
        <f>$E70*$F70</f>
        <v/>
      </c>
      <c r="H70" s="30">
        <f>SUMPRODUCT(('Individual Refineries'!$B$3:$B$1084=$A70)*('Individual Refineries'!$D$3:$D$1084="NHT")*'Individual Refineries'!$F$3:$F$1084)</f>
        <v/>
      </c>
      <c r="I70" s="35">
        <f>SUMPRODUCT(('Individual Refineries'!$B$3:$B$1084=$A70)*('Individual Refineries'!$D$3:$D$1084="REF")*'Individual Refineries'!$F$3:$F$1084)*SUMPRODUCT(('Individual Refineries'!$B$3:$B$1084=$A70)*('Individual Refineries'!$D$3:$D$1084="REF")*'Individual Refineries'!$K$3:$K$1084)+SUMPRODUCT(('Individual Refineries'!$B$3:$B$1084=$A70)*('Individual Refineries'!$D$3:$D$1084="CCR")*'Individual Refineries'!$F$3:$F$1084)*SUMPRODUCT(('Individual Refineries'!$B$3:$B$1084=$A70)*('Individual Refineries'!$D$3:$D$1084="CCR")*'Individual Refineries'!$K$3:$K$1084)</f>
        <v/>
      </c>
      <c r="J70" s="35">
        <f>SUMPRODUCT(('Individual Refineries'!$B$3:$B$1084=$A70)*('Individual Refineries'!$D$3:$D$1084="ISOM")*'Individual Refineries'!$F$3:$F$1084)*SUMPRODUCT(('Individual Refineries'!$B$3:$B$1084=$A70)*('Individual Refineries'!$D$3:$D$1084="ISOM")*'Individual Refineries'!$K$3:$K$1084)</f>
        <v/>
      </c>
      <c r="K70" s="35">
        <f>SUMPRODUCT(('Individual Refineries'!$A$3:$A$1084="TOTAL")*('Individual Refineries'!$B$3:$B$1084=$A70)*'Individual Refineries'!$Q$3:$Q$1084)</f>
        <v/>
      </c>
      <c r="L70" s="34">
        <f>SUMIFS(Data!$N$3:$N$125,Data!$A$3:$A$125,$A70)</f>
        <v/>
      </c>
      <c r="M70" s="34">
        <f>IFERROR($K70/(SUMIFS(Data!$G$3:$G$125,Data!$A$3:$A$125,$A70)*$D70),"")</f>
        <v/>
      </c>
      <c r="N70" s="53">
        <f>IF($M70="","",$M70-$L70)</f>
        <v/>
      </c>
      <c r="O70" s="49">
        <f>IF(AND($H70&gt;0,$G70&gt;$H70*1.05),"SR &gt; NHT cap","")</f>
        <v/>
      </c>
    </row>
    <row r="71">
      <c r="A71" s="40" t="inlineStr">
        <is>
          <t>ERGON_VICKSBURG</t>
        </is>
      </c>
      <c r="B71" s="28" t="n">
        <v>3</v>
      </c>
      <c r="C71" s="30">
        <f>SUMPRODUCT(('Individual Refineries'!$B$3:$B$1084=$A71)*('Individual Refineries'!$D$3:$D$1084="CDU")*'Individual Refineries'!$F$3:$F$1084)</f>
        <v/>
      </c>
      <c r="D71" s="52">
        <f>SUMPRODUCT(('Individual Refineries'!$B$3:$B$1084=$A71)*('Individual Refineries'!$D$3:$D$1084="CDU")*'Individual Refineries'!$K$3:$K$1084)</f>
        <v/>
      </c>
      <c r="E71" s="30">
        <f>$C71*$D71</f>
        <v/>
      </c>
      <c r="F71" s="33">
        <f>SUMPRODUCT(('Individual Refineries'!$B$3:$B$1084=$A71)*('Individual Refineries'!$D$3:$D$1084="CDU")*'Individual Refineries'!$P$3:$P$1084)</f>
        <v/>
      </c>
      <c r="G71" s="35">
        <f>$E71*$F71</f>
        <v/>
      </c>
      <c r="H71" s="30">
        <f>SUMPRODUCT(('Individual Refineries'!$B$3:$B$1084=$A71)*('Individual Refineries'!$D$3:$D$1084="NHT")*'Individual Refineries'!$F$3:$F$1084)</f>
        <v/>
      </c>
      <c r="I71" s="35">
        <f>SUMPRODUCT(('Individual Refineries'!$B$3:$B$1084=$A71)*('Individual Refineries'!$D$3:$D$1084="REF")*'Individual Refineries'!$F$3:$F$1084)*SUMPRODUCT(('Individual Refineries'!$B$3:$B$1084=$A71)*('Individual Refineries'!$D$3:$D$1084="REF")*'Individual Refineries'!$K$3:$K$1084)+SUMPRODUCT(('Individual Refineries'!$B$3:$B$1084=$A71)*('Individual Refineries'!$D$3:$D$1084="CCR")*'Individual Refineries'!$F$3:$F$1084)*SUMPRODUCT(('Individual Refineries'!$B$3:$B$1084=$A71)*('Individual Refineries'!$D$3:$D$1084="CCR")*'Individual Refineries'!$K$3:$K$1084)</f>
        <v/>
      </c>
      <c r="J71" s="35">
        <f>SUMPRODUCT(('Individual Refineries'!$B$3:$B$1084=$A71)*('Individual Refineries'!$D$3:$D$1084="ISOM")*'Individual Refineries'!$F$3:$F$1084)*SUMPRODUCT(('Individual Refineries'!$B$3:$B$1084=$A71)*('Individual Refineries'!$D$3:$D$1084="ISOM")*'Individual Refineries'!$K$3:$K$1084)</f>
        <v/>
      </c>
      <c r="K71" s="35">
        <f>SUMPRODUCT(('Individual Refineries'!$A$3:$A$1084="TOTAL")*('Individual Refineries'!$B$3:$B$1084=$A71)*'Individual Refineries'!$Q$3:$Q$1084)</f>
        <v/>
      </c>
      <c r="L71" s="34">
        <f>SUMIFS(Data!$N$3:$N$125,Data!$A$3:$A$125,$A71)</f>
        <v/>
      </c>
      <c r="M71" s="34">
        <f>IFERROR($K71/(SUMIFS(Data!$G$3:$G$125,Data!$A$3:$A$125,$A71)*$D71),"")</f>
        <v/>
      </c>
      <c r="N71" s="53">
        <f>IF($M71="","",$M71-$L71)</f>
        <v/>
      </c>
      <c r="O71" s="49">
        <f>IF(AND($H71&gt;0,$G71&gt;$H71*1.05),"SR &gt; NHT cap","")</f>
        <v/>
      </c>
    </row>
    <row r="72">
      <c r="A72" s="40" t="inlineStr">
        <is>
          <t>LAZARUS_SAN_ANTONIO</t>
        </is>
      </c>
      <c r="B72" s="28" t="n">
        <v>3</v>
      </c>
      <c r="C72" s="30">
        <f>SUMPRODUCT(('Individual Refineries'!$B$3:$B$1084=$A72)*('Individual Refineries'!$D$3:$D$1084="CDU")*'Individual Refineries'!$F$3:$F$1084)</f>
        <v/>
      </c>
      <c r="D72" s="52">
        <f>SUMPRODUCT(('Individual Refineries'!$B$3:$B$1084=$A72)*('Individual Refineries'!$D$3:$D$1084="CDU")*'Individual Refineries'!$K$3:$K$1084)</f>
        <v/>
      </c>
      <c r="E72" s="30">
        <f>$C72*$D72</f>
        <v/>
      </c>
      <c r="F72" s="33">
        <f>SUMPRODUCT(('Individual Refineries'!$B$3:$B$1084=$A72)*('Individual Refineries'!$D$3:$D$1084="CDU")*'Individual Refineries'!$P$3:$P$1084)</f>
        <v/>
      </c>
      <c r="G72" s="35">
        <f>$E72*$F72</f>
        <v/>
      </c>
      <c r="H72" s="30">
        <f>SUMPRODUCT(('Individual Refineries'!$B$3:$B$1084=$A72)*('Individual Refineries'!$D$3:$D$1084="NHT")*'Individual Refineries'!$F$3:$F$1084)</f>
        <v/>
      </c>
      <c r="I72" s="35">
        <f>SUMPRODUCT(('Individual Refineries'!$B$3:$B$1084=$A72)*('Individual Refineries'!$D$3:$D$1084="REF")*'Individual Refineries'!$F$3:$F$1084)*SUMPRODUCT(('Individual Refineries'!$B$3:$B$1084=$A72)*('Individual Refineries'!$D$3:$D$1084="REF")*'Individual Refineries'!$K$3:$K$1084)+SUMPRODUCT(('Individual Refineries'!$B$3:$B$1084=$A72)*('Individual Refineries'!$D$3:$D$1084="CCR")*'Individual Refineries'!$F$3:$F$1084)*SUMPRODUCT(('Individual Refineries'!$B$3:$B$1084=$A72)*('Individual Refineries'!$D$3:$D$1084="CCR")*'Individual Refineries'!$K$3:$K$1084)</f>
        <v/>
      </c>
      <c r="J72" s="35">
        <f>SUMPRODUCT(('Individual Refineries'!$B$3:$B$1084=$A72)*('Individual Refineries'!$D$3:$D$1084="ISOM")*'Individual Refineries'!$F$3:$F$1084)*SUMPRODUCT(('Individual Refineries'!$B$3:$B$1084=$A72)*('Individual Refineries'!$D$3:$D$1084="ISOM")*'Individual Refineries'!$K$3:$K$1084)</f>
        <v/>
      </c>
      <c r="K72" s="35">
        <f>SUMPRODUCT(('Individual Refineries'!$A$3:$A$1084="TOTAL")*('Individual Refineries'!$B$3:$B$1084=$A72)*'Individual Refineries'!$Q$3:$Q$1084)</f>
        <v/>
      </c>
      <c r="L72" s="34">
        <f>SUMIFS(Data!$N$3:$N$125,Data!$A$3:$A$125,$A72)</f>
        <v/>
      </c>
      <c r="M72" s="34">
        <f>IFERROR($K72/(SUMIFS(Data!$G$3:$G$125,Data!$A$3:$A$125,$A72)*$D72),"")</f>
        <v/>
      </c>
      <c r="N72" s="53">
        <f>IF($M72="","",$M72-$L72)</f>
        <v/>
      </c>
      <c r="O72" s="49">
        <f>IF(AND($H72&gt;0,$G72&gt;$H72*1.05),"SR &gt; NHT cap","")</f>
        <v/>
      </c>
    </row>
    <row r="73">
      <c r="A73" s="40" t="inlineStr">
        <is>
          <t>BLUE_NIXON</t>
        </is>
      </c>
      <c r="B73" s="28" t="n">
        <v>3</v>
      </c>
      <c r="C73" s="30">
        <f>SUMPRODUCT(('Individual Refineries'!$B$3:$B$1084=$A73)*('Individual Refineries'!$D$3:$D$1084="CDU")*'Individual Refineries'!$F$3:$F$1084)</f>
        <v/>
      </c>
      <c r="D73" s="52">
        <f>SUMPRODUCT(('Individual Refineries'!$B$3:$B$1084=$A73)*('Individual Refineries'!$D$3:$D$1084="CDU")*'Individual Refineries'!$K$3:$K$1084)</f>
        <v/>
      </c>
      <c r="E73" s="30">
        <f>$C73*$D73</f>
        <v/>
      </c>
      <c r="F73" s="33">
        <f>SUMPRODUCT(('Individual Refineries'!$B$3:$B$1084=$A73)*('Individual Refineries'!$D$3:$D$1084="CDU")*'Individual Refineries'!$P$3:$P$1084)</f>
        <v/>
      </c>
      <c r="G73" s="35">
        <f>$E73*$F73</f>
        <v/>
      </c>
      <c r="H73" s="30">
        <f>SUMPRODUCT(('Individual Refineries'!$B$3:$B$1084=$A73)*('Individual Refineries'!$D$3:$D$1084="NHT")*'Individual Refineries'!$F$3:$F$1084)</f>
        <v/>
      </c>
      <c r="I73" s="35">
        <f>SUMPRODUCT(('Individual Refineries'!$B$3:$B$1084=$A73)*('Individual Refineries'!$D$3:$D$1084="REF")*'Individual Refineries'!$F$3:$F$1084)*SUMPRODUCT(('Individual Refineries'!$B$3:$B$1084=$A73)*('Individual Refineries'!$D$3:$D$1084="REF")*'Individual Refineries'!$K$3:$K$1084)+SUMPRODUCT(('Individual Refineries'!$B$3:$B$1084=$A73)*('Individual Refineries'!$D$3:$D$1084="CCR")*'Individual Refineries'!$F$3:$F$1084)*SUMPRODUCT(('Individual Refineries'!$B$3:$B$1084=$A73)*('Individual Refineries'!$D$3:$D$1084="CCR")*'Individual Refineries'!$K$3:$K$1084)</f>
        <v/>
      </c>
      <c r="J73" s="35">
        <f>SUMPRODUCT(('Individual Refineries'!$B$3:$B$1084=$A73)*('Individual Refineries'!$D$3:$D$1084="ISOM")*'Individual Refineries'!$F$3:$F$1084)*SUMPRODUCT(('Individual Refineries'!$B$3:$B$1084=$A73)*('Individual Refineries'!$D$3:$D$1084="ISOM")*'Individual Refineries'!$K$3:$K$1084)</f>
        <v/>
      </c>
      <c r="K73" s="35">
        <f>SUMPRODUCT(('Individual Refineries'!$A$3:$A$1084="TOTAL")*('Individual Refineries'!$B$3:$B$1084=$A73)*'Individual Refineries'!$Q$3:$Q$1084)</f>
        <v/>
      </c>
      <c r="L73" s="34">
        <f>SUMIFS(Data!$N$3:$N$125,Data!$A$3:$A$125,$A73)</f>
        <v/>
      </c>
      <c r="M73" s="34">
        <f>IFERROR($K73/(SUMIFS(Data!$G$3:$G$125,Data!$A$3:$A$125,$A73)*$D73),"")</f>
        <v/>
      </c>
      <c r="N73" s="53">
        <f>IF($M73="","",$M73-$L73)</f>
        <v/>
      </c>
      <c r="O73" s="49">
        <f>IF(AND($H73&gt;0,$G73&gt;$H73*1.05),"SR &gt; NHT cap","")</f>
        <v/>
      </c>
    </row>
    <row r="74">
      <c r="A74" s="40" t="inlineStr">
        <is>
          <t>CALUMET_COTTON_VALLEY</t>
        </is>
      </c>
      <c r="B74" s="28" t="n">
        <v>3</v>
      </c>
      <c r="C74" s="30">
        <f>SUMPRODUCT(('Individual Refineries'!$B$3:$B$1084=$A74)*('Individual Refineries'!$D$3:$D$1084="CDU")*'Individual Refineries'!$F$3:$F$1084)</f>
        <v/>
      </c>
      <c r="D74" s="52">
        <f>SUMPRODUCT(('Individual Refineries'!$B$3:$B$1084=$A74)*('Individual Refineries'!$D$3:$D$1084="CDU")*'Individual Refineries'!$K$3:$K$1084)</f>
        <v/>
      </c>
      <c r="E74" s="30">
        <f>$C74*$D74</f>
        <v/>
      </c>
      <c r="F74" s="33">
        <f>SUMPRODUCT(('Individual Refineries'!$B$3:$B$1084=$A74)*('Individual Refineries'!$D$3:$D$1084="CDU")*'Individual Refineries'!$P$3:$P$1084)</f>
        <v/>
      </c>
      <c r="G74" s="35">
        <f>$E74*$F74</f>
        <v/>
      </c>
      <c r="H74" s="30">
        <f>SUMPRODUCT(('Individual Refineries'!$B$3:$B$1084=$A74)*('Individual Refineries'!$D$3:$D$1084="NHT")*'Individual Refineries'!$F$3:$F$1084)</f>
        <v/>
      </c>
      <c r="I74" s="35">
        <f>SUMPRODUCT(('Individual Refineries'!$B$3:$B$1084=$A74)*('Individual Refineries'!$D$3:$D$1084="REF")*'Individual Refineries'!$F$3:$F$1084)*SUMPRODUCT(('Individual Refineries'!$B$3:$B$1084=$A74)*('Individual Refineries'!$D$3:$D$1084="REF")*'Individual Refineries'!$K$3:$K$1084)+SUMPRODUCT(('Individual Refineries'!$B$3:$B$1084=$A74)*('Individual Refineries'!$D$3:$D$1084="CCR")*'Individual Refineries'!$F$3:$F$1084)*SUMPRODUCT(('Individual Refineries'!$B$3:$B$1084=$A74)*('Individual Refineries'!$D$3:$D$1084="CCR")*'Individual Refineries'!$K$3:$K$1084)</f>
        <v/>
      </c>
      <c r="J74" s="35">
        <f>SUMPRODUCT(('Individual Refineries'!$B$3:$B$1084=$A74)*('Individual Refineries'!$D$3:$D$1084="ISOM")*'Individual Refineries'!$F$3:$F$1084)*SUMPRODUCT(('Individual Refineries'!$B$3:$B$1084=$A74)*('Individual Refineries'!$D$3:$D$1084="ISOM")*'Individual Refineries'!$K$3:$K$1084)</f>
        <v/>
      </c>
      <c r="K74" s="35">
        <f>SUMPRODUCT(('Individual Refineries'!$A$3:$A$1084="TOTAL")*('Individual Refineries'!$B$3:$B$1084=$A74)*'Individual Refineries'!$Q$3:$Q$1084)</f>
        <v/>
      </c>
      <c r="L74" s="34">
        <f>SUMIFS(Data!$N$3:$N$125,Data!$A$3:$A$125,$A74)</f>
        <v/>
      </c>
      <c r="M74" s="34">
        <f>IFERROR($K74/(SUMIFS(Data!$G$3:$G$125,Data!$A$3:$A$125,$A74)*$D74),"")</f>
        <v/>
      </c>
      <c r="N74" s="53">
        <f>IF($M74="","",$M74-$L74)</f>
        <v/>
      </c>
      <c r="O74" s="49">
        <f>IF(AND($H74&gt;0,$G74&gt;$H74*1.05),"SR &gt; NHT cap","")</f>
        <v/>
      </c>
    </row>
    <row r="75">
      <c r="A75" s="40" t="inlineStr">
        <is>
          <t>HUNT_SANDERSVILLE</t>
        </is>
      </c>
      <c r="B75" s="28" t="n">
        <v>3</v>
      </c>
      <c r="C75" s="30">
        <f>SUMPRODUCT(('Individual Refineries'!$B$3:$B$1084=$A75)*('Individual Refineries'!$D$3:$D$1084="CDU")*'Individual Refineries'!$F$3:$F$1084)</f>
        <v/>
      </c>
      <c r="D75" s="52">
        <f>SUMPRODUCT(('Individual Refineries'!$B$3:$B$1084=$A75)*('Individual Refineries'!$D$3:$D$1084="CDU")*'Individual Refineries'!$K$3:$K$1084)</f>
        <v/>
      </c>
      <c r="E75" s="30">
        <f>$C75*$D75</f>
        <v/>
      </c>
      <c r="F75" s="33">
        <f>SUMPRODUCT(('Individual Refineries'!$B$3:$B$1084=$A75)*('Individual Refineries'!$D$3:$D$1084="CDU")*'Individual Refineries'!$P$3:$P$1084)</f>
        <v/>
      </c>
      <c r="G75" s="35">
        <f>$E75*$F75</f>
        <v/>
      </c>
      <c r="H75" s="30">
        <f>SUMPRODUCT(('Individual Refineries'!$B$3:$B$1084=$A75)*('Individual Refineries'!$D$3:$D$1084="NHT")*'Individual Refineries'!$F$3:$F$1084)</f>
        <v/>
      </c>
      <c r="I75" s="35">
        <f>SUMPRODUCT(('Individual Refineries'!$B$3:$B$1084=$A75)*('Individual Refineries'!$D$3:$D$1084="REF")*'Individual Refineries'!$F$3:$F$1084)*SUMPRODUCT(('Individual Refineries'!$B$3:$B$1084=$A75)*('Individual Refineries'!$D$3:$D$1084="REF")*'Individual Refineries'!$K$3:$K$1084)+SUMPRODUCT(('Individual Refineries'!$B$3:$B$1084=$A75)*('Individual Refineries'!$D$3:$D$1084="CCR")*'Individual Refineries'!$F$3:$F$1084)*SUMPRODUCT(('Individual Refineries'!$B$3:$B$1084=$A75)*('Individual Refineries'!$D$3:$D$1084="CCR")*'Individual Refineries'!$K$3:$K$1084)</f>
        <v/>
      </c>
      <c r="J75" s="35">
        <f>SUMPRODUCT(('Individual Refineries'!$B$3:$B$1084=$A75)*('Individual Refineries'!$D$3:$D$1084="ISOM")*'Individual Refineries'!$F$3:$F$1084)*SUMPRODUCT(('Individual Refineries'!$B$3:$B$1084=$A75)*('Individual Refineries'!$D$3:$D$1084="ISOM")*'Individual Refineries'!$K$3:$K$1084)</f>
        <v/>
      </c>
      <c r="K75" s="35">
        <f>SUMPRODUCT(('Individual Refineries'!$A$3:$A$1084="TOTAL")*('Individual Refineries'!$B$3:$B$1084=$A75)*'Individual Refineries'!$Q$3:$Q$1084)</f>
        <v/>
      </c>
      <c r="L75" s="34">
        <f>SUMIFS(Data!$N$3:$N$125,Data!$A$3:$A$125,$A75)</f>
        <v/>
      </c>
      <c r="M75" s="34">
        <f>IFERROR($K75/(SUMIFS(Data!$G$3:$G$125,Data!$A$3:$A$125,$A75)*$D75),"")</f>
        <v/>
      </c>
      <c r="N75" s="53">
        <f>IF($M75="","",$M75-$L75)</f>
        <v/>
      </c>
      <c r="O75" s="49">
        <f>IF(AND($H75&gt;0,$G75&gt;$H75*1.05),"SR &gt; NHT cap","")</f>
        <v/>
      </c>
    </row>
    <row r="76">
      <c r="A76" s="40" t="inlineStr">
        <is>
          <t>CALUMET_PRINCETON</t>
        </is>
      </c>
      <c r="B76" s="28" t="n">
        <v>3</v>
      </c>
      <c r="C76" s="30">
        <f>SUMPRODUCT(('Individual Refineries'!$B$3:$B$1084=$A76)*('Individual Refineries'!$D$3:$D$1084="CDU")*'Individual Refineries'!$F$3:$F$1084)</f>
        <v/>
      </c>
      <c r="D76" s="52">
        <f>SUMPRODUCT(('Individual Refineries'!$B$3:$B$1084=$A76)*('Individual Refineries'!$D$3:$D$1084="CDU")*'Individual Refineries'!$K$3:$K$1084)</f>
        <v/>
      </c>
      <c r="E76" s="30">
        <f>$C76*$D76</f>
        <v/>
      </c>
      <c r="F76" s="33">
        <f>SUMPRODUCT(('Individual Refineries'!$B$3:$B$1084=$A76)*('Individual Refineries'!$D$3:$D$1084="CDU")*'Individual Refineries'!$P$3:$P$1084)</f>
        <v/>
      </c>
      <c r="G76" s="35">
        <f>$E76*$F76</f>
        <v/>
      </c>
      <c r="H76" s="30">
        <f>SUMPRODUCT(('Individual Refineries'!$B$3:$B$1084=$A76)*('Individual Refineries'!$D$3:$D$1084="NHT")*'Individual Refineries'!$F$3:$F$1084)</f>
        <v/>
      </c>
      <c r="I76" s="35">
        <f>SUMPRODUCT(('Individual Refineries'!$B$3:$B$1084=$A76)*('Individual Refineries'!$D$3:$D$1084="REF")*'Individual Refineries'!$F$3:$F$1084)*SUMPRODUCT(('Individual Refineries'!$B$3:$B$1084=$A76)*('Individual Refineries'!$D$3:$D$1084="REF")*'Individual Refineries'!$K$3:$K$1084)+SUMPRODUCT(('Individual Refineries'!$B$3:$B$1084=$A76)*('Individual Refineries'!$D$3:$D$1084="CCR")*'Individual Refineries'!$F$3:$F$1084)*SUMPRODUCT(('Individual Refineries'!$B$3:$B$1084=$A76)*('Individual Refineries'!$D$3:$D$1084="CCR")*'Individual Refineries'!$K$3:$K$1084)</f>
        <v/>
      </c>
      <c r="J76" s="35">
        <f>SUMPRODUCT(('Individual Refineries'!$B$3:$B$1084=$A76)*('Individual Refineries'!$D$3:$D$1084="ISOM")*'Individual Refineries'!$F$3:$F$1084)*SUMPRODUCT(('Individual Refineries'!$B$3:$B$1084=$A76)*('Individual Refineries'!$D$3:$D$1084="ISOM")*'Individual Refineries'!$K$3:$K$1084)</f>
        <v/>
      </c>
      <c r="K76" s="35">
        <f>SUMPRODUCT(('Individual Refineries'!$A$3:$A$1084="TOTAL")*('Individual Refineries'!$B$3:$B$1084=$A76)*'Individual Refineries'!$Q$3:$Q$1084)</f>
        <v/>
      </c>
      <c r="L76" s="34">
        <f>SUMIFS(Data!$N$3:$N$125,Data!$A$3:$A$125,$A76)</f>
        <v/>
      </c>
      <c r="M76" s="34">
        <f>IFERROR($K76/(SUMIFS(Data!$G$3:$G$125,Data!$A$3:$A$125,$A76)*$D76),"")</f>
        <v/>
      </c>
      <c r="N76" s="53">
        <f>IF($M76="","",$M76-$L76)</f>
        <v/>
      </c>
      <c r="O76" s="49">
        <f>IF(AND($H76&gt;0,$G76&gt;$H76*1.05),"SR &gt; NHT cap","")</f>
        <v/>
      </c>
    </row>
    <row r="77">
      <c r="A77" s="40" t="inlineStr">
        <is>
          <t>CROSS_SMACKOVER</t>
        </is>
      </c>
      <c r="B77" s="28" t="n">
        <v>3</v>
      </c>
      <c r="C77" s="30">
        <f>SUMPRODUCT(('Individual Refineries'!$B$3:$B$1084=$A77)*('Individual Refineries'!$D$3:$D$1084="CDU")*'Individual Refineries'!$F$3:$F$1084)</f>
        <v/>
      </c>
      <c r="D77" s="52">
        <f>SUMPRODUCT(('Individual Refineries'!$B$3:$B$1084=$A77)*('Individual Refineries'!$D$3:$D$1084="CDU")*'Individual Refineries'!$K$3:$K$1084)</f>
        <v/>
      </c>
      <c r="E77" s="30">
        <f>$C77*$D77</f>
        <v/>
      </c>
      <c r="F77" s="33">
        <f>SUMPRODUCT(('Individual Refineries'!$B$3:$B$1084=$A77)*('Individual Refineries'!$D$3:$D$1084="CDU")*'Individual Refineries'!$P$3:$P$1084)</f>
        <v/>
      </c>
      <c r="G77" s="35">
        <f>$E77*$F77</f>
        <v/>
      </c>
      <c r="H77" s="30">
        <f>SUMPRODUCT(('Individual Refineries'!$B$3:$B$1084=$A77)*('Individual Refineries'!$D$3:$D$1084="NHT")*'Individual Refineries'!$F$3:$F$1084)</f>
        <v/>
      </c>
      <c r="I77" s="35">
        <f>SUMPRODUCT(('Individual Refineries'!$B$3:$B$1084=$A77)*('Individual Refineries'!$D$3:$D$1084="REF")*'Individual Refineries'!$F$3:$F$1084)*SUMPRODUCT(('Individual Refineries'!$B$3:$B$1084=$A77)*('Individual Refineries'!$D$3:$D$1084="REF")*'Individual Refineries'!$K$3:$K$1084)+SUMPRODUCT(('Individual Refineries'!$B$3:$B$1084=$A77)*('Individual Refineries'!$D$3:$D$1084="CCR")*'Individual Refineries'!$F$3:$F$1084)*SUMPRODUCT(('Individual Refineries'!$B$3:$B$1084=$A77)*('Individual Refineries'!$D$3:$D$1084="CCR")*'Individual Refineries'!$K$3:$K$1084)</f>
        <v/>
      </c>
      <c r="J77" s="35">
        <f>SUMPRODUCT(('Individual Refineries'!$B$3:$B$1084=$A77)*('Individual Refineries'!$D$3:$D$1084="ISOM")*'Individual Refineries'!$F$3:$F$1084)*SUMPRODUCT(('Individual Refineries'!$B$3:$B$1084=$A77)*('Individual Refineries'!$D$3:$D$1084="ISOM")*'Individual Refineries'!$K$3:$K$1084)</f>
        <v/>
      </c>
      <c r="K77" s="35">
        <f>SUMPRODUCT(('Individual Refineries'!$A$3:$A$1084="TOTAL")*('Individual Refineries'!$B$3:$B$1084=$A77)*'Individual Refineries'!$Q$3:$Q$1084)</f>
        <v/>
      </c>
      <c r="L77" s="34">
        <f>SUMIFS(Data!$N$3:$N$125,Data!$A$3:$A$125,$A77)</f>
        <v/>
      </c>
      <c r="M77" s="34">
        <f>IFERROR($K77/(SUMIFS(Data!$G$3:$G$125,Data!$A$3:$A$125,$A77)*$D77),"")</f>
        <v/>
      </c>
      <c r="N77" s="53">
        <f>IF($M77="","",$M77-$L77)</f>
        <v/>
      </c>
      <c r="O77" s="49">
        <f>IF(AND($H77&gt;0,$G77&gt;$H77*1.05),"SR &gt; NHT cap","")</f>
        <v/>
      </c>
    </row>
    <row r="78">
      <c r="A78" s="40" t="inlineStr">
        <is>
          <t>GOODWAY_ATMORE</t>
        </is>
      </c>
      <c r="B78" s="28" t="n">
        <v>3</v>
      </c>
      <c r="C78" s="30">
        <f>SUMPRODUCT(('Individual Refineries'!$B$3:$B$1084=$A78)*('Individual Refineries'!$D$3:$D$1084="CDU")*'Individual Refineries'!$F$3:$F$1084)</f>
        <v/>
      </c>
      <c r="D78" s="52">
        <f>SUMPRODUCT(('Individual Refineries'!$B$3:$B$1084=$A78)*('Individual Refineries'!$D$3:$D$1084="CDU")*'Individual Refineries'!$K$3:$K$1084)</f>
        <v/>
      </c>
      <c r="E78" s="30">
        <f>$C78*$D78</f>
        <v/>
      </c>
      <c r="F78" s="33">
        <f>SUMPRODUCT(('Individual Refineries'!$B$3:$B$1084=$A78)*('Individual Refineries'!$D$3:$D$1084="CDU")*'Individual Refineries'!$P$3:$P$1084)</f>
        <v/>
      </c>
      <c r="G78" s="35">
        <f>$E78*$F78</f>
        <v/>
      </c>
      <c r="H78" s="30">
        <f>SUMPRODUCT(('Individual Refineries'!$B$3:$B$1084=$A78)*('Individual Refineries'!$D$3:$D$1084="NHT")*'Individual Refineries'!$F$3:$F$1084)</f>
        <v/>
      </c>
      <c r="I78" s="35">
        <f>SUMPRODUCT(('Individual Refineries'!$B$3:$B$1084=$A78)*('Individual Refineries'!$D$3:$D$1084="REF")*'Individual Refineries'!$F$3:$F$1084)*SUMPRODUCT(('Individual Refineries'!$B$3:$B$1084=$A78)*('Individual Refineries'!$D$3:$D$1084="REF")*'Individual Refineries'!$K$3:$K$1084)+SUMPRODUCT(('Individual Refineries'!$B$3:$B$1084=$A78)*('Individual Refineries'!$D$3:$D$1084="CCR")*'Individual Refineries'!$F$3:$F$1084)*SUMPRODUCT(('Individual Refineries'!$B$3:$B$1084=$A78)*('Individual Refineries'!$D$3:$D$1084="CCR")*'Individual Refineries'!$K$3:$K$1084)</f>
        <v/>
      </c>
      <c r="J78" s="35">
        <f>SUMPRODUCT(('Individual Refineries'!$B$3:$B$1084=$A78)*('Individual Refineries'!$D$3:$D$1084="ISOM")*'Individual Refineries'!$F$3:$F$1084)*SUMPRODUCT(('Individual Refineries'!$B$3:$B$1084=$A78)*('Individual Refineries'!$D$3:$D$1084="ISOM")*'Individual Refineries'!$K$3:$K$1084)</f>
        <v/>
      </c>
      <c r="K78" s="35">
        <f>SUMPRODUCT(('Individual Refineries'!$A$3:$A$1084="TOTAL")*('Individual Refineries'!$B$3:$B$1084=$A78)*'Individual Refineries'!$Q$3:$Q$1084)</f>
        <v/>
      </c>
      <c r="L78" s="34">
        <f>SUMIFS(Data!$N$3:$N$125,Data!$A$3:$A$125,$A78)</f>
        <v/>
      </c>
      <c r="M78" s="34">
        <f>IFERROR($K78/(SUMIFS(Data!$G$3:$G$125,Data!$A$3:$A$125,$A78)*$D78),"")</f>
        <v/>
      </c>
      <c r="N78" s="53">
        <f>IF($M78="","",$M78-$L78)</f>
        <v/>
      </c>
      <c r="O78" s="49">
        <f>IF(AND($H78&gt;0,$G78&gt;$H78*1.05),"SR &gt; NHT cap","")</f>
        <v/>
      </c>
    </row>
    <row r="79">
      <c r="A79" s="40" t="inlineStr">
        <is>
          <t>SUNCOR_DENVER</t>
        </is>
      </c>
      <c r="B79" s="28" t="n">
        <v>4</v>
      </c>
      <c r="C79" s="30">
        <f>SUMPRODUCT(('Individual Refineries'!$B$3:$B$1084=$A79)*('Individual Refineries'!$D$3:$D$1084="CDU")*'Individual Refineries'!$F$3:$F$1084)</f>
        <v/>
      </c>
      <c r="D79" s="52">
        <f>SUMPRODUCT(('Individual Refineries'!$B$3:$B$1084=$A79)*('Individual Refineries'!$D$3:$D$1084="CDU")*'Individual Refineries'!$K$3:$K$1084)</f>
        <v/>
      </c>
      <c r="E79" s="30">
        <f>$C79*$D79</f>
        <v/>
      </c>
      <c r="F79" s="33">
        <f>SUMPRODUCT(('Individual Refineries'!$B$3:$B$1084=$A79)*('Individual Refineries'!$D$3:$D$1084="CDU")*'Individual Refineries'!$P$3:$P$1084)</f>
        <v/>
      </c>
      <c r="G79" s="35">
        <f>$E79*$F79</f>
        <v/>
      </c>
      <c r="H79" s="30">
        <f>SUMPRODUCT(('Individual Refineries'!$B$3:$B$1084=$A79)*('Individual Refineries'!$D$3:$D$1084="NHT")*'Individual Refineries'!$F$3:$F$1084)</f>
        <v/>
      </c>
      <c r="I79" s="35">
        <f>SUMPRODUCT(('Individual Refineries'!$B$3:$B$1084=$A79)*('Individual Refineries'!$D$3:$D$1084="REF")*'Individual Refineries'!$F$3:$F$1084)*SUMPRODUCT(('Individual Refineries'!$B$3:$B$1084=$A79)*('Individual Refineries'!$D$3:$D$1084="REF")*'Individual Refineries'!$K$3:$K$1084)+SUMPRODUCT(('Individual Refineries'!$B$3:$B$1084=$A79)*('Individual Refineries'!$D$3:$D$1084="CCR")*'Individual Refineries'!$F$3:$F$1084)*SUMPRODUCT(('Individual Refineries'!$B$3:$B$1084=$A79)*('Individual Refineries'!$D$3:$D$1084="CCR")*'Individual Refineries'!$K$3:$K$1084)</f>
        <v/>
      </c>
      <c r="J79" s="35">
        <f>SUMPRODUCT(('Individual Refineries'!$B$3:$B$1084=$A79)*('Individual Refineries'!$D$3:$D$1084="ISOM")*'Individual Refineries'!$F$3:$F$1084)*SUMPRODUCT(('Individual Refineries'!$B$3:$B$1084=$A79)*('Individual Refineries'!$D$3:$D$1084="ISOM")*'Individual Refineries'!$K$3:$K$1084)</f>
        <v/>
      </c>
      <c r="K79" s="35">
        <f>SUMPRODUCT(('Individual Refineries'!$A$3:$A$1084="TOTAL")*('Individual Refineries'!$B$3:$B$1084=$A79)*'Individual Refineries'!$Q$3:$Q$1084)</f>
        <v/>
      </c>
      <c r="L79" s="34">
        <f>SUMIFS(Data!$N$3:$N$125,Data!$A$3:$A$125,$A79)</f>
        <v/>
      </c>
      <c r="M79" s="34">
        <f>IFERROR($K79/(SUMIFS(Data!$G$3:$G$125,Data!$A$3:$A$125,$A79)*$D79),"")</f>
        <v/>
      </c>
      <c r="N79" s="53">
        <f>IF($M79="","",$M79-$L79)</f>
        <v/>
      </c>
      <c r="O79" s="49">
        <f>IF(AND($H79&gt;0,$G79&gt;$H79*1.05),"SR &gt; NHT cap","")</f>
        <v/>
      </c>
    </row>
    <row r="80">
      <c r="A80" s="40" t="inlineStr">
        <is>
          <t>SINCLAIR_SINCLAIR</t>
        </is>
      </c>
      <c r="B80" s="28" t="n">
        <v>4</v>
      </c>
      <c r="C80" s="30">
        <f>SUMPRODUCT(('Individual Refineries'!$B$3:$B$1084=$A80)*('Individual Refineries'!$D$3:$D$1084="CDU")*'Individual Refineries'!$F$3:$F$1084)</f>
        <v/>
      </c>
      <c r="D80" s="52">
        <f>SUMPRODUCT(('Individual Refineries'!$B$3:$B$1084=$A80)*('Individual Refineries'!$D$3:$D$1084="CDU")*'Individual Refineries'!$K$3:$K$1084)</f>
        <v/>
      </c>
      <c r="E80" s="30">
        <f>$C80*$D80</f>
        <v/>
      </c>
      <c r="F80" s="33">
        <f>SUMPRODUCT(('Individual Refineries'!$B$3:$B$1084=$A80)*('Individual Refineries'!$D$3:$D$1084="CDU")*'Individual Refineries'!$P$3:$P$1084)</f>
        <v/>
      </c>
      <c r="G80" s="35">
        <f>$E80*$F80</f>
        <v/>
      </c>
      <c r="H80" s="30">
        <f>SUMPRODUCT(('Individual Refineries'!$B$3:$B$1084=$A80)*('Individual Refineries'!$D$3:$D$1084="NHT")*'Individual Refineries'!$F$3:$F$1084)</f>
        <v/>
      </c>
      <c r="I80" s="35">
        <f>SUMPRODUCT(('Individual Refineries'!$B$3:$B$1084=$A80)*('Individual Refineries'!$D$3:$D$1084="REF")*'Individual Refineries'!$F$3:$F$1084)*SUMPRODUCT(('Individual Refineries'!$B$3:$B$1084=$A80)*('Individual Refineries'!$D$3:$D$1084="REF")*'Individual Refineries'!$K$3:$K$1084)+SUMPRODUCT(('Individual Refineries'!$B$3:$B$1084=$A80)*('Individual Refineries'!$D$3:$D$1084="CCR")*'Individual Refineries'!$F$3:$F$1084)*SUMPRODUCT(('Individual Refineries'!$B$3:$B$1084=$A80)*('Individual Refineries'!$D$3:$D$1084="CCR")*'Individual Refineries'!$K$3:$K$1084)</f>
        <v/>
      </c>
      <c r="J80" s="35">
        <f>SUMPRODUCT(('Individual Refineries'!$B$3:$B$1084=$A80)*('Individual Refineries'!$D$3:$D$1084="ISOM")*'Individual Refineries'!$F$3:$F$1084)*SUMPRODUCT(('Individual Refineries'!$B$3:$B$1084=$A80)*('Individual Refineries'!$D$3:$D$1084="ISOM")*'Individual Refineries'!$K$3:$K$1084)</f>
        <v/>
      </c>
      <c r="K80" s="35">
        <f>SUMPRODUCT(('Individual Refineries'!$A$3:$A$1084="TOTAL")*('Individual Refineries'!$B$3:$B$1084=$A80)*'Individual Refineries'!$Q$3:$Q$1084)</f>
        <v/>
      </c>
      <c r="L80" s="34">
        <f>SUMIFS(Data!$N$3:$N$125,Data!$A$3:$A$125,$A80)</f>
        <v/>
      </c>
      <c r="M80" s="34">
        <f>IFERROR($K80/(SUMIFS(Data!$G$3:$G$125,Data!$A$3:$A$125,$A80)*$D80),"")</f>
        <v/>
      </c>
      <c r="N80" s="53">
        <f>IF($M80="","",$M80-$L80)</f>
        <v/>
      </c>
      <c r="O80" s="49">
        <f>IF(AND($H80&gt;0,$G80&gt;$H80*1.05),"SR &gt; NHT cap","")</f>
        <v/>
      </c>
    </row>
    <row r="81">
      <c r="A81" s="40" t="inlineStr">
        <is>
          <t>MARATHON_SALT_LAKE_CITY</t>
        </is>
      </c>
      <c r="B81" s="28" t="n">
        <v>4</v>
      </c>
      <c r="C81" s="30">
        <f>SUMPRODUCT(('Individual Refineries'!$B$3:$B$1084=$A81)*('Individual Refineries'!$D$3:$D$1084="CDU")*'Individual Refineries'!$F$3:$F$1084)</f>
        <v/>
      </c>
      <c r="D81" s="52">
        <f>SUMPRODUCT(('Individual Refineries'!$B$3:$B$1084=$A81)*('Individual Refineries'!$D$3:$D$1084="CDU")*'Individual Refineries'!$K$3:$K$1084)</f>
        <v/>
      </c>
      <c r="E81" s="30">
        <f>$C81*$D81</f>
        <v/>
      </c>
      <c r="F81" s="33">
        <f>SUMPRODUCT(('Individual Refineries'!$B$3:$B$1084=$A81)*('Individual Refineries'!$D$3:$D$1084="CDU")*'Individual Refineries'!$P$3:$P$1084)</f>
        <v/>
      </c>
      <c r="G81" s="35">
        <f>$E81*$F81</f>
        <v/>
      </c>
      <c r="H81" s="30">
        <f>SUMPRODUCT(('Individual Refineries'!$B$3:$B$1084=$A81)*('Individual Refineries'!$D$3:$D$1084="NHT")*'Individual Refineries'!$F$3:$F$1084)</f>
        <v/>
      </c>
      <c r="I81" s="35">
        <f>SUMPRODUCT(('Individual Refineries'!$B$3:$B$1084=$A81)*('Individual Refineries'!$D$3:$D$1084="REF")*'Individual Refineries'!$F$3:$F$1084)*SUMPRODUCT(('Individual Refineries'!$B$3:$B$1084=$A81)*('Individual Refineries'!$D$3:$D$1084="REF")*'Individual Refineries'!$K$3:$K$1084)+SUMPRODUCT(('Individual Refineries'!$B$3:$B$1084=$A81)*('Individual Refineries'!$D$3:$D$1084="CCR")*'Individual Refineries'!$F$3:$F$1084)*SUMPRODUCT(('Individual Refineries'!$B$3:$B$1084=$A81)*('Individual Refineries'!$D$3:$D$1084="CCR")*'Individual Refineries'!$K$3:$K$1084)</f>
        <v/>
      </c>
      <c r="J81" s="35">
        <f>SUMPRODUCT(('Individual Refineries'!$B$3:$B$1084=$A81)*('Individual Refineries'!$D$3:$D$1084="ISOM")*'Individual Refineries'!$F$3:$F$1084)*SUMPRODUCT(('Individual Refineries'!$B$3:$B$1084=$A81)*('Individual Refineries'!$D$3:$D$1084="ISOM")*'Individual Refineries'!$K$3:$K$1084)</f>
        <v/>
      </c>
      <c r="K81" s="35">
        <f>SUMPRODUCT(('Individual Refineries'!$A$3:$A$1084="TOTAL")*('Individual Refineries'!$B$3:$B$1084=$A81)*'Individual Refineries'!$Q$3:$Q$1084)</f>
        <v/>
      </c>
      <c r="L81" s="34">
        <f>SUMIFS(Data!$N$3:$N$125,Data!$A$3:$A$125,$A81)</f>
        <v/>
      </c>
      <c r="M81" s="34">
        <f>IFERROR($K81/(SUMIFS(Data!$G$3:$G$125,Data!$A$3:$A$125,$A81)*$D81),"")</f>
        <v/>
      </c>
      <c r="N81" s="53">
        <f>IF($M81="","",$M81-$L81)</f>
        <v/>
      </c>
      <c r="O81" s="49">
        <f>IF(AND($H81&gt;0,$G81&gt;$H81*1.05),"SR &gt; NHT cap","")</f>
        <v/>
      </c>
    </row>
    <row r="82">
      <c r="A82" s="40" t="inlineStr">
        <is>
          <t>PHILLIPS_BILLINGS</t>
        </is>
      </c>
      <c r="B82" s="28" t="n">
        <v>4</v>
      </c>
      <c r="C82" s="30">
        <f>SUMPRODUCT(('Individual Refineries'!$B$3:$B$1084=$A82)*('Individual Refineries'!$D$3:$D$1084="CDU")*'Individual Refineries'!$F$3:$F$1084)</f>
        <v/>
      </c>
      <c r="D82" s="52">
        <f>SUMPRODUCT(('Individual Refineries'!$B$3:$B$1084=$A82)*('Individual Refineries'!$D$3:$D$1084="CDU")*'Individual Refineries'!$K$3:$K$1084)</f>
        <v/>
      </c>
      <c r="E82" s="30">
        <f>$C82*$D82</f>
        <v/>
      </c>
      <c r="F82" s="33">
        <f>SUMPRODUCT(('Individual Refineries'!$B$3:$B$1084=$A82)*('Individual Refineries'!$D$3:$D$1084="CDU")*'Individual Refineries'!$P$3:$P$1084)</f>
        <v/>
      </c>
      <c r="G82" s="35">
        <f>$E82*$F82</f>
        <v/>
      </c>
      <c r="H82" s="30">
        <f>SUMPRODUCT(('Individual Refineries'!$B$3:$B$1084=$A82)*('Individual Refineries'!$D$3:$D$1084="NHT")*'Individual Refineries'!$F$3:$F$1084)</f>
        <v/>
      </c>
      <c r="I82" s="35">
        <f>SUMPRODUCT(('Individual Refineries'!$B$3:$B$1084=$A82)*('Individual Refineries'!$D$3:$D$1084="REF")*'Individual Refineries'!$F$3:$F$1084)*SUMPRODUCT(('Individual Refineries'!$B$3:$B$1084=$A82)*('Individual Refineries'!$D$3:$D$1084="REF")*'Individual Refineries'!$K$3:$K$1084)+SUMPRODUCT(('Individual Refineries'!$B$3:$B$1084=$A82)*('Individual Refineries'!$D$3:$D$1084="CCR")*'Individual Refineries'!$F$3:$F$1084)*SUMPRODUCT(('Individual Refineries'!$B$3:$B$1084=$A82)*('Individual Refineries'!$D$3:$D$1084="CCR")*'Individual Refineries'!$K$3:$K$1084)</f>
        <v/>
      </c>
      <c r="J82" s="35">
        <f>SUMPRODUCT(('Individual Refineries'!$B$3:$B$1084=$A82)*('Individual Refineries'!$D$3:$D$1084="ISOM")*'Individual Refineries'!$F$3:$F$1084)*SUMPRODUCT(('Individual Refineries'!$B$3:$B$1084=$A82)*('Individual Refineries'!$D$3:$D$1084="ISOM")*'Individual Refineries'!$K$3:$K$1084)</f>
        <v/>
      </c>
      <c r="K82" s="35">
        <f>SUMPRODUCT(('Individual Refineries'!$A$3:$A$1084="TOTAL")*('Individual Refineries'!$B$3:$B$1084=$A82)*'Individual Refineries'!$Q$3:$Q$1084)</f>
        <v/>
      </c>
      <c r="L82" s="34">
        <f>SUMIFS(Data!$N$3:$N$125,Data!$A$3:$A$125,$A82)</f>
        <v/>
      </c>
      <c r="M82" s="34">
        <f>IFERROR($K82/(SUMIFS(Data!$G$3:$G$125,Data!$A$3:$A$125,$A82)*$D82),"")</f>
        <v/>
      </c>
      <c r="N82" s="53">
        <f>IF($M82="","",$M82-$L82)</f>
        <v/>
      </c>
      <c r="O82" s="49">
        <f>IF(AND($H82&gt;0,$G82&gt;$H82*1.05),"SR &gt; NHT cap","")</f>
        <v/>
      </c>
    </row>
    <row r="83">
      <c r="A83" s="40" t="inlineStr">
        <is>
          <t>PAR_BILLINGS</t>
        </is>
      </c>
      <c r="B83" s="28" t="n">
        <v>4</v>
      </c>
      <c r="C83" s="30">
        <f>SUMPRODUCT(('Individual Refineries'!$B$3:$B$1084=$A83)*('Individual Refineries'!$D$3:$D$1084="CDU")*'Individual Refineries'!$F$3:$F$1084)</f>
        <v/>
      </c>
      <c r="D83" s="52">
        <f>SUMPRODUCT(('Individual Refineries'!$B$3:$B$1084=$A83)*('Individual Refineries'!$D$3:$D$1084="CDU")*'Individual Refineries'!$K$3:$K$1084)</f>
        <v/>
      </c>
      <c r="E83" s="30">
        <f>$C83*$D83</f>
        <v/>
      </c>
      <c r="F83" s="33">
        <f>SUMPRODUCT(('Individual Refineries'!$B$3:$B$1084=$A83)*('Individual Refineries'!$D$3:$D$1084="CDU")*'Individual Refineries'!$P$3:$P$1084)</f>
        <v/>
      </c>
      <c r="G83" s="35">
        <f>$E83*$F83</f>
        <v/>
      </c>
      <c r="H83" s="30">
        <f>SUMPRODUCT(('Individual Refineries'!$B$3:$B$1084=$A83)*('Individual Refineries'!$D$3:$D$1084="NHT")*'Individual Refineries'!$F$3:$F$1084)</f>
        <v/>
      </c>
      <c r="I83" s="35">
        <f>SUMPRODUCT(('Individual Refineries'!$B$3:$B$1084=$A83)*('Individual Refineries'!$D$3:$D$1084="REF")*'Individual Refineries'!$F$3:$F$1084)*SUMPRODUCT(('Individual Refineries'!$B$3:$B$1084=$A83)*('Individual Refineries'!$D$3:$D$1084="REF")*'Individual Refineries'!$K$3:$K$1084)+SUMPRODUCT(('Individual Refineries'!$B$3:$B$1084=$A83)*('Individual Refineries'!$D$3:$D$1084="CCR")*'Individual Refineries'!$F$3:$F$1084)*SUMPRODUCT(('Individual Refineries'!$B$3:$B$1084=$A83)*('Individual Refineries'!$D$3:$D$1084="CCR")*'Individual Refineries'!$K$3:$K$1084)</f>
        <v/>
      </c>
      <c r="J83" s="35">
        <f>SUMPRODUCT(('Individual Refineries'!$B$3:$B$1084=$A83)*('Individual Refineries'!$D$3:$D$1084="ISOM")*'Individual Refineries'!$F$3:$F$1084)*SUMPRODUCT(('Individual Refineries'!$B$3:$B$1084=$A83)*('Individual Refineries'!$D$3:$D$1084="ISOM")*'Individual Refineries'!$K$3:$K$1084)</f>
        <v/>
      </c>
      <c r="K83" s="35">
        <f>SUMPRODUCT(('Individual Refineries'!$A$3:$A$1084="TOTAL")*('Individual Refineries'!$B$3:$B$1084=$A83)*'Individual Refineries'!$Q$3:$Q$1084)</f>
        <v/>
      </c>
      <c r="L83" s="34">
        <f>SUMIFS(Data!$N$3:$N$125,Data!$A$3:$A$125,$A83)</f>
        <v/>
      </c>
      <c r="M83" s="34">
        <f>IFERROR($K83/(SUMIFS(Data!$G$3:$G$125,Data!$A$3:$A$125,$A83)*$D83),"")</f>
        <v/>
      </c>
      <c r="N83" s="53">
        <f>IF($M83="","",$M83-$L83)</f>
        <v/>
      </c>
      <c r="O83" s="49">
        <f>IF(AND($H83&gt;0,$G83&gt;$H83*1.05),"SR &gt; NHT cap","")</f>
        <v/>
      </c>
    </row>
    <row r="84">
      <c r="A84" s="40" t="inlineStr">
        <is>
          <t>CHS_LAUREL</t>
        </is>
      </c>
      <c r="B84" s="28" t="n">
        <v>4</v>
      </c>
      <c r="C84" s="30">
        <f>SUMPRODUCT(('Individual Refineries'!$B$3:$B$1084=$A84)*('Individual Refineries'!$D$3:$D$1084="CDU")*'Individual Refineries'!$F$3:$F$1084)</f>
        <v/>
      </c>
      <c r="D84" s="52">
        <f>SUMPRODUCT(('Individual Refineries'!$B$3:$B$1084=$A84)*('Individual Refineries'!$D$3:$D$1084="CDU")*'Individual Refineries'!$K$3:$K$1084)</f>
        <v/>
      </c>
      <c r="E84" s="30">
        <f>$C84*$D84</f>
        <v/>
      </c>
      <c r="F84" s="33">
        <f>SUMPRODUCT(('Individual Refineries'!$B$3:$B$1084=$A84)*('Individual Refineries'!$D$3:$D$1084="CDU")*'Individual Refineries'!$P$3:$P$1084)</f>
        <v/>
      </c>
      <c r="G84" s="35">
        <f>$E84*$F84</f>
        <v/>
      </c>
      <c r="H84" s="30">
        <f>SUMPRODUCT(('Individual Refineries'!$B$3:$B$1084=$A84)*('Individual Refineries'!$D$3:$D$1084="NHT")*'Individual Refineries'!$F$3:$F$1084)</f>
        <v/>
      </c>
      <c r="I84" s="35">
        <f>SUMPRODUCT(('Individual Refineries'!$B$3:$B$1084=$A84)*('Individual Refineries'!$D$3:$D$1084="REF")*'Individual Refineries'!$F$3:$F$1084)*SUMPRODUCT(('Individual Refineries'!$B$3:$B$1084=$A84)*('Individual Refineries'!$D$3:$D$1084="REF")*'Individual Refineries'!$K$3:$K$1084)+SUMPRODUCT(('Individual Refineries'!$B$3:$B$1084=$A84)*('Individual Refineries'!$D$3:$D$1084="CCR")*'Individual Refineries'!$F$3:$F$1084)*SUMPRODUCT(('Individual Refineries'!$B$3:$B$1084=$A84)*('Individual Refineries'!$D$3:$D$1084="CCR")*'Individual Refineries'!$K$3:$K$1084)</f>
        <v/>
      </c>
      <c r="J84" s="35">
        <f>SUMPRODUCT(('Individual Refineries'!$B$3:$B$1084=$A84)*('Individual Refineries'!$D$3:$D$1084="ISOM")*'Individual Refineries'!$F$3:$F$1084)*SUMPRODUCT(('Individual Refineries'!$B$3:$B$1084=$A84)*('Individual Refineries'!$D$3:$D$1084="ISOM")*'Individual Refineries'!$K$3:$K$1084)</f>
        <v/>
      </c>
      <c r="K84" s="35">
        <f>SUMPRODUCT(('Individual Refineries'!$A$3:$A$1084="TOTAL")*('Individual Refineries'!$B$3:$B$1084=$A84)*'Individual Refineries'!$Q$3:$Q$1084)</f>
        <v/>
      </c>
      <c r="L84" s="34">
        <f>SUMIFS(Data!$N$3:$N$125,Data!$A$3:$A$125,$A84)</f>
        <v/>
      </c>
      <c r="M84" s="34">
        <f>IFERROR($K84/(SUMIFS(Data!$G$3:$G$125,Data!$A$3:$A$125,$A84)*$D84),"")</f>
        <v/>
      </c>
      <c r="N84" s="53">
        <f>IF($M84="","",$M84-$L84)</f>
        <v/>
      </c>
      <c r="O84" s="49">
        <f>IF(AND($H84&gt;0,$G84&gt;$H84*1.05),"SR &gt; NHT cap","")</f>
        <v/>
      </c>
    </row>
    <row r="85">
      <c r="A85" s="40" t="inlineStr">
        <is>
          <t>CHEVRON_SALT_LAKE_CITY</t>
        </is>
      </c>
      <c r="B85" s="28" t="n">
        <v>4</v>
      </c>
      <c r="C85" s="30">
        <f>SUMPRODUCT(('Individual Refineries'!$B$3:$B$1084=$A85)*('Individual Refineries'!$D$3:$D$1084="CDU")*'Individual Refineries'!$F$3:$F$1084)</f>
        <v/>
      </c>
      <c r="D85" s="52">
        <f>SUMPRODUCT(('Individual Refineries'!$B$3:$B$1084=$A85)*('Individual Refineries'!$D$3:$D$1084="CDU")*'Individual Refineries'!$K$3:$K$1084)</f>
        <v/>
      </c>
      <c r="E85" s="30">
        <f>$C85*$D85</f>
        <v/>
      </c>
      <c r="F85" s="33">
        <f>SUMPRODUCT(('Individual Refineries'!$B$3:$B$1084=$A85)*('Individual Refineries'!$D$3:$D$1084="CDU")*'Individual Refineries'!$P$3:$P$1084)</f>
        <v/>
      </c>
      <c r="G85" s="35">
        <f>$E85*$F85</f>
        <v/>
      </c>
      <c r="H85" s="30">
        <f>SUMPRODUCT(('Individual Refineries'!$B$3:$B$1084=$A85)*('Individual Refineries'!$D$3:$D$1084="NHT")*'Individual Refineries'!$F$3:$F$1084)</f>
        <v/>
      </c>
      <c r="I85" s="35">
        <f>SUMPRODUCT(('Individual Refineries'!$B$3:$B$1084=$A85)*('Individual Refineries'!$D$3:$D$1084="REF")*'Individual Refineries'!$F$3:$F$1084)*SUMPRODUCT(('Individual Refineries'!$B$3:$B$1084=$A85)*('Individual Refineries'!$D$3:$D$1084="REF")*'Individual Refineries'!$K$3:$K$1084)+SUMPRODUCT(('Individual Refineries'!$B$3:$B$1084=$A85)*('Individual Refineries'!$D$3:$D$1084="CCR")*'Individual Refineries'!$F$3:$F$1084)*SUMPRODUCT(('Individual Refineries'!$B$3:$B$1084=$A85)*('Individual Refineries'!$D$3:$D$1084="CCR")*'Individual Refineries'!$K$3:$K$1084)</f>
        <v/>
      </c>
      <c r="J85" s="35">
        <f>SUMPRODUCT(('Individual Refineries'!$B$3:$B$1084=$A85)*('Individual Refineries'!$D$3:$D$1084="ISOM")*'Individual Refineries'!$F$3:$F$1084)*SUMPRODUCT(('Individual Refineries'!$B$3:$B$1084=$A85)*('Individual Refineries'!$D$3:$D$1084="ISOM")*'Individual Refineries'!$K$3:$K$1084)</f>
        <v/>
      </c>
      <c r="K85" s="35">
        <f>SUMPRODUCT(('Individual Refineries'!$A$3:$A$1084="TOTAL")*('Individual Refineries'!$B$3:$B$1084=$A85)*'Individual Refineries'!$Q$3:$Q$1084)</f>
        <v/>
      </c>
      <c r="L85" s="34">
        <f>SUMIFS(Data!$N$3:$N$125,Data!$A$3:$A$125,$A85)</f>
        <v/>
      </c>
      <c r="M85" s="34">
        <f>IFERROR($K85/(SUMIFS(Data!$G$3:$G$125,Data!$A$3:$A$125,$A85)*$D85),"")</f>
        <v/>
      </c>
      <c r="N85" s="53">
        <f>IF($M85="","",$M85-$L85)</f>
        <v/>
      </c>
      <c r="O85" s="49">
        <f>IF(AND($H85&gt;0,$G85&gt;$H85*1.05),"SR &gt; NHT cap","")</f>
        <v/>
      </c>
    </row>
    <row r="86">
      <c r="A86" s="40" t="inlineStr">
        <is>
          <t>HF_WOODS_CROSS</t>
        </is>
      </c>
      <c r="B86" s="28" t="n">
        <v>4</v>
      </c>
      <c r="C86" s="30">
        <f>SUMPRODUCT(('Individual Refineries'!$B$3:$B$1084=$A86)*('Individual Refineries'!$D$3:$D$1084="CDU")*'Individual Refineries'!$F$3:$F$1084)</f>
        <v/>
      </c>
      <c r="D86" s="52">
        <f>SUMPRODUCT(('Individual Refineries'!$B$3:$B$1084=$A86)*('Individual Refineries'!$D$3:$D$1084="CDU")*'Individual Refineries'!$K$3:$K$1084)</f>
        <v/>
      </c>
      <c r="E86" s="30">
        <f>$C86*$D86</f>
        <v/>
      </c>
      <c r="F86" s="33">
        <f>SUMPRODUCT(('Individual Refineries'!$B$3:$B$1084=$A86)*('Individual Refineries'!$D$3:$D$1084="CDU")*'Individual Refineries'!$P$3:$P$1084)</f>
        <v/>
      </c>
      <c r="G86" s="35">
        <f>$E86*$F86</f>
        <v/>
      </c>
      <c r="H86" s="30">
        <f>SUMPRODUCT(('Individual Refineries'!$B$3:$B$1084=$A86)*('Individual Refineries'!$D$3:$D$1084="NHT")*'Individual Refineries'!$F$3:$F$1084)</f>
        <v/>
      </c>
      <c r="I86" s="35">
        <f>SUMPRODUCT(('Individual Refineries'!$B$3:$B$1084=$A86)*('Individual Refineries'!$D$3:$D$1084="REF")*'Individual Refineries'!$F$3:$F$1084)*SUMPRODUCT(('Individual Refineries'!$B$3:$B$1084=$A86)*('Individual Refineries'!$D$3:$D$1084="REF")*'Individual Refineries'!$K$3:$K$1084)+SUMPRODUCT(('Individual Refineries'!$B$3:$B$1084=$A86)*('Individual Refineries'!$D$3:$D$1084="CCR")*'Individual Refineries'!$F$3:$F$1084)*SUMPRODUCT(('Individual Refineries'!$B$3:$B$1084=$A86)*('Individual Refineries'!$D$3:$D$1084="CCR")*'Individual Refineries'!$K$3:$K$1084)</f>
        <v/>
      </c>
      <c r="J86" s="35">
        <f>SUMPRODUCT(('Individual Refineries'!$B$3:$B$1084=$A86)*('Individual Refineries'!$D$3:$D$1084="ISOM")*'Individual Refineries'!$F$3:$F$1084)*SUMPRODUCT(('Individual Refineries'!$B$3:$B$1084=$A86)*('Individual Refineries'!$D$3:$D$1084="ISOM")*'Individual Refineries'!$K$3:$K$1084)</f>
        <v/>
      </c>
      <c r="K86" s="35">
        <f>SUMPRODUCT(('Individual Refineries'!$A$3:$A$1084="TOTAL")*('Individual Refineries'!$B$3:$B$1084=$A86)*'Individual Refineries'!$Q$3:$Q$1084)</f>
        <v/>
      </c>
      <c r="L86" s="34">
        <f>SUMIFS(Data!$N$3:$N$125,Data!$A$3:$A$125,$A86)</f>
        <v/>
      </c>
      <c r="M86" s="34">
        <f>IFERROR($K86/(SUMIFS(Data!$G$3:$G$125,Data!$A$3:$A$125,$A86)*$D86),"")</f>
        <v/>
      </c>
      <c r="N86" s="53">
        <f>IF($M86="","",$M86-$L86)</f>
        <v/>
      </c>
      <c r="O86" s="49">
        <f>IF(AND($H86&gt;0,$G86&gt;$H86*1.05),"SR &gt; NHT cap","")</f>
        <v/>
      </c>
    </row>
    <row r="87">
      <c r="A87" s="40" t="inlineStr">
        <is>
          <t>BIG_NORTH_SLATERVILLE_CANAL</t>
        </is>
      </c>
      <c r="B87" s="28" t="n">
        <v>4</v>
      </c>
      <c r="C87" s="30">
        <f>SUMPRODUCT(('Individual Refineries'!$B$3:$B$1084=$A87)*('Individual Refineries'!$D$3:$D$1084="CDU")*'Individual Refineries'!$F$3:$F$1084)</f>
        <v/>
      </c>
      <c r="D87" s="52">
        <f>SUMPRODUCT(('Individual Refineries'!$B$3:$B$1084=$A87)*('Individual Refineries'!$D$3:$D$1084="CDU")*'Individual Refineries'!$K$3:$K$1084)</f>
        <v/>
      </c>
      <c r="E87" s="30">
        <f>$C87*$D87</f>
        <v/>
      </c>
      <c r="F87" s="33">
        <f>SUMPRODUCT(('Individual Refineries'!$B$3:$B$1084=$A87)*('Individual Refineries'!$D$3:$D$1084="CDU")*'Individual Refineries'!$P$3:$P$1084)</f>
        <v/>
      </c>
      <c r="G87" s="35">
        <f>$E87*$F87</f>
        <v/>
      </c>
      <c r="H87" s="30">
        <f>SUMPRODUCT(('Individual Refineries'!$B$3:$B$1084=$A87)*('Individual Refineries'!$D$3:$D$1084="NHT")*'Individual Refineries'!$F$3:$F$1084)</f>
        <v/>
      </c>
      <c r="I87" s="35">
        <f>SUMPRODUCT(('Individual Refineries'!$B$3:$B$1084=$A87)*('Individual Refineries'!$D$3:$D$1084="REF")*'Individual Refineries'!$F$3:$F$1084)*SUMPRODUCT(('Individual Refineries'!$B$3:$B$1084=$A87)*('Individual Refineries'!$D$3:$D$1084="REF")*'Individual Refineries'!$K$3:$K$1084)+SUMPRODUCT(('Individual Refineries'!$B$3:$B$1084=$A87)*('Individual Refineries'!$D$3:$D$1084="CCR")*'Individual Refineries'!$F$3:$F$1084)*SUMPRODUCT(('Individual Refineries'!$B$3:$B$1084=$A87)*('Individual Refineries'!$D$3:$D$1084="CCR")*'Individual Refineries'!$K$3:$K$1084)</f>
        <v/>
      </c>
      <c r="J87" s="35">
        <f>SUMPRODUCT(('Individual Refineries'!$B$3:$B$1084=$A87)*('Individual Refineries'!$D$3:$D$1084="ISOM")*'Individual Refineries'!$F$3:$F$1084)*SUMPRODUCT(('Individual Refineries'!$B$3:$B$1084=$A87)*('Individual Refineries'!$D$3:$D$1084="ISOM")*'Individual Refineries'!$K$3:$K$1084)</f>
        <v/>
      </c>
      <c r="K87" s="35">
        <f>SUMPRODUCT(('Individual Refineries'!$A$3:$A$1084="TOTAL")*('Individual Refineries'!$B$3:$B$1084=$A87)*'Individual Refineries'!$Q$3:$Q$1084)</f>
        <v/>
      </c>
      <c r="L87" s="34">
        <f>SUMIFS(Data!$N$3:$N$125,Data!$A$3:$A$125,$A87)</f>
        <v/>
      </c>
      <c r="M87" s="34">
        <f>IFERROR($K87/(SUMIFS(Data!$G$3:$G$125,Data!$A$3:$A$125,$A87)*$D87),"")</f>
        <v/>
      </c>
      <c r="N87" s="53">
        <f>IF($M87="","",$M87-$L87)</f>
        <v/>
      </c>
      <c r="O87" s="49">
        <f>IF(AND($H87&gt;0,$G87&gt;$H87*1.05),"SR &gt; NHT cap","")</f>
        <v/>
      </c>
    </row>
    <row r="88">
      <c r="A88" s="40" t="inlineStr">
        <is>
          <t>HF_CASPER</t>
        </is>
      </c>
      <c r="B88" s="28" t="n">
        <v>4</v>
      </c>
      <c r="C88" s="30">
        <f>SUMPRODUCT(('Individual Refineries'!$B$3:$B$1084=$A88)*('Individual Refineries'!$D$3:$D$1084="CDU")*'Individual Refineries'!$F$3:$F$1084)</f>
        <v/>
      </c>
      <c r="D88" s="52">
        <f>SUMPRODUCT(('Individual Refineries'!$B$3:$B$1084=$A88)*('Individual Refineries'!$D$3:$D$1084="CDU")*'Individual Refineries'!$K$3:$K$1084)</f>
        <v/>
      </c>
      <c r="E88" s="30">
        <f>$C88*$D88</f>
        <v/>
      </c>
      <c r="F88" s="33">
        <f>SUMPRODUCT(('Individual Refineries'!$B$3:$B$1084=$A88)*('Individual Refineries'!$D$3:$D$1084="CDU")*'Individual Refineries'!$P$3:$P$1084)</f>
        <v/>
      </c>
      <c r="G88" s="35">
        <f>$E88*$F88</f>
        <v/>
      </c>
      <c r="H88" s="30">
        <f>SUMPRODUCT(('Individual Refineries'!$B$3:$B$1084=$A88)*('Individual Refineries'!$D$3:$D$1084="NHT")*'Individual Refineries'!$F$3:$F$1084)</f>
        <v/>
      </c>
      <c r="I88" s="35">
        <f>SUMPRODUCT(('Individual Refineries'!$B$3:$B$1084=$A88)*('Individual Refineries'!$D$3:$D$1084="REF")*'Individual Refineries'!$F$3:$F$1084)*SUMPRODUCT(('Individual Refineries'!$B$3:$B$1084=$A88)*('Individual Refineries'!$D$3:$D$1084="REF")*'Individual Refineries'!$K$3:$K$1084)+SUMPRODUCT(('Individual Refineries'!$B$3:$B$1084=$A88)*('Individual Refineries'!$D$3:$D$1084="CCR")*'Individual Refineries'!$F$3:$F$1084)*SUMPRODUCT(('Individual Refineries'!$B$3:$B$1084=$A88)*('Individual Refineries'!$D$3:$D$1084="CCR")*'Individual Refineries'!$K$3:$K$1084)</f>
        <v/>
      </c>
      <c r="J88" s="35">
        <f>SUMPRODUCT(('Individual Refineries'!$B$3:$B$1084=$A88)*('Individual Refineries'!$D$3:$D$1084="ISOM")*'Individual Refineries'!$F$3:$F$1084)*SUMPRODUCT(('Individual Refineries'!$B$3:$B$1084=$A88)*('Individual Refineries'!$D$3:$D$1084="ISOM")*'Individual Refineries'!$K$3:$K$1084)</f>
        <v/>
      </c>
      <c r="K88" s="35">
        <f>SUMPRODUCT(('Individual Refineries'!$A$3:$A$1084="TOTAL")*('Individual Refineries'!$B$3:$B$1084=$A88)*'Individual Refineries'!$Q$3:$Q$1084)</f>
        <v/>
      </c>
      <c r="L88" s="34">
        <f>SUMIFS(Data!$N$3:$N$125,Data!$A$3:$A$125,$A88)</f>
        <v/>
      </c>
      <c r="M88" s="34">
        <f>IFERROR($K88/(SUMIFS(Data!$G$3:$G$125,Data!$A$3:$A$125,$A88)*$D88),"")</f>
        <v/>
      </c>
      <c r="N88" s="53">
        <f>IF($M88="","",$M88-$L88)</f>
        <v/>
      </c>
      <c r="O88" s="49">
        <f>IF(AND($H88&gt;0,$G88&gt;$H88*1.05),"SR &gt; NHT cap","")</f>
        <v/>
      </c>
    </row>
    <row r="89">
      <c r="A89" s="40" t="inlineStr">
        <is>
          <t>PAR_NEWCASTLE</t>
        </is>
      </c>
      <c r="B89" s="28" t="n">
        <v>4</v>
      </c>
      <c r="C89" s="30">
        <f>SUMPRODUCT(('Individual Refineries'!$B$3:$B$1084=$A89)*('Individual Refineries'!$D$3:$D$1084="CDU")*'Individual Refineries'!$F$3:$F$1084)</f>
        <v/>
      </c>
      <c r="D89" s="52">
        <f>SUMPRODUCT(('Individual Refineries'!$B$3:$B$1084=$A89)*('Individual Refineries'!$D$3:$D$1084="CDU")*'Individual Refineries'!$K$3:$K$1084)</f>
        <v/>
      </c>
      <c r="E89" s="30">
        <f>$C89*$D89</f>
        <v/>
      </c>
      <c r="F89" s="33">
        <f>SUMPRODUCT(('Individual Refineries'!$B$3:$B$1084=$A89)*('Individual Refineries'!$D$3:$D$1084="CDU")*'Individual Refineries'!$P$3:$P$1084)</f>
        <v/>
      </c>
      <c r="G89" s="35">
        <f>$E89*$F89</f>
        <v/>
      </c>
      <c r="H89" s="30">
        <f>SUMPRODUCT(('Individual Refineries'!$B$3:$B$1084=$A89)*('Individual Refineries'!$D$3:$D$1084="NHT")*'Individual Refineries'!$F$3:$F$1084)</f>
        <v/>
      </c>
      <c r="I89" s="35">
        <f>SUMPRODUCT(('Individual Refineries'!$B$3:$B$1084=$A89)*('Individual Refineries'!$D$3:$D$1084="REF")*'Individual Refineries'!$F$3:$F$1084)*SUMPRODUCT(('Individual Refineries'!$B$3:$B$1084=$A89)*('Individual Refineries'!$D$3:$D$1084="REF")*'Individual Refineries'!$K$3:$K$1084)+SUMPRODUCT(('Individual Refineries'!$B$3:$B$1084=$A89)*('Individual Refineries'!$D$3:$D$1084="CCR")*'Individual Refineries'!$F$3:$F$1084)*SUMPRODUCT(('Individual Refineries'!$B$3:$B$1084=$A89)*('Individual Refineries'!$D$3:$D$1084="CCR")*'Individual Refineries'!$K$3:$K$1084)</f>
        <v/>
      </c>
      <c r="J89" s="35">
        <f>SUMPRODUCT(('Individual Refineries'!$B$3:$B$1084=$A89)*('Individual Refineries'!$D$3:$D$1084="ISOM")*'Individual Refineries'!$F$3:$F$1084)*SUMPRODUCT(('Individual Refineries'!$B$3:$B$1084=$A89)*('Individual Refineries'!$D$3:$D$1084="ISOM")*'Individual Refineries'!$K$3:$K$1084)</f>
        <v/>
      </c>
      <c r="K89" s="35">
        <f>SUMPRODUCT(('Individual Refineries'!$A$3:$A$1084="TOTAL")*('Individual Refineries'!$B$3:$B$1084=$A89)*'Individual Refineries'!$Q$3:$Q$1084)</f>
        <v/>
      </c>
      <c r="L89" s="34">
        <f>SUMIFS(Data!$N$3:$N$125,Data!$A$3:$A$125,$A89)</f>
        <v/>
      </c>
      <c r="M89" s="34">
        <f>IFERROR($K89/(SUMIFS(Data!$G$3:$G$125,Data!$A$3:$A$125,$A89)*$D89),"")</f>
        <v/>
      </c>
      <c r="N89" s="53">
        <f>IF($M89="","",$M89-$L89)</f>
        <v/>
      </c>
      <c r="O89" s="49">
        <f>IF(AND($H89&gt;0,$G89&gt;$H89*1.05),"SR &gt; NHT cap","")</f>
        <v/>
      </c>
    </row>
    <row r="90">
      <c r="A90" s="40" t="inlineStr">
        <is>
          <t>MONTANA_GREAT_FALLS</t>
        </is>
      </c>
      <c r="B90" s="28" t="n">
        <v>4</v>
      </c>
      <c r="C90" s="30">
        <f>SUMPRODUCT(('Individual Refineries'!$B$3:$B$1084=$A90)*('Individual Refineries'!$D$3:$D$1084="CDU")*'Individual Refineries'!$F$3:$F$1084)</f>
        <v/>
      </c>
      <c r="D90" s="52">
        <f>SUMPRODUCT(('Individual Refineries'!$B$3:$B$1084=$A90)*('Individual Refineries'!$D$3:$D$1084="CDU")*'Individual Refineries'!$K$3:$K$1084)</f>
        <v/>
      </c>
      <c r="E90" s="30">
        <f>$C90*$D90</f>
        <v/>
      </c>
      <c r="F90" s="33">
        <f>SUMPRODUCT(('Individual Refineries'!$B$3:$B$1084=$A90)*('Individual Refineries'!$D$3:$D$1084="CDU")*'Individual Refineries'!$P$3:$P$1084)</f>
        <v/>
      </c>
      <c r="G90" s="35">
        <f>$E90*$F90</f>
        <v/>
      </c>
      <c r="H90" s="30">
        <f>SUMPRODUCT(('Individual Refineries'!$B$3:$B$1084=$A90)*('Individual Refineries'!$D$3:$D$1084="NHT")*'Individual Refineries'!$F$3:$F$1084)</f>
        <v/>
      </c>
      <c r="I90" s="35">
        <f>SUMPRODUCT(('Individual Refineries'!$B$3:$B$1084=$A90)*('Individual Refineries'!$D$3:$D$1084="REF")*'Individual Refineries'!$F$3:$F$1084)*SUMPRODUCT(('Individual Refineries'!$B$3:$B$1084=$A90)*('Individual Refineries'!$D$3:$D$1084="REF")*'Individual Refineries'!$K$3:$K$1084)+SUMPRODUCT(('Individual Refineries'!$B$3:$B$1084=$A90)*('Individual Refineries'!$D$3:$D$1084="CCR")*'Individual Refineries'!$F$3:$F$1084)*SUMPRODUCT(('Individual Refineries'!$B$3:$B$1084=$A90)*('Individual Refineries'!$D$3:$D$1084="CCR")*'Individual Refineries'!$K$3:$K$1084)</f>
        <v/>
      </c>
      <c r="J90" s="35">
        <f>SUMPRODUCT(('Individual Refineries'!$B$3:$B$1084=$A90)*('Individual Refineries'!$D$3:$D$1084="ISOM")*'Individual Refineries'!$F$3:$F$1084)*SUMPRODUCT(('Individual Refineries'!$B$3:$B$1084=$A90)*('Individual Refineries'!$D$3:$D$1084="ISOM")*'Individual Refineries'!$K$3:$K$1084)</f>
        <v/>
      </c>
      <c r="K90" s="35">
        <f>SUMPRODUCT(('Individual Refineries'!$A$3:$A$1084="TOTAL")*('Individual Refineries'!$B$3:$B$1084=$A90)*'Individual Refineries'!$Q$3:$Q$1084)</f>
        <v/>
      </c>
      <c r="L90" s="34">
        <f>SUMIFS(Data!$N$3:$N$125,Data!$A$3:$A$125,$A90)</f>
        <v/>
      </c>
      <c r="M90" s="34">
        <f>IFERROR($K90/(SUMIFS(Data!$G$3:$G$125,Data!$A$3:$A$125,$A90)*$D90),"")</f>
        <v/>
      </c>
      <c r="N90" s="53">
        <f>IF($M90="","",$M90-$L90)</f>
        <v/>
      </c>
      <c r="O90" s="49">
        <f>IF(AND($H90&gt;0,$G90&gt;$H90*1.05),"SR &gt; NHT cap","")</f>
        <v/>
      </c>
    </row>
    <row r="91">
      <c r="A91" s="40" t="inlineStr">
        <is>
          <t>SILVER_WOODS_CROSS</t>
        </is>
      </c>
      <c r="B91" s="28" t="n">
        <v>4</v>
      </c>
      <c r="C91" s="30">
        <f>SUMPRODUCT(('Individual Refineries'!$B$3:$B$1084=$A91)*('Individual Refineries'!$D$3:$D$1084="CDU")*'Individual Refineries'!$F$3:$F$1084)</f>
        <v/>
      </c>
      <c r="D91" s="52">
        <f>SUMPRODUCT(('Individual Refineries'!$B$3:$B$1084=$A91)*('Individual Refineries'!$D$3:$D$1084="CDU")*'Individual Refineries'!$K$3:$K$1084)</f>
        <v/>
      </c>
      <c r="E91" s="30">
        <f>$C91*$D91</f>
        <v/>
      </c>
      <c r="F91" s="33">
        <f>SUMPRODUCT(('Individual Refineries'!$B$3:$B$1084=$A91)*('Individual Refineries'!$D$3:$D$1084="CDU")*'Individual Refineries'!$P$3:$P$1084)</f>
        <v/>
      </c>
      <c r="G91" s="35">
        <f>$E91*$F91</f>
        <v/>
      </c>
      <c r="H91" s="30">
        <f>SUMPRODUCT(('Individual Refineries'!$B$3:$B$1084=$A91)*('Individual Refineries'!$D$3:$D$1084="NHT")*'Individual Refineries'!$F$3:$F$1084)</f>
        <v/>
      </c>
      <c r="I91" s="35">
        <f>SUMPRODUCT(('Individual Refineries'!$B$3:$B$1084=$A91)*('Individual Refineries'!$D$3:$D$1084="REF")*'Individual Refineries'!$F$3:$F$1084)*SUMPRODUCT(('Individual Refineries'!$B$3:$B$1084=$A91)*('Individual Refineries'!$D$3:$D$1084="REF")*'Individual Refineries'!$K$3:$K$1084)+SUMPRODUCT(('Individual Refineries'!$B$3:$B$1084=$A91)*('Individual Refineries'!$D$3:$D$1084="CCR")*'Individual Refineries'!$F$3:$F$1084)*SUMPRODUCT(('Individual Refineries'!$B$3:$B$1084=$A91)*('Individual Refineries'!$D$3:$D$1084="CCR")*'Individual Refineries'!$K$3:$K$1084)</f>
        <v/>
      </c>
      <c r="J91" s="35">
        <f>SUMPRODUCT(('Individual Refineries'!$B$3:$B$1084=$A91)*('Individual Refineries'!$D$3:$D$1084="ISOM")*'Individual Refineries'!$F$3:$F$1084)*SUMPRODUCT(('Individual Refineries'!$B$3:$B$1084=$A91)*('Individual Refineries'!$D$3:$D$1084="ISOM")*'Individual Refineries'!$K$3:$K$1084)</f>
        <v/>
      </c>
      <c r="K91" s="35">
        <f>SUMPRODUCT(('Individual Refineries'!$A$3:$A$1084="TOTAL")*('Individual Refineries'!$B$3:$B$1084=$A91)*'Individual Refineries'!$Q$3:$Q$1084)</f>
        <v/>
      </c>
      <c r="L91" s="34">
        <f>SUMIFS(Data!$N$3:$N$125,Data!$A$3:$A$125,$A91)</f>
        <v/>
      </c>
      <c r="M91" s="34">
        <f>IFERROR($K91/(SUMIFS(Data!$G$3:$G$125,Data!$A$3:$A$125,$A91)*$D91),"")</f>
        <v/>
      </c>
      <c r="N91" s="53">
        <f>IF($M91="","",$M91-$L91)</f>
        <v/>
      </c>
      <c r="O91" s="49">
        <f>IF(AND($H91&gt;0,$G91&gt;$H91*1.05),"SR &gt; NHT cap","")</f>
        <v/>
      </c>
    </row>
    <row r="92">
      <c r="A92" s="40" t="inlineStr">
        <is>
          <t>WYOMING_EVANSTON</t>
        </is>
      </c>
      <c r="B92" s="28" t="n">
        <v>4</v>
      </c>
      <c r="C92" s="30">
        <f>SUMPRODUCT(('Individual Refineries'!$B$3:$B$1084=$A92)*('Individual Refineries'!$D$3:$D$1084="CDU")*'Individual Refineries'!$F$3:$F$1084)</f>
        <v/>
      </c>
      <c r="D92" s="52">
        <f>SUMPRODUCT(('Individual Refineries'!$B$3:$B$1084=$A92)*('Individual Refineries'!$D$3:$D$1084="CDU")*'Individual Refineries'!$K$3:$K$1084)</f>
        <v/>
      </c>
      <c r="E92" s="30">
        <f>$C92*$D92</f>
        <v/>
      </c>
      <c r="F92" s="33">
        <f>SUMPRODUCT(('Individual Refineries'!$B$3:$B$1084=$A92)*('Individual Refineries'!$D$3:$D$1084="CDU")*'Individual Refineries'!$P$3:$P$1084)</f>
        <v/>
      </c>
      <c r="G92" s="35">
        <f>$E92*$F92</f>
        <v/>
      </c>
      <c r="H92" s="30">
        <f>SUMPRODUCT(('Individual Refineries'!$B$3:$B$1084=$A92)*('Individual Refineries'!$D$3:$D$1084="NHT")*'Individual Refineries'!$F$3:$F$1084)</f>
        <v/>
      </c>
      <c r="I92" s="35">
        <f>SUMPRODUCT(('Individual Refineries'!$B$3:$B$1084=$A92)*('Individual Refineries'!$D$3:$D$1084="REF")*'Individual Refineries'!$F$3:$F$1084)*SUMPRODUCT(('Individual Refineries'!$B$3:$B$1084=$A92)*('Individual Refineries'!$D$3:$D$1084="REF")*'Individual Refineries'!$K$3:$K$1084)+SUMPRODUCT(('Individual Refineries'!$B$3:$B$1084=$A92)*('Individual Refineries'!$D$3:$D$1084="CCR")*'Individual Refineries'!$F$3:$F$1084)*SUMPRODUCT(('Individual Refineries'!$B$3:$B$1084=$A92)*('Individual Refineries'!$D$3:$D$1084="CCR")*'Individual Refineries'!$K$3:$K$1084)</f>
        <v/>
      </c>
      <c r="J92" s="35">
        <f>SUMPRODUCT(('Individual Refineries'!$B$3:$B$1084=$A92)*('Individual Refineries'!$D$3:$D$1084="ISOM")*'Individual Refineries'!$F$3:$F$1084)*SUMPRODUCT(('Individual Refineries'!$B$3:$B$1084=$A92)*('Individual Refineries'!$D$3:$D$1084="ISOM")*'Individual Refineries'!$K$3:$K$1084)</f>
        <v/>
      </c>
      <c r="K92" s="35">
        <f>SUMPRODUCT(('Individual Refineries'!$A$3:$A$1084="TOTAL")*('Individual Refineries'!$B$3:$B$1084=$A92)*'Individual Refineries'!$Q$3:$Q$1084)</f>
        <v/>
      </c>
      <c r="L92" s="34">
        <f>SUMIFS(Data!$N$3:$N$125,Data!$A$3:$A$125,$A92)</f>
        <v/>
      </c>
      <c r="M92" s="34">
        <f>IFERROR($K92/(SUMIFS(Data!$G$3:$G$125,Data!$A$3:$A$125,$A92)*$D92),"")</f>
        <v/>
      </c>
      <c r="N92" s="53">
        <f>IF($M92="","",$M92-$L92)</f>
        <v/>
      </c>
      <c r="O92" s="49">
        <f>IF(AND($H92&gt;0,$G92&gt;$H92*1.05),"SR &gt; NHT cap","")</f>
        <v/>
      </c>
    </row>
    <row r="93">
      <c r="A93" s="40" t="inlineStr">
        <is>
          <t>CHEVRON_EL_SEGUNDO</t>
        </is>
      </c>
      <c r="B93" s="28" t="n">
        <v>5</v>
      </c>
      <c r="C93" s="30">
        <f>SUMPRODUCT(('Individual Refineries'!$B$3:$B$1084=$A93)*('Individual Refineries'!$D$3:$D$1084="CDU")*'Individual Refineries'!$F$3:$F$1084)</f>
        <v/>
      </c>
      <c r="D93" s="52">
        <f>SUMPRODUCT(('Individual Refineries'!$B$3:$B$1084=$A93)*('Individual Refineries'!$D$3:$D$1084="CDU")*'Individual Refineries'!$K$3:$K$1084)</f>
        <v/>
      </c>
      <c r="E93" s="30">
        <f>$C93*$D93</f>
        <v/>
      </c>
      <c r="F93" s="33">
        <f>SUMPRODUCT(('Individual Refineries'!$B$3:$B$1084=$A93)*('Individual Refineries'!$D$3:$D$1084="CDU")*'Individual Refineries'!$P$3:$P$1084)</f>
        <v/>
      </c>
      <c r="G93" s="35">
        <f>$E93*$F93</f>
        <v/>
      </c>
      <c r="H93" s="30">
        <f>SUMPRODUCT(('Individual Refineries'!$B$3:$B$1084=$A93)*('Individual Refineries'!$D$3:$D$1084="NHT")*'Individual Refineries'!$F$3:$F$1084)</f>
        <v/>
      </c>
      <c r="I93" s="35">
        <f>SUMPRODUCT(('Individual Refineries'!$B$3:$B$1084=$A93)*('Individual Refineries'!$D$3:$D$1084="REF")*'Individual Refineries'!$F$3:$F$1084)*SUMPRODUCT(('Individual Refineries'!$B$3:$B$1084=$A93)*('Individual Refineries'!$D$3:$D$1084="REF")*'Individual Refineries'!$K$3:$K$1084)+SUMPRODUCT(('Individual Refineries'!$B$3:$B$1084=$A93)*('Individual Refineries'!$D$3:$D$1084="CCR")*'Individual Refineries'!$F$3:$F$1084)*SUMPRODUCT(('Individual Refineries'!$B$3:$B$1084=$A93)*('Individual Refineries'!$D$3:$D$1084="CCR")*'Individual Refineries'!$K$3:$K$1084)</f>
        <v/>
      </c>
      <c r="J93" s="35">
        <f>SUMPRODUCT(('Individual Refineries'!$B$3:$B$1084=$A93)*('Individual Refineries'!$D$3:$D$1084="ISOM")*'Individual Refineries'!$F$3:$F$1084)*SUMPRODUCT(('Individual Refineries'!$B$3:$B$1084=$A93)*('Individual Refineries'!$D$3:$D$1084="ISOM")*'Individual Refineries'!$K$3:$K$1084)</f>
        <v/>
      </c>
      <c r="K93" s="35">
        <f>SUMPRODUCT(('Individual Refineries'!$A$3:$A$1084="TOTAL")*('Individual Refineries'!$B$3:$B$1084=$A93)*'Individual Refineries'!$Q$3:$Q$1084)</f>
        <v/>
      </c>
      <c r="L93" s="34">
        <f>SUMIFS(Data!$N$3:$N$125,Data!$A$3:$A$125,$A93)</f>
        <v/>
      </c>
      <c r="M93" s="34">
        <f>IFERROR($K93/(SUMIFS(Data!$G$3:$G$125,Data!$A$3:$A$125,$A93)*$D93),"")</f>
        <v/>
      </c>
      <c r="N93" s="53">
        <f>IF($M93="","",$M93-$L93)</f>
        <v/>
      </c>
      <c r="O93" s="49">
        <f>IF(AND($H93&gt;0,$G93&gt;$H93*1.05),"SR &gt; NHT cap","")</f>
        <v/>
      </c>
    </row>
    <row r="94">
      <c r="A94" s="40" t="inlineStr">
        <is>
          <t>CHEVRON_RICHMOND</t>
        </is>
      </c>
      <c r="B94" s="28" t="n">
        <v>5</v>
      </c>
      <c r="C94" s="30">
        <f>SUMPRODUCT(('Individual Refineries'!$B$3:$B$1084=$A94)*('Individual Refineries'!$D$3:$D$1084="CDU")*'Individual Refineries'!$F$3:$F$1084)</f>
        <v/>
      </c>
      <c r="D94" s="52">
        <f>SUMPRODUCT(('Individual Refineries'!$B$3:$B$1084=$A94)*('Individual Refineries'!$D$3:$D$1084="CDU")*'Individual Refineries'!$K$3:$K$1084)</f>
        <v/>
      </c>
      <c r="E94" s="30">
        <f>$C94*$D94</f>
        <v/>
      </c>
      <c r="F94" s="33">
        <f>SUMPRODUCT(('Individual Refineries'!$B$3:$B$1084=$A94)*('Individual Refineries'!$D$3:$D$1084="CDU")*'Individual Refineries'!$P$3:$P$1084)</f>
        <v/>
      </c>
      <c r="G94" s="35">
        <f>$E94*$F94</f>
        <v/>
      </c>
      <c r="H94" s="30">
        <f>SUMPRODUCT(('Individual Refineries'!$B$3:$B$1084=$A94)*('Individual Refineries'!$D$3:$D$1084="NHT")*'Individual Refineries'!$F$3:$F$1084)</f>
        <v/>
      </c>
      <c r="I94" s="35">
        <f>SUMPRODUCT(('Individual Refineries'!$B$3:$B$1084=$A94)*('Individual Refineries'!$D$3:$D$1084="REF")*'Individual Refineries'!$F$3:$F$1084)*SUMPRODUCT(('Individual Refineries'!$B$3:$B$1084=$A94)*('Individual Refineries'!$D$3:$D$1084="REF")*'Individual Refineries'!$K$3:$K$1084)+SUMPRODUCT(('Individual Refineries'!$B$3:$B$1084=$A94)*('Individual Refineries'!$D$3:$D$1084="CCR")*'Individual Refineries'!$F$3:$F$1084)*SUMPRODUCT(('Individual Refineries'!$B$3:$B$1084=$A94)*('Individual Refineries'!$D$3:$D$1084="CCR")*'Individual Refineries'!$K$3:$K$1084)</f>
        <v/>
      </c>
      <c r="J94" s="35">
        <f>SUMPRODUCT(('Individual Refineries'!$B$3:$B$1084=$A94)*('Individual Refineries'!$D$3:$D$1084="ISOM")*'Individual Refineries'!$F$3:$F$1084)*SUMPRODUCT(('Individual Refineries'!$B$3:$B$1084=$A94)*('Individual Refineries'!$D$3:$D$1084="ISOM")*'Individual Refineries'!$K$3:$K$1084)</f>
        <v/>
      </c>
      <c r="K94" s="35">
        <f>SUMPRODUCT(('Individual Refineries'!$A$3:$A$1084="TOTAL")*('Individual Refineries'!$B$3:$B$1084=$A94)*'Individual Refineries'!$Q$3:$Q$1084)</f>
        <v/>
      </c>
      <c r="L94" s="34">
        <f>SUMIFS(Data!$N$3:$N$125,Data!$A$3:$A$125,$A94)</f>
        <v/>
      </c>
      <c r="M94" s="34">
        <f>IFERROR($K94/(SUMIFS(Data!$G$3:$G$125,Data!$A$3:$A$125,$A94)*$D94),"")</f>
        <v/>
      </c>
      <c r="N94" s="53">
        <f>IF($M94="","",$M94-$L94)</f>
        <v/>
      </c>
      <c r="O94" s="49">
        <f>IF(AND($H94&gt;0,$G94&gt;$H94*1.05),"SR &gt; NHT cap","")</f>
        <v/>
      </c>
    </row>
    <row r="95">
      <c r="A95" s="40" t="inlineStr">
        <is>
          <t>BP_FERNDALE</t>
        </is>
      </c>
      <c r="B95" s="28" t="n">
        <v>5</v>
      </c>
      <c r="C95" s="30">
        <f>SUMPRODUCT(('Individual Refineries'!$B$3:$B$1084=$A95)*('Individual Refineries'!$D$3:$D$1084="CDU")*'Individual Refineries'!$F$3:$F$1084)</f>
        <v/>
      </c>
      <c r="D95" s="52">
        <f>SUMPRODUCT(('Individual Refineries'!$B$3:$B$1084=$A95)*('Individual Refineries'!$D$3:$D$1084="CDU")*'Individual Refineries'!$K$3:$K$1084)</f>
        <v/>
      </c>
      <c r="E95" s="30">
        <f>$C95*$D95</f>
        <v/>
      </c>
      <c r="F95" s="33">
        <f>SUMPRODUCT(('Individual Refineries'!$B$3:$B$1084=$A95)*('Individual Refineries'!$D$3:$D$1084="CDU")*'Individual Refineries'!$P$3:$P$1084)</f>
        <v/>
      </c>
      <c r="G95" s="35">
        <f>$E95*$F95</f>
        <v/>
      </c>
      <c r="H95" s="30">
        <f>SUMPRODUCT(('Individual Refineries'!$B$3:$B$1084=$A95)*('Individual Refineries'!$D$3:$D$1084="NHT")*'Individual Refineries'!$F$3:$F$1084)</f>
        <v/>
      </c>
      <c r="I95" s="35">
        <f>SUMPRODUCT(('Individual Refineries'!$B$3:$B$1084=$A95)*('Individual Refineries'!$D$3:$D$1084="REF")*'Individual Refineries'!$F$3:$F$1084)*SUMPRODUCT(('Individual Refineries'!$B$3:$B$1084=$A95)*('Individual Refineries'!$D$3:$D$1084="REF")*'Individual Refineries'!$K$3:$K$1084)+SUMPRODUCT(('Individual Refineries'!$B$3:$B$1084=$A95)*('Individual Refineries'!$D$3:$D$1084="CCR")*'Individual Refineries'!$F$3:$F$1084)*SUMPRODUCT(('Individual Refineries'!$B$3:$B$1084=$A95)*('Individual Refineries'!$D$3:$D$1084="CCR")*'Individual Refineries'!$K$3:$K$1084)</f>
        <v/>
      </c>
      <c r="J95" s="35">
        <f>SUMPRODUCT(('Individual Refineries'!$B$3:$B$1084=$A95)*('Individual Refineries'!$D$3:$D$1084="ISOM")*'Individual Refineries'!$F$3:$F$1084)*SUMPRODUCT(('Individual Refineries'!$B$3:$B$1084=$A95)*('Individual Refineries'!$D$3:$D$1084="ISOM")*'Individual Refineries'!$K$3:$K$1084)</f>
        <v/>
      </c>
      <c r="K95" s="35">
        <f>SUMPRODUCT(('Individual Refineries'!$A$3:$A$1084="TOTAL")*('Individual Refineries'!$B$3:$B$1084=$A95)*'Individual Refineries'!$Q$3:$Q$1084)</f>
        <v/>
      </c>
      <c r="L95" s="34">
        <f>SUMIFS(Data!$N$3:$N$125,Data!$A$3:$A$125,$A95)</f>
        <v/>
      </c>
      <c r="M95" s="34">
        <f>IFERROR($K95/(SUMIFS(Data!$G$3:$G$125,Data!$A$3:$A$125,$A95)*$D95),"")</f>
        <v/>
      </c>
      <c r="N95" s="53">
        <f>IF($M95="","",$M95-$L95)</f>
        <v/>
      </c>
      <c r="O95" s="49">
        <f>IF(AND($H95&gt;0,$G95&gt;$H95*1.05),"SR &gt; NHT cap","")</f>
        <v/>
      </c>
    </row>
    <row r="96">
      <c r="A96" s="40" t="inlineStr">
        <is>
          <t>PBF_TORRANCE</t>
        </is>
      </c>
      <c r="B96" s="28" t="n">
        <v>5</v>
      </c>
      <c r="C96" s="30">
        <f>SUMPRODUCT(('Individual Refineries'!$B$3:$B$1084=$A96)*('Individual Refineries'!$D$3:$D$1084="CDU")*'Individual Refineries'!$F$3:$F$1084)</f>
        <v/>
      </c>
      <c r="D96" s="52">
        <f>SUMPRODUCT(('Individual Refineries'!$B$3:$B$1084=$A96)*('Individual Refineries'!$D$3:$D$1084="CDU")*'Individual Refineries'!$K$3:$K$1084)</f>
        <v/>
      </c>
      <c r="E96" s="30">
        <f>$C96*$D96</f>
        <v/>
      </c>
      <c r="F96" s="33">
        <f>SUMPRODUCT(('Individual Refineries'!$B$3:$B$1084=$A96)*('Individual Refineries'!$D$3:$D$1084="CDU")*'Individual Refineries'!$P$3:$P$1084)</f>
        <v/>
      </c>
      <c r="G96" s="35">
        <f>$E96*$F96</f>
        <v/>
      </c>
      <c r="H96" s="30">
        <f>SUMPRODUCT(('Individual Refineries'!$B$3:$B$1084=$A96)*('Individual Refineries'!$D$3:$D$1084="NHT")*'Individual Refineries'!$F$3:$F$1084)</f>
        <v/>
      </c>
      <c r="I96" s="35">
        <f>SUMPRODUCT(('Individual Refineries'!$B$3:$B$1084=$A96)*('Individual Refineries'!$D$3:$D$1084="REF")*'Individual Refineries'!$F$3:$F$1084)*SUMPRODUCT(('Individual Refineries'!$B$3:$B$1084=$A96)*('Individual Refineries'!$D$3:$D$1084="REF")*'Individual Refineries'!$K$3:$K$1084)+SUMPRODUCT(('Individual Refineries'!$B$3:$B$1084=$A96)*('Individual Refineries'!$D$3:$D$1084="CCR")*'Individual Refineries'!$F$3:$F$1084)*SUMPRODUCT(('Individual Refineries'!$B$3:$B$1084=$A96)*('Individual Refineries'!$D$3:$D$1084="CCR")*'Individual Refineries'!$K$3:$K$1084)</f>
        <v/>
      </c>
      <c r="J96" s="35">
        <f>SUMPRODUCT(('Individual Refineries'!$B$3:$B$1084=$A96)*('Individual Refineries'!$D$3:$D$1084="ISOM")*'Individual Refineries'!$F$3:$F$1084)*SUMPRODUCT(('Individual Refineries'!$B$3:$B$1084=$A96)*('Individual Refineries'!$D$3:$D$1084="ISOM")*'Individual Refineries'!$K$3:$K$1084)</f>
        <v/>
      </c>
      <c r="K96" s="35">
        <f>SUMPRODUCT(('Individual Refineries'!$A$3:$A$1084="TOTAL")*('Individual Refineries'!$B$3:$B$1084=$A96)*'Individual Refineries'!$Q$3:$Q$1084)</f>
        <v/>
      </c>
      <c r="L96" s="34">
        <f>SUMIFS(Data!$N$3:$N$125,Data!$A$3:$A$125,$A96)</f>
        <v/>
      </c>
      <c r="M96" s="34">
        <f>IFERROR($K96/(SUMIFS(Data!$G$3:$G$125,Data!$A$3:$A$125,$A96)*$D96),"")</f>
        <v/>
      </c>
      <c r="N96" s="53">
        <f>IF($M96="","",$M96-$L96)</f>
        <v/>
      </c>
      <c r="O96" s="49">
        <f>IF(AND($H96&gt;0,$G96&gt;$H96*1.05),"SR &gt; NHT cap","")</f>
        <v/>
      </c>
    </row>
    <row r="97">
      <c r="A97" s="40" t="inlineStr">
        <is>
          <t>PBF_MARTINEZ</t>
        </is>
      </c>
      <c r="B97" s="28" t="n">
        <v>5</v>
      </c>
      <c r="C97" s="30">
        <f>SUMPRODUCT(('Individual Refineries'!$B$3:$B$1084=$A97)*('Individual Refineries'!$D$3:$D$1084="CDU")*'Individual Refineries'!$F$3:$F$1084)</f>
        <v/>
      </c>
      <c r="D97" s="52">
        <f>SUMPRODUCT(('Individual Refineries'!$B$3:$B$1084=$A97)*('Individual Refineries'!$D$3:$D$1084="CDU")*'Individual Refineries'!$K$3:$K$1084)</f>
        <v/>
      </c>
      <c r="E97" s="30">
        <f>$C97*$D97</f>
        <v/>
      </c>
      <c r="F97" s="33">
        <f>SUMPRODUCT(('Individual Refineries'!$B$3:$B$1084=$A97)*('Individual Refineries'!$D$3:$D$1084="CDU")*'Individual Refineries'!$P$3:$P$1084)</f>
        <v/>
      </c>
      <c r="G97" s="35">
        <f>$E97*$F97</f>
        <v/>
      </c>
      <c r="H97" s="30">
        <f>SUMPRODUCT(('Individual Refineries'!$B$3:$B$1084=$A97)*('Individual Refineries'!$D$3:$D$1084="NHT")*'Individual Refineries'!$F$3:$F$1084)</f>
        <v/>
      </c>
      <c r="I97" s="35">
        <f>SUMPRODUCT(('Individual Refineries'!$B$3:$B$1084=$A97)*('Individual Refineries'!$D$3:$D$1084="REF")*'Individual Refineries'!$F$3:$F$1084)*SUMPRODUCT(('Individual Refineries'!$B$3:$B$1084=$A97)*('Individual Refineries'!$D$3:$D$1084="REF")*'Individual Refineries'!$K$3:$K$1084)+SUMPRODUCT(('Individual Refineries'!$B$3:$B$1084=$A97)*('Individual Refineries'!$D$3:$D$1084="CCR")*'Individual Refineries'!$F$3:$F$1084)*SUMPRODUCT(('Individual Refineries'!$B$3:$B$1084=$A97)*('Individual Refineries'!$D$3:$D$1084="CCR")*'Individual Refineries'!$K$3:$K$1084)</f>
        <v/>
      </c>
      <c r="J97" s="35">
        <f>SUMPRODUCT(('Individual Refineries'!$B$3:$B$1084=$A97)*('Individual Refineries'!$D$3:$D$1084="ISOM")*'Individual Refineries'!$F$3:$F$1084)*SUMPRODUCT(('Individual Refineries'!$B$3:$B$1084=$A97)*('Individual Refineries'!$D$3:$D$1084="ISOM")*'Individual Refineries'!$K$3:$K$1084)</f>
        <v/>
      </c>
      <c r="K97" s="35">
        <f>SUMPRODUCT(('Individual Refineries'!$A$3:$A$1084="TOTAL")*('Individual Refineries'!$B$3:$B$1084=$A97)*'Individual Refineries'!$Q$3:$Q$1084)</f>
        <v/>
      </c>
      <c r="L97" s="34">
        <f>SUMIFS(Data!$N$3:$N$125,Data!$A$3:$A$125,$A97)</f>
        <v/>
      </c>
      <c r="M97" s="34">
        <f>IFERROR($K97/(SUMIFS(Data!$G$3:$G$125,Data!$A$3:$A$125,$A97)*$D97),"")</f>
        <v/>
      </c>
      <c r="N97" s="53">
        <f>IF($M97="","",$M97-$L97)</f>
        <v/>
      </c>
      <c r="O97" s="49">
        <f>IF(AND($H97&gt;0,$G97&gt;$H97*1.05),"SR &gt; NHT cap","")</f>
        <v/>
      </c>
    </row>
    <row r="98">
      <c r="A98" s="40" t="inlineStr">
        <is>
          <t>HF_ANACORTES</t>
        </is>
      </c>
      <c r="B98" s="28" t="n">
        <v>5</v>
      </c>
      <c r="C98" s="30">
        <f>SUMPRODUCT(('Individual Refineries'!$B$3:$B$1084=$A98)*('Individual Refineries'!$D$3:$D$1084="CDU")*'Individual Refineries'!$F$3:$F$1084)</f>
        <v/>
      </c>
      <c r="D98" s="52">
        <f>SUMPRODUCT(('Individual Refineries'!$B$3:$B$1084=$A98)*('Individual Refineries'!$D$3:$D$1084="CDU")*'Individual Refineries'!$K$3:$K$1084)</f>
        <v/>
      </c>
      <c r="E98" s="30">
        <f>$C98*$D98</f>
        <v/>
      </c>
      <c r="F98" s="33">
        <f>SUMPRODUCT(('Individual Refineries'!$B$3:$B$1084=$A98)*('Individual Refineries'!$D$3:$D$1084="CDU")*'Individual Refineries'!$P$3:$P$1084)</f>
        <v/>
      </c>
      <c r="G98" s="35">
        <f>$E98*$F98</f>
        <v/>
      </c>
      <c r="H98" s="30">
        <f>SUMPRODUCT(('Individual Refineries'!$B$3:$B$1084=$A98)*('Individual Refineries'!$D$3:$D$1084="NHT")*'Individual Refineries'!$F$3:$F$1084)</f>
        <v/>
      </c>
      <c r="I98" s="35">
        <f>SUMPRODUCT(('Individual Refineries'!$B$3:$B$1084=$A98)*('Individual Refineries'!$D$3:$D$1084="REF")*'Individual Refineries'!$F$3:$F$1084)*SUMPRODUCT(('Individual Refineries'!$B$3:$B$1084=$A98)*('Individual Refineries'!$D$3:$D$1084="REF")*'Individual Refineries'!$K$3:$K$1084)+SUMPRODUCT(('Individual Refineries'!$B$3:$B$1084=$A98)*('Individual Refineries'!$D$3:$D$1084="CCR")*'Individual Refineries'!$F$3:$F$1084)*SUMPRODUCT(('Individual Refineries'!$B$3:$B$1084=$A98)*('Individual Refineries'!$D$3:$D$1084="CCR")*'Individual Refineries'!$K$3:$K$1084)</f>
        <v/>
      </c>
      <c r="J98" s="35">
        <f>SUMPRODUCT(('Individual Refineries'!$B$3:$B$1084=$A98)*('Individual Refineries'!$D$3:$D$1084="ISOM")*'Individual Refineries'!$F$3:$F$1084)*SUMPRODUCT(('Individual Refineries'!$B$3:$B$1084=$A98)*('Individual Refineries'!$D$3:$D$1084="ISOM")*'Individual Refineries'!$K$3:$K$1084)</f>
        <v/>
      </c>
      <c r="K98" s="35">
        <f>SUMPRODUCT(('Individual Refineries'!$A$3:$A$1084="TOTAL")*('Individual Refineries'!$B$3:$B$1084=$A98)*'Individual Refineries'!$Q$3:$Q$1084)</f>
        <v/>
      </c>
      <c r="L98" s="34">
        <f>SUMIFS(Data!$N$3:$N$125,Data!$A$3:$A$125,$A98)</f>
        <v/>
      </c>
      <c r="M98" s="34">
        <f>IFERROR($K98/(SUMIFS(Data!$G$3:$G$125,Data!$A$3:$A$125,$A98)*$D98),"")</f>
        <v/>
      </c>
      <c r="N98" s="53">
        <f>IF($M98="","",$M98-$L98)</f>
        <v/>
      </c>
      <c r="O98" s="49">
        <f>IF(AND($H98&gt;0,$G98&gt;$H98*1.05),"SR &gt; NHT cap","")</f>
        <v/>
      </c>
    </row>
    <row r="99">
      <c r="A99" s="40" t="inlineStr">
        <is>
          <t>MARATHON_ANACORTES</t>
        </is>
      </c>
      <c r="B99" s="28" t="n">
        <v>5</v>
      </c>
      <c r="C99" s="30">
        <f>SUMPRODUCT(('Individual Refineries'!$B$3:$B$1084=$A99)*('Individual Refineries'!$D$3:$D$1084="CDU")*'Individual Refineries'!$F$3:$F$1084)</f>
        <v/>
      </c>
      <c r="D99" s="52">
        <f>SUMPRODUCT(('Individual Refineries'!$B$3:$B$1084=$A99)*('Individual Refineries'!$D$3:$D$1084="CDU")*'Individual Refineries'!$K$3:$K$1084)</f>
        <v/>
      </c>
      <c r="E99" s="30">
        <f>$C99*$D99</f>
        <v/>
      </c>
      <c r="F99" s="33">
        <f>SUMPRODUCT(('Individual Refineries'!$B$3:$B$1084=$A99)*('Individual Refineries'!$D$3:$D$1084="CDU")*'Individual Refineries'!$P$3:$P$1084)</f>
        <v/>
      </c>
      <c r="G99" s="35">
        <f>$E99*$F99</f>
        <v/>
      </c>
      <c r="H99" s="30">
        <f>SUMPRODUCT(('Individual Refineries'!$B$3:$B$1084=$A99)*('Individual Refineries'!$D$3:$D$1084="NHT")*'Individual Refineries'!$F$3:$F$1084)</f>
        <v/>
      </c>
      <c r="I99" s="35">
        <f>SUMPRODUCT(('Individual Refineries'!$B$3:$B$1084=$A99)*('Individual Refineries'!$D$3:$D$1084="REF")*'Individual Refineries'!$F$3:$F$1084)*SUMPRODUCT(('Individual Refineries'!$B$3:$B$1084=$A99)*('Individual Refineries'!$D$3:$D$1084="REF")*'Individual Refineries'!$K$3:$K$1084)+SUMPRODUCT(('Individual Refineries'!$B$3:$B$1084=$A99)*('Individual Refineries'!$D$3:$D$1084="CCR")*'Individual Refineries'!$F$3:$F$1084)*SUMPRODUCT(('Individual Refineries'!$B$3:$B$1084=$A99)*('Individual Refineries'!$D$3:$D$1084="CCR")*'Individual Refineries'!$K$3:$K$1084)</f>
        <v/>
      </c>
      <c r="J99" s="35">
        <f>SUMPRODUCT(('Individual Refineries'!$B$3:$B$1084=$A99)*('Individual Refineries'!$D$3:$D$1084="ISOM")*'Individual Refineries'!$F$3:$F$1084)*SUMPRODUCT(('Individual Refineries'!$B$3:$B$1084=$A99)*('Individual Refineries'!$D$3:$D$1084="ISOM")*'Individual Refineries'!$K$3:$K$1084)</f>
        <v/>
      </c>
      <c r="K99" s="35">
        <f>SUMPRODUCT(('Individual Refineries'!$A$3:$A$1084="TOTAL")*('Individual Refineries'!$B$3:$B$1084=$A99)*'Individual Refineries'!$Q$3:$Q$1084)</f>
        <v/>
      </c>
      <c r="L99" s="34">
        <f>SUMIFS(Data!$N$3:$N$125,Data!$A$3:$A$125,$A99)</f>
        <v/>
      </c>
      <c r="M99" s="34">
        <f>IFERROR($K99/(SUMIFS(Data!$G$3:$G$125,Data!$A$3:$A$125,$A99)*$D99),"")</f>
        <v/>
      </c>
      <c r="N99" s="53">
        <f>IF($M99="","",$M99-$L99)</f>
        <v/>
      </c>
      <c r="O99" s="49">
        <f>IF(AND($H99&gt;0,$G99&gt;$H99*1.05),"SR &gt; NHT cap","")</f>
        <v/>
      </c>
    </row>
    <row r="100">
      <c r="A100" s="40" t="inlineStr">
        <is>
          <t>PHILLIPS_FERNDALE</t>
        </is>
      </c>
      <c r="B100" s="28" t="n">
        <v>5</v>
      </c>
      <c r="C100" s="30">
        <f>SUMPRODUCT(('Individual Refineries'!$B$3:$B$1084=$A100)*('Individual Refineries'!$D$3:$D$1084="CDU")*'Individual Refineries'!$F$3:$F$1084)</f>
        <v/>
      </c>
      <c r="D100" s="52">
        <f>SUMPRODUCT(('Individual Refineries'!$B$3:$B$1084=$A100)*('Individual Refineries'!$D$3:$D$1084="CDU")*'Individual Refineries'!$K$3:$K$1084)</f>
        <v/>
      </c>
      <c r="E100" s="30">
        <f>$C100*$D100</f>
        <v/>
      </c>
      <c r="F100" s="33">
        <f>SUMPRODUCT(('Individual Refineries'!$B$3:$B$1084=$A100)*('Individual Refineries'!$D$3:$D$1084="CDU")*'Individual Refineries'!$P$3:$P$1084)</f>
        <v/>
      </c>
      <c r="G100" s="35">
        <f>$E100*$F100</f>
        <v/>
      </c>
      <c r="H100" s="30">
        <f>SUMPRODUCT(('Individual Refineries'!$B$3:$B$1084=$A100)*('Individual Refineries'!$D$3:$D$1084="NHT")*'Individual Refineries'!$F$3:$F$1084)</f>
        <v/>
      </c>
      <c r="I100" s="35">
        <f>SUMPRODUCT(('Individual Refineries'!$B$3:$B$1084=$A100)*('Individual Refineries'!$D$3:$D$1084="REF")*'Individual Refineries'!$F$3:$F$1084)*SUMPRODUCT(('Individual Refineries'!$B$3:$B$1084=$A100)*('Individual Refineries'!$D$3:$D$1084="REF")*'Individual Refineries'!$K$3:$K$1084)+SUMPRODUCT(('Individual Refineries'!$B$3:$B$1084=$A100)*('Individual Refineries'!$D$3:$D$1084="CCR")*'Individual Refineries'!$F$3:$F$1084)*SUMPRODUCT(('Individual Refineries'!$B$3:$B$1084=$A100)*('Individual Refineries'!$D$3:$D$1084="CCR")*'Individual Refineries'!$K$3:$K$1084)</f>
        <v/>
      </c>
      <c r="J100" s="35">
        <f>SUMPRODUCT(('Individual Refineries'!$B$3:$B$1084=$A100)*('Individual Refineries'!$D$3:$D$1084="ISOM")*'Individual Refineries'!$F$3:$F$1084)*SUMPRODUCT(('Individual Refineries'!$B$3:$B$1084=$A100)*('Individual Refineries'!$D$3:$D$1084="ISOM")*'Individual Refineries'!$K$3:$K$1084)</f>
        <v/>
      </c>
      <c r="K100" s="35">
        <f>SUMPRODUCT(('Individual Refineries'!$A$3:$A$1084="TOTAL")*('Individual Refineries'!$B$3:$B$1084=$A100)*'Individual Refineries'!$Q$3:$Q$1084)</f>
        <v/>
      </c>
      <c r="L100" s="34">
        <f>SUMIFS(Data!$N$3:$N$125,Data!$A$3:$A$125,$A100)</f>
        <v/>
      </c>
      <c r="M100" s="34">
        <f>IFERROR($K100/(SUMIFS(Data!$G$3:$G$125,Data!$A$3:$A$125,$A100)*$D100),"")</f>
        <v/>
      </c>
      <c r="N100" s="53">
        <f>IF($M100="","",$M100-$L100)</f>
        <v/>
      </c>
      <c r="O100" s="49">
        <f>IF(AND($H100&gt;0,$G100&gt;$H100*1.05),"SR &gt; NHT cap","")</f>
        <v/>
      </c>
    </row>
    <row r="101">
      <c r="A101" s="40" t="inlineStr">
        <is>
          <t>PAR_EWA_BEACH</t>
        </is>
      </c>
      <c r="B101" s="28" t="n">
        <v>5</v>
      </c>
      <c r="C101" s="30">
        <f>SUMPRODUCT(('Individual Refineries'!$B$3:$B$1084=$A101)*('Individual Refineries'!$D$3:$D$1084="CDU")*'Individual Refineries'!$F$3:$F$1084)</f>
        <v/>
      </c>
      <c r="D101" s="52">
        <f>SUMPRODUCT(('Individual Refineries'!$B$3:$B$1084=$A101)*('Individual Refineries'!$D$3:$D$1084="CDU")*'Individual Refineries'!$K$3:$K$1084)</f>
        <v/>
      </c>
      <c r="E101" s="30">
        <f>$C101*$D101</f>
        <v/>
      </c>
      <c r="F101" s="33">
        <f>SUMPRODUCT(('Individual Refineries'!$B$3:$B$1084=$A101)*('Individual Refineries'!$D$3:$D$1084="CDU")*'Individual Refineries'!$P$3:$P$1084)</f>
        <v/>
      </c>
      <c r="G101" s="35">
        <f>$E101*$F101</f>
        <v/>
      </c>
      <c r="H101" s="30">
        <f>SUMPRODUCT(('Individual Refineries'!$B$3:$B$1084=$A101)*('Individual Refineries'!$D$3:$D$1084="NHT")*'Individual Refineries'!$F$3:$F$1084)</f>
        <v/>
      </c>
      <c r="I101" s="35">
        <f>SUMPRODUCT(('Individual Refineries'!$B$3:$B$1084=$A101)*('Individual Refineries'!$D$3:$D$1084="REF")*'Individual Refineries'!$F$3:$F$1084)*SUMPRODUCT(('Individual Refineries'!$B$3:$B$1084=$A101)*('Individual Refineries'!$D$3:$D$1084="REF")*'Individual Refineries'!$K$3:$K$1084)+SUMPRODUCT(('Individual Refineries'!$B$3:$B$1084=$A101)*('Individual Refineries'!$D$3:$D$1084="CCR")*'Individual Refineries'!$F$3:$F$1084)*SUMPRODUCT(('Individual Refineries'!$B$3:$B$1084=$A101)*('Individual Refineries'!$D$3:$D$1084="CCR")*'Individual Refineries'!$K$3:$K$1084)</f>
        <v/>
      </c>
      <c r="J101" s="35">
        <f>SUMPRODUCT(('Individual Refineries'!$B$3:$B$1084=$A101)*('Individual Refineries'!$D$3:$D$1084="ISOM")*'Individual Refineries'!$F$3:$F$1084)*SUMPRODUCT(('Individual Refineries'!$B$3:$B$1084=$A101)*('Individual Refineries'!$D$3:$D$1084="ISOM")*'Individual Refineries'!$K$3:$K$1084)</f>
        <v/>
      </c>
      <c r="K101" s="35">
        <f>SUMPRODUCT(('Individual Refineries'!$A$3:$A$1084="TOTAL")*('Individual Refineries'!$B$3:$B$1084=$A101)*'Individual Refineries'!$Q$3:$Q$1084)</f>
        <v/>
      </c>
      <c r="L101" s="34">
        <f>SUMIFS(Data!$N$3:$N$125,Data!$A$3:$A$125,$A101)</f>
        <v/>
      </c>
      <c r="M101" s="34">
        <f>IFERROR($K101/(SUMIFS(Data!$G$3:$G$125,Data!$A$3:$A$125,$A101)*$D101),"")</f>
        <v/>
      </c>
      <c r="N101" s="53">
        <f>IF($M101="","",$M101-$L101)</f>
        <v/>
      </c>
      <c r="O101" s="49">
        <f>IF(AND($H101&gt;0,$G101&gt;$H101*1.05),"SR &gt; NHT cap","")</f>
        <v/>
      </c>
    </row>
    <row r="102">
      <c r="A102" s="40" t="inlineStr">
        <is>
          <t>VALERO_LOS_ANGELES</t>
        </is>
      </c>
      <c r="B102" s="28" t="n">
        <v>5</v>
      </c>
      <c r="C102" s="30">
        <f>SUMPRODUCT(('Individual Refineries'!$B$3:$B$1084=$A102)*('Individual Refineries'!$D$3:$D$1084="CDU")*'Individual Refineries'!$F$3:$F$1084)</f>
        <v/>
      </c>
      <c r="D102" s="52">
        <f>SUMPRODUCT(('Individual Refineries'!$B$3:$B$1084=$A102)*('Individual Refineries'!$D$3:$D$1084="CDU")*'Individual Refineries'!$K$3:$K$1084)</f>
        <v/>
      </c>
      <c r="E102" s="30">
        <f>$C102*$D102</f>
        <v/>
      </c>
      <c r="F102" s="33">
        <f>SUMPRODUCT(('Individual Refineries'!$B$3:$B$1084=$A102)*('Individual Refineries'!$D$3:$D$1084="CDU")*'Individual Refineries'!$P$3:$P$1084)</f>
        <v/>
      </c>
      <c r="G102" s="35">
        <f>$E102*$F102</f>
        <v/>
      </c>
      <c r="H102" s="30">
        <f>SUMPRODUCT(('Individual Refineries'!$B$3:$B$1084=$A102)*('Individual Refineries'!$D$3:$D$1084="NHT")*'Individual Refineries'!$F$3:$F$1084)</f>
        <v/>
      </c>
      <c r="I102" s="35">
        <f>SUMPRODUCT(('Individual Refineries'!$B$3:$B$1084=$A102)*('Individual Refineries'!$D$3:$D$1084="REF")*'Individual Refineries'!$F$3:$F$1084)*SUMPRODUCT(('Individual Refineries'!$B$3:$B$1084=$A102)*('Individual Refineries'!$D$3:$D$1084="REF")*'Individual Refineries'!$K$3:$K$1084)+SUMPRODUCT(('Individual Refineries'!$B$3:$B$1084=$A102)*('Individual Refineries'!$D$3:$D$1084="CCR")*'Individual Refineries'!$F$3:$F$1084)*SUMPRODUCT(('Individual Refineries'!$B$3:$B$1084=$A102)*('Individual Refineries'!$D$3:$D$1084="CCR")*'Individual Refineries'!$K$3:$K$1084)</f>
        <v/>
      </c>
      <c r="J102" s="35">
        <f>SUMPRODUCT(('Individual Refineries'!$B$3:$B$1084=$A102)*('Individual Refineries'!$D$3:$D$1084="ISOM")*'Individual Refineries'!$F$3:$F$1084)*SUMPRODUCT(('Individual Refineries'!$B$3:$B$1084=$A102)*('Individual Refineries'!$D$3:$D$1084="ISOM")*'Individual Refineries'!$K$3:$K$1084)</f>
        <v/>
      </c>
      <c r="K102" s="35">
        <f>SUMPRODUCT(('Individual Refineries'!$A$3:$A$1084="TOTAL")*('Individual Refineries'!$B$3:$B$1084=$A102)*'Individual Refineries'!$Q$3:$Q$1084)</f>
        <v/>
      </c>
      <c r="L102" s="34">
        <f>SUMIFS(Data!$N$3:$N$125,Data!$A$3:$A$125,$A102)</f>
        <v/>
      </c>
      <c r="M102" s="34">
        <f>IFERROR($K102/(SUMIFS(Data!$G$3:$G$125,Data!$A$3:$A$125,$A102)*$D102),"")</f>
        <v/>
      </c>
      <c r="N102" s="53">
        <f>IF($M102="","",$M102-$L102)</f>
        <v/>
      </c>
      <c r="O102" s="49">
        <f>IF(AND($H102&gt;0,$G102&gt;$H102*1.05),"SR &gt; NHT cap","")</f>
        <v/>
      </c>
    </row>
    <row r="103">
      <c r="A103" s="40" t="inlineStr">
        <is>
          <t>MARATHON_NIKISKI</t>
        </is>
      </c>
      <c r="B103" s="28" t="n">
        <v>5</v>
      </c>
      <c r="C103" s="30">
        <f>SUMPRODUCT(('Individual Refineries'!$B$3:$B$1084=$A103)*('Individual Refineries'!$D$3:$D$1084="CDU")*'Individual Refineries'!$F$3:$F$1084)</f>
        <v/>
      </c>
      <c r="D103" s="52">
        <f>SUMPRODUCT(('Individual Refineries'!$B$3:$B$1084=$A103)*('Individual Refineries'!$D$3:$D$1084="CDU")*'Individual Refineries'!$K$3:$K$1084)</f>
        <v/>
      </c>
      <c r="E103" s="30">
        <f>$C103*$D103</f>
        <v/>
      </c>
      <c r="F103" s="33">
        <f>SUMPRODUCT(('Individual Refineries'!$B$3:$B$1084=$A103)*('Individual Refineries'!$D$3:$D$1084="CDU")*'Individual Refineries'!$P$3:$P$1084)</f>
        <v/>
      </c>
      <c r="G103" s="35">
        <f>$E103*$F103</f>
        <v/>
      </c>
      <c r="H103" s="30">
        <f>SUMPRODUCT(('Individual Refineries'!$B$3:$B$1084=$A103)*('Individual Refineries'!$D$3:$D$1084="NHT")*'Individual Refineries'!$F$3:$F$1084)</f>
        <v/>
      </c>
      <c r="I103" s="35">
        <f>SUMPRODUCT(('Individual Refineries'!$B$3:$B$1084=$A103)*('Individual Refineries'!$D$3:$D$1084="REF")*'Individual Refineries'!$F$3:$F$1084)*SUMPRODUCT(('Individual Refineries'!$B$3:$B$1084=$A103)*('Individual Refineries'!$D$3:$D$1084="REF")*'Individual Refineries'!$K$3:$K$1084)+SUMPRODUCT(('Individual Refineries'!$B$3:$B$1084=$A103)*('Individual Refineries'!$D$3:$D$1084="CCR")*'Individual Refineries'!$F$3:$F$1084)*SUMPRODUCT(('Individual Refineries'!$B$3:$B$1084=$A103)*('Individual Refineries'!$D$3:$D$1084="CCR")*'Individual Refineries'!$K$3:$K$1084)</f>
        <v/>
      </c>
      <c r="J103" s="35">
        <f>SUMPRODUCT(('Individual Refineries'!$B$3:$B$1084=$A103)*('Individual Refineries'!$D$3:$D$1084="ISOM")*'Individual Refineries'!$F$3:$F$1084)*SUMPRODUCT(('Individual Refineries'!$B$3:$B$1084=$A103)*('Individual Refineries'!$D$3:$D$1084="ISOM")*'Individual Refineries'!$K$3:$K$1084)</f>
        <v/>
      </c>
      <c r="K103" s="35">
        <f>SUMPRODUCT(('Individual Refineries'!$A$3:$A$1084="TOTAL")*('Individual Refineries'!$B$3:$B$1084=$A103)*'Individual Refineries'!$Q$3:$Q$1084)</f>
        <v/>
      </c>
      <c r="L103" s="34">
        <f>SUMIFS(Data!$N$3:$N$125,Data!$A$3:$A$125,$A103)</f>
        <v/>
      </c>
      <c r="M103" s="34">
        <f>IFERROR($K103/(SUMIFS(Data!$G$3:$G$125,Data!$A$3:$A$125,$A103)*$D103),"")</f>
        <v/>
      </c>
      <c r="N103" s="53">
        <f>IF($M103="","",$M103-$L103)</f>
        <v/>
      </c>
      <c r="O103" s="49">
        <f>IF(AND($H103&gt;0,$G103&gt;$H103*1.05),"SR &gt; NHT cap","")</f>
        <v/>
      </c>
    </row>
    <row r="104">
      <c r="A104" s="40" t="inlineStr">
        <is>
          <t>PETRO_VALDEZ</t>
        </is>
      </c>
      <c r="B104" s="28" t="n">
        <v>5</v>
      </c>
      <c r="C104" s="30">
        <f>SUMPRODUCT(('Individual Refineries'!$B$3:$B$1084=$A104)*('Individual Refineries'!$D$3:$D$1084="CDU")*'Individual Refineries'!$F$3:$F$1084)</f>
        <v/>
      </c>
      <c r="D104" s="52">
        <f>SUMPRODUCT(('Individual Refineries'!$B$3:$B$1084=$A104)*('Individual Refineries'!$D$3:$D$1084="CDU")*'Individual Refineries'!$K$3:$K$1084)</f>
        <v/>
      </c>
      <c r="E104" s="30">
        <f>$C104*$D104</f>
        <v/>
      </c>
      <c r="F104" s="33">
        <f>SUMPRODUCT(('Individual Refineries'!$B$3:$B$1084=$A104)*('Individual Refineries'!$D$3:$D$1084="CDU")*'Individual Refineries'!$P$3:$P$1084)</f>
        <v/>
      </c>
      <c r="G104" s="35">
        <f>$E104*$F104</f>
        <v/>
      </c>
      <c r="H104" s="30">
        <f>SUMPRODUCT(('Individual Refineries'!$B$3:$B$1084=$A104)*('Individual Refineries'!$D$3:$D$1084="NHT")*'Individual Refineries'!$F$3:$F$1084)</f>
        <v/>
      </c>
      <c r="I104" s="35">
        <f>SUMPRODUCT(('Individual Refineries'!$B$3:$B$1084=$A104)*('Individual Refineries'!$D$3:$D$1084="REF")*'Individual Refineries'!$F$3:$F$1084)*SUMPRODUCT(('Individual Refineries'!$B$3:$B$1084=$A104)*('Individual Refineries'!$D$3:$D$1084="REF")*'Individual Refineries'!$K$3:$K$1084)+SUMPRODUCT(('Individual Refineries'!$B$3:$B$1084=$A104)*('Individual Refineries'!$D$3:$D$1084="CCR")*'Individual Refineries'!$F$3:$F$1084)*SUMPRODUCT(('Individual Refineries'!$B$3:$B$1084=$A104)*('Individual Refineries'!$D$3:$D$1084="CCR")*'Individual Refineries'!$K$3:$K$1084)</f>
        <v/>
      </c>
      <c r="J104" s="35">
        <f>SUMPRODUCT(('Individual Refineries'!$B$3:$B$1084=$A104)*('Individual Refineries'!$D$3:$D$1084="ISOM")*'Individual Refineries'!$F$3:$F$1084)*SUMPRODUCT(('Individual Refineries'!$B$3:$B$1084=$A104)*('Individual Refineries'!$D$3:$D$1084="ISOM")*'Individual Refineries'!$K$3:$K$1084)</f>
        <v/>
      </c>
      <c r="K104" s="35">
        <f>SUMPRODUCT(('Individual Refineries'!$A$3:$A$1084="TOTAL")*('Individual Refineries'!$B$3:$B$1084=$A104)*'Individual Refineries'!$Q$3:$Q$1084)</f>
        <v/>
      </c>
      <c r="L104" s="34">
        <f>SUMIFS(Data!$N$3:$N$125,Data!$A$3:$A$125,$A104)</f>
        <v/>
      </c>
      <c r="M104" s="34">
        <f>IFERROR($K104/(SUMIFS(Data!$G$3:$G$125,Data!$A$3:$A$125,$A104)*$D104),"")</f>
        <v/>
      </c>
      <c r="N104" s="53">
        <f>IF($M104="","",$M104-$L104)</f>
        <v/>
      </c>
      <c r="O104" s="49">
        <f>IF(AND($H104&gt;0,$G104&gt;$H104*1.05),"SR &gt; NHT cap","")</f>
        <v/>
      </c>
    </row>
    <row r="105">
      <c r="A105" s="40" t="inlineStr">
        <is>
          <t>PAR_TACOMA</t>
        </is>
      </c>
      <c r="B105" s="28" t="n">
        <v>5</v>
      </c>
      <c r="C105" s="30">
        <f>SUMPRODUCT(('Individual Refineries'!$B$3:$B$1084=$A105)*('Individual Refineries'!$D$3:$D$1084="CDU")*'Individual Refineries'!$F$3:$F$1084)</f>
        <v/>
      </c>
      <c r="D105" s="52">
        <f>SUMPRODUCT(('Individual Refineries'!$B$3:$B$1084=$A105)*('Individual Refineries'!$D$3:$D$1084="CDU")*'Individual Refineries'!$K$3:$K$1084)</f>
        <v/>
      </c>
      <c r="E105" s="30">
        <f>$C105*$D105</f>
        <v/>
      </c>
      <c r="F105" s="33">
        <f>SUMPRODUCT(('Individual Refineries'!$B$3:$B$1084=$A105)*('Individual Refineries'!$D$3:$D$1084="CDU")*'Individual Refineries'!$P$3:$P$1084)</f>
        <v/>
      </c>
      <c r="G105" s="35">
        <f>$E105*$F105</f>
        <v/>
      </c>
      <c r="H105" s="30">
        <f>SUMPRODUCT(('Individual Refineries'!$B$3:$B$1084=$A105)*('Individual Refineries'!$D$3:$D$1084="NHT")*'Individual Refineries'!$F$3:$F$1084)</f>
        <v/>
      </c>
      <c r="I105" s="35">
        <f>SUMPRODUCT(('Individual Refineries'!$B$3:$B$1084=$A105)*('Individual Refineries'!$D$3:$D$1084="REF")*'Individual Refineries'!$F$3:$F$1084)*SUMPRODUCT(('Individual Refineries'!$B$3:$B$1084=$A105)*('Individual Refineries'!$D$3:$D$1084="REF")*'Individual Refineries'!$K$3:$K$1084)+SUMPRODUCT(('Individual Refineries'!$B$3:$B$1084=$A105)*('Individual Refineries'!$D$3:$D$1084="CCR")*'Individual Refineries'!$F$3:$F$1084)*SUMPRODUCT(('Individual Refineries'!$B$3:$B$1084=$A105)*('Individual Refineries'!$D$3:$D$1084="CCR")*'Individual Refineries'!$K$3:$K$1084)</f>
        <v/>
      </c>
      <c r="J105" s="35">
        <f>SUMPRODUCT(('Individual Refineries'!$B$3:$B$1084=$A105)*('Individual Refineries'!$D$3:$D$1084="ISOM")*'Individual Refineries'!$F$3:$F$1084)*SUMPRODUCT(('Individual Refineries'!$B$3:$B$1084=$A105)*('Individual Refineries'!$D$3:$D$1084="ISOM")*'Individual Refineries'!$K$3:$K$1084)</f>
        <v/>
      </c>
      <c r="K105" s="35">
        <f>SUMPRODUCT(('Individual Refineries'!$A$3:$A$1084="TOTAL")*('Individual Refineries'!$B$3:$B$1084=$A105)*'Individual Refineries'!$Q$3:$Q$1084)</f>
        <v/>
      </c>
      <c r="L105" s="34">
        <f>SUMIFS(Data!$N$3:$N$125,Data!$A$3:$A$125,$A105)</f>
        <v/>
      </c>
      <c r="M105" s="34">
        <f>IFERROR($K105/(SUMIFS(Data!$G$3:$G$125,Data!$A$3:$A$125,$A105)*$D105),"")</f>
        <v/>
      </c>
      <c r="N105" s="53">
        <f>IF($M105="","",$M105-$L105)</f>
        <v/>
      </c>
      <c r="O105" s="49">
        <f>IF(AND($H105&gt;0,$G105&gt;$H105*1.05),"SR &gt; NHT cap","")</f>
        <v/>
      </c>
    </row>
    <row r="106">
      <c r="A106" s="40" t="inlineStr">
        <is>
          <t>KERN_BAKERSFIELD</t>
        </is>
      </c>
      <c r="B106" s="28" t="n">
        <v>5</v>
      </c>
      <c r="C106" s="30">
        <f>SUMPRODUCT(('Individual Refineries'!$B$3:$B$1084=$A106)*('Individual Refineries'!$D$3:$D$1084="CDU")*'Individual Refineries'!$F$3:$F$1084)</f>
        <v/>
      </c>
      <c r="D106" s="52">
        <f>SUMPRODUCT(('Individual Refineries'!$B$3:$B$1084=$A106)*('Individual Refineries'!$D$3:$D$1084="CDU")*'Individual Refineries'!$K$3:$K$1084)</f>
        <v/>
      </c>
      <c r="E106" s="30">
        <f>$C106*$D106</f>
        <v/>
      </c>
      <c r="F106" s="33">
        <f>SUMPRODUCT(('Individual Refineries'!$B$3:$B$1084=$A106)*('Individual Refineries'!$D$3:$D$1084="CDU")*'Individual Refineries'!$P$3:$P$1084)</f>
        <v/>
      </c>
      <c r="G106" s="35">
        <f>$E106*$F106</f>
        <v/>
      </c>
      <c r="H106" s="30">
        <f>SUMPRODUCT(('Individual Refineries'!$B$3:$B$1084=$A106)*('Individual Refineries'!$D$3:$D$1084="NHT")*'Individual Refineries'!$F$3:$F$1084)</f>
        <v/>
      </c>
      <c r="I106" s="35">
        <f>SUMPRODUCT(('Individual Refineries'!$B$3:$B$1084=$A106)*('Individual Refineries'!$D$3:$D$1084="REF")*'Individual Refineries'!$F$3:$F$1084)*SUMPRODUCT(('Individual Refineries'!$B$3:$B$1084=$A106)*('Individual Refineries'!$D$3:$D$1084="REF")*'Individual Refineries'!$K$3:$K$1084)+SUMPRODUCT(('Individual Refineries'!$B$3:$B$1084=$A106)*('Individual Refineries'!$D$3:$D$1084="CCR")*'Individual Refineries'!$F$3:$F$1084)*SUMPRODUCT(('Individual Refineries'!$B$3:$B$1084=$A106)*('Individual Refineries'!$D$3:$D$1084="CCR")*'Individual Refineries'!$K$3:$K$1084)</f>
        <v/>
      </c>
      <c r="J106" s="35">
        <f>SUMPRODUCT(('Individual Refineries'!$B$3:$B$1084=$A106)*('Individual Refineries'!$D$3:$D$1084="ISOM")*'Individual Refineries'!$F$3:$F$1084)*SUMPRODUCT(('Individual Refineries'!$B$3:$B$1084=$A106)*('Individual Refineries'!$D$3:$D$1084="ISOM")*'Individual Refineries'!$K$3:$K$1084)</f>
        <v/>
      </c>
      <c r="K106" s="35">
        <f>SUMPRODUCT(('Individual Refineries'!$A$3:$A$1084="TOTAL")*('Individual Refineries'!$B$3:$B$1084=$A106)*'Individual Refineries'!$Q$3:$Q$1084)</f>
        <v/>
      </c>
      <c r="L106" s="34">
        <f>SUMIFS(Data!$N$3:$N$125,Data!$A$3:$A$125,$A106)</f>
        <v/>
      </c>
      <c r="M106" s="34">
        <f>IFERROR($K106/(SUMIFS(Data!$G$3:$G$125,Data!$A$3:$A$125,$A106)*$D106),"")</f>
        <v/>
      </c>
      <c r="N106" s="53">
        <f>IF($M106="","",$M106-$L106)</f>
        <v/>
      </c>
      <c r="O106" s="49">
        <f>IF(AND($H106&gt;0,$G106&gt;$H106*1.05),"SR &gt; NHT cap","")</f>
        <v/>
      </c>
    </row>
    <row r="107">
      <c r="A107" s="40" t="inlineStr">
        <is>
          <t>SAN_BAKERSFIELD</t>
        </is>
      </c>
      <c r="B107" s="28" t="n">
        <v>5</v>
      </c>
      <c r="C107" s="30">
        <f>SUMPRODUCT(('Individual Refineries'!$B$3:$B$1084=$A107)*('Individual Refineries'!$D$3:$D$1084="CDU")*'Individual Refineries'!$F$3:$F$1084)</f>
        <v/>
      </c>
      <c r="D107" s="52">
        <f>SUMPRODUCT(('Individual Refineries'!$B$3:$B$1084=$A107)*('Individual Refineries'!$D$3:$D$1084="CDU")*'Individual Refineries'!$K$3:$K$1084)</f>
        <v/>
      </c>
      <c r="E107" s="30">
        <f>$C107*$D107</f>
        <v/>
      </c>
      <c r="F107" s="33">
        <f>SUMPRODUCT(('Individual Refineries'!$B$3:$B$1084=$A107)*('Individual Refineries'!$D$3:$D$1084="CDU")*'Individual Refineries'!$P$3:$P$1084)</f>
        <v/>
      </c>
      <c r="G107" s="35">
        <f>$E107*$F107</f>
        <v/>
      </c>
      <c r="H107" s="30">
        <f>SUMPRODUCT(('Individual Refineries'!$B$3:$B$1084=$A107)*('Individual Refineries'!$D$3:$D$1084="NHT")*'Individual Refineries'!$F$3:$F$1084)</f>
        <v/>
      </c>
      <c r="I107" s="35">
        <f>SUMPRODUCT(('Individual Refineries'!$B$3:$B$1084=$A107)*('Individual Refineries'!$D$3:$D$1084="REF")*'Individual Refineries'!$F$3:$F$1084)*SUMPRODUCT(('Individual Refineries'!$B$3:$B$1084=$A107)*('Individual Refineries'!$D$3:$D$1084="REF")*'Individual Refineries'!$K$3:$K$1084)+SUMPRODUCT(('Individual Refineries'!$B$3:$B$1084=$A107)*('Individual Refineries'!$D$3:$D$1084="CCR")*'Individual Refineries'!$F$3:$F$1084)*SUMPRODUCT(('Individual Refineries'!$B$3:$B$1084=$A107)*('Individual Refineries'!$D$3:$D$1084="CCR")*'Individual Refineries'!$K$3:$K$1084)</f>
        <v/>
      </c>
      <c r="J107" s="35">
        <f>SUMPRODUCT(('Individual Refineries'!$B$3:$B$1084=$A107)*('Individual Refineries'!$D$3:$D$1084="ISOM")*'Individual Refineries'!$F$3:$F$1084)*SUMPRODUCT(('Individual Refineries'!$B$3:$B$1084=$A107)*('Individual Refineries'!$D$3:$D$1084="ISOM")*'Individual Refineries'!$K$3:$K$1084)</f>
        <v/>
      </c>
      <c r="K107" s="35">
        <f>SUMPRODUCT(('Individual Refineries'!$A$3:$A$1084="TOTAL")*('Individual Refineries'!$B$3:$B$1084=$A107)*'Individual Refineries'!$Q$3:$Q$1084)</f>
        <v/>
      </c>
      <c r="L107" s="34">
        <f>SUMIFS(Data!$N$3:$N$125,Data!$A$3:$A$125,$A107)</f>
        <v/>
      </c>
      <c r="M107" s="34">
        <f>IFERROR($K107/(SUMIFS(Data!$G$3:$G$125,Data!$A$3:$A$125,$A107)*$D107),"")</f>
        <v/>
      </c>
      <c r="N107" s="53">
        <f>IF($M107="","",$M107-$L107)</f>
        <v/>
      </c>
      <c r="O107" s="49">
        <f>IF(AND($H107&gt;0,$G107&gt;$H107*1.05),"SR &gt; NHT cap","")</f>
        <v/>
      </c>
    </row>
    <row r="108">
      <c r="A108" s="40" t="inlineStr">
        <is>
          <t>PETRO_NORTH_POLE</t>
        </is>
      </c>
      <c r="B108" s="28" t="n">
        <v>5</v>
      </c>
      <c r="C108" s="30">
        <f>SUMPRODUCT(('Individual Refineries'!$B$3:$B$1084=$A108)*('Individual Refineries'!$D$3:$D$1084="CDU")*'Individual Refineries'!$F$3:$F$1084)</f>
        <v/>
      </c>
      <c r="D108" s="52">
        <f>SUMPRODUCT(('Individual Refineries'!$B$3:$B$1084=$A108)*('Individual Refineries'!$D$3:$D$1084="CDU")*'Individual Refineries'!$K$3:$K$1084)</f>
        <v/>
      </c>
      <c r="E108" s="30">
        <f>$C108*$D108</f>
        <v/>
      </c>
      <c r="F108" s="33">
        <f>SUMPRODUCT(('Individual Refineries'!$B$3:$B$1084=$A108)*('Individual Refineries'!$D$3:$D$1084="CDU")*'Individual Refineries'!$P$3:$P$1084)</f>
        <v/>
      </c>
      <c r="G108" s="35">
        <f>$E108*$F108</f>
        <v/>
      </c>
      <c r="H108" s="30">
        <f>SUMPRODUCT(('Individual Refineries'!$B$3:$B$1084=$A108)*('Individual Refineries'!$D$3:$D$1084="NHT")*'Individual Refineries'!$F$3:$F$1084)</f>
        <v/>
      </c>
      <c r="I108" s="35">
        <f>SUMPRODUCT(('Individual Refineries'!$B$3:$B$1084=$A108)*('Individual Refineries'!$D$3:$D$1084="REF")*'Individual Refineries'!$F$3:$F$1084)*SUMPRODUCT(('Individual Refineries'!$B$3:$B$1084=$A108)*('Individual Refineries'!$D$3:$D$1084="REF")*'Individual Refineries'!$K$3:$K$1084)+SUMPRODUCT(('Individual Refineries'!$B$3:$B$1084=$A108)*('Individual Refineries'!$D$3:$D$1084="CCR")*'Individual Refineries'!$F$3:$F$1084)*SUMPRODUCT(('Individual Refineries'!$B$3:$B$1084=$A108)*('Individual Refineries'!$D$3:$D$1084="CCR")*'Individual Refineries'!$K$3:$K$1084)</f>
        <v/>
      </c>
      <c r="J108" s="35">
        <f>SUMPRODUCT(('Individual Refineries'!$B$3:$B$1084=$A108)*('Individual Refineries'!$D$3:$D$1084="ISOM")*'Individual Refineries'!$F$3:$F$1084)*SUMPRODUCT(('Individual Refineries'!$B$3:$B$1084=$A108)*('Individual Refineries'!$D$3:$D$1084="ISOM")*'Individual Refineries'!$K$3:$K$1084)</f>
        <v/>
      </c>
      <c r="K108" s="35">
        <f>SUMPRODUCT(('Individual Refineries'!$A$3:$A$1084="TOTAL")*('Individual Refineries'!$B$3:$B$1084=$A108)*'Individual Refineries'!$Q$3:$Q$1084)</f>
        <v/>
      </c>
      <c r="L108" s="34">
        <f>SUMIFS(Data!$N$3:$N$125,Data!$A$3:$A$125,$A108)</f>
        <v/>
      </c>
      <c r="M108" s="34">
        <f>IFERROR($K108/(SUMIFS(Data!$G$3:$G$125,Data!$A$3:$A$125,$A108)*$D108),"")</f>
        <v/>
      </c>
      <c r="N108" s="53">
        <f>IF($M108="","",$M108-$L108)</f>
        <v/>
      </c>
      <c r="O108" s="49">
        <f>IF(AND($H108&gt;0,$G108&gt;$H108*1.05),"SR &gt; NHT cap","")</f>
        <v/>
      </c>
    </row>
    <row r="109">
      <c r="A109" s="40" t="inlineStr">
        <is>
          <t>BP_PRUDHOE_BAY</t>
        </is>
      </c>
      <c r="B109" s="28" t="n">
        <v>5</v>
      </c>
      <c r="C109" s="30">
        <f>SUMPRODUCT(('Individual Refineries'!$B$3:$B$1084=$A109)*('Individual Refineries'!$D$3:$D$1084="CDU")*'Individual Refineries'!$F$3:$F$1084)</f>
        <v/>
      </c>
      <c r="D109" s="52">
        <f>SUMPRODUCT(('Individual Refineries'!$B$3:$B$1084=$A109)*('Individual Refineries'!$D$3:$D$1084="CDU")*'Individual Refineries'!$K$3:$K$1084)</f>
        <v/>
      </c>
      <c r="E109" s="30">
        <f>$C109*$D109</f>
        <v/>
      </c>
      <c r="F109" s="33">
        <f>SUMPRODUCT(('Individual Refineries'!$B$3:$B$1084=$A109)*('Individual Refineries'!$D$3:$D$1084="CDU")*'Individual Refineries'!$P$3:$P$1084)</f>
        <v/>
      </c>
      <c r="G109" s="35">
        <f>$E109*$F109</f>
        <v/>
      </c>
      <c r="H109" s="30">
        <f>SUMPRODUCT(('Individual Refineries'!$B$3:$B$1084=$A109)*('Individual Refineries'!$D$3:$D$1084="NHT")*'Individual Refineries'!$F$3:$F$1084)</f>
        <v/>
      </c>
      <c r="I109" s="35">
        <f>SUMPRODUCT(('Individual Refineries'!$B$3:$B$1084=$A109)*('Individual Refineries'!$D$3:$D$1084="REF")*'Individual Refineries'!$F$3:$F$1084)*SUMPRODUCT(('Individual Refineries'!$B$3:$B$1084=$A109)*('Individual Refineries'!$D$3:$D$1084="REF")*'Individual Refineries'!$K$3:$K$1084)+SUMPRODUCT(('Individual Refineries'!$B$3:$B$1084=$A109)*('Individual Refineries'!$D$3:$D$1084="CCR")*'Individual Refineries'!$F$3:$F$1084)*SUMPRODUCT(('Individual Refineries'!$B$3:$B$1084=$A109)*('Individual Refineries'!$D$3:$D$1084="CCR")*'Individual Refineries'!$K$3:$K$1084)</f>
        <v/>
      </c>
      <c r="J109" s="35">
        <f>SUMPRODUCT(('Individual Refineries'!$B$3:$B$1084=$A109)*('Individual Refineries'!$D$3:$D$1084="ISOM")*'Individual Refineries'!$F$3:$F$1084)*SUMPRODUCT(('Individual Refineries'!$B$3:$B$1084=$A109)*('Individual Refineries'!$D$3:$D$1084="ISOM")*'Individual Refineries'!$K$3:$K$1084)</f>
        <v/>
      </c>
      <c r="K109" s="35">
        <f>SUMPRODUCT(('Individual Refineries'!$A$3:$A$1084="TOTAL")*('Individual Refineries'!$B$3:$B$1084=$A109)*'Individual Refineries'!$Q$3:$Q$1084)</f>
        <v/>
      </c>
      <c r="L109" s="34">
        <f>SUMIFS(Data!$N$3:$N$125,Data!$A$3:$A$125,$A109)</f>
        <v/>
      </c>
      <c r="M109" s="34">
        <f>IFERROR($K109/(SUMIFS(Data!$G$3:$G$125,Data!$A$3:$A$125,$A109)*$D109),"")</f>
        <v/>
      </c>
      <c r="N109" s="53">
        <f>IF($M109="","",$M109-$L109)</f>
        <v/>
      </c>
      <c r="O109" s="49">
        <f>IF(AND($H109&gt;0,$G109&gt;$H109*1.05),"SR &gt; NHT cap","")</f>
        <v/>
      </c>
    </row>
    <row r="110">
      <c r="A110" s="40" t="inlineStr">
        <is>
          <t>CONOCOPHILLIPS_ANCHORAGE</t>
        </is>
      </c>
      <c r="B110" s="28" t="n">
        <v>5</v>
      </c>
      <c r="C110" s="30">
        <f>SUMPRODUCT(('Individual Refineries'!$B$3:$B$1084=$A110)*('Individual Refineries'!$D$3:$D$1084="CDU")*'Individual Refineries'!$F$3:$F$1084)</f>
        <v/>
      </c>
      <c r="D110" s="52">
        <f>SUMPRODUCT(('Individual Refineries'!$B$3:$B$1084=$A110)*('Individual Refineries'!$D$3:$D$1084="CDU")*'Individual Refineries'!$K$3:$K$1084)</f>
        <v/>
      </c>
      <c r="E110" s="30">
        <f>$C110*$D110</f>
        <v/>
      </c>
      <c r="F110" s="33">
        <f>SUMPRODUCT(('Individual Refineries'!$B$3:$B$1084=$A110)*('Individual Refineries'!$D$3:$D$1084="CDU")*'Individual Refineries'!$P$3:$P$1084)</f>
        <v/>
      </c>
      <c r="G110" s="35">
        <f>$E110*$F110</f>
        <v/>
      </c>
      <c r="H110" s="30">
        <f>SUMPRODUCT(('Individual Refineries'!$B$3:$B$1084=$A110)*('Individual Refineries'!$D$3:$D$1084="NHT")*'Individual Refineries'!$F$3:$F$1084)</f>
        <v/>
      </c>
      <c r="I110" s="35">
        <f>SUMPRODUCT(('Individual Refineries'!$B$3:$B$1084=$A110)*('Individual Refineries'!$D$3:$D$1084="REF")*'Individual Refineries'!$F$3:$F$1084)*SUMPRODUCT(('Individual Refineries'!$B$3:$B$1084=$A110)*('Individual Refineries'!$D$3:$D$1084="REF")*'Individual Refineries'!$K$3:$K$1084)+SUMPRODUCT(('Individual Refineries'!$B$3:$B$1084=$A110)*('Individual Refineries'!$D$3:$D$1084="CCR")*'Individual Refineries'!$F$3:$F$1084)*SUMPRODUCT(('Individual Refineries'!$B$3:$B$1084=$A110)*('Individual Refineries'!$D$3:$D$1084="CCR")*'Individual Refineries'!$K$3:$K$1084)</f>
        <v/>
      </c>
      <c r="J110" s="35">
        <f>SUMPRODUCT(('Individual Refineries'!$B$3:$B$1084=$A110)*('Individual Refineries'!$D$3:$D$1084="ISOM")*'Individual Refineries'!$F$3:$F$1084)*SUMPRODUCT(('Individual Refineries'!$B$3:$B$1084=$A110)*('Individual Refineries'!$D$3:$D$1084="ISOM")*'Individual Refineries'!$K$3:$K$1084)</f>
        <v/>
      </c>
      <c r="K110" s="35">
        <f>SUMPRODUCT(('Individual Refineries'!$A$3:$A$1084="TOTAL")*('Individual Refineries'!$B$3:$B$1084=$A110)*'Individual Refineries'!$Q$3:$Q$1084)</f>
        <v/>
      </c>
      <c r="L110" s="34">
        <f>SUMIFS(Data!$N$3:$N$125,Data!$A$3:$A$125,$A110)</f>
        <v/>
      </c>
      <c r="M110" s="34">
        <f>IFERROR($K110/(SUMIFS(Data!$G$3:$G$125,Data!$A$3:$A$125,$A110)*$D110),"")</f>
        <v/>
      </c>
      <c r="N110" s="53">
        <f>IF($M110="","",$M110-$L110)</f>
        <v/>
      </c>
      <c r="O110" s="49">
        <f>IF(AND($H110&gt;0,$G110&gt;$H110*1.05),"SR &gt; NHT cap","")</f>
        <v/>
      </c>
    </row>
    <row r="111">
      <c r="A111" s="40" t="inlineStr">
        <is>
          <t>LUNDAYTHAGARD_SOUTH_GATE</t>
        </is>
      </c>
      <c r="B111" s="28" t="n">
        <v>5</v>
      </c>
      <c r="C111" s="30">
        <f>SUMPRODUCT(('Individual Refineries'!$B$3:$B$1084=$A111)*('Individual Refineries'!$D$3:$D$1084="CDU")*'Individual Refineries'!$F$3:$F$1084)</f>
        <v/>
      </c>
      <c r="D111" s="52">
        <f>SUMPRODUCT(('Individual Refineries'!$B$3:$B$1084=$A111)*('Individual Refineries'!$D$3:$D$1084="CDU")*'Individual Refineries'!$K$3:$K$1084)</f>
        <v/>
      </c>
      <c r="E111" s="30">
        <f>$C111*$D111</f>
        <v/>
      </c>
      <c r="F111" s="33">
        <f>SUMPRODUCT(('Individual Refineries'!$B$3:$B$1084=$A111)*('Individual Refineries'!$D$3:$D$1084="CDU")*'Individual Refineries'!$P$3:$P$1084)</f>
        <v/>
      </c>
      <c r="G111" s="35">
        <f>$E111*$F111</f>
        <v/>
      </c>
      <c r="H111" s="30">
        <f>SUMPRODUCT(('Individual Refineries'!$B$3:$B$1084=$A111)*('Individual Refineries'!$D$3:$D$1084="NHT")*'Individual Refineries'!$F$3:$F$1084)</f>
        <v/>
      </c>
      <c r="I111" s="35">
        <f>SUMPRODUCT(('Individual Refineries'!$B$3:$B$1084=$A111)*('Individual Refineries'!$D$3:$D$1084="REF")*'Individual Refineries'!$F$3:$F$1084)*SUMPRODUCT(('Individual Refineries'!$B$3:$B$1084=$A111)*('Individual Refineries'!$D$3:$D$1084="REF")*'Individual Refineries'!$K$3:$K$1084)+SUMPRODUCT(('Individual Refineries'!$B$3:$B$1084=$A111)*('Individual Refineries'!$D$3:$D$1084="CCR")*'Individual Refineries'!$F$3:$F$1084)*SUMPRODUCT(('Individual Refineries'!$B$3:$B$1084=$A111)*('Individual Refineries'!$D$3:$D$1084="CCR")*'Individual Refineries'!$K$3:$K$1084)</f>
        <v/>
      </c>
      <c r="J111" s="35">
        <f>SUMPRODUCT(('Individual Refineries'!$B$3:$B$1084=$A111)*('Individual Refineries'!$D$3:$D$1084="ISOM")*'Individual Refineries'!$F$3:$F$1084)*SUMPRODUCT(('Individual Refineries'!$B$3:$B$1084=$A111)*('Individual Refineries'!$D$3:$D$1084="ISOM")*'Individual Refineries'!$K$3:$K$1084)</f>
        <v/>
      </c>
      <c r="K111" s="35">
        <f>SUMPRODUCT(('Individual Refineries'!$A$3:$A$1084="TOTAL")*('Individual Refineries'!$B$3:$B$1084=$A111)*'Individual Refineries'!$Q$3:$Q$1084)</f>
        <v/>
      </c>
      <c r="L111" s="34">
        <f>SUMIFS(Data!$N$3:$N$125,Data!$A$3:$A$125,$A111)</f>
        <v/>
      </c>
      <c r="M111" s="34">
        <f>IFERROR($K111/(SUMIFS(Data!$G$3:$G$125,Data!$A$3:$A$125,$A111)*$D111),"")</f>
        <v/>
      </c>
      <c r="N111" s="53">
        <f>IF($M111="","",$M111-$L111)</f>
        <v/>
      </c>
      <c r="O111" s="49">
        <f>IF(AND($H111&gt;0,$G111&gt;$H111*1.05),"SR &gt; NHT cap","")</f>
        <v/>
      </c>
    </row>
    <row r="112">
      <c r="A112" s="40" t="inlineStr">
        <is>
          <t>FORELAND_TONOPAH</t>
        </is>
      </c>
      <c r="B112" s="28" t="n">
        <v>5</v>
      </c>
      <c r="C112" s="30">
        <f>SUMPRODUCT(('Individual Refineries'!$B$3:$B$1084=$A112)*('Individual Refineries'!$D$3:$D$1084="CDU")*'Individual Refineries'!$F$3:$F$1084)</f>
        <v/>
      </c>
      <c r="D112" s="52">
        <f>SUMPRODUCT(('Individual Refineries'!$B$3:$B$1084=$A112)*('Individual Refineries'!$D$3:$D$1084="CDU")*'Individual Refineries'!$K$3:$K$1084)</f>
        <v/>
      </c>
      <c r="E112" s="30">
        <f>$C112*$D112</f>
        <v/>
      </c>
      <c r="F112" s="33">
        <f>SUMPRODUCT(('Individual Refineries'!$B$3:$B$1084=$A112)*('Individual Refineries'!$D$3:$D$1084="CDU")*'Individual Refineries'!$P$3:$P$1084)</f>
        <v/>
      </c>
      <c r="G112" s="35">
        <f>$E112*$F112</f>
        <v/>
      </c>
      <c r="H112" s="30">
        <f>SUMPRODUCT(('Individual Refineries'!$B$3:$B$1084=$A112)*('Individual Refineries'!$D$3:$D$1084="NHT")*'Individual Refineries'!$F$3:$F$1084)</f>
        <v/>
      </c>
      <c r="I112" s="35">
        <f>SUMPRODUCT(('Individual Refineries'!$B$3:$B$1084=$A112)*('Individual Refineries'!$D$3:$D$1084="REF")*'Individual Refineries'!$F$3:$F$1084)*SUMPRODUCT(('Individual Refineries'!$B$3:$B$1084=$A112)*('Individual Refineries'!$D$3:$D$1084="REF")*'Individual Refineries'!$K$3:$K$1084)+SUMPRODUCT(('Individual Refineries'!$B$3:$B$1084=$A112)*('Individual Refineries'!$D$3:$D$1084="CCR")*'Individual Refineries'!$F$3:$F$1084)*SUMPRODUCT(('Individual Refineries'!$B$3:$B$1084=$A112)*('Individual Refineries'!$D$3:$D$1084="CCR")*'Individual Refineries'!$K$3:$K$1084)</f>
        <v/>
      </c>
      <c r="J112" s="35">
        <f>SUMPRODUCT(('Individual Refineries'!$B$3:$B$1084=$A112)*('Individual Refineries'!$D$3:$D$1084="ISOM")*'Individual Refineries'!$F$3:$F$1084)*SUMPRODUCT(('Individual Refineries'!$B$3:$B$1084=$A112)*('Individual Refineries'!$D$3:$D$1084="ISOM")*'Individual Refineries'!$K$3:$K$1084)</f>
        <v/>
      </c>
      <c r="K112" s="35">
        <f>SUMPRODUCT(('Individual Refineries'!$A$3:$A$1084="TOTAL")*('Individual Refineries'!$B$3:$B$1084=$A112)*'Individual Refineries'!$Q$3:$Q$1084)</f>
        <v/>
      </c>
      <c r="L112" s="34">
        <f>SUMIFS(Data!$N$3:$N$125,Data!$A$3:$A$125,$A112)</f>
        <v/>
      </c>
      <c r="M112" s="34">
        <f>IFERROR($K112/(SUMIFS(Data!$G$3:$G$125,Data!$A$3:$A$125,$A112)*$D112),"")</f>
        <v/>
      </c>
      <c r="N112" s="53">
        <f>IF($M112="","",$M112-$L112)</f>
        <v/>
      </c>
      <c r="O112" s="49">
        <f>IF(AND($H112&gt;0,$G112&gt;$H112*1.05),"SR &gt; NHT cap","")</f>
        <v/>
      </c>
    </row>
    <row r="113">
      <c r="A113" s="40" t="inlineStr">
        <is>
          <t>VALERO_BENICIA</t>
        </is>
      </c>
      <c r="B113" s="28" t="n">
        <v>5</v>
      </c>
      <c r="C113" s="30">
        <f>SUMPRODUCT(('Individual Refineries'!$B$3:$B$1084=$A113)*('Individual Refineries'!$D$3:$D$1084="CDU")*'Individual Refineries'!$F$3:$F$1084)</f>
        <v/>
      </c>
      <c r="D113" s="52">
        <f>SUMPRODUCT(('Individual Refineries'!$B$3:$B$1084=$A113)*('Individual Refineries'!$D$3:$D$1084="CDU")*'Individual Refineries'!$K$3:$K$1084)</f>
        <v/>
      </c>
      <c r="E113" s="30">
        <f>$C113*$D113</f>
        <v/>
      </c>
      <c r="F113" s="33">
        <f>SUMPRODUCT(('Individual Refineries'!$B$3:$B$1084=$A113)*('Individual Refineries'!$D$3:$D$1084="CDU")*'Individual Refineries'!$P$3:$P$1084)</f>
        <v/>
      </c>
      <c r="G113" s="35">
        <f>$E113*$F113</f>
        <v/>
      </c>
      <c r="H113" s="30">
        <f>SUMPRODUCT(('Individual Refineries'!$B$3:$B$1084=$A113)*('Individual Refineries'!$D$3:$D$1084="NHT")*'Individual Refineries'!$F$3:$F$1084)</f>
        <v/>
      </c>
      <c r="I113" s="35">
        <f>SUMPRODUCT(('Individual Refineries'!$B$3:$B$1084=$A113)*('Individual Refineries'!$D$3:$D$1084="REF")*'Individual Refineries'!$F$3:$F$1084)*SUMPRODUCT(('Individual Refineries'!$B$3:$B$1084=$A113)*('Individual Refineries'!$D$3:$D$1084="REF")*'Individual Refineries'!$K$3:$K$1084)+SUMPRODUCT(('Individual Refineries'!$B$3:$B$1084=$A113)*('Individual Refineries'!$D$3:$D$1084="CCR")*'Individual Refineries'!$F$3:$F$1084)*SUMPRODUCT(('Individual Refineries'!$B$3:$B$1084=$A113)*('Individual Refineries'!$D$3:$D$1084="CCR")*'Individual Refineries'!$K$3:$K$1084)</f>
        <v/>
      </c>
      <c r="J113" s="35">
        <f>SUMPRODUCT(('Individual Refineries'!$B$3:$B$1084=$A113)*('Individual Refineries'!$D$3:$D$1084="ISOM")*'Individual Refineries'!$F$3:$F$1084)*SUMPRODUCT(('Individual Refineries'!$B$3:$B$1084=$A113)*('Individual Refineries'!$D$3:$D$1084="ISOM")*'Individual Refineries'!$K$3:$K$1084)</f>
        <v/>
      </c>
      <c r="K113" s="35">
        <f>SUMPRODUCT(('Individual Refineries'!$A$3:$A$1084="TOTAL")*('Individual Refineries'!$B$3:$B$1084=$A113)*'Individual Refineries'!$Q$3:$Q$1084)</f>
        <v/>
      </c>
      <c r="L113" s="34">
        <f>SUMIFS(Data!$N$3:$N$125,Data!$A$3:$A$125,$A113)</f>
        <v/>
      </c>
      <c r="M113" s="34">
        <f>IFERROR($K113/(SUMIFS(Data!$G$3:$G$125,Data!$A$3:$A$125,$A113)*$D113),"")</f>
        <v/>
      </c>
      <c r="N113" s="53">
        <f>IF($M113="","",$M113-$L113)</f>
        <v/>
      </c>
      <c r="O113" s="49">
        <f>IF(AND($H113&gt;0,$G113&gt;$H113*1.05),"SR &gt; NHT cap","")</f>
        <v/>
      </c>
    </row>
  </sheetData>
  <autoFilter ref="A2:O113"/>
  <mergeCells count="1">
    <mergeCell ref="A1:M1"/>
  </mergeCells>
  <conditionalFormatting sqref="N3:N113">
    <cfRule type="cellIs" priority="1" operator="greaterThan" dxfId="0">
      <formula>0.02</formula>
    </cfRule>
    <cfRule type="cellIs" priority="2" operator="lessThan" dxfId="0">
      <formula>-0.02</formula>
    </cfRule>
  </conditionalFormatting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  <hyperlink xmlns:r="http://schemas.openxmlformats.org/officeDocument/2006/relationships" ref="A40" r:id="rId38"/>
    <hyperlink xmlns:r="http://schemas.openxmlformats.org/officeDocument/2006/relationships" ref="A41" r:id="rId39"/>
    <hyperlink xmlns:r="http://schemas.openxmlformats.org/officeDocument/2006/relationships" ref="A42" r:id="rId40"/>
    <hyperlink xmlns:r="http://schemas.openxmlformats.org/officeDocument/2006/relationships" ref="A43" r:id="rId41"/>
    <hyperlink xmlns:r="http://schemas.openxmlformats.org/officeDocument/2006/relationships" ref="A44" r:id="rId42"/>
    <hyperlink xmlns:r="http://schemas.openxmlformats.org/officeDocument/2006/relationships" ref="A45" r:id="rId43"/>
    <hyperlink xmlns:r="http://schemas.openxmlformats.org/officeDocument/2006/relationships" ref="A46" r:id="rId44"/>
    <hyperlink xmlns:r="http://schemas.openxmlformats.org/officeDocument/2006/relationships" ref="A47" r:id="rId45"/>
    <hyperlink xmlns:r="http://schemas.openxmlformats.org/officeDocument/2006/relationships" ref="A48" r:id="rId46"/>
    <hyperlink xmlns:r="http://schemas.openxmlformats.org/officeDocument/2006/relationships" ref="A49" r:id="rId47"/>
    <hyperlink xmlns:r="http://schemas.openxmlformats.org/officeDocument/2006/relationships" ref="A50" r:id="rId48"/>
    <hyperlink xmlns:r="http://schemas.openxmlformats.org/officeDocument/2006/relationships" ref="A51" r:id="rId49"/>
    <hyperlink xmlns:r="http://schemas.openxmlformats.org/officeDocument/2006/relationships" ref="A52" r:id="rId50"/>
    <hyperlink xmlns:r="http://schemas.openxmlformats.org/officeDocument/2006/relationships" ref="A53" r:id="rId51"/>
    <hyperlink xmlns:r="http://schemas.openxmlformats.org/officeDocument/2006/relationships" ref="A54" r:id="rId52"/>
    <hyperlink xmlns:r="http://schemas.openxmlformats.org/officeDocument/2006/relationships" ref="A55" r:id="rId53"/>
    <hyperlink xmlns:r="http://schemas.openxmlformats.org/officeDocument/2006/relationships" ref="A56" r:id="rId54"/>
    <hyperlink xmlns:r="http://schemas.openxmlformats.org/officeDocument/2006/relationships" ref="A57" r:id="rId55"/>
    <hyperlink xmlns:r="http://schemas.openxmlformats.org/officeDocument/2006/relationships" ref="A58" r:id="rId56"/>
    <hyperlink xmlns:r="http://schemas.openxmlformats.org/officeDocument/2006/relationships" ref="A59" r:id="rId57"/>
    <hyperlink xmlns:r="http://schemas.openxmlformats.org/officeDocument/2006/relationships" ref="A60" r:id="rId58"/>
    <hyperlink xmlns:r="http://schemas.openxmlformats.org/officeDocument/2006/relationships" ref="A61" r:id="rId59"/>
    <hyperlink xmlns:r="http://schemas.openxmlformats.org/officeDocument/2006/relationships" ref="A62" r:id="rId60"/>
    <hyperlink xmlns:r="http://schemas.openxmlformats.org/officeDocument/2006/relationships" ref="A63" r:id="rId61"/>
    <hyperlink xmlns:r="http://schemas.openxmlformats.org/officeDocument/2006/relationships" ref="A64" r:id="rId62"/>
    <hyperlink xmlns:r="http://schemas.openxmlformats.org/officeDocument/2006/relationships" ref="A65" r:id="rId63"/>
    <hyperlink xmlns:r="http://schemas.openxmlformats.org/officeDocument/2006/relationships" ref="A66" r:id="rId64"/>
    <hyperlink xmlns:r="http://schemas.openxmlformats.org/officeDocument/2006/relationships" ref="A67" r:id="rId65"/>
    <hyperlink xmlns:r="http://schemas.openxmlformats.org/officeDocument/2006/relationships" ref="A68" r:id="rId66"/>
    <hyperlink xmlns:r="http://schemas.openxmlformats.org/officeDocument/2006/relationships" ref="A69" r:id="rId67"/>
    <hyperlink xmlns:r="http://schemas.openxmlformats.org/officeDocument/2006/relationships" ref="A70" r:id="rId68"/>
    <hyperlink xmlns:r="http://schemas.openxmlformats.org/officeDocument/2006/relationships" ref="A71" r:id="rId69"/>
    <hyperlink xmlns:r="http://schemas.openxmlformats.org/officeDocument/2006/relationships" ref="A72" r:id="rId70"/>
    <hyperlink xmlns:r="http://schemas.openxmlformats.org/officeDocument/2006/relationships" ref="A73" r:id="rId71"/>
    <hyperlink xmlns:r="http://schemas.openxmlformats.org/officeDocument/2006/relationships" ref="A74" r:id="rId72"/>
    <hyperlink xmlns:r="http://schemas.openxmlformats.org/officeDocument/2006/relationships" ref="A75" r:id="rId73"/>
    <hyperlink xmlns:r="http://schemas.openxmlformats.org/officeDocument/2006/relationships" ref="A76" r:id="rId74"/>
    <hyperlink xmlns:r="http://schemas.openxmlformats.org/officeDocument/2006/relationships" ref="A77" r:id="rId75"/>
    <hyperlink xmlns:r="http://schemas.openxmlformats.org/officeDocument/2006/relationships" ref="A78" r:id="rId76"/>
    <hyperlink xmlns:r="http://schemas.openxmlformats.org/officeDocument/2006/relationships" ref="A79" r:id="rId77"/>
    <hyperlink xmlns:r="http://schemas.openxmlformats.org/officeDocument/2006/relationships" ref="A80" r:id="rId78"/>
    <hyperlink xmlns:r="http://schemas.openxmlformats.org/officeDocument/2006/relationships" ref="A81" r:id="rId79"/>
    <hyperlink xmlns:r="http://schemas.openxmlformats.org/officeDocument/2006/relationships" ref="A82" r:id="rId80"/>
    <hyperlink xmlns:r="http://schemas.openxmlformats.org/officeDocument/2006/relationships" ref="A83" r:id="rId81"/>
    <hyperlink xmlns:r="http://schemas.openxmlformats.org/officeDocument/2006/relationships" ref="A84" r:id="rId82"/>
    <hyperlink xmlns:r="http://schemas.openxmlformats.org/officeDocument/2006/relationships" ref="A85" r:id="rId83"/>
    <hyperlink xmlns:r="http://schemas.openxmlformats.org/officeDocument/2006/relationships" ref="A86" r:id="rId84"/>
    <hyperlink xmlns:r="http://schemas.openxmlformats.org/officeDocument/2006/relationships" ref="A87" r:id="rId85"/>
    <hyperlink xmlns:r="http://schemas.openxmlformats.org/officeDocument/2006/relationships" ref="A88" r:id="rId86"/>
    <hyperlink xmlns:r="http://schemas.openxmlformats.org/officeDocument/2006/relationships" ref="A89" r:id="rId87"/>
    <hyperlink xmlns:r="http://schemas.openxmlformats.org/officeDocument/2006/relationships" ref="A90" r:id="rId88"/>
    <hyperlink xmlns:r="http://schemas.openxmlformats.org/officeDocument/2006/relationships" ref="A91" r:id="rId89"/>
    <hyperlink xmlns:r="http://schemas.openxmlformats.org/officeDocument/2006/relationships" ref="A92" r:id="rId90"/>
    <hyperlink xmlns:r="http://schemas.openxmlformats.org/officeDocument/2006/relationships" ref="A93" r:id="rId91"/>
    <hyperlink xmlns:r="http://schemas.openxmlformats.org/officeDocument/2006/relationships" ref="A94" r:id="rId92"/>
    <hyperlink xmlns:r="http://schemas.openxmlformats.org/officeDocument/2006/relationships" ref="A95" r:id="rId93"/>
    <hyperlink xmlns:r="http://schemas.openxmlformats.org/officeDocument/2006/relationships" ref="A96" r:id="rId94"/>
    <hyperlink xmlns:r="http://schemas.openxmlformats.org/officeDocument/2006/relationships" ref="A97" r:id="rId95"/>
    <hyperlink xmlns:r="http://schemas.openxmlformats.org/officeDocument/2006/relationships" ref="A98" r:id="rId96"/>
    <hyperlink xmlns:r="http://schemas.openxmlformats.org/officeDocument/2006/relationships" ref="A99" r:id="rId97"/>
    <hyperlink xmlns:r="http://schemas.openxmlformats.org/officeDocument/2006/relationships" ref="A100" r:id="rId98"/>
    <hyperlink xmlns:r="http://schemas.openxmlformats.org/officeDocument/2006/relationships" ref="A101" r:id="rId99"/>
    <hyperlink xmlns:r="http://schemas.openxmlformats.org/officeDocument/2006/relationships" ref="A102" r:id="rId100"/>
    <hyperlink xmlns:r="http://schemas.openxmlformats.org/officeDocument/2006/relationships" ref="A103" r:id="rId101"/>
    <hyperlink xmlns:r="http://schemas.openxmlformats.org/officeDocument/2006/relationships" ref="A104" r:id="rId102"/>
    <hyperlink xmlns:r="http://schemas.openxmlformats.org/officeDocument/2006/relationships" ref="A105" r:id="rId103"/>
    <hyperlink xmlns:r="http://schemas.openxmlformats.org/officeDocument/2006/relationships" ref="A106" r:id="rId104"/>
    <hyperlink xmlns:r="http://schemas.openxmlformats.org/officeDocument/2006/relationships" ref="A107" r:id="rId105"/>
    <hyperlink xmlns:r="http://schemas.openxmlformats.org/officeDocument/2006/relationships" ref="A108" r:id="rId106"/>
    <hyperlink xmlns:r="http://schemas.openxmlformats.org/officeDocument/2006/relationships" ref="A109" r:id="rId107"/>
    <hyperlink xmlns:r="http://schemas.openxmlformats.org/officeDocument/2006/relationships" ref="A110" r:id="rId108"/>
    <hyperlink xmlns:r="http://schemas.openxmlformats.org/officeDocument/2006/relationships" ref="A111" r:id="rId109"/>
    <hyperlink xmlns:r="http://schemas.openxmlformats.org/officeDocument/2006/relationships" ref="A112" r:id="rId110"/>
    <hyperlink xmlns:r="http://schemas.openxmlformats.org/officeDocument/2006/relationships" ref="A113" r:id="rId11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2E8677"/>
    <outlinePr summaryBelow="1" summaryRight="1"/>
    <pageSetUpPr fitToPage="1"/>
  </sheetPr>
  <dimension ref="A1:S132"/>
  <sheetViews>
    <sheetView showGridLines="0"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6" customWidth="1" min="3" max="3"/>
    <col width="9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</cols>
  <sheetData>
    <row r="1" ht="20" customHeight="1">
      <c r="A1" s="8" t="inlineStr">
        <is>
          <t>Nameplate capacity (kbd) — stated unit capacities, live from Individual Refineries. This is what's on paper; see Effective for what units have actually demonstrated.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</row>
    <row r="2">
      <c r="A2" s="23" t="inlineStr">
        <is>
          <t>refinery_id</t>
        </is>
      </c>
      <c r="B2" s="23" t="inlineStr">
        <is>
          <t>name</t>
        </is>
      </c>
      <c r="C2" s="23" t="inlineStr">
        <is>
          <t>padd</t>
        </is>
      </c>
      <c r="D2" s="23" t="inlineStr">
        <is>
          <t>crude kbd</t>
        </is>
      </c>
      <c r="E2" s="23" t="inlineStr">
        <is>
          <t>CDU</t>
        </is>
      </c>
      <c r="F2" s="23" t="inlineStr">
        <is>
          <t>VDU</t>
        </is>
      </c>
      <c r="G2" s="23" t="inlineStr">
        <is>
          <t>FCC</t>
        </is>
      </c>
      <c r="H2" s="23" t="inlineStr">
        <is>
          <t>RCC</t>
        </is>
      </c>
      <c r="I2" s="23" t="inlineStr">
        <is>
          <t>COKER</t>
        </is>
      </c>
      <c r="J2" s="23" t="inlineStr">
        <is>
          <t>FCOKER</t>
        </is>
      </c>
      <c r="K2" s="23" t="inlineStr">
        <is>
          <t>DHCU</t>
        </is>
      </c>
      <c r="L2" s="23" t="inlineStr">
        <is>
          <t>RHCU</t>
        </is>
      </c>
      <c r="M2" s="23" t="inlineStr">
        <is>
          <t>REF</t>
        </is>
      </c>
      <c r="N2" s="23" t="inlineStr">
        <is>
          <t>CCR</t>
        </is>
      </c>
      <c r="O2" s="23" t="inlineStr">
        <is>
          <t>ISOM</t>
        </is>
      </c>
      <c r="P2" s="23" t="inlineStr">
        <is>
          <t>ALKY</t>
        </is>
      </c>
      <c r="Q2" s="23" t="inlineStr">
        <is>
          <t>NSPL</t>
        </is>
      </c>
      <c r="R2" s="23" t="inlineStr">
        <is>
          <t>NHT</t>
        </is>
      </c>
    </row>
    <row r="3">
      <c r="A3" s="40" t="inlineStr">
        <is>
          <t>PHILLIPS_LINDEN</t>
        </is>
      </c>
      <c r="B3" s="28" t="inlineStr">
        <is>
          <t>Phillips 66 Co. Linden</t>
        </is>
      </c>
      <c r="C3" s="28" t="n">
        <v>1</v>
      </c>
      <c r="D3" s="30">
        <f>SUMIFS(Data!$G$3:$G$125,Data!$A$3:$A$125,$A3)</f>
        <v/>
      </c>
      <c r="E3" s="30">
        <f>SUMIFS('Individual Refineries'!$F$3:$F$1084,'Individual Refineries'!$B$3:$B$1084,$A3,'Individual Refineries'!$D$3:$D$1084,"CDU")</f>
        <v/>
      </c>
      <c r="F3" s="30">
        <f>SUMIFS('Individual Refineries'!$F$3:$F$1084,'Individual Refineries'!$B$3:$B$1084,$A3,'Individual Refineries'!$D$3:$D$1084,"VDU")</f>
        <v/>
      </c>
      <c r="G3" s="30">
        <f>SUMIFS('Individual Refineries'!$F$3:$F$1084,'Individual Refineries'!$B$3:$B$1084,$A3,'Individual Refineries'!$D$3:$D$1084,"FCC")</f>
        <v/>
      </c>
      <c r="H3" s="30">
        <f>SUMIFS('Individual Refineries'!$F$3:$F$1084,'Individual Refineries'!$B$3:$B$1084,$A3,'Individual Refineries'!$D$3:$D$1084,"RCC")</f>
        <v/>
      </c>
      <c r="I3" s="30">
        <f>SUMIFS('Individual Refineries'!$F$3:$F$1084,'Individual Refineries'!$B$3:$B$1084,$A3,'Individual Refineries'!$D$3:$D$1084,"COKER")</f>
        <v/>
      </c>
      <c r="J3" s="30">
        <f>SUMIFS('Individual Refineries'!$F$3:$F$1084,'Individual Refineries'!$B$3:$B$1084,$A3,'Individual Refineries'!$D$3:$D$1084,"FCOKER")</f>
        <v/>
      </c>
      <c r="K3" s="30">
        <f>SUMIFS('Individual Refineries'!$F$3:$F$1084,'Individual Refineries'!$B$3:$B$1084,$A3,'Individual Refineries'!$D$3:$D$1084,"DHCU")</f>
        <v/>
      </c>
      <c r="L3" s="30">
        <f>SUMIFS('Individual Refineries'!$F$3:$F$1084,'Individual Refineries'!$B$3:$B$1084,$A3,'Individual Refineries'!$D$3:$D$1084,"RHCU")</f>
        <v/>
      </c>
      <c r="M3" s="30">
        <f>SUMIFS('Individual Refineries'!$F$3:$F$1084,'Individual Refineries'!$B$3:$B$1084,$A3,'Individual Refineries'!$D$3:$D$1084,"REF")</f>
        <v/>
      </c>
      <c r="N3" s="30">
        <f>SUMIFS('Individual Refineries'!$F$3:$F$1084,'Individual Refineries'!$B$3:$B$1084,$A3,'Individual Refineries'!$D$3:$D$1084,"CCR")</f>
        <v/>
      </c>
      <c r="O3" s="30">
        <f>SUMIFS('Individual Refineries'!$F$3:$F$1084,'Individual Refineries'!$B$3:$B$1084,$A3,'Individual Refineries'!$D$3:$D$1084,"ISOM")</f>
        <v/>
      </c>
      <c r="P3" s="30">
        <f>SUMIFS('Individual Refineries'!$F$3:$F$1084,'Individual Refineries'!$B$3:$B$1084,$A3,'Individual Refineries'!$D$3:$D$1084,"ALKY")</f>
        <v/>
      </c>
      <c r="Q3" s="30">
        <f>SUMIFS('Individual Refineries'!$F$3:$F$1084,'Individual Refineries'!$B$3:$B$1084,$A3,'Individual Refineries'!$D$3:$D$1084,"NSPL")</f>
        <v/>
      </c>
      <c r="R3" s="30">
        <f>SUMIFS('Individual Refineries'!$F$3:$F$1084,'Individual Refineries'!$B$3:$B$1084,$A3,'Individual Refineries'!$D$3:$D$1084,"NHT")</f>
        <v/>
      </c>
    </row>
    <row r="4">
      <c r="A4" s="40" t="inlineStr">
        <is>
          <t>MONROE_TRAINER</t>
        </is>
      </c>
      <c r="B4" s="28" t="inlineStr">
        <is>
          <t>Monroe Energy Trainer</t>
        </is>
      </c>
      <c r="C4" s="28" t="n">
        <v>1</v>
      </c>
      <c r="D4" s="30">
        <f>SUMIFS(Data!$G$3:$G$125,Data!$A$3:$A$125,$A4)</f>
        <v/>
      </c>
      <c r="E4" s="30">
        <f>SUMIFS('Individual Refineries'!$F$3:$F$1084,'Individual Refineries'!$B$3:$B$1084,$A4,'Individual Refineries'!$D$3:$D$1084,"CDU")</f>
        <v/>
      </c>
      <c r="F4" s="30">
        <f>SUMIFS('Individual Refineries'!$F$3:$F$1084,'Individual Refineries'!$B$3:$B$1084,$A4,'Individual Refineries'!$D$3:$D$1084,"VDU")</f>
        <v/>
      </c>
      <c r="G4" s="30">
        <f>SUMIFS('Individual Refineries'!$F$3:$F$1084,'Individual Refineries'!$B$3:$B$1084,$A4,'Individual Refineries'!$D$3:$D$1084,"FCC")</f>
        <v/>
      </c>
      <c r="H4" s="30">
        <f>SUMIFS('Individual Refineries'!$F$3:$F$1084,'Individual Refineries'!$B$3:$B$1084,$A4,'Individual Refineries'!$D$3:$D$1084,"RCC")</f>
        <v/>
      </c>
      <c r="I4" s="30">
        <f>SUMIFS('Individual Refineries'!$F$3:$F$1084,'Individual Refineries'!$B$3:$B$1084,$A4,'Individual Refineries'!$D$3:$D$1084,"COKER")</f>
        <v/>
      </c>
      <c r="J4" s="30">
        <f>SUMIFS('Individual Refineries'!$F$3:$F$1084,'Individual Refineries'!$B$3:$B$1084,$A4,'Individual Refineries'!$D$3:$D$1084,"FCOKER")</f>
        <v/>
      </c>
      <c r="K4" s="30">
        <f>SUMIFS('Individual Refineries'!$F$3:$F$1084,'Individual Refineries'!$B$3:$B$1084,$A4,'Individual Refineries'!$D$3:$D$1084,"DHCU")</f>
        <v/>
      </c>
      <c r="L4" s="30">
        <f>SUMIFS('Individual Refineries'!$F$3:$F$1084,'Individual Refineries'!$B$3:$B$1084,$A4,'Individual Refineries'!$D$3:$D$1084,"RHCU")</f>
        <v/>
      </c>
      <c r="M4" s="30">
        <f>SUMIFS('Individual Refineries'!$F$3:$F$1084,'Individual Refineries'!$B$3:$B$1084,$A4,'Individual Refineries'!$D$3:$D$1084,"REF")</f>
        <v/>
      </c>
      <c r="N4" s="30">
        <f>SUMIFS('Individual Refineries'!$F$3:$F$1084,'Individual Refineries'!$B$3:$B$1084,$A4,'Individual Refineries'!$D$3:$D$1084,"CCR")</f>
        <v/>
      </c>
      <c r="O4" s="30">
        <f>SUMIFS('Individual Refineries'!$F$3:$F$1084,'Individual Refineries'!$B$3:$B$1084,$A4,'Individual Refineries'!$D$3:$D$1084,"ISOM")</f>
        <v/>
      </c>
      <c r="P4" s="30">
        <f>SUMIFS('Individual Refineries'!$F$3:$F$1084,'Individual Refineries'!$B$3:$B$1084,$A4,'Individual Refineries'!$D$3:$D$1084,"ALKY")</f>
        <v/>
      </c>
      <c r="Q4" s="30">
        <f>SUMIFS('Individual Refineries'!$F$3:$F$1084,'Individual Refineries'!$B$3:$B$1084,$A4,'Individual Refineries'!$D$3:$D$1084,"NSPL")</f>
        <v/>
      </c>
      <c r="R4" s="30">
        <f>SUMIFS('Individual Refineries'!$F$3:$F$1084,'Individual Refineries'!$B$3:$B$1084,$A4,'Individual Refineries'!$D$3:$D$1084,"NHT")</f>
        <v/>
      </c>
    </row>
    <row r="5">
      <c r="A5" s="40" t="inlineStr">
        <is>
          <t>PBF_DELAWARE_CITY</t>
        </is>
      </c>
      <c r="B5" s="28" t="inlineStr">
        <is>
          <t>PBF Energy Company LLC Delaware City</t>
        </is>
      </c>
      <c r="C5" s="28" t="n">
        <v>1</v>
      </c>
      <c r="D5" s="30">
        <f>SUMIFS(Data!$G$3:$G$125,Data!$A$3:$A$125,$A5)</f>
        <v/>
      </c>
      <c r="E5" s="30">
        <f>SUMIFS('Individual Refineries'!$F$3:$F$1084,'Individual Refineries'!$B$3:$B$1084,$A5,'Individual Refineries'!$D$3:$D$1084,"CDU")</f>
        <v/>
      </c>
      <c r="F5" s="30">
        <f>SUMIFS('Individual Refineries'!$F$3:$F$1084,'Individual Refineries'!$B$3:$B$1084,$A5,'Individual Refineries'!$D$3:$D$1084,"VDU")</f>
        <v/>
      </c>
      <c r="G5" s="30">
        <f>SUMIFS('Individual Refineries'!$F$3:$F$1084,'Individual Refineries'!$B$3:$B$1084,$A5,'Individual Refineries'!$D$3:$D$1084,"FCC")</f>
        <v/>
      </c>
      <c r="H5" s="30">
        <f>SUMIFS('Individual Refineries'!$F$3:$F$1084,'Individual Refineries'!$B$3:$B$1084,$A5,'Individual Refineries'!$D$3:$D$1084,"RCC")</f>
        <v/>
      </c>
      <c r="I5" s="30">
        <f>SUMIFS('Individual Refineries'!$F$3:$F$1084,'Individual Refineries'!$B$3:$B$1084,$A5,'Individual Refineries'!$D$3:$D$1084,"COKER")</f>
        <v/>
      </c>
      <c r="J5" s="30">
        <f>SUMIFS('Individual Refineries'!$F$3:$F$1084,'Individual Refineries'!$B$3:$B$1084,$A5,'Individual Refineries'!$D$3:$D$1084,"FCOKER")</f>
        <v/>
      </c>
      <c r="K5" s="30">
        <f>SUMIFS('Individual Refineries'!$F$3:$F$1084,'Individual Refineries'!$B$3:$B$1084,$A5,'Individual Refineries'!$D$3:$D$1084,"DHCU")</f>
        <v/>
      </c>
      <c r="L5" s="30">
        <f>SUMIFS('Individual Refineries'!$F$3:$F$1084,'Individual Refineries'!$B$3:$B$1084,$A5,'Individual Refineries'!$D$3:$D$1084,"RHCU")</f>
        <v/>
      </c>
      <c r="M5" s="30">
        <f>SUMIFS('Individual Refineries'!$F$3:$F$1084,'Individual Refineries'!$B$3:$B$1084,$A5,'Individual Refineries'!$D$3:$D$1084,"REF")</f>
        <v/>
      </c>
      <c r="N5" s="30">
        <f>SUMIFS('Individual Refineries'!$F$3:$F$1084,'Individual Refineries'!$B$3:$B$1084,$A5,'Individual Refineries'!$D$3:$D$1084,"CCR")</f>
        <v/>
      </c>
      <c r="O5" s="30">
        <f>SUMIFS('Individual Refineries'!$F$3:$F$1084,'Individual Refineries'!$B$3:$B$1084,$A5,'Individual Refineries'!$D$3:$D$1084,"ISOM")</f>
        <v/>
      </c>
      <c r="P5" s="30">
        <f>SUMIFS('Individual Refineries'!$F$3:$F$1084,'Individual Refineries'!$B$3:$B$1084,$A5,'Individual Refineries'!$D$3:$D$1084,"ALKY")</f>
        <v/>
      </c>
      <c r="Q5" s="30">
        <f>SUMIFS('Individual Refineries'!$F$3:$F$1084,'Individual Refineries'!$B$3:$B$1084,$A5,'Individual Refineries'!$D$3:$D$1084,"NSPL")</f>
        <v/>
      </c>
      <c r="R5" s="30">
        <f>SUMIFS('Individual Refineries'!$F$3:$F$1084,'Individual Refineries'!$B$3:$B$1084,$A5,'Individual Refineries'!$D$3:$D$1084,"NHT")</f>
        <v/>
      </c>
    </row>
    <row r="6">
      <c r="A6" s="40" t="inlineStr">
        <is>
          <t>PBF_PAULSBORO</t>
        </is>
      </c>
      <c r="B6" s="28" t="inlineStr">
        <is>
          <t>PBF Energy Company LLC Paulsboro</t>
        </is>
      </c>
      <c r="C6" s="28" t="n">
        <v>1</v>
      </c>
      <c r="D6" s="30">
        <f>SUMIFS(Data!$G$3:$G$125,Data!$A$3:$A$125,$A6)</f>
        <v/>
      </c>
      <c r="E6" s="30">
        <f>SUMIFS('Individual Refineries'!$F$3:$F$1084,'Individual Refineries'!$B$3:$B$1084,$A6,'Individual Refineries'!$D$3:$D$1084,"CDU")</f>
        <v/>
      </c>
      <c r="F6" s="30">
        <f>SUMIFS('Individual Refineries'!$F$3:$F$1084,'Individual Refineries'!$B$3:$B$1084,$A6,'Individual Refineries'!$D$3:$D$1084,"VDU")</f>
        <v/>
      </c>
      <c r="G6" s="30">
        <f>SUMIFS('Individual Refineries'!$F$3:$F$1084,'Individual Refineries'!$B$3:$B$1084,$A6,'Individual Refineries'!$D$3:$D$1084,"FCC")</f>
        <v/>
      </c>
      <c r="H6" s="30">
        <f>SUMIFS('Individual Refineries'!$F$3:$F$1084,'Individual Refineries'!$B$3:$B$1084,$A6,'Individual Refineries'!$D$3:$D$1084,"RCC")</f>
        <v/>
      </c>
      <c r="I6" s="30">
        <f>SUMIFS('Individual Refineries'!$F$3:$F$1084,'Individual Refineries'!$B$3:$B$1084,$A6,'Individual Refineries'!$D$3:$D$1084,"COKER")</f>
        <v/>
      </c>
      <c r="J6" s="30">
        <f>SUMIFS('Individual Refineries'!$F$3:$F$1084,'Individual Refineries'!$B$3:$B$1084,$A6,'Individual Refineries'!$D$3:$D$1084,"FCOKER")</f>
        <v/>
      </c>
      <c r="K6" s="30">
        <f>SUMIFS('Individual Refineries'!$F$3:$F$1084,'Individual Refineries'!$B$3:$B$1084,$A6,'Individual Refineries'!$D$3:$D$1084,"DHCU")</f>
        <v/>
      </c>
      <c r="L6" s="30">
        <f>SUMIFS('Individual Refineries'!$F$3:$F$1084,'Individual Refineries'!$B$3:$B$1084,$A6,'Individual Refineries'!$D$3:$D$1084,"RHCU")</f>
        <v/>
      </c>
      <c r="M6" s="30">
        <f>SUMIFS('Individual Refineries'!$F$3:$F$1084,'Individual Refineries'!$B$3:$B$1084,$A6,'Individual Refineries'!$D$3:$D$1084,"REF")</f>
        <v/>
      </c>
      <c r="N6" s="30">
        <f>SUMIFS('Individual Refineries'!$F$3:$F$1084,'Individual Refineries'!$B$3:$B$1084,$A6,'Individual Refineries'!$D$3:$D$1084,"CCR")</f>
        <v/>
      </c>
      <c r="O6" s="30">
        <f>SUMIFS('Individual Refineries'!$F$3:$F$1084,'Individual Refineries'!$B$3:$B$1084,$A6,'Individual Refineries'!$D$3:$D$1084,"ISOM")</f>
        <v/>
      </c>
      <c r="P6" s="30">
        <f>SUMIFS('Individual Refineries'!$F$3:$F$1084,'Individual Refineries'!$B$3:$B$1084,$A6,'Individual Refineries'!$D$3:$D$1084,"ALKY")</f>
        <v/>
      </c>
      <c r="Q6" s="30">
        <f>SUMIFS('Individual Refineries'!$F$3:$F$1084,'Individual Refineries'!$B$3:$B$1084,$A6,'Individual Refineries'!$D$3:$D$1084,"NSPL")</f>
        <v/>
      </c>
      <c r="R6" s="30">
        <f>SUMIFS('Individual Refineries'!$F$3:$F$1084,'Individual Refineries'!$B$3:$B$1084,$A6,'Individual Refineries'!$D$3:$D$1084,"NHT")</f>
        <v/>
      </c>
    </row>
    <row r="7">
      <c r="A7" s="40" t="inlineStr">
        <is>
          <t>UNITED_WARREN</t>
        </is>
      </c>
      <c r="B7" s="28" t="inlineStr">
        <is>
          <t>United Refining Warren</t>
        </is>
      </c>
      <c r="C7" s="28" t="n">
        <v>1</v>
      </c>
      <c r="D7" s="30">
        <f>SUMIFS(Data!$G$3:$G$125,Data!$A$3:$A$125,$A7)</f>
        <v/>
      </c>
      <c r="E7" s="30">
        <f>SUMIFS('Individual Refineries'!$F$3:$F$1084,'Individual Refineries'!$B$3:$B$1084,$A7,'Individual Refineries'!$D$3:$D$1084,"CDU")</f>
        <v/>
      </c>
      <c r="F7" s="30">
        <f>SUMIFS('Individual Refineries'!$F$3:$F$1084,'Individual Refineries'!$B$3:$B$1084,$A7,'Individual Refineries'!$D$3:$D$1084,"VDU")</f>
        <v/>
      </c>
      <c r="G7" s="30">
        <f>SUMIFS('Individual Refineries'!$F$3:$F$1084,'Individual Refineries'!$B$3:$B$1084,$A7,'Individual Refineries'!$D$3:$D$1084,"FCC")</f>
        <v/>
      </c>
      <c r="H7" s="30">
        <f>SUMIFS('Individual Refineries'!$F$3:$F$1084,'Individual Refineries'!$B$3:$B$1084,$A7,'Individual Refineries'!$D$3:$D$1084,"RCC")</f>
        <v/>
      </c>
      <c r="I7" s="30">
        <f>SUMIFS('Individual Refineries'!$F$3:$F$1084,'Individual Refineries'!$B$3:$B$1084,$A7,'Individual Refineries'!$D$3:$D$1084,"COKER")</f>
        <v/>
      </c>
      <c r="J7" s="30">
        <f>SUMIFS('Individual Refineries'!$F$3:$F$1084,'Individual Refineries'!$B$3:$B$1084,$A7,'Individual Refineries'!$D$3:$D$1084,"FCOKER")</f>
        <v/>
      </c>
      <c r="K7" s="30">
        <f>SUMIFS('Individual Refineries'!$F$3:$F$1084,'Individual Refineries'!$B$3:$B$1084,$A7,'Individual Refineries'!$D$3:$D$1084,"DHCU")</f>
        <v/>
      </c>
      <c r="L7" s="30">
        <f>SUMIFS('Individual Refineries'!$F$3:$F$1084,'Individual Refineries'!$B$3:$B$1084,$A7,'Individual Refineries'!$D$3:$D$1084,"RHCU")</f>
        <v/>
      </c>
      <c r="M7" s="30">
        <f>SUMIFS('Individual Refineries'!$F$3:$F$1084,'Individual Refineries'!$B$3:$B$1084,$A7,'Individual Refineries'!$D$3:$D$1084,"REF")</f>
        <v/>
      </c>
      <c r="N7" s="30">
        <f>SUMIFS('Individual Refineries'!$F$3:$F$1084,'Individual Refineries'!$B$3:$B$1084,$A7,'Individual Refineries'!$D$3:$D$1084,"CCR")</f>
        <v/>
      </c>
      <c r="O7" s="30">
        <f>SUMIFS('Individual Refineries'!$F$3:$F$1084,'Individual Refineries'!$B$3:$B$1084,$A7,'Individual Refineries'!$D$3:$D$1084,"ISOM")</f>
        <v/>
      </c>
      <c r="P7" s="30">
        <f>SUMIFS('Individual Refineries'!$F$3:$F$1084,'Individual Refineries'!$B$3:$B$1084,$A7,'Individual Refineries'!$D$3:$D$1084,"ALKY")</f>
        <v/>
      </c>
      <c r="Q7" s="30">
        <f>SUMIFS('Individual Refineries'!$F$3:$F$1084,'Individual Refineries'!$B$3:$B$1084,$A7,'Individual Refineries'!$D$3:$D$1084,"NSPL")</f>
        <v/>
      </c>
      <c r="R7" s="30">
        <f>SUMIFS('Individual Refineries'!$F$3:$F$1084,'Individual Refineries'!$B$3:$B$1084,$A7,'Individual Refineries'!$D$3:$D$1084,"NHT")</f>
        <v/>
      </c>
    </row>
    <row r="8">
      <c r="A8" s="40" t="inlineStr">
        <is>
          <t>ERGON_NEWELL</t>
        </is>
      </c>
      <c r="B8" s="28" t="inlineStr">
        <is>
          <t>Ergon Newell</t>
        </is>
      </c>
      <c r="C8" s="28" t="n">
        <v>1</v>
      </c>
      <c r="D8" s="30">
        <f>SUMIFS(Data!$G$3:$G$125,Data!$A$3:$A$125,$A8)</f>
        <v/>
      </c>
      <c r="E8" s="30">
        <f>SUMIFS('Individual Refineries'!$F$3:$F$1084,'Individual Refineries'!$B$3:$B$1084,$A8,'Individual Refineries'!$D$3:$D$1084,"CDU")</f>
        <v/>
      </c>
      <c r="F8" s="30">
        <f>SUMIFS('Individual Refineries'!$F$3:$F$1084,'Individual Refineries'!$B$3:$B$1084,$A8,'Individual Refineries'!$D$3:$D$1084,"VDU")</f>
        <v/>
      </c>
      <c r="G8" s="30">
        <f>SUMIFS('Individual Refineries'!$F$3:$F$1084,'Individual Refineries'!$B$3:$B$1084,$A8,'Individual Refineries'!$D$3:$D$1084,"FCC")</f>
        <v/>
      </c>
      <c r="H8" s="30">
        <f>SUMIFS('Individual Refineries'!$F$3:$F$1084,'Individual Refineries'!$B$3:$B$1084,$A8,'Individual Refineries'!$D$3:$D$1084,"RCC")</f>
        <v/>
      </c>
      <c r="I8" s="30">
        <f>SUMIFS('Individual Refineries'!$F$3:$F$1084,'Individual Refineries'!$B$3:$B$1084,$A8,'Individual Refineries'!$D$3:$D$1084,"COKER")</f>
        <v/>
      </c>
      <c r="J8" s="30">
        <f>SUMIFS('Individual Refineries'!$F$3:$F$1084,'Individual Refineries'!$B$3:$B$1084,$A8,'Individual Refineries'!$D$3:$D$1084,"FCOKER")</f>
        <v/>
      </c>
      <c r="K8" s="30">
        <f>SUMIFS('Individual Refineries'!$F$3:$F$1084,'Individual Refineries'!$B$3:$B$1084,$A8,'Individual Refineries'!$D$3:$D$1084,"DHCU")</f>
        <v/>
      </c>
      <c r="L8" s="30">
        <f>SUMIFS('Individual Refineries'!$F$3:$F$1084,'Individual Refineries'!$B$3:$B$1084,$A8,'Individual Refineries'!$D$3:$D$1084,"RHCU")</f>
        <v/>
      </c>
      <c r="M8" s="30">
        <f>SUMIFS('Individual Refineries'!$F$3:$F$1084,'Individual Refineries'!$B$3:$B$1084,$A8,'Individual Refineries'!$D$3:$D$1084,"REF")</f>
        <v/>
      </c>
      <c r="N8" s="30">
        <f>SUMIFS('Individual Refineries'!$F$3:$F$1084,'Individual Refineries'!$B$3:$B$1084,$A8,'Individual Refineries'!$D$3:$D$1084,"CCR")</f>
        <v/>
      </c>
      <c r="O8" s="30">
        <f>SUMIFS('Individual Refineries'!$F$3:$F$1084,'Individual Refineries'!$B$3:$B$1084,$A8,'Individual Refineries'!$D$3:$D$1084,"ISOM")</f>
        <v/>
      </c>
      <c r="P8" s="30">
        <f>SUMIFS('Individual Refineries'!$F$3:$F$1084,'Individual Refineries'!$B$3:$B$1084,$A8,'Individual Refineries'!$D$3:$D$1084,"ALKY")</f>
        <v/>
      </c>
      <c r="Q8" s="30">
        <f>SUMIFS('Individual Refineries'!$F$3:$F$1084,'Individual Refineries'!$B$3:$B$1084,$A8,'Individual Refineries'!$D$3:$D$1084,"NSPL")</f>
        <v/>
      </c>
      <c r="R8" s="30">
        <f>SUMIFS('Individual Refineries'!$F$3:$F$1084,'Individual Refineries'!$B$3:$B$1084,$A8,'Individual Refineries'!$D$3:$D$1084,"NHT")</f>
        <v/>
      </c>
    </row>
    <row r="9">
      <c r="A9" s="40" t="inlineStr">
        <is>
          <t>AMERICAN_BRADFORD</t>
        </is>
      </c>
      <c r="B9" s="28" t="inlineStr">
        <is>
          <t>American Refining Group Bradford</t>
        </is>
      </c>
      <c r="C9" s="28" t="n">
        <v>1</v>
      </c>
      <c r="D9" s="30">
        <f>SUMIFS(Data!$G$3:$G$125,Data!$A$3:$A$125,$A9)</f>
        <v/>
      </c>
      <c r="E9" s="30">
        <f>SUMIFS('Individual Refineries'!$F$3:$F$1084,'Individual Refineries'!$B$3:$B$1084,$A9,'Individual Refineries'!$D$3:$D$1084,"CDU")</f>
        <v/>
      </c>
      <c r="F9" s="30">
        <f>SUMIFS('Individual Refineries'!$F$3:$F$1084,'Individual Refineries'!$B$3:$B$1084,$A9,'Individual Refineries'!$D$3:$D$1084,"VDU")</f>
        <v/>
      </c>
      <c r="G9" s="30">
        <f>SUMIFS('Individual Refineries'!$F$3:$F$1084,'Individual Refineries'!$B$3:$B$1084,$A9,'Individual Refineries'!$D$3:$D$1084,"FCC")</f>
        <v/>
      </c>
      <c r="H9" s="30">
        <f>SUMIFS('Individual Refineries'!$F$3:$F$1084,'Individual Refineries'!$B$3:$B$1084,$A9,'Individual Refineries'!$D$3:$D$1084,"RCC")</f>
        <v/>
      </c>
      <c r="I9" s="30">
        <f>SUMIFS('Individual Refineries'!$F$3:$F$1084,'Individual Refineries'!$B$3:$B$1084,$A9,'Individual Refineries'!$D$3:$D$1084,"COKER")</f>
        <v/>
      </c>
      <c r="J9" s="30">
        <f>SUMIFS('Individual Refineries'!$F$3:$F$1084,'Individual Refineries'!$B$3:$B$1084,$A9,'Individual Refineries'!$D$3:$D$1084,"FCOKER")</f>
        <v/>
      </c>
      <c r="K9" s="30">
        <f>SUMIFS('Individual Refineries'!$F$3:$F$1084,'Individual Refineries'!$B$3:$B$1084,$A9,'Individual Refineries'!$D$3:$D$1084,"DHCU")</f>
        <v/>
      </c>
      <c r="L9" s="30">
        <f>SUMIFS('Individual Refineries'!$F$3:$F$1084,'Individual Refineries'!$B$3:$B$1084,$A9,'Individual Refineries'!$D$3:$D$1084,"RHCU")</f>
        <v/>
      </c>
      <c r="M9" s="30">
        <f>SUMIFS('Individual Refineries'!$F$3:$F$1084,'Individual Refineries'!$B$3:$B$1084,$A9,'Individual Refineries'!$D$3:$D$1084,"REF")</f>
        <v/>
      </c>
      <c r="N9" s="30">
        <f>SUMIFS('Individual Refineries'!$F$3:$F$1084,'Individual Refineries'!$B$3:$B$1084,$A9,'Individual Refineries'!$D$3:$D$1084,"CCR")</f>
        <v/>
      </c>
      <c r="O9" s="30">
        <f>SUMIFS('Individual Refineries'!$F$3:$F$1084,'Individual Refineries'!$B$3:$B$1084,$A9,'Individual Refineries'!$D$3:$D$1084,"ISOM")</f>
        <v/>
      </c>
      <c r="P9" s="30">
        <f>SUMIFS('Individual Refineries'!$F$3:$F$1084,'Individual Refineries'!$B$3:$B$1084,$A9,'Individual Refineries'!$D$3:$D$1084,"ALKY")</f>
        <v/>
      </c>
      <c r="Q9" s="30">
        <f>SUMIFS('Individual Refineries'!$F$3:$F$1084,'Individual Refineries'!$B$3:$B$1084,$A9,'Individual Refineries'!$D$3:$D$1084,"NSPL")</f>
        <v/>
      </c>
      <c r="R9" s="30">
        <f>SUMIFS('Individual Refineries'!$F$3:$F$1084,'Individual Refineries'!$B$3:$B$1084,$A9,'Individual Refineries'!$D$3:$D$1084,"NHT")</f>
        <v/>
      </c>
    </row>
    <row r="10">
      <c r="A10" s="40" t="inlineStr">
        <is>
          <t>BP_WHITING</t>
        </is>
      </c>
      <c r="B10" s="28" t="inlineStr">
        <is>
          <t>BP Whiting</t>
        </is>
      </c>
      <c r="C10" s="28" t="n">
        <v>2</v>
      </c>
      <c r="D10" s="30">
        <f>SUMIFS(Data!$G$3:$G$125,Data!$A$3:$A$125,$A10)</f>
        <v/>
      </c>
      <c r="E10" s="30">
        <f>SUMIFS('Individual Refineries'!$F$3:$F$1084,'Individual Refineries'!$B$3:$B$1084,$A10,'Individual Refineries'!$D$3:$D$1084,"CDU")</f>
        <v/>
      </c>
      <c r="F10" s="30">
        <f>SUMIFS('Individual Refineries'!$F$3:$F$1084,'Individual Refineries'!$B$3:$B$1084,$A10,'Individual Refineries'!$D$3:$D$1084,"VDU")</f>
        <v/>
      </c>
      <c r="G10" s="30">
        <f>SUMIFS('Individual Refineries'!$F$3:$F$1084,'Individual Refineries'!$B$3:$B$1084,$A10,'Individual Refineries'!$D$3:$D$1084,"FCC")</f>
        <v/>
      </c>
      <c r="H10" s="30">
        <f>SUMIFS('Individual Refineries'!$F$3:$F$1084,'Individual Refineries'!$B$3:$B$1084,$A10,'Individual Refineries'!$D$3:$D$1084,"RCC")</f>
        <v/>
      </c>
      <c r="I10" s="30">
        <f>SUMIFS('Individual Refineries'!$F$3:$F$1084,'Individual Refineries'!$B$3:$B$1084,$A10,'Individual Refineries'!$D$3:$D$1084,"COKER")</f>
        <v/>
      </c>
      <c r="J10" s="30">
        <f>SUMIFS('Individual Refineries'!$F$3:$F$1084,'Individual Refineries'!$B$3:$B$1084,$A10,'Individual Refineries'!$D$3:$D$1084,"FCOKER")</f>
        <v/>
      </c>
      <c r="K10" s="30">
        <f>SUMIFS('Individual Refineries'!$F$3:$F$1084,'Individual Refineries'!$B$3:$B$1084,$A10,'Individual Refineries'!$D$3:$D$1084,"DHCU")</f>
        <v/>
      </c>
      <c r="L10" s="30">
        <f>SUMIFS('Individual Refineries'!$F$3:$F$1084,'Individual Refineries'!$B$3:$B$1084,$A10,'Individual Refineries'!$D$3:$D$1084,"RHCU")</f>
        <v/>
      </c>
      <c r="M10" s="30">
        <f>SUMIFS('Individual Refineries'!$F$3:$F$1084,'Individual Refineries'!$B$3:$B$1084,$A10,'Individual Refineries'!$D$3:$D$1084,"REF")</f>
        <v/>
      </c>
      <c r="N10" s="30">
        <f>SUMIFS('Individual Refineries'!$F$3:$F$1084,'Individual Refineries'!$B$3:$B$1084,$A10,'Individual Refineries'!$D$3:$D$1084,"CCR")</f>
        <v/>
      </c>
      <c r="O10" s="30">
        <f>SUMIFS('Individual Refineries'!$F$3:$F$1084,'Individual Refineries'!$B$3:$B$1084,$A10,'Individual Refineries'!$D$3:$D$1084,"ISOM")</f>
        <v/>
      </c>
      <c r="P10" s="30">
        <f>SUMIFS('Individual Refineries'!$F$3:$F$1084,'Individual Refineries'!$B$3:$B$1084,$A10,'Individual Refineries'!$D$3:$D$1084,"ALKY")</f>
        <v/>
      </c>
      <c r="Q10" s="30">
        <f>SUMIFS('Individual Refineries'!$F$3:$F$1084,'Individual Refineries'!$B$3:$B$1084,$A10,'Individual Refineries'!$D$3:$D$1084,"NSPL")</f>
        <v/>
      </c>
      <c r="R10" s="30">
        <f>SUMIFS('Individual Refineries'!$F$3:$F$1084,'Individual Refineries'!$B$3:$B$1084,$A10,'Individual Refineries'!$D$3:$D$1084,"NHT")</f>
        <v/>
      </c>
    </row>
    <row r="11">
      <c r="A11" s="40" t="inlineStr">
        <is>
          <t>FLINT_ROSEMOUNT</t>
        </is>
      </c>
      <c r="B11" s="28" t="inlineStr">
        <is>
          <t>Flint Hills Resources Rosemount</t>
        </is>
      </c>
      <c r="C11" s="28" t="n">
        <v>2</v>
      </c>
      <c r="D11" s="30">
        <f>SUMIFS(Data!$G$3:$G$125,Data!$A$3:$A$125,$A11)</f>
        <v/>
      </c>
      <c r="E11" s="30">
        <f>SUMIFS('Individual Refineries'!$F$3:$F$1084,'Individual Refineries'!$B$3:$B$1084,$A11,'Individual Refineries'!$D$3:$D$1084,"CDU")</f>
        <v/>
      </c>
      <c r="F11" s="30">
        <f>SUMIFS('Individual Refineries'!$F$3:$F$1084,'Individual Refineries'!$B$3:$B$1084,$A11,'Individual Refineries'!$D$3:$D$1084,"VDU")</f>
        <v/>
      </c>
      <c r="G11" s="30">
        <f>SUMIFS('Individual Refineries'!$F$3:$F$1084,'Individual Refineries'!$B$3:$B$1084,$A11,'Individual Refineries'!$D$3:$D$1084,"FCC")</f>
        <v/>
      </c>
      <c r="H11" s="30">
        <f>SUMIFS('Individual Refineries'!$F$3:$F$1084,'Individual Refineries'!$B$3:$B$1084,$A11,'Individual Refineries'!$D$3:$D$1084,"RCC")</f>
        <v/>
      </c>
      <c r="I11" s="30">
        <f>SUMIFS('Individual Refineries'!$F$3:$F$1084,'Individual Refineries'!$B$3:$B$1084,$A11,'Individual Refineries'!$D$3:$D$1084,"COKER")</f>
        <v/>
      </c>
      <c r="J11" s="30">
        <f>SUMIFS('Individual Refineries'!$F$3:$F$1084,'Individual Refineries'!$B$3:$B$1084,$A11,'Individual Refineries'!$D$3:$D$1084,"FCOKER")</f>
        <v/>
      </c>
      <c r="K11" s="30">
        <f>SUMIFS('Individual Refineries'!$F$3:$F$1084,'Individual Refineries'!$B$3:$B$1084,$A11,'Individual Refineries'!$D$3:$D$1084,"DHCU")</f>
        <v/>
      </c>
      <c r="L11" s="30">
        <f>SUMIFS('Individual Refineries'!$F$3:$F$1084,'Individual Refineries'!$B$3:$B$1084,$A11,'Individual Refineries'!$D$3:$D$1084,"RHCU")</f>
        <v/>
      </c>
      <c r="M11" s="30">
        <f>SUMIFS('Individual Refineries'!$F$3:$F$1084,'Individual Refineries'!$B$3:$B$1084,$A11,'Individual Refineries'!$D$3:$D$1084,"REF")</f>
        <v/>
      </c>
      <c r="N11" s="30">
        <f>SUMIFS('Individual Refineries'!$F$3:$F$1084,'Individual Refineries'!$B$3:$B$1084,$A11,'Individual Refineries'!$D$3:$D$1084,"CCR")</f>
        <v/>
      </c>
      <c r="O11" s="30">
        <f>SUMIFS('Individual Refineries'!$F$3:$F$1084,'Individual Refineries'!$B$3:$B$1084,$A11,'Individual Refineries'!$D$3:$D$1084,"ISOM")</f>
        <v/>
      </c>
      <c r="P11" s="30">
        <f>SUMIFS('Individual Refineries'!$F$3:$F$1084,'Individual Refineries'!$B$3:$B$1084,$A11,'Individual Refineries'!$D$3:$D$1084,"ALKY")</f>
        <v/>
      </c>
      <c r="Q11" s="30">
        <f>SUMIFS('Individual Refineries'!$F$3:$F$1084,'Individual Refineries'!$B$3:$B$1084,$A11,'Individual Refineries'!$D$3:$D$1084,"NSPL")</f>
        <v/>
      </c>
      <c r="R11" s="30">
        <f>SUMIFS('Individual Refineries'!$F$3:$F$1084,'Individual Refineries'!$B$3:$B$1084,$A11,'Individual Refineries'!$D$3:$D$1084,"NHT")</f>
        <v/>
      </c>
    </row>
    <row r="12">
      <c r="A12" s="40" t="inlineStr">
        <is>
          <t>CENOVUS_WOOD_RIVER</t>
        </is>
      </c>
      <c r="B12" s="28" t="inlineStr">
        <is>
          <t>Cenovus Wood River</t>
        </is>
      </c>
      <c r="C12" s="28" t="n">
        <v>2</v>
      </c>
      <c r="D12" s="30">
        <f>SUMIFS(Data!$G$3:$G$125,Data!$A$3:$A$125,$A12)</f>
        <v/>
      </c>
      <c r="E12" s="30">
        <f>SUMIFS('Individual Refineries'!$F$3:$F$1084,'Individual Refineries'!$B$3:$B$1084,$A12,'Individual Refineries'!$D$3:$D$1084,"CDU")</f>
        <v/>
      </c>
      <c r="F12" s="30">
        <f>SUMIFS('Individual Refineries'!$F$3:$F$1084,'Individual Refineries'!$B$3:$B$1084,$A12,'Individual Refineries'!$D$3:$D$1084,"VDU")</f>
        <v/>
      </c>
      <c r="G12" s="30">
        <f>SUMIFS('Individual Refineries'!$F$3:$F$1084,'Individual Refineries'!$B$3:$B$1084,$A12,'Individual Refineries'!$D$3:$D$1084,"FCC")</f>
        <v/>
      </c>
      <c r="H12" s="30">
        <f>SUMIFS('Individual Refineries'!$F$3:$F$1084,'Individual Refineries'!$B$3:$B$1084,$A12,'Individual Refineries'!$D$3:$D$1084,"RCC")</f>
        <v/>
      </c>
      <c r="I12" s="30">
        <f>SUMIFS('Individual Refineries'!$F$3:$F$1084,'Individual Refineries'!$B$3:$B$1084,$A12,'Individual Refineries'!$D$3:$D$1084,"COKER")</f>
        <v/>
      </c>
      <c r="J12" s="30">
        <f>SUMIFS('Individual Refineries'!$F$3:$F$1084,'Individual Refineries'!$B$3:$B$1084,$A12,'Individual Refineries'!$D$3:$D$1084,"FCOKER")</f>
        <v/>
      </c>
      <c r="K12" s="30">
        <f>SUMIFS('Individual Refineries'!$F$3:$F$1084,'Individual Refineries'!$B$3:$B$1084,$A12,'Individual Refineries'!$D$3:$D$1084,"DHCU")</f>
        <v/>
      </c>
      <c r="L12" s="30">
        <f>SUMIFS('Individual Refineries'!$F$3:$F$1084,'Individual Refineries'!$B$3:$B$1084,$A12,'Individual Refineries'!$D$3:$D$1084,"RHCU")</f>
        <v/>
      </c>
      <c r="M12" s="30">
        <f>SUMIFS('Individual Refineries'!$F$3:$F$1084,'Individual Refineries'!$B$3:$B$1084,$A12,'Individual Refineries'!$D$3:$D$1084,"REF")</f>
        <v/>
      </c>
      <c r="N12" s="30">
        <f>SUMIFS('Individual Refineries'!$F$3:$F$1084,'Individual Refineries'!$B$3:$B$1084,$A12,'Individual Refineries'!$D$3:$D$1084,"CCR")</f>
        <v/>
      </c>
      <c r="O12" s="30">
        <f>SUMIFS('Individual Refineries'!$F$3:$F$1084,'Individual Refineries'!$B$3:$B$1084,$A12,'Individual Refineries'!$D$3:$D$1084,"ISOM")</f>
        <v/>
      </c>
      <c r="P12" s="30">
        <f>SUMIFS('Individual Refineries'!$F$3:$F$1084,'Individual Refineries'!$B$3:$B$1084,$A12,'Individual Refineries'!$D$3:$D$1084,"ALKY")</f>
        <v/>
      </c>
      <c r="Q12" s="30">
        <f>SUMIFS('Individual Refineries'!$F$3:$F$1084,'Individual Refineries'!$B$3:$B$1084,$A12,'Individual Refineries'!$D$3:$D$1084,"NSPL")</f>
        <v/>
      </c>
      <c r="R12" s="30">
        <f>SUMIFS('Individual Refineries'!$F$3:$F$1084,'Individual Refineries'!$B$3:$B$1084,$A12,'Individual Refineries'!$D$3:$D$1084,"NHT")</f>
        <v/>
      </c>
    </row>
    <row r="13">
      <c r="A13" s="40" t="inlineStr">
        <is>
          <t>MARATHON_CATLETTSBURG</t>
        </is>
      </c>
      <c r="B13" s="28" t="inlineStr">
        <is>
          <t>Marathon Petroleum Catlettsburg</t>
        </is>
      </c>
      <c r="C13" s="28" t="n">
        <v>2</v>
      </c>
      <c r="D13" s="30">
        <f>SUMIFS(Data!$G$3:$G$125,Data!$A$3:$A$125,$A13)</f>
        <v/>
      </c>
      <c r="E13" s="30">
        <f>SUMIFS('Individual Refineries'!$F$3:$F$1084,'Individual Refineries'!$B$3:$B$1084,$A13,'Individual Refineries'!$D$3:$D$1084,"CDU")</f>
        <v/>
      </c>
      <c r="F13" s="30">
        <f>SUMIFS('Individual Refineries'!$F$3:$F$1084,'Individual Refineries'!$B$3:$B$1084,$A13,'Individual Refineries'!$D$3:$D$1084,"VDU")</f>
        <v/>
      </c>
      <c r="G13" s="30">
        <f>SUMIFS('Individual Refineries'!$F$3:$F$1084,'Individual Refineries'!$B$3:$B$1084,$A13,'Individual Refineries'!$D$3:$D$1084,"FCC")</f>
        <v/>
      </c>
      <c r="H13" s="30">
        <f>SUMIFS('Individual Refineries'!$F$3:$F$1084,'Individual Refineries'!$B$3:$B$1084,$A13,'Individual Refineries'!$D$3:$D$1084,"RCC")</f>
        <v/>
      </c>
      <c r="I13" s="30">
        <f>SUMIFS('Individual Refineries'!$F$3:$F$1084,'Individual Refineries'!$B$3:$B$1084,$A13,'Individual Refineries'!$D$3:$D$1084,"COKER")</f>
        <v/>
      </c>
      <c r="J13" s="30">
        <f>SUMIFS('Individual Refineries'!$F$3:$F$1084,'Individual Refineries'!$B$3:$B$1084,$A13,'Individual Refineries'!$D$3:$D$1084,"FCOKER")</f>
        <v/>
      </c>
      <c r="K13" s="30">
        <f>SUMIFS('Individual Refineries'!$F$3:$F$1084,'Individual Refineries'!$B$3:$B$1084,$A13,'Individual Refineries'!$D$3:$D$1084,"DHCU")</f>
        <v/>
      </c>
      <c r="L13" s="30">
        <f>SUMIFS('Individual Refineries'!$F$3:$F$1084,'Individual Refineries'!$B$3:$B$1084,$A13,'Individual Refineries'!$D$3:$D$1084,"RHCU")</f>
        <v/>
      </c>
      <c r="M13" s="30">
        <f>SUMIFS('Individual Refineries'!$F$3:$F$1084,'Individual Refineries'!$B$3:$B$1084,$A13,'Individual Refineries'!$D$3:$D$1084,"REF")</f>
        <v/>
      </c>
      <c r="N13" s="30">
        <f>SUMIFS('Individual Refineries'!$F$3:$F$1084,'Individual Refineries'!$B$3:$B$1084,$A13,'Individual Refineries'!$D$3:$D$1084,"CCR")</f>
        <v/>
      </c>
      <c r="O13" s="30">
        <f>SUMIFS('Individual Refineries'!$F$3:$F$1084,'Individual Refineries'!$B$3:$B$1084,$A13,'Individual Refineries'!$D$3:$D$1084,"ISOM")</f>
        <v/>
      </c>
      <c r="P13" s="30">
        <f>SUMIFS('Individual Refineries'!$F$3:$F$1084,'Individual Refineries'!$B$3:$B$1084,$A13,'Individual Refineries'!$D$3:$D$1084,"ALKY")</f>
        <v/>
      </c>
      <c r="Q13" s="30">
        <f>SUMIFS('Individual Refineries'!$F$3:$F$1084,'Individual Refineries'!$B$3:$B$1084,$A13,'Individual Refineries'!$D$3:$D$1084,"NSPL")</f>
        <v/>
      </c>
      <c r="R13" s="30">
        <f>SUMIFS('Individual Refineries'!$F$3:$F$1084,'Individual Refineries'!$B$3:$B$1084,$A13,'Individual Refineries'!$D$3:$D$1084,"NHT")</f>
        <v/>
      </c>
    </row>
    <row r="14">
      <c r="A14" s="40" t="inlineStr">
        <is>
          <t>MARATHON_ROBINSON</t>
        </is>
      </c>
      <c r="B14" s="28" t="inlineStr">
        <is>
          <t>Marathon Petroleum Robinson</t>
        </is>
      </c>
      <c r="C14" s="28" t="n">
        <v>2</v>
      </c>
      <c r="D14" s="30">
        <f>SUMIFS(Data!$G$3:$G$125,Data!$A$3:$A$125,$A14)</f>
        <v/>
      </c>
      <c r="E14" s="30">
        <f>SUMIFS('Individual Refineries'!$F$3:$F$1084,'Individual Refineries'!$B$3:$B$1084,$A14,'Individual Refineries'!$D$3:$D$1084,"CDU")</f>
        <v/>
      </c>
      <c r="F14" s="30">
        <f>SUMIFS('Individual Refineries'!$F$3:$F$1084,'Individual Refineries'!$B$3:$B$1084,$A14,'Individual Refineries'!$D$3:$D$1084,"VDU")</f>
        <v/>
      </c>
      <c r="G14" s="30">
        <f>SUMIFS('Individual Refineries'!$F$3:$F$1084,'Individual Refineries'!$B$3:$B$1084,$A14,'Individual Refineries'!$D$3:$D$1084,"FCC")</f>
        <v/>
      </c>
      <c r="H14" s="30">
        <f>SUMIFS('Individual Refineries'!$F$3:$F$1084,'Individual Refineries'!$B$3:$B$1084,$A14,'Individual Refineries'!$D$3:$D$1084,"RCC")</f>
        <v/>
      </c>
      <c r="I14" s="30">
        <f>SUMIFS('Individual Refineries'!$F$3:$F$1084,'Individual Refineries'!$B$3:$B$1084,$A14,'Individual Refineries'!$D$3:$D$1084,"COKER")</f>
        <v/>
      </c>
      <c r="J14" s="30">
        <f>SUMIFS('Individual Refineries'!$F$3:$F$1084,'Individual Refineries'!$B$3:$B$1084,$A14,'Individual Refineries'!$D$3:$D$1084,"FCOKER")</f>
        <v/>
      </c>
      <c r="K14" s="30">
        <f>SUMIFS('Individual Refineries'!$F$3:$F$1084,'Individual Refineries'!$B$3:$B$1084,$A14,'Individual Refineries'!$D$3:$D$1084,"DHCU")</f>
        <v/>
      </c>
      <c r="L14" s="30">
        <f>SUMIFS('Individual Refineries'!$F$3:$F$1084,'Individual Refineries'!$B$3:$B$1084,$A14,'Individual Refineries'!$D$3:$D$1084,"RHCU")</f>
        <v/>
      </c>
      <c r="M14" s="30">
        <f>SUMIFS('Individual Refineries'!$F$3:$F$1084,'Individual Refineries'!$B$3:$B$1084,$A14,'Individual Refineries'!$D$3:$D$1084,"REF")</f>
        <v/>
      </c>
      <c r="N14" s="30">
        <f>SUMIFS('Individual Refineries'!$F$3:$F$1084,'Individual Refineries'!$B$3:$B$1084,$A14,'Individual Refineries'!$D$3:$D$1084,"CCR")</f>
        <v/>
      </c>
      <c r="O14" s="30">
        <f>SUMIFS('Individual Refineries'!$F$3:$F$1084,'Individual Refineries'!$B$3:$B$1084,$A14,'Individual Refineries'!$D$3:$D$1084,"ISOM")</f>
        <v/>
      </c>
      <c r="P14" s="30">
        <f>SUMIFS('Individual Refineries'!$F$3:$F$1084,'Individual Refineries'!$B$3:$B$1084,$A14,'Individual Refineries'!$D$3:$D$1084,"ALKY")</f>
        <v/>
      </c>
      <c r="Q14" s="30">
        <f>SUMIFS('Individual Refineries'!$F$3:$F$1084,'Individual Refineries'!$B$3:$B$1084,$A14,'Individual Refineries'!$D$3:$D$1084,"NSPL")</f>
        <v/>
      </c>
      <c r="R14" s="30">
        <f>SUMIFS('Individual Refineries'!$F$3:$F$1084,'Individual Refineries'!$B$3:$B$1084,$A14,'Individual Refineries'!$D$3:$D$1084,"NHT")</f>
        <v/>
      </c>
    </row>
    <row r="15">
      <c r="A15" s="40" t="inlineStr">
        <is>
          <t>EXXONMOBIL_JOLIET</t>
        </is>
      </c>
      <c r="B15" s="28" t="inlineStr">
        <is>
          <t>ExxonMobil Joliet</t>
        </is>
      </c>
      <c r="C15" s="28" t="n">
        <v>2</v>
      </c>
      <c r="D15" s="30">
        <f>SUMIFS(Data!$G$3:$G$125,Data!$A$3:$A$125,$A15)</f>
        <v/>
      </c>
      <c r="E15" s="30">
        <f>SUMIFS('Individual Refineries'!$F$3:$F$1084,'Individual Refineries'!$B$3:$B$1084,$A15,'Individual Refineries'!$D$3:$D$1084,"CDU")</f>
        <v/>
      </c>
      <c r="F15" s="30">
        <f>SUMIFS('Individual Refineries'!$F$3:$F$1084,'Individual Refineries'!$B$3:$B$1084,$A15,'Individual Refineries'!$D$3:$D$1084,"VDU")</f>
        <v/>
      </c>
      <c r="G15" s="30">
        <f>SUMIFS('Individual Refineries'!$F$3:$F$1084,'Individual Refineries'!$B$3:$B$1084,$A15,'Individual Refineries'!$D$3:$D$1084,"FCC")</f>
        <v/>
      </c>
      <c r="H15" s="30">
        <f>SUMIFS('Individual Refineries'!$F$3:$F$1084,'Individual Refineries'!$B$3:$B$1084,$A15,'Individual Refineries'!$D$3:$D$1084,"RCC")</f>
        <v/>
      </c>
      <c r="I15" s="30">
        <f>SUMIFS('Individual Refineries'!$F$3:$F$1084,'Individual Refineries'!$B$3:$B$1084,$A15,'Individual Refineries'!$D$3:$D$1084,"COKER")</f>
        <v/>
      </c>
      <c r="J15" s="30">
        <f>SUMIFS('Individual Refineries'!$F$3:$F$1084,'Individual Refineries'!$B$3:$B$1084,$A15,'Individual Refineries'!$D$3:$D$1084,"FCOKER")</f>
        <v/>
      </c>
      <c r="K15" s="30">
        <f>SUMIFS('Individual Refineries'!$F$3:$F$1084,'Individual Refineries'!$B$3:$B$1084,$A15,'Individual Refineries'!$D$3:$D$1084,"DHCU")</f>
        <v/>
      </c>
      <c r="L15" s="30">
        <f>SUMIFS('Individual Refineries'!$F$3:$F$1084,'Individual Refineries'!$B$3:$B$1084,$A15,'Individual Refineries'!$D$3:$D$1084,"RHCU")</f>
        <v/>
      </c>
      <c r="M15" s="30">
        <f>SUMIFS('Individual Refineries'!$F$3:$F$1084,'Individual Refineries'!$B$3:$B$1084,$A15,'Individual Refineries'!$D$3:$D$1084,"REF")</f>
        <v/>
      </c>
      <c r="N15" s="30">
        <f>SUMIFS('Individual Refineries'!$F$3:$F$1084,'Individual Refineries'!$B$3:$B$1084,$A15,'Individual Refineries'!$D$3:$D$1084,"CCR")</f>
        <v/>
      </c>
      <c r="O15" s="30">
        <f>SUMIFS('Individual Refineries'!$F$3:$F$1084,'Individual Refineries'!$B$3:$B$1084,$A15,'Individual Refineries'!$D$3:$D$1084,"ISOM")</f>
        <v/>
      </c>
      <c r="P15" s="30">
        <f>SUMIFS('Individual Refineries'!$F$3:$F$1084,'Individual Refineries'!$B$3:$B$1084,$A15,'Individual Refineries'!$D$3:$D$1084,"ALKY")</f>
        <v/>
      </c>
      <c r="Q15" s="30">
        <f>SUMIFS('Individual Refineries'!$F$3:$F$1084,'Individual Refineries'!$B$3:$B$1084,$A15,'Individual Refineries'!$D$3:$D$1084,"NSPL")</f>
        <v/>
      </c>
      <c r="R15" s="30">
        <f>SUMIFS('Individual Refineries'!$F$3:$F$1084,'Individual Refineries'!$B$3:$B$1084,$A15,'Individual Refineries'!$D$3:$D$1084,"NHT")</f>
        <v/>
      </c>
    </row>
    <row r="16">
      <c r="A16" s="40" t="inlineStr">
        <is>
          <t>PHILLIPS_PONCA_CITY</t>
        </is>
      </c>
      <c r="B16" s="28" t="inlineStr">
        <is>
          <t>Phillips 66 Co. Ponca City</t>
        </is>
      </c>
      <c r="C16" s="28" t="n">
        <v>2</v>
      </c>
      <c r="D16" s="30">
        <f>SUMIFS(Data!$G$3:$G$125,Data!$A$3:$A$125,$A16)</f>
        <v/>
      </c>
      <c r="E16" s="30">
        <f>SUMIFS('Individual Refineries'!$F$3:$F$1084,'Individual Refineries'!$B$3:$B$1084,$A16,'Individual Refineries'!$D$3:$D$1084,"CDU")</f>
        <v/>
      </c>
      <c r="F16" s="30">
        <f>SUMIFS('Individual Refineries'!$F$3:$F$1084,'Individual Refineries'!$B$3:$B$1084,$A16,'Individual Refineries'!$D$3:$D$1084,"VDU")</f>
        <v/>
      </c>
      <c r="G16" s="30">
        <f>SUMIFS('Individual Refineries'!$F$3:$F$1084,'Individual Refineries'!$B$3:$B$1084,$A16,'Individual Refineries'!$D$3:$D$1084,"FCC")</f>
        <v/>
      </c>
      <c r="H16" s="30">
        <f>SUMIFS('Individual Refineries'!$F$3:$F$1084,'Individual Refineries'!$B$3:$B$1084,$A16,'Individual Refineries'!$D$3:$D$1084,"RCC")</f>
        <v/>
      </c>
      <c r="I16" s="30">
        <f>SUMIFS('Individual Refineries'!$F$3:$F$1084,'Individual Refineries'!$B$3:$B$1084,$A16,'Individual Refineries'!$D$3:$D$1084,"COKER")</f>
        <v/>
      </c>
      <c r="J16" s="30">
        <f>SUMIFS('Individual Refineries'!$F$3:$F$1084,'Individual Refineries'!$B$3:$B$1084,$A16,'Individual Refineries'!$D$3:$D$1084,"FCOKER")</f>
        <v/>
      </c>
      <c r="K16" s="30">
        <f>SUMIFS('Individual Refineries'!$F$3:$F$1084,'Individual Refineries'!$B$3:$B$1084,$A16,'Individual Refineries'!$D$3:$D$1084,"DHCU")</f>
        <v/>
      </c>
      <c r="L16" s="30">
        <f>SUMIFS('Individual Refineries'!$F$3:$F$1084,'Individual Refineries'!$B$3:$B$1084,$A16,'Individual Refineries'!$D$3:$D$1084,"RHCU")</f>
        <v/>
      </c>
      <c r="M16" s="30">
        <f>SUMIFS('Individual Refineries'!$F$3:$F$1084,'Individual Refineries'!$B$3:$B$1084,$A16,'Individual Refineries'!$D$3:$D$1084,"REF")</f>
        <v/>
      </c>
      <c r="N16" s="30">
        <f>SUMIFS('Individual Refineries'!$F$3:$F$1084,'Individual Refineries'!$B$3:$B$1084,$A16,'Individual Refineries'!$D$3:$D$1084,"CCR")</f>
        <v/>
      </c>
      <c r="O16" s="30">
        <f>SUMIFS('Individual Refineries'!$F$3:$F$1084,'Individual Refineries'!$B$3:$B$1084,$A16,'Individual Refineries'!$D$3:$D$1084,"ISOM")</f>
        <v/>
      </c>
      <c r="P16" s="30">
        <f>SUMIFS('Individual Refineries'!$F$3:$F$1084,'Individual Refineries'!$B$3:$B$1084,$A16,'Individual Refineries'!$D$3:$D$1084,"ALKY")</f>
        <v/>
      </c>
      <c r="Q16" s="30">
        <f>SUMIFS('Individual Refineries'!$F$3:$F$1084,'Individual Refineries'!$B$3:$B$1084,$A16,'Individual Refineries'!$D$3:$D$1084,"NSPL")</f>
        <v/>
      </c>
      <c r="R16" s="30">
        <f>SUMIFS('Individual Refineries'!$F$3:$F$1084,'Individual Refineries'!$B$3:$B$1084,$A16,'Individual Refineries'!$D$3:$D$1084,"NHT")</f>
        <v/>
      </c>
    </row>
    <row r="17">
      <c r="A17" s="40" t="inlineStr">
        <is>
          <t>CITGO_LEMONT</t>
        </is>
      </c>
      <c r="B17" s="28" t="inlineStr">
        <is>
          <t>Citgo Lemont</t>
        </is>
      </c>
      <c r="C17" s="28" t="n">
        <v>2</v>
      </c>
      <c r="D17" s="30">
        <f>SUMIFS(Data!$G$3:$G$125,Data!$A$3:$A$125,$A17)</f>
        <v/>
      </c>
      <c r="E17" s="30">
        <f>SUMIFS('Individual Refineries'!$F$3:$F$1084,'Individual Refineries'!$B$3:$B$1084,$A17,'Individual Refineries'!$D$3:$D$1084,"CDU")</f>
        <v/>
      </c>
      <c r="F17" s="30">
        <f>SUMIFS('Individual Refineries'!$F$3:$F$1084,'Individual Refineries'!$B$3:$B$1084,$A17,'Individual Refineries'!$D$3:$D$1084,"VDU")</f>
        <v/>
      </c>
      <c r="G17" s="30">
        <f>SUMIFS('Individual Refineries'!$F$3:$F$1084,'Individual Refineries'!$B$3:$B$1084,$A17,'Individual Refineries'!$D$3:$D$1084,"FCC")</f>
        <v/>
      </c>
      <c r="H17" s="30">
        <f>SUMIFS('Individual Refineries'!$F$3:$F$1084,'Individual Refineries'!$B$3:$B$1084,$A17,'Individual Refineries'!$D$3:$D$1084,"RCC")</f>
        <v/>
      </c>
      <c r="I17" s="30">
        <f>SUMIFS('Individual Refineries'!$F$3:$F$1084,'Individual Refineries'!$B$3:$B$1084,$A17,'Individual Refineries'!$D$3:$D$1084,"COKER")</f>
        <v/>
      </c>
      <c r="J17" s="30">
        <f>SUMIFS('Individual Refineries'!$F$3:$F$1084,'Individual Refineries'!$B$3:$B$1084,$A17,'Individual Refineries'!$D$3:$D$1084,"FCOKER")</f>
        <v/>
      </c>
      <c r="K17" s="30">
        <f>SUMIFS('Individual Refineries'!$F$3:$F$1084,'Individual Refineries'!$B$3:$B$1084,$A17,'Individual Refineries'!$D$3:$D$1084,"DHCU")</f>
        <v/>
      </c>
      <c r="L17" s="30">
        <f>SUMIFS('Individual Refineries'!$F$3:$F$1084,'Individual Refineries'!$B$3:$B$1084,$A17,'Individual Refineries'!$D$3:$D$1084,"RHCU")</f>
        <v/>
      </c>
      <c r="M17" s="30">
        <f>SUMIFS('Individual Refineries'!$F$3:$F$1084,'Individual Refineries'!$B$3:$B$1084,$A17,'Individual Refineries'!$D$3:$D$1084,"REF")</f>
        <v/>
      </c>
      <c r="N17" s="30">
        <f>SUMIFS('Individual Refineries'!$F$3:$F$1084,'Individual Refineries'!$B$3:$B$1084,$A17,'Individual Refineries'!$D$3:$D$1084,"CCR")</f>
        <v/>
      </c>
      <c r="O17" s="30">
        <f>SUMIFS('Individual Refineries'!$F$3:$F$1084,'Individual Refineries'!$B$3:$B$1084,$A17,'Individual Refineries'!$D$3:$D$1084,"ISOM")</f>
        <v/>
      </c>
      <c r="P17" s="30">
        <f>SUMIFS('Individual Refineries'!$F$3:$F$1084,'Individual Refineries'!$B$3:$B$1084,$A17,'Individual Refineries'!$D$3:$D$1084,"ALKY")</f>
        <v/>
      </c>
      <c r="Q17" s="30">
        <f>SUMIFS('Individual Refineries'!$F$3:$F$1084,'Individual Refineries'!$B$3:$B$1084,$A17,'Individual Refineries'!$D$3:$D$1084,"NSPL")</f>
        <v/>
      </c>
      <c r="R17" s="30">
        <f>SUMIFS('Individual Refineries'!$F$3:$F$1084,'Individual Refineries'!$B$3:$B$1084,$A17,'Individual Refineries'!$D$3:$D$1084,"NHT")</f>
        <v/>
      </c>
    </row>
    <row r="18">
      <c r="A18" s="40" t="inlineStr">
        <is>
          <t>CENOVUS_LIMA</t>
        </is>
      </c>
      <c r="B18" s="28" t="inlineStr">
        <is>
          <t>Cenovus Lima</t>
        </is>
      </c>
      <c r="C18" s="28" t="n">
        <v>2</v>
      </c>
      <c r="D18" s="30">
        <f>SUMIFS(Data!$G$3:$G$125,Data!$A$3:$A$125,$A18)</f>
        <v/>
      </c>
      <c r="E18" s="30">
        <f>SUMIFS('Individual Refineries'!$F$3:$F$1084,'Individual Refineries'!$B$3:$B$1084,$A18,'Individual Refineries'!$D$3:$D$1084,"CDU")</f>
        <v/>
      </c>
      <c r="F18" s="30">
        <f>SUMIFS('Individual Refineries'!$F$3:$F$1084,'Individual Refineries'!$B$3:$B$1084,$A18,'Individual Refineries'!$D$3:$D$1084,"VDU")</f>
        <v/>
      </c>
      <c r="G18" s="30">
        <f>SUMIFS('Individual Refineries'!$F$3:$F$1084,'Individual Refineries'!$B$3:$B$1084,$A18,'Individual Refineries'!$D$3:$D$1084,"FCC")</f>
        <v/>
      </c>
      <c r="H18" s="30">
        <f>SUMIFS('Individual Refineries'!$F$3:$F$1084,'Individual Refineries'!$B$3:$B$1084,$A18,'Individual Refineries'!$D$3:$D$1084,"RCC")</f>
        <v/>
      </c>
      <c r="I18" s="30">
        <f>SUMIFS('Individual Refineries'!$F$3:$F$1084,'Individual Refineries'!$B$3:$B$1084,$A18,'Individual Refineries'!$D$3:$D$1084,"COKER")</f>
        <v/>
      </c>
      <c r="J18" s="30">
        <f>SUMIFS('Individual Refineries'!$F$3:$F$1084,'Individual Refineries'!$B$3:$B$1084,$A18,'Individual Refineries'!$D$3:$D$1084,"FCOKER")</f>
        <v/>
      </c>
      <c r="K18" s="30">
        <f>SUMIFS('Individual Refineries'!$F$3:$F$1084,'Individual Refineries'!$B$3:$B$1084,$A18,'Individual Refineries'!$D$3:$D$1084,"DHCU")</f>
        <v/>
      </c>
      <c r="L18" s="30">
        <f>SUMIFS('Individual Refineries'!$F$3:$F$1084,'Individual Refineries'!$B$3:$B$1084,$A18,'Individual Refineries'!$D$3:$D$1084,"RHCU")</f>
        <v/>
      </c>
      <c r="M18" s="30">
        <f>SUMIFS('Individual Refineries'!$F$3:$F$1084,'Individual Refineries'!$B$3:$B$1084,$A18,'Individual Refineries'!$D$3:$D$1084,"REF")</f>
        <v/>
      </c>
      <c r="N18" s="30">
        <f>SUMIFS('Individual Refineries'!$F$3:$F$1084,'Individual Refineries'!$B$3:$B$1084,$A18,'Individual Refineries'!$D$3:$D$1084,"CCR")</f>
        <v/>
      </c>
      <c r="O18" s="30">
        <f>SUMIFS('Individual Refineries'!$F$3:$F$1084,'Individual Refineries'!$B$3:$B$1084,$A18,'Individual Refineries'!$D$3:$D$1084,"ISOM")</f>
        <v/>
      </c>
      <c r="P18" s="30">
        <f>SUMIFS('Individual Refineries'!$F$3:$F$1084,'Individual Refineries'!$B$3:$B$1084,$A18,'Individual Refineries'!$D$3:$D$1084,"ALKY")</f>
        <v/>
      </c>
      <c r="Q18" s="30">
        <f>SUMIFS('Individual Refineries'!$F$3:$F$1084,'Individual Refineries'!$B$3:$B$1084,$A18,'Individual Refineries'!$D$3:$D$1084,"NSPL")</f>
        <v/>
      </c>
      <c r="R18" s="30">
        <f>SUMIFS('Individual Refineries'!$F$3:$F$1084,'Individual Refineries'!$B$3:$B$1084,$A18,'Individual Refineries'!$D$3:$D$1084,"NHT")</f>
        <v/>
      </c>
    </row>
    <row r="19">
      <c r="A19" s="40" t="inlineStr">
        <is>
          <t>PBF_TOLEDO</t>
        </is>
      </c>
      <c r="B19" s="28" t="inlineStr">
        <is>
          <t>PBF Energy Company LLC Toledo</t>
        </is>
      </c>
      <c r="C19" s="28" t="n">
        <v>2</v>
      </c>
      <c r="D19" s="30">
        <f>SUMIFS(Data!$G$3:$G$125,Data!$A$3:$A$125,$A19)</f>
        <v/>
      </c>
      <c r="E19" s="30">
        <f>SUMIFS('Individual Refineries'!$F$3:$F$1084,'Individual Refineries'!$B$3:$B$1084,$A19,'Individual Refineries'!$D$3:$D$1084,"CDU")</f>
        <v/>
      </c>
      <c r="F19" s="30">
        <f>SUMIFS('Individual Refineries'!$F$3:$F$1084,'Individual Refineries'!$B$3:$B$1084,$A19,'Individual Refineries'!$D$3:$D$1084,"VDU")</f>
        <v/>
      </c>
      <c r="G19" s="30">
        <f>SUMIFS('Individual Refineries'!$F$3:$F$1084,'Individual Refineries'!$B$3:$B$1084,$A19,'Individual Refineries'!$D$3:$D$1084,"FCC")</f>
        <v/>
      </c>
      <c r="H19" s="30">
        <f>SUMIFS('Individual Refineries'!$F$3:$F$1084,'Individual Refineries'!$B$3:$B$1084,$A19,'Individual Refineries'!$D$3:$D$1084,"RCC")</f>
        <v/>
      </c>
      <c r="I19" s="30">
        <f>SUMIFS('Individual Refineries'!$F$3:$F$1084,'Individual Refineries'!$B$3:$B$1084,$A19,'Individual Refineries'!$D$3:$D$1084,"COKER")</f>
        <v/>
      </c>
      <c r="J19" s="30">
        <f>SUMIFS('Individual Refineries'!$F$3:$F$1084,'Individual Refineries'!$B$3:$B$1084,$A19,'Individual Refineries'!$D$3:$D$1084,"FCOKER")</f>
        <v/>
      </c>
      <c r="K19" s="30">
        <f>SUMIFS('Individual Refineries'!$F$3:$F$1084,'Individual Refineries'!$B$3:$B$1084,$A19,'Individual Refineries'!$D$3:$D$1084,"DHCU")</f>
        <v/>
      </c>
      <c r="L19" s="30">
        <f>SUMIFS('Individual Refineries'!$F$3:$F$1084,'Individual Refineries'!$B$3:$B$1084,$A19,'Individual Refineries'!$D$3:$D$1084,"RHCU")</f>
        <v/>
      </c>
      <c r="M19" s="30">
        <f>SUMIFS('Individual Refineries'!$F$3:$F$1084,'Individual Refineries'!$B$3:$B$1084,$A19,'Individual Refineries'!$D$3:$D$1084,"REF")</f>
        <v/>
      </c>
      <c r="N19" s="30">
        <f>SUMIFS('Individual Refineries'!$F$3:$F$1084,'Individual Refineries'!$B$3:$B$1084,$A19,'Individual Refineries'!$D$3:$D$1084,"CCR")</f>
        <v/>
      </c>
      <c r="O19" s="30">
        <f>SUMIFS('Individual Refineries'!$F$3:$F$1084,'Individual Refineries'!$B$3:$B$1084,$A19,'Individual Refineries'!$D$3:$D$1084,"ISOM")</f>
        <v/>
      </c>
      <c r="P19" s="30">
        <f>SUMIFS('Individual Refineries'!$F$3:$F$1084,'Individual Refineries'!$B$3:$B$1084,$A19,'Individual Refineries'!$D$3:$D$1084,"ALKY")</f>
        <v/>
      </c>
      <c r="Q19" s="30">
        <f>SUMIFS('Individual Refineries'!$F$3:$F$1084,'Individual Refineries'!$B$3:$B$1084,$A19,'Individual Refineries'!$D$3:$D$1084,"NSPL")</f>
        <v/>
      </c>
      <c r="R19" s="30">
        <f>SUMIFS('Individual Refineries'!$F$3:$F$1084,'Individual Refineries'!$B$3:$B$1084,$A19,'Individual Refineries'!$D$3:$D$1084,"NHT")</f>
        <v/>
      </c>
    </row>
    <row r="20">
      <c r="A20" s="40" t="inlineStr">
        <is>
          <t>VALERO_MEMPHIS</t>
        </is>
      </c>
      <c r="B20" s="28" t="inlineStr">
        <is>
          <t>Valero Memphis</t>
        </is>
      </c>
      <c r="C20" s="28" t="n">
        <v>2</v>
      </c>
      <c r="D20" s="30">
        <f>SUMIFS(Data!$G$3:$G$125,Data!$A$3:$A$125,$A20)</f>
        <v/>
      </c>
      <c r="E20" s="30">
        <f>SUMIFS('Individual Refineries'!$F$3:$F$1084,'Individual Refineries'!$B$3:$B$1084,$A20,'Individual Refineries'!$D$3:$D$1084,"CDU")</f>
        <v/>
      </c>
      <c r="F20" s="30">
        <f>SUMIFS('Individual Refineries'!$F$3:$F$1084,'Individual Refineries'!$B$3:$B$1084,$A20,'Individual Refineries'!$D$3:$D$1084,"VDU")</f>
        <v/>
      </c>
      <c r="G20" s="30">
        <f>SUMIFS('Individual Refineries'!$F$3:$F$1084,'Individual Refineries'!$B$3:$B$1084,$A20,'Individual Refineries'!$D$3:$D$1084,"FCC")</f>
        <v/>
      </c>
      <c r="H20" s="30">
        <f>SUMIFS('Individual Refineries'!$F$3:$F$1084,'Individual Refineries'!$B$3:$B$1084,$A20,'Individual Refineries'!$D$3:$D$1084,"RCC")</f>
        <v/>
      </c>
      <c r="I20" s="30">
        <f>SUMIFS('Individual Refineries'!$F$3:$F$1084,'Individual Refineries'!$B$3:$B$1084,$A20,'Individual Refineries'!$D$3:$D$1084,"COKER")</f>
        <v/>
      </c>
      <c r="J20" s="30">
        <f>SUMIFS('Individual Refineries'!$F$3:$F$1084,'Individual Refineries'!$B$3:$B$1084,$A20,'Individual Refineries'!$D$3:$D$1084,"FCOKER")</f>
        <v/>
      </c>
      <c r="K20" s="30">
        <f>SUMIFS('Individual Refineries'!$F$3:$F$1084,'Individual Refineries'!$B$3:$B$1084,$A20,'Individual Refineries'!$D$3:$D$1084,"DHCU")</f>
        <v/>
      </c>
      <c r="L20" s="30">
        <f>SUMIFS('Individual Refineries'!$F$3:$F$1084,'Individual Refineries'!$B$3:$B$1084,$A20,'Individual Refineries'!$D$3:$D$1084,"RHCU")</f>
        <v/>
      </c>
      <c r="M20" s="30">
        <f>SUMIFS('Individual Refineries'!$F$3:$F$1084,'Individual Refineries'!$B$3:$B$1084,$A20,'Individual Refineries'!$D$3:$D$1084,"REF")</f>
        <v/>
      </c>
      <c r="N20" s="30">
        <f>SUMIFS('Individual Refineries'!$F$3:$F$1084,'Individual Refineries'!$B$3:$B$1084,$A20,'Individual Refineries'!$D$3:$D$1084,"CCR")</f>
        <v/>
      </c>
      <c r="O20" s="30">
        <f>SUMIFS('Individual Refineries'!$F$3:$F$1084,'Individual Refineries'!$B$3:$B$1084,$A20,'Individual Refineries'!$D$3:$D$1084,"ISOM")</f>
        <v/>
      </c>
      <c r="P20" s="30">
        <f>SUMIFS('Individual Refineries'!$F$3:$F$1084,'Individual Refineries'!$B$3:$B$1084,$A20,'Individual Refineries'!$D$3:$D$1084,"ALKY")</f>
        <v/>
      </c>
      <c r="Q20" s="30">
        <f>SUMIFS('Individual Refineries'!$F$3:$F$1084,'Individual Refineries'!$B$3:$B$1084,$A20,'Individual Refineries'!$D$3:$D$1084,"NSPL")</f>
        <v/>
      </c>
      <c r="R20" s="30">
        <f>SUMIFS('Individual Refineries'!$F$3:$F$1084,'Individual Refineries'!$B$3:$B$1084,$A20,'Individual Refineries'!$D$3:$D$1084,"NHT")</f>
        <v/>
      </c>
    </row>
    <row r="21">
      <c r="A21" s="40" t="inlineStr">
        <is>
          <t>CENOVUS_TOLEDO</t>
        </is>
      </c>
      <c r="B21" s="28" t="inlineStr">
        <is>
          <t>Cenovus Toledo</t>
        </is>
      </c>
      <c r="C21" s="28" t="n">
        <v>2</v>
      </c>
      <c r="D21" s="30">
        <f>SUMIFS(Data!$G$3:$G$125,Data!$A$3:$A$125,$A21)</f>
        <v/>
      </c>
      <c r="E21" s="30">
        <f>SUMIFS('Individual Refineries'!$F$3:$F$1084,'Individual Refineries'!$B$3:$B$1084,$A21,'Individual Refineries'!$D$3:$D$1084,"CDU")</f>
        <v/>
      </c>
      <c r="F21" s="30">
        <f>SUMIFS('Individual Refineries'!$F$3:$F$1084,'Individual Refineries'!$B$3:$B$1084,$A21,'Individual Refineries'!$D$3:$D$1084,"VDU")</f>
        <v/>
      </c>
      <c r="G21" s="30">
        <f>SUMIFS('Individual Refineries'!$F$3:$F$1084,'Individual Refineries'!$B$3:$B$1084,$A21,'Individual Refineries'!$D$3:$D$1084,"FCC")</f>
        <v/>
      </c>
      <c r="H21" s="30">
        <f>SUMIFS('Individual Refineries'!$F$3:$F$1084,'Individual Refineries'!$B$3:$B$1084,$A21,'Individual Refineries'!$D$3:$D$1084,"RCC")</f>
        <v/>
      </c>
      <c r="I21" s="30">
        <f>SUMIFS('Individual Refineries'!$F$3:$F$1084,'Individual Refineries'!$B$3:$B$1084,$A21,'Individual Refineries'!$D$3:$D$1084,"COKER")</f>
        <v/>
      </c>
      <c r="J21" s="30">
        <f>SUMIFS('Individual Refineries'!$F$3:$F$1084,'Individual Refineries'!$B$3:$B$1084,$A21,'Individual Refineries'!$D$3:$D$1084,"FCOKER")</f>
        <v/>
      </c>
      <c r="K21" s="30">
        <f>SUMIFS('Individual Refineries'!$F$3:$F$1084,'Individual Refineries'!$B$3:$B$1084,$A21,'Individual Refineries'!$D$3:$D$1084,"DHCU")</f>
        <v/>
      </c>
      <c r="L21" s="30">
        <f>SUMIFS('Individual Refineries'!$F$3:$F$1084,'Individual Refineries'!$B$3:$B$1084,$A21,'Individual Refineries'!$D$3:$D$1084,"RHCU")</f>
        <v/>
      </c>
      <c r="M21" s="30">
        <f>SUMIFS('Individual Refineries'!$F$3:$F$1084,'Individual Refineries'!$B$3:$B$1084,$A21,'Individual Refineries'!$D$3:$D$1084,"REF")</f>
        <v/>
      </c>
      <c r="N21" s="30">
        <f>SUMIFS('Individual Refineries'!$F$3:$F$1084,'Individual Refineries'!$B$3:$B$1084,$A21,'Individual Refineries'!$D$3:$D$1084,"CCR")</f>
        <v/>
      </c>
      <c r="O21" s="30">
        <f>SUMIFS('Individual Refineries'!$F$3:$F$1084,'Individual Refineries'!$B$3:$B$1084,$A21,'Individual Refineries'!$D$3:$D$1084,"ISOM")</f>
        <v/>
      </c>
      <c r="P21" s="30">
        <f>SUMIFS('Individual Refineries'!$F$3:$F$1084,'Individual Refineries'!$B$3:$B$1084,$A21,'Individual Refineries'!$D$3:$D$1084,"ALKY")</f>
        <v/>
      </c>
      <c r="Q21" s="30">
        <f>SUMIFS('Individual Refineries'!$F$3:$F$1084,'Individual Refineries'!$B$3:$B$1084,$A21,'Individual Refineries'!$D$3:$D$1084,"NSPL")</f>
        <v/>
      </c>
      <c r="R21" s="30">
        <f>SUMIFS('Individual Refineries'!$F$3:$F$1084,'Individual Refineries'!$B$3:$B$1084,$A21,'Individual Refineries'!$D$3:$D$1084,"NHT")</f>
        <v/>
      </c>
    </row>
    <row r="22">
      <c r="A22" s="40" t="inlineStr">
        <is>
          <t>MARATHON_DETROIT</t>
        </is>
      </c>
      <c r="B22" s="28" t="inlineStr">
        <is>
          <t>Marathon Petroleum Detroit</t>
        </is>
      </c>
      <c r="C22" s="28" t="n">
        <v>2</v>
      </c>
      <c r="D22" s="30">
        <f>SUMIFS(Data!$G$3:$G$125,Data!$A$3:$A$125,$A22)</f>
        <v/>
      </c>
      <c r="E22" s="30">
        <f>SUMIFS('Individual Refineries'!$F$3:$F$1084,'Individual Refineries'!$B$3:$B$1084,$A22,'Individual Refineries'!$D$3:$D$1084,"CDU")</f>
        <v/>
      </c>
      <c r="F22" s="30">
        <f>SUMIFS('Individual Refineries'!$F$3:$F$1084,'Individual Refineries'!$B$3:$B$1084,$A22,'Individual Refineries'!$D$3:$D$1084,"VDU")</f>
        <v/>
      </c>
      <c r="G22" s="30">
        <f>SUMIFS('Individual Refineries'!$F$3:$F$1084,'Individual Refineries'!$B$3:$B$1084,$A22,'Individual Refineries'!$D$3:$D$1084,"FCC")</f>
        <v/>
      </c>
      <c r="H22" s="30">
        <f>SUMIFS('Individual Refineries'!$F$3:$F$1084,'Individual Refineries'!$B$3:$B$1084,$A22,'Individual Refineries'!$D$3:$D$1084,"RCC")</f>
        <v/>
      </c>
      <c r="I22" s="30">
        <f>SUMIFS('Individual Refineries'!$F$3:$F$1084,'Individual Refineries'!$B$3:$B$1084,$A22,'Individual Refineries'!$D$3:$D$1084,"COKER")</f>
        <v/>
      </c>
      <c r="J22" s="30">
        <f>SUMIFS('Individual Refineries'!$F$3:$F$1084,'Individual Refineries'!$B$3:$B$1084,$A22,'Individual Refineries'!$D$3:$D$1084,"FCOKER")</f>
        <v/>
      </c>
      <c r="K22" s="30">
        <f>SUMIFS('Individual Refineries'!$F$3:$F$1084,'Individual Refineries'!$B$3:$B$1084,$A22,'Individual Refineries'!$D$3:$D$1084,"DHCU")</f>
        <v/>
      </c>
      <c r="L22" s="30">
        <f>SUMIFS('Individual Refineries'!$F$3:$F$1084,'Individual Refineries'!$B$3:$B$1084,$A22,'Individual Refineries'!$D$3:$D$1084,"RHCU")</f>
        <v/>
      </c>
      <c r="M22" s="30">
        <f>SUMIFS('Individual Refineries'!$F$3:$F$1084,'Individual Refineries'!$B$3:$B$1084,$A22,'Individual Refineries'!$D$3:$D$1084,"REF")</f>
        <v/>
      </c>
      <c r="N22" s="30">
        <f>SUMIFS('Individual Refineries'!$F$3:$F$1084,'Individual Refineries'!$B$3:$B$1084,$A22,'Individual Refineries'!$D$3:$D$1084,"CCR")</f>
        <v/>
      </c>
      <c r="O22" s="30">
        <f>SUMIFS('Individual Refineries'!$F$3:$F$1084,'Individual Refineries'!$B$3:$B$1084,$A22,'Individual Refineries'!$D$3:$D$1084,"ISOM")</f>
        <v/>
      </c>
      <c r="P22" s="30">
        <f>SUMIFS('Individual Refineries'!$F$3:$F$1084,'Individual Refineries'!$B$3:$B$1084,$A22,'Individual Refineries'!$D$3:$D$1084,"ALKY")</f>
        <v/>
      </c>
      <c r="Q22" s="30">
        <f>SUMIFS('Individual Refineries'!$F$3:$F$1084,'Individual Refineries'!$B$3:$B$1084,$A22,'Individual Refineries'!$D$3:$D$1084,"NSPL")</f>
        <v/>
      </c>
      <c r="R22" s="30">
        <f>SUMIFS('Individual Refineries'!$F$3:$F$1084,'Individual Refineries'!$B$3:$B$1084,$A22,'Individual Refineries'!$D$3:$D$1084,"NHT")</f>
        <v/>
      </c>
    </row>
    <row r="23">
      <c r="A23" s="40" t="inlineStr">
        <is>
          <t>HF_EL_DORADO_KS</t>
        </is>
      </c>
      <c r="B23" s="28" t="inlineStr">
        <is>
          <t>HF Sinclair El Dorado (KS)</t>
        </is>
      </c>
      <c r="C23" s="28" t="n">
        <v>2</v>
      </c>
      <c r="D23" s="30">
        <f>SUMIFS(Data!$G$3:$G$125,Data!$A$3:$A$125,$A23)</f>
        <v/>
      </c>
      <c r="E23" s="30">
        <f>SUMIFS('Individual Refineries'!$F$3:$F$1084,'Individual Refineries'!$B$3:$B$1084,$A23,'Individual Refineries'!$D$3:$D$1084,"CDU")</f>
        <v/>
      </c>
      <c r="F23" s="30">
        <f>SUMIFS('Individual Refineries'!$F$3:$F$1084,'Individual Refineries'!$B$3:$B$1084,$A23,'Individual Refineries'!$D$3:$D$1084,"VDU")</f>
        <v/>
      </c>
      <c r="G23" s="30">
        <f>SUMIFS('Individual Refineries'!$F$3:$F$1084,'Individual Refineries'!$B$3:$B$1084,$A23,'Individual Refineries'!$D$3:$D$1084,"FCC")</f>
        <v/>
      </c>
      <c r="H23" s="30">
        <f>SUMIFS('Individual Refineries'!$F$3:$F$1084,'Individual Refineries'!$B$3:$B$1084,$A23,'Individual Refineries'!$D$3:$D$1084,"RCC")</f>
        <v/>
      </c>
      <c r="I23" s="30">
        <f>SUMIFS('Individual Refineries'!$F$3:$F$1084,'Individual Refineries'!$B$3:$B$1084,$A23,'Individual Refineries'!$D$3:$D$1084,"COKER")</f>
        <v/>
      </c>
      <c r="J23" s="30">
        <f>SUMIFS('Individual Refineries'!$F$3:$F$1084,'Individual Refineries'!$B$3:$B$1084,$A23,'Individual Refineries'!$D$3:$D$1084,"FCOKER")</f>
        <v/>
      </c>
      <c r="K23" s="30">
        <f>SUMIFS('Individual Refineries'!$F$3:$F$1084,'Individual Refineries'!$B$3:$B$1084,$A23,'Individual Refineries'!$D$3:$D$1084,"DHCU")</f>
        <v/>
      </c>
      <c r="L23" s="30">
        <f>SUMIFS('Individual Refineries'!$F$3:$F$1084,'Individual Refineries'!$B$3:$B$1084,$A23,'Individual Refineries'!$D$3:$D$1084,"RHCU")</f>
        <v/>
      </c>
      <c r="M23" s="30">
        <f>SUMIFS('Individual Refineries'!$F$3:$F$1084,'Individual Refineries'!$B$3:$B$1084,$A23,'Individual Refineries'!$D$3:$D$1084,"REF")</f>
        <v/>
      </c>
      <c r="N23" s="30">
        <f>SUMIFS('Individual Refineries'!$F$3:$F$1084,'Individual Refineries'!$B$3:$B$1084,$A23,'Individual Refineries'!$D$3:$D$1084,"CCR")</f>
        <v/>
      </c>
      <c r="O23" s="30">
        <f>SUMIFS('Individual Refineries'!$F$3:$F$1084,'Individual Refineries'!$B$3:$B$1084,$A23,'Individual Refineries'!$D$3:$D$1084,"ISOM")</f>
        <v/>
      </c>
      <c r="P23" s="30">
        <f>SUMIFS('Individual Refineries'!$F$3:$F$1084,'Individual Refineries'!$B$3:$B$1084,$A23,'Individual Refineries'!$D$3:$D$1084,"ALKY")</f>
        <v/>
      </c>
      <c r="Q23" s="30">
        <f>SUMIFS('Individual Refineries'!$F$3:$F$1084,'Individual Refineries'!$B$3:$B$1084,$A23,'Individual Refineries'!$D$3:$D$1084,"NSPL")</f>
        <v/>
      </c>
      <c r="R23" s="30">
        <f>SUMIFS('Individual Refineries'!$F$3:$F$1084,'Individual Refineries'!$B$3:$B$1084,$A23,'Individual Refineries'!$D$3:$D$1084,"NHT")</f>
        <v/>
      </c>
    </row>
    <row r="24">
      <c r="A24" s="40" t="inlineStr">
        <is>
          <t>CVR_COFFEYVILLE</t>
        </is>
      </c>
      <c r="B24" s="28" t="inlineStr">
        <is>
          <t>CVR Energy Coffeyville</t>
        </is>
      </c>
      <c r="C24" s="28" t="n">
        <v>2</v>
      </c>
      <c r="D24" s="30">
        <f>SUMIFS(Data!$G$3:$G$125,Data!$A$3:$A$125,$A24)</f>
        <v/>
      </c>
      <c r="E24" s="30">
        <f>SUMIFS('Individual Refineries'!$F$3:$F$1084,'Individual Refineries'!$B$3:$B$1084,$A24,'Individual Refineries'!$D$3:$D$1084,"CDU")</f>
        <v/>
      </c>
      <c r="F24" s="30">
        <f>SUMIFS('Individual Refineries'!$F$3:$F$1084,'Individual Refineries'!$B$3:$B$1084,$A24,'Individual Refineries'!$D$3:$D$1084,"VDU")</f>
        <v/>
      </c>
      <c r="G24" s="30">
        <f>SUMIFS('Individual Refineries'!$F$3:$F$1084,'Individual Refineries'!$B$3:$B$1084,$A24,'Individual Refineries'!$D$3:$D$1084,"FCC")</f>
        <v/>
      </c>
      <c r="H24" s="30">
        <f>SUMIFS('Individual Refineries'!$F$3:$F$1084,'Individual Refineries'!$B$3:$B$1084,$A24,'Individual Refineries'!$D$3:$D$1084,"RCC")</f>
        <v/>
      </c>
      <c r="I24" s="30">
        <f>SUMIFS('Individual Refineries'!$F$3:$F$1084,'Individual Refineries'!$B$3:$B$1084,$A24,'Individual Refineries'!$D$3:$D$1084,"COKER")</f>
        <v/>
      </c>
      <c r="J24" s="30">
        <f>SUMIFS('Individual Refineries'!$F$3:$F$1084,'Individual Refineries'!$B$3:$B$1084,$A24,'Individual Refineries'!$D$3:$D$1084,"FCOKER")</f>
        <v/>
      </c>
      <c r="K24" s="30">
        <f>SUMIFS('Individual Refineries'!$F$3:$F$1084,'Individual Refineries'!$B$3:$B$1084,$A24,'Individual Refineries'!$D$3:$D$1084,"DHCU")</f>
        <v/>
      </c>
      <c r="L24" s="30">
        <f>SUMIFS('Individual Refineries'!$F$3:$F$1084,'Individual Refineries'!$B$3:$B$1084,$A24,'Individual Refineries'!$D$3:$D$1084,"RHCU")</f>
        <v/>
      </c>
      <c r="M24" s="30">
        <f>SUMIFS('Individual Refineries'!$F$3:$F$1084,'Individual Refineries'!$B$3:$B$1084,$A24,'Individual Refineries'!$D$3:$D$1084,"REF")</f>
        <v/>
      </c>
      <c r="N24" s="30">
        <f>SUMIFS('Individual Refineries'!$F$3:$F$1084,'Individual Refineries'!$B$3:$B$1084,$A24,'Individual Refineries'!$D$3:$D$1084,"CCR")</f>
        <v/>
      </c>
      <c r="O24" s="30">
        <f>SUMIFS('Individual Refineries'!$F$3:$F$1084,'Individual Refineries'!$B$3:$B$1084,$A24,'Individual Refineries'!$D$3:$D$1084,"ISOM")</f>
        <v/>
      </c>
      <c r="P24" s="30">
        <f>SUMIFS('Individual Refineries'!$F$3:$F$1084,'Individual Refineries'!$B$3:$B$1084,$A24,'Individual Refineries'!$D$3:$D$1084,"ALKY")</f>
        <v/>
      </c>
      <c r="Q24" s="30">
        <f>SUMIFS('Individual Refineries'!$F$3:$F$1084,'Individual Refineries'!$B$3:$B$1084,$A24,'Individual Refineries'!$D$3:$D$1084,"NSPL")</f>
        <v/>
      </c>
      <c r="R24" s="30">
        <f>SUMIFS('Individual Refineries'!$F$3:$F$1084,'Individual Refineries'!$B$3:$B$1084,$A24,'Individual Refineries'!$D$3:$D$1084,"NHT")</f>
        <v/>
      </c>
    </row>
    <row r="25">
      <c r="A25" s="40" t="inlineStr">
        <is>
          <t>HF_TULSA</t>
        </is>
      </c>
      <c r="B25" s="28" t="inlineStr">
        <is>
          <t>HF Sinclair Tulsa</t>
        </is>
      </c>
      <c r="C25" s="28" t="n">
        <v>2</v>
      </c>
      <c r="D25" s="30">
        <f>SUMIFS(Data!$G$3:$G$125,Data!$A$3:$A$125,$A25)</f>
        <v/>
      </c>
      <c r="E25" s="30">
        <f>SUMIFS('Individual Refineries'!$F$3:$F$1084,'Individual Refineries'!$B$3:$B$1084,$A25,'Individual Refineries'!$D$3:$D$1084,"CDU")</f>
        <v/>
      </c>
      <c r="F25" s="30">
        <f>SUMIFS('Individual Refineries'!$F$3:$F$1084,'Individual Refineries'!$B$3:$B$1084,$A25,'Individual Refineries'!$D$3:$D$1084,"VDU")</f>
        <v/>
      </c>
      <c r="G25" s="30">
        <f>SUMIFS('Individual Refineries'!$F$3:$F$1084,'Individual Refineries'!$B$3:$B$1084,$A25,'Individual Refineries'!$D$3:$D$1084,"FCC")</f>
        <v/>
      </c>
      <c r="H25" s="30">
        <f>SUMIFS('Individual Refineries'!$F$3:$F$1084,'Individual Refineries'!$B$3:$B$1084,$A25,'Individual Refineries'!$D$3:$D$1084,"RCC")</f>
        <v/>
      </c>
      <c r="I25" s="30">
        <f>SUMIFS('Individual Refineries'!$F$3:$F$1084,'Individual Refineries'!$B$3:$B$1084,$A25,'Individual Refineries'!$D$3:$D$1084,"COKER")</f>
        <v/>
      </c>
      <c r="J25" s="30">
        <f>SUMIFS('Individual Refineries'!$F$3:$F$1084,'Individual Refineries'!$B$3:$B$1084,$A25,'Individual Refineries'!$D$3:$D$1084,"FCOKER")</f>
        <v/>
      </c>
      <c r="K25" s="30">
        <f>SUMIFS('Individual Refineries'!$F$3:$F$1084,'Individual Refineries'!$B$3:$B$1084,$A25,'Individual Refineries'!$D$3:$D$1084,"DHCU")</f>
        <v/>
      </c>
      <c r="L25" s="30">
        <f>SUMIFS('Individual Refineries'!$F$3:$F$1084,'Individual Refineries'!$B$3:$B$1084,$A25,'Individual Refineries'!$D$3:$D$1084,"RHCU")</f>
        <v/>
      </c>
      <c r="M25" s="30">
        <f>SUMIFS('Individual Refineries'!$F$3:$F$1084,'Individual Refineries'!$B$3:$B$1084,$A25,'Individual Refineries'!$D$3:$D$1084,"REF")</f>
        <v/>
      </c>
      <c r="N25" s="30">
        <f>SUMIFS('Individual Refineries'!$F$3:$F$1084,'Individual Refineries'!$B$3:$B$1084,$A25,'Individual Refineries'!$D$3:$D$1084,"CCR")</f>
        <v/>
      </c>
      <c r="O25" s="30">
        <f>SUMIFS('Individual Refineries'!$F$3:$F$1084,'Individual Refineries'!$B$3:$B$1084,$A25,'Individual Refineries'!$D$3:$D$1084,"ISOM")</f>
        <v/>
      </c>
      <c r="P25" s="30">
        <f>SUMIFS('Individual Refineries'!$F$3:$F$1084,'Individual Refineries'!$B$3:$B$1084,$A25,'Individual Refineries'!$D$3:$D$1084,"ALKY")</f>
        <v/>
      </c>
      <c r="Q25" s="30">
        <f>SUMIFS('Individual Refineries'!$F$3:$F$1084,'Individual Refineries'!$B$3:$B$1084,$A25,'Individual Refineries'!$D$3:$D$1084,"NSPL")</f>
        <v/>
      </c>
      <c r="R25" s="30">
        <f>SUMIFS('Individual Refineries'!$F$3:$F$1084,'Individual Refineries'!$B$3:$B$1084,$A25,'Individual Refineries'!$D$3:$D$1084,"NHT")</f>
        <v/>
      </c>
    </row>
    <row r="26">
      <c r="A26" s="40" t="inlineStr">
        <is>
          <t>NCRA_MCPHERSON</t>
        </is>
      </c>
      <c r="B26" s="28" t="inlineStr">
        <is>
          <t>NCRA McPherson</t>
        </is>
      </c>
      <c r="C26" s="28" t="n">
        <v>2</v>
      </c>
      <c r="D26" s="30">
        <f>SUMIFS(Data!$G$3:$G$125,Data!$A$3:$A$125,$A26)</f>
        <v/>
      </c>
      <c r="E26" s="30">
        <f>SUMIFS('Individual Refineries'!$F$3:$F$1084,'Individual Refineries'!$B$3:$B$1084,$A26,'Individual Refineries'!$D$3:$D$1084,"CDU")</f>
        <v/>
      </c>
      <c r="F26" s="30">
        <f>SUMIFS('Individual Refineries'!$F$3:$F$1084,'Individual Refineries'!$B$3:$B$1084,$A26,'Individual Refineries'!$D$3:$D$1084,"VDU")</f>
        <v/>
      </c>
      <c r="G26" s="30">
        <f>SUMIFS('Individual Refineries'!$F$3:$F$1084,'Individual Refineries'!$B$3:$B$1084,$A26,'Individual Refineries'!$D$3:$D$1084,"FCC")</f>
        <v/>
      </c>
      <c r="H26" s="30">
        <f>SUMIFS('Individual Refineries'!$F$3:$F$1084,'Individual Refineries'!$B$3:$B$1084,$A26,'Individual Refineries'!$D$3:$D$1084,"RCC")</f>
        <v/>
      </c>
      <c r="I26" s="30">
        <f>SUMIFS('Individual Refineries'!$F$3:$F$1084,'Individual Refineries'!$B$3:$B$1084,$A26,'Individual Refineries'!$D$3:$D$1084,"COKER")</f>
        <v/>
      </c>
      <c r="J26" s="30">
        <f>SUMIFS('Individual Refineries'!$F$3:$F$1084,'Individual Refineries'!$B$3:$B$1084,$A26,'Individual Refineries'!$D$3:$D$1084,"FCOKER")</f>
        <v/>
      </c>
      <c r="K26" s="30">
        <f>SUMIFS('Individual Refineries'!$F$3:$F$1084,'Individual Refineries'!$B$3:$B$1084,$A26,'Individual Refineries'!$D$3:$D$1084,"DHCU")</f>
        <v/>
      </c>
      <c r="L26" s="30">
        <f>SUMIFS('Individual Refineries'!$F$3:$F$1084,'Individual Refineries'!$B$3:$B$1084,$A26,'Individual Refineries'!$D$3:$D$1084,"RHCU")</f>
        <v/>
      </c>
      <c r="M26" s="30">
        <f>SUMIFS('Individual Refineries'!$F$3:$F$1084,'Individual Refineries'!$B$3:$B$1084,$A26,'Individual Refineries'!$D$3:$D$1084,"REF")</f>
        <v/>
      </c>
      <c r="N26" s="30">
        <f>SUMIFS('Individual Refineries'!$F$3:$F$1084,'Individual Refineries'!$B$3:$B$1084,$A26,'Individual Refineries'!$D$3:$D$1084,"CCR")</f>
        <v/>
      </c>
      <c r="O26" s="30">
        <f>SUMIFS('Individual Refineries'!$F$3:$F$1084,'Individual Refineries'!$B$3:$B$1084,$A26,'Individual Refineries'!$D$3:$D$1084,"ISOM")</f>
        <v/>
      </c>
      <c r="P26" s="30">
        <f>SUMIFS('Individual Refineries'!$F$3:$F$1084,'Individual Refineries'!$B$3:$B$1084,$A26,'Individual Refineries'!$D$3:$D$1084,"ALKY")</f>
        <v/>
      </c>
      <c r="Q26" s="30">
        <f>SUMIFS('Individual Refineries'!$F$3:$F$1084,'Individual Refineries'!$B$3:$B$1084,$A26,'Individual Refineries'!$D$3:$D$1084,"NSPL")</f>
        <v/>
      </c>
      <c r="R26" s="30">
        <f>SUMIFS('Individual Refineries'!$F$3:$F$1084,'Individual Refineries'!$B$3:$B$1084,$A26,'Individual Refineries'!$D$3:$D$1084,"NHT")</f>
        <v/>
      </c>
    </row>
    <row r="27">
      <c r="A27" s="40" t="inlineStr">
        <is>
          <t>MARATHON_SAINT_PAUL_PARK</t>
        </is>
      </c>
      <c r="B27" s="28" t="inlineStr">
        <is>
          <t>Marathon Petroleum Saint Paul Park</t>
        </is>
      </c>
      <c r="C27" s="28" t="n">
        <v>2</v>
      </c>
      <c r="D27" s="30">
        <f>SUMIFS(Data!$G$3:$G$125,Data!$A$3:$A$125,$A27)</f>
        <v/>
      </c>
      <c r="E27" s="30">
        <f>SUMIFS('Individual Refineries'!$F$3:$F$1084,'Individual Refineries'!$B$3:$B$1084,$A27,'Individual Refineries'!$D$3:$D$1084,"CDU")</f>
        <v/>
      </c>
      <c r="F27" s="30">
        <f>SUMIFS('Individual Refineries'!$F$3:$F$1084,'Individual Refineries'!$B$3:$B$1084,$A27,'Individual Refineries'!$D$3:$D$1084,"VDU")</f>
        <v/>
      </c>
      <c r="G27" s="30">
        <f>SUMIFS('Individual Refineries'!$F$3:$F$1084,'Individual Refineries'!$B$3:$B$1084,$A27,'Individual Refineries'!$D$3:$D$1084,"FCC")</f>
        <v/>
      </c>
      <c r="H27" s="30">
        <f>SUMIFS('Individual Refineries'!$F$3:$F$1084,'Individual Refineries'!$B$3:$B$1084,$A27,'Individual Refineries'!$D$3:$D$1084,"RCC")</f>
        <v/>
      </c>
      <c r="I27" s="30">
        <f>SUMIFS('Individual Refineries'!$F$3:$F$1084,'Individual Refineries'!$B$3:$B$1084,$A27,'Individual Refineries'!$D$3:$D$1084,"COKER")</f>
        <v/>
      </c>
      <c r="J27" s="30">
        <f>SUMIFS('Individual Refineries'!$F$3:$F$1084,'Individual Refineries'!$B$3:$B$1084,$A27,'Individual Refineries'!$D$3:$D$1084,"FCOKER")</f>
        <v/>
      </c>
      <c r="K27" s="30">
        <f>SUMIFS('Individual Refineries'!$F$3:$F$1084,'Individual Refineries'!$B$3:$B$1084,$A27,'Individual Refineries'!$D$3:$D$1084,"DHCU")</f>
        <v/>
      </c>
      <c r="L27" s="30">
        <f>SUMIFS('Individual Refineries'!$F$3:$F$1084,'Individual Refineries'!$B$3:$B$1084,$A27,'Individual Refineries'!$D$3:$D$1084,"RHCU")</f>
        <v/>
      </c>
      <c r="M27" s="30">
        <f>SUMIFS('Individual Refineries'!$F$3:$F$1084,'Individual Refineries'!$B$3:$B$1084,$A27,'Individual Refineries'!$D$3:$D$1084,"REF")</f>
        <v/>
      </c>
      <c r="N27" s="30">
        <f>SUMIFS('Individual Refineries'!$F$3:$F$1084,'Individual Refineries'!$B$3:$B$1084,$A27,'Individual Refineries'!$D$3:$D$1084,"CCR")</f>
        <v/>
      </c>
      <c r="O27" s="30">
        <f>SUMIFS('Individual Refineries'!$F$3:$F$1084,'Individual Refineries'!$B$3:$B$1084,$A27,'Individual Refineries'!$D$3:$D$1084,"ISOM")</f>
        <v/>
      </c>
      <c r="P27" s="30">
        <f>SUMIFS('Individual Refineries'!$F$3:$F$1084,'Individual Refineries'!$B$3:$B$1084,$A27,'Individual Refineries'!$D$3:$D$1084,"ALKY")</f>
        <v/>
      </c>
      <c r="Q27" s="30">
        <f>SUMIFS('Individual Refineries'!$F$3:$F$1084,'Individual Refineries'!$B$3:$B$1084,$A27,'Individual Refineries'!$D$3:$D$1084,"NSPL")</f>
        <v/>
      </c>
      <c r="R27" s="30">
        <f>SUMIFS('Individual Refineries'!$F$3:$F$1084,'Individual Refineries'!$B$3:$B$1084,$A27,'Individual Refineries'!$D$3:$D$1084,"NHT")</f>
        <v/>
      </c>
    </row>
    <row r="28">
      <c r="A28" s="40" t="inlineStr">
        <is>
          <t>MARATHON_CANTON</t>
        </is>
      </c>
      <c r="B28" s="28" t="inlineStr">
        <is>
          <t>Marathon Petroleum Canton</t>
        </is>
      </c>
      <c r="C28" s="28" t="n">
        <v>2</v>
      </c>
      <c r="D28" s="30">
        <f>SUMIFS(Data!$G$3:$G$125,Data!$A$3:$A$125,$A28)</f>
        <v/>
      </c>
      <c r="E28" s="30">
        <f>SUMIFS('Individual Refineries'!$F$3:$F$1084,'Individual Refineries'!$B$3:$B$1084,$A28,'Individual Refineries'!$D$3:$D$1084,"CDU")</f>
        <v/>
      </c>
      <c r="F28" s="30">
        <f>SUMIFS('Individual Refineries'!$F$3:$F$1084,'Individual Refineries'!$B$3:$B$1084,$A28,'Individual Refineries'!$D$3:$D$1084,"VDU")</f>
        <v/>
      </c>
      <c r="G28" s="30">
        <f>SUMIFS('Individual Refineries'!$F$3:$F$1084,'Individual Refineries'!$B$3:$B$1084,$A28,'Individual Refineries'!$D$3:$D$1084,"FCC")</f>
        <v/>
      </c>
      <c r="H28" s="30">
        <f>SUMIFS('Individual Refineries'!$F$3:$F$1084,'Individual Refineries'!$B$3:$B$1084,$A28,'Individual Refineries'!$D$3:$D$1084,"RCC")</f>
        <v/>
      </c>
      <c r="I28" s="30">
        <f>SUMIFS('Individual Refineries'!$F$3:$F$1084,'Individual Refineries'!$B$3:$B$1084,$A28,'Individual Refineries'!$D$3:$D$1084,"COKER")</f>
        <v/>
      </c>
      <c r="J28" s="30">
        <f>SUMIFS('Individual Refineries'!$F$3:$F$1084,'Individual Refineries'!$B$3:$B$1084,$A28,'Individual Refineries'!$D$3:$D$1084,"FCOKER")</f>
        <v/>
      </c>
      <c r="K28" s="30">
        <f>SUMIFS('Individual Refineries'!$F$3:$F$1084,'Individual Refineries'!$B$3:$B$1084,$A28,'Individual Refineries'!$D$3:$D$1084,"DHCU")</f>
        <v/>
      </c>
      <c r="L28" s="30">
        <f>SUMIFS('Individual Refineries'!$F$3:$F$1084,'Individual Refineries'!$B$3:$B$1084,$A28,'Individual Refineries'!$D$3:$D$1084,"RHCU")</f>
        <v/>
      </c>
      <c r="M28" s="30">
        <f>SUMIFS('Individual Refineries'!$F$3:$F$1084,'Individual Refineries'!$B$3:$B$1084,$A28,'Individual Refineries'!$D$3:$D$1084,"REF")</f>
        <v/>
      </c>
      <c r="N28" s="30">
        <f>SUMIFS('Individual Refineries'!$F$3:$F$1084,'Individual Refineries'!$B$3:$B$1084,$A28,'Individual Refineries'!$D$3:$D$1084,"CCR")</f>
        <v/>
      </c>
      <c r="O28" s="30">
        <f>SUMIFS('Individual Refineries'!$F$3:$F$1084,'Individual Refineries'!$B$3:$B$1084,$A28,'Individual Refineries'!$D$3:$D$1084,"ISOM")</f>
        <v/>
      </c>
      <c r="P28" s="30">
        <f>SUMIFS('Individual Refineries'!$F$3:$F$1084,'Individual Refineries'!$B$3:$B$1084,$A28,'Individual Refineries'!$D$3:$D$1084,"ALKY")</f>
        <v/>
      </c>
      <c r="Q28" s="30">
        <f>SUMIFS('Individual Refineries'!$F$3:$F$1084,'Individual Refineries'!$B$3:$B$1084,$A28,'Individual Refineries'!$D$3:$D$1084,"NSPL")</f>
        <v/>
      </c>
      <c r="R28" s="30">
        <f>SUMIFS('Individual Refineries'!$F$3:$F$1084,'Individual Refineries'!$B$3:$B$1084,$A28,'Individual Refineries'!$D$3:$D$1084,"NHT")</f>
        <v/>
      </c>
    </row>
    <row r="29">
      <c r="A29" s="40" t="inlineStr">
        <is>
          <t>VALERO_ARDMORE</t>
        </is>
      </c>
      <c r="B29" s="28" t="inlineStr">
        <is>
          <t>Valero Ardmore</t>
        </is>
      </c>
      <c r="C29" s="28" t="n">
        <v>2</v>
      </c>
      <c r="D29" s="30">
        <f>SUMIFS(Data!$G$3:$G$125,Data!$A$3:$A$125,$A29)</f>
        <v/>
      </c>
      <c r="E29" s="30">
        <f>SUMIFS('Individual Refineries'!$F$3:$F$1084,'Individual Refineries'!$B$3:$B$1084,$A29,'Individual Refineries'!$D$3:$D$1084,"CDU")</f>
        <v/>
      </c>
      <c r="F29" s="30">
        <f>SUMIFS('Individual Refineries'!$F$3:$F$1084,'Individual Refineries'!$B$3:$B$1084,$A29,'Individual Refineries'!$D$3:$D$1084,"VDU")</f>
        <v/>
      </c>
      <c r="G29" s="30">
        <f>SUMIFS('Individual Refineries'!$F$3:$F$1084,'Individual Refineries'!$B$3:$B$1084,$A29,'Individual Refineries'!$D$3:$D$1084,"FCC")</f>
        <v/>
      </c>
      <c r="H29" s="30">
        <f>SUMIFS('Individual Refineries'!$F$3:$F$1084,'Individual Refineries'!$B$3:$B$1084,$A29,'Individual Refineries'!$D$3:$D$1084,"RCC")</f>
        <v/>
      </c>
      <c r="I29" s="30">
        <f>SUMIFS('Individual Refineries'!$F$3:$F$1084,'Individual Refineries'!$B$3:$B$1084,$A29,'Individual Refineries'!$D$3:$D$1084,"COKER")</f>
        <v/>
      </c>
      <c r="J29" s="30">
        <f>SUMIFS('Individual Refineries'!$F$3:$F$1084,'Individual Refineries'!$B$3:$B$1084,$A29,'Individual Refineries'!$D$3:$D$1084,"FCOKER")</f>
        <v/>
      </c>
      <c r="K29" s="30">
        <f>SUMIFS('Individual Refineries'!$F$3:$F$1084,'Individual Refineries'!$B$3:$B$1084,$A29,'Individual Refineries'!$D$3:$D$1084,"DHCU")</f>
        <v/>
      </c>
      <c r="L29" s="30">
        <f>SUMIFS('Individual Refineries'!$F$3:$F$1084,'Individual Refineries'!$B$3:$B$1084,$A29,'Individual Refineries'!$D$3:$D$1084,"RHCU")</f>
        <v/>
      </c>
      <c r="M29" s="30">
        <f>SUMIFS('Individual Refineries'!$F$3:$F$1084,'Individual Refineries'!$B$3:$B$1084,$A29,'Individual Refineries'!$D$3:$D$1084,"REF")</f>
        <v/>
      </c>
      <c r="N29" s="30">
        <f>SUMIFS('Individual Refineries'!$F$3:$F$1084,'Individual Refineries'!$B$3:$B$1084,$A29,'Individual Refineries'!$D$3:$D$1084,"CCR")</f>
        <v/>
      </c>
      <c r="O29" s="30">
        <f>SUMIFS('Individual Refineries'!$F$3:$F$1084,'Individual Refineries'!$B$3:$B$1084,$A29,'Individual Refineries'!$D$3:$D$1084,"ISOM")</f>
        <v/>
      </c>
      <c r="P29" s="30">
        <f>SUMIFS('Individual Refineries'!$F$3:$F$1084,'Individual Refineries'!$B$3:$B$1084,$A29,'Individual Refineries'!$D$3:$D$1084,"ALKY")</f>
        <v/>
      </c>
      <c r="Q29" s="30">
        <f>SUMIFS('Individual Refineries'!$F$3:$F$1084,'Individual Refineries'!$B$3:$B$1084,$A29,'Individual Refineries'!$D$3:$D$1084,"NSPL")</f>
        <v/>
      </c>
      <c r="R29" s="30">
        <f>SUMIFS('Individual Refineries'!$F$3:$F$1084,'Individual Refineries'!$B$3:$B$1084,$A29,'Individual Refineries'!$D$3:$D$1084,"NHT")</f>
        <v/>
      </c>
    </row>
    <row r="30">
      <c r="A30" s="40" t="inlineStr">
        <is>
          <t>MARATHON_MANDAN</t>
        </is>
      </c>
      <c r="B30" s="28" t="inlineStr">
        <is>
          <t>Marathon Petroleum Mandan</t>
        </is>
      </c>
      <c r="C30" s="28" t="n">
        <v>2</v>
      </c>
      <c r="D30" s="30">
        <f>SUMIFS(Data!$G$3:$G$125,Data!$A$3:$A$125,$A30)</f>
        <v/>
      </c>
      <c r="E30" s="30">
        <f>SUMIFS('Individual Refineries'!$F$3:$F$1084,'Individual Refineries'!$B$3:$B$1084,$A30,'Individual Refineries'!$D$3:$D$1084,"CDU")</f>
        <v/>
      </c>
      <c r="F30" s="30">
        <f>SUMIFS('Individual Refineries'!$F$3:$F$1084,'Individual Refineries'!$B$3:$B$1084,$A30,'Individual Refineries'!$D$3:$D$1084,"VDU")</f>
        <v/>
      </c>
      <c r="G30" s="30">
        <f>SUMIFS('Individual Refineries'!$F$3:$F$1084,'Individual Refineries'!$B$3:$B$1084,$A30,'Individual Refineries'!$D$3:$D$1084,"FCC")</f>
        <v/>
      </c>
      <c r="H30" s="30">
        <f>SUMIFS('Individual Refineries'!$F$3:$F$1084,'Individual Refineries'!$B$3:$B$1084,$A30,'Individual Refineries'!$D$3:$D$1084,"RCC")</f>
        <v/>
      </c>
      <c r="I30" s="30">
        <f>SUMIFS('Individual Refineries'!$F$3:$F$1084,'Individual Refineries'!$B$3:$B$1084,$A30,'Individual Refineries'!$D$3:$D$1084,"COKER")</f>
        <v/>
      </c>
      <c r="J30" s="30">
        <f>SUMIFS('Individual Refineries'!$F$3:$F$1084,'Individual Refineries'!$B$3:$B$1084,$A30,'Individual Refineries'!$D$3:$D$1084,"FCOKER")</f>
        <v/>
      </c>
      <c r="K30" s="30">
        <f>SUMIFS('Individual Refineries'!$F$3:$F$1084,'Individual Refineries'!$B$3:$B$1084,$A30,'Individual Refineries'!$D$3:$D$1084,"DHCU")</f>
        <v/>
      </c>
      <c r="L30" s="30">
        <f>SUMIFS('Individual Refineries'!$F$3:$F$1084,'Individual Refineries'!$B$3:$B$1084,$A30,'Individual Refineries'!$D$3:$D$1084,"RHCU")</f>
        <v/>
      </c>
      <c r="M30" s="30">
        <f>SUMIFS('Individual Refineries'!$F$3:$F$1084,'Individual Refineries'!$B$3:$B$1084,$A30,'Individual Refineries'!$D$3:$D$1084,"REF")</f>
        <v/>
      </c>
      <c r="N30" s="30">
        <f>SUMIFS('Individual Refineries'!$F$3:$F$1084,'Individual Refineries'!$B$3:$B$1084,$A30,'Individual Refineries'!$D$3:$D$1084,"CCR")</f>
        <v/>
      </c>
      <c r="O30" s="30">
        <f>SUMIFS('Individual Refineries'!$F$3:$F$1084,'Individual Refineries'!$B$3:$B$1084,$A30,'Individual Refineries'!$D$3:$D$1084,"ISOM")</f>
        <v/>
      </c>
      <c r="P30" s="30">
        <f>SUMIFS('Individual Refineries'!$F$3:$F$1084,'Individual Refineries'!$B$3:$B$1084,$A30,'Individual Refineries'!$D$3:$D$1084,"ALKY")</f>
        <v/>
      </c>
      <c r="Q30" s="30">
        <f>SUMIFS('Individual Refineries'!$F$3:$F$1084,'Individual Refineries'!$B$3:$B$1084,$A30,'Individual Refineries'!$D$3:$D$1084,"NSPL")</f>
        <v/>
      </c>
      <c r="R30" s="30">
        <f>SUMIFS('Individual Refineries'!$F$3:$F$1084,'Individual Refineries'!$B$3:$B$1084,$A30,'Individual Refineries'!$D$3:$D$1084,"NHT")</f>
        <v/>
      </c>
    </row>
    <row r="31">
      <c r="A31" s="40" t="inlineStr">
        <is>
          <t>CVR_WYNNEWOOD</t>
        </is>
      </c>
      <c r="B31" s="28" t="inlineStr">
        <is>
          <t>CVR Energy Wynnewood</t>
        </is>
      </c>
      <c r="C31" s="28" t="n">
        <v>2</v>
      </c>
      <c r="D31" s="30">
        <f>SUMIFS(Data!$G$3:$G$125,Data!$A$3:$A$125,$A31)</f>
        <v/>
      </c>
      <c r="E31" s="30">
        <f>SUMIFS('Individual Refineries'!$F$3:$F$1084,'Individual Refineries'!$B$3:$B$1084,$A31,'Individual Refineries'!$D$3:$D$1084,"CDU")</f>
        <v/>
      </c>
      <c r="F31" s="30">
        <f>SUMIFS('Individual Refineries'!$F$3:$F$1084,'Individual Refineries'!$B$3:$B$1084,$A31,'Individual Refineries'!$D$3:$D$1084,"VDU")</f>
        <v/>
      </c>
      <c r="G31" s="30">
        <f>SUMIFS('Individual Refineries'!$F$3:$F$1084,'Individual Refineries'!$B$3:$B$1084,$A31,'Individual Refineries'!$D$3:$D$1084,"FCC")</f>
        <v/>
      </c>
      <c r="H31" s="30">
        <f>SUMIFS('Individual Refineries'!$F$3:$F$1084,'Individual Refineries'!$B$3:$B$1084,$A31,'Individual Refineries'!$D$3:$D$1084,"RCC")</f>
        <v/>
      </c>
      <c r="I31" s="30">
        <f>SUMIFS('Individual Refineries'!$F$3:$F$1084,'Individual Refineries'!$B$3:$B$1084,$A31,'Individual Refineries'!$D$3:$D$1084,"COKER")</f>
        <v/>
      </c>
      <c r="J31" s="30">
        <f>SUMIFS('Individual Refineries'!$F$3:$F$1084,'Individual Refineries'!$B$3:$B$1084,$A31,'Individual Refineries'!$D$3:$D$1084,"FCOKER")</f>
        <v/>
      </c>
      <c r="K31" s="30">
        <f>SUMIFS('Individual Refineries'!$F$3:$F$1084,'Individual Refineries'!$B$3:$B$1084,$A31,'Individual Refineries'!$D$3:$D$1084,"DHCU")</f>
        <v/>
      </c>
      <c r="L31" s="30">
        <f>SUMIFS('Individual Refineries'!$F$3:$F$1084,'Individual Refineries'!$B$3:$B$1084,$A31,'Individual Refineries'!$D$3:$D$1084,"RHCU")</f>
        <v/>
      </c>
      <c r="M31" s="30">
        <f>SUMIFS('Individual Refineries'!$F$3:$F$1084,'Individual Refineries'!$B$3:$B$1084,$A31,'Individual Refineries'!$D$3:$D$1084,"REF")</f>
        <v/>
      </c>
      <c r="N31" s="30">
        <f>SUMIFS('Individual Refineries'!$F$3:$F$1084,'Individual Refineries'!$B$3:$B$1084,$A31,'Individual Refineries'!$D$3:$D$1084,"CCR")</f>
        <v/>
      </c>
      <c r="O31" s="30">
        <f>SUMIFS('Individual Refineries'!$F$3:$F$1084,'Individual Refineries'!$B$3:$B$1084,$A31,'Individual Refineries'!$D$3:$D$1084,"ISOM")</f>
        <v/>
      </c>
      <c r="P31" s="30">
        <f>SUMIFS('Individual Refineries'!$F$3:$F$1084,'Individual Refineries'!$B$3:$B$1084,$A31,'Individual Refineries'!$D$3:$D$1084,"ALKY")</f>
        <v/>
      </c>
      <c r="Q31" s="30">
        <f>SUMIFS('Individual Refineries'!$F$3:$F$1084,'Individual Refineries'!$B$3:$B$1084,$A31,'Individual Refineries'!$D$3:$D$1084,"NSPL")</f>
        <v/>
      </c>
      <c r="R31" s="30">
        <f>SUMIFS('Individual Refineries'!$F$3:$F$1084,'Individual Refineries'!$B$3:$B$1084,$A31,'Individual Refineries'!$D$3:$D$1084,"NHT")</f>
        <v/>
      </c>
    </row>
    <row r="32">
      <c r="A32" s="40" t="inlineStr">
        <is>
          <t>CENOVUS_SUPERIOR</t>
        </is>
      </c>
      <c r="B32" s="28" t="inlineStr">
        <is>
          <t>Cenovus Superior</t>
        </is>
      </c>
      <c r="C32" s="28" t="n">
        <v>2</v>
      </c>
      <c r="D32" s="30">
        <f>SUMIFS(Data!$G$3:$G$125,Data!$A$3:$A$125,$A32)</f>
        <v/>
      </c>
      <c r="E32" s="30">
        <f>SUMIFS('Individual Refineries'!$F$3:$F$1084,'Individual Refineries'!$B$3:$B$1084,$A32,'Individual Refineries'!$D$3:$D$1084,"CDU")</f>
        <v/>
      </c>
      <c r="F32" s="30">
        <f>SUMIFS('Individual Refineries'!$F$3:$F$1084,'Individual Refineries'!$B$3:$B$1084,$A32,'Individual Refineries'!$D$3:$D$1084,"VDU")</f>
        <v/>
      </c>
      <c r="G32" s="30">
        <f>SUMIFS('Individual Refineries'!$F$3:$F$1084,'Individual Refineries'!$B$3:$B$1084,$A32,'Individual Refineries'!$D$3:$D$1084,"FCC")</f>
        <v/>
      </c>
      <c r="H32" s="30">
        <f>SUMIFS('Individual Refineries'!$F$3:$F$1084,'Individual Refineries'!$B$3:$B$1084,$A32,'Individual Refineries'!$D$3:$D$1084,"RCC")</f>
        <v/>
      </c>
      <c r="I32" s="30">
        <f>SUMIFS('Individual Refineries'!$F$3:$F$1084,'Individual Refineries'!$B$3:$B$1084,$A32,'Individual Refineries'!$D$3:$D$1084,"COKER")</f>
        <v/>
      </c>
      <c r="J32" s="30">
        <f>SUMIFS('Individual Refineries'!$F$3:$F$1084,'Individual Refineries'!$B$3:$B$1084,$A32,'Individual Refineries'!$D$3:$D$1084,"FCOKER")</f>
        <v/>
      </c>
      <c r="K32" s="30">
        <f>SUMIFS('Individual Refineries'!$F$3:$F$1084,'Individual Refineries'!$B$3:$B$1084,$A32,'Individual Refineries'!$D$3:$D$1084,"DHCU")</f>
        <v/>
      </c>
      <c r="L32" s="30">
        <f>SUMIFS('Individual Refineries'!$F$3:$F$1084,'Individual Refineries'!$B$3:$B$1084,$A32,'Individual Refineries'!$D$3:$D$1084,"RHCU")</f>
        <v/>
      </c>
      <c r="M32" s="30">
        <f>SUMIFS('Individual Refineries'!$F$3:$F$1084,'Individual Refineries'!$B$3:$B$1084,$A32,'Individual Refineries'!$D$3:$D$1084,"REF")</f>
        <v/>
      </c>
      <c r="N32" s="30">
        <f>SUMIFS('Individual Refineries'!$F$3:$F$1084,'Individual Refineries'!$B$3:$B$1084,$A32,'Individual Refineries'!$D$3:$D$1084,"CCR")</f>
        <v/>
      </c>
      <c r="O32" s="30">
        <f>SUMIFS('Individual Refineries'!$F$3:$F$1084,'Individual Refineries'!$B$3:$B$1084,$A32,'Individual Refineries'!$D$3:$D$1084,"ISOM")</f>
        <v/>
      </c>
      <c r="P32" s="30">
        <f>SUMIFS('Individual Refineries'!$F$3:$F$1084,'Individual Refineries'!$B$3:$B$1084,$A32,'Individual Refineries'!$D$3:$D$1084,"ALKY")</f>
        <v/>
      </c>
      <c r="Q32" s="30">
        <f>SUMIFS('Individual Refineries'!$F$3:$F$1084,'Individual Refineries'!$B$3:$B$1084,$A32,'Individual Refineries'!$D$3:$D$1084,"NSPL")</f>
        <v/>
      </c>
      <c r="R32" s="30">
        <f>SUMIFS('Individual Refineries'!$F$3:$F$1084,'Individual Refineries'!$B$3:$B$1084,$A32,'Individual Refineries'!$D$3:$D$1084,"NHT")</f>
        <v/>
      </c>
    </row>
    <row r="33">
      <c r="A33" s="40" t="inlineStr">
        <is>
          <t>COUNTRYMARK_MOUNT_VERNON</t>
        </is>
      </c>
      <c r="B33" s="28" t="inlineStr">
        <is>
          <t>Countrymark Cooperative Inc. Mount Vernon</t>
        </is>
      </c>
      <c r="C33" s="28" t="n">
        <v>2</v>
      </c>
      <c r="D33" s="30">
        <f>SUMIFS(Data!$G$3:$G$125,Data!$A$3:$A$125,$A33)</f>
        <v/>
      </c>
      <c r="E33" s="30">
        <f>SUMIFS('Individual Refineries'!$F$3:$F$1084,'Individual Refineries'!$B$3:$B$1084,$A33,'Individual Refineries'!$D$3:$D$1084,"CDU")</f>
        <v/>
      </c>
      <c r="F33" s="30">
        <f>SUMIFS('Individual Refineries'!$F$3:$F$1084,'Individual Refineries'!$B$3:$B$1084,$A33,'Individual Refineries'!$D$3:$D$1084,"VDU")</f>
        <v/>
      </c>
      <c r="G33" s="30">
        <f>SUMIFS('Individual Refineries'!$F$3:$F$1084,'Individual Refineries'!$B$3:$B$1084,$A33,'Individual Refineries'!$D$3:$D$1084,"FCC")</f>
        <v/>
      </c>
      <c r="H33" s="30">
        <f>SUMIFS('Individual Refineries'!$F$3:$F$1084,'Individual Refineries'!$B$3:$B$1084,$A33,'Individual Refineries'!$D$3:$D$1084,"RCC")</f>
        <v/>
      </c>
      <c r="I33" s="30">
        <f>SUMIFS('Individual Refineries'!$F$3:$F$1084,'Individual Refineries'!$B$3:$B$1084,$A33,'Individual Refineries'!$D$3:$D$1084,"COKER")</f>
        <v/>
      </c>
      <c r="J33" s="30">
        <f>SUMIFS('Individual Refineries'!$F$3:$F$1084,'Individual Refineries'!$B$3:$B$1084,$A33,'Individual Refineries'!$D$3:$D$1084,"FCOKER")</f>
        <v/>
      </c>
      <c r="K33" s="30">
        <f>SUMIFS('Individual Refineries'!$F$3:$F$1084,'Individual Refineries'!$B$3:$B$1084,$A33,'Individual Refineries'!$D$3:$D$1084,"DHCU")</f>
        <v/>
      </c>
      <c r="L33" s="30">
        <f>SUMIFS('Individual Refineries'!$F$3:$F$1084,'Individual Refineries'!$B$3:$B$1084,$A33,'Individual Refineries'!$D$3:$D$1084,"RHCU")</f>
        <v/>
      </c>
      <c r="M33" s="30">
        <f>SUMIFS('Individual Refineries'!$F$3:$F$1084,'Individual Refineries'!$B$3:$B$1084,$A33,'Individual Refineries'!$D$3:$D$1084,"REF")</f>
        <v/>
      </c>
      <c r="N33" s="30">
        <f>SUMIFS('Individual Refineries'!$F$3:$F$1084,'Individual Refineries'!$B$3:$B$1084,$A33,'Individual Refineries'!$D$3:$D$1084,"CCR")</f>
        <v/>
      </c>
      <c r="O33" s="30">
        <f>SUMIFS('Individual Refineries'!$F$3:$F$1084,'Individual Refineries'!$B$3:$B$1084,$A33,'Individual Refineries'!$D$3:$D$1084,"ISOM")</f>
        <v/>
      </c>
      <c r="P33" s="30">
        <f>SUMIFS('Individual Refineries'!$F$3:$F$1084,'Individual Refineries'!$B$3:$B$1084,$A33,'Individual Refineries'!$D$3:$D$1084,"ALKY")</f>
        <v/>
      </c>
      <c r="Q33" s="30">
        <f>SUMIFS('Individual Refineries'!$F$3:$F$1084,'Individual Refineries'!$B$3:$B$1084,$A33,'Individual Refineries'!$D$3:$D$1084,"NSPL")</f>
        <v/>
      </c>
      <c r="R33" s="30">
        <f>SUMIFS('Individual Refineries'!$F$3:$F$1084,'Individual Refineries'!$B$3:$B$1084,$A33,'Individual Refineries'!$D$3:$D$1084,"NHT")</f>
        <v/>
      </c>
    </row>
    <row r="34">
      <c r="A34" s="40" t="inlineStr">
        <is>
          <t>SOMERSET_SOMERSET</t>
        </is>
      </c>
      <c r="B34" s="28" t="inlineStr">
        <is>
          <t>Somerset Refinery Somerset</t>
        </is>
      </c>
      <c r="C34" s="28" t="n">
        <v>2</v>
      </c>
      <c r="D34" s="30">
        <f>SUMIFS(Data!$G$3:$G$125,Data!$A$3:$A$125,$A34)</f>
        <v/>
      </c>
      <c r="E34" s="30">
        <f>SUMIFS('Individual Refineries'!$F$3:$F$1084,'Individual Refineries'!$B$3:$B$1084,$A34,'Individual Refineries'!$D$3:$D$1084,"CDU")</f>
        <v/>
      </c>
      <c r="F34" s="30">
        <f>SUMIFS('Individual Refineries'!$F$3:$F$1084,'Individual Refineries'!$B$3:$B$1084,$A34,'Individual Refineries'!$D$3:$D$1084,"VDU")</f>
        <v/>
      </c>
      <c r="G34" s="30">
        <f>SUMIFS('Individual Refineries'!$F$3:$F$1084,'Individual Refineries'!$B$3:$B$1084,$A34,'Individual Refineries'!$D$3:$D$1084,"FCC")</f>
        <v/>
      </c>
      <c r="H34" s="30">
        <f>SUMIFS('Individual Refineries'!$F$3:$F$1084,'Individual Refineries'!$B$3:$B$1084,$A34,'Individual Refineries'!$D$3:$D$1084,"RCC")</f>
        <v/>
      </c>
      <c r="I34" s="30">
        <f>SUMIFS('Individual Refineries'!$F$3:$F$1084,'Individual Refineries'!$B$3:$B$1084,$A34,'Individual Refineries'!$D$3:$D$1084,"COKER")</f>
        <v/>
      </c>
      <c r="J34" s="30">
        <f>SUMIFS('Individual Refineries'!$F$3:$F$1084,'Individual Refineries'!$B$3:$B$1084,$A34,'Individual Refineries'!$D$3:$D$1084,"FCOKER")</f>
        <v/>
      </c>
      <c r="K34" s="30">
        <f>SUMIFS('Individual Refineries'!$F$3:$F$1084,'Individual Refineries'!$B$3:$B$1084,$A34,'Individual Refineries'!$D$3:$D$1084,"DHCU")</f>
        <v/>
      </c>
      <c r="L34" s="30">
        <f>SUMIFS('Individual Refineries'!$F$3:$F$1084,'Individual Refineries'!$B$3:$B$1084,$A34,'Individual Refineries'!$D$3:$D$1084,"RHCU")</f>
        <v/>
      </c>
      <c r="M34" s="30">
        <f>SUMIFS('Individual Refineries'!$F$3:$F$1084,'Individual Refineries'!$B$3:$B$1084,$A34,'Individual Refineries'!$D$3:$D$1084,"REF")</f>
        <v/>
      </c>
      <c r="N34" s="30">
        <f>SUMIFS('Individual Refineries'!$F$3:$F$1084,'Individual Refineries'!$B$3:$B$1084,$A34,'Individual Refineries'!$D$3:$D$1084,"CCR")</f>
        <v/>
      </c>
      <c r="O34" s="30">
        <f>SUMIFS('Individual Refineries'!$F$3:$F$1084,'Individual Refineries'!$B$3:$B$1084,$A34,'Individual Refineries'!$D$3:$D$1084,"ISOM")</f>
        <v/>
      </c>
      <c r="P34" s="30">
        <f>SUMIFS('Individual Refineries'!$F$3:$F$1084,'Individual Refineries'!$B$3:$B$1084,$A34,'Individual Refineries'!$D$3:$D$1084,"ALKY")</f>
        <v/>
      </c>
      <c r="Q34" s="30">
        <f>SUMIFS('Individual Refineries'!$F$3:$F$1084,'Individual Refineries'!$B$3:$B$1084,$A34,'Individual Refineries'!$D$3:$D$1084,"NSPL")</f>
        <v/>
      </c>
      <c r="R34" s="30">
        <f>SUMIFS('Individual Refineries'!$F$3:$F$1084,'Individual Refineries'!$B$3:$B$1084,$A34,'Individual Refineries'!$D$3:$D$1084,"NHT")</f>
        <v/>
      </c>
    </row>
    <row r="35">
      <c r="A35" s="40" t="inlineStr">
        <is>
          <t>MPC_GALV_BAY</t>
        </is>
      </c>
      <c r="B35" s="28" t="inlineStr">
        <is>
          <t>Galveston Bay Refinery</t>
        </is>
      </c>
      <c r="C35" s="28" t="n">
        <v>3</v>
      </c>
      <c r="D35" s="30">
        <f>SUMIFS(Data!$G$3:$G$125,Data!$A$3:$A$125,$A35)</f>
        <v/>
      </c>
      <c r="E35" s="30">
        <f>SUMIFS('Individual Refineries'!$F$3:$F$1084,'Individual Refineries'!$B$3:$B$1084,$A35,'Individual Refineries'!$D$3:$D$1084,"CDU")</f>
        <v/>
      </c>
      <c r="F35" s="30">
        <f>SUMIFS('Individual Refineries'!$F$3:$F$1084,'Individual Refineries'!$B$3:$B$1084,$A35,'Individual Refineries'!$D$3:$D$1084,"VDU")</f>
        <v/>
      </c>
      <c r="G35" s="30">
        <f>SUMIFS('Individual Refineries'!$F$3:$F$1084,'Individual Refineries'!$B$3:$B$1084,$A35,'Individual Refineries'!$D$3:$D$1084,"FCC")</f>
        <v/>
      </c>
      <c r="H35" s="30">
        <f>SUMIFS('Individual Refineries'!$F$3:$F$1084,'Individual Refineries'!$B$3:$B$1084,$A35,'Individual Refineries'!$D$3:$D$1084,"RCC")</f>
        <v/>
      </c>
      <c r="I35" s="30">
        <f>SUMIFS('Individual Refineries'!$F$3:$F$1084,'Individual Refineries'!$B$3:$B$1084,$A35,'Individual Refineries'!$D$3:$D$1084,"COKER")</f>
        <v/>
      </c>
      <c r="J35" s="30">
        <f>SUMIFS('Individual Refineries'!$F$3:$F$1084,'Individual Refineries'!$B$3:$B$1084,$A35,'Individual Refineries'!$D$3:$D$1084,"FCOKER")</f>
        <v/>
      </c>
      <c r="K35" s="30">
        <f>SUMIFS('Individual Refineries'!$F$3:$F$1084,'Individual Refineries'!$B$3:$B$1084,$A35,'Individual Refineries'!$D$3:$D$1084,"DHCU")</f>
        <v/>
      </c>
      <c r="L35" s="30">
        <f>SUMIFS('Individual Refineries'!$F$3:$F$1084,'Individual Refineries'!$B$3:$B$1084,$A35,'Individual Refineries'!$D$3:$D$1084,"RHCU")</f>
        <v/>
      </c>
      <c r="M35" s="30">
        <f>SUMIFS('Individual Refineries'!$F$3:$F$1084,'Individual Refineries'!$B$3:$B$1084,$A35,'Individual Refineries'!$D$3:$D$1084,"REF")</f>
        <v/>
      </c>
      <c r="N35" s="30">
        <f>SUMIFS('Individual Refineries'!$F$3:$F$1084,'Individual Refineries'!$B$3:$B$1084,$A35,'Individual Refineries'!$D$3:$D$1084,"CCR")</f>
        <v/>
      </c>
      <c r="O35" s="30">
        <f>SUMIFS('Individual Refineries'!$F$3:$F$1084,'Individual Refineries'!$B$3:$B$1084,$A35,'Individual Refineries'!$D$3:$D$1084,"ISOM")</f>
        <v/>
      </c>
      <c r="P35" s="30">
        <f>SUMIFS('Individual Refineries'!$F$3:$F$1084,'Individual Refineries'!$B$3:$B$1084,$A35,'Individual Refineries'!$D$3:$D$1084,"ALKY")</f>
        <v/>
      </c>
      <c r="Q35" s="30">
        <f>SUMIFS('Individual Refineries'!$F$3:$F$1084,'Individual Refineries'!$B$3:$B$1084,$A35,'Individual Refineries'!$D$3:$D$1084,"NSPL")</f>
        <v/>
      </c>
      <c r="R35" s="30">
        <f>SUMIFS('Individual Refineries'!$F$3:$F$1084,'Individual Refineries'!$B$3:$B$1084,$A35,'Individual Refineries'!$D$3:$D$1084,"NHT")</f>
        <v/>
      </c>
    </row>
    <row r="36">
      <c r="A36" s="40" t="inlineStr">
        <is>
          <t>MOTIVA_PAR</t>
        </is>
      </c>
      <c r="B36" s="28" t="inlineStr">
        <is>
          <t>Motiva Port Arthur</t>
        </is>
      </c>
      <c r="C36" s="28" t="n">
        <v>3</v>
      </c>
      <c r="D36" s="30">
        <f>SUMIFS(Data!$G$3:$G$125,Data!$A$3:$A$125,$A36)</f>
        <v/>
      </c>
      <c r="E36" s="30">
        <f>SUMIFS('Individual Refineries'!$F$3:$F$1084,'Individual Refineries'!$B$3:$B$1084,$A36,'Individual Refineries'!$D$3:$D$1084,"CDU")</f>
        <v/>
      </c>
      <c r="F36" s="30">
        <f>SUMIFS('Individual Refineries'!$F$3:$F$1084,'Individual Refineries'!$B$3:$B$1084,$A36,'Individual Refineries'!$D$3:$D$1084,"VDU")</f>
        <v/>
      </c>
      <c r="G36" s="30">
        <f>SUMIFS('Individual Refineries'!$F$3:$F$1084,'Individual Refineries'!$B$3:$B$1084,$A36,'Individual Refineries'!$D$3:$D$1084,"FCC")</f>
        <v/>
      </c>
      <c r="H36" s="30">
        <f>SUMIFS('Individual Refineries'!$F$3:$F$1084,'Individual Refineries'!$B$3:$B$1084,$A36,'Individual Refineries'!$D$3:$D$1084,"RCC")</f>
        <v/>
      </c>
      <c r="I36" s="30">
        <f>SUMIFS('Individual Refineries'!$F$3:$F$1084,'Individual Refineries'!$B$3:$B$1084,$A36,'Individual Refineries'!$D$3:$D$1084,"COKER")</f>
        <v/>
      </c>
      <c r="J36" s="30">
        <f>SUMIFS('Individual Refineries'!$F$3:$F$1084,'Individual Refineries'!$B$3:$B$1084,$A36,'Individual Refineries'!$D$3:$D$1084,"FCOKER")</f>
        <v/>
      </c>
      <c r="K36" s="30">
        <f>SUMIFS('Individual Refineries'!$F$3:$F$1084,'Individual Refineries'!$B$3:$B$1084,$A36,'Individual Refineries'!$D$3:$D$1084,"DHCU")</f>
        <v/>
      </c>
      <c r="L36" s="30">
        <f>SUMIFS('Individual Refineries'!$F$3:$F$1084,'Individual Refineries'!$B$3:$B$1084,$A36,'Individual Refineries'!$D$3:$D$1084,"RHCU")</f>
        <v/>
      </c>
      <c r="M36" s="30">
        <f>SUMIFS('Individual Refineries'!$F$3:$F$1084,'Individual Refineries'!$B$3:$B$1084,$A36,'Individual Refineries'!$D$3:$D$1084,"REF")</f>
        <v/>
      </c>
      <c r="N36" s="30">
        <f>SUMIFS('Individual Refineries'!$F$3:$F$1084,'Individual Refineries'!$B$3:$B$1084,$A36,'Individual Refineries'!$D$3:$D$1084,"CCR")</f>
        <v/>
      </c>
      <c r="O36" s="30">
        <f>SUMIFS('Individual Refineries'!$F$3:$F$1084,'Individual Refineries'!$B$3:$B$1084,$A36,'Individual Refineries'!$D$3:$D$1084,"ISOM")</f>
        <v/>
      </c>
      <c r="P36" s="30">
        <f>SUMIFS('Individual Refineries'!$F$3:$F$1084,'Individual Refineries'!$B$3:$B$1084,$A36,'Individual Refineries'!$D$3:$D$1084,"ALKY")</f>
        <v/>
      </c>
      <c r="Q36" s="30">
        <f>SUMIFS('Individual Refineries'!$F$3:$F$1084,'Individual Refineries'!$B$3:$B$1084,$A36,'Individual Refineries'!$D$3:$D$1084,"NSPL")</f>
        <v/>
      </c>
      <c r="R36" s="30">
        <f>SUMIFS('Individual Refineries'!$F$3:$F$1084,'Individual Refineries'!$B$3:$B$1084,$A36,'Individual Refineries'!$D$3:$D$1084,"NHT")</f>
        <v/>
      </c>
    </row>
    <row r="37">
      <c r="A37" s="40" t="inlineStr">
        <is>
          <t>EXXONMOBIL_BEAUMONT</t>
        </is>
      </c>
      <c r="B37" s="28" t="inlineStr">
        <is>
          <t>ExxonMobil Beaumont</t>
        </is>
      </c>
      <c r="C37" s="28" t="n">
        <v>3</v>
      </c>
      <c r="D37" s="30">
        <f>SUMIFS(Data!$G$3:$G$125,Data!$A$3:$A$125,$A37)</f>
        <v/>
      </c>
      <c r="E37" s="30">
        <f>SUMIFS('Individual Refineries'!$F$3:$F$1084,'Individual Refineries'!$B$3:$B$1084,$A37,'Individual Refineries'!$D$3:$D$1084,"CDU")</f>
        <v/>
      </c>
      <c r="F37" s="30">
        <f>SUMIFS('Individual Refineries'!$F$3:$F$1084,'Individual Refineries'!$B$3:$B$1084,$A37,'Individual Refineries'!$D$3:$D$1084,"VDU")</f>
        <v/>
      </c>
      <c r="G37" s="30">
        <f>SUMIFS('Individual Refineries'!$F$3:$F$1084,'Individual Refineries'!$B$3:$B$1084,$A37,'Individual Refineries'!$D$3:$D$1084,"FCC")</f>
        <v/>
      </c>
      <c r="H37" s="30">
        <f>SUMIFS('Individual Refineries'!$F$3:$F$1084,'Individual Refineries'!$B$3:$B$1084,$A37,'Individual Refineries'!$D$3:$D$1084,"RCC")</f>
        <v/>
      </c>
      <c r="I37" s="30">
        <f>SUMIFS('Individual Refineries'!$F$3:$F$1084,'Individual Refineries'!$B$3:$B$1084,$A37,'Individual Refineries'!$D$3:$D$1084,"COKER")</f>
        <v/>
      </c>
      <c r="J37" s="30">
        <f>SUMIFS('Individual Refineries'!$F$3:$F$1084,'Individual Refineries'!$B$3:$B$1084,$A37,'Individual Refineries'!$D$3:$D$1084,"FCOKER")</f>
        <v/>
      </c>
      <c r="K37" s="30">
        <f>SUMIFS('Individual Refineries'!$F$3:$F$1084,'Individual Refineries'!$B$3:$B$1084,$A37,'Individual Refineries'!$D$3:$D$1084,"DHCU")</f>
        <v/>
      </c>
      <c r="L37" s="30">
        <f>SUMIFS('Individual Refineries'!$F$3:$F$1084,'Individual Refineries'!$B$3:$B$1084,$A37,'Individual Refineries'!$D$3:$D$1084,"RHCU")</f>
        <v/>
      </c>
      <c r="M37" s="30">
        <f>SUMIFS('Individual Refineries'!$F$3:$F$1084,'Individual Refineries'!$B$3:$B$1084,$A37,'Individual Refineries'!$D$3:$D$1084,"REF")</f>
        <v/>
      </c>
      <c r="N37" s="30">
        <f>SUMIFS('Individual Refineries'!$F$3:$F$1084,'Individual Refineries'!$B$3:$B$1084,$A37,'Individual Refineries'!$D$3:$D$1084,"CCR")</f>
        <v/>
      </c>
      <c r="O37" s="30">
        <f>SUMIFS('Individual Refineries'!$F$3:$F$1084,'Individual Refineries'!$B$3:$B$1084,$A37,'Individual Refineries'!$D$3:$D$1084,"ISOM")</f>
        <v/>
      </c>
      <c r="P37" s="30">
        <f>SUMIFS('Individual Refineries'!$F$3:$F$1084,'Individual Refineries'!$B$3:$B$1084,$A37,'Individual Refineries'!$D$3:$D$1084,"ALKY")</f>
        <v/>
      </c>
      <c r="Q37" s="30">
        <f>SUMIFS('Individual Refineries'!$F$3:$F$1084,'Individual Refineries'!$B$3:$B$1084,$A37,'Individual Refineries'!$D$3:$D$1084,"NSPL")</f>
        <v/>
      </c>
      <c r="R37" s="30">
        <f>SUMIFS('Individual Refineries'!$F$3:$F$1084,'Individual Refineries'!$B$3:$B$1084,$A37,'Individual Refineries'!$D$3:$D$1084,"NHT")</f>
        <v/>
      </c>
    </row>
    <row r="38">
      <c r="A38" s="40" t="inlineStr">
        <is>
          <t>MARATHON_GARYVILLE</t>
        </is>
      </c>
      <c r="B38" s="28" t="inlineStr">
        <is>
          <t>Marathon Petroleum Garyville</t>
        </is>
      </c>
      <c r="C38" s="28" t="n">
        <v>3</v>
      </c>
      <c r="D38" s="30">
        <f>SUMIFS(Data!$G$3:$G$125,Data!$A$3:$A$125,$A38)</f>
        <v/>
      </c>
      <c r="E38" s="30">
        <f>SUMIFS('Individual Refineries'!$F$3:$F$1084,'Individual Refineries'!$B$3:$B$1084,$A38,'Individual Refineries'!$D$3:$D$1084,"CDU")</f>
        <v/>
      </c>
      <c r="F38" s="30">
        <f>SUMIFS('Individual Refineries'!$F$3:$F$1084,'Individual Refineries'!$B$3:$B$1084,$A38,'Individual Refineries'!$D$3:$D$1084,"VDU")</f>
        <v/>
      </c>
      <c r="G38" s="30">
        <f>SUMIFS('Individual Refineries'!$F$3:$F$1084,'Individual Refineries'!$B$3:$B$1084,$A38,'Individual Refineries'!$D$3:$D$1084,"FCC")</f>
        <v/>
      </c>
      <c r="H38" s="30">
        <f>SUMIFS('Individual Refineries'!$F$3:$F$1084,'Individual Refineries'!$B$3:$B$1084,$A38,'Individual Refineries'!$D$3:$D$1084,"RCC")</f>
        <v/>
      </c>
      <c r="I38" s="30">
        <f>SUMIFS('Individual Refineries'!$F$3:$F$1084,'Individual Refineries'!$B$3:$B$1084,$A38,'Individual Refineries'!$D$3:$D$1084,"COKER")</f>
        <v/>
      </c>
      <c r="J38" s="30">
        <f>SUMIFS('Individual Refineries'!$F$3:$F$1084,'Individual Refineries'!$B$3:$B$1084,$A38,'Individual Refineries'!$D$3:$D$1084,"FCOKER")</f>
        <v/>
      </c>
      <c r="K38" s="30">
        <f>SUMIFS('Individual Refineries'!$F$3:$F$1084,'Individual Refineries'!$B$3:$B$1084,$A38,'Individual Refineries'!$D$3:$D$1084,"DHCU")</f>
        <v/>
      </c>
      <c r="L38" s="30">
        <f>SUMIFS('Individual Refineries'!$F$3:$F$1084,'Individual Refineries'!$B$3:$B$1084,$A38,'Individual Refineries'!$D$3:$D$1084,"RHCU")</f>
        <v/>
      </c>
      <c r="M38" s="30">
        <f>SUMIFS('Individual Refineries'!$F$3:$F$1084,'Individual Refineries'!$B$3:$B$1084,$A38,'Individual Refineries'!$D$3:$D$1084,"REF")</f>
        <v/>
      </c>
      <c r="N38" s="30">
        <f>SUMIFS('Individual Refineries'!$F$3:$F$1084,'Individual Refineries'!$B$3:$B$1084,$A38,'Individual Refineries'!$D$3:$D$1084,"CCR")</f>
        <v/>
      </c>
      <c r="O38" s="30">
        <f>SUMIFS('Individual Refineries'!$F$3:$F$1084,'Individual Refineries'!$B$3:$B$1084,$A38,'Individual Refineries'!$D$3:$D$1084,"ISOM")</f>
        <v/>
      </c>
      <c r="P38" s="30">
        <f>SUMIFS('Individual Refineries'!$F$3:$F$1084,'Individual Refineries'!$B$3:$B$1084,$A38,'Individual Refineries'!$D$3:$D$1084,"ALKY")</f>
        <v/>
      </c>
      <c r="Q38" s="30">
        <f>SUMIFS('Individual Refineries'!$F$3:$F$1084,'Individual Refineries'!$B$3:$B$1084,$A38,'Individual Refineries'!$D$3:$D$1084,"NSPL")</f>
        <v/>
      </c>
      <c r="R38" s="30">
        <f>SUMIFS('Individual Refineries'!$F$3:$F$1084,'Individual Refineries'!$B$3:$B$1084,$A38,'Individual Refineries'!$D$3:$D$1084,"NHT")</f>
        <v/>
      </c>
    </row>
    <row r="39">
      <c r="A39" s="40" t="inlineStr">
        <is>
          <t>XOM_BAYTOWN</t>
        </is>
      </c>
      <c r="B39" s="28" t="inlineStr">
        <is>
          <t>ExxonMobil Baytown</t>
        </is>
      </c>
      <c r="C39" s="28" t="n">
        <v>3</v>
      </c>
      <c r="D39" s="30">
        <f>SUMIFS(Data!$G$3:$G$125,Data!$A$3:$A$125,$A39)</f>
        <v/>
      </c>
      <c r="E39" s="30">
        <f>SUMIFS('Individual Refineries'!$F$3:$F$1084,'Individual Refineries'!$B$3:$B$1084,$A39,'Individual Refineries'!$D$3:$D$1084,"CDU")</f>
        <v/>
      </c>
      <c r="F39" s="30">
        <f>SUMIFS('Individual Refineries'!$F$3:$F$1084,'Individual Refineries'!$B$3:$B$1084,$A39,'Individual Refineries'!$D$3:$D$1084,"VDU")</f>
        <v/>
      </c>
      <c r="G39" s="30">
        <f>SUMIFS('Individual Refineries'!$F$3:$F$1084,'Individual Refineries'!$B$3:$B$1084,$A39,'Individual Refineries'!$D$3:$D$1084,"FCC")</f>
        <v/>
      </c>
      <c r="H39" s="30">
        <f>SUMIFS('Individual Refineries'!$F$3:$F$1084,'Individual Refineries'!$B$3:$B$1084,$A39,'Individual Refineries'!$D$3:$D$1084,"RCC")</f>
        <v/>
      </c>
      <c r="I39" s="30">
        <f>SUMIFS('Individual Refineries'!$F$3:$F$1084,'Individual Refineries'!$B$3:$B$1084,$A39,'Individual Refineries'!$D$3:$D$1084,"COKER")</f>
        <v/>
      </c>
      <c r="J39" s="30">
        <f>SUMIFS('Individual Refineries'!$F$3:$F$1084,'Individual Refineries'!$B$3:$B$1084,$A39,'Individual Refineries'!$D$3:$D$1084,"FCOKER")</f>
        <v/>
      </c>
      <c r="K39" s="30">
        <f>SUMIFS('Individual Refineries'!$F$3:$F$1084,'Individual Refineries'!$B$3:$B$1084,$A39,'Individual Refineries'!$D$3:$D$1084,"DHCU")</f>
        <v/>
      </c>
      <c r="L39" s="30">
        <f>SUMIFS('Individual Refineries'!$F$3:$F$1084,'Individual Refineries'!$B$3:$B$1084,$A39,'Individual Refineries'!$D$3:$D$1084,"RHCU")</f>
        <v/>
      </c>
      <c r="M39" s="30">
        <f>SUMIFS('Individual Refineries'!$F$3:$F$1084,'Individual Refineries'!$B$3:$B$1084,$A39,'Individual Refineries'!$D$3:$D$1084,"REF")</f>
        <v/>
      </c>
      <c r="N39" s="30">
        <f>SUMIFS('Individual Refineries'!$F$3:$F$1084,'Individual Refineries'!$B$3:$B$1084,$A39,'Individual Refineries'!$D$3:$D$1084,"CCR")</f>
        <v/>
      </c>
      <c r="O39" s="30">
        <f>SUMIFS('Individual Refineries'!$F$3:$F$1084,'Individual Refineries'!$B$3:$B$1084,$A39,'Individual Refineries'!$D$3:$D$1084,"ISOM")</f>
        <v/>
      </c>
      <c r="P39" s="30">
        <f>SUMIFS('Individual Refineries'!$F$3:$F$1084,'Individual Refineries'!$B$3:$B$1084,$A39,'Individual Refineries'!$D$3:$D$1084,"ALKY")</f>
        <v/>
      </c>
      <c r="Q39" s="30">
        <f>SUMIFS('Individual Refineries'!$F$3:$F$1084,'Individual Refineries'!$B$3:$B$1084,$A39,'Individual Refineries'!$D$3:$D$1084,"NSPL")</f>
        <v/>
      </c>
      <c r="R39" s="30">
        <f>SUMIFS('Individual Refineries'!$F$3:$F$1084,'Individual Refineries'!$B$3:$B$1084,$A39,'Individual Refineries'!$D$3:$D$1084,"NHT")</f>
        <v/>
      </c>
    </row>
    <row r="40">
      <c r="A40" s="40" t="inlineStr">
        <is>
          <t>EXXONMOBIL_BATON_ROUGE</t>
        </is>
      </c>
      <c r="B40" s="28" t="inlineStr">
        <is>
          <t>ExxonMobil Baton Rouge</t>
        </is>
      </c>
      <c r="C40" s="28" t="n">
        <v>3</v>
      </c>
      <c r="D40" s="30">
        <f>SUMIFS(Data!$G$3:$G$125,Data!$A$3:$A$125,$A40)</f>
        <v/>
      </c>
      <c r="E40" s="30">
        <f>SUMIFS('Individual Refineries'!$F$3:$F$1084,'Individual Refineries'!$B$3:$B$1084,$A40,'Individual Refineries'!$D$3:$D$1084,"CDU")</f>
        <v/>
      </c>
      <c r="F40" s="30">
        <f>SUMIFS('Individual Refineries'!$F$3:$F$1084,'Individual Refineries'!$B$3:$B$1084,$A40,'Individual Refineries'!$D$3:$D$1084,"VDU")</f>
        <v/>
      </c>
      <c r="G40" s="30">
        <f>SUMIFS('Individual Refineries'!$F$3:$F$1084,'Individual Refineries'!$B$3:$B$1084,$A40,'Individual Refineries'!$D$3:$D$1084,"FCC")</f>
        <v/>
      </c>
      <c r="H40" s="30">
        <f>SUMIFS('Individual Refineries'!$F$3:$F$1084,'Individual Refineries'!$B$3:$B$1084,$A40,'Individual Refineries'!$D$3:$D$1084,"RCC")</f>
        <v/>
      </c>
      <c r="I40" s="30">
        <f>SUMIFS('Individual Refineries'!$F$3:$F$1084,'Individual Refineries'!$B$3:$B$1084,$A40,'Individual Refineries'!$D$3:$D$1084,"COKER")</f>
        <v/>
      </c>
      <c r="J40" s="30">
        <f>SUMIFS('Individual Refineries'!$F$3:$F$1084,'Individual Refineries'!$B$3:$B$1084,$A40,'Individual Refineries'!$D$3:$D$1084,"FCOKER")</f>
        <v/>
      </c>
      <c r="K40" s="30">
        <f>SUMIFS('Individual Refineries'!$F$3:$F$1084,'Individual Refineries'!$B$3:$B$1084,$A40,'Individual Refineries'!$D$3:$D$1084,"DHCU")</f>
        <v/>
      </c>
      <c r="L40" s="30">
        <f>SUMIFS('Individual Refineries'!$F$3:$F$1084,'Individual Refineries'!$B$3:$B$1084,$A40,'Individual Refineries'!$D$3:$D$1084,"RHCU")</f>
        <v/>
      </c>
      <c r="M40" s="30">
        <f>SUMIFS('Individual Refineries'!$F$3:$F$1084,'Individual Refineries'!$B$3:$B$1084,$A40,'Individual Refineries'!$D$3:$D$1084,"REF")</f>
        <v/>
      </c>
      <c r="N40" s="30">
        <f>SUMIFS('Individual Refineries'!$F$3:$F$1084,'Individual Refineries'!$B$3:$B$1084,$A40,'Individual Refineries'!$D$3:$D$1084,"CCR")</f>
        <v/>
      </c>
      <c r="O40" s="30">
        <f>SUMIFS('Individual Refineries'!$F$3:$F$1084,'Individual Refineries'!$B$3:$B$1084,$A40,'Individual Refineries'!$D$3:$D$1084,"ISOM")</f>
        <v/>
      </c>
      <c r="P40" s="30">
        <f>SUMIFS('Individual Refineries'!$F$3:$F$1084,'Individual Refineries'!$B$3:$B$1084,$A40,'Individual Refineries'!$D$3:$D$1084,"ALKY")</f>
        <v/>
      </c>
      <c r="Q40" s="30">
        <f>SUMIFS('Individual Refineries'!$F$3:$F$1084,'Individual Refineries'!$B$3:$B$1084,$A40,'Individual Refineries'!$D$3:$D$1084,"NSPL")</f>
        <v/>
      </c>
      <c r="R40" s="30">
        <f>SUMIFS('Individual Refineries'!$F$3:$F$1084,'Individual Refineries'!$B$3:$B$1084,$A40,'Individual Refineries'!$D$3:$D$1084,"NHT")</f>
        <v/>
      </c>
    </row>
    <row r="41">
      <c r="A41" s="40" t="inlineStr">
        <is>
          <t>CITGO_LAKE_CHARLES</t>
        </is>
      </c>
      <c r="B41" s="28" t="inlineStr">
        <is>
          <t>Citgo Lake Charles</t>
        </is>
      </c>
      <c r="C41" s="28" t="n">
        <v>3</v>
      </c>
      <c r="D41" s="30">
        <f>SUMIFS(Data!$G$3:$G$125,Data!$A$3:$A$125,$A41)</f>
        <v/>
      </c>
      <c r="E41" s="30">
        <f>SUMIFS('Individual Refineries'!$F$3:$F$1084,'Individual Refineries'!$B$3:$B$1084,$A41,'Individual Refineries'!$D$3:$D$1084,"CDU")</f>
        <v/>
      </c>
      <c r="F41" s="30">
        <f>SUMIFS('Individual Refineries'!$F$3:$F$1084,'Individual Refineries'!$B$3:$B$1084,$A41,'Individual Refineries'!$D$3:$D$1084,"VDU")</f>
        <v/>
      </c>
      <c r="G41" s="30">
        <f>SUMIFS('Individual Refineries'!$F$3:$F$1084,'Individual Refineries'!$B$3:$B$1084,$A41,'Individual Refineries'!$D$3:$D$1084,"FCC")</f>
        <v/>
      </c>
      <c r="H41" s="30">
        <f>SUMIFS('Individual Refineries'!$F$3:$F$1084,'Individual Refineries'!$B$3:$B$1084,$A41,'Individual Refineries'!$D$3:$D$1084,"RCC")</f>
        <v/>
      </c>
      <c r="I41" s="30">
        <f>SUMIFS('Individual Refineries'!$F$3:$F$1084,'Individual Refineries'!$B$3:$B$1084,$A41,'Individual Refineries'!$D$3:$D$1084,"COKER")</f>
        <v/>
      </c>
      <c r="J41" s="30">
        <f>SUMIFS('Individual Refineries'!$F$3:$F$1084,'Individual Refineries'!$B$3:$B$1084,$A41,'Individual Refineries'!$D$3:$D$1084,"FCOKER")</f>
        <v/>
      </c>
      <c r="K41" s="30">
        <f>SUMIFS('Individual Refineries'!$F$3:$F$1084,'Individual Refineries'!$B$3:$B$1084,$A41,'Individual Refineries'!$D$3:$D$1084,"DHCU")</f>
        <v/>
      </c>
      <c r="L41" s="30">
        <f>SUMIFS('Individual Refineries'!$F$3:$F$1084,'Individual Refineries'!$B$3:$B$1084,$A41,'Individual Refineries'!$D$3:$D$1084,"RHCU")</f>
        <v/>
      </c>
      <c r="M41" s="30">
        <f>SUMIFS('Individual Refineries'!$F$3:$F$1084,'Individual Refineries'!$B$3:$B$1084,$A41,'Individual Refineries'!$D$3:$D$1084,"REF")</f>
        <v/>
      </c>
      <c r="N41" s="30">
        <f>SUMIFS('Individual Refineries'!$F$3:$F$1084,'Individual Refineries'!$B$3:$B$1084,$A41,'Individual Refineries'!$D$3:$D$1084,"CCR")</f>
        <v/>
      </c>
      <c r="O41" s="30">
        <f>SUMIFS('Individual Refineries'!$F$3:$F$1084,'Individual Refineries'!$B$3:$B$1084,$A41,'Individual Refineries'!$D$3:$D$1084,"ISOM")</f>
        <v/>
      </c>
      <c r="P41" s="30">
        <f>SUMIFS('Individual Refineries'!$F$3:$F$1084,'Individual Refineries'!$B$3:$B$1084,$A41,'Individual Refineries'!$D$3:$D$1084,"ALKY")</f>
        <v/>
      </c>
      <c r="Q41" s="30">
        <f>SUMIFS('Individual Refineries'!$F$3:$F$1084,'Individual Refineries'!$B$3:$B$1084,$A41,'Individual Refineries'!$D$3:$D$1084,"NSPL")</f>
        <v/>
      </c>
      <c r="R41" s="30">
        <f>SUMIFS('Individual Refineries'!$F$3:$F$1084,'Individual Refineries'!$B$3:$B$1084,$A41,'Individual Refineries'!$D$3:$D$1084,"NHT")</f>
        <v/>
      </c>
    </row>
    <row r="42">
      <c r="A42" s="40" t="inlineStr">
        <is>
          <t>VALERO_PORT_ARTHUR</t>
        </is>
      </c>
      <c r="B42" s="28" t="inlineStr">
        <is>
          <t>Valero Port Arthur</t>
        </is>
      </c>
      <c r="C42" s="28" t="n">
        <v>3</v>
      </c>
      <c r="D42" s="30">
        <f>SUMIFS(Data!$G$3:$G$125,Data!$A$3:$A$125,$A42)</f>
        <v/>
      </c>
      <c r="E42" s="30">
        <f>SUMIFS('Individual Refineries'!$F$3:$F$1084,'Individual Refineries'!$B$3:$B$1084,$A42,'Individual Refineries'!$D$3:$D$1084,"CDU")</f>
        <v/>
      </c>
      <c r="F42" s="30">
        <f>SUMIFS('Individual Refineries'!$F$3:$F$1084,'Individual Refineries'!$B$3:$B$1084,$A42,'Individual Refineries'!$D$3:$D$1084,"VDU")</f>
        <v/>
      </c>
      <c r="G42" s="30">
        <f>SUMIFS('Individual Refineries'!$F$3:$F$1084,'Individual Refineries'!$B$3:$B$1084,$A42,'Individual Refineries'!$D$3:$D$1084,"FCC")</f>
        <v/>
      </c>
      <c r="H42" s="30">
        <f>SUMIFS('Individual Refineries'!$F$3:$F$1084,'Individual Refineries'!$B$3:$B$1084,$A42,'Individual Refineries'!$D$3:$D$1084,"RCC")</f>
        <v/>
      </c>
      <c r="I42" s="30">
        <f>SUMIFS('Individual Refineries'!$F$3:$F$1084,'Individual Refineries'!$B$3:$B$1084,$A42,'Individual Refineries'!$D$3:$D$1084,"COKER")</f>
        <v/>
      </c>
      <c r="J42" s="30">
        <f>SUMIFS('Individual Refineries'!$F$3:$F$1084,'Individual Refineries'!$B$3:$B$1084,$A42,'Individual Refineries'!$D$3:$D$1084,"FCOKER")</f>
        <v/>
      </c>
      <c r="K42" s="30">
        <f>SUMIFS('Individual Refineries'!$F$3:$F$1084,'Individual Refineries'!$B$3:$B$1084,$A42,'Individual Refineries'!$D$3:$D$1084,"DHCU")</f>
        <v/>
      </c>
      <c r="L42" s="30">
        <f>SUMIFS('Individual Refineries'!$F$3:$F$1084,'Individual Refineries'!$B$3:$B$1084,$A42,'Individual Refineries'!$D$3:$D$1084,"RHCU")</f>
        <v/>
      </c>
      <c r="M42" s="30">
        <f>SUMIFS('Individual Refineries'!$F$3:$F$1084,'Individual Refineries'!$B$3:$B$1084,$A42,'Individual Refineries'!$D$3:$D$1084,"REF")</f>
        <v/>
      </c>
      <c r="N42" s="30">
        <f>SUMIFS('Individual Refineries'!$F$3:$F$1084,'Individual Refineries'!$B$3:$B$1084,$A42,'Individual Refineries'!$D$3:$D$1084,"CCR")</f>
        <v/>
      </c>
      <c r="O42" s="30">
        <f>SUMIFS('Individual Refineries'!$F$3:$F$1084,'Individual Refineries'!$B$3:$B$1084,$A42,'Individual Refineries'!$D$3:$D$1084,"ISOM")</f>
        <v/>
      </c>
      <c r="P42" s="30">
        <f>SUMIFS('Individual Refineries'!$F$3:$F$1084,'Individual Refineries'!$B$3:$B$1084,$A42,'Individual Refineries'!$D$3:$D$1084,"ALKY")</f>
        <v/>
      </c>
      <c r="Q42" s="30">
        <f>SUMIFS('Individual Refineries'!$F$3:$F$1084,'Individual Refineries'!$B$3:$B$1084,$A42,'Individual Refineries'!$D$3:$D$1084,"NSPL")</f>
        <v/>
      </c>
      <c r="R42" s="30">
        <f>SUMIFS('Individual Refineries'!$F$3:$F$1084,'Individual Refineries'!$B$3:$B$1084,$A42,'Individual Refineries'!$D$3:$D$1084,"NHT")</f>
        <v/>
      </c>
    </row>
    <row r="43">
      <c r="A43" s="40" t="inlineStr">
        <is>
          <t>CHEVRON_PASCAGOULA</t>
        </is>
      </c>
      <c r="B43" s="28" t="inlineStr">
        <is>
          <t>Chevron Pascagoula</t>
        </is>
      </c>
      <c r="C43" s="28" t="n">
        <v>3</v>
      </c>
      <c r="D43" s="30">
        <f>SUMIFS(Data!$G$3:$G$125,Data!$A$3:$A$125,$A43)</f>
        <v/>
      </c>
      <c r="E43" s="30">
        <f>SUMIFS('Individual Refineries'!$F$3:$F$1084,'Individual Refineries'!$B$3:$B$1084,$A43,'Individual Refineries'!$D$3:$D$1084,"CDU")</f>
        <v/>
      </c>
      <c r="F43" s="30">
        <f>SUMIFS('Individual Refineries'!$F$3:$F$1084,'Individual Refineries'!$B$3:$B$1084,$A43,'Individual Refineries'!$D$3:$D$1084,"VDU")</f>
        <v/>
      </c>
      <c r="G43" s="30">
        <f>SUMIFS('Individual Refineries'!$F$3:$F$1084,'Individual Refineries'!$B$3:$B$1084,$A43,'Individual Refineries'!$D$3:$D$1084,"FCC")</f>
        <v/>
      </c>
      <c r="H43" s="30">
        <f>SUMIFS('Individual Refineries'!$F$3:$F$1084,'Individual Refineries'!$B$3:$B$1084,$A43,'Individual Refineries'!$D$3:$D$1084,"RCC")</f>
        <v/>
      </c>
      <c r="I43" s="30">
        <f>SUMIFS('Individual Refineries'!$F$3:$F$1084,'Individual Refineries'!$B$3:$B$1084,$A43,'Individual Refineries'!$D$3:$D$1084,"COKER")</f>
        <v/>
      </c>
      <c r="J43" s="30">
        <f>SUMIFS('Individual Refineries'!$F$3:$F$1084,'Individual Refineries'!$B$3:$B$1084,$A43,'Individual Refineries'!$D$3:$D$1084,"FCOKER")</f>
        <v/>
      </c>
      <c r="K43" s="30">
        <f>SUMIFS('Individual Refineries'!$F$3:$F$1084,'Individual Refineries'!$B$3:$B$1084,$A43,'Individual Refineries'!$D$3:$D$1084,"DHCU")</f>
        <v/>
      </c>
      <c r="L43" s="30">
        <f>SUMIFS('Individual Refineries'!$F$3:$F$1084,'Individual Refineries'!$B$3:$B$1084,$A43,'Individual Refineries'!$D$3:$D$1084,"RHCU")</f>
        <v/>
      </c>
      <c r="M43" s="30">
        <f>SUMIFS('Individual Refineries'!$F$3:$F$1084,'Individual Refineries'!$B$3:$B$1084,$A43,'Individual Refineries'!$D$3:$D$1084,"REF")</f>
        <v/>
      </c>
      <c r="N43" s="30">
        <f>SUMIFS('Individual Refineries'!$F$3:$F$1084,'Individual Refineries'!$B$3:$B$1084,$A43,'Individual Refineries'!$D$3:$D$1084,"CCR")</f>
        <v/>
      </c>
      <c r="O43" s="30">
        <f>SUMIFS('Individual Refineries'!$F$3:$F$1084,'Individual Refineries'!$B$3:$B$1084,$A43,'Individual Refineries'!$D$3:$D$1084,"ISOM")</f>
        <v/>
      </c>
      <c r="P43" s="30">
        <f>SUMIFS('Individual Refineries'!$F$3:$F$1084,'Individual Refineries'!$B$3:$B$1084,$A43,'Individual Refineries'!$D$3:$D$1084,"ALKY")</f>
        <v/>
      </c>
      <c r="Q43" s="30">
        <f>SUMIFS('Individual Refineries'!$F$3:$F$1084,'Individual Refineries'!$B$3:$B$1084,$A43,'Individual Refineries'!$D$3:$D$1084,"NSPL")</f>
        <v/>
      </c>
      <c r="R43" s="30">
        <f>SUMIFS('Individual Refineries'!$F$3:$F$1084,'Individual Refineries'!$B$3:$B$1084,$A43,'Individual Refineries'!$D$3:$D$1084,"NHT")</f>
        <v/>
      </c>
    </row>
    <row r="44">
      <c r="A44" s="40" t="inlineStr">
        <is>
          <t>PEMEX_DEER_PARK</t>
        </is>
      </c>
      <c r="B44" s="28" t="inlineStr">
        <is>
          <t>PEMEX Deer Park</t>
        </is>
      </c>
      <c r="C44" s="28" t="n">
        <v>3</v>
      </c>
      <c r="D44" s="30">
        <f>SUMIFS(Data!$G$3:$G$125,Data!$A$3:$A$125,$A44)</f>
        <v/>
      </c>
      <c r="E44" s="30">
        <f>SUMIFS('Individual Refineries'!$F$3:$F$1084,'Individual Refineries'!$B$3:$B$1084,$A44,'Individual Refineries'!$D$3:$D$1084,"CDU")</f>
        <v/>
      </c>
      <c r="F44" s="30">
        <f>SUMIFS('Individual Refineries'!$F$3:$F$1084,'Individual Refineries'!$B$3:$B$1084,$A44,'Individual Refineries'!$D$3:$D$1084,"VDU")</f>
        <v/>
      </c>
      <c r="G44" s="30">
        <f>SUMIFS('Individual Refineries'!$F$3:$F$1084,'Individual Refineries'!$B$3:$B$1084,$A44,'Individual Refineries'!$D$3:$D$1084,"FCC")</f>
        <v/>
      </c>
      <c r="H44" s="30">
        <f>SUMIFS('Individual Refineries'!$F$3:$F$1084,'Individual Refineries'!$B$3:$B$1084,$A44,'Individual Refineries'!$D$3:$D$1084,"RCC")</f>
        <v/>
      </c>
      <c r="I44" s="30">
        <f>SUMIFS('Individual Refineries'!$F$3:$F$1084,'Individual Refineries'!$B$3:$B$1084,$A44,'Individual Refineries'!$D$3:$D$1084,"COKER")</f>
        <v/>
      </c>
      <c r="J44" s="30">
        <f>SUMIFS('Individual Refineries'!$F$3:$F$1084,'Individual Refineries'!$B$3:$B$1084,$A44,'Individual Refineries'!$D$3:$D$1084,"FCOKER")</f>
        <v/>
      </c>
      <c r="K44" s="30">
        <f>SUMIFS('Individual Refineries'!$F$3:$F$1084,'Individual Refineries'!$B$3:$B$1084,$A44,'Individual Refineries'!$D$3:$D$1084,"DHCU")</f>
        <v/>
      </c>
      <c r="L44" s="30">
        <f>SUMIFS('Individual Refineries'!$F$3:$F$1084,'Individual Refineries'!$B$3:$B$1084,$A44,'Individual Refineries'!$D$3:$D$1084,"RHCU")</f>
        <v/>
      </c>
      <c r="M44" s="30">
        <f>SUMIFS('Individual Refineries'!$F$3:$F$1084,'Individual Refineries'!$B$3:$B$1084,$A44,'Individual Refineries'!$D$3:$D$1084,"REF")</f>
        <v/>
      </c>
      <c r="N44" s="30">
        <f>SUMIFS('Individual Refineries'!$F$3:$F$1084,'Individual Refineries'!$B$3:$B$1084,$A44,'Individual Refineries'!$D$3:$D$1084,"CCR")</f>
        <v/>
      </c>
      <c r="O44" s="30">
        <f>SUMIFS('Individual Refineries'!$F$3:$F$1084,'Individual Refineries'!$B$3:$B$1084,$A44,'Individual Refineries'!$D$3:$D$1084,"ISOM")</f>
        <v/>
      </c>
      <c r="P44" s="30">
        <f>SUMIFS('Individual Refineries'!$F$3:$F$1084,'Individual Refineries'!$B$3:$B$1084,$A44,'Individual Refineries'!$D$3:$D$1084,"ALKY")</f>
        <v/>
      </c>
      <c r="Q44" s="30">
        <f>SUMIFS('Individual Refineries'!$F$3:$F$1084,'Individual Refineries'!$B$3:$B$1084,$A44,'Individual Refineries'!$D$3:$D$1084,"NSPL")</f>
        <v/>
      </c>
      <c r="R44" s="30">
        <f>SUMIFS('Individual Refineries'!$F$3:$F$1084,'Individual Refineries'!$B$3:$B$1084,$A44,'Individual Refineries'!$D$3:$D$1084,"NHT")</f>
        <v/>
      </c>
    </row>
    <row r="45">
      <c r="A45" s="40" t="inlineStr">
        <is>
          <t>FLINT_CORPUS_CHRISTI</t>
        </is>
      </c>
      <c r="B45" s="28" t="inlineStr">
        <is>
          <t>Flint Hills Resources Corpus Christi</t>
        </is>
      </c>
      <c r="C45" s="28" t="n">
        <v>3</v>
      </c>
      <c r="D45" s="30">
        <f>SUMIFS(Data!$G$3:$G$125,Data!$A$3:$A$125,$A45)</f>
        <v/>
      </c>
      <c r="E45" s="30">
        <f>SUMIFS('Individual Refineries'!$F$3:$F$1084,'Individual Refineries'!$B$3:$B$1084,$A45,'Individual Refineries'!$D$3:$D$1084,"CDU")</f>
        <v/>
      </c>
      <c r="F45" s="30">
        <f>SUMIFS('Individual Refineries'!$F$3:$F$1084,'Individual Refineries'!$B$3:$B$1084,$A45,'Individual Refineries'!$D$3:$D$1084,"VDU")</f>
        <v/>
      </c>
      <c r="G45" s="30">
        <f>SUMIFS('Individual Refineries'!$F$3:$F$1084,'Individual Refineries'!$B$3:$B$1084,$A45,'Individual Refineries'!$D$3:$D$1084,"FCC")</f>
        <v/>
      </c>
      <c r="H45" s="30">
        <f>SUMIFS('Individual Refineries'!$F$3:$F$1084,'Individual Refineries'!$B$3:$B$1084,$A45,'Individual Refineries'!$D$3:$D$1084,"RCC")</f>
        <v/>
      </c>
      <c r="I45" s="30">
        <f>SUMIFS('Individual Refineries'!$F$3:$F$1084,'Individual Refineries'!$B$3:$B$1084,$A45,'Individual Refineries'!$D$3:$D$1084,"COKER")</f>
        <v/>
      </c>
      <c r="J45" s="30">
        <f>SUMIFS('Individual Refineries'!$F$3:$F$1084,'Individual Refineries'!$B$3:$B$1084,$A45,'Individual Refineries'!$D$3:$D$1084,"FCOKER")</f>
        <v/>
      </c>
      <c r="K45" s="30">
        <f>SUMIFS('Individual Refineries'!$F$3:$F$1084,'Individual Refineries'!$B$3:$B$1084,$A45,'Individual Refineries'!$D$3:$D$1084,"DHCU")</f>
        <v/>
      </c>
      <c r="L45" s="30">
        <f>SUMIFS('Individual Refineries'!$F$3:$F$1084,'Individual Refineries'!$B$3:$B$1084,$A45,'Individual Refineries'!$D$3:$D$1084,"RHCU")</f>
        <v/>
      </c>
      <c r="M45" s="30">
        <f>SUMIFS('Individual Refineries'!$F$3:$F$1084,'Individual Refineries'!$B$3:$B$1084,$A45,'Individual Refineries'!$D$3:$D$1084,"REF")</f>
        <v/>
      </c>
      <c r="N45" s="30">
        <f>SUMIFS('Individual Refineries'!$F$3:$F$1084,'Individual Refineries'!$B$3:$B$1084,$A45,'Individual Refineries'!$D$3:$D$1084,"CCR")</f>
        <v/>
      </c>
      <c r="O45" s="30">
        <f>SUMIFS('Individual Refineries'!$F$3:$F$1084,'Individual Refineries'!$B$3:$B$1084,$A45,'Individual Refineries'!$D$3:$D$1084,"ISOM")</f>
        <v/>
      </c>
      <c r="P45" s="30">
        <f>SUMIFS('Individual Refineries'!$F$3:$F$1084,'Individual Refineries'!$B$3:$B$1084,$A45,'Individual Refineries'!$D$3:$D$1084,"ALKY")</f>
        <v/>
      </c>
      <c r="Q45" s="30">
        <f>SUMIFS('Individual Refineries'!$F$3:$F$1084,'Individual Refineries'!$B$3:$B$1084,$A45,'Individual Refineries'!$D$3:$D$1084,"NSPL")</f>
        <v/>
      </c>
      <c r="R45" s="30">
        <f>SUMIFS('Individual Refineries'!$F$3:$F$1084,'Individual Refineries'!$B$3:$B$1084,$A45,'Individual Refineries'!$D$3:$D$1084,"NHT")</f>
        <v/>
      </c>
    </row>
    <row r="46">
      <c r="A46" s="40" t="inlineStr">
        <is>
          <t>VALERO_CORPUS_CHRISTI</t>
        </is>
      </c>
      <c r="B46" s="28" t="inlineStr">
        <is>
          <t>Valero Corpus Christi</t>
        </is>
      </c>
      <c r="C46" s="28" t="n">
        <v>3</v>
      </c>
      <c r="D46" s="30">
        <f>SUMIFS(Data!$G$3:$G$125,Data!$A$3:$A$125,$A46)</f>
        <v/>
      </c>
      <c r="E46" s="30">
        <f>SUMIFS('Individual Refineries'!$F$3:$F$1084,'Individual Refineries'!$B$3:$B$1084,$A46,'Individual Refineries'!$D$3:$D$1084,"CDU")</f>
        <v/>
      </c>
      <c r="F46" s="30">
        <f>SUMIFS('Individual Refineries'!$F$3:$F$1084,'Individual Refineries'!$B$3:$B$1084,$A46,'Individual Refineries'!$D$3:$D$1084,"VDU")</f>
        <v/>
      </c>
      <c r="G46" s="30">
        <f>SUMIFS('Individual Refineries'!$F$3:$F$1084,'Individual Refineries'!$B$3:$B$1084,$A46,'Individual Refineries'!$D$3:$D$1084,"FCC")</f>
        <v/>
      </c>
      <c r="H46" s="30">
        <f>SUMIFS('Individual Refineries'!$F$3:$F$1084,'Individual Refineries'!$B$3:$B$1084,$A46,'Individual Refineries'!$D$3:$D$1084,"RCC")</f>
        <v/>
      </c>
      <c r="I46" s="30">
        <f>SUMIFS('Individual Refineries'!$F$3:$F$1084,'Individual Refineries'!$B$3:$B$1084,$A46,'Individual Refineries'!$D$3:$D$1084,"COKER")</f>
        <v/>
      </c>
      <c r="J46" s="30">
        <f>SUMIFS('Individual Refineries'!$F$3:$F$1084,'Individual Refineries'!$B$3:$B$1084,$A46,'Individual Refineries'!$D$3:$D$1084,"FCOKER")</f>
        <v/>
      </c>
      <c r="K46" s="30">
        <f>SUMIFS('Individual Refineries'!$F$3:$F$1084,'Individual Refineries'!$B$3:$B$1084,$A46,'Individual Refineries'!$D$3:$D$1084,"DHCU")</f>
        <v/>
      </c>
      <c r="L46" s="30">
        <f>SUMIFS('Individual Refineries'!$F$3:$F$1084,'Individual Refineries'!$B$3:$B$1084,$A46,'Individual Refineries'!$D$3:$D$1084,"RHCU")</f>
        <v/>
      </c>
      <c r="M46" s="30">
        <f>SUMIFS('Individual Refineries'!$F$3:$F$1084,'Individual Refineries'!$B$3:$B$1084,$A46,'Individual Refineries'!$D$3:$D$1084,"REF")</f>
        <v/>
      </c>
      <c r="N46" s="30">
        <f>SUMIFS('Individual Refineries'!$F$3:$F$1084,'Individual Refineries'!$B$3:$B$1084,$A46,'Individual Refineries'!$D$3:$D$1084,"CCR")</f>
        <v/>
      </c>
      <c r="O46" s="30">
        <f>SUMIFS('Individual Refineries'!$F$3:$F$1084,'Individual Refineries'!$B$3:$B$1084,$A46,'Individual Refineries'!$D$3:$D$1084,"ISOM")</f>
        <v/>
      </c>
      <c r="P46" s="30">
        <f>SUMIFS('Individual Refineries'!$F$3:$F$1084,'Individual Refineries'!$B$3:$B$1084,$A46,'Individual Refineries'!$D$3:$D$1084,"ALKY")</f>
        <v/>
      </c>
      <c r="Q46" s="30">
        <f>SUMIFS('Individual Refineries'!$F$3:$F$1084,'Individual Refineries'!$B$3:$B$1084,$A46,'Individual Refineries'!$D$3:$D$1084,"NSPL")</f>
        <v/>
      </c>
      <c r="R46" s="30">
        <f>SUMIFS('Individual Refineries'!$F$3:$F$1084,'Individual Refineries'!$B$3:$B$1084,$A46,'Individual Refineries'!$D$3:$D$1084,"NHT")</f>
        <v/>
      </c>
    </row>
    <row r="47">
      <c r="A47" s="40" t="inlineStr">
        <is>
          <t>PHILLIPS_WESTLAKE</t>
        </is>
      </c>
      <c r="B47" s="28" t="inlineStr">
        <is>
          <t>Phillips 66 Co. Westlake</t>
        </is>
      </c>
      <c r="C47" s="28" t="n">
        <v>3</v>
      </c>
      <c r="D47" s="30">
        <f>SUMIFS(Data!$G$3:$G$125,Data!$A$3:$A$125,$A47)</f>
        <v/>
      </c>
      <c r="E47" s="30">
        <f>SUMIFS('Individual Refineries'!$F$3:$F$1084,'Individual Refineries'!$B$3:$B$1084,$A47,'Individual Refineries'!$D$3:$D$1084,"CDU")</f>
        <v/>
      </c>
      <c r="F47" s="30">
        <f>SUMIFS('Individual Refineries'!$F$3:$F$1084,'Individual Refineries'!$B$3:$B$1084,$A47,'Individual Refineries'!$D$3:$D$1084,"VDU")</f>
        <v/>
      </c>
      <c r="G47" s="30">
        <f>SUMIFS('Individual Refineries'!$F$3:$F$1084,'Individual Refineries'!$B$3:$B$1084,$A47,'Individual Refineries'!$D$3:$D$1084,"FCC")</f>
        <v/>
      </c>
      <c r="H47" s="30">
        <f>SUMIFS('Individual Refineries'!$F$3:$F$1084,'Individual Refineries'!$B$3:$B$1084,$A47,'Individual Refineries'!$D$3:$D$1084,"RCC")</f>
        <v/>
      </c>
      <c r="I47" s="30">
        <f>SUMIFS('Individual Refineries'!$F$3:$F$1084,'Individual Refineries'!$B$3:$B$1084,$A47,'Individual Refineries'!$D$3:$D$1084,"COKER")</f>
        <v/>
      </c>
      <c r="J47" s="30">
        <f>SUMIFS('Individual Refineries'!$F$3:$F$1084,'Individual Refineries'!$B$3:$B$1084,$A47,'Individual Refineries'!$D$3:$D$1084,"FCOKER")</f>
        <v/>
      </c>
      <c r="K47" s="30">
        <f>SUMIFS('Individual Refineries'!$F$3:$F$1084,'Individual Refineries'!$B$3:$B$1084,$A47,'Individual Refineries'!$D$3:$D$1084,"DHCU")</f>
        <v/>
      </c>
      <c r="L47" s="30">
        <f>SUMIFS('Individual Refineries'!$F$3:$F$1084,'Individual Refineries'!$B$3:$B$1084,$A47,'Individual Refineries'!$D$3:$D$1084,"RHCU")</f>
        <v/>
      </c>
      <c r="M47" s="30">
        <f>SUMIFS('Individual Refineries'!$F$3:$F$1084,'Individual Refineries'!$B$3:$B$1084,$A47,'Individual Refineries'!$D$3:$D$1084,"REF")</f>
        <v/>
      </c>
      <c r="N47" s="30">
        <f>SUMIFS('Individual Refineries'!$F$3:$F$1084,'Individual Refineries'!$B$3:$B$1084,$A47,'Individual Refineries'!$D$3:$D$1084,"CCR")</f>
        <v/>
      </c>
      <c r="O47" s="30">
        <f>SUMIFS('Individual Refineries'!$F$3:$F$1084,'Individual Refineries'!$B$3:$B$1084,$A47,'Individual Refineries'!$D$3:$D$1084,"ISOM")</f>
        <v/>
      </c>
      <c r="P47" s="30">
        <f>SUMIFS('Individual Refineries'!$F$3:$F$1084,'Individual Refineries'!$B$3:$B$1084,$A47,'Individual Refineries'!$D$3:$D$1084,"ALKY")</f>
        <v/>
      </c>
      <c r="Q47" s="30">
        <f>SUMIFS('Individual Refineries'!$F$3:$F$1084,'Individual Refineries'!$B$3:$B$1084,$A47,'Individual Refineries'!$D$3:$D$1084,"NSPL")</f>
        <v/>
      </c>
      <c r="R47" s="30">
        <f>SUMIFS('Individual Refineries'!$F$3:$F$1084,'Individual Refineries'!$B$3:$B$1084,$A47,'Individual Refineries'!$D$3:$D$1084,"NHT")</f>
        <v/>
      </c>
    </row>
    <row r="48">
      <c r="A48" s="40" t="inlineStr">
        <is>
          <t>PHILLIPS_SWEENY</t>
        </is>
      </c>
      <c r="B48" s="28" t="inlineStr">
        <is>
          <t>Phillips 66 Co. Sweeny</t>
        </is>
      </c>
      <c r="C48" s="28" t="n">
        <v>3</v>
      </c>
      <c r="D48" s="30">
        <f>SUMIFS(Data!$G$3:$G$125,Data!$A$3:$A$125,$A48)</f>
        <v/>
      </c>
      <c r="E48" s="30">
        <f>SUMIFS('Individual Refineries'!$F$3:$F$1084,'Individual Refineries'!$B$3:$B$1084,$A48,'Individual Refineries'!$D$3:$D$1084,"CDU")</f>
        <v/>
      </c>
      <c r="F48" s="30">
        <f>SUMIFS('Individual Refineries'!$F$3:$F$1084,'Individual Refineries'!$B$3:$B$1084,$A48,'Individual Refineries'!$D$3:$D$1084,"VDU")</f>
        <v/>
      </c>
      <c r="G48" s="30">
        <f>SUMIFS('Individual Refineries'!$F$3:$F$1084,'Individual Refineries'!$B$3:$B$1084,$A48,'Individual Refineries'!$D$3:$D$1084,"FCC")</f>
        <v/>
      </c>
      <c r="H48" s="30">
        <f>SUMIFS('Individual Refineries'!$F$3:$F$1084,'Individual Refineries'!$B$3:$B$1084,$A48,'Individual Refineries'!$D$3:$D$1084,"RCC")</f>
        <v/>
      </c>
      <c r="I48" s="30">
        <f>SUMIFS('Individual Refineries'!$F$3:$F$1084,'Individual Refineries'!$B$3:$B$1084,$A48,'Individual Refineries'!$D$3:$D$1084,"COKER")</f>
        <v/>
      </c>
      <c r="J48" s="30">
        <f>SUMIFS('Individual Refineries'!$F$3:$F$1084,'Individual Refineries'!$B$3:$B$1084,$A48,'Individual Refineries'!$D$3:$D$1084,"FCOKER")</f>
        <v/>
      </c>
      <c r="K48" s="30">
        <f>SUMIFS('Individual Refineries'!$F$3:$F$1084,'Individual Refineries'!$B$3:$B$1084,$A48,'Individual Refineries'!$D$3:$D$1084,"DHCU")</f>
        <v/>
      </c>
      <c r="L48" s="30">
        <f>SUMIFS('Individual Refineries'!$F$3:$F$1084,'Individual Refineries'!$B$3:$B$1084,$A48,'Individual Refineries'!$D$3:$D$1084,"RHCU")</f>
        <v/>
      </c>
      <c r="M48" s="30">
        <f>SUMIFS('Individual Refineries'!$F$3:$F$1084,'Individual Refineries'!$B$3:$B$1084,$A48,'Individual Refineries'!$D$3:$D$1084,"REF")</f>
        <v/>
      </c>
      <c r="N48" s="30">
        <f>SUMIFS('Individual Refineries'!$F$3:$F$1084,'Individual Refineries'!$B$3:$B$1084,$A48,'Individual Refineries'!$D$3:$D$1084,"CCR")</f>
        <v/>
      </c>
      <c r="O48" s="30">
        <f>SUMIFS('Individual Refineries'!$F$3:$F$1084,'Individual Refineries'!$B$3:$B$1084,$A48,'Individual Refineries'!$D$3:$D$1084,"ISOM")</f>
        <v/>
      </c>
      <c r="P48" s="30">
        <f>SUMIFS('Individual Refineries'!$F$3:$F$1084,'Individual Refineries'!$B$3:$B$1084,$A48,'Individual Refineries'!$D$3:$D$1084,"ALKY")</f>
        <v/>
      </c>
      <c r="Q48" s="30">
        <f>SUMIFS('Individual Refineries'!$F$3:$F$1084,'Individual Refineries'!$B$3:$B$1084,$A48,'Individual Refineries'!$D$3:$D$1084,"NSPL")</f>
        <v/>
      </c>
      <c r="R48" s="30">
        <f>SUMIFS('Individual Refineries'!$F$3:$F$1084,'Individual Refineries'!$B$3:$B$1084,$A48,'Individual Refineries'!$D$3:$D$1084,"NHT")</f>
        <v/>
      </c>
    </row>
    <row r="49">
      <c r="A49" s="40" t="inlineStr">
        <is>
          <t>VALERO_TEXAS_CITY</t>
        </is>
      </c>
      <c r="B49" s="28" t="inlineStr">
        <is>
          <t>Valero Texas City</t>
        </is>
      </c>
      <c r="C49" s="28" t="n">
        <v>3</v>
      </c>
      <c r="D49" s="30">
        <f>SUMIFS(Data!$G$3:$G$125,Data!$A$3:$A$125,$A49)</f>
        <v/>
      </c>
      <c r="E49" s="30">
        <f>SUMIFS('Individual Refineries'!$F$3:$F$1084,'Individual Refineries'!$B$3:$B$1084,$A49,'Individual Refineries'!$D$3:$D$1084,"CDU")</f>
        <v/>
      </c>
      <c r="F49" s="30">
        <f>SUMIFS('Individual Refineries'!$F$3:$F$1084,'Individual Refineries'!$B$3:$B$1084,$A49,'Individual Refineries'!$D$3:$D$1084,"VDU")</f>
        <v/>
      </c>
      <c r="G49" s="30">
        <f>SUMIFS('Individual Refineries'!$F$3:$F$1084,'Individual Refineries'!$B$3:$B$1084,$A49,'Individual Refineries'!$D$3:$D$1084,"FCC")</f>
        <v/>
      </c>
      <c r="H49" s="30">
        <f>SUMIFS('Individual Refineries'!$F$3:$F$1084,'Individual Refineries'!$B$3:$B$1084,$A49,'Individual Refineries'!$D$3:$D$1084,"RCC")</f>
        <v/>
      </c>
      <c r="I49" s="30">
        <f>SUMIFS('Individual Refineries'!$F$3:$F$1084,'Individual Refineries'!$B$3:$B$1084,$A49,'Individual Refineries'!$D$3:$D$1084,"COKER")</f>
        <v/>
      </c>
      <c r="J49" s="30">
        <f>SUMIFS('Individual Refineries'!$F$3:$F$1084,'Individual Refineries'!$B$3:$B$1084,$A49,'Individual Refineries'!$D$3:$D$1084,"FCOKER")</f>
        <v/>
      </c>
      <c r="K49" s="30">
        <f>SUMIFS('Individual Refineries'!$F$3:$F$1084,'Individual Refineries'!$B$3:$B$1084,$A49,'Individual Refineries'!$D$3:$D$1084,"DHCU")</f>
        <v/>
      </c>
      <c r="L49" s="30">
        <f>SUMIFS('Individual Refineries'!$F$3:$F$1084,'Individual Refineries'!$B$3:$B$1084,$A49,'Individual Refineries'!$D$3:$D$1084,"RHCU")</f>
        <v/>
      </c>
      <c r="M49" s="30">
        <f>SUMIFS('Individual Refineries'!$F$3:$F$1084,'Individual Refineries'!$B$3:$B$1084,$A49,'Individual Refineries'!$D$3:$D$1084,"REF")</f>
        <v/>
      </c>
      <c r="N49" s="30">
        <f>SUMIFS('Individual Refineries'!$F$3:$F$1084,'Individual Refineries'!$B$3:$B$1084,$A49,'Individual Refineries'!$D$3:$D$1084,"CCR")</f>
        <v/>
      </c>
      <c r="O49" s="30">
        <f>SUMIFS('Individual Refineries'!$F$3:$F$1084,'Individual Refineries'!$B$3:$B$1084,$A49,'Individual Refineries'!$D$3:$D$1084,"ISOM")</f>
        <v/>
      </c>
      <c r="P49" s="30">
        <f>SUMIFS('Individual Refineries'!$F$3:$F$1084,'Individual Refineries'!$B$3:$B$1084,$A49,'Individual Refineries'!$D$3:$D$1084,"ALKY")</f>
        <v/>
      </c>
      <c r="Q49" s="30">
        <f>SUMIFS('Individual Refineries'!$F$3:$F$1084,'Individual Refineries'!$B$3:$B$1084,$A49,'Individual Refineries'!$D$3:$D$1084,"NSPL")</f>
        <v/>
      </c>
      <c r="R49" s="30">
        <f>SUMIFS('Individual Refineries'!$F$3:$F$1084,'Individual Refineries'!$B$3:$B$1084,$A49,'Individual Refineries'!$D$3:$D$1084,"NHT")</f>
        <v/>
      </c>
    </row>
    <row r="50">
      <c r="A50" s="40" t="inlineStr">
        <is>
          <t>SHELL_NORCO</t>
        </is>
      </c>
      <c r="B50" s="28" t="inlineStr">
        <is>
          <t>Shell Norco</t>
        </is>
      </c>
      <c r="C50" s="28" t="n">
        <v>3</v>
      </c>
      <c r="D50" s="30">
        <f>SUMIFS(Data!$G$3:$G$125,Data!$A$3:$A$125,$A50)</f>
        <v/>
      </c>
      <c r="E50" s="30">
        <f>SUMIFS('Individual Refineries'!$F$3:$F$1084,'Individual Refineries'!$B$3:$B$1084,$A50,'Individual Refineries'!$D$3:$D$1084,"CDU")</f>
        <v/>
      </c>
      <c r="F50" s="30">
        <f>SUMIFS('Individual Refineries'!$F$3:$F$1084,'Individual Refineries'!$B$3:$B$1084,$A50,'Individual Refineries'!$D$3:$D$1084,"VDU")</f>
        <v/>
      </c>
      <c r="G50" s="30">
        <f>SUMIFS('Individual Refineries'!$F$3:$F$1084,'Individual Refineries'!$B$3:$B$1084,$A50,'Individual Refineries'!$D$3:$D$1084,"FCC")</f>
        <v/>
      </c>
      <c r="H50" s="30">
        <f>SUMIFS('Individual Refineries'!$F$3:$F$1084,'Individual Refineries'!$B$3:$B$1084,$A50,'Individual Refineries'!$D$3:$D$1084,"RCC")</f>
        <v/>
      </c>
      <c r="I50" s="30">
        <f>SUMIFS('Individual Refineries'!$F$3:$F$1084,'Individual Refineries'!$B$3:$B$1084,$A50,'Individual Refineries'!$D$3:$D$1084,"COKER")</f>
        <v/>
      </c>
      <c r="J50" s="30">
        <f>SUMIFS('Individual Refineries'!$F$3:$F$1084,'Individual Refineries'!$B$3:$B$1084,$A50,'Individual Refineries'!$D$3:$D$1084,"FCOKER")</f>
        <v/>
      </c>
      <c r="K50" s="30">
        <f>SUMIFS('Individual Refineries'!$F$3:$F$1084,'Individual Refineries'!$B$3:$B$1084,$A50,'Individual Refineries'!$D$3:$D$1084,"DHCU")</f>
        <v/>
      </c>
      <c r="L50" s="30">
        <f>SUMIFS('Individual Refineries'!$F$3:$F$1084,'Individual Refineries'!$B$3:$B$1084,$A50,'Individual Refineries'!$D$3:$D$1084,"RHCU")</f>
        <v/>
      </c>
      <c r="M50" s="30">
        <f>SUMIFS('Individual Refineries'!$F$3:$F$1084,'Individual Refineries'!$B$3:$B$1084,$A50,'Individual Refineries'!$D$3:$D$1084,"REF")</f>
        <v/>
      </c>
      <c r="N50" s="30">
        <f>SUMIFS('Individual Refineries'!$F$3:$F$1084,'Individual Refineries'!$B$3:$B$1084,$A50,'Individual Refineries'!$D$3:$D$1084,"CCR")</f>
        <v/>
      </c>
      <c r="O50" s="30">
        <f>SUMIFS('Individual Refineries'!$F$3:$F$1084,'Individual Refineries'!$B$3:$B$1084,$A50,'Individual Refineries'!$D$3:$D$1084,"ISOM")</f>
        <v/>
      </c>
      <c r="P50" s="30">
        <f>SUMIFS('Individual Refineries'!$F$3:$F$1084,'Individual Refineries'!$B$3:$B$1084,$A50,'Individual Refineries'!$D$3:$D$1084,"ALKY")</f>
        <v/>
      </c>
      <c r="Q50" s="30">
        <f>SUMIFS('Individual Refineries'!$F$3:$F$1084,'Individual Refineries'!$B$3:$B$1084,$A50,'Individual Refineries'!$D$3:$D$1084,"NSPL")</f>
        <v/>
      </c>
      <c r="R50" s="30">
        <f>SUMIFS('Individual Refineries'!$F$3:$F$1084,'Individual Refineries'!$B$3:$B$1084,$A50,'Individual Refineries'!$D$3:$D$1084,"NHT")</f>
        <v/>
      </c>
    </row>
    <row r="51">
      <c r="A51" s="40" t="inlineStr">
        <is>
          <t>TOTAL_PORT_ARTHUR</t>
        </is>
      </c>
      <c r="B51" s="28" t="inlineStr">
        <is>
          <t>Total Port Arthur</t>
        </is>
      </c>
      <c r="C51" s="28" t="n">
        <v>3</v>
      </c>
      <c r="D51" s="30">
        <f>SUMIFS(Data!$G$3:$G$125,Data!$A$3:$A$125,$A51)</f>
        <v/>
      </c>
      <c r="E51" s="30">
        <f>SUMIFS('Individual Refineries'!$F$3:$F$1084,'Individual Refineries'!$B$3:$B$1084,$A51,'Individual Refineries'!$D$3:$D$1084,"CDU")</f>
        <v/>
      </c>
      <c r="F51" s="30">
        <f>SUMIFS('Individual Refineries'!$F$3:$F$1084,'Individual Refineries'!$B$3:$B$1084,$A51,'Individual Refineries'!$D$3:$D$1084,"VDU")</f>
        <v/>
      </c>
      <c r="G51" s="30">
        <f>SUMIFS('Individual Refineries'!$F$3:$F$1084,'Individual Refineries'!$B$3:$B$1084,$A51,'Individual Refineries'!$D$3:$D$1084,"FCC")</f>
        <v/>
      </c>
      <c r="H51" s="30">
        <f>SUMIFS('Individual Refineries'!$F$3:$F$1084,'Individual Refineries'!$B$3:$B$1084,$A51,'Individual Refineries'!$D$3:$D$1084,"RCC")</f>
        <v/>
      </c>
      <c r="I51" s="30">
        <f>SUMIFS('Individual Refineries'!$F$3:$F$1084,'Individual Refineries'!$B$3:$B$1084,$A51,'Individual Refineries'!$D$3:$D$1084,"COKER")</f>
        <v/>
      </c>
      <c r="J51" s="30">
        <f>SUMIFS('Individual Refineries'!$F$3:$F$1084,'Individual Refineries'!$B$3:$B$1084,$A51,'Individual Refineries'!$D$3:$D$1084,"FCOKER")</f>
        <v/>
      </c>
      <c r="K51" s="30">
        <f>SUMIFS('Individual Refineries'!$F$3:$F$1084,'Individual Refineries'!$B$3:$B$1084,$A51,'Individual Refineries'!$D$3:$D$1084,"DHCU")</f>
        <v/>
      </c>
      <c r="L51" s="30">
        <f>SUMIFS('Individual Refineries'!$F$3:$F$1084,'Individual Refineries'!$B$3:$B$1084,$A51,'Individual Refineries'!$D$3:$D$1084,"RHCU")</f>
        <v/>
      </c>
      <c r="M51" s="30">
        <f>SUMIFS('Individual Refineries'!$F$3:$F$1084,'Individual Refineries'!$B$3:$B$1084,$A51,'Individual Refineries'!$D$3:$D$1084,"REF")</f>
        <v/>
      </c>
      <c r="N51" s="30">
        <f>SUMIFS('Individual Refineries'!$F$3:$F$1084,'Individual Refineries'!$B$3:$B$1084,$A51,'Individual Refineries'!$D$3:$D$1084,"CCR")</f>
        <v/>
      </c>
      <c r="O51" s="30">
        <f>SUMIFS('Individual Refineries'!$F$3:$F$1084,'Individual Refineries'!$B$3:$B$1084,$A51,'Individual Refineries'!$D$3:$D$1084,"ISOM")</f>
        <v/>
      </c>
      <c r="P51" s="30">
        <f>SUMIFS('Individual Refineries'!$F$3:$F$1084,'Individual Refineries'!$B$3:$B$1084,$A51,'Individual Refineries'!$D$3:$D$1084,"ALKY")</f>
        <v/>
      </c>
      <c r="Q51" s="30">
        <f>SUMIFS('Individual Refineries'!$F$3:$F$1084,'Individual Refineries'!$B$3:$B$1084,$A51,'Individual Refineries'!$D$3:$D$1084,"NSPL")</f>
        <v/>
      </c>
      <c r="R51" s="30">
        <f>SUMIFS('Individual Refineries'!$F$3:$F$1084,'Individual Refineries'!$B$3:$B$1084,$A51,'Individual Refineries'!$D$3:$D$1084,"NHT")</f>
        <v/>
      </c>
    </row>
    <row r="52">
      <c r="A52" s="40" t="inlineStr">
        <is>
          <t>VALERO_SAINT_CHARLES</t>
        </is>
      </c>
      <c r="B52" s="28" t="inlineStr">
        <is>
          <t>Valero Saint Charles</t>
        </is>
      </c>
      <c r="C52" s="28" t="n">
        <v>3</v>
      </c>
      <c r="D52" s="30">
        <f>SUMIFS(Data!$G$3:$G$125,Data!$A$3:$A$125,$A52)</f>
        <v/>
      </c>
      <c r="E52" s="30">
        <f>SUMIFS('Individual Refineries'!$F$3:$F$1084,'Individual Refineries'!$B$3:$B$1084,$A52,'Individual Refineries'!$D$3:$D$1084,"CDU")</f>
        <v/>
      </c>
      <c r="F52" s="30">
        <f>SUMIFS('Individual Refineries'!$F$3:$F$1084,'Individual Refineries'!$B$3:$B$1084,$A52,'Individual Refineries'!$D$3:$D$1084,"VDU")</f>
        <v/>
      </c>
      <c r="G52" s="30">
        <f>SUMIFS('Individual Refineries'!$F$3:$F$1084,'Individual Refineries'!$B$3:$B$1084,$A52,'Individual Refineries'!$D$3:$D$1084,"FCC")</f>
        <v/>
      </c>
      <c r="H52" s="30">
        <f>SUMIFS('Individual Refineries'!$F$3:$F$1084,'Individual Refineries'!$B$3:$B$1084,$A52,'Individual Refineries'!$D$3:$D$1084,"RCC")</f>
        <v/>
      </c>
      <c r="I52" s="30">
        <f>SUMIFS('Individual Refineries'!$F$3:$F$1084,'Individual Refineries'!$B$3:$B$1084,$A52,'Individual Refineries'!$D$3:$D$1084,"COKER")</f>
        <v/>
      </c>
      <c r="J52" s="30">
        <f>SUMIFS('Individual Refineries'!$F$3:$F$1084,'Individual Refineries'!$B$3:$B$1084,$A52,'Individual Refineries'!$D$3:$D$1084,"FCOKER")</f>
        <v/>
      </c>
      <c r="K52" s="30">
        <f>SUMIFS('Individual Refineries'!$F$3:$F$1084,'Individual Refineries'!$B$3:$B$1084,$A52,'Individual Refineries'!$D$3:$D$1084,"DHCU")</f>
        <v/>
      </c>
      <c r="L52" s="30">
        <f>SUMIFS('Individual Refineries'!$F$3:$F$1084,'Individual Refineries'!$B$3:$B$1084,$A52,'Individual Refineries'!$D$3:$D$1084,"RHCU")</f>
        <v/>
      </c>
      <c r="M52" s="30">
        <f>SUMIFS('Individual Refineries'!$F$3:$F$1084,'Individual Refineries'!$B$3:$B$1084,$A52,'Individual Refineries'!$D$3:$D$1084,"REF")</f>
        <v/>
      </c>
      <c r="N52" s="30">
        <f>SUMIFS('Individual Refineries'!$F$3:$F$1084,'Individual Refineries'!$B$3:$B$1084,$A52,'Individual Refineries'!$D$3:$D$1084,"CCR")</f>
        <v/>
      </c>
      <c r="O52" s="30">
        <f>SUMIFS('Individual Refineries'!$F$3:$F$1084,'Individual Refineries'!$B$3:$B$1084,$A52,'Individual Refineries'!$D$3:$D$1084,"ISOM")</f>
        <v/>
      </c>
      <c r="P52" s="30">
        <f>SUMIFS('Individual Refineries'!$F$3:$F$1084,'Individual Refineries'!$B$3:$B$1084,$A52,'Individual Refineries'!$D$3:$D$1084,"ALKY")</f>
        <v/>
      </c>
      <c r="Q52" s="30">
        <f>SUMIFS('Individual Refineries'!$F$3:$F$1084,'Individual Refineries'!$B$3:$B$1084,$A52,'Individual Refineries'!$D$3:$D$1084,"NSPL")</f>
        <v/>
      </c>
      <c r="R52" s="30">
        <f>SUMIFS('Individual Refineries'!$F$3:$F$1084,'Individual Refineries'!$B$3:$B$1084,$A52,'Individual Refineries'!$D$3:$D$1084,"NHT")</f>
        <v/>
      </c>
    </row>
    <row r="53">
      <c r="A53" s="40" t="inlineStr">
        <is>
          <t>VALERO_HOUSTON</t>
        </is>
      </c>
      <c r="B53" s="28" t="inlineStr">
        <is>
          <t>Valero Houston</t>
        </is>
      </c>
      <c r="C53" s="28" t="n">
        <v>3</v>
      </c>
      <c r="D53" s="30">
        <f>SUMIFS(Data!$G$3:$G$125,Data!$A$3:$A$125,$A53)</f>
        <v/>
      </c>
      <c r="E53" s="30">
        <f>SUMIFS('Individual Refineries'!$F$3:$F$1084,'Individual Refineries'!$B$3:$B$1084,$A53,'Individual Refineries'!$D$3:$D$1084,"CDU")</f>
        <v/>
      </c>
      <c r="F53" s="30">
        <f>SUMIFS('Individual Refineries'!$F$3:$F$1084,'Individual Refineries'!$B$3:$B$1084,$A53,'Individual Refineries'!$D$3:$D$1084,"VDU")</f>
        <v/>
      </c>
      <c r="G53" s="30">
        <f>SUMIFS('Individual Refineries'!$F$3:$F$1084,'Individual Refineries'!$B$3:$B$1084,$A53,'Individual Refineries'!$D$3:$D$1084,"FCC")</f>
        <v/>
      </c>
      <c r="H53" s="30">
        <f>SUMIFS('Individual Refineries'!$F$3:$F$1084,'Individual Refineries'!$B$3:$B$1084,$A53,'Individual Refineries'!$D$3:$D$1084,"RCC")</f>
        <v/>
      </c>
      <c r="I53" s="30">
        <f>SUMIFS('Individual Refineries'!$F$3:$F$1084,'Individual Refineries'!$B$3:$B$1084,$A53,'Individual Refineries'!$D$3:$D$1084,"COKER")</f>
        <v/>
      </c>
      <c r="J53" s="30">
        <f>SUMIFS('Individual Refineries'!$F$3:$F$1084,'Individual Refineries'!$B$3:$B$1084,$A53,'Individual Refineries'!$D$3:$D$1084,"FCOKER")</f>
        <v/>
      </c>
      <c r="K53" s="30">
        <f>SUMIFS('Individual Refineries'!$F$3:$F$1084,'Individual Refineries'!$B$3:$B$1084,$A53,'Individual Refineries'!$D$3:$D$1084,"DHCU")</f>
        <v/>
      </c>
      <c r="L53" s="30">
        <f>SUMIFS('Individual Refineries'!$F$3:$F$1084,'Individual Refineries'!$B$3:$B$1084,$A53,'Individual Refineries'!$D$3:$D$1084,"RHCU")</f>
        <v/>
      </c>
      <c r="M53" s="30">
        <f>SUMIFS('Individual Refineries'!$F$3:$F$1084,'Individual Refineries'!$B$3:$B$1084,$A53,'Individual Refineries'!$D$3:$D$1084,"REF")</f>
        <v/>
      </c>
      <c r="N53" s="30">
        <f>SUMIFS('Individual Refineries'!$F$3:$F$1084,'Individual Refineries'!$B$3:$B$1084,$A53,'Individual Refineries'!$D$3:$D$1084,"CCR")</f>
        <v/>
      </c>
      <c r="O53" s="30">
        <f>SUMIFS('Individual Refineries'!$F$3:$F$1084,'Individual Refineries'!$B$3:$B$1084,$A53,'Individual Refineries'!$D$3:$D$1084,"ISOM")</f>
        <v/>
      </c>
      <c r="P53" s="30">
        <f>SUMIFS('Individual Refineries'!$F$3:$F$1084,'Individual Refineries'!$B$3:$B$1084,$A53,'Individual Refineries'!$D$3:$D$1084,"ALKY")</f>
        <v/>
      </c>
      <c r="Q53" s="30">
        <f>SUMIFS('Individual Refineries'!$F$3:$F$1084,'Individual Refineries'!$B$3:$B$1084,$A53,'Individual Refineries'!$D$3:$D$1084,"NSPL")</f>
        <v/>
      </c>
      <c r="R53" s="30">
        <f>SUMIFS('Individual Refineries'!$F$3:$F$1084,'Individual Refineries'!$B$3:$B$1084,$A53,'Individual Refineries'!$D$3:$D$1084,"NHT")</f>
        <v/>
      </c>
    </row>
    <row r="54">
      <c r="A54" s="40" t="inlineStr">
        <is>
          <t>VALERO_SUNRAY</t>
        </is>
      </c>
      <c r="B54" s="28" t="inlineStr">
        <is>
          <t>Valero Sunray</t>
        </is>
      </c>
      <c r="C54" s="28" t="n">
        <v>3</v>
      </c>
      <c r="D54" s="30">
        <f>SUMIFS(Data!$G$3:$G$125,Data!$A$3:$A$125,$A54)</f>
        <v/>
      </c>
      <c r="E54" s="30">
        <f>SUMIFS('Individual Refineries'!$F$3:$F$1084,'Individual Refineries'!$B$3:$B$1084,$A54,'Individual Refineries'!$D$3:$D$1084,"CDU")</f>
        <v/>
      </c>
      <c r="F54" s="30">
        <f>SUMIFS('Individual Refineries'!$F$3:$F$1084,'Individual Refineries'!$B$3:$B$1084,$A54,'Individual Refineries'!$D$3:$D$1084,"VDU")</f>
        <v/>
      </c>
      <c r="G54" s="30">
        <f>SUMIFS('Individual Refineries'!$F$3:$F$1084,'Individual Refineries'!$B$3:$B$1084,$A54,'Individual Refineries'!$D$3:$D$1084,"FCC")</f>
        <v/>
      </c>
      <c r="H54" s="30">
        <f>SUMIFS('Individual Refineries'!$F$3:$F$1084,'Individual Refineries'!$B$3:$B$1084,$A54,'Individual Refineries'!$D$3:$D$1084,"RCC")</f>
        <v/>
      </c>
      <c r="I54" s="30">
        <f>SUMIFS('Individual Refineries'!$F$3:$F$1084,'Individual Refineries'!$B$3:$B$1084,$A54,'Individual Refineries'!$D$3:$D$1084,"COKER")</f>
        <v/>
      </c>
      <c r="J54" s="30">
        <f>SUMIFS('Individual Refineries'!$F$3:$F$1084,'Individual Refineries'!$B$3:$B$1084,$A54,'Individual Refineries'!$D$3:$D$1084,"FCOKER")</f>
        <v/>
      </c>
      <c r="K54" s="30">
        <f>SUMIFS('Individual Refineries'!$F$3:$F$1084,'Individual Refineries'!$B$3:$B$1084,$A54,'Individual Refineries'!$D$3:$D$1084,"DHCU")</f>
        <v/>
      </c>
      <c r="L54" s="30">
        <f>SUMIFS('Individual Refineries'!$F$3:$F$1084,'Individual Refineries'!$B$3:$B$1084,$A54,'Individual Refineries'!$D$3:$D$1084,"RHCU")</f>
        <v/>
      </c>
      <c r="M54" s="30">
        <f>SUMIFS('Individual Refineries'!$F$3:$F$1084,'Individual Refineries'!$B$3:$B$1084,$A54,'Individual Refineries'!$D$3:$D$1084,"REF")</f>
        <v/>
      </c>
      <c r="N54" s="30">
        <f>SUMIFS('Individual Refineries'!$F$3:$F$1084,'Individual Refineries'!$B$3:$B$1084,$A54,'Individual Refineries'!$D$3:$D$1084,"CCR")</f>
        <v/>
      </c>
      <c r="O54" s="30">
        <f>SUMIFS('Individual Refineries'!$F$3:$F$1084,'Individual Refineries'!$B$3:$B$1084,$A54,'Individual Refineries'!$D$3:$D$1084,"ISOM")</f>
        <v/>
      </c>
      <c r="P54" s="30">
        <f>SUMIFS('Individual Refineries'!$F$3:$F$1084,'Individual Refineries'!$B$3:$B$1084,$A54,'Individual Refineries'!$D$3:$D$1084,"ALKY")</f>
        <v/>
      </c>
      <c r="Q54" s="30">
        <f>SUMIFS('Individual Refineries'!$F$3:$F$1084,'Individual Refineries'!$B$3:$B$1084,$A54,'Individual Refineries'!$D$3:$D$1084,"NSPL")</f>
        <v/>
      </c>
      <c r="R54" s="30">
        <f>SUMIFS('Individual Refineries'!$F$3:$F$1084,'Individual Refineries'!$B$3:$B$1084,$A54,'Individual Refineries'!$D$3:$D$1084,"NHT")</f>
        <v/>
      </c>
    </row>
    <row r="55">
      <c r="A55" s="40" t="inlineStr">
        <is>
          <t>PBF_CHALMETTE</t>
        </is>
      </c>
      <c r="B55" s="28" t="inlineStr">
        <is>
          <t>PBF Energy Company LLC Chalmette</t>
        </is>
      </c>
      <c r="C55" s="28" t="n">
        <v>3</v>
      </c>
      <c r="D55" s="30">
        <f>SUMIFS(Data!$G$3:$G$125,Data!$A$3:$A$125,$A55)</f>
        <v/>
      </c>
      <c r="E55" s="30">
        <f>SUMIFS('Individual Refineries'!$F$3:$F$1084,'Individual Refineries'!$B$3:$B$1084,$A55,'Individual Refineries'!$D$3:$D$1084,"CDU")</f>
        <v/>
      </c>
      <c r="F55" s="30">
        <f>SUMIFS('Individual Refineries'!$F$3:$F$1084,'Individual Refineries'!$B$3:$B$1084,$A55,'Individual Refineries'!$D$3:$D$1084,"VDU")</f>
        <v/>
      </c>
      <c r="G55" s="30">
        <f>SUMIFS('Individual Refineries'!$F$3:$F$1084,'Individual Refineries'!$B$3:$B$1084,$A55,'Individual Refineries'!$D$3:$D$1084,"FCC")</f>
        <v/>
      </c>
      <c r="H55" s="30">
        <f>SUMIFS('Individual Refineries'!$F$3:$F$1084,'Individual Refineries'!$B$3:$B$1084,$A55,'Individual Refineries'!$D$3:$D$1084,"RCC")</f>
        <v/>
      </c>
      <c r="I55" s="30">
        <f>SUMIFS('Individual Refineries'!$F$3:$F$1084,'Individual Refineries'!$B$3:$B$1084,$A55,'Individual Refineries'!$D$3:$D$1084,"COKER")</f>
        <v/>
      </c>
      <c r="J55" s="30">
        <f>SUMIFS('Individual Refineries'!$F$3:$F$1084,'Individual Refineries'!$B$3:$B$1084,$A55,'Individual Refineries'!$D$3:$D$1084,"FCOKER")</f>
        <v/>
      </c>
      <c r="K55" s="30">
        <f>SUMIFS('Individual Refineries'!$F$3:$F$1084,'Individual Refineries'!$B$3:$B$1084,$A55,'Individual Refineries'!$D$3:$D$1084,"DHCU")</f>
        <v/>
      </c>
      <c r="L55" s="30">
        <f>SUMIFS('Individual Refineries'!$F$3:$F$1084,'Individual Refineries'!$B$3:$B$1084,$A55,'Individual Refineries'!$D$3:$D$1084,"RHCU")</f>
        <v/>
      </c>
      <c r="M55" s="30">
        <f>SUMIFS('Individual Refineries'!$F$3:$F$1084,'Individual Refineries'!$B$3:$B$1084,$A55,'Individual Refineries'!$D$3:$D$1084,"REF")</f>
        <v/>
      </c>
      <c r="N55" s="30">
        <f>SUMIFS('Individual Refineries'!$F$3:$F$1084,'Individual Refineries'!$B$3:$B$1084,$A55,'Individual Refineries'!$D$3:$D$1084,"CCR")</f>
        <v/>
      </c>
      <c r="O55" s="30">
        <f>SUMIFS('Individual Refineries'!$F$3:$F$1084,'Individual Refineries'!$B$3:$B$1084,$A55,'Individual Refineries'!$D$3:$D$1084,"ISOM")</f>
        <v/>
      </c>
      <c r="P55" s="30">
        <f>SUMIFS('Individual Refineries'!$F$3:$F$1084,'Individual Refineries'!$B$3:$B$1084,$A55,'Individual Refineries'!$D$3:$D$1084,"ALKY")</f>
        <v/>
      </c>
      <c r="Q55" s="30">
        <f>SUMIFS('Individual Refineries'!$F$3:$F$1084,'Individual Refineries'!$B$3:$B$1084,$A55,'Individual Refineries'!$D$3:$D$1084,"NSPL")</f>
        <v/>
      </c>
      <c r="R55" s="30">
        <f>SUMIFS('Individual Refineries'!$F$3:$F$1084,'Individual Refineries'!$B$3:$B$1084,$A55,'Individual Refineries'!$D$3:$D$1084,"NHT")</f>
        <v/>
      </c>
    </row>
    <row r="56">
      <c r="A56" s="40" t="inlineStr">
        <is>
          <t>CITGO_CORPUS_CHRISTI</t>
        </is>
      </c>
      <c r="B56" s="28" t="inlineStr">
        <is>
          <t>Citgo Corpus Christi</t>
        </is>
      </c>
      <c r="C56" s="28" t="n">
        <v>3</v>
      </c>
      <c r="D56" s="30">
        <f>SUMIFS(Data!$G$3:$G$125,Data!$A$3:$A$125,$A56)</f>
        <v/>
      </c>
      <c r="E56" s="30">
        <f>SUMIFS('Individual Refineries'!$F$3:$F$1084,'Individual Refineries'!$B$3:$B$1084,$A56,'Individual Refineries'!$D$3:$D$1084,"CDU")</f>
        <v/>
      </c>
      <c r="F56" s="30">
        <f>SUMIFS('Individual Refineries'!$F$3:$F$1084,'Individual Refineries'!$B$3:$B$1084,$A56,'Individual Refineries'!$D$3:$D$1084,"VDU")</f>
        <v/>
      </c>
      <c r="G56" s="30">
        <f>SUMIFS('Individual Refineries'!$F$3:$F$1084,'Individual Refineries'!$B$3:$B$1084,$A56,'Individual Refineries'!$D$3:$D$1084,"FCC")</f>
        <v/>
      </c>
      <c r="H56" s="30">
        <f>SUMIFS('Individual Refineries'!$F$3:$F$1084,'Individual Refineries'!$B$3:$B$1084,$A56,'Individual Refineries'!$D$3:$D$1084,"RCC")</f>
        <v/>
      </c>
      <c r="I56" s="30">
        <f>SUMIFS('Individual Refineries'!$F$3:$F$1084,'Individual Refineries'!$B$3:$B$1084,$A56,'Individual Refineries'!$D$3:$D$1084,"COKER")</f>
        <v/>
      </c>
      <c r="J56" s="30">
        <f>SUMIFS('Individual Refineries'!$F$3:$F$1084,'Individual Refineries'!$B$3:$B$1084,$A56,'Individual Refineries'!$D$3:$D$1084,"FCOKER")</f>
        <v/>
      </c>
      <c r="K56" s="30">
        <f>SUMIFS('Individual Refineries'!$F$3:$F$1084,'Individual Refineries'!$B$3:$B$1084,$A56,'Individual Refineries'!$D$3:$D$1084,"DHCU")</f>
        <v/>
      </c>
      <c r="L56" s="30">
        <f>SUMIFS('Individual Refineries'!$F$3:$F$1084,'Individual Refineries'!$B$3:$B$1084,$A56,'Individual Refineries'!$D$3:$D$1084,"RHCU")</f>
        <v/>
      </c>
      <c r="M56" s="30">
        <f>SUMIFS('Individual Refineries'!$F$3:$F$1084,'Individual Refineries'!$B$3:$B$1084,$A56,'Individual Refineries'!$D$3:$D$1084,"REF")</f>
        <v/>
      </c>
      <c r="N56" s="30">
        <f>SUMIFS('Individual Refineries'!$F$3:$F$1084,'Individual Refineries'!$B$3:$B$1084,$A56,'Individual Refineries'!$D$3:$D$1084,"CCR")</f>
        <v/>
      </c>
      <c r="O56" s="30">
        <f>SUMIFS('Individual Refineries'!$F$3:$F$1084,'Individual Refineries'!$B$3:$B$1084,$A56,'Individual Refineries'!$D$3:$D$1084,"ISOM")</f>
        <v/>
      </c>
      <c r="P56" s="30">
        <f>SUMIFS('Individual Refineries'!$F$3:$F$1084,'Individual Refineries'!$B$3:$B$1084,$A56,'Individual Refineries'!$D$3:$D$1084,"ALKY")</f>
        <v/>
      </c>
      <c r="Q56" s="30">
        <f>SUMIFS('Individual Refineries'!$F$3:$F$1084,'Individual Refineries'!$B$3:$B$1084,$A56,'Individual Refineries'!$D$3:$D$1084,"NSPL")</f>
        <v/>
      </c>
      <c r="R56" s="30">
        <f>SUMIFS('Individual Refineries'!$F$3:$F$1084,'Individual Refineries'!$B$3:$B$1084,$A56,'Individual Refineries'!$D$3:$D$1084,"NHT")</f>
        <v/>
      </c>
    </row>
    <row r="57">
      <c r="A57" s="40" t="inlineStr">
        <is>
          <t>WRB_BORGER</t>
        </is>
      </c>
      <c r="B57" s="28" t="inlineStr">
        <is>
          <t>WRB Refining Borger</t>
        </is>
      </c>
      <c r="C57" s="28" t="n">
        <v>3</v>
      </c>
      <c r="D57" s="30">
        <f>SUMIFS(Data!$G$3:$G$125,Data!$A$3:$A$125,$A57)</f>
        <v/>
      </c>
      <c r="E57" s="30">
        <f>SUMIFS('Individual Refineries'!$F$3:$F$1084,'Individual Refineries'!$B$3:$B$1084,$A57,'Individual Refineries'!$D$3:$D$1084,"CDU")</f>
        <v/>
      </c>
      <c r="F57" s="30">
        <f>SUMIFS('Individual Refineries'!$F$3:$F$1084,'Individual Refineries'!$B$3:$B$1084,$A57,'Individual Refineries'!$D$3:$D$1084,"VDU")</f>
        <v/>
      </c>
      <c r="G57" s="30">
        <f>SUMIFS('Individual Refineries'!$F$3:$F$1084,'Individual Refineries'!$B$3:$B$1084,$A57,'Individual Refineries'!$D$3:$D$1084,"FCC")</f>
        <v/>
      </c>
      <c r="H57" s="30">
        <f>SUMIFS('Individual Refineries'!$F$3:$F$1084,'Individual Refineries'!$B$3:$B$1084,$A57,'Individual Refineries'!$D$3:$D$1084,"RCC")</f>
        <v/>
      </c>
      <c r="I57" s="30">
        <f>SUMIFS('Individual Refineries'!$F$3:$F$1084,'Individual Refineries'!$B$3:$B$1084,$A57,'Individual Refineries'!$D$3:$D$1084,"COKER")</f>
        <v/>
      </c>
      <c r="J57" s="30">
        <f>SUMIFS('Individual Refineries'!$F$3:$F$1084,'Individual Refineries'!$B$3:$B$1084,$A57,'Individual Refineries'!$D$3:$D$1084,"FCOKER")</f>
        <v/>
      </c>
      <c r="K57" s="30">
        <f>SUMIFS('Individual Refineries'!$F$3:$F$1084,'Individual Refineries'!$B$3:$B$1084,$A57,'Individual Refineries'!$D$3:$D$1084,"DHCU")</f>
        <v/>
      </c>
      <c r="L57" s="30">
        <f>SUMIFS('Individual Refineries'!$F$3:$F$1084,'Individual Refineries'!$B$3:$B$1084,$A57,'Individual Refineries'!$D$3:$D$1084,"RHCU")</f>
        <v/>
      </c>
      <c r="M57" s="30">
        <f>SUMIFS('Individual Refineries'!$F$3:$F$1084,'Individual Refineries'!$B$3:$B$1084,$A57,'Individual Refineries'!$D$3:$D$1084,"REF")</f>
        <v/>
      </c>
      <c r="N57" s="30">
        <f>SUMIFS('Individual Refineries'!$F$3:$F$1084,'Individual Refineries'!$B$3:$B$1084,$A57,'Individual Refineries'!$D$3:$D$1084,"CCR")</f>
        <v/>
      </c>
      <c r="O57" s="30">
        <f>SUMIFS('Individual Refineries'!$F$3:$F$1084,'Individual Refineries'!$B$3:$B$1084,$A57,'Individual Refineries'!$D$3:$D$1084,"ISOM")</f>
        <v/>
      </c>
      <c r="P57" s="30">
        <f>SUMIFS('Individual Refineries'!$F$3:$F$1084,'Individual Refineries'!$B$3:$B$1084,$A57,'Individual Refineries'!$D$3:$D$1084,"ALKY")</f>
        <v/>
      </c>
      <c r="Q57" s="30">
        <f>SUMIFS('Individual Refineries'!$F$3:$F$1084,'Individual Refineries'!$B$3:$B$1084,$A57,'Individual Refineries'!$D$3:$D$1084,"NSPL")</f>
        <v/>
      </c>
      <c r="R57" s="30">
        <f>SUMIFS('Individual Refineries'!$F$3:$F$1084,'Individual Refineries'!$B$3:$B$1084,$A57,'Individual Refineries'!$D$3:$D$1084,"NHT")</f>
        <v/>
      </c>
    </row>
    <row r="58">
      <c r="A58" s="40" t="inlineStr">
        <is>
          <t>MARATHON_EL_PASO</t>
        </is>
      </c>
      <c r="B58" s="28" t="inlineStr">
        <is>
          <t>Marathon Petroleum El Paso</t>
        </is>
      </c>
      <c r="C58" s="28" t="n">
        <v>3</v>
      </c>
      <c r="D58" s="30">
        <f>SUMIFS(Data!$G$3:$G$125,Data!$A$3:$A$125,$A58)</f>
        <v/>
      </c>
      <c r="E58" s="30">
        <f>SUMIFS('Individual Refineries'!$F$3:$F$1084,'Individual Refineries'!$B$3:$B$1084,$A58,'Individual Refineries'!$D$3:$D$1084,"CDU")</f>
        <v/>
      </c>
      <c r="F58" s="30">
        <f>SUMIFS('Individual Refineries'!$F$3:$F$1084,'Individual Refineries'!$B$3:$B$1084,$A58,'Individual Refineries'!$D$3:$D$1084,"VDU")</f>
        <v/>
      </c>
      <c r="G58" s="30">
        <f>SUMIFS('Individual Refineries'!$F$3:$F$1084,'Individual Refineries'!$B$3:$B$1084,$A58,'Individual Refineries'!$D$3:$D$1084,"FCC")</f>
        <v/>
      </c>
      <c r="H58" s="30">
        <f>SUMIFS('Individual Refineries'!$F$3:$F$1084,'Individual Refineries'!$B$3:$B$1084,$A58,'Individual Refineries'!$D$3:$D$1084,"RCC")</f>
        <v/>
      </c>
      <c r="I58" s="30">
        <f>SUMIFS('Individual Refineries'!$F$3:$F$1084,'Individual Refineries'!$B$3:$B$1084,$A58,'Individual Refineries'!$D$3:$D$1084,"COKER")</f>
        <v/>
      </c>
      <c r="J58" s="30">
        <f>SUMIFS('Individual Refineries'!$F$3:$F$1084,'Individual Refineries'!$B$3:$B$1084,$A58,'Individual Refineries'!$D$3:$D$1084,"FCOKER")</f>
        <v/>
      </c>
      <c r="K58" s="30">
        <f>SUMIFS('Individual Refineries'!$F$3:$F$1084,'Individual Refineries'!$B$3:$B$1084,$A58,'Individual Refineries'!$D$3:$D$1084,"DHCU")</f>
        <v/>
      </c>
      <c r="L58" s="30">
        <f>SUMIFS('Individual Refineries'!$F$3:$F$1084,'Individual Refineries'!$B$3:$B$1084,$A58,'Individual Refineries'!$D$3:$D$1084,"RHCU")</f>
        <v/>
      </c>
      <c r="M58" s="30">
        <f>SUMIFS('Individual Refineries'!$F$3:$F$1084,'Individual Refineries'!$B$3:$B$1084,$A58,'Individual Refineries'!$D$3:$D$1084,"REF")</f>
        <v/>
      </c>
      <c r="N58" s="30">
        <f>SUMIFS('Individual Refineries'!$F$3:$F$1084,'Individual Refineries'!$B$3:$B$1084,$A58,'Individual Refineries'!$D$3:$D$1084,"CCR")</f>
        <v/>
      </c>
      <c r="O58" s="30">
        <f>SUMIFS('Individual Refineries'!$F$3:$F$1084,'Individual Refineries'!$B$3:$B$1084,$A58,'Individual Refineries'!$D$3:$D$1084,"ISOM")</f>
        <v/>
      </c>
      <c r="P58" s="30">
        <f>SUMIFS('Individual Refineries'!$F$3:$F$1084,'Individual Refineries'!$B$3:$B$1084,$A58,'Individual Refineries'!$D$3:$D$1084,"ALKY")</f>
        <v/>
      </c>
      <c r="Q58" s="30">
        <f>SUMIFS('Individual Refineries'!$F$3:$F$1084,'Individual Refineries'!$B$3:$B$1084,$A58,'Individual Refineries'!$D$3:$D$1084,"NSPL")</f>
        <v/>
      </c>
      <c r="R58" s="30">
        <f>SUMIFS('Individual Refineries'!$F$3:$F$1084,'Individual Refineries'!$B$3:$B$1084,$A58,'Individual Refineries'!$D$3:$D$1084,"NHT")</f>
        <v/>
      </c>
    </row>
    <row r="59">
      <c r="A59" s="40" t="inlineStr">
        <is>
          <t>CHEVRON_PASADENA</t>
        </is>
      </c>
      <c r="B59" s="28" t="inlineStr">
        <is>
          <t>Chevron Pasadena</t>
        </is>
      </c>
      <c r="C59" s="28" t="n">
        <v>3</v>
      </c>
      <c r="D59" s="30">
        <f>SUMIFS(Data!$G$3:$G$125,Data!$A$3:$A$125,$A59)</f>
        <v/>
      </c>
      <c r="E59" s="30">
        <f>SUMIFS('Individual Refineries'!$F$3:$F$1084,'Individual Refineries'!$B$3:$B$1084,$A59,'Individual Refineries'!$D$3:$D$1084,"CDU")</f>
        <v/>
      </c>
      <c r="F59" s="30">
        <f>SUMIFS('Individual Refineries'!$F$3:$F$1084,'Individual Refineries'!$B$3:$B$1084,$A59,'Individual Refineries'!$D$3:$D$1084,"VDU")</f>
        <v/>
      </c>
      <c r="G59" s="30">
        <f>SUMIFS('Individual Refineries'!$F$3:$F$1084,'Individual Refineries'!$B$3:$B$1084,$A59,'Individual Refineries'!$D$3:$D$1084,"FCC")</f>
        <v/>
      </c>
      <c r="H59" s="30">
        <f>SUMIFS('Individual Refineries'!$F$3:$F$1084,'Individual Refineries'!$B$3:$B$1084,$A59,'Individual Refineries'!$D$3:$D$1084,"RCC")</f>
        <v/>
      </c>
      <c r="I59" s="30">
        <f>SUMIFS('Individual Refineries'!$F$3:$F$1084,'Individual Refineries'!$B$3:$B$1084,$A59,'Individual Refineries'!$D$3:$D$1084,"COKER")</f>
        <v/>
      </c>
      <c r="J59" s="30">
        <f>SUMIFS('Individual Refineries'!$F$3:$F$1084,'Individual Refineries'!$B$3:$B$1084,$A59,'Individual Refineries'!$D$3:$D$1084,"FCOKER")</f>
        <v/>
      </c>
      <c r="K59" s="30">
        <f>SUMIFS('Individual Refineries'!$F$3:$F$1084,'Individual Refineries'!$B$3:$B$1084,$A59,'Individual Refineries'!$D$3:$D$1084,"DHCU")</f>
        <v/>
      </c>
      <c r="L59" s="30">
        <f>SUMIFS('Individual Refineries'!$F$3:$F$1084,'Individual Refineries'!$B$3:$B$1084,$A59,'Individual Refineries'!$D$3:$D$1084,"RHCU")</f>
        <v/>
      </c>
      <c r="M59" s="30">
        <f>SUMIFS('Individual Refineries'!$F$3:$F$1084,'Individual Refineries'!$B$3:$B$1084,$A59,'Individual Refineries'!$D$3:$D$1084,"REF")</f>
        <v/>
      </c>
      <c r="N59" s="30">
        <f>SUMIFS('Individual Refineries'!$F$3:$F$1084,'Individual Refineries'!$B$3:$B$1084,$A59,'Individual Refineries'!$D$3:$D$1084,"CCR")</f>
        <v/>
      </c>
      <c r="O59" s="30">
        <f>SUMIFS('Individual Refineries'!$F$3:$F$1084,'Individual Refineries'!$B$3:$B$1084,$A59,'Individual Refineries'!$D$3:$D$1084,"ISOM")</f>
        <v/>
      </c>
      <c r="P59" s="30">
        <f>SUMIFS('Individual Refineries'!$F$3:$F$1084,'Individual Refineries'!$B$3:$B$1084,$A59,'Individual Refineries'!$D$3:$D$1084,"ALKY")</f>
        <v/>
      </c>
      <c r="Q59" s="30">
        <f>SUMIFS('Individual Refineries'!$F$3:$F$1084,'Individual Refineries'!$B$3:$B$1084,$A59,'Individual Refineries'!$D$3:$D$1084,"NSPL")</f>
        <v/>
      </c>
      <c r="R59" s="30">
        <f>SUMIFS('Individual Refineries'!$F$3:$F$1084,'Individual Refineries'!$B$3:$B$1084,$A59,'Individual Refineries'!$D$3:$D$1084,"NHT")</f>
        <v/>
      </c>
    </row>
    <row r="60">
      <c r="A60" s="40" t="inlineStr">
        <is>
          <t>VALERO_MERAUX</t>
        </is>
      </c>
      <c r="B60" s="28" t="inlineStr">
        <is>
          <t>Valero Meraux</t>
        </is>
      </c>
      <c r="C60" s="28" t="n">
        <v>3</v>
      </c>
      <c r="D60" s="30">
        <f>SUMIFS(Data!$G$3:$G$125,Data!$A$3:$A$125,$A60)</f>
        <v/>
      </c>
      <c r="E60" s="30">
        <f>SUMIFS('Individual Refineries'!$F$3:$F$1084,'Individual Refineries'!$B$3:$B$1084,$A60,'Individual Refineries'!$D$3:$D$1084,"CDU")</f>
        <v/>
      </c>
      <c r="F60" s="30">
        <f>SUMIFS('Individual Refineries'!$F$3:$F$1084,'Individual Refineries'!$B$3:$B$1084,$A60,'Individual Refineries'!$D$3:$D$1084,"VDU")</f>
        <v/>
      </c>
      <c r="G60" s="30">
        <f>SUMIFS('Individual Refineries'!$F$3:$F$1084,'Individual Refineries'!$B$3:$B$1084,$A60,'Individual Refineries'!$D$3:$D$1084,"FCC")</f>
        <v/>
      </c>
      <c r="H60" s="30">
        <f>SUMIFS('Individual Refineries'!$F$3:$F$1084,'Individual Refineries'!$B$3:$B$1084,$A60,'Individual Refineries'!$D$3:$D$1084,"RCC")</f>
        <v/>
      </c>
      <c r="I60" s="30">
        <f>SUMIFS('Individual Refineries'!$F$3:$F$1084,'Individual Refineries'!$B$3:$B$1084,$A60,'Individual Refineries'!$D$3:$D$1084,"COKER")</f>
        <v/>
      </c>
      <c r="J60" s="30">
        <f>SUMIFS('Individual Refineries'!$F$3:$F$1084,'Individual Refineries'!$B$3:$B$1084,$A60,'Individual Refineries'!$D$3:$D$1084,"FCOKER")</f>
        <v/>
      </c>
      <c r="K60" s="30">
        <f>SUMIFS('Individual Refineries'!$F$3:$F$1084,'Individual Refineries'!$B$3:$B$1084,$A60,'Individual Refineries'!$D$3:$D$1084,"DHCU")</f>
        <v/>
      </c>
      <c r="L60" s="30">
        <f>SUMIFS('Individual Refineries'!$F$3:$F$1084,'Individual Refineries'!$B$3:$B$1084,$A60,'Individual Refineries'!$D$3:$D$1084,"RHCU")</f>
        <v/>
      </c>
      <c r="M60" s="30">
        <f>SUMIFS('Individual Refineries'!$F$3:$F$1084,'Individual Refineries'!$B$3:$B$1084,$A60,'Individual Refineries'!$D$3:$D$1084,"REF")</f>
        <v/>
      </c>
      <c r="N60" s="30">
        <f>SUMIFS('Individual Refineries'!$F$3:$F$1084,'Individual Refineries'!$B$3:$B$1084,$A60,'Individual Refineries'!$D$3:$D$1084,"CCR")</f>
        <v/>
      </c>
      <c r="O60" s="30">
        <f>SUMIFS('Individual Refineries'!$F$3:$F$1084,'Individual Refineries'!$B$3:$B$1084,$A60,'Individual Refineries'!$D$3:$D$1084,"ISOM")</f>
        <v/>
      </c>
      <c r="P60" s="30">
        <f>SUMIFS('Individual Refineries'!$F$3:$F$1084,'Individual Refineries'!$B$3:$B$1084,$A60,'Individual Refineries'!$D$3:$D$1084,"ALKY")</f>
        <v/>
      </c>
      <c r="Q60" s="30">
        <f>SUMIFS('Individual Refineries'!$F$3:$F$1084,'Individual Refineries'!$B$3:$B$1084,$A60,'Individual Refineries'!$D$3:$D$1084,"NSPL")</f>
        <v/>
      </c>
      <c r="R60" s="30">
        <f>SUMIFS('Individual Refineries'!$F$3:$F$1084,'Individual Refineries'!$B$3:$B$1084,$A60,'Individual Refineries'!$D$3:$D$1084,"NHT")</f>
        <v/>
      </c>
    </row>
    <row r="61">
      <c r="A61" s="40" t="inlineStr">
        <is>
          <t>KINDER_HOUSTON</t>
        </is>
      </c>
      <c r="B61" s="28" t="inlineStr">
        <is>
          <t>Kinder Morgan Houston</t>
        </is>
      </c>
      <c r="C61" s="28" t="n">
        <v>3</v>
      </c>
      <c r="D61" s="30">
        <f>SUMIFS(Data!$G$3:$G$125,Data!$A$3:$A$125,$A61)</f>
        <v/>
      </c>
      <c r="E61" s="30">
        <f>SUMIFS('Individual Refineries'!$F$3:$F$1084,'Individual Refineries'!$B$3:$B$1084,$A61,'Individual Refineries'!$D$3:$D$1084,"CDU")</f>
        <v/>
      </c>
      <c r="F61" s="30">
        <f>SUMIFS('Individual Refineries'!$F$3:$F$1084,'Individual Refineries'!$B$3:$B$1084,$A61,'Individual Refineries'!$D$3:$D$1084,"VDU")</f>
        <v/>
      </c>
      <c r="G61" s="30">
        <f>SUMIFS('Individual Refineries'!$F$3:$F$1084,'Individual Refineries'!$B$3:$B$1084,$A61,'Individual Refineries'!$D$3:$D$1084,"FCC")</f>
        <v/>
      </c>
      <c r="H61" s="30">
        <f>SUMIFS('Individual Refineries'!$F$3:$F$1084,'Individual Refineries'!$B$3:$B$1084,$A61,'Individual Refineries'!$D$3:$D$1084,"RCC")</f>
        <v/>
      </c>
      <c r="I61" s="30">
        <f>SUMIFS('Individual Refineries'!$F$3:$F$1084,'Individual Refineries'!$B$3:$B$1084,$A61,'Individual Refineries'!$D$3:$D$1084,"COKER")</f>
        <v/>
      </c>
      <c r="J61" s="30">
        <f>SUMIFS('Individual Refineries'!$F$3:$F$1084,'Individual Refineries'!$B$3:$B$1084,$A61,'Individual Refineries'!$D$3:$D$1084,"FCOKER")</f>
        <v/>
      </c>
      <c r="K61" s="30">
        <f>SUMIFS('Individual Refineries'!$F$3:$F$1084,'Individual Refineries'!$B$3:$B$1084,$A61,'Individual Refineries'!$D$3:$D$1084,"DHCU")</f>
        <v/>
      </c>
      <c r="L61" s="30">
        <f>SUMIFS('Individual Refineries'!$F$3:$F$1084,'Individual Refineries'!$B$3:$B$1084,$A61,'Individual Refineries'!$D$3:$D$1084,"RHCU")</f>
        <v/>
      </c>
      <c r="M61" s="30">
        <f>SUMIFS('Individual Refineries'!$F$3:$F$1084,'Individual Refineries'!$B$3:$B$1084,$A61,'Individual Refineries'!$D$3:$D$1084,"REF")</f>
        <v/>
      </c>
      <c r="N61" s="30">
        <f>SUMIFS('Individual Refineries'!$F$3:$F$1084,'Individual Refineries'!$B$3:$B$1084,$A61,'Individual Refineries'!$D$3:$D$1084,"CCR")</f>
        <v/>
      </c>
      <c r="O61" s="30">
        <f>SUMIFS('Individual Refineries'!$F$3:$F$1084,'Individual Refineries'!$B$3:$B$1084,$A61,'Individual Refineries'!$D$3:$D$1084,"ISOM")</f>
        <v/>
      </c>
      <c r="P61" s="30">
        <f>SUMIFS('Individual Refineries'!$F$3:$F$1084,'Individual Refineries'!$B$3:$B$1084,$A61,'Individual Refineries'!$D$3:$D$1084,"ALKY")</f>
        <v/>
      </c>
      <c r="Q61" s="30">
        <f>SUMIFS('Individual Refineries'!$F$3:$F$1084,'Individual Refineries'!$B$3:$B$1084,$A61,'Individual Refineries'!$D$3:$D$1084,"NSPL")</f>
        <v/>
      </c>
      <c r="R61" s="30">
        <f>SUMIFS('Individual Refineries'!$F$3:$F$1084,'Individual Refineries'!$B$3:$B$1084,$A61,'Individual Refineries'!$D$3:$D$1084,"NHT")</f>
        <v/>
      </c>
    </row>
    <row r="62">
      <c r="A62" s="40" t="inlineStr">
        <is>
          <t>CALCASIEU_LAKE_CHARLES</t>
        </is>
      </c>
      <c r="B62" s="28" t="inlineStr">
        <is>
          <t>Calcasieu Refining Co. Lake Charles</t>
        </is>
      </c>
      <c r="C62" s="28" t="n">
        <v>3</v>
      </c>
      <c r="D62" s="30">
        <f>SUMIFS(Data!$G$3:$G$125,Data!$A$3:$A$125,$A62)</f>
        <v/>
      </c>
      <c r="E62" s="30">
        <f>SUMIFS('Individual Refineries'!$F$3:$F$1084,'Individual Refineries'!$B$3:$B$1084,$A62,'Individual Refineries'!$D$3:$D$1084,"CDU")</f>
        <v/>
      </c>
      <c r="F62" s="30">
        <f>SUMIFS('Individual Refineries'!$F$3:$F$1084,'Individual Refineries'!$B$3:$B$1084,$A62,'Individual Refineries'!$D$3:$D$1084,"VDU")</f>
        <v/>
      </c>
      <c r="G62" s="30">
        <f>SUMIFS('Individual Refineries'!$F$3:$F$1084,'Individual Refineries'!$B$3:$B$1084,$A62,'Individual Refineries'!$D$3:$D$1084,"FCC")</f>
        <v/>
      </c>
      <c r="H62" s="30">
        <f>SUMIFS('Individual Refineries'!$F$3:$F$1084,'Individual Refineries'!$B$3:$B$1084,$A62,'Individual Refineries'!$D$3:$D$1084,"RCC")</f>
        <v/>
      </c>
      <c r="I62" s="30">
        <f>SUMIFS('Individual Refineries'!$F$3:$F$1084,'Individual Refineries'!$B$3:$B$1084,$A62,'Individual Refineries'!$D$3:$D$1084,"COKER")</f>
        <v/>
      </c>
      <c r="J62" s="30">
        <f>SUMIFS('Individual Refineries'!$F$3:$F$1084,'Individual Refineries'!$B$3:$B$1084,$A62,'Individual Refineries'!$D$3:$D$1084,"FCOKER")</f>
        <v/>
      </c>
      <c r="K62" s="30">
        <f>SUMIFS('Individual Refineries'!$F$3:$F$1084,'Individual Refineries'!$B$3:$B$1084,$A62,'Individual Refineries'!$D$3:$D$1084,"DHCU")</f>
        <v/>
      </c>
      <c r="L62" s="30">
        <f>SUMIFS('Individual Refineries'!$F$3:$F$1084,'Individual Refineries'!$B$3:$B$1084,$A62,'Individual Refineries'!$D$3:$D$1084,"RHCU")</f>
        <v/>
      </c>
      <c r="M62" s="30">
        <f>SUMIFS('Individual Refineries'!$F$3:$F$1084,'Individual Refineries'!$B$3:$B$1084,$A62,'Individual Refineries'!$D$3:$D$1084,"REF")</f>
        <v/>
      </c>
      <c r="N62" s="30">
        <f>SUMIFS('Individual Refineries'!$F$3:$F$1084,'Individual Refineries'!$B$3:$B$1084,$A62,'Individual Refineries'!$D$3:$D$1084,"CCR")</f>
        <v/>
      </c>
      <c r="O62" s="30">
        <f>SUMIFS('Individual Refineries'!$F$3:$F$1084,'Individual Refineries'!$B$3:$B$1084,$A62,'Individual Refineries'!$D$3:$D$1084,"ISOM")</f>
        <v/>
      </c>
      <c r="P62" s="30">
        <f>SUMIFS('Individual Refineries'!$F$3:$F$1084,'Individual Refineries'!$B$3:$B$1084,$A62,'Individual Refineries'!$D$3:$D$1084,"ALKY")</f>
        <v/>
      </c>
      <c r="Q62" s="30">
        <f>SUMIFS('Individual Refineries'!$F$3:$F$1084,'Individual Refineries'!$B$3:$B$1084,$A62,'Individual Refineries'!$D$3:$D$1084,"NSPL")</f>
        <v/>
      </c>
      <c r="R62" s="30">
        <f>SUMIFS('Individual Refineries'!$F$3:$F$1084,'Individual Refineries'!$B$3:$B$1084,$A62,'Individual Refineries'!$D$3:$D$1084,"NHT")</f>
        <v/>
      </c>
    </row>
    <row r="63">
      <c r="A63" s="40" t="inlineStr">
        <is>
          <t>HF_ARTESIA</t>
        </is>
      </c>
      <c r="B63" s="28" t="inlineStr">
        <is>
          <t>HF Sinclair Artesia</t>
        </is>
      </c>
      <c r="C63" s="28" t="n">
        <v>3</v>
      </c>
      <c r="D63" s="30">
        <f>SUMIFS(Data!$G$3:$G$125,Data!$A$3:$A$125,$A63)</f>
        <v/>
      </c>
      <c r="E63" s="30">
        <f>SUMIFS('Individual Refineries'!$F$3:$F$1084,'Individual Refineries'!$B$3:$B$1084,$A63,'Individual Refineries'!$D$3:$D$1084,"CDU")</f>
        <v/>
      </c>
      <c r="F63" s="30">
        <f>SUMIFS('Individual Refineries'!$F$3:$F$1084,'Individual Refineries'!$B$3:$B$1084,$A63,'Individual Refineries'!$D$3:$D$1084,"VDU")</f>
        <v/>
      </c>
      <c r="G63" s="30">
        <f>SUMIFS('Individual Refineries'!$F$3:$F$1084,'Individual Refineries'!$B$3:$B$1084,$A63,'Individual Refineries'!$D$3:$D$1084,"FCC")</f>
        <v/>
      </c>
      <c r="H63" s="30">
        <f>SUMIFS('Individual Refineries'!$F$3:$F$1084,'Individual Refineries'!$B$3:$B$1084,$A63,'Individual Refineries'!$D$3:$D$1084,"RCC")</f>
        <v/>
      </c>
      <c r="I63" s="30">
        <f>SUMIFS('Individual Refineries'!$F$3:$F$1084,'Individual Refineries'!$B$3:$B$1084,$A63,'Individual Refineries'!$D$3:$D$1084,"COKER")</f>
        <v/>
      </c>
      <c r="J63" s="30">
        <f>SUMIFS('Individual Refineries'!$F$3:$F$1084,'Individual Refineries'!$B$3:$B$1084,$A63,'Individual Refineries'!$D$3:$D$1084,"FCOKER")</f>
        <v/>
      </c>
      <c r="K63" s="30">
        <f>SUMIFS('Individual Refineries'!$F$3:$F$1084,'Individual Refineries'!$B$3:$B$1084,$A63,'Individual Refineries'!$D$3:$D$1084,"DHCU")</f>
        <v/>
      </c>
      <c r="L63" s="30">
        <f>SUMIFS('Individual Refineries'!$F$3:$F$1084,'Individual Refineries'!$B$3:$B$1084,$A63,'Individual Refineries'!$D$3:$D$1084,"RHCU")</f>
        <v/>
      </c>
      <c r="M63" s="30">
        <f>SUMIFS('Individual Refineries'!$F$3:$F$1084,'Individual Refineries'!$B$3:$B$1084,$A63,'Individual Refineries'!$D$3:$D$1084,"REF")</f>
        <v/>
      </c>
      <c r="N63" s="30">
        <f>SUMIFS('Individual Refineries'!$F$3:$F$1084,'Individual Refineries'!$B$3:$B$1084,$A63,'Individual Refineries'!$D$3:$D$1084,"CCR")</f>
        <v/>
      </c>
      <c r="O63" s="30">
        <f>SUMIFS('Individual Refineries'!$F$3:$F$1084,'Individual Refineries'!$B$3:$B$1084,$A63,'Individual Refineries'!$D$3:$D$1084,"ISOM")</f>
        <v/>
      </c>
      <c r="P63" s="30">
        <f>SUMIFS('Individual Refineries'!$F$3:$F$1084,'Individual Refineries'!$B$3:$B$1084,$A63,'Individual Refineries'!$D$3:$D$1084,"ALKY")</f>
        <v/>
      </c>
      <c r="Q63" s="30">
        <f>SUMIFS('Individual Refineries'!$F$3:$F$1084,'Individual Refineries'!$B$3:$B$1084,$A63,'Individual Refineries'!$D$3:$D$1084,"NSPL")</f>
        <v/>
      </c>
      <c r="R63" s="30">
        <f>SUMIFS('Individual Refineries'!$F$3:$F$1084,'Individual Refineries'!$B$3:$B$1084,$A63,'Individual Refineries'!$D$3:$D$1084,"NHT")</f>
        <v/>
      </c>
    </row>
    <row r="64">
      <c r="A64" s="40" t="inlineStr">
        <is>
          <t>VALERO_THREE_RIVERS</t>
        </is>
      </c>
      <c r="B64" s="28" t="inlineStr">
        <is>
          <t>Valero Three Rivers</t>
        </is>
      </c>
      <c r="C64" s="28" t="n">
        <v>3</v>
      </c>
      <c r="D64" s="30">
        <f>SUMIFS(Data!$G$3:$G$125,Data!$A$3:$A$125,$A64)</f>
        <v/>
      </c>
      <c r="E64" s="30">
        <f>SUMIFS('Individual Refineries'!$F$3:$F$1084,'Individual Refineries'!$B$3:$B$1084,$A64,'Individual Refineries'!$D$3:$D$1084,"CDU")</f>
        <v/>
      </c>
      <c r="F64" s="30">
        <f>SUMIFS('Individual Refineries'!$F$3:$F$1084,'Individual Refineries'!$B$3:$B$1084,$A64,'Individual Refineries'!$D$3:$D$1084,"VDU")</f>
        <v/>
      </c>
      <c r="G64" s="30">
        <f>SUMIFS('Individual Refineries'!$F$3:$F$1084,'Individual Refineries'!$B$3:$B$1084,$A64,'Individual Refineries'!$D$3:$D$1084,"FCC")</f>
        <v/>
      </c>
      <c r="H64" s="30">
        <f>SUMIFS('Individual Refineries'!$F$3:$F$1084,'Individual Refineries'!$B$3:$B$1084,$A64,'Individual Refineries'!$D$3:$D$1084,"RCC")</f>
        <v/>
      </c>
      <c r="I64" s="30">
        <f>SUMIFS('Individual Refineries'!$F$3:$F$1084,'Individual Refineries'!$B$3:$B$1084,$A64,'Individual Refineries'!$D$3:$D$1084,"COKER")</f>
        <v/>
      </c>
      <c r="J64" s="30">
        <f>SUMIFS('Individual Refineries'!$F$3:$F$1084,'Individual Refineries'!$B$3:$B$1084,$A64,'Individual Refineries'!$D$3:$D$1084,"FCOKER")</f>
        <v/>
      </c>
      <c r="K64" s="30">
        <f>SUMIFS('Individual Refineries'!$F$3:$F$1084,'Individual Refineries'!$B$3:$B$1084,$A64,'Individual Refineries'!$D$3:$D$1084,"DHCU")</f>
        <v/>
      </c>
      <c r="L64" s="30">
        <f>SUMIFS('Individual Refineries'!$F$3:$F$1084,'Individual Refineries'!$B$3:$B$1084,$A64,'Individual Refineries'!$D$3:$D$1084,"RHCU")</f>
        <v/>
      </c>
      <c r="M64" s="30">
        <f>SUMIFS('Individual Refineries'!$F$3:$F$1084,'Individual Refineries'!$B$3:$B$1084,$A64,'Individual Refineries'!$D$3:$D$1084,"REF")</f>
        <v/>
      </c>
      <c r="N64" s="30">
        <f>SUMIFS('Individual Refineries'!$F$3:$F$1084,'Individual Refineries'!$B$3:$B$1084,$A64,'Individual Refineries'!$D$3:$D$1084,"CCR")</f>
        <v/>
      </c>
      <c r="O64" s="30">
        <f>SUMIFS('Individual Refineries'!$F$3:$F$1084,'Individual Refineries'!$B$3:$B$1084,$A64,'Individual Refineries'!$D$3:$D$1084,"ISOM")</f>
        <v/>
      </c>
      <c r="P64" s="30">
        <f>SUMIFS('Individual Refineries'!$F$3:$F$1084,'Individual Refineries'!$B$3:$B$1084,$A64,'Individual Refineries'!$D$3:$D$1084,"ALKY")</f>
        <v/>
      </c>
      <c r="Q64" s="30">
        <f>SUMIFS('Individual Refineries'!$F$3:$F$1084,'Individual Refineries'!$B$3:$B$1084,$A64,'Individual Refineries'!$D$3:$D$1084,"NSPL")</f>
        <v/>
      </c>
      <c r="R64" s="30">
        <f>SUMIFS('Individual Refineries'!$F$3:$F$1084,'Individual Refineries'!$B$3:$B$1084,$A64,'Individual Refineries'!$D$3:$D$1084,"NHT")</f>
        <v/>
      </c>
    </row>
    <row r="65">
      <c r="A65" s="40" t="inlineStr">
        <is>
          <t>VERTEX_MOBILE</t>
        </is>
      </c>
      <c r="B65" s="28" t="inlineStr">
        <is>
          <t>Vertex Energy Inc. Mobile</t>
        </is>
      </c>
      <c r="C65" s="28" t="n">
        <v>3</v>
      </c>
      <c r="D65" s="30">
        <f>SUMIFS(Data!$G$3:$G$125,Data!$A$3:$A$125,$A65)</f>
        <v/>
      </c>
      <c r="E65" s="30">
        <f>SUMIFS('Individual Refineries'!$F$3:$F$1084,'Individual Refineries'!$B$3:$B$1084,$A65,'Individual Refineries'!$D$3:$D$1084,"CDU")</f>
        <v/>
      </c>
      <c r="F65" s="30">
        <f>SUMIFS('Individual Refineries'!$F$3:$F$1084,'Individual Refineries'!$B$3:$B$1084,$A65,'Individual Refineries'!$D$3:$D$1084,"VDU")</f>
        <v/>
      </c>
      <c r="G65" s="30">
        <f>SUMIFS('Individual Refineries'!$F$3:$F$1084,'Individual Refineries'!$B$3:$B$1084,$A65,'Individual Refineries'!$D$3:$D$1084,"FCC")</f>
        <v/>
      </c>
      <c r="H65" s="30">
        <f>SUMIFS('Individual Refineries'!$F$3:$F$1084,'Individual Refineries'!$B$3:$B$1084,$A65,'Individual Refineries'!$D$3:$D$1084,"RCC")</f>
        <v/>
      </c>
      <c r="I65" s="30">
        <f>SUMIFS('Individual Refineries'!$F$3:$F$1084,'Individual Refineries'!$B$3:$B$1084,$A65,'Individual Refineries'!$D$3:$D$1084,"COKER")</f>
        <v/>
      </c>
      <c r="J65" s="30">
        <f>SUMIFS('Individual Refineries'!$F$3:$F$1084,'Individual Refineries'!$B$3:$B$1084,$A65,'Individual Refineries'!$D$3:$D$1084,"FCOKER")</f>
        <v/>
      </c>
      <c r="K65" s="30">
        <f>SUMIFS('Individual Refineries'!$F$3:$F$1084,'Individual Refineries'!$B$3:$B$1084,$A65,'Individual Refineries'!$D$3:$D$1084,"DHCU")</f>
        <v/>
      </c>
      <c r="L65" s="30">
        <f>SUMIFS('Individual Refineries'!$F$3:$F$1084,'Individual Refineries'!$B$3:$B$1084,$A65,'Individual Refineries'!$D$3:$D$1084,"RHCU")</f>
        <v/>
      </c>
      <c r="M65" s="30">
        <f>SUMIFS('Individual Refineries'!$F$3:$F$1084,'Individual Refineries'!$B$3:$B$1084,$A65,'Individual Refineries'!$D$3:$D$1084,"REF")</f>
        <v/>
      </c>
      <c r="N65" s="30">
        <f>SUMIFS('Individual Refineries'!$F$3:$F$1084,'Individual Refineries'!$B$3:$B$1084,$A65,'Individual Refineries'!$D$3:$D$1084,"CCR")</f>
        <v/>
      </c>
      <c r="O65" s="30">
        <f>SUMIFS('Individual Refineries'!$F$3:$F$1084,'Individual Refineries'!$B$3:$B$1084,$A65,'Individual Refineries'!$D$3:$D$1084,"ISOM")</f>
        <v/>
      </c>
      <c r="P65" s="30">
        <f>SUMIFS('Individual Refineries'!$F$3:$F$1084,'Individual Refineries'!$B$3:$B$1084,$A65,'Individual Refineries'!$D$3:$D$1084,"ALKY")</f>
        <v/>
      </c>
      <c r="Q65" s="30">
        <f>SUMIFS('Individual Refineries'!$F$3:$F$1084,'Individual Refineries'!$B$3:$B$1084,$A65,'Individual Refineries'!$D$3:$D$1084,"NSPL")</f>
        <v/>
      </c>
      <c r="R65" s="30">
        <f>SUMIFS('Individual Refineries'!$F$3:$F$1084,'Individual Refineries'!$B$3:$B$1084,$A65,'Individual Refineries'!$D$3:$D$1084,"NHT")</f>
        <v/>
      </c>
    </row>
    <row r="66">
      <c r="A66" s="40" t="inlineStr">
        <is>
          <t>DELEK_EL_DORADO_AR</t>
        </is>
      </c>
      <c r="B66" s="28" t="inlineStr">
        <is>
          <t>Delek Group El Dorado (AR)</t>
        </is>
      </c>
      <c r="C66" s="28" t="n">
        <v>3</v>
      </c>
      <c r="D66" s="30">
        <f>SUMIFS(Data!$G$3:$G$125,Data!$A$3:$A$125,$A66)</f>
        <v/>
      </c>
      <c r="E66" s="30">
        <f>SUMIFS('Individual Refineries'!$F$3:$F$1084,'Individual Refineries'!$B$3:$B$1084,$A66,'Individual Refineries'!$D$3:$D$1084,"CDU")</f>
        <v/>
      </c>
      <c r="F66" s="30">
        <f>SUMIFS('Individual Refineries'!$F$3:$F$1084,'Individual Refineries'!$B$3:$B$1084,$A66,'Individual Refineries'!$D$3:$D$1084,"VDU")</f>
        <v/>
      </c>
      <c r="G66" s="30">
        <f>SUMIFS('Individual Refineries'!$F$3:$F$1084,'Individual Refineries'!$B$3:$B$1084,$A66,'Individual Refineries'!$D$3:$D$1084,"FCC")</f>
        <v/>
      </c>
      <c r="H66" s="30">
        <f>SUMIFS('Individual Refineries'!$F$3:$F$1084,'Individual Refineries'!$B$3:$B$1084,$A66,'Individual Refineries'!$D$3:$D$1084,"RCC")</f>
        <v/>
      </c>
      <c r="I66" s="30">
        <f>SUMIFS('Individual Refineries'!$F$3:$F$1084,'Individual Refineries'!$B$3:$B$1084,$A66,'Individual Refineries'!$D$3:$D$1084,"COKER")</f>
        <v/>
      </c>
      <c r="J66" s="30">
        <f>SUMIFS('Individual Refineries'!$F$3:$F$1084,'Individual Refineries'!$B$3:$B$1084,$A66,'Individual Refineries'!$D$3:$D$1084,"FCOKER")</f>
        <v/>
      </c>
      <c r="K66" s="30">
        <f>SUMIFS('Individual Refineries'!$F$3:$F$1084,'Individual Refineries'!$B$3:$B$1084,$A66,'Individual Refineries'!$D$3:$D$1084,"DHCU")</f>
        <v/>
      </c>
      <c r="L66" s="30">
        <f>SUMIFS('Individual Refineries'!$F$3:$F$1084,'Individual Refineries'!$B$3:$B$1084,$A66,'Individual Refineries'!$D$3:$D$1084,"RHCU")</f>
        <v/>
      </c>
      <c r="M66" s="30">
        <f>SUMIFS('Individual Refineries'!$F$3:$F$1084,'Individual Refineries'!$B$3:$B$1084,$A66,'Individual Refineries'!$D$3:$D$1084,"REF")</f>
        <v/>
      </c>
      <c r="N66" s="30">
        <f>SUMIFS('Individual Refineries'!$F$3:$F$1084,'Individual Refineries'!$B$3:$B$1084,$A66,'Individual Refineries'!$D$3:$D$1084,"CCR")</f>
        <v/>
      </c>
      <c r="O66" s="30">
        <f>SUMIFS('Individual Refineries'!$F$3:$F$1084,'Individual Refineries'!$B$3:$B$1084,$A66,'Individual Refineries'!$D$3:$D$1084,"ISOM")</f>
        <v/>
      </c>
      <c r="P66" s="30">
        <f>SUMIFS('Individual Refineries'!$F$3:$F$1084,'Individual Refineries'!$B$3:$B$1084,$A66,'Individual Refineries'!$D$3:$D$1084,"ALKY")</f>
        <v/>
      </c>
      <c r="Q66" s="30">
        <f>SUMIFS('Individual Refineries'!$F$3:$F$1084,'Individual Refineries'!$B$3:$B$1084,$A66,'Individual Refineries'!$D$3:$D$1084,"NSPL")</f>
        <v/>
      </c>
      <c r="R66" s="30">
        <f>SUMIFS('Individual Refineries'!$F$3:$F$1084,'Individual Refineries'!$B$3:$B$1084,$A66,'Individual Refineries'!$D$3:$D$1084,"NHT")</f>
        <v/>
      </c>
    </row>
    <row r="67">
      <c r="A67" s="40" t="inlineStr">
        <is>
          <t>BASF_PORT_ARTHUR</t>
        </is>
      </c>
      <c r="B67" s="28" t="inlineStr">
        <is>
          <t>BASF FINA Petrochemicals Port Arthur</t>
        </is>
      </c>
      <c r="C67" s="28" t="n">
        <v>3</v>
      </c>
      <c r="D67" s="30">
        <f>SUMIFS(Data!$G$3:$G$125,Data!$A$3:$A$125,$A67)</f>
        <v/>
      </c>
      <c r="E67" s="30">
        <f>SUMIFS('Individual Refineries'!$F$3:$F$1084,'Individual Refineries'!$B$3:$B$1084,$A67,'Individual Refineries'!$D$3:$D$1084,"CDU")</f>
        <v/>
      </c>
      <c r="F67" s="30">
        <f>SUMIFS('Individual Refineries'!$F$3:$F$1084,'Individual Refineries'!$B$3:$B$1084,$A67,'Individual Refineries'!$D$3:$D$1084,"VDU")</f>
        <v/>
      </c>
      <c r="G67" s="30">
        <f>SUMIFS('Individual Refineries'!$F$3:$F$1084,'Individual Refineries'!$B$3:$B$1084,$A67,'Individual Refineries'!$D$3:$D$1084,"FCC")</f>
        <v/>
      </c>
      <c r="H67" s="30">
        <f>SUMIFS('Individual Refineries'!$F$3:$F$1084,'Individual Refineries'!$B$3:$B$1084,$A67,'Individual Refineries'!$D$3:$D$1084,"RCC")</f>
        <v/>
      </c>
      <c r="I67" s="30">
        <f>SUMIFS('Individual Refineries'!$F$3:$F$1084,'Individual Refineries'!$B$3:$B$1084,$A67,'Individual Refineries'!$D$3:$D$1084,"COKER")</f>
        <v/>
      </c>
      <c r="J67" s="30">
        <f>SUMIFS('Individual Refineries'!$F$3:$F$1084,'Individual Refineries'!$B$3:$B$1084,$A67,'Individual Refineries'!$D$3:$D$1084,"FCOKER")</f>
        <v/>
      </c>
      <c r="K67" s="30">
        <f>SUMIFS('Individual Refineries'!$F$3:$F$1084,'Individual Refineries'!$B$3:$B$1084,$A67,'Individual Refineries'!$D$3:$D$1084,"DHCU")</f>
        <v/>
      </c>
      <c r="L67" s="30">
        <f>SUMIFS('Individual Refineries'!$F$3:$F$1084,'Individual Refineries'!$B$3:$B$1084,$A67,'Individual Refineries'!$D$3:$D$1084,"RHCU")</f>
        <v/>
      </c>
      <c r="M67" s="30">
        <f>SUMIFS('Individual Refineries'!$F$3:$F$1084,'Individual Refineries'!$B$3:$B$1084,$A67,'Individual Refineries'!$D$3:$D$1084,"REF")</f>
        <v/>
      </c>
      <c r="N67" s="30">
        <f>SUMIFS('Individual Refineries'!$F$3:$F$1084,'Individual Refineries'!$B$3:$B$1084,$A67,'Individual Refineries'!$D$3:$D$1084,"CCR")</f>
        <v/>
      </c>
      <c r="O67" s="30">
        <f>SUMIFS('Individual Refineries'!$F$3:$F$1084,'Individual Refineries'!$B$3:$B$1084,$A67,'Individual Refineries'!$D$3:$D$1084,"ISOM")</f>
        <v/>
      </c>
      <c r="P67" s="30">
        <f>SUMIFS('Individual Refineries'!$F$3:$F$1084,'Individual Refineries'!$B$3:$B$1084,$A67,'Individual Refineries'!$D$3:$D$1084,"ALKY")</f>
        <v/>
      </c>
      <c r="Q67" s="30">
        <f>SUMIFS('Individual Refineries'!$F$3:$F$1084,'Individual Refineries'!$B$3:$B$1084,$A67,'Individual Refineries'!$D$3:$D$1084,"NSPL")</f>
        <v/>
      </c>
      <c r="R67" s="30">
        <f>SUMIFS('Individual Refineries'!$F$3:$F$1084,'Individual Refineries'!$B$3:$B$1084,$A67,'Individual Refineries'!$D$3:$D$1084,"NHT")</f>
        <v/>
      </c>
    </row>
    <row r="68">
      <c r="A68" s="40" t="inlineStr">
        <is>
          <t>DELEK_TYLER</t>
        </is>
      </c>
      <c r="B68" s="28" t="inlineStr">
        <is>
          <t>Delek Refining Ltd. Tyler</t>
        </is>
      </c>
      <c r="C68" s="28" t="n">
        <v>3</v>
      </c>
      <c r="D68" s="30">
        <f>SUMIFS(Data!$G$3:$G$125,Data!$A$3:$A$125,$A68)</f>
        <v/>
      </c>
      <c r="E68" s="30">
        <f>SUMIFS('Individual Refineries'!$F$3:$F$1084,'Individual Refineries'!$B$3:$B$1084,$A68,'Individual Refineries'!$D$3:$D$1084,"CDU")</f>
        <v/>
      </c>
      <c r="F68" s="30">
        <f>SUMIFS('Individual Refineries'!$F$3:$F$1084,'Individual Refineries'!$B$3:$B$1084,$A68,'Individual Refineries'!$D$3:$D$1084,"VDU")</f>
        <v/>
      </c>
      <c r="G68" s="30">
        <f>SUMIFS('Individual Refineries'!$F$3:$F$1084,'Individual Refineries'!$B$3:$B$1084,$A68,'Individual Refineries'!$D$3:$D$1084,"FCC")</f>
        <v/>
      </c>
      <c r="H68" s="30">
        <f>SUMIFS('Individual Refineries'!$F$3:$F$1084,'Individual Refineries'!$B$3:$B$1084,$A68,'Individual Refineries'!$D$3:$D$1084,"RCC")</f>
        <v/>
      </c>
      <c r="I68" s="30">
        <f>SUMIFS('Individual Refineries'!$F$3:$F$1084,'Individual Refineries'!$B$3:$B$1084,$A68,'Individual Refineries'!$D$3:$D$1084,"COKER")</f>
        <v/>
      </c>
      <c r="J68" s="30">
        <f>SUMIFS('Individual Refineries'!$F$3:$F$1084,'Individual Refineries'!$B$3:$B$1084,$A68,'Individual Refineries'!$D$3:$D$1084,"FCOKER")</f>
        <v/>
      </c>
      <c r="K68" s="30">
        <f>SUMIFS('Individual Refineries'!$F$3:$F$1084,'Individual Refineries'!$B$3:$B$1084,$A68,'Individual Refineries'!$D$3:$D$1084,"DHCU")</f>
        <v/>
      </c>
      <c r="L68" s="30">
        <f>SUMIFS('Individual Refineries'!$F$3:$F$1084,'Individual Refineries'!$B$3:$B$1084,$A68,'Individual Refineries'!$D$3:$D$1084,"RHCU")</f>
        <v/>
      </c>
      <c r="M68" s="30">
        <f>SUMIFS('Individual Refineries'!$F$3:$F$1084,'Individual Refineries'!$B$3:$B$1084,$A68,'Individual Refineries'!$D$3:$D$1084,"REF")</f>
        <v/>
      </c>
      <c r="N68" s="30">
        <f>SUMIFS('Individual Refineries'!$F$3:$F$1084,'Individual Refineries'!$B$3:$B$1084,$A68,'Individual Refineries'!$D$3:$D$1084,"CCR")</f>
        <v/>
      </c>
      <c r="O68" s="30">
        <f>SUMIFS('Individual Refineries'!$F$3:$F$1084,'Individual Refineries'!$B$3:$B$1084,$A68,'Individual Refineries'!$D$3:$D$1084,"ISOM")</f>
        <v/>
      </c>
      <c r="P68" s="30">
        <f>SUMIFS('Individual Refineries'!$F$3:$F$1084,'Individual Refineries'!$B$3:$B$1084,$A68,'Individual Refineries'!$D$3:$D$1084,"ALKY")</f>
        <v/>
      </c>
      <c r="Q68" s="30">
        <f>SUMIFS('Individual Refineries'!$F$3:$F$1084,'Individual Refineries'!$B$3:$B$1084,$A68,'Individual Refineries'!$D$3:$D$1084,"NSPL")</f>
        <v/>
      </c>
      <c r="R68" s="30">
        <f>SUMIFS('Individual Refineries'!$F$3:$F$1084,'Individual Refineries'!$B$3:$B$1084,$A68,'Individual Refineries'!$D$3:$D$1084,"NHT")</f>
        <v/>
      </c>
    </row>
    <row r="69">
      <c r="A69" s="40" t="inlineStr">
        <is>
          <t>PLACID_PORT_ALLEN</t>
        </is>
      </c>
      <c r="B69" s="28" t="inlineStr">
        <is>
          <t>Placid Refining Port Allen</t>
        </is>
      </c>
      <c r="C69" s="28" t="n">
        <v>3</v>
      </c>
      <c r="D69" s="30">
        <f>SUMIFS(Data!$G$3:$G$125,Data!$A$3:$A$125,$A69)</f>
        <v/>
      </c>
      <c r="E69" s="30">
        <f>SUMIFS('Individual Refineries'!$F$3:$F$1084,'Individual Refineries'!$B$3:$B$1084,$A69,'Individual Refineries'!$D$3:$D$1084,"CDU")</f>
        <v/>
      </c>
      <c r="F69" s="30">
        <f>SUMIFS('Individual Refineries'!$F$3:$F$1084,'Individual Refineries'!$B$3:$B$1084,$A69,'Individual Refineries'!$D$3:$D$1084,"VDU")</f>
        <v/>
      </c>
      <c r="G69" s="30">
        <f>SUMIFS('Individual Refineries'!$F$3:$F$1084,'Individual Refineries'!$B$3:$B$1084,$A69,'Individual Refineries'!$D$3:$D$1084,"FCC")</f>
        <v/>
      </c>
      <c r="H69" s="30">
        <f>SUMIFS('Individual Refineries'!$F$3:$F$1084,'Individual Refineries'!$B$3:$B$1084,$A69,'Individual Refineries'!$D$3:$D$1084,"RCC")</f>
        <v/>
      </c>
      <c r="I69" s="30">
        <f>SUMIFS('Individual Refineries'!$F$3:$F$1084,'Individual Refineries'!$B$3:$B$1084,$A69,'Individual Refineries'!$D$3:$D$1084,"COKER")</f>
        <v/>
      </c>
      <c r="J69" s="30">
        <f>SUMIFS('Individual Refineries'!$F$3:$F$1084,'Individual Refineries'!$B$3:$B$1084,$A69,'Individual Refineries'!$D$3:$D$1084,"FCOKER")</f>
        <v/>
      </c>
      <c r="K69" s="30">
        <f>SUMIFS('Individual Refineries'!$F$3:$F$1084,'Individual Refineries'!$B$3:$B$1084,$A69,'Individual Refineries'!$D$3:$D$1084,"DHCU")</f>
        <v/>
      </c>
      <c r="L69" s="30">
        <f>SUMIFS('Individual Refineries'!$F$3:$F$1084,'Individual Refineries'!$B$3:$B$1084,$A69,'Individual Refineries'!$D$3:$D$1084,"RHCU")</f>
        <v/>
      </c>
      <c r="M69" s="30">
        <f>SUMIFS('Individual Refineries'!$F$3:$F$1084,'Individual Refineries'!$B$3:$B$1084,$A69,'Individual Refineries'!$D$3:$D$1084,"REF")</f>
        <v/>
      </c>
      <c r="N69" s="30">
        <f>SUMIFS('Individual Refineries'!$F$3:$F$1084,'Individual Refineries'!$B$3:$B$1084,$A69,'Individual Refineries'!$D$3:$D$1084,"CCR")</f>
        <v/>
      </c>
      <c r="O69" s="30">
        <f>SUMIFS('Individual Refineries'!$F$3:$F$1084,'Individual Refineries'!$B$3:$B$1084,$A69,'Individual Refineries'!$D$3:$D$1084,"ISOM")</f>
        <v/>
      </c>
      <c r="P69" s="30">
        <f>SUMIFS('Individual Refineries'!$F$3:$F$1084,'Individual Refineries'!$B$3:$B$1084,$A69,'Individual Refineries'!$D$3:$D$1084,"ALKY")</f>
        <v/>
      </c>
      <c r="Q69" s="30">
        <f>SUMIFS('Individual Refineries'!$F$3:$F$1084,'Individual Refineries'!$B$3:$B$1084,$A69,'Individual Refineries'!$D$3:$D$1084,"NSPL")</f>
        <v/>
      </c>
      <c r="R69" s="30">
        <f>SUMIFS('Individual Refineries'!$F$3:$F$1084,'Individual Refineries'!$B$3:$B$1084,$A69,'Individual Refineries'!$D$3:$D$1084,"NHT")</f>
        <v/>
      </c>
    </row>
    <row r="70">
      <c r="A70" s="40" t="inlineStr">
        <is>
          <t>DELEK_KROTZ_SPRINGS</t>
        </is>
      </c>
      <c r="B70" s="28" t="inlineStr">
        <is>
          <t>Delek Group Krotz Springs</t>
        </is>
      </c>
      <c r="C70" s="28" t="n">
        <v>3</v>
      </c>
      <c r="D70" s="30">
        <f>SUMIFS(Data!$G$3:$G$125,Data!$A$3:$A$125,$A70)</f>
        <v/>
      </c>
      <c r="E70" s="30">
        <f>SUMIFS('Individual Refineries'!$F$3:$F$1084,'Individual Refineries'!$B$3:$B$1084,$A70,'Individual Refineries'!$D$3:$D$1084,"CDU")</f>
        <v/>
      </c>
      <c r="F70" s="30">
        <f>SUMIFS('Individual Refineries'!$F$3:$F$1084,'Individual Refineries'!$B$3:$B$1084,$A70,'Individual Refineries'!$D$3:$D$1084,"VDU")</f>
        <v/>
      </c>
      <c r="G70" s="30">
        <f>SUMIFS('Individual Refineries'!$F$3:$F$1084,'Individual Refineries'!$B$3:$B$1084,$A70,'Individual Refineries'!$D$3:$D$1084,"FCC")</f>
        <v/>
      </c>
      <c r="H70" s="30">
        <f>SUMIFS('Individual Refineries'!$F$3:$F$1084,'Individual Refineries'!$B$3:$B$1084,$A70,'Individual Refineries'!$D$3:$D$1084,"RCC")</f>
        <v/>
      </c>
      <c r="I70" s="30">
        <f>SUMIFS('Individual Refineries'!$F$3:$F$1084,'Individual Refineries'!$B$3:$B$1084,$A70,'Individual Refineries'!$D$3:$D$1084,"COKER")</f>
        <v/>
      </c>
      <c r="J70" s="30">
        <f>SUMIFS('Individual Refineries'!$F$3:$F$1084,'Individual Refineries'!$B$3:$B$1084,$A70,'Individual Refineries'!$D$3:$D$1084,"FCOKER")</f>
        <v/>
      </c>
      <c r="K70" s="30">
        <f>SUMIFS('Individual Refineries'!$F$3:$F$1084,'Individual Refineries'!$B$3:$B$1084,$A70,'Individual Refineries'!$D$3:$D$1084,"DHCU")</f>
        <v/>
      </c>
      <c r="L70" s="30">
        <f>SUMIFS('Individual Refineries'!$F$3:$F$1084,'Individual Refineries'!$B$3:$B$1084,$A70,'Individual Refineries'!$D$3:$D$1084,"RHCU")</f>
        <v/>
      </c>
      <c r="M70" s="30">
        <f>SUMIFS('Individual Refineries'!$F$3:$F$1084,'Individual Refineries'!$B$3:$B$1084,$A70,'Individual Refineries'!$D$3:$D$1084,"REF")</f>
        <v/>
      </c>
      <c r="N70" s="30">
        <f>SUMIFS('Individual Refineries'!$F$3:$F$1084,'Individual Refineries'!$B$3:$B$1084,$A70,'Individual Refineries'!$D$3:$D$1084,"CCR")</f>
        <v/>
      </c>
      <c r="O70" s="30">
        <f>SUMIFS('Individual Refineries'!$F$3:$F$1084,'Individual Refineries'!$B$3:$B$1084,$A70,'Individual Refineries'!$D$3:$D$1084,"ISOM")</f>
        <v/>
      </c>
      <c r="P70" s="30">
        <f>SUMIFS('Individual Refineries'!$F$3:$F$1084,'Individual Refineries'!$B$3:$B$1084,$A70,'Individual Refineries'!$D$3:$D$1084,"ALKY")</f>
        <v/>
      </c>
      <c r="Q70" s="30">
        <f>SUMIFS('Individual Refineries'!$F$3:$F$1084,'Individual Refineries'!$B$3:$B$1084,$A70,'Individual Refineries'!$D$3:$D$1084,"NSPL")</f>
        <v/>
      </c>
      <c r="R70" s="30">
        <f>SUMIFS('Individual Refineries'!$F$3:$F$1084,'Individual Refineries'!$B$3:$B$1084,$A70,'Individual Refineries'!$D$3:$D$1084,"NHT")</f>
        <v/>
      </c>
    </row>
    <row r="71">
      <c r="A71" s="40" t="inlineStr">
        <is>
          <t>ALON_BIG_SPRINGS</t>
        </is>
      </c>
      <c r="B71" s="28" t="inlineStr">
        <is>
          <t>Alon Big Springs</t>
        </is>
      </c>
      <c r="C71" s="28" t="n">
        <v>3</v>
      </c>
      <c r="D71" s="30">
        <f>SUMIFS(Data!$G$3:$G$125,Data!$A$3:$A$125,$A71)</f>
        <v/>
      </c>
      <c r="E71" s="30">
        <f>SUMIFS('Individual Refineries'!$F$3:$F$1084,'Individual Refineries'!$B$3:$B$1084,$A71,'Individual Refineries'!$D$3:$D$1084,"CDU")</f>
        <v/>
      </c>
      <c r="F71" s="30">
        <f>SUMIFS('Individual Refineries'!$F$3:$F$1084,'Individual Refineries'!$B$3:$B$1084,$A71,'Individual Refineries'!$D$3:$D$1084,"VDU")</f>
        <v/>
      </c>
      <c r="G71" s="30">
        <f>SUMIFS('Individual Refineries'!$F$3:$F$1084,'Individual Refineries'!$B$3:$B$1084,$A71,'Individual Refineries'!$D$3:$D$1084,"FCC")</f>
        <v/>
      </c>
      <c r="H71" s="30">
        <f>SUMIFS('Individual Refineries'!$F$3:$F$1084,'Individual Refineries'!$B$3:$B$1084,$A71,'Individual Refineries'!$D$3:$D$1084,"RCC")</f>
        <v/>
      </c>
      <c r="I71" s="30">
        <f>SUMIFS('Individual Refineries'!$F$3:$F$1084,'Individual Refineries'!$B$3:$B$1084,$A71,'Individual Refineries'!$D$3:$D$1084,"COKER")</f>
        <v/>
      </c>
      <c r="J71" s="30">
        <f>SUMIFS('Individual Refineries'!$F$3:$F$1084,'Individual Refineries'!$B$3:$B$1084,$A71,'Individual Refineries'!$D$3:$D$1084,"FCOKER")</f>
        <v/>
      </c>
      <c r="K71" s="30">
        <f>SUMIFS('Individual Refineries'!$F$3:$F$1084,'Individual Refineries'!$B$3:$B$1084,$A71,'Individual Refineries'!$D$3:$D$1084,"DHCU")</f>
        <v/>
      </c>
      <c r="L71" s="30">
        <f>SUMIFS('Individual Refineries'!$F$3:$F$1084,'Individual Refineries'!$B$3:$B$1084,$A71,'Individual Refineries'!$D$3:$D$1084,"RHCU")</f>
        <v/>
      </c>
      <c r="M71" s="30">
        <f>SUMIFS('Individual Refineries'!$F$3:$F$1084,'Individual Refineries'!$B$3:$B$1084,$A71,'Individual Refineries'!$D$3:$D$1084,"REF")</f>
        <v/>
      </c>
      <c r="N71" s="30">
        <f>SUMIFS('Individual Refineries'!$F$3:$F$1084,'Individual Refineries'!$B$3:$B$1084,$A71,'Individual Refineries'!$D$3:$D$1084,"CCR")</f>
        <v/>
      </c>
      <c r="O71" s="30">
        <f>SUMIFS('Individual Refineries'!$F$3:$F$1084,'Individual Refineries'!$B$3:$B$1084,$A71,'Individual Refineries'!$D$3:$D$1084,"ISOM")</f>
        <v/>
      </c>
      <c r="P71" s="30">
        <f>SUMIFS('Individual Refineries'!$F$3:$F$1084,'Individual Refineries'!$B$3:$B$1084,$A71,'Individual Refineries'!$D$3:$D$1084,"ALKY")</f>
        <v/>
      </c>
      <c r="Q71" s="30">
        <f>SUMIFS('Individual Refineries'!$F$3:$F$1084,'Individual Refineries'!$B$3:$B$1084,$A71,'Individual Refineries'!$D$3:$D$1084,"NSPL")</f>
        <v/>
      </c>
      <c r="R71" s="30">
        <f>SUMIFS('Individual Refineries'!$F$3:$F$1084,'Individual Refineries'!$B$3:$B$1084,$A71,'Individual Refineries'!$D$3:$D$1084,"NHT")</f>
        <v/>
      </c>
    </row>
    <row r="72">
      <c r="A72" s="40" t="inlineStr">
        <is>
          <t>BUCKEYE_CORPUS_CHRISTI</t>
        </is>
      </c>
      <c r="B72" s="28" t="inlineStr">
        <is>
          <t>Buckeye Partners Corpus Christi</t>
        </is>
      </c>
      <c r="C72" s="28" t="n">
        <v>3</v>
      </c>
      <c r="D72" s="30">
        <f>SUMIFS(Data!$G$3:$G$125,Data!$A$3:$A$125,$A72)</f>
        <v/>
      </c>
      <c r="E72" s="30">
        <f>SUMIFS('Individual Refineries'!$F$3:$F$1084,'Individual Refineries'!$B$3:$B$1084,$A72,'Individual Refineries'!$D$3:$D$1084,"CDU")</f>
        <v/>
      </c>
      <c r="F72" s="30">
        <f>SUMIFS('Individual Refineries'!$F$3:$F$1084,'Individual Refineries'!$B$3:$B$1084,$A72,'Individual Refineries'!$D$3:$D$1084,"VDU")</f>
        <v/>
      </c>
      <c r="G72" s="30">
        <f>SUMIFS('Individual Refineries'!$F$3:$F$1084,'Individual Refineries'!$B$3:$B$1084,$A72,'Individual Refineries'!$D$3:$D$1084,"FCC")</f>
        <v/>
      </c>
      <c r="H72" s="30">
        <f>SUMIFS('Individual Refineries'!$F$3:$F$1084,'Individual Refineries'!$B$3:$B$1084,$A72,'Individual Refineries'!$D$3:$D$1084,"RCC")</f>
        <v/>
      </c>
      <c r="I72" s="30">
        <f>SUMIFS('Individual Refineries'!$F$3:$F$1084,'Individual Refineries'!$B$3:$B$1084,$A72,'Individual Refineries'!$D$3:$D$1084,"COKER")</f>
        <v/>
      </c>
      <c r="J72" s="30">
        <f>SUMIFS('Individual Refineries'!$F$3:$F$1084,'Individual Refineries'!$B$3:$B$1084,$A72,'Individual Refineries'!$D$3:$D$1084,"FCOKER")</f>
        <v/>
      </c>
      <c r="K72" s="30">
        <f>SUMIFS('Individual Refineries'!$F$3:$F$1084,'Individual Refineries'!$B$3:$B$1084,$A72,'Individual Refineries'!$D$3:$D$1084,"DHCU")</f>
        <v/>
      </c>
      <c r="L72" s="30">
        <f>SUMIFS('Individual Refineries'!$F$3:$F$1084,'Individual Refineries'!$B$3:$B$1084,$A72,'Individual Refineries'!$D$3:$D$1084,"RHCU")</f>
        <v/>
      </c>
      <c r="M72" s="30">
        <f>SUMIFS('Individual Refineries'!$F$3:$F$1084,'Individual Refineries'!$B$3:$B$1084,$A72,'Individual Refineries'!$D$3:$D$1084,"REF")</f>
        <v/>
      </c>
      <c r="N72" s="30">
        <f>SUMIFS('Individual Refineries'!$F$3:$F$1084,'Individual Refineries'!$B$3:$B$1084,$A72,'Individual Refineries'!$D$3:$D$1084,"CCR")</f>
        <v/>
      </c>
      <c r="O72" s="30">
        <f>SUMIFS('Individual Refineries'!$F$3:$F$1084,'Individual Refineries'!$B$3:$B$1084,$A72,'Individual Refineries'!$D$3:$D$1084,"ISOM")</f>
        <v/>
      </c>
      <c r="P72" s="30">
        <f>SUMIFS('Individual Refineries'!$F$3:$F$1084,'Individual Refineries'!$B$3:$B$1084,$A72,'Individual Refineries'!$D$3:$D$1084,"ALKY")</f>
        <v/>
      </c>
      <c r="Q72" s="30">
        <f>SUMIFS('Individual Refineries'!$F$3:$F$1084,'Individual Refineries'!$B$3:$B$1084,$A72,'Individual Refineries'!$D$3:$D$1084,"NSPL")</f>
        <v/>
      </c>
      <c r="R72" s="30">
        <f>SUMIFS('Individual Refineries'!$F$3:$F$1084,'Individual Refineries'!$B$3:$B$1084,$A72,'Individual Refineries'!$D$3:$D$1084,"NHT")</f>
        <v/>
      </c>
    </row>
    <row r="73">
      <c r="A73" s="40" t="inlineStr">
        <is>
          <t>CALUMET_SHREVEPORT</t>
        </is>
      </c>
      <c r="B73" s="28" t="inlineStr">
        <is>
          <t>Calumet Lubricants Co. Shreveport</t>
        </is>
      </c>
      <c r="C73" s="28" t="n">
        <v>3</v>
      </c>
      <c r="D73" s="30">
        <f>SUMIFS(Data!$G$3:$G$125,Data!$A$3:$A$125,$A73)</f>
        <v/>
      </c>
      <c r="E73" s="30">
        <f>SUMIFS('Individual Refineries'!$F$3:$F$1084,'Individual Refineries'!$B$3:$B$1084,$A73,'Individual Refineries'!$D$3:$D$1084,"CDU")</f>
        <v/>
      </c>
      <c r="F73" s="30">
        <f>SUMIFS('Individual Refineries'!$F$3:$F$1084,'Individual Refineries'!$B$3:$B$1084,$A73,'Individual Refineries'!$D$3:$D$1084,"VDU")</f>
        <v/>
      </c>
      <c r="G73" s="30">
        <f>SUMIFS('Individual Refineries'!$F$3:$F$1084,'Individual Refineries'!$B$3:$B$1084,$A73,'Individual Refineries'!$D$3:$D$1084,"FCC")</f>
        <v/>
      </c>
      <c r="H73" s="30">
        <f>SUMIFS('Individual Refineries'!$F$3:$F$1084,'Individual Refineries'!$B$3:$B$1084,$A73,'Individual Refineries'!$D$3:$D$1084,"RCC")</f>
        <v/>
      </c>
      <c r="I73" s="30">
        <f>SUMIFS('Individual Refineries'!$F$3:$F$1084,'Individual Refineries'!$B$3:$B$1084,$A73,'Individual Refineries'!$D$3:$D$1084,"COKER")</f>
        <v/>
      </c>
      <c r="J73" s="30">
        <f>SUMIFS('Individual Refineries'!$F$3:$F$1084,'Individual Refineries'!$B$3:$B$1084,$A73,'Individual Refineries'!$D$3:$D$1084,"FCOKER")</f>
        <v/>
      </c>
      <c r="K73" s="30">
        <f>SUMIFS('Individual Refineries'!$F$3:$F$1084,'Individual Refineries'!$B$3:$B$1084,$A73,'Individual Refineries'!$D$3:$D$1084,"DHCU")</f>
        <v/>
      </c>
      <c r="L73" s="30">
        <f>SUMIFS('Individual Refineries'!$F$3:$F$1084,'Individual Refineries'!$B$3:$B$1084,$A73,'Individual Refineries'!$D$3:$D$1084,"RHCU")</f>
        <v/>
      </c>
      <c r="M73" s="30">
        <f>SUMIFS('Individual Refineries'!$F$3:$F$1084,'Individual Refineries'!$B$3:$B$1084,$A73,'Individual Refineries'!$D$3:$D$1084,"REF")</f>
        <v/>
      </c>
      <c r="N73" s="30">
        <f>SUMIFS('Individual Refineries'!$F$3:$F$1084,'Individual Refineries'!$B$3:$B$1084,$A73,'Individual Refineries'!$D$3:$D$1084,"CCR")</f>
        <v/>
      </c>
      <c r="O73" s="30">
        <f>SUMIFS('Individual Refineries'!$F$3:$F$1084,'Individual Refineries'!$B$3:$B$1084,$A73,'Individual Refineries'!$D$3:$D$1084,"ISOM")</f>
        <v/>
      </c>
      <c r="P73" s="30">
        <f>SUMIFS('Individual Refineries'!$F$3:$F$1084,'Individual Refineries'!$B$3:$B$1084,$A73,'Individual Refineries'!$D$3:$D$1084,"ALKY")</f>
        <v/>
      </c>
      <c r="Q73" s="30">
        <f>SUMIFS('Individual Refineries'!$F$3:$F$1084,'Individual Refineries'!$B$3:$B$1084,$A73,'Individual Refineries'!$D$3:$D$1084,"NSPL")</f>
        <v/>
      </c>
      <c r="R73" s="30">
        <f>SUMIFS('Individual Refineries'!$F$3:$F$1084,'Individual Refineries'!$B$3:$B$1084,$A73,'Individual Refineries'!$D$3:$D$1084,"NHT")</f>
        <v/>
      </c>
    </row>
    <row r="74">
      <c r="A74" s="40" t="inlineStr">
        <is>
          <t>MARATHON_TEXAS_CITY_GALVESTON_BAY</t>
        </is>
      </c>
      <c r="B74" s="28" t="inlineStr">
        <is>
          <t>Marathon Petroleum Texas City (Galveston Bay)</t>
        </is>
      </c>
      <c r="C74" s="28" t="n">
        <v>3</v>
      </c>
      <c r="D74" s="30">
        <f>SUMIFS(Data!$G$3:$G$125,Data!$A$3:$A$125,$A74)</f>
        <v/>
      </c>
      <c r="E74" s="30">
        <f>SUMIFS('Individual Refineries'!$F$3:$F$1084,'Individual Refineries'!$B$3:$B$1084,$A74,'Individual Refineries'!$D$3:$D$1084,"CDU")</f>
        <v/>
      </c>
      <c r="F74" s="30">
        <f>SUMIFS('Individual Refineries'!$F$3:$F$1084,'Individual Refineries'!$B$3:$B$1084,$A74,'Individual Refineries'!$D$3:$D$1084,"VDU")</f>
        <v/>
      </c>
      <c r="G74" s="30">
        <f>SUMIFS('Individual Refineries'!$F$3:$F$1084,'Individual Refineries'!$B$3:$B$1084,$A74,'Individual Refineries'!$D$3:$D$1084,"FCC")</f>
        <v/>
      </c>
      <c r="H74" s="30">
        <f>SUMIFS('Individual Refineries'!$F$3:$F$1084,'Individual Refineries'!$B$3:$B$1084,$A74,'Individual Refineries'!$D$3:$D$1084,"RCC")</f>
        <v/>
      </c>
      <c r="I74" s="30">
        <f>SUMIFS('Individual Refineries'!$F$3:$F$1084,'Individual Refineries'!$B$3:$B$1084,$A74,'Individual Refineries'!$D$3:$D$1084,"COKER")</f>
        <v/>
      </c>
      <c r="J74" s="30">
        <f>SUMIFS('Individual Refineries'!$F$3:$F$1084,'Individual Refineries'!$B$3:$B$1084,$A74,'Individual Refineries'!$D$3:$D$1084,"FCOKER")</f>
        <v/>
      </c>
      <c r="K74" s="30">
        <f>SUMIFS('Individual Refineries'!$F$3:$F$1084,'Individual Refineries'!$B$3:$B$1084,$A74,'Individual Refineries'!$D$3:$D$1084,"DHCU")</f>
        <v/>
      </c>
      <c r="L74" s="30">
        <f>SUMIFS('Individual Refineries'!$F$3:$F$1084,'Individual Refineries'!$B$3:$B$1084,$A74,'Individual Refineries'!$D$3:$D$1084,"RHCU")</f>
        <v/>
      </c>
      <c r="M74" s="30">
        <f>SUMIFS('Individual Refineries'!$F$3:$F$1084,'Individual Refineries'!$B$3:$B$1084,$A74,'Individual Refineries'!$D$3:$D$1084,"REF")</f>
        <v/>
      </c>
      <c r="N74" s="30">
        <f>SUMIFS('Individual Refineries'!$F$3:$F$1084,'Individual Refineries'!$B$3:$B$1084,$A74,'Individual Refineries'!$D$3:$D$1084,"CCR")</f>
        <v/>
      </c>
      <c r="O74" s="30">
        <f>SUMIFS('Individual Refineries'!$F$3:$F$1084,'Individual Refineries'!$B$3:$B$1084,$A74,'Individual Refineries'!$D$3:$D$1084,"ISOM")</f>
        <v/>
      </c>
      <c r="P74" s="30">
        <f>SUMIFS('Individual Refineries'!$F$3:$F$1084,'Individual Refineries'!$B$3:$B$1084,$A74,'Individual Refineries'!$D$3:$D$1084,"ALKY")</f>
        <v/>
      </c>
      <c r="Q74" s="30">
        <f>SUMIFS('Individual Refineries'!$F$3:$F$1084,'Individual Refineries'!$B$3:$B$1084,$A74,'Individual Refineries'!$D$3:$D$1084,"NSPL")</f>
        <v/>
      </c>
      <c r="R74" s="30">
        <f>SUMIFS('Individual Refineries'!$F$3:$F$1084,'Individual Refineries'!$B$3:$B$1084,$A74,'Individual Refineries'!$D$3:$D$1084,"NHT")</f>
        <v/>
      </c>
    </row>
    <row r="75">
      <c r="A75" s="40" t="inlineStr">
        <is>
          <t>HUNT_TUSCALOOSA</t>
        </is>
      </c>
      <c r="B75" s="28" t="inlineStr">
        <is>
          <t>Hunt Refining Consolidated Tuscaloosa</t>
        </is>
      </c>
      <c r="C75" s="28" t="n">
        <v>3</v>
      </c>
      <c r="D75" s="30">
        <f>SUMIFS(Data!$G$3:$G$125,Data!$A$3:$A$125,$A75)</f>
        <v/>
      </c>
      <c r="E75" s="30">
        <f>SUMIFS('Individual Refineries'!$F$3:$F$1084,'Individual Refineries'!$B$3:$B$1084,$A75,'Individual Refineries'!$D$3:$D$1084,"CDU")</f>
        <v/>
      </c>
      <c r="F75" s="30">
        <f>SUMIFS('Individual Refineries'!$F$3:$F$1084,'Individual Refineries'!$B$3:$B$1084,$A75,'Individual Refineries'!$D$3:$D$1084,"VDU")</f>
        <v/>
      </c>
      <c r="G75" s="30">
        <f>SUMIFS('Individual Refineries'!$F$3:$F$1084,'Individual Refineries'!$B$3:$B$1084,$A75,'Individual Refineries'!$D$3:$D$1084,"FCC")</f>
        <v/>
      </c>
      <c r="H75" s="30">
        <f>SUMIFS('Individual Refineries'!$F$3:$F$1084,'Individual Refineries'!$B$3:$B$1084,$A75,'Individual Refineries'!$D$3:$D$1084,"RCC")</f>
        <v/>
      </c>
      <c r="I75" s="30">
        <f>SUMIFS('Individual Refineries'!$F$3:$F$1084,'Individual Refineries'!$B$3:$B$1084,$A75,'Individual Refineries'!$D$3:$D$1084,"COKER")</f>
        <v/>
      </c>
      <c r="J75" s="30">
        <f>SUMIFS('Individual Refineries'!$F$3:$F$1084,'Individual Refineries'!$B$3:$B$1084,$A75,'Individual Refineries'!$D$3:$D$1084,"FCOKER")</f>
        <v/>
      </c>
      <c r="K75" s="30">
        <f>SUMIFS('Individual Refineries'!$F$3:$F$1084,'Individual Refineries'!$B$3:$B$1084,$A75,'Individual Refineries'!$D$3:$D$1084,"DHCU")</f>
        <v/>
      </c>
      <c r="L75" s="30">
        <f>SUMIFS('Individual Refineries'!$F$3:$F$1084,'Individual Refineries'!$B$3:$B$1084,$A75,'Individual Refineries'!$D$3:$D$1084,"RHCU")</f>
        <v/>
      </c>
      <c r="M75" s="30">
        <f>SUMIFS('Individual Refineries'!$F$3:$F$1084,'Individual Refineries'!$B$3:$B$1084,$A75,'Individual Refineries'!$D$3:$D$1084,"REF")</f>
        <v/>
      </c>
      <c r="N75" s="30">
        <f>SUMIFS('Individual Refineries'!$F$3:$F$1084,'Individual Refineries'!$B$3:$B$1084,$A75,'Individual Refineries'!$D$3:$D$1084,"CCR")</f>
        <v/>
      </c>
      <c r="O75" s="30">
        <f>SUMIFS('Individual Refineries'!$F$3:$F$1084,'Individual Refineries'!$B$3:$B$1084,$A75,'Individual Refineries'!$D$3:$D$1084,"ISOM")</f>
        <v/>
      </c>
      <c r="P75" s="30">
        <f>SUMIFS('Individual Refineries'!$F$3:$F$1084,'Individual Refineries'!$B$3:$B$1084,$A75,'Individual Refineries'!$D$3:$D$1084,"ALKY")</f>
        <v/>
      </c>
      <c r="Q75" s="30">
        <f>SUMIFS('Individual Refineries'!$F$3:$F$1084,'Individual Refineries'!$B$3:$B$1084,$A75,'Individual Refineries'!$D$3:$D$1084,"NSPL")</f>
        <v/>
      </c>
      <c r="R75" s="30">
        <f>SUMIFS('Individual Refineries'!$F$3:$F$1084,'Individual Refineries'!$B$3:$B$1084,$A75,'Individual Refineries'!$D$3:$D$1084,"NHT")</f>
        <v/>
      </c>
    </row>
    <row r="76">
      <c r="A76" s="40" t="inlineStr">
        <is>
          <t>ERGON_VICKSBURG</t>
        </is>
      </c>
      <c r="B76" s="28" t="inlineStr">
        <is>
          <t>Ergon Vicksburg</t>
        </is>
      </c>
      <c r="C76" s="28" t="n">
        <v>3</v>
      </c>
      <c r="D76" s="30">
        <f>SUMIFS(Data!$G$3:$G$125,Data!$A$3:$A$125,$A76)</f>
        <v/>
      </c>
      <c r="E76" s="30">
        <f>SUMIFS('Individual Refineries'!$F$3:$F$1084,'Individual Refineries'!$B$3:$B$1084,$A76,'Individual Refineries'!$D$3:$D$1084,"CDU")</f>
        <v/>
      </c>
      <c r="F76" s="30">
        <f>SUMIFS('Individual Refineries'!$F$3:$F$1084,'Individual Refineries'!$B$3:$B$1084,$A76,'Individual Refineries'!$D$3:$D$1084,"VDU")</f>
        <v/>
      </c>
      <c r="G76" s="30">
        <f>SUMIFS('Individual Refineries'!$F$3:$F$1084,'Individual Refineries'!$B$3:$B$1084,$A76,'Individual Refineries'!$D$3:$D$1084,"FCC")</f>
        <v/>
      </c>
      <c r="H76" s="30">
        <f>SUMIFS('Individual Refineries'!$F$3:$F$1084,'Individual Refineries'!$B$3:$B$1084,$A76,'Individual Refineries'!$D$3:$D$1084,"RCC")</f>
        <v/>
      </c>
      <c r="I76" s="30">
        <f>SUMIFS('Individual Refineries'!$F$3:$F$1084,'Individual Refineries'!$B$3:$B$1084,$A76,'Individual Refineries'!$D$3:$D$1084,"COKER")</f>
        <v/>
      </c>
      <c r="J76" s="30">
        <f>SUMIFS('Individual Refineries'!$F$3:$F$1084,'Individual Refineries'!$B$3:$B$1084,$A76,'Individual Refineries'!$D$3:$D$1084,"FCOKER")</f>
        <v/>
      </c>
      <c r="K76" s="30">
        <f>SUMIFS('Individual Refineries'!$F$3:$F$1084,'Individual Refineries'!$B$3:$B$1084,$A76,'Individual Refineries'!$D$3:$D$1084,"DHCU")</f>
        <v/>
      </c>
      <c r="L76" s="30">
        <f>SUMIFS('Individual Refineries'!$F$3:$F$1084,'Individual Refineries'!$B$3:$B$1084,$A76,'Individual Refineries'!$D$3:$D$1084,"RHCU")</f>
        <v/>
      </c>
      <c r="M76" s="30">
        <f>SUMIFS('Individual Refineries'!$F$3:$F$1084,'Individual Refineries'!$B$3:$B$1084,$A76,'Individual Refineries'!$D$3:$D$1084,"REF")</f>
        <v/>
      </c>
      <c r="N76" s="30">
        <f>SUMIFS('Individual Refineries'!$F$3:$F$1084,'Individual Refineries'!$B$3:$B$1084,$A76,'Individual Refineries'!$D$3:$D$1084,"CCR")</f>
        <v/>
      </c>
      <c r="O76" s="30">
        <f>SUMIFS('Individual Refineries'!$F$3:$F$1084,'Individual Refineries'!$B$3:$B$1084,$A76,'Individual Refineries'!$D$3:$D$1084,"ISOM")</f>
        <v/>
      </c>
      <c r="P76" s="30">
        <f>SUMIFS('Individual Refineries'!$F$3:$F$1084,'Individual Refineries'!$B$3:$B$1084,$A76,'Individual Refineries'!$D$3:$D$1084,"ALKY")</f>
        <v/>
      </c>
      <c r="Q76" s="30">
        <f>SUMIFS('Individual Refineries'!$F$3:$F$1084,'Individual Refineries'!$B$3:$B$1084,$A76,'Individual Refineries'!$D$3:$D$1084,"NSPL")</f>
        <v/>
      </c>
      <c r="R76" s="30">
        <f>SUMIFS('Individual Refineries'!$F$3:$F$1084,'Individual Refineries'!$B$3:$B$1084,$A76,'Individual Refineries'!$D$3:$D$1084,"NHT")</f>
        <v/>
      </c>
    </row>
    <row r="77">
      <c r="A77" s="40" t="inlineStr">
        <is>
          <t>LAZARUS_SAN_ANTONIO</t>
        </is>
      </c>
      <c r="B77" s="28" t="inlineStr">
        <is>
          <t>Lazarus Energy San Antonio</t>
        </is>
      </c>
      <c r="C77" s="28" t="n">
        <v>3</v>
      </c>
      <c r="D77" s="30">
        <f>SUMIFS(Data!$G$3:$G$125,Data!$A$3:$A$125,$A77)</f>
        <v/>
      </c>
      <c r="E77" s="30">
        <f>SUMIFS('Individual Refineries'!$F$3:$F$1084,'Individual Refineries'!$B$3:$B$1084,$A77,'Individual Refineries'!$D$3:$D$1084,"CDU")</f>
        <v/>
      </c>
      <c r="F77" s="30">
        <f>SUMIFS('Individual Refineries'!$F$3:$F$1084,'Individual Refineries'!$B$3:$B$1084,$A77,'Individual Refineries'!$D$3:$D$1084,"VDU")</f>
        <v/>
      </c>
      <c r="G77" s="30">
        <f>SUMIFS('Individual Refineries'!$F$3:$F$1084,'Individual Refineries'!$B$3:$B$1084,$A77,'Individual Refineries'!$D$3:$D$1084,"FCC")</f>
        <v/>
      </c>
      <c r="H77" s="30">
        <f>SUMIFS('Individual Refineries'!$F$3:$F$1084,'Individual Refineries'!$B$3:$B$1084,$A77,'Individual Refineries'!$D$3:$D$1084,"RCC")</f>
        <v/>
      </c>
      <c r="I77" s="30">
        <f>SUMIFS('Individual Refineries'!$F$3:$F$1084,'Individual Refineries'!$B$3:$B$1084,$A77,'Individual Refineries'!$D$3:$D$1084,"COKER")</f>
        <v/>
      </c>
      <c r="J77" s="30">
        <f>SUMIFS('Individual Refineries'!$F$3:$F$1084,'Individual Refineries'!$B$3:$B$1084,$A77,'Individual Refineries'!$D$3:$D$1084,"FCOKER")</f>
        <v/>
      </c>
      <c r="K77" s="30">
        <f>SUMIFS('Individual Refineries'!$F$3:$F$1084,'Individual Refineries'!$B$3:$B$1084,$A77,'Individual Refineries'!$D$3:$D$1084,"DHCU")</f>
        <v/>
      </c>
      <c r="L77" s="30">
        <f>SUMIFS('Individual Refineries'!$F$3:$F$1084,'Individual Refineries'!$B$3:$B$1084,$A77,'Individual Refineries'!$D$3:$D$1084,"RHCU")</f>
        <v/>
      </c>
      <c r="M77" s="30">
        <f>SUMIFS('Individual Refineries'!$F$3:$F$1084,'Individual Refineries'!$B$3:$B$1084,$A77,'Individual Refineries'!$D$3:$D$1084,"REF")</f>
        <v/>
      </c>
      <c r="N77" s="30">
        <f>SUMIFS('Individual Refineries'!$F$3:$F$1084,'Individual Refineries'!$B$3:$B$1084,$A77,'Individual Refineries'!$D$3:$D$1084,"CCR")</f>
        <v/>
      </c>
      <c r="O77" s="30">
        <f>SUMIFS('Individual Refineries'!$F$3:$F$1084,'Individual Refineries'!$B$3:$B$1084,$A77,'Individual Refineries'!$D$3:$D$1084,"ISOM")</f>
        <v/>
      </c>
      <c r="P77" s="30">
        <f>SUMIFS('Individual Refineries'!$F$3:$F$1084,'Individual Refineries'!$B$3:$B$1084,$A77,'Individual Refineries'!$D$3:$D$1084,"ALKY")</f>
        <v/>
      </c>
      <c r="Q77" s="30">
        <f>SUMIFS('Individual Refineries'!$F$3:$F$1084,'Individual Refineries'!$B$3:$B$1084,$A77,'Individual Refineries'!$D$3:$D$1084,"NSPL")</f>
        <v/>
      </c>
      <c r="R77" s="30">
        <f>SUMIFS('Individual Refineries'!$F$3:$F$1084,'Individual Refineries'!$B$3:$B$1084,$A77,'Individual Refineries'!$D$3:$D$1084,"NHT")</f>
        <v/>
      </c>
    </row>
    <row r="78">
      <c r="A78" s="40" t="inlineStr">
        <is>
          <t>BLUE_NIXON</t>
        </is>
      </c>
      <c r="B78" s="28" t="inlineStr">
        <is>
          <t>Blue Dolphin Energy Nixon</t>
        </is>
      </c>
      <c r="C78" s="28" t="n">
        <v>3</v>
      </c>
      <c r="D78" s="30">
        <f>SUMIFS(Data!$G$3:$G$125,Data!$A$3:$A$125,$A78)</f>
        <v/>
      </c>
      <c r="E78" s="30">
        <f>SUMIFS('Individual Refineries'!$F$3:$F$1084,'Individual Refineries'!$B$3:$B$1084,$A78,'Individual Refineries'!$D$3:$D$1084,"CDU")</f>
        <v/>
      </c>
      <c r="F78" s="30">
        <f>SUMIFS('Individual Refineries'!$F$3:$F$1084,'Individual Refineries'!$B$3:$B$1084,$A78,'Individual Refineries'!$D$3:$D$1084,"VDU")</f>
        <v/>
      </c>
      <c r="G78" s="30">
        <f>SUMIFS('Individual Refineries'!$F$3:$F$1084,'Individual Refineries'!$B$3:$B$1084,$A78,'Individual Refineries'!$D$3:$D$1084,"FCC")</f>
        <v/>
      </c>
      <c r="H78" s="30">
        <f>SUMIFS('Individual Refineries'!$F$3:$F$1084,'Individual Refineries'!$B$3:$B$1084,$A78,'Individual Refineries'!$D$3:$D$1084,"RCC")</f>
        <v/>
      </c>
      <c r="I78" s="30">
        <f>SUMIFS('Individual Refineries'!$F$3:$F$1084,'Individual Refineries'!$B$3:$B$1084,$A78,'Individual Refineries'!$D$3:$D$1084,"COKER")</f>
        <v/>
      </c>
      <c r="J78" s="30">
        <f>SUMIFS('Individual Refineries'!$F$3:$F$1084,'Individual Refineries'!$B$3:$B$1084,$A78,'Individual Refineries'!$D$3:$D$1084,"FCOKER")</f>
        <v/>
      </c>
      <c r="K78" s="30">
        <f>SUMIFS('Individual Refineries'!$F$3:$F$1084,'Individual Refineries'!$B$3:$B$1084,$A78,'Individual Refineries'!$D$3:$D$1084,"DHCU")</f>
        <v/>
      </c>
      <c r="L78" s="30">
        <f>SUMIFS('Individual Refineries'!$F$3:$F$1084,'Individual Refineries'!$B$3:$B$1084,$A78,'Individual Refineries'!$D$3:$D$1084,"RHCU")</f>
        <v/>
      </c>
      <c r="M78" s="30">
        <f>SUMIFS('Individual Refineries'!$F$3:$F$1084,'Individual Refineries'!$B$3:$B$1084,$A78,'Individual Refineries'!$D$3:$D$1084,"REF")</f>
        <v/>
      </c>
      <c r="N78" s="30">
        <f>SUMIFS('Individual Refineries'!$F$3:$F$1084,'Individual Refineries'!$B$3:$B$1084,$A78,'Individual Refineries'!$D$3:$D$1084,"CCR")</f>
        <v/>
      </c>
      <c r="O78" s="30">
        <f>SUMIFS('Individual Refineries'!$F$3:$F$1084,'Individual Refineries'!$B$3:$B$1084,$A78,'Individual Refineries'!$D$3:$D$1084,"ISOM")</f>
        <v/>
      </c>
      <c r="P78" s="30">
        <f>SUMIFS('Individual Refineries'!$F$3:$F$1084,'Individual Refineries'!$B$3:$B$1084,$A78,'Individual Refineries'!$D$3:$D$1084,"ALKY")</f>
        <v/>
      </c>
      <c r="Q78" s="30">
        <f>SUMIFS('Individual Refineries'!$F$3:$F$1084,'Individual Refineries'!$B$3:$B$1084,$A78,'Individual Refineries'!$D$3:$D$1084,"NSPL")</f>
        <v/>
      </c>
      <c r="R78" s="30">
        <f>SUMIFS('Individual Refineries'!$F$3:$F$1084,'Individual Refineries'!$B$3:$B$1084,$A78,'Individual Refineries'!$D$3:$D$1084,"NHT")</f>
        <v/>
      </c>
    </row>
    <row r="79">
      <c r="A79" s="40" t="inlineStr">
        <is>
          <t>CALUMET_COTTON_VALLEY</t>
        </is>
      </c>
      <c r="B79" s="28" t="inlineStr">
        <is>
          <t>Calumet Lubricants Co. Cotton Valley</t>
        </is>
      </c>
      <c r="C79" s="28" t="n">
        <v>3</v>
      </c>
      <c r="D79" s="30">
        <f>SUMIFS(Data!$G$3:$G$125,Data!$A$3:$A$125,$A79)</f>
        <v/>
      </c>
      <c r="E79" s="30">
        <f>SUMIFS('Individual Refineries'!$F$3:$F$1084,'Individual Refineries'!$B$3:$B$1084,$A79,'Individual Refineries'!$D$3:$D$1084,"CDU")</f>
        <v/>
      </c>
      <c r="F79" s="30">
        <f>SUMIFS('Individual Refineries'!$F$3:$F$1084,'Individual Refineries'!$B$3:$B$1084,$A79,'Individual Refineries'!$D$3:$D$1084,"VDU")</f>
        <v/>
      </c>
      <c r="G79" s="30">
        <f>SUMIFS('Individual Refineries'!$F$3:$F$1084,'Individual Refineries'!$B$3:$B$1084,$A79,'Individual Refineries'!$D$3:$D$1084,"FCC")</f>
        <v/>
      </c>
      <c r="H79" s="30">
        <f>SUMIFS('Individual Refineries'!$F$3:$F$1084,'Individual Refineries'!$B$3:$B$1084,$A79,'Individual Refineries'!$D$3:$D$1084,"RCC")</f>
        <v/>
      </c>
      <c r="I79" s="30">
        <f>SUMIFS('Individual Refineries'!$F$3:$F$1084,'Individual Refineries'!$B$3:$B$1084,$A79,'Individual Refineries'!$D$3:$D$1084,"COKER")</f>
        <v/>
      </c>
      <c r="J79" s="30">
        <f>SUMIFS('Individual Refineries'!$F$3:$F$1084,'Individual Refineries'!$B$3:$B$1084,$A79,'Individual Refineries'!$D$3:$D$1084,"FCOKER")</f>
        <v/>
      </c>
      <c r="K79" s="30">
        <f>SUMIFS('Individual Refineries'!$F$3:$F$1084,'Individual Refineries'!$B$3:$B$1084,$A79,'Individual Refineries'!$D$3:$D$1084,"DHCU")</f>
        <v/>
      </c>
      <c r="L79" s="30">
        <f>SUMIFS('Individual Refineries'!$F$3:$F$1084,'Individual Refineries'!$B$3:$B$1084,$A79,'Individual Refineries'!$D$3:$D$1084,"RHCU")</f>
        <v/>
      </c>
      <c r="M79" s="30">
        <f>SUMIFS('Individual Refineries'!$F$3:$F$1084,'Individual Refineries'!$B$3:$B$1084,$A79,'Individual Refineries'!$D$3:$D$1084,"REF")</f>
        <v/>
      </c>
      <c r="N79" s="30">
        <f>SUMIFS('Individual Refineries'!$F$3:$F$1084,'Individual Refineries'!$B$3:$B$1084,$A79,'Individual Refineries'!$D$3:$D$1084,"CCR")</f>
        <v/>
      </c>
      <c r="O79" s="30">
        <f>SUMIFS('Individual Refineries'!$F$3:$F$1084,'Individual Refineries'!$B$3:$B$1084,$A79,'Individual Refineries'!$D$3:$D$1084,"ISOM")</f>
        <v/>
      </c>
      <c r="P79" s="30">
        <f>SUMIFS('Individual Refineries'!$F$3:$F$1084,'Individual Refineries'!$B$3:$B$1084,$A79,'Individual Refineries'!$D$3:$D$1084,"ALKY")</f>
        <v/>
      </c>
      <c r="Q79" s="30">
        <f>SUMIFS('Individual Refineries'!$F$3:$F$1084,'Individual Refineries'!$B$3:$B$1084,$A79,'Individual Refineries'!$D$3:$D$1084,"NSPL")</f>
        <v/>
      </c>
      <c r="R79" s="30">
        <f>SUMIFS('Individual Refineries'!$F$3:$F$1084,'Individual Refineries'!$B$3:$B$1084,$A79,'Individual Refineries'!$D$3:$D$1084,"NHT")</f>
        <v/>
      </c>
    </row>
    <row r="80">
      <c r="A80" s="40" t="inlineStr">
        <is>
          <t>HUNT_SANDERSVILLE</t>
        </is>
      </c>
      <c r="B80" s="28" t="inlineStr">
        <is>
          <t>Hunt Refining Consolidated Sandersville</t>
        </is>
      </c>
      <c r="C80" s="28" t="n">
        <v>3</v>
      </c>
      <c r="D80" s="30">
        <f>SUMIFS(Data!$G$3:$G$125,Data!$A$3:$A$125,$A80)</f>
        <v/>
      </c>
      <c r="E80" s="30">
        <f>SUMIFS('Individual Refineries'!$F$3:$F$1084,'Individual Refineries'!$B$3:$B$1084,$A80,'Individual Refineries'!$D$3:$D$1084,"CDU")</f>
        <v/>
      </c>
      <c r="F80" s="30">
        <f>SUMIFS('Individual Refineries'!$F$3:$F$1084,'Individual Refineries'!$B$3:$B$1084,$A80,'Individual Refineries'!$D$3:$D$1084,"VDU")</f>
        <v/>
      </c>
      <c r="G80" s="30">
        <f>SUMIFS('Individual Refineries'!$F$3:$F$1084,'Individual Refineries'!$B$3:$B$1084,$A80,'Individual Refineries'!$D$3:$D$1084,"FCC")</f>
        <v/>
      </c>
      <c r="H80" s="30">
        <f>SUMIFS('Individual Refineries'!$F$3:$F$1084,'Individual Refineries'!$B$3:$B$1084,$A80,'Individual Refineries'!$D$3:$D$1084,"RCC")</f>
        <v/>
      </c>
      <c r="I80" s="30">
        <f>SUMIFS('Individual Refineries'!$F$3:$F$1084,'Individual Refineries'!$B$3:$B$1084,$A80,'Individual Refineries'!$D$3:$D$1084,"COKER")</f>
        <v/>
      </c>
      <c r="J80" s="30">
        <f>SUMIFS('Individual Refineries'!$F$3:$F$1084,'Individual Refineries'!$B$3:$B$1084,$A80,'Individual Refineries'!$D$3:$D$1084,"FCOKER")</f>
        <v/>
      </c>
      <c r="K80" s="30">
        <f>SUMIFS('Individual Refineries'!$F$3:$F$1084,'Individual Refineries'!$B$3:$B$1084,$A80,'Individual Refineries'!$D$3:$D$1084,"DHCU")</f>
        <v/>
      </c>
      <c r="L80" s="30">
        <f>SUMIFS('Individual Refineries'!$F$3:$F$1084,'Individual Refineries'!$B$3:$B$1084,$A80,'Individual Refineries'!$D$3:$D$1084,"RHCU")</f>
        <v/>
      </c>
      <c r="M80" s="30">
        <f>SUMIFS('Individual Refineries'!$F$3:$F$1084,'Individual Refineries'!$B$3:$B$1084,$A80,'Individual Refineries'!$D$3:$D$1084,"REF")</f>
        <v/>
      </c>
      <c r="N80" s="30">
        <f>SUMIFS('Individual Refineries'!$F$3:$F$1084,'Individual Refineries'!$B$3:$B$1084,$A80,'Individual Refineries'!$D$3:$D$1084,"CCR")</f>
        <v/>
      </c>
      <c r="O80" s="30">
        <f>SUMIFS('Individual Refineries'!$F$3:$F$1084,'Individual Refineries'!$B$3:$B$1084,$A80,'Individual Refineries'!$D$3:$D$1084,"ISOM")</f>
        <v/>
      </c>
      <c r="P80" s="30">
        <f>SUMIFS('Individual Refineries'!$F$3:$F$1084,'Individual Refineries'!$B$3:$B$1084,$A80,'Individual Refineries'!$D$3:$D$1084,"ALKY")</f>
        <v/>
      </c>
      <c r="Q80" s="30">
        <f>SUMIFS('Individual Refineries'!$F$3:$F$1084,'Individual Refineries'!$B$3:$B$1084,$A80,'Individual Refineries'!$D$3:$D$1084,"NSPL")</f>
        <v/>
      </c>
      <c r="R80" s="30">
        <f>SUMIFS('Individual Refineries'!$F$3:$F$1084,'Individual Refineries'!$B$3:$B$1084,$A80,'Individual Refineries'!$D$3:$D$1084,"NHT")</f>
        <v/>
      </c>
    </row>
    <row r="81">
      <c r="A81" s="40" t="inlineStr">
        <is>
          <t>CALUMET_PRINCETON</t>
        </is>
      </c>
      <c r="B81" s="28" t="inlineStr">
        <is>
          <t>Calumet Lubricants Co. Princeton</t>
        </is>
      </c>
      <c r="C81" s="28" t="n">
        <v>3</v>
      </c>
      <c r="D81" s="30">
        <f>SUMIFS(Data!$G$3:$G$125,Data!$A$3:$A$125,$A81)</f>
        <v/>
      </c>
      <c r="E81" s="30">
        <f>SUMIFS('Individual Refineries'!$F$3:$F$1084,'Individual Refineries'!$B$3:$B$1084,$A81,'Individual Refineries'!$D$3:$D$1084,"CDU")</f>
        <v/>
      </c>
      <c r="F81" s="30">
        <f>SUMIFS('Individual Refineries'!$F$3:$F$1084,'Individual Refineries'!$B$3:$B$1084,$A81,'Individual Refineries'!$D$3:$D$1084,"VDU")</f>
        <v/>
      </c>
      <c r="G81" s="30">
        <f>SUMIFS('Individual Refineries'!$F$3:$F$1084,'Individual Refineries'!$B$3:$B$1084,$A81,'Individual Refineries'!$D$3:$D$1084,"FCC")</f>
        <v/>
      </c>
      <c r="H81" s="30">
        <f>SUMIFS('Individual Refineries'!$F$3:$F$1084,'Individual Refineries'!$B$3:$B$1084,$A81,'Individual Refineries'!$D$3:$D$1084,"RCC")</f>
        <v/>
      </c>
      <c r="I81" s="30">
        <f>SUMIFS('Individual Refineries'!$F$3:$F$1084,'Individual Refineries'!$B$3:$B$1084,$A81,'Individual Refineries'!$D$3:$D$1084,"COKER")</f>
        <v/>
      </c>
      <c r="J81" s="30">
        <f>SUMIFS('Individual Refineries'!$F$3:$F$1084,'Individual Refineries'!$B$3:$B$1084,$A81,'Individual Refineries'!$D$3:$D$1084,"FCOKER")</f>
        <v/>
      </c>
      <c r="K81" s="30">
        <f>SUMIFS('Individual Refineries'!$F$3:$F$1084,'Individual Refineries'!$B$3:$B$1084,$A81,'Individual Refineries'!$D$3:$D$1084,"DHCU")</f>
        <v/>
      </c>
      <c r="L81" s="30">
        <f>SUMIFS('Individual Refineries'!$F$3:$F$1084,'Individual Refineries'!$B$3:$B$1084,$A81,'Individual Refineries'!$D$3:$D$1084,"RHCU")</f>
        <v/>
      </c>
      <c r="M81" s="30">
        <f>SUMIFS('Individual Refineries'!$F$3:$F$1084,'Individual Refineries'!$B$3:$B$1084,$A81,'Individual Refineries'!$D$3:$D$1084,"REF")</f>
        <v/>
      </c>
      <c r="N81" s="30">
        <f>SUMIFS('Individual Refineries'!$F$3:$F$1084,'Individual Refineries'!$B$3:$B$1084,$A81,'Individual Refineries'!$D$3:$D$1084,"CCR")</f>
        <v/>
      </c>
      <c r="O81" s="30">
        <f>SUMIFS('Individual Refineries'!$F$3:$F$1084,'Individual Refineries'!$B$3:$B$1084,$A81,'Individual Refineries'!$D$3:$D$1084,"ISOM")</f>
        <v/>
      </c>
      <c r="P81" s="30">
        <f>SUMIFS('Individual Refineries'!$F$3:$F$1084,'Individual Refineries'!$B$3:$B$1084,$A81,'Individual Refineries'!$D$3:$D$1084,"ALKY")</f>
        <v/>
      </c>
      <c r="Q81" s="30">
        <f>SUMIFS('Individual Refineries'!$F$3:$F$1084,'Individual Refineries'!$B$3:$B$1084,$A81,'Individual Refineries'!$D$3:$D$1084,"NSPL")</f>
        <v/>
      </c>
      <c r="R81" s="30">
        <f>SUMIFS('Individual Refineries'!$F$3:$F$1084,'Individual Refineries'!$B$3:$B$1084,$A81,'Individual Refineries'!$D$3:$D$1084,"NHT")</f>
        <v/>
      </c>
    </row>
    <row r="82">
      <c r="A82" s="40" t="inlineStr">
        <is>
          <t>CROSS_SMACKOVER</t>
        </is>
      </c>
      <c r="B82" s="28" t="inlineStr">
        <is>
          <t>Cross Oil and Ref.Co. Smackover</t>
        </is>
      </c>
      <c r="C82" s="28" t="n">
        <v>3</v>
      </c>
      <c r="D82" s="30">
        <f>SUMIFS(Data!$G$3:$G$125,Data!$A$3:$A$125,$A82)</f>
        <v/>
      </c>
      <c r="E82" s="30">
        <f>SUMIFS('Individual Refineries'!$F$3:$F$1084,'Individual Refineries'!$B$3:$B$1084,$A82,'Individual Refineries'!$D$3:$D$1084,"CDU")</f>
        <v/>
      </c>
      <c r="F82" s="30">
        <f>SUMIFS('Individual Refineries'!$F$3:$F$1084,'Individual Refineries'!$B$3:$B$1084,$A82,'Individual Refineries'!$D$3:$D$1084,"VDU")</f>
        <v/>
      </c>
      <c r="G82" s="30">
        <f>SUMIFS('Individual Refineries'!$F$3:$F$1084,'Individual Refineries'!$B$3:$B$1084,$A82,'Individual Refineries'!$D$3:$D$1084,"FCC")</f>
        <v/>
      </c>
      <c r="H82" s="30">
        <f>SUMIFS('Individual Refineries'!$F$3:$F$1084,'Individual Refineries'!$B$3:$B$1084,$A82,'Individual Refineries'!$D$3:$D$1084,"RCC")</f>
        <v/>
      </c>
      <c r="I82" s="30">
        <f>SUMIFS('Individual Refineries'!$F$3:$F$1084,'Individual Refineries'!$B$3:$B$1084,$A82,'Individual Refineries'!$D$3:$D$1084,"COKER")</f>
        <v/>
      </c>
      <c r="J82" s="30">
        <f>SUMIFS('Individual Refineries'!$F$3:$F$1084,'Individual Refineries'!$B$3:$B$1084,$A82,'Individual Refineries'!$D$3:$D$1084,"FCOKER")</f>
        <v/>
      </c>
      <c r="K82" s="30">
        <f>SUMIFS('Individual Refineries'!$F$3:$F$1084,'Individual Refineries'!$B$3:$B$1084,$A82,'Individual Refineries'!$D$3:$D$1084,"DHCU")</f>
        <v/>
      </c>
      <c r="L82" s="30">
        <f>SUMIFS('Individual Refineries'!$F$3:$F$1084,'Individual Refineries'!$B$3:$B$1084,$A82,'Individual Refineries'!$D$3:$D$1084,"RHCU")</f>
        <v/>
      </c>
      <c r="M82" s="30">
        <f>SUMIFS('Individual Refineries'!$F$3:$F$1084,'Individual Refineries'!$B$3:$B$1084,$A82,'Individual Refineries'!$D$3:$D$1084,"REF")</f>
        <v/>
      </c>
      <c r="N82" s="30">
        <f>SUMIFS('Individual Refineries'!$F$3:$F$1084,'Individual Refineries'!$B$3:$B$1084,$A82,'Individual Refineries'!$D$3:$D$1084,"CCR")</f>
        <v/>
      </c>
      <c r="O82" s="30">
        <f>SUMIFS('Individual Refineries'!$F$3:$F$1084,'Individual Refineries'!$B$3:$B$1084,$A82,'Individual Refineries'!$D$3:$D$1084,"ISOM")</f>
        <v/>
      </c>
      <c r="P82" s="30">
        <f>SUMIFS('Individual Refineries'!$F$3:$F$1084,'Individual Refineries'!$B$3:$B$1084,$A82,'Individual Refineries'!$D$3:$D$1084,"ALKY")</f>
        <v/>
      </c>
      <c r="Q82" s="30">
        <f>SUMIFS('Individual Refineries'!$F$3:$F$1084,'Individual Refineries'!$B$3:$B$1084,$A82,'Individual Refineries'!$D$3:$D$1084,"NSPL")</f>
        <v/>
      </c>
      <c r="R82" s="30">
        <f>SUMIFS('Individual Refineries'!$F$3:$F$1084,'Individual Refineries'!$B$3:$B$1084,$A82,'Individual Refineries'!$D$3:$D$1084,"NHT")</f>
        <v/>
      </c>
    </row>
    <row r="83">
      <c r="A83" s="40" t="inlineStr">
        <is>
          <t>GOODWAY_ATMORE</t>
        </is>
      </c>
      <c r="B83" s="28" t="inlineStr">
        <is>
          <t>Goodway Refining Atmore</t>
        </is>
      </c>
      <c r="C83" s="28" t="n">
        <v>3</v>
      </c>
      <c r="D83" s="30">
        <f>SUMIFS(Data!$G$3:$G$125,Data!$A$3:$A$125,$A83)</f>
        <v/>
      </c>
      <c r="E83" s="30">
        <f>SUMIFS('Individual Refineries'!$F$3:$F$1084,'Individual Refineries'!$B$3:$B$1084,$A83,'Individual Refineries'!$D$3:$D$1084,"CDU")</f>
        <v/>
      </c>
      <c r="F83" s="30">
        <f>SUMIFS('Individual Refineries'!$F$3:$F$1084,'Individual Refineries'!$B$3:$B$1084,$A83,'Individual Refineries'!$D$3:$D$1084,"VDU")</f>
        <v/>
      </c>
      <c r="G83" s="30">
        <f>SUMIFS('Individual Refineries'!$F$3:$F$1084,'Individual Refineries'!$B$3:$B$1084,$A83,'Individual Refineries'!$D$3:$D$1084,"FCC")</f>
        <v/>
      </c>
      <c r="H83" s="30">
        <f>SUMIFS('Individual Refineries'!$F$3:$F$1084,'Individual Refineries'!$B$3:$B$1084,$A83,'Individual Refineries'!$D$3:$D$1084,"RCC")</f>
        <v/>
      </c>
      <c r="I83" s="30">
        <f>SUMIFS('Individual Refineries'!$F$3:$F$1084,'Individual Refineries'!$B$3:$B$1084,$A83,'Individual Refineries'!$D$3:$D$1084,"COKER")</f>
        <v/>
      </c>
      <c r="J83" s="30">
        <f>SUMIFS('Individual Refineries'!$F$3:$F$1084,'Individual Refineries'!$B$3:$B$1084,$A83,'Individual Refineries'!$D$3:$D$1084,"FCOKER")</f>
        <v/>
      </c>
      <c r="K83" s="30">
        <f>SUMIFS('Individual Refineries'!$F$3:$F$1084,'Individual Refineries'!$B$3:$B$1084,$A83,'Individual Refineries'!$D$3:$D$1084,"DHCU")</f>
        <v/>
      </c>
      <c r="L83" s="30">
        <f>SUMIFS('Individual Refineries'!$F$3:$F$1084,'Individual Refineries'!$B$3:$B$1084,$A83,'Individual Refineries'!$D$3:$D$1084,"RHCU")</f>
        <v/>
      </c>
      <c r="M83" s="30">
        <f>SUMIFS('Individual Refineries'!$F$3:$F$1084,'Individual Refineries'!$B$3:$B$1084,$A83,'Individual Refineries'!$D$3:$D$1084,"REF")</f>
        <v/>
      </c>
      <c r="N83" s="30">
        <f>SUMIFS('Individual Refineries'!$F$3:$F$1084,'Individual Refineries'!$B$3:$B$1084,$A83,'Individual Refineries'!$D$3:$D$1084,"CCR")</f>
        <v/>
      </c>
      <c r="O83" s="30">
        <f>SUMIFS('Individual Refineries'!$F$3:$F$1084,'Individual Refineries'!$B$3:$B$1084,$A83,'Individual Refineries'!$D$3:$D$1084,"ISOM")</f>
        <v/>
      </c>
      <c r="P83" s="30">
        <f>SUMIFS('Individual Refineries'!$F$3:$F$1084,'Individual Refineries'!$B$3:$B$1084,$A83,'Individual Refineries'!$D$3:$D$1084,"ALKY")</f>
        <v/>
      </c>
      <c r="Q83" s="30">
        <f>SUMIFS('Individual Refineries'!$F$3:$F$1084,'Individual Refineries'!$B$3:$B$1084,$A83,'Individual Refineries'!$D$3:$D$1084,"NSPL")</f>
        <v/>
      </c>
      <c r="R83" s="30">
        <f>SUMIFS('Individual Refineries'!$F$3:$F$1084,'Individual Refineries'!$B$3:$B$1084,$A83,'Individual Refineries'!$D$3:$D$1084,"NHT")</f>
        <v/>
      </c>
    </row>
    <row r="84">
      <c r="A84" s="40" t="inlineStr">
        <is>
          <t>LYONDELLBASELL_HOUSTON</t>
        </is>
      </c>
      <c r="B84" s="28" t="inlineStr">
        <is>
          <t>LyondellBasell Refining Houston</t>
        </is>
      </c>
      <c r="C84" s="28" t="n">
        <v>3</v>
      </c>
      <c r="D84" s="30">
        <f>SUMIFS(Data!$G$3:$G$125,Data!$A$3:$A$125,$A84)</f>
        <v/>
      </c>
      <c r="E84" s="30">
        <f>SUMIFS('Individual Refineries'!$F$3:$F$1084,'Individual Refineries'!$B$3:$B$1084,$A84,'Individual Refineries'!$D$3:$D$1084,"CDU")</f>
        <v/>
      </c>
      <c r="F84" s="30">
        <f>SUMIFS('Individual Refineries'!$F$3:$F$1084,'Individual Refineries'!$B$3:$B$1084,$A84,'Individual Refineries'!$D$3:$D$1084,"VDU")</f>
        <v/>
      </c>
      <c r="G84" s="30">
        <f>SUMIFS('Individual Refineries'!$F$3:$F$1084,'Individual Refineries'!$B$3:$B$1084,$A84,'Individual Refineries'!$D$3:$D$1084,"FCC")</f>
        <v/>
      </c>
      <c r="H84" s="30">
        <f>SUMIFS('Individual Refineries'!$F$3:$F$1084,'Individual Refineries'!$B$3:$B$1084,$A84,'Individual Refineries'!$D$3:$D$1084,"RCC")</f>
        <v/>
      </c>
      <c r="I84" s="30">
        <f>SUMIFS('Individual Refineries'!$F$3:$F$1084,'Individual Refineries'!$B$3:$B$1084,$A84,'Individual Refineries'!$D$3:$D$1084,"COKER")</f>
        <v/>
      </c>
      <c r="J84" s="30">
        <f>SUMIFS('Individual Refineries'!$F$3:$F$1084,'Individual Refineries'!$B$3:$B$1084,$A84,'Individual Refineries'!$D$3:$D$1084,"FCOKER")</f>
        <v/>
      </c>
      <c r="K84" s="30">
        <f>SUMIFS('Individual Refineries'!$F$3:$F$1084,'Individual Refineries'!$B$3:$B$1084,$A84,'Individual Refineries'!$D$3:$D$1084,"DHCU")</f>
        <v/>
      </c>
      <c r="L84" s="30">
        <f>SUMIFS('Individual Refineries'!$F$3:$F$1084,'Individual Refineries'!$B$3:$B$1084,$A84,'Individual Refineries'!$D$3:$D$1084,"RHCU")</f>
        <v/>
      </c>
      <c r="M84" s="30">
        <f>SUMIFS('Individual Refineries'!$F$3:$F$1084,'Individual Refineries'!$B$3:$B$1084,$A84,'Individual Refineries'!$D$3:$D$1084,"REF")</f>
        <v/>
      </c>
      <c r="N84" s="30">
        <f>SUMIFS('Individual Refineries'!$F$3:$F$1084,'Individual Refineries'!$B$3:$B$1084,$A84,'Individual Refineries'!$D$3:$D$1084,"CCR")</f>
        <v/>
      </c>
      <c r="O84" s="30">
        <f>SUMIFS('Individual Refineries'!$F$3:$F$1084,'Individual Refineries'!$B$3:$B$1084,$A84,'Individual Refineries'!$D$3:$D$1084,"ISOM")</f>
        <v/>
      </c>
      <c r="P84" s="30">
        <f>SUMIFS('Individual Refineries'!$F$3:$F$1084,'Individual Refineries'!$B$3:$B$1084,$A84,'Individual Refineries'!$D$3:$D$1084,"ALKY")</f>
        <v/>
      </c>
      <c r="Q84" s="30">
        <f>SUMIFS('Individual Refineries'!$F$3:$F$1084,'Individual Refineries'!$B$3:$B$1084,$A84,'Individual Refineries'!$D$3:$D$1084,"NSPL")</f>
        <v/>
      </c>
      <c r="R84" s="30">
        <f>SUMIFS('Individual Refineries'!$F$3:$F$1084,'Individual Refineries'!$B$3:$B$1084,$A84,'Individual Refineries'!$D$3:$D$1084,"NHT")</f>
        <v/>
      </c>
    </row>
    <row r="85">
      <c r="A85" s="40" t="inlineStr">
        <is>
          <t>SHELL_CONVENT</t>
        </is>
      </c>
      <c r="B85" s="28" t="inlineStr">
        <is>
          <t>Shell Convent</t>
        </is>
      </c>
      <c r="C85" s="28" t="n">
        <v>3</v>
      </c>
      <c r="D85" s="30">
        <f>SUMIFS(Data!$G$3:$G$125,Data!$A$3:$A$125,$A85)</f>
        <v/>
      </c>
      <c r="E85" s="30">
        <f>SUMIFS('Individual Refineries'!$F$3:$F$1084,'Individual Refineries'!$B$3:$B$1084,$A85,'Individual Refineries'!$D$3:$D$1084,"CDU")</f>
        <v/>
      </c>
      <c r="F85" s="30">
        <f>SUMIFS('Individual Refineries'!$F$3:$F$1084,'Individual Refineries'!$B$3:$B$1084,$A85,'Individual Refineries'!$D$3:$D$1084,"VDU")</f>
        <v/>
      </c>
      <c r="G85" s="30">
        <f>SUMIFS('Individual Refineries'!$F$3:$F$1084,'Individual Refineries'!$B$3:$B$1084,$A85,'Individual Refineries'!$D$3:$D$1084,"FCC")</f>
        <v/>
      </c>
      <c r="H85" s="30">
        <f>SUMIFS('Individual Refineries'!$F$3:$F$1084,'Individual Refineries'!$B$3:$B$1084,$A85,'Individual Refineries'!$D$3:$D$1084,"RCC")</f>
        <v/>
      </c>
      <c r="I85" s="30">
        <f>SUMIFS('Individual Refineries'!$F$3:$F$1084,'Individual Refineries'!$B$3:$B$1084,$A85,'Individual Refineries'!$D$3:$D$1084,"COKER")</f>
        <v/>
      </c>
      <c r="J85" s="30">
        <f>SUMIFS('Individual Refineries'!$F$3:$F$1084,'Individual Refineries'!$B$3:$B$1084,$A85,'Individual Refineries'!$D$3:$D$1084,"FCOKER")</f>
        <v/>
      </c>
      <c r="K85" s="30">
        <f>SUMIFS('Individual Refineries'!$F$3:$F$1084,'Individual Refineries'!$B$3:$B$1084,$A85,'Individual Refineries'!$D$3:$D$1084,"DHCU")</f>
        <v/>
      </c>
      <c r="L85" s="30">
        <f>SUMIFS('Individual Refineries'!$F$3:$F$1084,'Individual Refineries'!$B$3:$B$1084,$A85,'Individual Refineries'!$D$3:$D$1084,"RHCU")</f>
        <v/>
      </c>
      <c r="M85" s="30">
        <f>SUMIFS('Individual Refineries'!$F$3:$F$1084,'Individual Refineries'!$B$3:$B$1084,$A85,'Individual Refineries'!$D$3:$D$1084,"REF")</f>
        <v/>
      </c>
      <c r="N85" s="30">
        <f>SUMIFS('Individual Refineries'!$F$3:$F$1084,'Individual Refineries'!$B$3:$B$1084,$A85,'Individual Refineries'!$D$3:$D$1084,"CCR")</f>
        <v/>
      </c>
      <c r="O85" s="30">
        <f>SUMIFS('Individual Refineries'!$F$3:$F$1084,'Individual Refineries'!$B$3:$B$1084,$A85,'Individual Refineries'!$D$3:$D$1084,"ISOM")</f>
        <v/>
      </c>
      <c r="P85" s="30">
        <f>SUMIFS('Individual Refineries'!$F$3:$F$1084,'Individual Refineries'!$B$3:$B$1084,$A85,'Individual Refineries'!$D$3:$D$1084,"ALKY")</f>
        <v/>
      </c>
      <c r="Q85" s="30">
        <f>SUMIFS('Individual Refineries'!$F$3:$F$1084,'Individual Refineries'!$B$3:$B$1084,$A85,'Individual Refineries'!$D$3:$D$1084,"NSPL")</f>
        <v/>
      </c>
      <c r="R85" s="30">
        <f>SUMIFS('Individual Refineries'!$F$3:$F$1084,'Individual Refineries'!$B$3:$B$1084,$A85,'Individual Refineries'!$D$3:$D$1084,"NHT")</f>
        <v/>
      </c>
    </row>
    <row r="86">
      <c r="A86" s="40" t="inlineStr">
        <is>
          <t>SHELL_SAINT_ROSE</t>
        </is>
      </c>
      <c r="B86" s="28" t="inlineStr">
        <is>
          <t>Shell Oil Co. USA Saint Rose</t>
        </is>
      </c>
      <c r="C86" s="28" t="n">
        <v>3</v>
      </c>
      <c r="D86" s="30">
        <f>SUMIFS(Data!$G$3:$G$125,Data!$A$3:$A$125,$A86)</f>
        <v/>
      </c>
      <c r="E86" s="30">
        <f>SUMIFS('Individual Refineries'!$F$3:$F$1084,'Individual Refineries'!$B$3:$B$1084,$A86,'Individual Refineries'!$D$3:$D$1084,"CDU")</f>
        <v/>
      </c>
      <c r="F86" s="30">
        <f>SUMIFS('Individual Refineries'!$F$3:$F$1084,'Individual Refineries'!$B$3:$B$1084,$A86,'Individual Refineries'!$D$3:$D$1084,"VDU")</f>
        <v/>
      </c>
      <c r="G86" s="30">
        <f>SUMIFS('Individual Refineries'!$F$3:$F$1084,'Individual Refineries'!$B$3:$B$1084,$A86,'Individual Refineries'!$D$3:$D$1084,"FCC")</f>
        <v/>
      </c>
      <c r="H86" s="30">
        <f>SUMIFS('Individual Refineries'!$F$3:$F$1084,'Individual Refineries'!$B$3:$B$1084,$A86,'Individual Refineries'!$D$3:$D$1084,"RCC")</f>
        <v/>
      </c>
      <c r="I86" s="30">
        <f>SUMIFS('Individual Refineries'!$F$3:$F$1084,'Individual Refineries'!$B$3:$B$1084,$A86,'Individual Refineries'!$D$3:$D$1084,"COKER")</f>
        <v/>
      </c>
      <c r="J86" s="30">
        <f>SUMIFS('Individual Refineries'!$F$3:$F$1084,'Individual Refineries'!$B$3:$B$1084,$A86,'Individual Refineries'!$D$3:$D$1084,"FCOKER")</f>
        <v/>
      </c>
      <c r="K86" s="30">
        <f>SUMIFS('Individual Refineries'!$F$3:$F$1084,'Individual Refineries'!$B$3:$B$1084,$A86,'Individual Refineries'!$D$3:$D$1084,"DHCU")</f>
        <v/>
      </c>
      <c r="L86" s="30">
        <f>SUMIFS('Individual Refineries'!$F$3:$F$1084,'Individual Refineries'!$B$3:$B$1084,$A86,'Individual Refineries'!$D$3:$D$1084,"RHCU")</f>
        <v/>
      </c>
      <c r="M86" s="30">
        <f>SUMIFS('Individual Refineries'!$F$3:$F$1084,'Individual Refineries'!$B$3:$B$1084,$A86,'Individual Refineries'!$D$3:$D$1084,"REF")</f>
        <v/>
      </c>
      <c r="N86" s="30">
        <f>SUMIFS('Individual Refineries'!$F$3:$F$1084,'Individual Refineries'!$B$3:$B$1084,$A86,'Individual Refineries'!$D$3:$D$1084,"CCR")</f>
        <v/>
      </c>
      <c r="O86" s="30">
        <f>SUMIFS('Individual Refineries'!$F$3:$F$1084,'Individual Refineries'!$B$3:$B$1084,$A86,'Individual Refineries'!$D$3:$D$1084,"ISOM")</f>
        <v/>
      </c>
      <c r="P86" s="30">
        <f>SUMIFS('Individual Refineries'!$F$3:$F$1084,'Individual Refineries'!$B$3:$B$1084,$A86,'Individual Refineries'!$D$3:$D$1084,"ALKY")</f>
        <v/>
      </c>
      <c r="Q86" s="30">
        <f>SUMIFS('Individual Refineries'!$F$3:$F$1084,'Individual Refineries'!$B$3:$B$1084,$A86,'Individual Refineries'!$D$3:$D$1084,"NSPL")</f>
        <v/>
      </c>
      <c r="R86" s="30">
        <f>SUMIFS('Individual Refineries'!$F$3:$F$1084,'Individual Refineries'!$B$3:$B$1084,$A86,'Individual Refineries'!$D$3:$D$1084,"NHT")</f>
        <v/>
      </c>
    </row>
    <row r="87">
      <c r="A87" s="40" t="inlineStr">
        <is>
          <t>SUNCOR_DENVER</t>
        </is>
      </c>
      <c r="B87" s="28" t="inlineStr">
        <is>
          <t>Suncor Denver</t>
        </is>
      </c>
      <c r="C87" s="28" t="n">
        <v>4</v>
      </c>
      <c r="D87" s="30">
        <f>SUMIFS(Data!$G$3:$G$125,Data!$A$3:$A$125,$A87)</f>
        <v/>
      </c>
      <c r="E87" s="30">
        <f>SUMIFS('Individual Refineries'!$F$3:$F$1084,'Individual Refineries'!$B$3:$B$1084,$A87,'Individual Refineries'!$D$3:$D$1084,"CDU")</f>
        <v/>
      </c>
      <c r="F87" s="30">
        <f>SUMIFS('Individual Refineries'!$F$3:$F$1084,'Individual Refineries'!$B$3:$B$1084,$A87,'Individual Refineries'!$D$3:$D$1084,"VDU")</f>
        <v/>
      </c>
      <c r="G87" s="30">
        <f>SUMIFS('Individual Refineries'!$F$3:$F$1084,'Individual Refineries'!$B$3:$B$1084,$A87,'Individual Refineries'!$D$3:$D$1084,"FCC")</f>
        <v/>
      </c>
      <c r="H87" s="30">
        <f>SUMIFS('Individual Refineries'!$F$3:$F$1084,'Individual Refineries'!$B$3:$B$1084,$A87,'Individual Refineries'!$D$3:$D$1084,"RCC")</f>
        <v/>
      </c>
      <c r="I87" s="30">
        <f>SUMIFS('Individual Refineries'!$F$3:$F$1084,'Individual Refineries'!$B$3:$B$1084,$A87,'Individual Refineries'!$D$3:$D$1084,"COKER")</f>
        <v/>
      </c>
      <c r="J87" s="30">
        <f>SUMIFS('Individual Refineries'!$F$3:$F$1084,'Individual Refineries'!$B$3:$B$1084,$A87,'Individual Refineries'!$D$3:$D$1084,"FCOKER")</f>
        <v/>
      </c>
      <c r="K87" s="30">
        <f>SUMIFS('Individual Refineries'!$F$3:$F$1084,'Individual Refineries'!$B$3:$B$1084,$A87,'Individual Refineries'!$D$3:$D$1084,"DHCU")</f>
        <v/>
      </c>
      <c r="L87" s="30">
        <f>SUMIFS('Individual Refineries'!$F$3:$F$1084,'Individual Refineries'!$B$3:$B$1084,$A87,'Individual Refineries'!$D$3:$D$1084,"RHCU")</f>
        <v/>
      </c>
      <c r="M87" s="30">
        <f>SUMIFS('Individual Refineries'!$F$3:$F$1084,'Individual Refineries'!$B$3:$B$1084,$A87,'Individual Refineries'!$D$3:$D$1084,"REF")</f>
        <v/>
      </c>
      <c r="N87" s="30">
        <f>SUMIFS('Individual Refineries'!$F$3:$F$1084,'Individual Refineries'!$B$3:$B$1084,$A87,'Individual Refineries'!$D$3:$D$1084,"CCR")</f>
        <v/>
      </c>
      <c r="O87" s="30">
        <f>SUMIFS('Individual Refineries'!$F$3:$F$1084,'Individual Refineries'!$B$3:$B$1084,$A87,'Individual Refineries'!$D$3:$D$1084,"ISOM")</f>
        <v/>
      </c>
      <c r="P87" s="30">
        <f>SUMIFS('Individual Refineries'!$F$3:$F$1084,'Individual Refineries'!$B$3:$B$1084,$A87,'Individual Refineries'!$D$3:$D$1084,"ALKY")</f>
        <v/>
      </c>
      <c r="Q87" s="30">
        <f>SUMIFS('Individual Refineries'!$F$3:$F$1084,'Individual Refineries'!$B$3:$B$1084,$A87,'Individual Refineries'!$D$3:$D$1084,"NSPL")</f>
        <v/>
      </c>
      <c r="R87" s="30">
        <f>SUMIFS('Individual Refineries'!$F$3:$F$1084,'Individual Refineries'!$B$3:$B$1084,$A87,'Individual Refineries'!$D$3:$D$1084,"NHT")</f>
        <v/>
      </c>
    </row>
    <row r="88">
      <c r="A88" s="40" t="inlineStr">
        <is>
          <t>SINCLAIR_SINCLAIR</t>
        </is>
      </c>
      <c r="B88" s="28" t="inlineStr">
        <is>
          <t>Sinclair Sinclair</t>
        </is>
      </c>
      <c r="C88" s="28" t="n">
        <v>4</v>
      </c>
      <c r="D88" s="30">
        <f>SUMIFS(Data!$G$3:$G$125,Data!$A$3:$A$125,$A88)</f>
        <v/>
      </c>
      <c r="E88" s="30">
        <f>SUMIFS('Individual Refineries'!$F$3:$F$1084,'Individual Refineries'!$B$3:$B$1084,$A88,'Individual Refineries'!$D$3:$D$1084,"CDU")</f>
        <v/>
      </c>
      <c r="F88" s="30">
        <f>SUMIFS('Individual Refineries'!$F$3:$F$1084,'Individual Refineries'!$B$3:$B$1084,$A88,'Individual Refineries'!$D$3:$D$1084,"VDU")</f>
        <v/>
      </c>
      <c r="G88" s="30">
        <f>SUMIFS('Individual Refineries'!$F$3:$F$1084,'Individual Refineries'!$B$3:$B$1084,$A88,'Individual Refineries'!$D$3:$D$1084,"FCC")</f>
        <v/>
      </c>
      <c r="H88" s="30">
        <f>SUMIFS('Individual Refineries'!$F$3:$F$1084,'Individual Refineries'!$B$3:$B$1084,$A88,'Individual Refineries'!$D$3:$D$1084,"RCC")</f>
        <v/>
      </c>
      <c r="I88" s="30">
        <f>SUMIFS('Individual Refineries'!$F$3:$F$1084,'Individual Refineries'!$B$3:$B$1084,$A88,'Individual Refineries'!$D$3:$D$1084,"COKER")</f>
        <v/>
      </c>
      <c r="J88" s="30">
        <f>SUMIFS('Individual Refineries'!$F$3:$F$1084,'Individual Refineries'!$B$3:$B$1084,$A88,'Individual Refineries'!$D$3:$D$1084,"FCOKER")</f>
        <v/>
      </c>
      <c r="K88" s="30">
        <f>SUMIFS('Individual Refineries'!$F$3:$F$1084,'Individual Refineries'!$B$3:$B$1084,$A88,'Individual Refineries'!$D$3:$D$1084,"DHCU")</f>
        <v/>
      </c>
      <c r="L88" s="30">
        <f>SUMIFS('Individual Refineries'!$F$3:$F$1084,'Individual Refineries'!$B$3:$B$1084,$A88,'Individual Refineries'!$D$3:$D$1084,"RHCU")</f>
        <v/>
      </c>
      <c r="M88" s="30">
        <f>SUMIFS('Individual Refineries'!$F$3:$F$1084,'Individual Refineries'!$B$3:$B$1084,$A88,'Individual Refineries'!$D$3:$D$1084,"REF")</f>
        <v/>
      </c>
      <c r="N88" s="30">
        <f>SUMIFS('Individual Refineries'!$F$3:$F$1084,'Individual Refineries'!$B$3:$B$1084,$A88,'Individual Refineries'!$D$3:$D$1084,"CCR")</f>
        <v/>
      </c>
      <c r="O88" s="30">
        <f>SUMIFS('Individual Refineries'!$F$3:$F$1084,'Individual Refineries'!$B$3:$B$1084,$A88,'Individual Refineries'!$D$3:$D$1084,"ISOM")</f>
        <v/>
      </c>
      <c r="P88" s="30">
        <f>SUMIFS('Individual Refineries'!$F$3:$F$1084,'Individual Refineries'!$B$3:$B$1084,$A88,'Individual Refineries'!$D$3:$D$1084,"ALKY")</f>
        <v/>
      </c>
      <c r="Q88" s="30">
        <f>SUMIFS('Individual Refineries'!$F$3:$F$1084,'Individual Refineries'!$B$3:$B$1084,$A88,'Individual Refineries'!$D$3:$D$1084,"NSPL")</f>
        <v/>
      </c>
      <c r="R88" s="30">
        <f>SUMIFS('Individual Refineries'!$F$3:$F$1084,'Individual Refineries'!$B$3:$B$1084,$A88,'Individual Refineries'!$D$3:$D$1084,"NHT")</f>
        <v/>
      </c>
    </row>
    <row r="89">
      <c r="A89" s="40" t="inlineStr">
        <is>
          <t>MARATHON_SALT_LAKE_CITY</t>
        </is>
      </c>
      <c r="B89" s="28" t="inlineStr">
        <is>
          <t>Marathon Petroleum Salt Lake City</t>
        </is>
      </c>
      <c r="C89" s="28" t="n">
        <v>4</v>
      </c>
      <c r="D89" s="30">
        <f>SUMIFS(Data!$G$3:$G$125,Data!$A$3:$A$125,$A89)</f>
        <v/>
      </c>
      <c r="E89" s="30">
        <f>SUMIFS('Individual Refineries'!$F$3:$F$1084,'Individual Refineries'!$B$3:$B$1084,$A89,'Individual Refineries'!$D$3:$D$1084,"CDU")</f>
        <v/>
      </c>
      <c r="F89" s="30">
        <f>SUMIFS('Individual Refineries'!$F$3:$F$1084,'Individual Refineries'!$B$3:$B$1084,$A89,'Individual Refineries'!$D$3:$D$1084,"VDU")</f>
        <v/>
      </c>
      <c r="G89" s="30">
        <f>SUMIFS('Individual Refineries'!$F$3:$F$1084,'Individual Refineries'!$B$3:$B$1084,$A89,'Individual Refineries'!$D$3:$D$1084,"FCC")</f>
        <v/>
      </c>
      <c r="H89" s="30">
        <f>SUMIFS('Individual Refineries'!$F$3:$F$1084,'Individual Refineries'!$B$3:$B$1084,$A89,'Individual Refineries'!$D$3:$D$1084,"RCC")</f>
        <v/>
      </c>
      <c r="I89" s="30">
        <f>SUMIFS('Individual Refineries'!$F$3:$F$1084,'Individual Refineries'!$B$3:$B$1084,$A89,'Individual Refineries'!$D$3:$D$1084,"COKER")</f>
        <v/>
      </c>
      <c r="J89" s="30">
        <f>SUMIFS('Individual Refineries'!$F$3:$F$1084,'Individual Refineries'!$B$3:$B$1084,$A89,'Individual Refineries'!$D$3:$D$1084,"FCOKER")</f>
        <v/>
      </c>
      <c r="K89" s="30">
        <f>SUMIFS('Individual Refineries'!$F$3:$F$1084,'Individual Refineries'!$B$3:$B$1084,$A89,'Individual Refineries'!$D$3:$D$1084,"DHCU")</f>
        <v/>
      </c>
      <c r="L89" s="30">
        <f>SUMIFS('Individual Refineries'!$F$3:$F$1084,'Individual Refineries'!$B$3:$B$1084,$A89,'Individual Refineries'!$D$3:$D$1084,"RHCU")</f>
        <v/>
      </c>
      <c r="M89" s="30">
        <f>SUMIFS('Individual Refineries'!$F$3:$F$1084,'Individual Refineries'!$B$3:$B$1084,$A89,'Individual Refineries'!$D$3:$D$1084,"REF")</f>
        <v/>
      </c>
      <c r="N89" s="30">
        <f>SUMIFS('Individual Refineries'!$F$3:$F$1084,'Individual Refineries'!$B$3:$B$1084,$A89,'Individual Refineries'!$D$3:$D$1084,"CCR")</f>
        <v/>
      </c>
      <c r="O89" s="30">
        <f>SUMIFS('Individual Refineries'!$F$3:$F$1084,'Individual Refineries'!$B$3:$B$1084,$A89,'Individual Refineries'!$D$3:$D$1084,"ISOM")</f>
        <v/>
      </c>
      <c r="P89" s="30">
        <f>SUMIFS('Individual Refineries'!$F$3:$F$1084,'Individual Refineries'!$B$3:$B$1084,$A89,'Individual Refineries'!$D$3:$D$1084,"ALKY")</f>
        <v/>
      </c>
      <c r="Q89" s="30">
        <f>SUMIFS('Individual Refineries'!$F$3:$F$1084,'Individual Refineries'!$B$3:$B$1084,$A89,'Individual Refineries'!$D$3:$D$1084,"NSPL")</f>
        <v/>
      </c>
      <c r="R89" s="30">
        <f>SUMIFS('Individual Refineries'!$F$3:$F$1084,'Individual Refineries'!$B$3:$B$1084,$A89,'Individual Refineries'!$D$3:$D$1084,"NHT")</f>
        <v/>
      </c>
    </row>
    <row r="90">
      <c r="A90" s="40" t="inlineStr">
        <is>
          <t>PHILLIPS_BILLINGS</t>
        </is>
      </c>
      <c r="B90" s="28" t="inlineStr">
        <is>
          <t>Phillips 66 Co. Billings</t>
        </is>
      </c>
      <c r="C90" s="28" t="n">
        <v>4</v>
      </c>
      <c r="D90" s="30">
        <f>SUMIFS(Data!$G$3:$G$125,Data!$A$3:$A$125,$A90)</f>
        <v/>
      </c>
      <c r="E90" s="30">
        <f>SUMIFS('Individual Refineries'!$F$3:$F$1084,'Individual Refineries'!$B$3:$B$1084,$A90,'Individual Refineries'!$D$3:$D$1084,"CDU")</f>
        <v/>
      </c>
      <c r="F90" s="30">
        <f>SUMIFS('Individual Refineries'!$F$3:$F$1084,'Individual Refineries'!$B$3:$B$1084,$A90,'Individual Refineries'!$D$3:$D$1084,"VDU")</f>
        <v/>
      </c>
      <c r="G90" s="30">
        <f>SUMIFS('Individual Refineries'!$F$3:$F$1084,'Individual Refineries'!$B$3:$B$1084,$A90,'Individual Refineries'!$D$3:$D$1084,"FCC")</f>
        <v/>
      </c>
      <c r="H90" s="30">
        <f>SUMIFS('Individual Refineries'!$F$3:$F$1084,'Individual Refineries'!$B$3:$B$1084,$A90,'Individual Refineries'!$D$3:$D$1084,"RCC")</f>
        <v/>
      </c>
      <c r="I90" s="30">
        <f>SUMIFS('Individual Refineries'!$F$3:$F$1084,'Individual Refineries'!$B$3:$B$1084,$A90,'Individual Refineries'!$D$3:$D$1084,"COKER")</f>
        <v/>
      </c>
      <c r="J90" s="30">
        <f>SUMIFS('Individual Refineries'!$F$3:$F$1084,'Individual Refineries'!$B$3:$B$1084,$A90,'Individual Refineries'!$D$3:$D$1084,"FCOKER")</f>
        <v/>
      </c>
      <c r="K90" s="30">
        <f>SUMIFS('Individual Refineries'!$F$3:$F$1084,'Individual Refineries'!$B$3:$B$1084,$A90,'Individual Refineries'!$D$3:$D$1084,"DHCU")</f>
        <v/>
      </c>
      <c r="L90" s="30">
        <f>SUMIFS('Individual Refineries'!$F$3:$F$1084,'Individual Refineries'!$B$3:$B$1084,$A90,'Individual Refineries'!$D$3:$D$1084,"RHCU")</f>
        <v/>
      </c>
      <c r="M90" s="30">
        <f>SUMIFS('Individual Refineries'!$F$3:$F$1084,'Individual Refineries'!$B$3:$B$1084,$A90,'Individual Refineries'!$D$3:$D$1084,"REF")</f>
        <v/>
      </c>
      <c r="N90" s="30">
        <f>SUMIFS('Individual Refineries'!$F$3:$F$1084,'Individual Refineries'!$B$3:$B$1084,$A90,'Individual Refineries'!$D$3:$D$1084,"CCR")</f>
        <v/>
      </c>
      <c r="O90" s="30">
        <f>SUMIFS('Individual Refineries'!$F$3:$F$1084,'Individual Refineries'!$B$3:$B$1084,$A90,'Individual Refineries'!$D$3:$D$1084,"ISOM")</f>
        <v/>
      </c>
      <c r="P90" s="30">
        <f>SUMIFS('Individual Refineries'!$F$3:$F$1084,'Individual Refineries'!$B$3:$B$1084,$A90,'Individual Refineries'!$D$3:$D$1084,"ALKY")</f>
        <v/>
      </c>
      <c r="Q90" s="30">
        <f>SUMIFS('Individual Refineries'!$F$3:$F$1084,'Individual Refineries'!$B$3:$B$1084,$A90,'Individual Refineries'!$D$3:$D$1084,"NSPL")</f>
        <v/>
      </c>
      <c r="R90" s="30">
        <f>SUMIFS('Individual Refineries'!$F$3:$F$1084,'Individual Refineries'!$B$3:$B$1084,$A90,'Individual Refineries'!$D$3:$D$1084,"NHT")</f>
        <v/>
      </c>
    </row>
    <row r="91">
      <c r="A91" s="40" t="inlineStr">
        <is>
          <t>PAR_BILLINGS</t>
        </is>
      </c>
      <c r="B91" s="28" t="inlineStr">
        <is>
          <t>Par Petroleum Billings</t>
        </is>
      </c>
      <c r="C91" s="28" t="n">
        <v>4</v>
      </c>
      <c r="D91" s="30">
        <f>SUMIFS(Data!$G$3:$G$125,Data!$A$3:$A$125,$A91)</f>
        <v/>
      </c>
      <c r="E91" s="30">
        <f>SUMIFS('Individual Refineries'!$F$3:$F$1084,'Individual Refineries'!$B$3:$B$1084,$A91,'Individual Refineries'!$D$3:$D$1084,"CDU")</f>
        <v/>
      </c>
      <c r="F91" s="30">
        <f>SUMIFS('Individual Refineries'!$F$3:$F$1084,'Individual Refineries'!$B$3:$B$1084,$A91,'Individual Refineries'!$D$3:$D$1084,"VDU")</f>
        <v/>
      </c>
      <c r="G91" s="30">
        <f>SUMIFS('Individual Refineries'!$F$3:$F$1084,'Individual Refineries'!$B$3:$B$1084,$A91,'Individual Refineries'!$D$3:$D$1084,"FCC")</f>
        <v/>
      </c>
      <c r="H91" s="30">
        <f>SUMIFS('Individual Refineries'!$F$3:$F$1084,'Individual Refineries'!$B$3:$B$1084,$A91,'Individual Refineries'!$D$3:$D$1084,"RCC")</f>
        <v/>
      </c>
      <c r="I91" s="30">
        <f>SUMIFS('Individual Refineries'!$F$3:$F$1084,'Individual Refineries'!$B$3:$B$1084,$A91,'Individual Refineries'!$D$3:$D$1084,"COKER")</f>
        <v/>
      </c>
      <c r="J91" s="30">
        <f>SUMIFS('Individual Refineries'!$F$3:$F$1084,'Individual Refineries'!$B$3:$B$1084,$A91,'Individual Refineries'!$D$3:$D$1084,"FCOKER")</f>
        <v/>
      </c>
      <c r="K91" s="30">
        <f>SUMIFS('Individual Refineries'!$F$3:$F$1084,'Individual Refineries'!$B$3:$B$1084,$A91,'Individual Refineries'!$D$3:$D$1084,"DHCU")</f>
        <v/>
      </c>
      <c r="L91" s="30">
        <f>SUMIFS('Individual Refineries'!$F$3:$F$1084,'Individual Refineries'!$B$3:$B$1084,$A91,'Individual Refineries'!$D$3:$D$1084,"RHCU")</f>
        <v/>
      </c>
      <c r="M91" s="30">
        <f>SUMIFS('Individual Refineries'!$F$3:$F$1084,'Individual Refineries'!$B$3:$B$1084,$A91,'Individual Refineries'!$D$3:$D$1084,"REF")</f>
        <v/>
      </c>
      <c r="N91" s="30">
        <f>SUMIFS('Individual Refineries'!$F$3:$F$1084,'Individual Refineries'!$B$3:$B$1084,$A91,'Individual Refineries'!$D$3:$D$1084,"CCR")</f>
        <v/>
      </c>
      <c r="O91" s="30">
        <f>SUMIFS('Individual Refineries'!$F$3:$F$1084,'Individual Refineries'!$B$3:$B$1084,$A91,'Individual Refineries'!$D$3:$D$1084,"ISOM")</f>
        <v/>
      </c>
      <c r="P91" s="30">
        <f>SUMIFS('Individual Refineries'!$F$3:$F$1084,'Individual Refineries'!$B$3:$B$1084,$A91,'Individual Refineries'!$D$3:$D$1084,"ALKY")</f>
        <v/>
      </c>
      <c r="Q91" s="30">
        <f>SUMIFS('Individual Refineries'!$F$3:$F$1084,'Individual Refineries'!$B$3:$B$1084,$A91,'Individual Refineries'!$D$3:$D$1084,"NSPL")</f>
        <v/>
      </c>
      <c r="R91" s="30">
        <f>SUMIFS('Individual Refineries'!$F$3:$F$1084,'Individual Refineries'!$B$3:$B$1084,$A91,'Individual Refineries'!$D$3:$D$1084,"NHT")</f>
        <v/>
      </c>
    </row>
    <row r="92">
      <c r="A92" s="40" t="inlineStr">
        <is>
          <t>CHS_LAUREL</t>
        </is>
      </c>
      <c r="B92" s="28" t="inlineStr">
        <is>
          <t>CHS Laurel</t>
        </is>
      </c>
      <c r="C92" s="28" t="n">
        <v>4</v>
      </c>
      <c r="D92" s="30">
        <f>SUMIFS(Data!$G$3:$G$125,Data!$A$3:$A$125,$A92)</f>
        <v/>
      </c>
      <c r="E92" s="30">
        <f>SUMIFS('Individual Refineries'!$F$3:$F$1084,'Individual Refineries'!$B$3:$B$1084,$A92,'Individual Refineries'!$D$3:$D$1084,"CDU")</f>
        <v/>
      </c>
      <c r="F92" s="30">
        <f>SUMIFS('Individual Refineries'!$F$3:$F$1084,'Individual Refineries'!$B$3:$B$1084,$A92,'Individual Refineries'!$D$3:$D$1084,"VDU")</f>
        <v/>
      </c>
      <c r="G92" s="30">
        <f>SUMIFS('Individual Refineries'!$F$3:$F$1084,'Individual Refineries'!$B$3:$B$1084,$A92,'Individual Refineries'!$D$3:$D$1084,"FCC")</f>
        <v/>
      </c>
      <c r="H92" s="30">
        <f>SUMIFS('Individual Refineries'!$F$3:$F$1084,'Individual Refineries'!$B$3:$B$1084,$A92,'Individual Refineries'!$D$3:$D$1084,"RCC")</f>
        <v/>
      </c>
      <c r="I92" s="30">
        <f>SUMIFS('Individual Refineries'!$F$3:$F$1084,'Individual Refineries'!$B$3:$B$1084,$A92,'Individual Refineries'!$D$3:$D$1084,"COKER")</f>
        <v/>
      </c>
      <c r="J92" s="30">
        <f>SUMIFS('Individual Refineries'!$F$3:$F$1084,'Individual Refineries'!$B$3:$B$1084,$A92,'Individual Refineries'!$D$3:$D$1084,"FCOKER")</f>
        <v/>
      </c>
      <c r="K92" s="30">
        <f>SUMIFS('Individual Refineries'!$F$3:$F$1084,'Individual Refineries'!$B$3:$B$1084,$A92,'Individual Refineries'!$D$3:$D$1084,"DHCU")</f>
        <v/>
      </c>
      <c r="L92" s="30">
        <f>SUMIFS('Individual Refineries'!$F$3:$F$1084,'Individual Refineries'!$B$3:$B$1084,$A92,'Individual Refineries'!$D$3:$D$1084,"RHCU")</f>
        <v/>
      </c>
      <c r="M92" s="30">
        <f>SUMIFS('Individual Refineries'!$F$3:$F$1084,'Individual Refineries'!$B$3:$B$1084,$A92,'Individual Refineries'!$D$3:$D$1084,"REF")</f>
        <v/>
      </c>
      <c r="N92" s="30">
        <f>SUMIFS('Individual Refineries'!$F$3:$F$1084,'Individual Refineries'!$B$3:$B$1084,$A92,'Individual Refineries'!$D$3:$D$1084,"CCR")</f>
        <v/>
      </c>
      <c r="O92" s="30">
        <f>SUMIFS('Individual Refineries'!$F$3:$F$1084,'Individual Refineries'!$B$3:$B$1084,$A92,'Individual Refineries'!$D$3:$D$1084,"ISOM")</f>
        <v/>
      </c>
      <c r="P92" s="30">
        <f>SUMIFS('Individual Refineries'!$F$3:$F$1084,'Individual Refineries'!$B$3:$B$1084,$A92,'Individual Refineries'!$D$3:$D$1084,"ALKY")</f>
        <v/>
      </c>
      <c r="Q92" s="30">
        <f>SUMIFS('Individual Refineries'!$F$3:$F$1084,'Individual Refineries'!$B$3:$B$1084,$A92,'Individual Refineries'!$D$3:$D$1084,"NSPL")</f>
        <v/>
      </c>
      <c r="R92" s="30">
        <f>SUMIFS('Individual Refineries'!$F$3:$F$1084,'Individual Refineries'!$B$3:$B$1084,$A92,'Individual Refineries'!$D$3:$D$1084,"NHT")</f>
        <v/>
      </c>
    </row>
    <row r="93">
      <c r="A93" s="40" t="inlineStr">
        <is>
          <t>CHEVRON_SALT_LAKE_CITY</t>
        </is>
      </c>
      <c r="B93" s="28" t="inlineStr">
        <is>
          <t>Chevron Salt Lake City</t>
        </is>
      </c>
      <c r="C93" s="28" t="n">
        <v>4</v>
      </c>
      <c r="D93" s="30">
        <f>SUMIFS(Data!$G$3:$G$125,Data!$A$3:$A$125,$A93)</f>
        <v/>
      </c>
      <c r="E93" s="30">
        <f>SUMIFS('Individual Refineries'!$F$3:$F$1084,'Individual Refineries'!$B$3:$B$1084,$A93,'Individual Refineries'!$D$3:$D$1084,"CDU")</f>
        <v/>
      </c>
      <c r="F93" s="30">
        <f>SUMIFS('Individual Refineries'!$F$3:$F$1084,'Individual Refineries'!$B$3:$B$1084,$A93,'Individual Refineries'!$D$3:$D$1084,"VDU")</f>
        <v/>
      </c>
      <c r="G93" s="30">
        <f>SUMIFS('Individual Refineries'!$F$3:$F$1084,'Individual Refineries'!$B$3:$B$1084,$A93,'Individual Refineries'!$D$3:$D$1084,"FCC")</f>
        <v/>
      </c>
      <c r="H93" s="30">
        <f>SUMIFS('Individual Refineries'!$F$3:$F$1084,'Individual Refineries'!$B$3:$B$1084,$A93,'Individual Refineries'!$D$3:$D$1084,"RCC")</f>
        <v/>
      </c>
      <c r="I93" s="30">
        <f>SUMIFS('Individual Refineries'!$F$3:$F$1084,'Individual Refineries'!$B$3:$B$1084,$A93,'Individual Refineries'!$D$3:$D$1084,"COKER")</f>
        <v/>
      </c>
      <c r="J93" s="30">
        <f>SUMIFS('Individual Refineries'!$F$3:$F$1084,'Individual Refineries'!$B$3:$B$1084,$A93,'Individual Refineries'!$D$3:$D$1084,"FCOKER")</f>
        <v/>
      </c>
      <c r="K93" s="30">
        <f>SUMIFS('Individual Refineries'!$F$3:$F$1084,'Individual Refineries'!$B$3:$B$1084,$A93,'Individual Refineries'!$D$3:$D$1084,"DHCU")</f>
        <v/>
      </c>
      <c r="L93" s="30">
        <f>SUMIFS('Individual Refineries'!$F$3:$F$1084,'Individual Refineries'!$B$3:$B$1084,$A93,'Individual Refineries'!$D$3:$D$1084,"RHCU")</f>
        <v/>
      </c>
      <c r="M93" s="30">
        <f>SUMIFS('Individual Refineries'!$F$3:$F$1084,'Individual Refineries'!$B$3:$B$1084,$A93,'Individual Refineries'!$D$3:$D$1084,"REF")</f>
        <v/>
      </c>
      <c r="N93" s="30">
        <f>SUMIFS('Individual Refineries'!$F$3:$F$1084,'Individual Refineries'!$B$3:$B$1084,$A93,'Individual Refineries'!$D$3:$D$1084,"CCR")</f>
        <v/>
      </c>
      <c r="O93" s="30">
        <f>SUMIFS('Individual Refineries'!$F$3:$F$1084,'Individual Refineries'!$B$3:$B$1084,$A93,'Individual Refineries'!$D$3:$D$1084,"ISOM")</f>
        <v/>
      </c>
      <c r="P93" s="30">
        <f>SUMIFS('Individual Refineries'!$F$3:$F$1084,'Individual Refineries'!$B$3:$B$1084,$A93,'Individual Refineries'!$D$3:$D$1084,"ALKY")</f>
        <v/>
      </c>
      <c r="Q93" s="30">
        <f>SUMIFS('Individual Refineries'!$F$3:$F$1084,'Individual Refineries'!$B$3:$B$1084,$A93,'Individual Refineries'!$D$3:$D$1084,"NSPL")</f>
        <v/>
      </c>
      <c r="R93" s="30">
        <f>SUMIFS('Individual Refineries'!$F$3:$F$1084,'Individual Refineries'!$B$3:$B$1084,$A93,'Individual Refineries'!$D$3:$D$1084,"NHT")</f>
        <v/>
      </c>
    </row>
    <row r="94">
      <c r="A94" s="40" t="inlineStr">
        <is>
          <t>HF_WOODS_CROSS</t>
        </is>
      </c>
      <c r="B94" s="28" t="inlineStr">
        <is>
          <t>HF Sinclair Woods Cross</t>
        </is>
      </c>
      <c r="C94" s="28" t="n">
        <v>4</v>
      </c>
      <c r="D94" s="30">
        <f>SUMIFS(Data!$G$3:$G$125,Data!$A$3:$A$125,$A94)</f>
        <v/>
      </c>
      <c r="E94" s="30">
        <f>SUMIFS('Individual Refineries'!$F$3:$F$1084,'Individual Refineries'!$B$3:$B$1084,$A94,'Individual Refineries'!$D$3:$D$1084,"CDU")</f>
        <v/>
      </c>
      <c r="F94" s="30">
        <f>SUMIFS('Individual Refineries'!$F$3:$F$1084,'Individual Refineries'!$B$3:$B$1084,$A94,'Individual Refineries'!$D$3:$D$1084,"VDU")</f>
        <v/>
      </c>
      <c r="G94" s="30">
        <f>SUMIFS('Individual Refineries'!$F$3:$F$1084,'Individual Refineries'!$B$3:$B$1084,$A94,'Individual Refineries'!$D$3:$D$1084,"FCC")</f>
        <v/>
      </c>
      <c r="H94" s="30">
        <f>SUMIFS('Individual Refineries'!$F$3:$F$1084,'Individual Refineries'!$B$3:$B$1084,$A94,'Individual Refineries'!$D$3:$D$1084,"RCC")</f>
        <v/>
      </c>
      <c r="I94" s="30">
        <f>SUMIFS('Individual Refineries'!$F$3:$F$1084,'Individual Refineries'!$B$3:$B$1084,$A94,'Individual Refineries'!$D$3:$D$1084,"COKER")</f>
        <v/>
      </c>
      <c r="J94" s="30">
        <f>SUMIFS('Individual Refineries'!$F$3:$F$1084,'Individual Refineries'!$B$3:$B$1084,$A94,'Individual Refineries'!$D$3:$D$1084,"FCOKER")</f>
        <v/>
      </c>
      <c r="K94" s="30">
        <f>SUMIFS('Individual Refineries'!$F$3:$F$1084,'Individual Refineries'!$B$3:$B$1084,$A94,'Individual Refineries'!$D$3:$D$1084,"DHCU")</f>
        <v/>
      </c>
      <c r="L94" s="30">
        <f>SUMIFS('Individual Refineries'!$F$3:$F$1084,'Individual Refineries'!$B$3:$B$1084,$A94,'Individual Refineries'!$D$3:$D$1084,"RHCU")</f>
        <v/>
      </c>
      <c r="M94" s="30">
        <f>SUMIFS('Individual Refineries'!$F$3:$F$1084,'Individual Refineries'!$B$3:$B$1084,$A94,'Individual Refineries'!$D$3:$D$1084,"REF")</f>
        <v/>
      </c>
      <c r="N94" s="30">
        <f>SUMIFS('Individual Refineries'!$F$3:$F$1084,'Individual Refineries'!$B$3:$B$1084,$A94,'Individual Refineries'!$D$3:$D$1084,"CCR")</f>
        <v/>
      </c>
      <c r="O94" s="30">
        <f>SUMIFS('Individual Refineries'!$F$3:$F$1084,'Individual Refineries'!$B$3:$B$1084,$A94,'Individual Refineries'!$D$3:$D$1084,"ISOM")</f>
        <v/>
      </c>
      <c r="P94" s="30">
        <f>SUMIFS('Individual Refineries'!$F$3:$F$1084,'Individual Refineries'!$B$3:$B$1084,$A94,'Individual Refineries'!$D$3:$D$1084,"ALKY")</f>
        <v/>
      </c>
      <c r="Q94" s="30">
        <f>SUMIFS('Individual Refineries'!$F$3:$F$1084,'Individual Refineries'!$B$3:$B$1084,$A94,'Individual Refineries'!$D$3:$D$1084,"NSPL")</f>
        <v/>
      </c>
      <c r="R94" s="30">
        <f>SUMIFS('Individual Refineries'!$F$3:$F$1084,'Individual Refineries'!$B$3:$B$1084,$A94,'Individual Refineries'!$D$3:$D$1084,"NHT")</f>
        <v/>
      </c>
    </row>
    <row r="95">
      <c r="A95" s="40" t="inlineStr">
        <is>
          <t>BIG_NORTH_SLATERVILLE_CANAL</t>
        </is>
      </c>
      <c r="B95" s="28" t="inlineStr">
        <is>
          <t>Big West Oil Co North Slaterville Canal</t>
        </is>
      </c>
      <c r="C95" s="28" t="n">
        <v>4</v>
      </c>
      <c r="D95" s="30">
        <f>SUMIFS(Data!$G$3:$G$125,Data!$A$3:$A$125,$A95)</f>
        <v/>
      </c>
      <c r="E95" s="30">
        <f>SUMIFS('Individual Refineries'!$F$3:$F$1084,'Individual Refineries'!$B$3:$B$1084,$A95,'Individual Refineries'!$D$3:$D$1084,"CDU")</f>
        <v/>
      </c>
      <c r="F95" s="30">
        <f>SUMIFS('Individual Refineries'!$F$3:$F$1084,'Individual Refineries'!$B$3:$B$1084,$A95,'Individual Refineries'!$D$3:$D$1084,"VDU")</f>
        <v/>
      </c>
      <c r="G95" s="30">
        <f>SUMIFS('Individual Refineries'!$F$3:$F$1084,'Individual Refineries'!$B$3:$B$1084,$A95,'Individual Refineries'!$D$3:$D$1084,"FCC")</f>
        <v/>
      </c>
      <c r="H95" s="30">
        <f>SUMIFS('Individual Refineries'!$F$3:$F$1084,'Individual Refineries'!$B$3:$B$1084,$A95,'Individual Refineries'!$D$3:$D$1084,"RCC")</f>
        <v/>
      </c>
      <c r="I95" s="30">
        <f>SUMIFS('Individual Refineries'!$F$3:$F$1084,'Individual Refineries'!$B$3:$B$1084,$A95,'Individual Refineries'!$D$3:$D$1084,"COKER")</f>
        <v/>
      </c>
      <c r="J95" s="30">
        <f>SUMIFS('Individual Refineries'!$F$3:$F$1084,'Individual Refineries'!$B$3:$B$1084,$A95,'Individual Refineries'!$D$3:$D$1084,"FCOKER")</f>
        <v/>
      </c>
      <c r="K95" s="30">
        <f>SUMIFS('Individual Refineries'!$F$3:$F$1084,'Individual Refineries'!$B$3:$B$1084,$A95,'Individual Refineries'!$D$3:$D$1084,"DHCU")</f>
        <v/>
      </c>
      <c r="L95" s="30">
        <f>SUMIFS('Individual Refineries'!$F$3:$F$1084,'Individual Refineries'!$B$3:$B$1084,$A95,'Individual Refineries'!$D$3:$D$1084,"RHCU")</f>
        <v/>
      </c>
      <c r="M95" s="30">
        <f>SUMIFS('Individual Refineries'!$F$3:$F$1084,'Individual Refineries'!$B$3:$B$1084,$A95,'Individual Refineries'!$D$3:$D$1084,"REF")</f>
        <v/>
      </c>
      <c r="N95" s="30">
        <f>SUMIFS('Individual Refineries'!$F$3:$F$1084,'Individual Refineries'!$B$3:$B$1084,$A95,'Individual Refineries'!$D$3:$D$1084,"CCR")</f>
        <v/>
      </c>
      <c r="O95" s="30">
        <f>SUMIFS('Individual Refineries'!$F$3:$F$1084,'Individual Refineries'!$B$3:$B$1084,$A95,'Individual Refineries'!$D$3:$D$1084,"ISOM")</f>
        <v/>
      </c>
      <c r="P95" s="30">
        <f>SUMIFS('Individual Refineries'!$F$3:$F$1084,'Individual Refineries'!$B$3:$B$1084,$A95,'Individual Refineries'!$D$3:$D$1084,"ALKY")</f>
        <v/>
      </c>
      <c r="Q95" s="30">
        <f>SUMIFS('Individual Refineries'!$F$3:$F$1084,'Individual Refineries'!$B$3:$B$1084,$A95,'Individual Refineries'!$D$3:$D$1084,"NSPL")</f>
        <v/>
      </c>
      <c r="R95" s="30">
        <f>SUMIFS('Individual Refineries'!$F$3:$F$1084,'Individual Refineries'!$B$3:$B$1084,$A95,'Individual Refineries'!$D$3:$D$1084,"NHT")</f>
        <v/>
      </c>
    </row>
    <row r="96">
      <c r="A96" s="40" t="inlineStr">
        <is>
          <t>HF_CASPER</t>
        </is>
      </c>
      <c r="B96" s="28" t="inlineStr">
        <is>
          <t>HF Sinclair Casper</t>
        </is>
      </c>
      <c r="C96" s="28" t="n">
        <v>4</v>
      </c>
      <c r="D96" s="30">
        <f>SUMIFS(Data!$G$3:$G$125,Data!$A$3:$A$125,$A96)</f>
        <v/>
      </c>
      <c r="E96" s="30">
        <f>SUMIFS('Individual Refineries'!$F$3:$F$1084,'Individual Refineries'!$B$3:$B$1084,$A96,'Individual Refineries'!$D$3:$D$1084,"CDU")</f>
        <v/>
      </c>
      <c r="F96" s="30">
        <f>SUMIFS('Individual Refineries'!$F$3:$F$1084,'Individual Refineries'!$B$3:$B$1084,$A96,'Individual Refineries'!$D$3:$D$1084,"VDU")</f>
        <v/>
      </c>
      <c r="G96" s="30">
        <f>SUMIFS('Individual Refineries'!$F$3:$F$1084,'Individual Refineries'!$B$3:$B$1084,$A96,'Individual Refineries'!$D$3:$D$1084,"FCC")</f>
        <v/>
      </c>
      <c r="H96" s="30">
        <f>SUMIFS('Individual Refineries'!$F$3:$F$1084,'Individual Refineries'!$B$3:$B$1084,$A96,'Individual Refineries'!$D$3:$D$1084,"RCC")</f>
        <v/>
      </c>
      <c r="I96" s="30">
        <f>SUMIFS('Individual Refineries'!$F$3:$F$1084,'Individual Refineries'!$B$3:$B$1084,$A96,'Individual Refineries'!$D$3:$D$1084,"COKER")</f>
        <v/>
      </c>
      <c r="J96" s="30">
        <f>SUMIFS('Individual Refineries'!$F$3:$F$1084,'Individual Refineries'!$B$3:$B$1084,$A96,'Individual Refineries'!$D$3:$D$1084,"FCOKER")</f>
        <v/>
      </c>
      <c r="K96" s="30">
        <f>SUMIFS('Individual Refineries'!$F$3:$F$1084,'Individual Refineries'!$B$3:$B$1084,$A96,'Individual Refineries'!$D$3:$D$1084,"DHCU")</f>
        <v/>
      </c>
      <c r="L96" s="30">
        <f>SUMIFS('Individual Refineries'!$F$3:$F$1084,'Individual Refineries'!$B$3:$B$1084,$A96,'Individual Refineries'!$D$3:$D$1084,"RHCU")</f>
        <v/>
      </c>
      <c r="M96" s="30">
        <f>SUMIFS('Individual Refineries'!$F$3:$F$1084,'Individual Refineries'!$B$3:$B$1084,$A96,'Individual Refineries'!$D$3:$D$1084,"REF")</f>
        <v/>
      </c>
      <c r="N96" s="30">
        <f>SUMIFS('Individual Refineries'!$F$3:$F$1084,'Individual Refineries'!$B$3:$B$1084,$A96,'Individual Refineries'!$D$3:$D$1084,"CCR")</f>
        <v/>
      </c>
      <c r="O96" s="30">
        <f>SUMIFS('Individual Refineries'!$F$3:$F$1084,'Individual Refineries'!$B$3:$B$1084,$A96,'Individual Refineries'!$D$3:$D$1084,"ISOM")</f>
        <v/>
      </c>
      <c r="P96" s="30">
        <f>SUMIFS('Individual Refineries'!$F$3:$F$1084,'Individual Refineries'!$B$3:$B$1084,$A96,'Individual Refineries'!$D$3:$D$1084,"ALKY")</f>
        <v/>
      </c>
      <c r="Q96" s="30">
        <f>SUMIFS('Individual Refineries'!$F$3:$F$1084,'Individual Refineries'!$B$3:$B$1084,$A96,'Individual Refineries'!$D$3:$D$1084,"NSPL")</f>
        <v/>
      </c>
      <c r="R96" s="30">
        <f>SUMIFS('Individual Refineries'!$F$3:$F$1084,'Individual Refineries'!$B$3:$B$1084,$A96,'Individual Refineries'!$D$3:$D$1084,"NHT")</f>
        <v/>
      </c>
    </row>
    <row r="97">
      <c r="A97" s="40" t="inlineStr">
        <is>
          <t>PAR_NEWCASTLE</t>
        </is>
      </c>
      <c r="B97" s="28" t="inlineStr">
        <is>
          <t>Par Petroleum Newcastle</t>
        </is>
      </c>
      <c r="C97" s="28" t="n">
        <v>4</v>
      </c>
      <c r="D97" s="30">
        <f>SUMIFS(Data!$G$3:$G$125,Data!$A$3:$A$125,$A97)</f>
        <v/>
      </c>
      <c r="E97" s="30">
        <f>SUMIFS('Individual Refineries'!$F$3:$F$1084,'Individual Refineries'!$B$3:$B$1084,$A97,'Individual Refineries'!$D$3:$D$1084,"CDU")</f>
        <v/>
      </c>
      <c r="F97" s="30">
        <f>SUMIFS('Individual Refineries'!$F$3:$F$1084,'Individual Refineries'!$B$3:$B$1084,$A97,'Individual Refineries'!$D$3:$D$1084,"VDU")</f>
        <v/>
      </c>
      <c r="G97" s="30">
        <f>SUMIFS('Individual Refineries'!$F$3:$F$1084,'Individual Refineries'!$B$3:$B$1084,$A97,'Individual Refineries'!$D$3:$D$1084,"FCC")</f>
        <v/>
      </c>
      <c r="H97" s="30">
        <f>SUMIFS('Individual Refineries'!$F$3:$F$1084,'Individual Refineries'!$B$3:$B$1084,$A97,'Individual Refineries'!$D$3:$D$1084,"RCC")</f>
        <v/>
      </c>
      <c r="I97" s="30">
        <f>SUMIFS('Individual Refineries'!$F$3:$F$1084,'Individual Refineries'!$B$3:$B$1084,$A97,'Individual Refineries'!$D$3:$D$1084,"COKER")</f>
        <v/>
      </c>
      <c r="J97" s="30">
        <f>SUMIFS('Individual Refineries'!$F$3:$F$1084,'Individual Refineries'!$B$3:$B$1084,$A97,'Individual Refineries'!$D$3:$D$1084,"FCOKER")</f>
        <v/>
      </c>
      <c r="K97" s="30">
        <f>SUMIFS('Individual Refineries'!$F$3:$F$1084,'Individual Refineries'!$B$3:$B$1084,$A97,'Individual Refineries'!$D$3:$D$1084,"DHCU")</f>
        <v/>
      </c>
      <c r="L97" s="30">
        <f>SUMIFS('Individual Refineries'!$F$3:$F$1084,'Individual Refineries'!$B$3:$B$1084,$A97,'Individual Refineries'!$D$3:$D$1084,"RHCU")</f>
        <v/>
      </c>
      <c r="M97" s="30">
        <f>SUMIFS('Individual Refineries'!$F$3:$F$1084,'Individual Refineries'!$B$3:$B$1084,$A97,'Individual Refineries'!$D$3:$D$1084,"REF")</f>
        <v/>
      </c>
      <c r="N97" s="30">
        <f>SUMIFS('Individual Refineries'!$F$3:$F$1084,'Individual Refineries'!$B$3:$B$1084,$A97,'Individual Refineries'!$D$3:$D$1084,"CCR")</f>
        <v/>
      </c>
      <c r="O97" s="30">
        <f>SUMIFS('Individual Refineries'!$F$3:$F$1084,'Individual Refineries'!$B$3:$B$1084,$A97,'Individual Refineries'!$D$3:$D$1084,"ISOM")</f>
        <v/>
      </c>
      <c r="P97" s="30">
        <f>SUMIFS('Individual Refineries'!$F$3:$F$1084,'Individual Refineries'!$B$3:$B$1084,$A97,'Individual Refineries'!$D$3:$D$1084,"ALKY")</f>
        <v/>
      </c>
      <c r="Q97" s="30">
        <f>SUMIFS('Individual Refineries'!$F$3:$F$1084,'Individual Refineries'!$B$3:$B$1084,$A97,'Individual Refineries'!$D$3:$D$1084,"NSPL")</f>
        <v/>
      </c>
      <c r="R97" s="30">
        <f>SUMIFS('Individual Refineries'!$F$3:$F$1084,'Individual Refineries'!$B$3:$B$1084,$A97,'Individual Refineries'!$D$3:$D$1084,"NHT")</f>
        <v/>
      </c>
    </row>
    <row r="98">
      <c r="A98" s="40" t="inlineStr">
        <is>
          <t>MONTANA_GREAT_FALLS</t>
        </is>
      </c>
      <c r="B98" s="28" t="inlineStr">
        <is>
          <t>Montana Refining Co. Great Falls</t>
        </is>
      </c>
      <c r="C98" s="28" t="n">
        <v>4</v>
      </c>
      <c r="D98" s="30">
        <f>SUMIFS(Data!$G$3:$G$125,Data!$A$3:$A$125,$A98)</f>
        <v/>
      </c>
      <c r="E98" s="30">
        <f>SUMIFS('Individual Refineries'!$F$3:$F$1084,'Individual Refineries'!$B$3:$B$1084,$A98,'Individual Refineries'!$D$3:$D$1084,"CDU")</f>
        <v/>
      </c>
      <c r="F98" s="30">
        <f>SUMIFS('Individual Refineries'!$F$3:$F$1084,'Individual Refineries'!$B$3:$B$1084,$A98,'Individual Refineries'!$D$3:$D$1084,"VDU")</f>
        <v/>
      </c>
      <c r="G98" s="30">
        <f>SUMIFS('Individual Refineries'!$F$3:$F$1084,'Individual Refineries'!$B$3:$B$1084,$A98,'Individual Refineries'!$D$3:$D$1084,"FCC")</f>
        <v/>
      </c>
      <c r="H98" s="30">
        <f>SUMIFS('Individual Refineries'!$F$3:$F$1084,'Individual Refineries'!$B$3:$B$1084,$A98,'Individual Refineries'!$D$3:$D$1084,"RCC")</f>
        <v/>
      </c>
      <c r="I98" s="30">
        <f>SUMIFS('Individual Refineries'!$F$3:$F$1084,'Individual Refineries'!$B$3:$B$1084,$A98,'Individual Refineries'!$D$3:$D$1084,"COKER")</f>
        <v/>
      </c>
      <c r="J98" s="30">
        <f>SUMIFS('Individual Refineries'!$F$3:$F$1084,'Individual Refineries'!$B$3:$B$1084,$A98,'Individual Refineries'!$D$3:$D$1084,"FCOKER")</f>
        <v/>
      </c>
      <c r="K98" s="30">
        <f>SUMIFS('Individual Refineries'!$F$3:$F$1084,'Individual Refineries'!$B$3:$B$1084,$A98,'Individual Refineries'!$D$3:$D$1084,"DHCU")</f>
        <v/>
      </c>
      <c r="L98" s="30">
        <f>SUMIFS('Individual Refineries'!$F$3:$F$1084,'Individual Refineries'!$B$3:$B$1084,$A98,'Individual Refineries'!$D$3:$D$1084,"RHCU")</f>
        <v/>
      </c>
      <c r="M98" s="30">
        <f>SUMIFS('Individual Refineries'!$F$3:$F$1084,'Individual Refineries'!$B$3:$B$1084,$A98,'Individual Refineries'!$D$3:$D$1084,"REF")</f>
        <v/>
      </c>
      <c r="N98" s="30">
        <f>SUMIFS('Individual Refineries'!$F$3:$F$1084,'Individual Refineries'!$B$3:$B$1084,$A98,'Individual Refineries'!$D$3:$D$1084,"CCR")</f>
        <v/>
      </c>
      <c r="O98" s="30">
        <f>SUMIFS('Individual Refineries'!$F$3:$F$1084,'Individual Refineries'!$B$3:$B$1084,$A98,'Individual Refineries'!$D$3:$D$1084,"ISOM")</f>
        <v/>
      </c>
      <c r="P98" s="30">
        <f>SUMIFS('Individual Refineries'!$F$3:$F$1084,'Individual Refineries'!$B$3:$B$1084,$A98,'Individual Refineries'!$D$3:$D$1084,"ALKY")</f>
        <v/>
      </c>
      <c r="Q98" s="30">
        <f>SUMIFS('Individual Refineries'!$F$3:$F$1084,'Individual Refineries'!$B$3:$B$1084,$A98,'Individual Refineries'!$D$3:$D$1084,"NSPL")</f>
        <v/>
      </c>
      <c r="R98" s="30">
        <f>SUMIFS('Individual Refineries'!$F$3:$F$1084,'Individual Refineries'!$B$3:$B$1084,$A98,'Individual Refineries'!$D$3:$D$1084,"NHT")</f>
        <v/>
      </c>
    </row>
    <row r="99">
      <c r="A99" s="40" t="inlineStr">
        <is>
          <t>SILVER_WOODS_CROSS</t>
        </is>
      </c>
      <c r="B99" s="28" t="inlineStr">
        <is>
          <t>Silver Eagle Refining Woods Cross</t>
        </is>
      </c>
      <c r="C99" s="28" t="n">
        <v>4</v>
      </c>
      <c r="D99" s="30">
        <f>SUMIFS(Data!$G$3:$G$125,Data!$A$3:$A$125,$A99)</f>
        <v/>
      </c>
      <c r="E99" s="30">
        <f>SUMIFS('Individual Refineries'!$F$3:$F$1084,'Individual Refineries'!$B$3:$B$1084,$A99,'Individual Refineries'!$D$3:$D$1084,"CDU")</f>
        <v/>
      </c>
      <c r="F99" s="30">
        <f>SUMIFS('Individual Refineries'!$F$3:$F$1084,'Individual Refineries'!$B$3:$B$1084,$A99,'Individual Refineries'!$D$3:$D$1084,"VDU")</f>
        <v/>
      </c>
      <c r="G99" s="30">
        <f>SUMIFS('Individual Refineries'!$F$3:$F$1084,'Individual Refineries'!$B$3:$B$1084,$A99,'Individual Refineries'!$D$3:$D$1084,"FCC")</f>
        <v/>
      </c>
      <c r="H99" s="30">
        <f>SUMIFS('Individual Refineries'!$F$3:$F$1084,'Individual Refineries'!$B$3:$B$1084,$A99,'Individual Refineries'!$D$3:$D$1084,"RCC")</f>
        <v/>
      </c>
      <c r="I99" s="30">
        <f>SUMIFS('Individual Refineries'!$F$3:$F$1084,'Individual Refineries'!$B$3:$B$1084,$A99,'Individual Refineries'!$D$3:$D$1084,"COKER")</f>
        <v/>
      </c>
      <c r="J99" s="30">
        <f>SUMIFS('Individual Refineries'!$F$3:$F$1084,'Individual Refineries'!$B$3:$B$1084,$A99,'Individual Refineries'!$D$3:$D$1084,"FCOKER")</f>
        <v/>
      </c>
      <c r="K99" s="30">
        <f>SUMIFS('Individual Refineries'!$F$3:$F$1084,'Individual Refineries'!$B$3:$B$1084,$A99,'Individual Refineries'!$D$3:$D$1084,"DHCU")</f>
        <v/>
      </c>
      <c r="L99" s="30">
        <f>SUMIFS('Individual Refineries'!$F$3:$F$1084,'Individual Refineries'!$B$3:$B$1084,$A99,'Individual Refineries'!$D$3:$D$1084,"RHCU")</f>
        <v/>
      </c>
      <c r="M99" s="30">
        <f>SUMIFS('Individual Refineries'!$F$3:$F$1084,'Individual Refineries'!$B$3:$B$1084,$A99,'Individual Refineries'!$D$3:$D$1084,"REF")</f>
        <v/>
      </c>
      <c r="N99" s="30">
        <f>SUMIFS('Individual Refineries'!$F$3:$F$1084,'Individual Refineries'!$B$3:$B$1084,$A99,'Individual Refineries'!$D$3:$D$1084,"CCR")</f>
        <v/>
      </c>
      <c r="O99" s="30">
        <f>SUMIFS('Individual Refineries'!$F$3:$F$1084,'Individual Refineries'!$B$3:$B$1084,$A99,'Individual Refineries'!$D$3:$D$1084,"ISOM")</f>
        <v/>
      </c>
      <c r="P99" s="30">
        <f>SUMIFS('Individual Refineries'!$F$3:$F$1084,'Individual Refineries'!$B$3:$B$1084,$A99,'Individual Refineries'!$D$3:$D$1084,"ALKY")</f>
        <v/>
      </c>
      <c r="Q99" s="30">
        <f>SUMIFS('Individual Refineries'!$F$3:$F$1084,'Individual Refineries'!$B$3:$B$1084,$A99,'Individual Refineries'!$D$3:$D$1084,"NSPL")</f>
        <v/>
      </c>
      <c r="R99" s="30">
        <f>SUMIFS('Individual Refineries'!$F$3:$F$1084,'Individual Refineries'!$B$3:$B$1084,$A99,'Individual Refineries'!$D$3:$D$1084,"NHT")</f>
        <v/>
      </c>
    </row>
    <row r="100">
      <c r="A100" s="40" t="inlineStr">
        <is>
          <t>WYOMING_EVANSTON</t>
        </is>
      </c>
      <c r="B100" s="28" t="inlineStr">
        <is>
          <t>Wyoming Refining Evanston</t>
        </is>
      </c>
      <c r="C100" s="28" t="n">
        <v>4</v>
      </c>
      <c r="D100" s="30">
        <f>SUMIFS(Data!$G$3:$G$125,Data!$A$3:$A$125,$A100)</f>
        <v/>
      </c>
      <c r="E100" s="30">
        <f>SUMIFS('Individual Refineries'!$F$3:$F$1084,'Individual Refineries'!$B$3:$B$1084,$A100,'Individual Refineries'!$D$3:$D$1084,"CDU")</f>
        <v/>
      </c>
      <c r="F100" s="30">
        <f>SUMIFS('Individual Refineries'!$F$3:$F$1084,'Individual Refineries'!$B$3:$B$1084,$A100,'Individual Refineries'!$D$3:$D$1084,"VDU")</f>
        <v/>
      </c>
      <c r="G100" s="30">
        <f>SUMIFS('Individual Refineries'!$F$3:$F$1084,'Individual Refineries'!$B$3:$B$1084,$A100,'Individual Refineries'!$D$3:$D$1084,"FCC")</f>
        <v/>
      </c>
      <c r="H100" s="30">
        <f>SUMIFS('Individual Refineries'!$F$3:$F$1084,'Individual Refineries'!$B$3:$B$1084,$A100,'Individual Refineries'!$D$3:$D$1084,"RCC")</f>
        <v/>
      </c>
      <c r="I100" s="30">
        <f>SUMIFS('Individual Refineries'!$F$3:$F$1084,'Individual Refineries'!$B$3:$B$1084,$A100,'Individual Refineries'!$D$3:$D$1084,"COKER")</f>
        <v/>
      </c>
      <c r="J100" s="30">
        <f>SUMIFS('Individual Refineries'!$F$3:$F$1084,'Individual Refineries'!$B$3:$B$1084,$A100,'Individual Refineries'!$D$3:$D$1084,"FCOKER")</f>
        <v/>
      </c>
      <c r="K100" s="30">
        <f>SUMIFS('Individual Refineries'!$F$3:$F$1084,'Individual Refineries'!$B$3:$B$1084,$A100,'Individual Refineries'!$D$3:$D$1084,"DHCU")</f>
        <v/>
      </c>
      <c r="L100" s="30">
        <f>SUMIFS('Individual Refineries'!$F$3:$F$1084,'Individual Refineries'!$B$3:$B$1084,$A100,'Individual Refineries'!$D$3:$D$1084,"RHCU")</f>
        <v/>
      </c>
      <c r="M100" s="30">
        <f>SUMIFS('Individual Refineries'!$F$3:$F$1084,'Individual Refineries'!$B$3:$B$1084,$A100,'Individual Refineries'!$D$3:$D$1084,"REF")</f>
        <v/>
      </c>
      <c r="N100" s="30">
        <f>SUMIFS('Individual Refineries'!$F$3:$F$1084,'Individual Refineries'!$B$3:$B$1084,$A100,'Individual Refineries'!$D$3:$D$1084,"CCR")</f>
        <v/>
      </c>
      <c r="O100" s="30">
        <f>SUMIFS('Individual Refineries'!$F$3:$F$1084,'Individual Refineries'!$B$3:$B$1084,$A100,'Individual Refineries'!$D$3:$D$1084,"ISOM")</f>
        <v/>
      </c>
      <c r="P100" s="30">
        <f>SUMIFS('Individual Refineries'!$F$3:$F$1084,'Individual Refineries'!$B$3:$B$1084,$A100,'Individual Refineries'!$D$3:$D$1084,"ALKY")</f>
        <v/>
      </c>
      <c r="Q100" s="30">
        <f>SUMIFS('Individual Refineries'!$F$3:$F$1084,'Individual Refineries'!$B$3:$B$1084,$A100,'Individual Refineries'!$D$3:$D$1084,"NSPL")</f>
        <v/>
      </c>
      <c r="R100" s="30">
        <f>SUMIFS('Individual Refineries'!$F$3:$F$1084,'Individual Refineries'!$B$3:$B$1084,$A100,'Individual Refineries'!$D$3:$D$1084,"NHT")</f>
        <v/>
      </c>
    </row>
    <row r="101">
      <c r="A101" s="40" t="inlineStr">
        <is>
          <t>SLATE_DOUGLAS</t>
        </is>
      </c>
      <c r="B101" s="28" t="inlineStr">
        <is>
          <t>Slate Douglas</t>
        </is>
      </c>
      <c r="C101" s="28" t="n">
        <v>4</v>
      </c>
      <c r="D101" s="30">
        <f>SUMIFS(Data!$G$3:$G$125,Data!$A$3:$A$125,$A101)</f>
        <v/>
      </c>
      <c r="E101" s="30">
        <f>SUMIFS('Individual Refineries'!$F$3:$F$1084,'Individual Refineries'!$B$3:$B$1084,$A101,'Individual Refineries'!$D$3:$D$1084,"CDU")</f>
        <v/>
      </c>
      <c r="F101" s="30">
        <f>SUMIFS('Individual Refineries'!$F$3:$F$1084,'Individual Refineries'!$B$3:$B$1084,$A101,'Individual Refineries'!$D$3:$D$1084,"VDU")</f>
        <v/>
      </c>
      <c r="G101" s="30">
        <f>SUMIFS('Individual Refineries'!$F$3:$F$1084,'Individual Refineries'!$B$3:$B$1084,$A101,'Individual Refineries'!$D$3:$D$1084,"FCC")</f>
        <v/>
      </c>
      <c r="H101" s="30">
        <f>SUMIFS('Individual Refineries'!$F$3:$F$1084,'Individual Refineries'!$B$3:$B$1084,$A101,'Individual Refineries'!$D$3:$D$1084,"RCC")</f>
        <v/>
      </c>
      <c r="I101" s="30">
        <f>SUMIFS('Individual Refineries'!$F$3:$F$1084,'Individual Refineries'!$B$3:$B$1084,$A101,'Individual Refineries'!$D$3:$D$1084,"COKER")</f>
        <v/>
      </c>
      <c r="J101" s="30">
        <f>SUMIFS('Individual Refineries'!$F$3:$F$1084,'Individual Refineries'!$B$3:$B$1084,$A101,'Individual Refineries'!$D$3:$D$1084,"FCOKER")</f>
        <v/>
      </c>
      <c r="K101" s="30">
        <f>SUMIFS('Individual Refineries'!$F$3:$F$1084,'Individual Refineries'!$B$3:$B$1084,$A101,'Individual Refineries'!$D$3:$D$1084,"DHCU")</f>
        <v/>
      </c>
      <c r="L101" s="30">
        <f>SUMIFS('Individual Refineries'!$F$3:$F$1084,'Individual Refineries'!$B$3:$B$1084,$A101,'Individual Refineries'!$D$3:$D$1084,"RHCU")</f>
        <v/>
      </c>
      <c r="M101" s="30">
        <f>SUMIFS('Individual Refineries'!$F$3:$F$1084,'Individual Refineries'!$B$3:$B$1084,$A101,'Individual Refineries'!$D$3:$D$1084,"REF")</f>
        <v/>
      </c>
      <c r="N101" s="30">
        <f>SUMIFS('Individual Refineries'!$F$3:$F$1084,'Individual Refineries'!$B$3:$B$1084,$A101,'Individual Refineries'!$D$3:$D$1084,"CCR")</f>
        <v/>
      </c>
      <c r="O101" s="30">
        <f>SUMIFS('Individual Refineries'!$F$3:$F$1084,'Individual Refineries'!$B$3:$B$1084,$A101,'Individual Refineries'!$D$3:$D$1084,"ISOM")</f>
        <v/>
      </c>
      <c r="P101" s="30">
        <f>SUMIFS('Individual Refineries'!$F$3:$F$1084,'Individual Refineries'!$B$3:$B$1084,$A101,'Individual Refineries'!$D$3:$D$1084,"ALKY")</f>
        <v/>
      </c>
      <c r="Q101" s="30">
        <f>SUMIFS('Individual Refineries'!$F$3:$F$1084,'Individual Refineries'!$B$3:$B$1084,$A101,'Individual Refineries'!$D$3:$D$1084,"NSPL")</f>
        <v/>
      </c>
      <c r="R101" s="30">
        <f>SUMIFS('Individual Refineries'!$F$3:$F$1084,'Individual Refineries'!$B$3:$B$1084,$A101,'Individual Refineries'!$D$3:$D$1084,"NHT")</f>
        <v/>
      </c>
    </row>
    <row r="102">
      <c r="A102" s="40" t="inlineStr">
        <is>
          <t>CHEVRON_EL_SEGUNDO</t>
        </is>
      </c>
      <c r="B102" s="28" t="inlineStr">
        <is>
          <t>Chevron El Segundo</t>
        </is>
      </c>
      <c r="C102" s="28" t="n">
        <v>5</v>
      </c>
      <c r="D102" s="30">
        <f>SUMIFS(Data!$G$3:$G$125,Data!$A$3:$A$125,$A102)</f>
        <v/>
      </c>
      <c r="E102" s="30">
        <f>SUMIFS('Individual Refineries'!$F$3:$F$1084,'Individual Refineries'!$B$3:$B$1084,$A102,'Individual Refineries'!$D$3:$D$1084,"CDU")</f>
        <v/>
      </c>
      <c r="F102" s="30">
        <f>SUMIFS('Individual Refineries'!$F$3:$F$1084,'Individual Refineries'!$B$3:$B$1084,$A102,'Individual Refineries'!$D$3:$D$1084,"VDU")</f>
        <v/>
      </c>
      <c r="G102" s="30">
        <f>SUMIFS('Individual Refineries'!$F$3:$F$1084,'Individual Refineries'!$B$3:$B$1084,$A102,'Individual Refineries'!$D$3:$D$1084,"FCC")</f>
        <v/>
      </c>
      <c r="H102" s="30">
        <f>SUMIFS('Individual Refineries'!$F$3:$F$1084,'Individual Refineries'!$B$3:$B$1084,$A102,'Individual Refineries'!$D$3:$D$1084,"RCC")</f>
        <v/>
      </c>
      <c r="I102" s="30">
        <f>SUMIFS('Individual Refineries'!$F$3:$F$1084,'Individual Refineries'!$B$3:$B$1084,$A102,'Individual Refineries'!$D$3:$D$1084,"COKER")</f>
        <v/>
      </c>
      <c r="J102" s="30">
        <f>SUMIFS('Individual Refineries'!$F$3:$F$1084,'Individual Refineries'!$B$3:$B$1084,$A102,'Individual Refineries'!$D$3:$D$1084,"FCOKER")</f>
        <v/>
      </c>
      <c r="K102" s="30">
        <f>SUMIFS('Individual Refineries'!$F$3:$F$1084,'Individual Refineries'!$B$3:$B$1084,$A102,'Individual Refineries'!$D$3:$D$1084,"DHCU")</f>
        <v/>
      </c>
      <c r="L102" s="30">
        <f>SUMIFS('Individual Refineries'!$F$3:$F$1084,'Individual Refineries'!$B$3:$B$1084,$A102,'Individual Refineries'!$D$3:$D$1084,"RHCU")</f>
        <v/>
      </c>
      <c r="M102" s="30">
        <f>SUMIFS('Individual Refineries'!$F$3:$F$1084,'Individual Refineries'!$B$3:$B$1084,$A102,'Individual Refineries'!$D$3:$D$1084,"REF")</f>
        <v/>
      </c>
      <c r="N102" s="30">
        <f>SUMIFS('Individual Refineries'!$F$3:$F$1084,'Individual Refineries'!$B$3:$B$1084,$A102,'Individual Refineries'!$D$3:$D$1084,"CCR")</f>
        <v/>
      </c>
      <c r="O102" s="30">
        <f>SUMIFS('Individual Refineries'!$F$3:$F$1084,'Individual Refineries'!$B$3:$B$1084,$A102,'Individual Refineries'!$D$3:$D$1084,"ISOM")</f>
        <v/>
      </c>
      <c r="P102" s="30">
        <f>SUMIFS('Individual Refineries'!$F$3:$F$1084,'Individual Refineries'!$B$3:$B$1084,$A102,'Individual Refineries'!$D$3:$D$1084,"ALKY")</f>
        <v/>
      </c>
      <c r="Q102" s="30">
        <f>SUMIFS('Individual Refineries'!$F$3:$F$1084,'Individual Refineries'!$B$3:$B$1084,$A102,'Individual Refineries'!$D$3:$D$1084,"NSPL")</f>
        <v/>
      </c>
      <c r="R102" s="30">
        <f>SUMIFS('Individual Refineries'!$F$3:$F$1084,'Individual Refineries'!$B$3:$B$1084,$A102,'Individual Refineries'!$D$3:$D$1084,"NHT")</f>
        <v/>
      </c>
    </row>
    <row r="103">
      <c r="A103" s="40" t="inlineStr">
        <is>
          <t>MARATHON_CARSON</t>
        </is>
      </c>
      <c r="B103" s="28" t="inlineStr">
        <is>
          <t>Marathon Petroleum Carson</t>
        </is>
      </c>
      <c r="C103" s="28" t="n">
        <v>5</v>
      </c>
      <c r="D103" s="30">
        <f>SUMIFS(Data!$G$3:$G$125,Data!$A$3:$A$125,$A103)</f>
        <v/>
      </c>
      <c r="E103" s="30">
        <f>SUMIFS('Individual Refineries'!$F$3:$F$1084,'Individual Refineries'!$B$3:$B$1084,$A103,'Individual Refineries'!$D$3:$D$1084,"CDU")</f>
        <v/>
      </c>
      <c r="F103" s="30">
        <f>SUMIFS('Individual Refineries'!$F$3:$F$1084,'Individual Refineries'!$B$3:$B$1084,$A103,'Individual Refineries'!$D$3:$D$1084,"VDU")</f>
        <v/>
      </c>
      <c r="G103" s="30">
        <f>SUMIFS('Individual Refineries'!$F$3:$F$1084,'Individual Refineries'!$B$3:$B$1084,$A103,'Individual Refineries'!$D$3:$D$1084,"FCC")</f>
        <v/>
      </c>
      <c r="H103" s="30">
        <f>SUMIFS('Individual Refineries'!$F$3:$F$1084,'Individual Refineries'!$B$3:$B$1084,$A103,'Individual Refineries'!$D$3:$D$1084,"RCC")</f>
        <v/>
      </c>
      <c r="I103" s="30">
        <f>SUMIFS('Individual Refineries'!$F$3:$F$1084,'Individual Refineries'!$B$3:$B$1084,$A103,'Individual Refineries'!$D$3:$D$1084,"COKER")</f>
        <v/>
      </c>
      <c r="J103" s="30">
        <f>SUMIFS('Individual Refineries'!$F$3:$F$1084,'Individual Refineries'!$B$3:$B$1084,$A103,'Individual Refineries'!$D$3:$D$1084,"FCOKER")</f>
        <v/>
      </c>
      <c r="K103" s="30">
        <f>SUMIFS('Individual Refineries'!$F$3:$F$1084,'Individual Refineries'!$B$3:$B$1084,$A103,'Individual Refineries'!$D$3:$D$1084,"DHCU")</f>
        <v/>
      </c>
      <c r="L103" s="30">
        <f>SUMIFS('Individual Refineries'!$F$3:$F$1084,'Individual Refineries'!$B$3:$B$1084,$A103,'Individual Refineries'!$D$3:$D$1084,"RHCU")</f>
        <v/>
      </c>
      <c r="M103" s="30">
        <f>SUMIFS('Individual Refineries'!$F$3:$F$1084,'Individual Refineries'!$B$3:$B$1084,$A103,'Individual Refineries'!$D$3:$D$1084,"REF")</f>
        <v/>
      </c>
      <c r="N103" s="30">
        <f>SUMIFS('Individual Refineries'!$F$3:$F$1084,'Individual Refineries'!$B$3:$B$1084,$A103,'Individual Refineries'!$D$3:$D$1084,"CCR")</f>
        <v/>
      </c>
      <c r="O103" s="30">
        <f>SUMIFS('Individual Refineries'!$F$3:$F$1084,'Individual Refineries'!$B$3:$B$1084,$A103,'Individual Refineries'!$D$3:$D$1084,"ISOM")</f>
        <v/>
      </c>
      <c r="P103" s="30">
        <f>SUMIFS('Individual Refineries'!$F$3:$F$1084,'Individual Refineries'!$B$3:$B$1084,$A103,'Individual Refineries'!$D$3:$D$1084,"ALKY")</f>
        <v/>
      </c>
      <c r="Q103" s="30">
        <f>SUMIFS('Individual Refineries'!$F$3:$F$1084,'Individual Refineries'!$B$3:$B$1084,$A103,'Individual Refineries'!$D$3:$D$1084,"NSPL")</f>
        <v/>
      </c>
      <c r="R103" s="30">
        <f>SUMIFS('Individual Refineries'!$F$3:$F$1084,'Individual Refineries'!$B$3:$B$1084,$A103,'Individual Refineries'!$D$3:$D$1084,"NHT")</f>
        <v/>
      </c>
    </row>
    <row r="104">
      <c r="A104" s="40" t="inlineStr">
        <is>
          <t>CHEVRON_RICHMOND</t>
        </is>
      </c>
      <c r="B104" s="28" t="inlineStr">
        <is>
          <t>Chevron Richmond</t>
        </is>
      </c>
      <c r="C104" s="28" t="n">
        <v>5</v>
      </c>
      <c r="D104" s="30">
        <f>SUMIFS(Data!$G$3:$G$125,Data!$A$3:$A$125,$A104)</f>
        <v/>
      </c>
      <c r="E104" s="30">
        <f>SUMIFS('Individual Refineries'!$F$3:$F$1084,'Individual Refineries'!$B$3:$B$1084,$A104,'Individual Refineries'!$D$3:$D$1084,"CDU")</f>
        <v/>
      </c>
      <c r="F104" s="30">
        <f>SUMIFS('Individual Refineries'!$F$3:$F$1084,'Individual Refineries'!$B$3:$B$1084,$A104,'Individual Refineries'!$D$3:$D$1084,"VDU")</f>
        <v/>
      </c>
      <c r="G104" s="30">
        <f>SUMIFS('Individual Refineries'!$F$3:$F$1084,'Individual Refineries'!$B$3:$B$1084,$A104,'Individual Refineries'!$D$3:$D$1084,"FCC")</f>
        <v/>
      </c>
      <c r="H104" s="30">
        <f>SUMIFS('Individual Refineries'!$F$3:$F$1084,'Individual Refineries'!$B$3:$B$1084,$A104,'Individual Refineries'!$D$3:$D$1084,"RCC")</f>
        <v/>
      </c>
      <c r="I104" s="30">
        <f>SUMIFS('Individual Refineries'!$F$3:$F$1084,'Individual Refineries'!$B$3:$B$1084,$A104,'Individual Refineries'!$D$3:$D$1084,"COKER")</f>
        <v/>
      </c>
      <c r="J104" s="30">
        <f>SUMIFS('Individual Refineries'!$F$3:$F$1084,'Individual Refineries'!$B$3:$B$1084,$A104,'Individual Refineries'!$D$3:$D$1084,"FCOKER")</f>
        <v/>
      </c>
      <c r="K104" s="30">
        <f>SUMIFS('Individual Refineries'!$F$3:$F$1084,'Individual Refineries'!$B$3:$B$1084,$A104,'Individual Refineries'!$D$3:$D$1084,"DHCU")</f>
        <v/>
      </c>
      <c r="L104" s="30">
        <f>SUMIFS('Individual Refineries'!$F$3:$F$1084,'Individual Refineries'!$B$3:$B$1084,$A104,'Individual Refineries'!$D$3:$D$1084,"RHCU")</f>
        <v/>
      </c>
      <c r="M104" s="30">
        <f>SUMIFS('Individual Refineries'!$F$3:$F$1084,'Individual Refineries'!$B$3:$B$1084,$A104,'Individual Refineries'!$D$3:$D$1084,"REF")</f>
        <v/>
      </c>
      <c r="N104" s="30">
        <f>SUMIFS('Individual Refineries'!$F$3:$F$1084,'Individual Refineries'!$B$3:$B$1084,$A104,'Individual Refineries'!$D$3:$D$1084,"CCR")</f>
        <v/>
      </c>
      <c r="O104" s="30">
        <f>SUMIFS('Individual Refineries'!$F$3:$F$1084,'Individual Refineries'!$B$3:$B$1084,$A104,'Individual Refineries'!$D$3:$D$1084,"ISOM")</f>
        <v/>
      </c>
      <c r="P104" s="30">
        <f>SUMIFS('Individual Refineries'!$F$3:$F$1084,'Individual Refineries'!$B$3:$B$1084,$A104,'Individual Refineries'!$D$3:$D$1084,"ALKY")</f>
        <v/>
      </c>
      <c r="Q104" s="30">
        <f>SUMIFS('Individual Refineries'!$F$3:$F$1084,'Individual Refineries'!$B$3:$B$1084,$A104,'Individual Refineries'!$D$3:$D$1084,"NSPL")</f>
        <v/>
      </c>
      <c r="R104" s="30">
        <f>SUMIFS('Individual Refineries'!$F$3:$F$1084,'Individual Refineries'!$B$3:$B$1084,$A104,'Individual Refineries'!$D$3:$D$1084,"NHT")</f>
        <v/>
      </c>
    </row>
    <row r="105">
      <c r="A105" s="40" t="inlineStr">
        <is>
          <t>BP_FERNDALE</t>
        </is>
      </c>
      <c r="B105" s="28" t="inlineStr">
        <is>
          <t>BP Ferndale</t>
        </is>
      </c>
      <c r="C105" s="28" t="n">
        <v>5</v>
      </c>
      <c r="D105" s="30">
        <f>SUMIFS(Data!$G$3:$G$125,Data!$A$3:$A$125,$A105)</f>
        <v/>
      </c>
      <c r="E105" s="30">
        <f>SUMIFS('Individual Refineries'!$F$3:$F$1084,'Individual Refineries'!$B$3:$B$1084,$A105,'Individual Refineries'!$D$3:$D$1084,"CDU")</f>
        <v/>
      </c>
      <c r="F105" s="30">
        <f>SUMIFS('Individual Refineries'!$F$3:$F$1084,'Individual Refineries'!$B$3:$B$1084,$A105,'Individual Refineries'!$D$3:$D$1084,"VDU")</f>
        <v/>
      </c>
      <c r="G105" s="30">
        <f>SUMIFS('Individual Refineries'!$F$3:$F$1084,'Individual Refineries'!$B$3:$B$1084,$A105,'Individual Refineries'!$D$3:$D$1084,"FCC")</f>
        <v/>
      </c>
      <c r="H105" s="30">
        <f>SUMIFS('Individual Refineries'!$F$3:$F$1084,'Individual Refineries'!$B$3:$B$1084,$A105,'Individual Refineries'!$D$3:$D$1084,"RCC")</f>
        <v/>
      </c>
      <c r="I105" s="30">
        <f>SUMIFS('Individual Refineries'!$F$3:$F$1084,'Individual Refineries'!$B$3:$B$1084,$A105,'Individual Refineries'!$D$3:$D$1084,"COKER")</f>
        <v/>
      </c>
      <c r="J105" s="30">
        <f>SUMIFS('Individual Refineries'!$F$3:$F$1084,'Individual Refineries'!$B$3:$B$1084,$A105,'Individual Refineries'!$D$3:$D$1084,"FCOKER")</f>
        <v/>
      </c>
      <c r="K105" s="30">
        <f>SUMIFS('Individual Refineries'!$F$3:$F$1084,'Individual Refineries'!$B$3:$B$1084,$A105,'Individual Refineries'!$D$3:$D$1084,"DHCU")</f>
        <v/>
      </c>
      <c r="L105" s="30">
        <f>SUMIFS('Individual Refineries'!$F$3:$F$1084,'Individual Refineries'!$B$3:$B$1084,$A105,'Individual Refineries'!$D$3:$D$1084,"RHCU")</f>
        <v/>
      </c>
      <c r="M105" s="30">
        <f>SUMIFS('Individual Refineries'!$F$3:$F$1084,'Individual Refineries'!$B$3:$B$1084,$A105,'Individual Refineries'!$D$3:$D$1084,"REF")</f>
        <v/>
      </c>
      <c r="N105" s="30">
        <f>SUMIFS('Individual Refineries'!$F$3:$F$1084,'Individual Refineries'!$B$3:$B$1084,$A105,'Individual Refineries'!$D$3:$D$1084,"CCR")</f>
        <v/>
      </c>
      <c r="O105" s="30">
        <f>SUMIFS('Individual Refineries'!$F$3:$F$1084,'Individual Refineries'!$B$3:$B$1084,$A105,'Individual Refineries'!$D$3:$D$1084,"ISOM")</f>
        <v/>
      </c>
      <c r="P105" s="30">
        <f>SUMIFS('Individual Refineries'!$F$3:$F$1084,'Individual Refineries'!$B$3:$B$1084,$A105,'Individual Refineries'!$D$3:$D$1084,"ALKY")</f>
        <v/>
      </c>
      <c r="Q105" s="30">
        <f>SUMIFS('Individual Refineries'!$F$3:$F$1084,'Individual Refineries'!$B$3:$B$1084,$A105,'Individual Refineries'!$D$3:$D$1084,"NSPL")</f>
        <v/>
      </c>
      <c r="R105" s="30">
        <f>SUMIFS('Individual Refineries'!$F$3:$F$1084,'Individual Refineries'!$B$3:$B$1084,$A105,'Individual Refineries'!$D$3:$D$1084,"NHT")</f>
        <v/>
      </c>
    </row>
    <row r="106">
      <c r="A106" s="40" t="inlineStr">
        <is>
          <t>PBF_TORRANCE</t>
        </is>
      </c>
      <c r="B106" s="28" t="inlineStr">
        <is>
          <t>PBF Energy Company LLC Torrance</t>
        </is>
      </c>
      <c r="C106" s="28" t="n">
        <v>5</v>
      </c>
      <c r="D106" s="30">
        <f>SUMIFS(Data!$G$3:$G$125,Data!$A$3:$A$125,$A106)</f>
        <v/>
      </c>
      <c r="E106" s="30">
        <f>SUMIFS('Individual Refineries'!$F$3:$F$1084,'Individual Refineries'!$B$3:$B$1084,$A106,'Individual Refineries'!$D$3:$D$1084,"CDU")</f>
        <v/>
      </c>
      <c r="F106" s="30">
        <f>SUMIFS('Individual Refineries'!$F$3:$F$1084,'Individual Refineries'!$B$3:$B$1084,$A106,'Individual Refineries'!$D$3:$D$1084,"VDU")</f>
        <v/>
      </c>
      <c r="G106" s="30">
        <f>SUMIFS('Individual Refineries'!$F$3:$F$1084,'Individual Refineries'!$B$3:$B$1084,$A106,'Individual Refineries'!$D$3:$D$1084,"FCC")</f>
        <v/>
      </c>
      <c r="H106" s="30">
        <f>SUMIFS('Individual Refineries'!$F$3:$F$1084,'Individual Refineries'!$B$3:$B$1084,$A106,'Individual Refineries'!$D$3:$D$1084,"RCC")</f>
        <v/>
      </c>
      <c r="I106" s="30">
        <f>SUMIFS('Individual Refineries'!$F$3:$F$1084,'Individual Refineries'!$B$3:$B$1084,$A106,'Individual Refineries'!$D$3:$D$1084,"COKER")</f>
        <v/>
      </c>
      <c r="J106" s="30">
        <f>SUMIFS('Individual Refineries'!$F$3:$F$1084,'Individual Refineries'!$B$3:$B$1084,$A106,'Individual Refineries'!$D$3:$D$1084,"FCOKER")</f>
        <v/>
      </c>
      <c r="K106" s="30">
        <f>SUMIFS('Individual Refineries'!$F$3:$F$1084,'Individual Refineries'!$B$3:$B$1084,$A106,'Individual Refineries'!$D$3:$D$1084,"DHCU")</f>
        <v/>
      </c>
      <c r="L106" s="30">
        <f>SUMIFS('Individual Refineries'!$F$3:$F$1084,'Individual Refineries'!$B$3:$B$1084,$A106,'Individual Refineries'!$D$3:$D$1084,"RHCU")</f>
        <v/>
      </c>
      <c r="M106" s="30">
        <f>SUMIFS('Individual Refineries'!$F$3:$F$1084,'Individual Refineries'!$B$3:$B$1084,$A106,'Individual Refineries'!$D$3:$D$1084,"REF")</f>
        <v/>
      </c>
      <c r="N106" s="30">
        <f>SUMIFS('Individual Refineries'!$F$3:$F$1084,'Individual Refineries'!$B$3:$B$1084,$A106,'Individual Refineries'!$D$3:$D$1084,"CCR")</f>
        <v/>
      </c>
      <c r="O106" s="30">
        <f>SUMIFS('Individual Refineries'!$F$3:$F$1084,'Individual Refineries'!$B$3:$B$1084,$A106,'Individual Refineries'!$D$3:$D$1084,"ISOM")</f>
        <v/>
      </c>
      <c r="P106" s="30">
        <f>SUMIFS('Individual Refineries'!$F$3:$F$1084,'Individual Refineries'!$B$3:$B$1084,$A106,'Individual Refineries'!$D$3:$D$1084,"ALKY")</f>
        <v/>
      </c>
      <c r="Q106" s="30">
        <f>SUMIFS('Individual Refineries'!$F$3:$F$1084,'Individual Refineries'!$B$3:$B$1084,$A106,'Individual Refineries'!$D$3:$D$1084,"NSPL")</f>
        <v/>
      </c>
      <c r="R106" s="30">
        <f>SUMIFS('Individual Refineries'!$F$3:$F$1084,'Individual Refineries'!$B$3:$B$1084,$A106,'Individual Refineries'!$D$3:$D$1084,"NHT")</f>
        <v/>
      </c>
    </row>
    <row r="107">
      <c r="A107" s="40" t="inlineStr">
        <is>
          <t>PBF_MARTINEZ</t>
        </is>
      </c>
      <c r="B107" s="28" t="inlineStr">
        <is>
          <t>PBF Energy Company LLC Martinez</t>
        </is>
      </c>
      <c r="C107" s="28" t="n">
        <v>5</v>
      </c>
      <c r="D107" s="30">
        <f>SUMIFS(Data!$G$3:$G$125,Data!$A$3:$A$125,$A107)</f>
        <v/>
      </c>
      <c r="E107" s="30">
        <f>SUMIFS('Individual Refineries'!$F$3:$F$1084,'Individual Refineries'!$B$3:$B$1084,$A107,'Individual Refineries'!$D$3:$D$1084,"CDU")</f>
        <v/>
      </c>
      <c r="F107" s="30">
        <f>SUMIFS('Individual Refineries'!$F$3:$F$1084,'Individual Refineries'!$B$3:$B$1084,$A107,'Individual Refineries'!$D$3:$D$1084,"VDU")</f>
        <v/>
      </c>
      <c r="G107" s="30">
        <f>SUMIFS('Individual Refineries'!$F$3:$F$1084,'Individual Refineries'!$B$3:$B$1084,$A107,'Individual Refineries'!$D$3:$D$1084,"FCC")</f>
        <v/>
      </c>
      <c r="H107" s="30">
        <f>SUMIFS('Individual Refineries'!$F$3:$F$1084,'Individual Refineries'!$B$3:$B$1084,$A107,'Individual Refineries'!$D$3:$D$1084,"RCC")</f>
        <v/>
      </c>
      <c r="I107" s="30">
        <f>SUMIFS('Individual Refineries'!$F$3:$F$1084,'Individual Refineries'!$B$3:$B$1084,$A107,'Individual Refineries'!$D$3:$D$1084,"COKER")</f>
        <v/>
      </c>
      <c r="J107" s="30">
        <f>SUMIFS('Individual Refineries'!$F$3:$F$1084,'Individual Refineries'!$B$3:$B$1084,$A107,'Individual Refineries'!$D$3:$D$1084,"FCOKER")</f>
        <v/>
      </c>
      <c r="K107" s="30">
        <f>SUMIFS('Individual Refineries'!$F$3:$F$1084,'Individual Refineries'!$B$3:$B$1084,$A107,'Individual Refineries'!$D$3:$D$1084,"DHCU")</f>
        <v/>
      </c>
      <c r="L107" s="30">
        <f>SUMIFS('Individual Refineries'!$F$3:$F$1084,'Individual Refineries'!$B$3:$B$1084,$A107,'Individual Refineries'!$D$3:$D$1084,"RHCU")</f>
        <v/>
      </c>
      <c r="M107" s="30">
        <f>SUMIFS('Individual Refineries'!$F$3:$F$1084,'Individual Refineries'!$B$3:$B$1084,$A107,'Individual Refineries'!$D$3:$D$1084,"REF")</f>
        <v/>
      </c>
      <c r="N107" s="30">
        <f>SUMIFS('Individual Refineries'!$F$3:$F$1084,'Individual Refineries'!$B$3:$B$1084,$A107,'Individual Refineries'!$D$3:$D$1084,"CCR")</f>
        <v/>
      </c>
      <c r="O107" s="30">
        <f>SUMIFS('Individual Refineries'!$F$3:$F$1084,'Individual Refineries'!$B$3:$B$1084,$A107,'Individual Refineries'!$D$3:$D$1084,"ISOM")</f>
        <v/>
      </c>
      <c r="P107" s="30">
        <f>SUMIFS('Individual Refineries'!$F$3:$F$1084,'Individual Refineries'!$B$3:$B$1084,$A107,'Individual Refineries'!$D$3:$D$1084,"ALKY")</f>
        <v/>
      </c>
      <c r="Q107" s="30">
        <f>SUMIFS('Individual Refineries'!$F$3:$F$1084,'Individual Refineries'!$B$3:$B$1084,$A107,'Individual Refineries'!$D$3:$D$1084,"NSPL")</f>
        <v/>
      </c>
      <c r="R107" s="30">
        <f>SUMIFS('Individual Refineries'!$F$3:$F$1084,'Individual Refineries'!$B$3:$B$1084,$A107,'Individual Refineries'!$D$3:$D$1084,"NHT")</f>
        <v/>
      </c>
    </row>
    <row r="108">
      <c r="A108" s="40" t="inlineStr">
        <is>
          <t>HF_ANACORTES</t>
        </is>
      </c>
      <c r="B108" s="28" t="inlineStr">
        <is>
          <t>HF Sinclair Anacortes</t>
        </is>
      </c>
      <c r="C108" s="28" t="n">
        <v>5</v>
      </c>
      <c r="D108" s="30">
        <f>SUMIFS(Data!$G$3:$G$125,Data!$A$3:$A$125,$A108)</f>
        <v/>
      </c>
      <c r="E108" s="30">
        <f>SUMIFS('Individual Refineries'!$F$3:$F$1084,'Individual Refineries'!$B$3:$B$1084,$A108,'Individual Refineries'!$D$3:$D$1084,"CDU")</f>
        <v/>
      </c>
      <c r="F108" s="30">
        <f>SUMIFS('Individual Refineries'!$F$3:$F$1084,'Individual Refineries'!$B$3:$B$1084,$A108,'Individual Refineries'!$D$3:$D$1084,"VDU")</f>
        <v/>
      </c>
      <c r="G108" s="30">
        <f>SUMIFS('Individual Refineries'!$F$3:$F$1084,'Individual Refineries'!$B$3:$B$1084,$A108,'Individual Refineries'!$D$3:$D$1084,"FCC")</f>
        <v/>
      </c>
      <c r="H108" s="30">
        <f>SUMIFS('Individual Refineries'!$F$3:$F$1084,'Individual Refineries'!$B$3:$B$1084,$A108,'Individual Refineries'!$D$3:$D$1084,"RCC")</f>
        <v/>
      </c>
      <c r="I108" s="30">
        <f>SUMIFS('Individual Refineries'!$F$3:$F$1084,'Individual Refineries'!$B$3:$B$1084,$A108,'Individual Refineries'!$D$3:$D$1084,"COKER")</f>
        <v/>
      </c>
      <c r="J108" s="30">
        <f>SUMIFS('Individual Refineries'!$F$3:$F$1084,'Individual Refineries'!$B$3:$B$1084,$A108,'Individual Refineries'!$D$3:$D$1084,"FCOKER")</f>
        <v/>
      </c>
      <c r="K108" s="30">
        <f>SUMIFS('Individual Refineries'!$F$3:$F$1084,'Individual Refineries'!$B$3:$B$1084,$A108,'Individual Refineries'!$D$3:$D$1084,"DHCU")</f>
        <v/>
      </c>
      <c r="L108" s="30">
        <f>SUMIFS('Individual Refineries'!$F$3:$F$1084,'Individual Refineries'!$B$3:$B$1084,$A108,'Individual Refineries'!$D$3:$D$1084,"RHCU")</f>
        <v/>
      </c>
      <c r="M108" s="30">
        <f>SUMIFS('Individual Refineries'!$F$3:$F$1084,'Individual Refineries'!$B$3:$B$1084,$A108,'Individual Refineries'!$D$3:$D$1084,"REF")</f>
        <v/>
      </c>
      <c r="N108" s="30">
        <f>SUMIFS('Individual Refineries'!$F$3:$F$1084,'Individual Refineries'!$B$3:$B$1084,$A108,'Individual Refineries'!$D$3:$D$1084,"CCR")</f>
        <v/>
      </c>
      <c r="O108" s="30">
        <f>SUMIFS('Individual Refineries'!$F$3:$F$1084,'Individual Refineries'!$B$3:$B$1084,$A108,'Individual Refineries'!$D$3:$D$1084,"ISOM")</f>
        <v/>
      </c>
      <c r="P108" s="30">
        <f>SUMIFS('Individual Refineries'!$F$3:$F$1084,'Individual Refineries'!$B$3:$B$1084,$A108,'Individual Refineries'!$D$3:$D$1084,"ALKY")</f>
        <v/>
      </c>
      <c r="Q108" s="30">
        <f>SUMIFS('Individual Refineries'!$F$3:$F$1084,'Individual Refineries'!$B$3:$B$1084,$A108,'Individual Refineries'!$D$3:$D$1084,"NSPL")</f>
        <v/>
      </c>
      <c r="R108" s="30">
        <f>SUMIFS('Individual Refineries'!$F$3:$F$1084,'Individual Refineries'!$B$3:$B$1084,$A108,'Individual Refineries'!$D$3:$D$1084,"NHT")</f>
        <v/>
      </c>
    </row>
    <row r="109">
      <c r="A109" s="40" t="inlineStr">
        <is>
          <t>MARATHON_ANACORTES</t>
        </is>
      </c>
      <c r="B109" s="28" t="inlineStr">
        <is>
          <t>Marathon Petroleum Anacortes</t>
        </is>
      </c>
      <c r="C109" s="28" t="n">
        <v>5</v>
      </c>
      <c r="D109" s="30">
        <f>SUMIFS(Data!$G$3:$G$125,Data!$A$3:$A$125,$A109)</f>
        <v/>
      </c>
      <c r="E109" s="30">
        <f>SUMIFS('Individual Refineries'!$F$3:$F$1084,'Individual Refineries'!$B$3:$B$1084,$A109,'Individual Refineries'!$D$3:$D$1084,"CDU")</f>
        <v/>
      </c>
      <c r="F109" s="30">
        <f>SUMIFS('Individual Refineries'!$F$3:$F$1084,'Individual Refineries'!$B$3:$B$1084,$A109,'Individual Refineries'!$D$3:$D$1084,"VDU")</f>
        <v/>
      </c>
      <c r="G109" s="30">
        <f>SUMIFS('Individual Refineries'!$F$3:$F$1084,'Individual Refineries'!$B$3:$B$1084,$A109,'Individual Refineries'!$D$3:$D$1084,"FCC")</f>
        <v/>
      </c>
      <c r="H109" s="30">
        <f>SUMIFS('Individual Refineries'!$F$3:$F$1084,'Individual Refineries'!$B$3:$B$1084,$A109,'Individual Refineries'!$D$3:$D$1084,"RCC")</f>
        <v/>
      </c>
      <c r="I109" s="30">
        <f>SUMIFS('Individual Refineries'!$F$3:$F$1084,'Individual Refineries'!$B$3:$B$1084,$A109,'Individual Refineries'!$D$3:$D$1084,"COKER")</f>
        <v/>
      </c>
      <c r="J109" s="30">
        <f>SUMIFS('Individual Refineries'!$F$3:$F$1084,'Individual Refineries'!$B$3:$B$1084,$A109,'Individual Refineries'!$D$3:$D$1084,"FCOKER")</f>
        <v/>
      </c>
      <c r="K109" s="30">
        <f>SUMIFS('Individual Refineries'!$F$3:$F$1084,'Individual Refineries'!$B$3:$B$1084,$A109,'Individual Refineries'!$D$3:$D$1084,"DHCU")</f>
        <v/>
      </c>
      <c r="L109" s="30">
        <f>SUMIFS('Individual Refineries'!$F$3:$F$1084,'Individual Refineries'!$B$3:$B$1084,$A109,'Individual Refineries'!$D$3:$D$1084,"RHCU")</f>
        <v/>
      </c>
      <c r="M109" s="30">
        <f>SUMIFS('Individual Refineries'!$F$3:$F$1084,'Individual Refineries'!$B$3:$B$1084,$A109,'Individual Refineries'!$D$3:$D$1084,"REF")</f>
        <v/>
      </c>
      <c r="N109" s="30">
        <f>SUMIFS('Individual Refineries'!$F$3:$F$1084,'Individual Refineries'!$B$3:$B$1084,$A109,'Individual Refineries'!$D$3:$D$1084,"CCR")</f>
        <v/>
      </c>
      <c r="O109" s="30">
        <f>SUMIFS('Individual Refineries'!$F$3:$F$1084,'Individual Refineries'!$B$3:$B$1084,$A109,'Individual Refineries'!$D$3:$D$1084,"ISOM")</f>
        <v/>
      </c>
      <c r="P109" s="30">
        <f>SUMIFS('Individual Refineries'!$F$3:$F$1084,'Individual Refineries'!$B$3:$B$1084,$A109,'Individual Refineries'!$D$3:$D$1084,"ALKY")</f>
        <v/>
      </c>
      <c r="Q109" s="30">
        <f>SUMIFS('Individual Refineries'!$F$3:$F$1084,'Individual Refineries'!$B$3:$B$1084,$A109,'Individual Refineries'!$D$3:$D$1084,"NSPL")</f>
        <v/>
      </c>
      <c r="R109" s="30">
        <f>SUMIFS('Individual Refineries'!$F$3:$F$1084,'Individual Refineries'!$B$3:$B$1084,$A109,'Individual Refineries'!$D$3:$D$1084,"NHT")</f>
        <v/>
      </c>
    </row>
    <row r="110">
      <c r="A110" s="40" t="inlineStr">
        <is>
          <t>PHILLIPS_FERNDALE</t>
        </is>
      </c>
      <c r="B110" s="28" t="inlineStr">
        <is>
          <t>Phillips 66 Co. Ferndale</t>
        </is>
      </c>
      <c r="C110" s="28" t="n">
        <v>5</v>
      </c>
      <c r="D110" s="30">
        <f>SUMIFS(Data!$G$3:$G$125,Data!$A$3:$A$125,$A110)</f>
        <v/>
      </c>
      <c r="E110" s="30">
        <f>SUMIFS('Individual Refineries'!$F$3:$F$1084,'Individual Refineries'!$B$3:$B$1084,$A110,'Individual Refineries'!$D$3:$D$1084,"CDU")</f>
        <v/>
      </c>
      <c r="F110" s="30">
        <f>SUMIFS('Individual Refineries'!$F$3:$F$1084,'Individual Refineries'!$B$3:$B$1084,$A110,'Individual Refineries'!$D$3:$D$1084,"VDU")</f>
        <v/>
      </c>
      <c r="G110" s="30">
        <f>SUMIFS('Individual Refineries'!$F$3:$F$1084,'Individual Refineries'!$B$3:$B$1084,$A110,'Individual Refineries'!$D$3:$D$1084,"FCC")</f>
        <v/>
      </c>
      <c r="H110" s="30">
        <f>SUMIFS('Individual Refineries'!$F$3:$F$1084,'Individual Refineries'!$B$3:$B$1084,$A110,'Individual Refineries'!$D$3:$D$1084,"RCC")</f>
        <v/>
      </c>
      <c r="I110" s="30">
        <f>SUMIFS('Individual Refineries'!$F$3:$F$1084,'Individual Refineries'!$B$3:$B$1084,$A110,'Individual Refineries'!$D$3:$D$1084,"COKER")</f>
        <v/>
      </c>
      <c r="J110" s="30">
        <f>SUMIFS('Individual Refineries'!$F$3:$F$1084,'Individual Refineries'!$B$3:$B$1084,$A110,'Individual Refineries'!$D$3:$D$1084,"FCOKER")</f>
        <v/>
      </c>
      <c r="K110" s="30">
        <f>SUMIFS('Individual Refineries'!$F$3:$F$1084,'Individual Refineries'!$B$3:$B$1084,$A110,'Individual Refineries'!$D$3:$D$1084,"DHCU")</f>
        <v/>
      </c>
      <c r="L110" s="30">
        <f>SUMIFS('Individual Refineries'!$F$3:$F$1084,'Individual Refineries'!$B$3:$B$1084,$A110,'Individual Refineries'!$D$3:$D$1084,"RHCU")</f>
        <v/>
      </c>
      <c r="M110" s="30">
        <f>SUMIFS('Individual Refineries'!$F$3:$F$1084,'Individual Refineries'!$B$3:$B$1084,$A110,'Individual Refineries'!$D$3:$D$1084,"REF")</f>
        <v/>
      </c>
      <c r="N110" s="30">
        <f>SUMIFS('Individual Refineries'!$F$3:$F$1084,'Individual Refineries'!$B$3:$B$1084,$A110,'Individual Refineries'!$D$3:$D$1084,"CCR")</f>
        <v/>
      </c>
      <c r="O110" s="30">
        <f>SUMIFS('Individual Refineries'!$F$3:$F$1084,'Individual Refineries'!$B$3:$B$1084,$A110,'Individual Refineries'!$D$3:$D$1084,"ISOM")</f>
        <v/>
      </c>
      <c r="P110" s="30">
        <f>SUMIFS('Individual Refineries'!$F$3:$F$1084,'Individual Refineries'!$B$3:$B$1084,$A110,'Individual Refineries'!$D$3:$D$1084,"ALKY")</f>
        <v/>
      </c>
      <c r="Q110" s="30">
        <f>SUMIFS('Individual Refineries'!$F$3:$F$1084,'Individual Refineries'!$B$3:$B$1084,$A110,'Individual Refineries'!$D$3:$D$1084,"NSPL")</f>
        <v/>
      </c>
      <c r="R110" s="30">
        <f>SUMIFS('Individual Refineries'!$F$3:$F$1084,'Individual Refineries'!$B$3:$B$1084,$A110,'Individual Refineries'!$D$3:$D$1084,"NHT")</f>
        <v/>
      </c>
    </row>
    <row r="111">
      <c r="A111" s="40" t="inlineStr">
        <is>
          <t>MARATHON_LOS_ANGELES</t>
        </is>
      </c>
      <c r="B111" s="28" t="inlineStr">
        <is>
          <t>Marathon Petroleum Los Angeles</t>
        </is>
      </c>
      <c r="C111" s="28" t="n">
        <v>5</v>
      </c>
      <c r="D111" s="30">
        <f>SUMIFS(Data!$G$3:$G$125,Data!$A$3:$A$125,$A111)</f>
        <v/>
      </c>
      <c r="E111" s="30">
        <f>SUMIFS('Individual Refineries'!$F$3:$F$1084,'Individual Refineries'!$B$3:$B$1084,$A111,'Individual Refineries'!$D$3:$D$1084,"CDU")</f>
        <v/>
      </c>
      <c r="F111" s="30">
        <f>SUMIFS('Individual Refineries'!$F$3:$F$1084,'Individual Refineries'!$B$3:$B$1084,$A111,'Individual Refineries'!$D$3:$D$1084,"VDU")</f>
        <v/>
      </c>
      <c r="G111" s="30">
        <f>SUMIFS('Individual Refineries'!$F$3:$F$1084,'Individual Refineries'!$B$3:$B$1084,$A111,'Individual Refineries'!$D$3:$D$1084,"FCC")</f>
        <v/>
      </c>
      <c r="H111" s="30">
        <f>SUMIFS('Individual Refineries'!$F$3:$F$1084,'Individual Refineries'!$B$3:$B$1084,$A111,'Individual Refineries'!$D$3:$D$1084,"RCC")</f>
        <v/>
      </c>
      <c r="I111" s="30">
        <f>SUMIFS('Individual Refineries'!$F$3:$F$1084,'Individual Refineries'!$B$3:$B$1084,$A111,'Individual Refineries'!$D$3:$D$1084,"COKER")</f>
        <v/>
      </c>
      <c r="J111" s="30">
        <f>SUMIFS('Individual Refineries'!$F$3:$F$1084,'Individual Refineries'!$B$3:$B$1084,$A111,'Individual Refineries'!$D$3:$D$1084,"FCOKER")</f>
        <v/>
      </c>
      <c r="K111" s="30">
        <f>SUMIFS('Individual Refineries'!$F$3:$F$1084,'Individual Refineries'!$B$3:$B$1084,$A111,'Individual Refineries'!$D$3:$D$1084,"DHCU")</f>
        <v/>
      </c>
      <c r="L111" s="30">
        <f>SUMIFS('Individual Refineries'!$F$3:$F$1084,'Individual Refineries'!$B$3:$B$1084,$A111,'Individual Refineries'!$D$3:$D$1084,"RHCU")</f>
        <v/>
      </c>
      <c r="M111" s="30">
        <f>SUMIFS('Individual Refineries'!$F$3:$F$1084,'Individual Refineries'!$B$3:$B$1084,$A111,'Individual Refineries'!$D$3:$D$1084,"REF")</f>
        <v/>
      </c>
      <c r="N111" s="30">
        <f>SUMIFS('Individual Refineries'!$F$3:$F$1084,'Individual Refineries'!$B$3:$B$1084,$A111,'Individual Refineries'!$D$3:$D$1084,"CCR")</f>
        <v/>
      </c>
      <c r="O111" s="30">
        <f>SUMIFS('Individual Refineries'!$F$3:$F$1084,'Individual Refineries'!$B$3:$B$1084,$A111,'Individual Refineries'!$D$3:$D$1084,"ISOM")</f>
        <v/>
      </c>
      <c r="P111" s="30">
        <f>SUMIFS('Individual Refineries'!$F$3:$F$1084,'Individual Refineries'!$B$3:$B$1084,$A111,'Individual Refineries'!$D$3:$D$1084,"ALKY")</f>
        <v/>
      </c>
      <c r="Q111" s="30">
        <f>SUMIFS('Individual Refineries'!$F$3:$F$1084,'Individual Refineries'!$B$3:$B$1084,$A111,'Individual Refineries'!$D$3:$D$1084,"NSPL")</f>
        <v/>
      </c>
      <c r="R111" s="30">
        <f>SUMIFS('Individual Refineries'!$F$3:$F$1084,'Individual Refineries'!$B$3:$B$1084,$A111,'Individual Refineries'!$D$3:$D$1084,"NHT")</f>
        <v/>
      </c>
    </row>
    <row r="112">
      <c r="A112" s="40" t="inlineStr">
        <is>
          <t>PAR_EWA_BEACH</t>
        </is>
      </c>
      <c r="B112" s="28" t="inlineStr">
        <is>
          <t>Par Petroleum Ewa Beach</t>
        </is>
      </c>
      <c r="C112" s="28" t="n">
        <v>5</v>
      </c>
      <c r="D112" s="30">
        <f>SUMIFS(Data!$G$3:$G$125,Data!$A$3:$A$125,$A112)</f>
        <v/>
      </c>
      <c r="E112" s="30">
        <f>SUMIFS('Individual Refineries'!$F$3:$F$1084,'Individual Refineries'!$B$3:$B$1084,$A112,'Individual Refineries'!$D$3:$D$1084,"CDU")</f>
        <v/>
      </c>
      <c r="F112" s="30">
        <f>SUMIFS('Individual Refineries'!$F$3:$F$1084,'Individual Refineries'!$B$3:$B$1084,$A112,'Individual Refineries'!$D$3:$D$1084,"VDU")</f>
        <v/>
      </c>
      <c r="G112" s="30">
        <f>SUMIFS('Individual Refineries'!$F$3:$F$1084,'Individual Refineries'!$B$3:$B$1084,$A112,'Individual Refineries'!$D$3:$D$1084,"FCC")</f>
        <v/>
      </c>
      <c r="H112" s="30">
        <f>SUMIFS('Individual Refineries'!$F$3:$F$1084,'Individual Refineries'!$B$3:$B$1084,$A112,'Individual Refineries'!$D$3:$D$1084,"RCC")</f>
        <v/>
      </c>
      <c r="I112" s="30">
        <f>SUMIFS('Individual Refineries'!$F$3:$F$1084,'Individual Refineries'!$B$3:$B$1084,$A112,'Individual Refineries'!$D$3:$D$1084,"COKER")</f>
        <v/>
      </c>
      <c r="J112" s="30">
        <f>SUMIFS('Individual Refineries'!$F$3:$F$1084,'Individual Refineries'!$B$3:$B$1084,$A112,'Individual Refineries'!$D$3:$D$1084,"FCOKER")</f>
        <v/>
      </c>
      <c r="K112" s="30">
        <f>SUMIFS('Individual Refineries'!$F$3:$F$1084,'Individual Refineries'!$B$3:$B$1084,$A112,'Individual Refineries'!$D$3:$D$1084,"DHCU")</f>
        <v/>
      </c>
      <c r="L112" s="30">
        <f>SUMIFS('Individual Refineries'!$F$3:$F$1084,'Individual Refineries'!$B$3:$B$1084,$A112,'Individual Refineries'!$D$3:$D$1084,"RHCU")</f>
        <v/>
      </c>
      <c r="M112" s="30">
        <f>SUMIFS('Individual Refineries'!$F$3:$F$1084,'Individual Refineries'!$B$3:$B$1084,$A112,'Individual Refineries'!$D$3:$D$1084,"REF")</f>
        <v/>
      </c>
      <c r="N112" s="30">
        <f>SUMIFS('Individual Refineries'!$F$3:$F$1084,'Individual Refineries'!$B$3:$B$1084,$A112,'Individual Refineries'!$D$3:$D$1084,"CCR")</f>
        <v/>
      </c>
      <c r="O112" s="30">
        <f>SUMIFS('Individual Refineries'!$F$3:$F$1084,'Individual Refineries'!$B$3:$B$1084,$A112,'Individual Refineries'!$D$3:$D$1084,"ISOM")</f>
        <v/>
      </c>
      <c r="P112" s="30">
        <f>SUMIFS('Individual Refineries'!$F$3:$F$1084,'Individual Refineries'!$B$3:$B$1084,$A112,'Individual Refineries'!$D$3:$D$1084,"ALKY")</f>
        <v/>
      </c>
      <c r="Q112" s="30">
        <f>SUMIFS('Individual Refineries'!$F$3:$F$1084,'Individual Refineries'!$B$3:$B$1084,$A112,'Individual Refineries'!$D$3:$D$1084,"NSPL")</f>
        <v/>
      </c>
      <c r="R112" s="30">
        <f>SUMIFS('Individual Refineries'!$F$3:$F$1084,'Individual Refineries'!$B$3:$B$1084,$A112,'Individual Refineries'!$D$3:$D$1084,"NHT")</f>
        <v/>
      </c>
    </row>
    <row r="113">
      <c r="A113" s="40" t="inlineStr">
        <is>
          <t>VALERO_LOS_ANGELES</t>
        </is>
      </c>
      <c r="B113" s="28" t="inlineStr">
        <is>
          <t>Valero Los Angeles</t>
        </is>
      </c>
      <c r="C113" s="28" t="n">
        <v>5</v>
      </c>
      <c r="D113" s="30">
        <f>SUMIFS(Data!$G$3:$G$125,Data!$A$3:$A$125,$A113)</f>
        <v/>
      </c>
      <c r="E113" s="30">
        <f>SUMIFS('Individual Refineries'!$F$3:$F$1084,'Individual Refineries'!$B$3:$B$1084,$A113,'Individual Refineries'!$D$3:$D$1084,"CDU")</f>
        <v/>
      </c>
      <c r="F113" s="30">
        <f>SUMIFS('Individual Refineries'!$F$3:$F$1084,'Individual Refineries'!$B$3:$B$1084,$A113,'Individual Refineries'!$D$3:$D$1084,"VDU")</f>
        <v/>
      </c>
      <c r="G113" s="30">
        <f>SUMIFS('Individual Refineries'!$F$3:$F$1084,'Individual Refineries'!$B$3:$B$1084,$A113,'Individual Refineries'!$D$3:$D$1084,"FCC")</f>
        <v/>
      </c>
      <c r="H113" s="30">
        <f>SUMIFS('Individual Refineries'!$F$3:$F$1084,'Individual Refineries'!$B$3:$B$1084,$A113,'Individual Refineries'!$D$3:$D$1084,"RCC")</f>
        <v/>
      </c>
      <c r="I113" s="30">
        <f>SUMIFS('Individual Refineries'!$F$3:$F$1084,'Individual Refineries'!$B$3:$B$1084,$A113,'Individual Refineries'!$D$3:$D$1084,"COKER")</f>
        <v/>
      </c>
      <c r="J113" s="30">
        <f>SUMIFS('Individual Refineries'!$F$3:$F$1084,'Individual Refineries'!$B$3:$B$1084,$A113,'Individual Refineries'!$D$3:$D$1084,"FCOKER")</f>
        <v/>
      </c>
      <c r="K113" s="30">
        <f>SUMIFS('Individual Refineries'!$F$3:$F$1084,'Individual Refineries'!$B$3:$B$1084,$A113,'Individual Refineries'!$D$3:$D$1084,"DHCU")</f>
        <v/>
      </c>
      <c r="L113" s="30">
        <f>SUMIFS('Individual Refineries'!$F$3:$F$1084,'Individual Refineries'!$B$3:$B$1084,$A113,'Individual Refineries'!$D$3:$D$1084,"RHCU")</f>
        <v/>
      </c>
      <c r="M113" s="30">
        <f>SUMIFS('Individual Refineries'!$F$3:$F$1084,'Individual Refineries'!$B$3:$B$1084,$A113,'Individual Refineries'!$D$3:$D$1084,"REF")</f>
        <v/>
      </c>
      <c r="N113" s="30">
        <f>SUMIFS('Individual Refineries'!$F$3:$F$1084,'Individual Refineries'!$B$3:$B$1084,$A113,'Individual Refineries'!$D$3:$D$1084,"CCR")</f>
        <v/>
      </c>
      <c r="O113" s="30">
        <f>SUMIFS('Individual Refineries'!$F$3:$F$1084,'Individual Refineries'!$B$3:$B$1084,$A113,'Individual Refineries'!$D$3:$D$1084,"ISOM")</f>
        <v/>
      </c>
      <c r="P113" s="30">
        <f>SUMIFS('Individual Refineries'!$F$3:$F$1084,'Individual Refineries'!$B$3:$B$1084,$A113,'Individual Refineries'!$D$3:$D$1084,"ALKY")</f>
        <v/>
      </c>
      <c r="Q113" s="30">
        <f>SUMIFS('Individual Refineries'!$F$3:$F$1084,'Individual Refineries'!$B$3:$B$1084,$A113,'Individual Refineries'!$D$3:$D$1084,"NSPL")</f>
        <v/>
      </c>
      <c r="R113" s="30">
        <f>SUMIFS('Individual Refineries'!$F$3:$F$1084,'Individual Refineries'!$B$3:$B$1084,$A113,'Individual Refineries'!$D$3:$D$1084,"NHT")</f>
        <v/>
      </c>
    </row>
    <row r="114">
      <c r="A114" s="40" t="inlineStr">
        <is>
          <t>MARATHON_NIKISKI</t>
        </is>
      </c>
      <c r="B114" s="28" t="inlineStr">
        <is>
          <t>Marathon Petroleum Nikiski</t>
        </is>
      </c>
      <c r="C114" s="28" t="n">
        <v>5</v>
      </c>
      <c r="D114" s="30">
        <f>SUMIFS(Data!$G$3:$G$125,Data!$A$3:$A$125,$A114)</f>
        <v/>
      </c>
      <c r="E114" s="30">
        <f>SUMIFS('Individual Refineries'!$F$3:$F$1084,'Individual Refineries'!$B$3:$B$1084,$A114,'Individual Refineries'!$D$3:$D$1084,"CDU")</f>
        <v/>
      </c>
      <c r="F114" s="30">
        <f>SUMIFS('Individual Refineries'!$F$3:$F$1084,'Individual Refineries'!$B$3:$B$1084,$A114,'Individual Refineries'!$D$3:$D$1084,"VDU")</f>
        <v/>
      </c>
      <c r="G114" s="30">
        <f>SUMIFS('Individual Refineries'!$F$3:$F$1084,'Individual Refineries'!$B$3:$B$1084,$A114,'Individual Refineries'!$D$3:$D$1084,"FCC")</f>
        <v/>
      </c>
      <c r="H114" s="30">
        <f>SUMIFS('Individual Refineries'!$F$3:$F$1084,'Individual Refineries'!$B$3:$B$1084,$A114,'Individual Refineries'!$D$3:$D$1084,"RCC")</f>
        <v/>
      </c>
      <c r="I114" s="30">
        <f>SUMIFS('Individual Refineries'!$F$3:$F$1084,'Individual Refineries'!$B$3:$B$1084,$A114,'Individual Refineries'!$D$3:$D$1084,"COKER")</f>
        <v/>
      </c>
      <c r="J114" s="30">
        <f>SUMIFS('Individual Refineries'!$F$3:$F$1084,'Individual Refineries'!$B$3:$B$1084,$A114,'Individual Refineries'!$D$3:$D$1084,"FCOKER")</f>
        <v/>
      </c>
      <c r="K114" s="30">
        <f>SUMIFS('Individual Refineries'!$F$3:$F$1084,'Individual Refineries'!$B$3:$B$1084,$A114,'Individual Refineries'!$D$3:$D$1084,"DHCU")</f>
        <v/>
      </c>
      <c r="L114" s="30">
        <f>SUMIFS('Individual Refineries'!$F$3:$F$1084,'Individual Refineries'!$B$3:$B$1084,$A114,'Individual Refineries'!$D$3:$D$1084,"RHCU")</f>
        <v/>
      </c>
      <c r="M114" s="30">
        <f>SUMIFS('Individual Refineries'!$F$3:$F$1084,'Individual Refineries'!$B$3:$B$1084,$A114,'Individual Refineries'!$D$3:$D$1084,"REF")</f>
        <v/>
      </c>
      <c r="N114" s="30">
        <f>SUMIFS('Individual Refineries'!$F$3:$F$1084,'Individual Refineries'!$B$3:$B$1084,$A114,'Individual Refineries'!$D$3:$D$1084,"CCR")</f>
        <v/>
      </c>
      <c r="O114" s="30">
        <f>SUMIFS('Individual Refineries'!$F$3:$F$1084,'Individual Refineries'!$B$3:$B$1084,$A114,'Individual Refineries'!$D$3:$D$1084,"ISOM")</f>
        <v/>
      </c>
      <c r="P114" s="30">
        <f>SUMIFS('Individual Refineries'!$F$3:$F$1084,'Individual Refineries'!$B$3:$B$1084,$A114,'Individual Refineries'!$D$3:$D$1084,"ALKY")</f>
        <v/>
      </c>
      <c r="Q114" s="30">
        <f>SUMIFS('Individual Refineries'!$F$3:$F$1084,'Individual Refineries'!$B$3:$B$1084,$A114,'Individual Refineries'!$D$3:$D$1084,"NSPL")</f>
        <v/>
      </c>
      <c r="R114" s="30">
        <f>SUMIFS('Individual Refineries'!$F$3:$F$1084,'Individual Refineries'!$B$3:$B$1084,$A114,'Individual Refineries'!$D$3:$D$1084,"NHT")</f>
        <v/>
      </c>
    </row>
    <row r="115">
      <c r="A115" s="40" t="inlineStr">
        <is>
          <t>PETRO_VALDEZ</t>
        </is>
      </c>
      <c r="B115" s="28" t="inlineStr">
        <is>
          <t>Petro Star Inc. Valdez</t>
        </is>
      </c>
      <c r="C115" s="28" t="n">
        <v>5</v>
      </c>
      <c r="D115" s="30">
        <f>SUMIFS(Data!$G$3:$G$125,Data!$A$3:$A$125,$A115)</f>
        <v/>
      </c>
      <c r="E115" s="30">
        <f>SUMIFS('Individual Refineries'!$F$3:$F$1084,'Individual Refineries'!$B$3:$B$1084,$A115,'Individual Refineries'!$D$3:$D$1084,"CDU")</f>
        <v/>
      </c>
      <c r="F115" s="30">
        <f>SUMIFS('Individual Refineries'!$F$3:$F$1084,'Individual Refineries'!$B$3:$B$1084,$A115,'Individual Refineries'!$D$3:$D$1084,"VDU")</f>
        <v/>
      </c>
      <c r="G115" s="30">
        <f>SUMIFS('Individual Refineries'!$F$3:$F$1084,'Individual Refineries'!$B$3:$B$1084,$A115,'Individual Refineries'!$D$3:$D$1084,"FCC")</f>
        <v/>
      </c>
      <c r="H115" s="30">
        <f>SUMIFS('Individual Refineries'!$F$3:$F$1084,'Individual Refineries'!$B$3:$B$1084,$A115,'Individual Refineries'!$D$3:$D$1084,"RCC")</f>
        <v/>
      </c>
      <c r="I115" s="30">
        <f>SUMIFS('Individual Refineries'!$F$3:$F$1084,'Individual Refineries'!$B$3:$B$1084,$A115,'Individual Refineries'!$D$3:$D$1084,"COKER")</f>
        <v/>
      </c>
      <c r="J115" s="30">
        <f>SUMIFS('Individual Refineries'!$F$3:$F$1084,'Individual Refineries'!$B$3:$B$1084,$A115,'Individual Refineries'!$D$3:$D$1084,"FCOKER")</f>
        <v/>
      </c>
      <c r="K115" s="30">
        <f>SUMIFS('Individual Refineries'!$F$3:$F$1084,'Individual Refineries'!$B$3:$B$1084,$A115,'Individual Refineries'!$D$3:$D$1084,"DHCU")</f>
        <v/>
      </c>
      <c r="L115" s="30">
        <f>SUMIFS('Individual Refineries'!$F$3:$F$1084,'Individual Refineries'!$B$3:$B$1084,$A115,'Individual Refineries'!$D$3:$D$1084,"RHCU")</f>
        <v/>
      </c>
      <c r="M115" s="30">
        <f>SUMIFS('Individual Refineries'!$F$3:$F$1084,'Individual Refineries'!$B$3:$B$1084,$A115,'Individual Refineries'!$D$3:$D$1084,"REF")</f>
        <v/>
      </c>
      <c r="N115" s="30">
        <f>SUMIFS('Individual Refineries'!$F$3:$F$1084,'Individual Refineries'!$B$3:$B$1084,$A115,'Individual Refineries'!$D$3:$D$1084,"CCR")</f>
        <v/>
      </c>
      <c r="O115" s="30">
        <f>SUMIFS('Individual Refineries'!$F$3:$F$1084,'Individual Refineries'!$B$3:$B$1084,$A115,'Individual Refineries'!$D$3:$D$1084,"ISOM")</f>
        <v/>
      </c>
      <c r="P115" s="30">
        <f>SUMIFS('Individual Refineries'!$F$3:$F$1084,'Individual Refineries'!$B$3:$B$1084,$A115,'Individual Refineries'!$D$3:$D$1084,"ALKY")</f>
        <v/>
      </c>
      <c r="Q115" s="30">
        <f>SUMIFS('Individual Refineries'!$F$3:$F$1084,'Individual Refineries'!$B$3:$B$1084,$A115,'Individual Refineries'!$D$3:$D$1084,"NSPL")</f>
        <v/>
      </c>
      <c r="R115" s="30">
        <f>SUMIFS('Individual Refineries'!$F$3:$F$1084,'Individual Refineries'!$B$3:$B$1084,$A115,'Individual Refineries'!$D$3:$D$1084,"NHT")</f>
        <v/>
      </c>
    </row>
    <row r="116">
      <c r="A116" s="40" t="inlineStr">
        <is>
          <t>PAR_TACOMA</t>
        </is>
      </c>
      <c r="B116" s="28" t="inlineStr">
        <is>
          <t>Par Petroleum Tacoma</t>
        </is>
      </c>
      <c r="C116" s="28" t="n">
        <v>5</v>
      </c>
      <c r="D116" s="30">
        <f>SUMIFS(Data!$G$3:$G$125,Data!$A$3:$A$125,$A116)</f>
        <v/>
      </c>
      <c r="E116" s="30">
        <f>SUMIFS('Individual Refineries'!$F$3:$F$1084,'Individual Refineries'!$B$3:$B$1084,$A116,'Individual Refineries'!$D$3:$D$1084,"CDU")</f>
        <v/>
      </c>
      <c r="F116" s="30">
        <f>SUMIFS('Individual Refineries'!$F$3:$F$1084,'Individual Refineries'!$B$3:$B$1084,$A116,'Individual Refineries'!$D$3:$D$1084,"VDU")</f>
        <v/>
      </c>
      <c r="G116" s="30">
        <f>SUMIFS('Individual Refineries'!$F$3:$F$1084,'Individual Refineries'!$B$3:$B$1084,$A116,'Individual Refineries'!$D$3:$D$1084,"FCC")</f>
        <v/>
      </c>
      <c r="H116" s="30">
        <f>SUMIFS('Individual Refineries'!$F$3:$F$1084,'Individual Refineries'!$B$3:$B$1084,$A116,'Individual Refineries'!$D$3:$D$1084,"RCC")</f>
        <v/>
      </c>
      <c r="I116" s="30">
        <f>SUMIFS('Individual Refineries'!$F$3:$F$1084,'Individual Refineries'!$B$3:$B$1084,$A116,'Individual Refineries'!$D$3:$D$1084,"COKER")</f>
        <v/>
      </c>
      <c r="J116" s="30">
        <f>SUMIFS('Individual Refineries'!$F$3:$F$1084,'Individual Refineries'!$B$3:$B$1084,$A116,'Individual Refineries'!$D$3:$D$1084,"FCOKER")</f>
        <v/>
      </c>
      <c r="K116" s="30">
        <f>SUMIFS('Individual Refineries'!$F$3:$F$1084,'Individual Refineries'!$B$3:$B$1084,$A116,'Individual Refineries'!$D$3:$D$1084,"DHCU")</f>
        <v/>
      </c>
      <c r="L116" s="30">
        <f>SUMIFS('Individual Refineries'!$F$3:$F$1084,'Individual Refineries'!$B$3:$B$1084,$A116,'Individual Refineries'!$D$3:$D$1084,"RHCU")</f>
        <v/>
      </c>
      <c r="M116" s="30">
        <f>SUMIFS('Individual Refineries'!$F$3:$F$1084,'Individual Refineries'!$B$3:$B$1084,$A116,'Individual Refineries'!$D$3:$D$1084,"REF")</f>
        <v/>
      </c>
      <c r="N116" s="30">
        <f>SUMIFS('Individual Refineries'!$F$3:$F$1084,'Individual Refineries'!$B$3:$B$1084,$A116,'Individual Refineries'!$D$3:$D$1084,"CCR")</f>
        <v/>
      </c>
      <c r="O116" s="30">
        <f>SUMIFS('Individual Refineries'!$F$3:$F$1084,'Individual Refineries'!$B$3:$B$1084,$A116,'Individual Refineries'!$D$3:$D$1084,"ISOM")</f>
        <v/>
      </c>
      <c r="P116" s="30">
        <f>SUMIFS('Individual Refineries'!$F$3:$F$1084,'Individual Refineries'!$B$3:$B$1084,$A116,'Individual Refineries'!$D$3:$D$1084,"ALKY")</f>
        <v/>
      </c>
      <c r="Q116" s="30">
        <f>SUMIFS('Individual Refineries'!$F$3:$F$1084,'Individual Refineries'!$B$3:$B$1084,$A116,'Individual Refineries'!$D$3:$D$1084,"NSPL")</f>
        <v/>
      </c>
      <c r="R116" s="30">
        <f>SUMIFS('Individual Refineries'!$F$3:$F$1084,'Individual Refineries'!$B$3:$B$1084,$A116,'Individual Refineries'!$D$3:$D$1084,"NHT")</f>
        <v/>
      </c>
    </row>
    <row r="117">
      <c r="A117" s="40" t="inlineStr">
        <is>
          <t>KERN_BAKERSFIELD</t>
        </is>
      </c>
      <c r="B117" s="28" t="inlineStr">
        <is>
          <t>Kern Oil Bakersfield</t>
        </is>
      </c>
      <c r="C117" s="28" t="n">
        <v>5</v>
      </c>
      <c r="D117" s="30">
        <f>SUMIFS(Data!$G$3:$G$125,Data!$A$3:$A$125,$A117)</f>
        <v/>
      </c>
      <c r="E117" s="30">
        <f>SUMIFS('Individual Refineries'!$F$3:$F$1084,'Individual Refineries'!$B$3:$B$1084,$A117,'Individual Refineries'!$D$3:$D$1084,"CDU")</f>
        <v/>
      </c>
      <c r="F117" s="30">
        <f>SUMIFS('Individual Refineries'!$F$3:$F$1084,'Individual Refineries'!$B$3:$B$1084,$A117,'Individual Refineries'!$D$3:$D$1084,"VDU")</f>
        <v/>
      </c>
      <c r="G117" s="30">
        <f>SUMIFS('Individual Refineries'!$F$3:$F$1084,'Individual Refineries'!$B$3:$B$1084,$A117,'Individual Refineries'!$D$3:$D$1084,"FCC")</f>
        <v/>
      </c>
      <c r="H117" s="30">
        <f>SUMIFS('Individual Refineries'!$F$3:$F$1084,'Individual Refineries'!$B$3:$B$1084,$A117,'Individual Refineries'!$D$3:$D$1084,"RCC")</f>
        <v/>
      </c>
      <c r="I117" s="30">
        <f>SUMIFS('Individual Refineries'!$F$3:$F$1084,'Individual Refineries'!$B$3:$B$1084,$A117,'Individual Refineries'!$D$3:$D$1084,"COKER")</f>
        <v/>
      </c>
      <c r="J117" s="30">
        <f>SUMIFS('Individual Refineries'!$F$3:$F$1084,'Individual Refineries'!$B$3:$B$1084,$A117,'Individual Refineries'!$D$3:$D$1084,"FCOKER")</f>
        <v/>
      </c>
      <c r="K117" s="30">
        <f>SUMIFS('Individual Refineries'!$F$3:$F$1084,'Individual Refineries'!$B$3:$B$1084,$A117,'Individual Refineries'!$D$3:$D$1084,"DHCU")</f>
        <v/>
      </c>
      <c r="L117" s="30">
        <f>SUMIFS('Individual Refineries'!$F$3:$F$1084,'Individual Refineries'!$B$3:$B$1084,$A117,'Individual Refineries'!$D$3:$D$1084,"RHCU")</f>
        <v/>
      </c>
      <c r="M117" s="30">
        <f>SUMIFS('Individual Refineries'!$F$3:$F$1084,'Individual Refineries'!$B$3:$B$1084,$A117,'Individual Refineries'!$D$3:$D$1084,"REF")</f>
        <v/>
      </c>
      <c r="N117" s="30">
        <f>SUMIFS('Individual Refineries'!$F$3:$F$1084,'Individual Refineries'!$B$3:$B$1084,$A117,'Individual Refineries'!$D$3:$D$1084,"CCR")</f>
        <v/>
      </c>
      <c r="O117" s="30">
        <f>SUMIFS('Individual Refineries'!$F$3:$F$1084,'Individual Refineries'!$B$3:$B$1084,$A117,'Individual Refineries'!$D$3:$D$1084,"ISOM")</f>
        <v/>
      </c>
      <c r="P117" s="30">
        <f>SUMIFS('Individual Refineries'!$F$3:$F$1084,'Individual Refineries'!$B$3:$B$1084,$A117,'Individual Refineries'!$D$3:$D$1084,"ALKY")</f>
        <v/>
      </c>
      <c r="Q117" s="30">
        <f>SUMIFS('Individual Refineries'!$F$3:$F$1084,'Individual Refineries'!$B$3:$B$1084,$A117,'Individual Refineries'!$D$3:$D$1084,"NSPL")</f>
        <v/>
      </c>
      <c r="R117" s="30">
        <f>SUMIFS('Individual Refineries'!$F$3:$F$1084,'Individual Refineries'!$B$3:$B$1084,$A117,'Individual Refineries'!$D$3:$D$1084,"NHT")</f>
        <v/>
      </c>
    </row>
    <row r="118">
      <c r="A118" s="40" t="inlineStr">
        <is>
          <t>SAN_BAKERSFIELD</t>
        </is>
      </c>
      <c r="B118" s="28" t="inlineStr">
        <is>
          <t>San Joaquin Refining Bakersfield</t>
        </is>
      </c>
      <c r="C118" s="28" t="n">
        <v>5</v>
      </c>
      <c r="D118" s="30">
        <f>SUMIFS(Data!$G$3:$G$125,Data!$A$3:$A$125,$A118)</f>
        <v/>
      </c>
      <c r="E118" s="30">
        <f>SUMIFS('Individual Refineries'!$F$3:$F$1084,'Individual Refineries'!$B$3:$B$1084,$A118,'Individual Refineries'!$D$3:$D$1084,"CDU")</f>
        <v/>
      </c>
      <c r="F118" s="30">
        <f>SUMIFS('Individual Refineries'!$F$3:$F$1084,'Individual Refineries'!$B$3:$B$1084,$A118,'Individual Refineries'!$D$3:$D$1084,"VDU")</f>
        <v/>
      </c>
      <c r="G118" s="30">
        <f>SUMIFS('Individual Refineries'!$F$3:$F$1084,'Individual Refineries'!$B$3:$B$1084,$A118,'Individual Refineries'!$D$3:$D$1084,"FCC")</f>
        <v/>
      </c>
      <c r="H118" s="30">
        <f>SUMIFS('Individual Refineries'!$F$3:$F$1084,'Individual Refineries'!$B$3:$B$1084,$A118,'Individual Refineries'!$D$3:$D$1084,"RCC")</f>
        <v/>
      </c>
      <c r="I118" s="30">
        <f>SUMIFS('Individual Refineries'!$F$3:$F$1084,'Individual Refineries'!$B$3:$B$1084,$A118,'Individual Refineries'!$D$3:$D$1084,"COKER")</f>
        <v/>
      </c>
      <c r="J118" s="30">
        <f>SUMIFS('Individual Refineries'!$F$3:$F$1084,'Individual Refineries'!$B$3:$B$1084,$A118,'Individual Refineries'!$D$3:$D$1084,"FCOKER")</f>
        <v/>
      </c>
      <c r="K118" s="30">
        <f>SUMIFS('Individual Refineries'!$F$3:$F$1084,'Individual Refineries'!$B$3:$B$1084,$A118,'Individual Refineries'!$D$3:$D$1084,"DHCU")</f>
        <v/>
      </c>
      <c r="L118" s="30">
        <f>SUMIFS('Individual Refineries'!$F$3:$F$1084,'Individual Refineries'!$B$3:$B$1084,$A118,'Individual Refineries'!$D$3:$D$1084,"RHCU")</f>
        <v/>
      </c>
      <c r="M118" s="30">
        <f>SUMIFS('Individual Refineries'!$F$3:$F$1084,'Individual Refineries'!$B$3:$B$1084,$A118,'Individual Refineries'!$D$3:$D$1084,"REF")</f>
        <v/>
      </c>
      <c r="N118" s="30">
        <f>SUMIFS('Individual Refineries'!$F$3:$F$1084,'Individual Refineries'!$B$3:$B$1084,$A118,'Individual Refineries'!$D$3:$D$1084,"CCR")</f>
        <v/>
      </c>
      <c r="O118" s="30">
        <f>SUMIFS('Individual Refineries'!$F$3:$F$1084,'Individual Refineries'!$B$3:$B$1084,$A118,'Individual Refineries'!$D$3:$D$1084,"ISOM")</f>
        <v/>
      </c>
      <c r="P118" s="30">
        <f>SUMIFS('Individual Refineries'!$F$3:$F$1084,'Individual Refineries'!$B$3:$B$1084,$A118,'Individual Refineries'!$D$3:$D$1084,"ALKY")</f>
        <v/>
      </c>
      <c r="Q118" s="30">
        <f>SUMIFS('Individual Refineries'!$F$3:$F$1084,'Individual Refineries'!$B$3:$B$1084,$A118,'Individual Refineries'!$D$3:$D$1084,"NSPL")</f>
        <v/>
      </c>
      <c r="R118" s="30">
        <f>SUMIFS('Individual Refineries'!$F$3:$F$1084,'Individual Refineries'!$B$3:$B$1084,$A118,'Individual Refineries'!$D$3:$D$1084,"NHT")</f>
        <v/>
      </c>
    </row>
    <row r="119">
      <c r="A119" s="40" t="inlineStr">
        <is>
          <t>PETRO_NORTH_POLE</t>
        </is>
      </c>
      <c r="B119" s="28" t="inlineStr">
        <is>
          <t>Petro Star Inc. North Pole</t>
        </is>
      </c>
      <c r="C119" s="28" t="n">
        <v>5</v>
      </c>
      <c r="D119" s="30">
        <f>SUMIFS(Data!$G$3:$G$125,Data!$A$3:$A$125,$A119)</f>
        <v/>
      </c>
      <c r="E119" s="30">
        <f>SUMIFS('Individual Refineries'!$F$3:$F$1084,'Individual Refineries'!$B$3:$B$1084,$A119,'Individual Refineries'!$D$3:$D$1084,"CDU")</f>
        <v/>
      </c>
      <c r="F119" s="30">
        <f>SUMIFS('Individual Refineries'!$F$3:$F$1084,'Individual Refineries'!$B$3:$B$1084,$A119,'Individual Refineries'!$D$3:$D$1084,"VDU")</f>
        <v/>
      </c>
      <c r="G119" s="30">
        <f>SUMIFS('Individual Refineries'!$F$3:$F$1084,'Individual Refineries'!$B$3:$B$1084,$A119,'Individual Refineries'!$D$3:$D$1084,"FCC")</f>
        <v/>
      </c>
      <c r="H119" s="30">
        <f>SUMIFS('Individual Refineries'!$F$3:$F$1084,'Individual Refineries'!$B$3:$B$1084,$A119,'Individual Refineries'!$D$3:$D$1084,"RCC")</f>
        <v/>
      </c>
      <c r="I119" s="30">
        <f>SUMIFS('Individual Refineries'!$F$3:$F$1084,'Individual Refineries'!$B$3:$B$1084,$A119,'Individual Refineries'!$D$3:$D$1084,"COKER")</f>
        <v/>
      </c>
      <c r="J119" s="30">
        <f>SUMIFS('Individual Refineries'!$F$3:$F$1084,'Individual Refineries'!$B$3:$B$1084,$A119,'Individual Refineries'!$D$3:$D$1084,"FCOKER")</f>
        <v/>
      </c>
      <c r="K119" s="30">
        <f>SUMIFS('Individual Refineries'!$F$3:$F$1084,'Individual Refineries'!$B$3:$B$1084,$A119,'Individual Refineries'!$D$3:$D$1084,"DHCU")</f>
        <v/>
      </c>
      <c r="L119" s="30">
        <f>SUMIFS('Individual Refineries'!$F$3:$F$1084,'Individual Refineries'!$B$3:$B$1084,$A119,'Individual Refineries'!$D$3:$D$1084,"RHCU")</f>
        <v/>
      </c>
      <c r="M119" s="30">
        <f>SUMIFS('Individual Refineries'!$F$3:$F$1084,'Individual Refineries'!$B$3:$B$1084,$A119,'Individual Refineries'!$D$3:$D$1084,"REF")</f>
        <v/>
      </c>
      <c r="N119" s="30">
        <f>SUMIFS('Individual Refineries'!$F$3:$F$1084,'Individual Refineries'!$B$3:$B$1084,$A119,'Individual Refineries'!$D$3:$D$1084,"CCR")</f>
        <v/>
      </c>
      <c r="O119" s="30">
        <f>SUMIFS('Individual Refineries'!$F$3:$F$1084,'Individual Refineries'!$B$3:$B$1084,$A119,'Individual Refineries'!$D$3:$D$1084,"ISOM")</f>
        <v/>
      </c>
      <c r="P119" s="30">
        <f>SUMIFS('Individual Refineries'!$F$3:$F$1084,'Individual Refineries'!$B$3:$B$1084,$A119,'Individual Refineries'!$D$3:$D$1084,"ALKY")</f>
        <v/>
      </c>
      <c r="Q119" s="30">
        <f>SUMIFS('Individual Refineries'!$F$3:$F$1084,'Individual Refineries'!$B$3:$B$1084,$A119,'Individual Refineries'!$D$3:$D$1084,"NSPL")</f>
        <v/>
      </c>
      <c r="R119" s="30">
        <f>SUMIFS('Individual Refineries'!$F$3:$F$1084,'Individual Refineries'!$B$3:$B$1084,$A119,'Individual Refineries'!$D$3:$D$1084,"NHT")</f>
        <v/>
      </c>
    </row>
    <row r="120">
      <c r="A120" s="40" t="inlineStr">
        <is>
          <t>BP_PRUDHOE_BAY</t>
        </is>
      </c>
      <c r="B120" s="28" t="inlineStr">
        <is>
          <t>BP Prudhoe Bay</t>
        </is>
      </c>
      <c r="C120" s="28" t="n">
        <v>5</v>
      </c>
      <c r="D120" s="30">
        <f>SUMIFS(Data!$G$3:$G$125,Data!$A$3:$A$125,$A120)</f>
        <v/>
      </c>
      <c r="E120" s="30">
        <f>SUMIFS('Individual Refineries'!$F$3:$F$1084,'Individual Refineries'!$B$3:$B$1084,$A120,'Individual Refineries'!$D$3:$D$1084,"CDU")</f>
        <v/>
      </c>
      <c r="F120" s="30">
        <f>SUMIFS('Individual Refineries'!$F$3:$F$1084,'Individual Refineries'!$B$3:$B$1084,$A120,'Individual Refineries'!$D$3:$D$1084,"VDU")</f>
        <v/>
      </c>
      <c r="G120" s="30">
        <f>SUMIFS('Individual Refineries'!$F$3:$F$1084,'Individual Refineries'!$B$3:$B$1084,$A120,'Individual Refineries'!$D$3:$D$1084,"FCC")</f>
        <v/>
      </c>
      <c r="H120" s="30">
        <f>SUMIFS('Individual Refineries'!$F$3:$F$1084,'Individual Refineries'!$B$3:$B$1084,$A120,'Individual Refineries'!$D$3:$D$1084,"RCC")</f>
        <v/>
      </c>
      <c r="I120" s="30">
        <f>SUMIFS('Individual Refineries'!$F$3:$F$1084,'Individual Refineries'!$B$3:$B$1084,$A120,'Individual Refineries'!$D$3:$D$1084,"COKER")</f>
        <v/>
      </c>
      <c r="J120" s="30">
        <f>SUMIFS('Individual Refineries'!$F$3:$F$1084,'Individual Refineries'!$B$3:$B$1084,$A120,'Individual Refineries'!$D$3:$D$1084,"FCOKER")</f>
        <v/>
      </c>
      <c r="K120" s="30">
        <f>SUMIFS('Individual Refineries'!$F$3:$F$1084,'Individual Refineries'!$B$3:$B$1084,$A120,'Individual Refineries'!$D$3:$D$1084,"DHCU")</f>
        <v/>
      </c>
      <c r="L120" s="30">
        <f>SUMIFS('Individual Refineries'!$F$3:$F$1084,'Individual Refineries'!$B$3:$B$1084,$A120,'Individual Refineries'!$D$3:$D$1084,"RHCU")</f>
        <v/>
      </c>
      <c r="M120" s="30">
        <f>SUMIFS('Individual Refineries'!$F$3:$F$1084,'Individual Refineries'!$B$3:$B$1084,$A120,'Individual Refineries'!$D$3:$D$1084,"REF")</f>
        <v/>
      </c>
      <c r="N120" s="30">
        <f>SUMIFS('Individual Refineries'!$F$3:$F$1084,'Individual Refineries'!$B$3:$B$1084,$A120,'Individual Refineries'!$D$3:$D$1084,"CCR")</f>
        <v/>
      </c>
      <c r="O120" s="30">
        <f>SUMIFS('Individual Refineries'!$F$3:$F$1084,'Individual Refineries'!$B$3:$B$1084,$A120,'Individual Refineries'!$D$3:$D$1084,"ISOM")</f>
        <v/>
      </c>
      <c r="P120" s="30">
        <f>SUMIFS('Individual Refineries'!$F$3:$F$1084,'Individual Refineries'!$B$3:$B$1084,$A120,'Individual Refineries'!$D$3:$D$1084,"ALKY")</f>
        <v/>
      </c>
      <c r="Q120" s="30">
        <f>SUMIFS('Individual Refineries'!$F$3:$F$1084,'Individual Refineries'!$B$3:$B$1084,$A120,'Individual Refineries'!$D$3:$D$1084,"NSPL")</f>
        <v/>
      </c>
      <c r="R120" s="30">
        <f>SUMIFS('Individual Refineries'!$F$3:$F$1084,'Individual Refineries'!$B$3:$B$1084,$A120,'Individual Refineries'!$D$3:$D$1084,"NHT")</f>
        <v/>
      </c>
    </row>
    <row r="121">
      <c r="A121" s="40" t="inlineStr">
        <is>
          <t>CONOCOPHILLIPS_ANCHORAGE</t>
        </is>
      </c>
      <c r="B121" s="28" t="inlineStr">
        <is>
          <t>ConocoPhillips Anchorage</t>
        </is>
      </c>
      <c r="C121" s="28" t="n">
        <v>5</v>
      </c>
      <c r="D121" s="30">
        <f>SUMIFS(Data!$G$3:$G$125,Data!$A$3:$A$125,$A121)</f>
        <v/>
      </c>
      <c r="E121" s="30">
        <f>SUMIFS('Individual Refineries'!$F$3:$F$1084,'Individual Refineries'!$B$3:$B$1084,$A121,'Individual Refineries'!$D$3:$D$1084,"CDU")</f>
        <v/>
      </c>
      <c r="F121" s="30">
        <f>SUMIFS('Individual Refineries'!$F$3:$F$1084,'Individual Refineries'!$B$3:$B$1084,$A121,'Individual Refineries'!$D$3:$D$1084,"VDU")</f>
        <v/>
      </c>
      <c r="G121" s="30">
        <f>SUMIFS('Individual Refineries'!$F$3:$F$1084,'Individual Refineries'!$B$3:$B$1084,$A121,'Individual Refineries'!$D$3:$D$1084,"FCC")</f>
        <v/>
      </c>
      <c r="H121" s="30">
        <f>SUMIFS('Individual Refineries'!$F$3:$F$1084,'Individual Refineries'!$B$3:$B$1084,$A121,'Individual Refineries'!$D$3:$D$1084,"RCC")</f>
        <v/>
      </c>
      <c r="I121" s="30">
        <f>SUMIFS('Individual Refineries'!$F$3:$F$1084,'Individual Refineries'!$B$3:$B$1084,$A121,'Individual Refineries'!$D$3:$D$1084,"COKER")</f>
        <v/>
      </c>
      <c r="J121" s="30">
        <f>SUMIFS('Individual Refineries'!$F$3:$F$1084,'Individual Refineries'!$B$3:$B$1084,$A121,'Individual Refineries'!$D$3:$D$1084,"FCOKER")</f>
        <v/>
      </c>
      <c r="K121" s="30">
        <f>SUMIFS('Individual Refineries'!$F$3:$F$1084,'Individual Refineries'!$B$3:$B$1084,$A121,'Individual Refineries'!$D$3:$D$1084,"DHCU")</f>
        <v/>
      </c>
      <c r="L121" s="30">
        <f>SUMIFS('Individual Refineries'!$F$3:$F$1084,'Individual Refineries'!$B$3:$B$1084,$A121,'Individual Refineries'!$D$3:$D$1084,"RHCU")</f>
        <v/>
      </c>
      <c r="M121" s="30">
        <f>SUMIFS('Individual Refineries'!$F$3:$F$1084,'Individual Refineries'!$B$3:$B$1084,$A121,'Individual Refineries'!$D$3:$D$1084,"REF")</f>
        <v/>
      </c>
      <c r="N121" s="30">
        <f>SUMIFS('Individual Refineries'!$F$3:$F$1084,'Individual Refineries'!$B$3:$B$1084,$A121,'Individual Refineries'!$D$3:$D$1084,"CCR")</f>
        <v/>
      </c>
      <c r="O121" s="30">
        <f>SUMIFS('Individual Refineries'!$F$3:$F$1084,'Individual Refineries'!$B$3:$B$1084,$A121,'Individual Refineries'!$D$3:$D$1084,"ISOM")</f>
        <v/>
      </c>
      <c r="P121" s="30">
        <f>SUMIFS('Individual Refineries'!$F$3:$F$1084,'Individual Refineries'!$B$3:$B$1084,$A121,'Individual Refineries'!$D$3:$D$1084,"ALKY")</f>
        <v/>
      </c>
      <c r="Q121" s="30">
        <f>SUMIFS('Individual Refineries'!$F$3:$F$1084,'Individual Refineries'!$B$3:$B$1084,$A121,'Individual Refineries'!$D$3:$D$1084,"NSPL")</f>
        <v/>
      </c>
      <c r="R121" s="30">
        <f>SUMIFS('Individual Refineries'!$F$3:$F$1084,'Individual Refineries'!$B$3:$B$1084,$A121,'Individual Refineries'!$D$3:$D$1084,"NHT")</f>
        <v/>
      </c>
    </row>
    <row r="122">
      <c r="A122" s="40" t="inlineStr">
        <is>
          <t>LUNDAYTHAGARD_SOUTH_GATE</t>
        </is>
      </c>
      <c r="B122" s="28" t="inlineStr">
        <is>
          <t>Lunday-Thagard Oil Co. South Gate</t>
        </is>
      </c>
      <c r="C122" s="28" t="n">
        <v>5</v>
      </c>
      <c r="D122" s="30">
        <f>SUMIFS(Data!$G$3:$G$125,Data!$A$3:$A$125,$A122)</f>
        <v/>
      </c>
      <c r="E122" s="30">
        <f>SUMIFS('Individual Refineries'!$F$3:$F$1084,'Individual Refineries'!$B$3:$B$1084,$A122,'Individual Refineries'!$D$3:$D$1084,"CDU")</f>
        <v/>
      </c>
      <c r="F122" s="30">
        <f>SUMIFS('Individual Refineries'!$F$3:$F$1084,'Individual Refineries'!$B$3:$B$1084,$A122,'Individual Refineries'!$D$3:$D$1084,"VDU")</f>
        <v/>
      </c>
      <c r="G122" s="30">
        <f>SUMIFS('Individual Refineries'!$F$3:$F$1084,'Individual Refineries'!$B$3:$B$1084,$A122,'Individual Refineries'!$D$3:$D$1084,"FCC")</f>
        <v/>
      </c>
      <c r="H122" s="30">
        <f>SUMIFS('Individual Refineries'!$F$3:$F$1084,'Individual Refineries'!$B$3:$B$1084,$A122,'Individual Refineries'!$D$3:$D$1084,"RCC")</f>
        <v/>
      </c>
      <c r="I122" s="30">
        <f>SUMIFS('Individual Refineries'!$F$3:$F$1084,'Individual Refineries'!$B$3:$B$1084,$A122,'Individual Refineries'!$D$3:$D$1084,"COKER")</f>
        <v/>
      </c>
      <c r="J122" s="30">
        <f>SUMIFS('Individual Refineries'!$F$3:$F$1084,'Individual Refineries'!$B$3:$B$1084,$A122,'Individual Refineries'!$D$3:$D$1084,"FCOKER")</f>
        <v/>
      </c>
      <c r="K122" s="30">
        <f>SUMIFS('Individual Refineries'!$F$3:$F$1084,'Individual Refineries'!$B$3:$B$1084,$A122,'Individual Refineries'!$D$3:$D$1084,"DHCU")</f>
        <v/>
      </c>
      <c r="L122" s="30">
        <f>SUMIFS('Individual Refineries'!$F$3:$F$1084,'Individual Refineries'!$B$3:$B$1084,$A122,'Individual Refineries'!$D$3:$D$1084,"RHCU")</f>
        <v/>
      </c>
      <c r="M122" s="30">
        <f>SUMIFS('Individual Refineries'!$F$3:$F$1084,'Individual Refineries'!$B$3:$B$1084,$A122,'Individual Refineries'!$D$3:$D$1084,"REF")</f>
        <v/>
      </c>
      <c r="N122" s="30">
        <f>SUMIFS('Individual Refineries'!$F$3:$F$1084,'Individual Refineries'!$B$3:$B$1084,$A122,'Individual Refineries'!$D$3:$D$1084,"CCR")</f>
        <v/>
      </c>
      <c r="O122" s="30">
        <f>SUMIFS('Individual Refineries'!$F$3:$F$1084,'Individual Refineries'!$B$3:$B$1084,$A122,'Individual Refineries'!$D$3:$D$1084,"ISOM")</f>
        <v/>
      </c>
      <c r="P122" s="30">
        <f>SUMIFS('Individual Refineries'!$F$3:$F$1084,'Individual Refineries'!$B$3:$B$1084,$A122,'Individual Refineries'!$D$3:$D$1084,"ALKY")</f>
        <v/>
      </c>
      <c r="Q122" s="30">
        <f>SUMIFS('Individual Refineries'!$F$3:$F$1084,'Individual Refineries'!$B$3:$B$1084,$A122,'Individual Refineries'!$D$3:$D$1084,"NSPL")</f>
        <v/>
      </c>
      <c r="R122" s="30">
        <f>SUMIFS('Individual Refineries'!$F$3:$F$1084,'Individual Refineries'!$B$3:$B$1084,$A122,'Individual Refineries'!$D$3:$D$1084,"NHT")</f>
        <v/>
      </c>
    </row>
    <row r="123">
      <c r="A123" s="40" t="inlineStr">
        <is>
          <t>FORELAND_TONOPAH</t>
        </is>
      </c>
      <c r="B123" s="28" t="inlineStr">
        <is>
          <t>Foreland Corp Tonopah</t>
        </is>
      </c>
      <c r="C123" s="28" t="n">
        <v>5</v>
      </c>
      <c r="D123" s="30">
        <f>SUMIFS(Data!$G$3:$G$125,Data!$A$3:$A$125,$A123)</f>
        <v/>
      </c>
      <c r="E123" s="30">
        <f>SUMIFS('Individual Refineries'!$F$3:$F$1084,'Individual Refineries'!$B$3:$B$1084,$A123,'Individual Refineries'!$D$3:$D$1084,"CDU")</f>
        <v/>
      </c>
      <c r="F123" s="30">
        <f>SUMIFS('Individual Refineries'!$F$3:$F$1084,'Individual Refineries'!$B$3:$B$1084,$A123,'Individual Refineries'!$D$3:$D$1084,"VDU")</f>
        <v/>
      </c>
      <c r="G123" s="30">
        <f>SUMIFS('Individual Refineries'!$F$3:$F$1084,'Individual Refineries'!$B$3:$B$1084,$A123,'Individual Refineries'!$D$3:$D$1084,"FCC")</f>
        <v/>
      </c>
      <c r="H123" s="30">
        <f>SUMIFS('Individual Refineries'!$F$3:$F$1084,'Individual Refineries'!$B$3:$B$1084,$A123,'Individual Refineries'!$D$3:$D$1084,"RCC")</f>
        <v/>
      </c>
      <c r="I123" s="30">
        <f>SUMIFS('Individual Refineries'!$F$3:$F$1084,'Individual Refineries'!$B$3:$B$1084,$A123,'Individual Refineries'!$D$3:$D$1084,"COKER")</f>
        <v/>
      </c>
      <c r="J123" s="30">
        <f>SUMIFS('Individual Refineries'!$F$3:$F$1084,'Individual Refineries'!$B$3:$B$1084,$A123,'Individual Refineries'!$D$3:$D$1084,"FCOKER")</f>
        <v/>
      </c>
      <c r="K123" s="30">
        <f>SUMIFS('Individual Refineries'!$F$3:$F$1084,'Individual Refineries'!$B$3:$B$1084,$A123,'Individual Refineries'!$D$3:$D$1084,"DHCU")</f>
        <v/>
      </c>
      <c r="L123" s="30">
        <f>SUMIFS('Individual Refineries'!$F$3:$F$1084,'Individual Refineries'!$B$3:$B$1084,$A123,'Individual Refineries'!$D$3:$D$1084,"RHCU")</f>
        <v/>
      </c>
      <c r="M123" s="30">
        <f>SUMIFS('Individual Refineries'!$F$3:$F$1084,'Individual Refineries'!$B$3:$B$1084,$A123,'Individual Refineries'!$D$3:$D$1084,"REF")</f>
        <v/>
      </c>
      <c r="N123" s="30">
        <f>SUMIFS('Individual Refineries'!$F$3:$F$1084,'Individual Refineries'!$B$3:$B$1084,$A123,'Individual Refineries'!$D$3:$D$1084,"CCR")</f>
        <v/>
      </c>
      <c r="O123" s="30">
        <f>SUMIFS('Individual Refineries'!$F$3:$F$1084,'Individual Refineries'!$B$3:$B$1084,$A123,'Individual Refineries'!$D$3:$D$1084,"ISOM")</f>
        <v/>
      </c>
      <c r="P123" s="30">
        <f>SUMIFS('Individual Refineries'!$F$3:$F$1084,'Individual Refineries'!$B$3:$B$1084,$A123,'Individual Refineries'!$D$3:$D$1084,"ALKY")</f>
        <v/>
      </c>
      <c r="Q123" s="30">
        <f>SUMIFS('Individual Refineries'!$F$3:$F$1084,'Individual Refineries'!$B$3:$B$1084,$A123,'Individual Refineries'!$D$3:$D$1084,"NSPL")</f>
        <v/>
      </c>
      <c r="R123" s="30">
        <f>SUMIFS('Individual Refineries'!$F$3:$F$1084,'Individual Refineries'!$B$3:$B$1084,$A123,'Individual Refineries'!$D$3:$D$1084,"NHT")</f>
        <v/>
      </c>
    </row>
    <row r="124">
      <c r="A124" s="40" t="inlineStr">
        <is>
          <t>PHILLIPS_LOS_ANGELES</t>
        </is>
      </c>
      <c r="B124" s="28" t="inlineStr">
        <is>
          <t>Phillips 66 Co. Los Angeles</t>
        </is>
      </c>
      <c r="C124" s="28" t="n">
        <v>5</v>
      </c>
      <c r="D124" s="30">
        <f>SUMIFS(Data!$G$3:$G$125,Data!$A$3:$A$125,$A124)</f>
        <v/>
      </c>
      <c r="E124" s="30">
        <f>SUMIFS('Individual Refineries'!$F$3:$F$1084,'Individual Refineries'!$B$3:$B$1084,$A124,'Individual Refineries'!$D$3:$D$1084,"CDU")</f>
        <v/>
      </c>
      <c r="F124" s="30">
        <f>SUMIFS('Individual Refineries'!$F$3:$F$1084,'Individual Refineries'!$B$3:$B$1084,$A124,'Individual Refineries'!$D$3:$D$1084,"VDU")</f>
        <v/>
      </c>
      <c r="G124" s="30">
        <f>SUMIFS('Individual Refineries'!$F$3:$F$1084,'Individual Refineries'!$B$3:$B$1084,$A124,'Individual Refineries'!$D$3:$D$1084,"FCC")</f>
        <v/>
      </c>
      <c r="H124" s="30">
        <f>SUMIFS('Individual Refineries'!$F$3:$F$1084,'Individual Refineries'!$B$3:$B$1084,$A124,'Individual Refineries'!$D$3:$D$1084,"RCC")</f>
        <v/>
      </c>
      <c r="I124" s="30">
        <f>SUMIFS('Individual Refineries'!$F$3:$F$1084,'Individual Refineries'!$B$3:$B$1084,$A124,'Individual Refineries'!$D$3:$D$1084,"COKER")</f>
        <v/>
      </c>
      <c r="J124" s="30">
        <f>SUMIFS('Individual Refineries'!$F$3:$F$1084,'Individual Refineries'!$B$3:$B$1084,$A124,'Individual Refineries'!$D$3:$D$1084,"FCOKER")</f>
        <v/>
      </c>
      <c r="K124" s="30">
        <f>SUMIFS('Individual Refineries'!$F$3:$F$1084,'Individual Refineries'!$B$3:$B$1084,$A124,'Individual Refineries'!$D$3:$D$1084,"DHCU")</f>
        <v/>
      </c>
      <c r="L124" s="30">
        <f>SUMIFS('Individual Refineries'!$F$3:$F$1084,'Individual Refineries'!$B$3:$B$1084,$A124,'Individual Refineries'!$D$3:$D$1084,"RHCU")</f>
        <v/>
      </c>
      <c r="M124" s="30">
        <f>SUMIFS('Individual Refineries'!$F$3:$F$1084,'Individual Refineries'!$B$3:$B$1084,$A124,'Individual Refineries'!$D$3:$D$1084,"REF")</f>
        <v/>
      </c>
      <c r="N124" s="30">
        <f>SUMIFS('Individual Refineries'!$F$3:$F$1084,'Individual Refineries'!$B$3:$B$1084,$A124,'Individual Refineries'!$D$3:$D$1084,"CCR")</f>
        <v/>
      </c>
      <c r="O124" s="30">
        <f>SUMIFS('Individual Refineries'!$F$3:$F$1084,'Individual Refineries'!$B$3:$B$1084,$A124,'Individual Refineries'!$D$3:$D$1084,"ISOM")</f>
        <v/>
      </c>
      <c r="P124" s="30">
        <f>SUMIFS('Individual Refineries'!$F$3:$F$1084,'Individual Refineries'!$B$3:$B$1084,$A124,'Individual Refineries'!$D$3:$D$1084,"ALKY")</f>
        <v/>
      </c>
      <c r="Q124" s="30">
        <f>SUMIFS('Individual Refineries'!$F$3:$F$1084,'Individual Refineries'!$B$3:$B$1084,$A124,'Individual Refineries'!$D$3:$D$1084,"NSPL")</f>
        <v/>
      </c>
      <c r="R124" s="30">
        <f>SUMIFS('Individual Refineries'!$F$3:$F$1084,'Individual Refineries'!$B$3:$B$1084,$A124,'Individual Refineries'!$D$3:$D$1084,"NHT")</f>
        <v/>
      </c>
    </row>
    <row r="125">
      <c r="A125" s="40" t="inlineStr">
        <is>
          <t>VALERO_BENICIA</t>
        </is>
      </c>
      <c r="B125" s="28" t="inlineStr">
        <is>
          <t>Valero Benicia</t>
        </is>
      </c>
      <c r="C125" s="28" t="n">
        <v>5</v>
      </c>
      <c r="D125" s="30">
        <f>SUMIFS(Data!$G$3:$G$125,Data!$A$3:$A$125,$A125)</f>
        <v/>
      </c>
      <c r="E125" s="30">
        <f>SUMIFS('Individual Refineries'!$F$3:$F$1084,'Individual Refineries'!$B$3:$B$1084,$A125,'Individual Refineries'!$D$3:$D$1084,"CDU")</f>
        <v/>
      </c>
      <c r="F125" s="30">
        <f>SUMIFS('Individual Refineries'!$F$3:$F$1084,'Individual Refineries'!$B$3:$B$1084,$A125,'Individual Refineries'!$D$3:$D$1084,"VDU")</f>
        <v/>
      </c>
      <c r="G125" s="30">
        <f>SUMIFS('Individual Refineries'!$F$3:$F$1084,'Individual Refineries'!$B$3:$B$1084,$A125,'Individual Refineries'!$D$3:$D$1084,"FCC")</f>
        <v/>
      </c>
      <c r="H125" s="30">
        <f>SUMIFS('Individual Refineries'!$F$3:$F$1084,'Individual Refineries'!$B$3:$B$1084,$A125,'Individual Refineries'!$D$3:$D$1084,"RCC")</f>
        <v/>
      </c>
      <c r="I125" s="30">
        <f>SUMIFS('Individual Refineries'!$F$3:$F$1084,'Individual Refineries'!$B$3:$B$1084,$A125,'Individual Refineries'!$D$3:$D$1084,"COKER")</f>
        <v/>
      </c>
      <c r="J125" s="30">
        <f>SUMIFS('Individual Refineries'!$F$3:$F$1084,'Individual Refineries'!$B$3:$B$1084,$A125,'Individual Refineries'!$D$3:$D$1084,"FCOKER")</f>
        <v/>
      </c>
      <c r="K125" s="30">
        <f>SUMIFS('Individual Refineries'!$F$3:$F$1084,'Individual Refineries'!$B$3:$B$1084,$A125,'Individual Refineries'!$D$3:$D$1084,"DHCU")</f>
        <v/>
      </c>
      <c r="L125" s="30">
        <f>SUMIFS('Individual Refineries'!$F$3:$F$1084,'Individual Refineries'!$B$3:$B$1084,$A125,'Individual Refineries'!$D$3:$D$1084,"RHCU")</f>
        <v/>
      </c>
      <c r="M125" s="30">
        <f>SUMIFS('Individual Refineries'!$F$3:$F$1084,'Individual Refineries'!$B$3:$B$1084,$A125,'Individual Refineries'!$D$3:$D$1084,"REF")</f>
        <v/>
      </c>
      <c r="N125" s="30">
        <f>SUMIFS('Individual Refineries'!$F$3:$F$1084,'Individual Refineries'!$B$3:$B$1084,$A125,'Individual Refineries'!$D$3:$D$1084,"CCR")</f>
        <v/>
      </c>
      <c r="O125" s="30">
        <f>SUMIFS('Individual Refineries'!$F$3:$F$1084,'Individual Refineries'!$B$3:$B$1084,$A125,'Individual Refineries'!$D$3:$D$1084,"ISOM")</f>
        <v/>
      </c>
      <c r="P125" s="30">
        <f>SUMIFS('Individual Refineries'!$F$3:$F$1084,'Individual Refineries'!$B$3:$B$1084,$A125,'Individual Refineries'!$D$3:$D$1084,"ALKY")</f>
        <v/>
      </c>
      <c r="Q125" s="30">
        <f>SUMIFS('Individual Refineries'!$F$3:$F$1084,'Individual Refineries'!$B$3:$B$1084,$A125,'Individual Refineries'!$D$3:$D$1084,"NSPL")</f>
        <v/>
      </c>
      <c r="R125" s="30">
        <f>SUMIFS('Individual Refineries'!$F$3:$F$1084,'Individual Refineries'!$B$3:$B$1084,$A125,'Individual Refineries'!$D$3:$D$1084,"NHT")</f>
        <v/>
      </c>
    </row>
    <row r="127" ht="20" customHeight="1">
      <c r="A127" s="8" t="inlineStr">
        <is>
          <t>PADD totals (kbd)</t>
        </is>
      </c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</row>
    <row r="128">
      <c r="A128" s="50" t="inlineStr">
        <is>
          <t>PADD 1</t>
        </is>
      </c>
      <c r="D128" s="54">
        <f>SUMIFS($D$3:$D$125,$C$3:$C$125,1)</f>
        <v/>
      </c>
      <c r="E128" s="54">
        <f>SUMIFS(E3:E125,$C$3:$C$125,1)</f>
        <v/>
      </c>
      <c r="F128" s="54">
        <f>SUMIFS(F3:F125,$C$3:$C$125,1)</f>
        <v/>
      </c>
      <c r="G128" s="54">
        <f>SUMIFS(G3:G125,$C$3:$C$125,1)</f>
        <v/>
      </c>
      <c r="H128" s="54">
        <f>SUMIFS(H3:H125,$C$3:$C$125,1)</f>
        <v/>
      </c>
      <c r="I128" s="54">
        <f>SUMIFS(I3:I125,$C$3:$C$125,1)</f>
        <v/>
      </c>
      <c r="J128" s="54">
        <f>SUMIFS(J3:J125,$C$3:$C$125,1)</f>
        <v/>
      </c>
      <c r="K128" s="54">
        <f>SUMIFS(K3:K125,$C$3:$C$125,1)</f>
        <v/>
      </c>
      <c r="L128" s="54">
        <f>SUMIFS(L3:L125,$C$3:$C$125,1)</f>
        <v/>
      </c>
      <c r="M128" s="54">
        <f>SUMIFS(M3:M125,$C$3:$C$125,1)</f>
        <v/>
      </c>
      <c r="N128" s="54">
        <f>SUMIFS(N3:N125,$C$3:$C$125,1)</f>
        <v/>
      </c>
      <c r="O128" s="54">
        <f>SUMIFS(O3:O125,$C$3:$C$125,1)</f>
        <v/>
      </c>
      <c r="P128" s="54">
        <f>SUMIFS(P3:P125,$C$3:$C$125,1)</f>
        <v/>
      </c>
      <c r="Q128" s="54">
        <f>SUMIFS(Q3:Q125,$C$3:$C$125,1)</f>
        <v/>
      </c>
      <c r="R128" s="54">
        <f>SUMIFS(R3:R125,$C$3:$C$125,1)</f>
        <v/>
      </c>
    </row>
    <row r="129">
      <c r="A129" s="50" t="inlineStr">
        <is>
          <t>PADD 2</t>
        </is>
      </c>
      <c r="D129" s="54">
        <f>SUMIFS($D$3:$D$125,$C$3:$C$125,2)</f>
        <v/>
      </c>
      <c r="E129" s="54">
        <f>SUMIFS(E3:E125,$C$3:$C$125,2)</f>
        <v/>
      </c>
      <c r="F129" s="54">
        <f>SUMIFS(F3:F125,$C$3:$C$125,2)</f>
        <v/>
      </c>
      <c r="G129" s="54">
        <f>SUMIFS(G3:G125,$C$3:$C$125,2)</f>
        <v/>
      </c>
      <c r="H129" s="54">
        <f>SUMIFS(H3:H125,$C$3:$C$125,2)</f>
        <v/>
      </c>
      <c r="I129" s="54">
        <f>SUMIFS(I3:I125,$C$3:$C$125,2)</f>
        <v/>
      </c>
      <c r="J129" s="54">
        <f>SUMIFS(J3:J125,$C$3:$C$125,2)</f>
        <v/>
      </c>
      <c r="K129" s="54">
        <f>SUMIFS(K3:K125,$C$3:$C$125,2)</f>
        <v/>
      </c>
      <c r="L129" s="54">
        <f>SUMIFS(L3:L125,$C$3:$C$125,2)</f>
        <v/>
      </c>
      <c r="M129" s="54">
        <f>SUMIFS(M3:M125,$C$3:$C$125,2)</f>
        <v/>
      </c>
      <c r="N129" s="54">
        <f>SUMIFS(N3:N125,$C$3:$C$125,2)</f>
        <v/>
      </c>
      <c r="O129" s="54">
        <f>SUMIFS(O3:O125,$C$3:$C$125,2)</f>
        <v/>
      </c>
      <c r="P129" s="54">
        <f>SUMIFS(P3:P125,$C$3:$C$125,2)</f>
        <v/>
      </c>
      <c r="Q129" s="54">
        <f>SUMIFS(Q3:Q125,$C$3:$C$125,2)</f>
        <v/>
      </c>
      <c r="R129" s="54">
        <f>SUMIFS(R3:R125,$C$3:$C$125,2)</f>
        <v/>
      </c>
    </row>
    <row r="130">
      <c r="A130" s="50" t="inlineStr">
        <is>
          <t>PADD 3</t>
        </is>
      </c>
      <c r="D130" s="54">
        <f>SUMIFS($D$3:$D$125,$C$3:$C$125,3)</f>
        <v/>
      </c>
      <c r="E130" s="54">
        <f>SUMIFS(E3:E125,$C$3:$C$125,3)</f>
        <v/>
      </c>
      <c r="F130" s="54">
        <f>SUMIFS(F3:F125,$C$3:$C$125,3)</f>
        <v/>
      </c>
      <c r="G130" s="54">
        <f>SUMIFS(G3:G125,$C$3:$C$125,3)</f>
        <v/>
      </c>
      <c r="H130" s="54">
        <f>SUMIFS(H3:H125,$C$3:$C$125,3)</f>
        <v/>
      </c>
      <c r="I130" s="54">
        <f>SUMIFS(I3:I125,$C$3:$C$125,3)</f>
        <v/>
      </c>
      <c r="J130" s="54">
        <f>SUMIFS(J3:J125,$C$3:$C$125,3)</f>
        <v/>
      </c>
      <c r="K130" s="54">
        <f>SUMIFS(K3:K125,$C$3:$C$125,3)</f>
        <v/>
      </c>
      <c r="L130" s="54">
        <f>SUMIFS(L3:L125,$C$3:$C$125,3)</f>
        <v/>
      </c>
      <c r="M130" s="54">
        <f>SUMIFS(M3:M125,$C$3:$C$125,3)</f>
        <v/>
      </c>
      <c r="N130" s="54">
        <f>SUMIFS(N3:N125,$C$3:$C$125,3)</f>
        <v/>
      </c>
      <c r="O130" s="54">
        <f>SUMIFS(O3:O125,$C$3:$C$125,3)</f>
        <v/>
      </c>
      <c r="P130" s="54">
        <f>SUMIFS(P3:P125,$C$3:$C$125,3)</f>
        <v/>
      </c>
      <c r="Q130" s="54">
        <f>SUMIFS(Q3:Q125,$C$3:$C$125,3)</f>
        <v/>
      </c>
      <c r="R130" s="54">
        <f>SUMIFS(R3:R125,$C$3:$C$125,3)</f>
        <v/>
      </c>
    </row>
    <row r="131">
      <c r="A131" s="50" t="inlineStr">
        <is>
          <t>PADD 4</t>
        </is>
      </c>
      <c r="D131" s="54">
        <f>SUMIFS($D$3:$D$125,$C$3:$C$125,4)</f>
        <v/>
      </c>
      <c r="E131" s="54">
        <f>SUMIFS(E3:E125,$C$3:$C$125,4)</f>
        <v/>
      </c>
      <c r="F131" s="54">
        <f>SUMIFS(F3:F125,$C$3:$C$125,4)</f>
        <v/>
      </c>
      <c r="G131" s="54">
        <f>SUMIFS(G3:G125,$C$3:$C$125,4)</f>
        <v/>
      </c>
      <c r="H131" s="54">
        <f>SUMIFS(H3:H125,$C$3:$C$125,4)</f>
        <v/>
      </c>
      <c r="I131" s="54">
        <f>SUMIFS(I3:I125,$C$3:$C$125,4)</f>
        <v/>
      </c>
      <c r="J131" s="54">
        <f>SUMIFS(J3:J125,$C$3:$C$125,4)</f>
        <v/>
      </c>
      <c r="K131" s="54">
        <f>SUMIFS(K3:K125,$C$3:$C$125,4)</f>
        <v/>
      </c>
      <c r="L131" s="54">
        <f>SUMIFS(L3:L125,$C$3:$C$125,4)</f>
        <v/>
      </c>
      <c r="M131" s="54">
        <f>SUMIFS(M3:M125,$C$3:$C$125,4)</f>
        <v/>
      </c>
      <c r="N131" s="54">
        <f>SUMIFS(N3:N125,$C$3:$C$125,4)</f>
        <v/>
      </c>
      <c r="O131" s="54">
        <f>SUMIFS(O3:O125,$C$3:$C$125,4)</f>
        <v/>
      </c>
      <c r="P131" s="54">
        <f>SUMIFS(P3:P125,$C$3:$C$125,4)</f>
        <v/>
      </c>
      <c r="Q131" s="54">
        <f>SUMIFS(Q3:Q125,$C$3:$C$125,4)</f>
        <v/>
      </c>
      <c r="R131" s="54">
        <f>SUMIFS(R3:R125,$C$3:$C$125,4)</f>
        <v/>
      </c>
    </row>
    <row r="132">
      <c r="A132" s="50" t="inlineStr">
        <is>
          <t>PADD 5</t>
        </is>
      </c>
      <c r="D132" s="54">
        <f>SUMIFS($D$3:$D$125,$C$3:$C$125,5)</f>
        <v/>
      </c>
      <c r="E132" s="54">
        <f>SUMIFS(E3:E125,$C$3:$C$125,5)</f>
        <v/>
      </c>
      <c r="F132" s="54">
        <f>SUMIFS(F3:F125,$C$3:$C$125,5)</f>
        <v/>
      </c>
      <c r="G132" s="54">
        <f>SUMIFS(G3:G125,$C$3:$C$125,5)</f>
        <v/>
      </c>
      <c r="H132" s="54">
        <f>SUMIFS(H3:H125,$C$3:$C$125,5)</f>
        <v/>
      </c>
      <c r="I132" s="54">
        <f>SUMIFS(I3:I125,$C$3:$C$125,5)</f>
        <v/>
      </c>
      <c r="J132" s="54">
        <f>SUMIFS(J3:J125,$C$3:$C$125,5)</f>
        <v/>
      </c>
      <c r="K132" s="54">
        <f>SUMIFS(K3:K125,$C$3:$C$125,5)</f>
        <v/>
      </c>
      <c r="L132" s="54">
        <f>SUMIFS(L3:L125,$C$3:$C$125,5)</f>
        <v/>
      </c>
      <c r="M132" s="54">
        <f>SUMIFS(M3:M125,$C$3:$C$125,5)</f>
        <v/>
      </c>
      <c r="N132" s="54">
        <f>SUMIFS(N3:N125,$C$3:$C$125,5)</f>
        <v/>
      </c>
      <c r="O132" s="54">
        <f>SUMIFS(O3:O125,$C$3:$C$125,5)</f>
        <v/>
      </c>
      <c r="P132" s="54">
        <f>SUMIFS(P3:P125,$C$3:$C$125,5)</f>
        <v/>
      </c>
      <c r="Q132" s="54">
        <f>SUMIFS(Q3:Q125,$C$3:$C$125,5)</f>
        <v/>
      </c>
      <c r="R132" s="54">
        <f>SUMIFS(R3:R125,$C$3:$C$125,5)</f>
        <v/>
      </c>
    </row>
  </sheetData>
  <autoFilter ref="A2:R125"/>
  <mergeCells count="2">
    <mergeCell ref="A1:S1"/>
    <mergeCell ref="A127:S12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  <hyperlink xmlns:r="http://schemas.openxmlformats.org/officeDocument/2006/relationships" ref="A40" r:id="rId38"/>
    <hyperlink xmlns:r="http://schemas.openxmlformats.org/officeDocument/2006/relationships" ref="A41" r:id="rId39"/>
    <hyperlink xmlns:r="http://schemas.openxmlformats.org/officeDocument/2006/relationships" ref="A42" r:id="rId40"/>
    <hyperlink xmlns:r="http://schemas.openxmlformats.org/officeDocument/2006/relationships" ref="A43" r:id="rId41"/>
    <hyperlink xmlns:r="http://schemas.openxmlformats.org/officeDocument/2006/relationships" ref="A44" r:id="rId42"/>
    <hyperlink xmlns:r="http://schemas.openxmlformats.org/officeDocument/2006/relationships" ref="A45" r:id="rId43"/>
    <hyperlink xmlns:r="http://schemas.openxmlformats.org/officeDocument/2006/relationships" ref="A46" r:id="rId44"/>
    <hyperlink xmlns:r="http://schemas.openxmlformats.org/officeDocument/2006/relationships" ref="A47" r:id="rId45"/>
    <hyperlink xmlns:r="http://schemas.openxmlformats.org/officeDocument/2006/relationships" ref="A48" r:id="rId46"/>
    <hyperlink xmlns:r="http://schemas.openxmlformats.org/officeDocument/2006/relationships" ref="A49" r:id="rId47"/>
    <hyperlink xmlns:r="http://schemas.openxmlformats.org/officeDocument/2006/relationships" ref="A50" r:id="rId48"/>
    <hyperlink xmlns:r="http://schemas.openxmlformats.org/officeDocument/2006/relationships" ref="A51" r:id="rId49"/>
    <hyperlink xmlns:r="http://schemas.openxmlformats.org/officeDocument/2006/relationships" ref="A52" r:id="rId50"/>
    <hyperlink xmlns:r="http://schemas.openxmlformats.org/officeDocument/2006/relationships" ref="A53" r:id="rId51"/>
    <hyperlink xmlns:r="http://schemas.openxmlformats.org/officeDocument/2006/relationships" ref="A54" r:id="rId52"/>
    <hyperlink xmlns:r="http://schemas.openxmlformats.org/officeDocument/2006/relationships" ref="A55" r:id="rId53"/>
    <hyperlink xmlns:r="http://schemas.openxmlformats.org/officeDocument/2006/relationships" ref="A56" r:id="rId54"/>
    <hyperlink xmlns:r="http://schemas.openxmlformats.org/officeDocument/2006/relationships" ref="A57" r:id="rId55"/>
    <hyperlink xmlns:r="http://schemas.openxmlformats.org/officeDocument/2006/relationships" ref="A58" r:id="rId56"/>
    <hyperlink xmlns:r="http://schemas.openxmlformats.org/officeDocument/2006/relationships" ref="A59" r:id="rId57"/>
    <hyperlink xmlns:r="http://schemas.openxmlformats.org/officeDocument/2006/relationships" ref="A60" r:id="rId58"/>
    <hyperlink xmlns:r="http://schemas.openxmlformats.org/officeDocument/2006/relationships" ref="A61" r:id="rId59"/>
    <hyperlink xmlns:r="http://schemas.openxmlformats.org/officeDocument/2006/relationships" ref="A62" r:id="rId60"/>
    <hyperlink xmlns:r="http://schemas.openxmlformats.org/officeDocument/2006/relationships" ref="A63" r:id="rId61"/>
    <hyperlink xmlns:r="http://schemas.openxmlformats.org/officeDocument/2006/relationships" ref="A64" r:id="rId62"/>
    <hyperlink xmlns:r="http://schemas.openxmlformats.org/officeDocument/2006/relationships" ref="A65" r:id="rId63"/>
    <hyperlink xmlns:r="http://schemas.openxmlformats.org/officeDocument/2006/relationships" ref="A66" r:id="rId64"/>
    <hyperlink xmlns:r="http://schemas.openxmlformats.org/officeDocument/2006/relationships" ref="A67" r:id="rId65"/>
    <hyperlink xmlns:r="http://schemas.openxmlformats.org/officeDocument/2006/relationships" ref="A68" r:id="rId66"/>
    <hyperlink xmlns:r="http://schemas.openxmlformats.org/officeDocument/2006/relationships" ref="A69" r:id="rId67"/>
    <hyperlink xmlns:r="http://schemas.openxmlformats.org/officeDocument/2006/relationships" ref="A70" r:id="rId68"/>
    <hyperlink xmlns:r="http://schemas.openxmlformats.org/officeDocument/2006/relationships" ref="A71" r:id="rId69"/>
    <hyperlink xmlns:r="http://schemas.openxmlformats.org/officeDocument/2006/relationships" ref="A72" r:id="rId70"/>
    <hyperlink xmlns:r="http://schemas.openxmlformats.org/officeDocument/2006/relationships" ref="A73" r:id="rId71"/>
    <hyperlink xmlns:r="http://schemas.openxmlformats.org/officeDocument/2006/relationships" ref="A74" r:id="rId72"/>
    <hyperlink xmlns:r="http://schemas.openxmlformats.org/officeDocument/2006/relationships" ref="A75" r:id="rId73"/>
    <hyperlink xmlns:r="http://schemas.openxmlformats.org/officeDocument/2006/relationships" ref="A76" r:id="rId74"/>
    <hyperlink xmlns:r="http://schemas.openxmlformats.org/officeDocument/2006/relationships" ref="A77" r:id="rId75"/>
    <hyperlink xmlns:r="http://schemas.openxmlformats.org/officeDocument/2006/relationships" ref="A78" r:id="rId76"/>
    <hyperlink xmlns:r="http://schemas.openxmlformats.org/officeDocument/2006/relationships" ref="A79" r:id="rId77"/>
    <hyperlink xmlns:r="http://schemas.openxmlformats.org/officeDocument/2006/relationships" ref="A80" r:id="rId78"/>
    <hyperlink xmlns:r="http://schemas.openxmlformats.org/officeDocument/2006/relationships" ref="A81" r:id="rId79"/>
    <hyperlink xmlns:r="http://schemas.openxmlformats.org/officeDocument/2006/relationships" ref="A82" r:id="rId80"/>
    <hyperlink xmlns:r="http://schemas.openxmlformats.org/officeDocument/2006/relationships" ref="A83" r:id="rId81"/>
    <hyperlink xmlns:r="http://schemas.openxmlformats.org/officeDocument/2006/relationships" ref="A84" r:id="rId82"/>
    <hyperlink xmlns:r="http://schemas.openxmlformats.org/officeDocument/2006/relationships" ref="A85" r:id="rId83"/>
    <hyperlink xmlns:r="http://schemas.openxmlformats.org/officeDocument/2006/relationships" ref="A86" r:id="rId84"/>
    <hyperlink xmlns:r="http://schemas.openxmlformats.org/officeDocument/2006/relationships" ref="A87" r:id="rId85"/>
    <hyperlink xmlns:r="http://schemas.openxmlformats.org/officeDocument/2006/relationships" ref="A88" r:id="rId86"/>
    <hyperlink xmlns:r="http://schemas.openxmlformats.org/officeDocument/2006/relationships" ref="A89" r:id="rId87"/>
    <hyperlink xmlns:r="http://schemas.openxmlformats.org/officeDocument/2006/relationships" ref="A90" r:id="rId88"/>
    <hyperlink xmlns:r="http://schemas.openxmlformats.org/officeDocument/2006/relationships" ref="A91" r:id="rId89"/>
    <hyperlink xmlns:r="http://schemas.openxmlformats.org/officeDocument/2006/relationships" ref="A92" r:id="rId90"/>
    <hyperlink xmlns:r="http://schemas.openxmlformats.org/officeDocument/2006/relationships" ref="A93" r:id="rId91"/>
    <hyperlink xmlns:r="http://schemas.openxmlformats.org/officeDocument/2006/relationships" ref="A94" r:id="rId92"/>
    <hyperlink xmlns:r="http://schemas.openxmlformats.org/officeDocument/2006/relationships" ref="A95" r:id="rId93"/>
    <hyperlink xmlns:r="http://schemas.openxmlformats.org/officeDocument/2006/relationships" ref="A96" r:id="rId94"/>
    <hyperlink xmlns:r="http://schemas.openxmlformats.org/officeDocument/2006/relationships" ref="A97" r:id="rId95"/>
    <hyperlink xmlns:r="http://schemas.openxmlformats.org/officeDocument/2006/relationships" ref="A98" r:id="rId96"/>
    <hyperlink xmlns:r="http://schemas.openxmlformats.org/officeDocument/2006/relationships" ref="A99" r:id="rId97"/>
    <hyperlink xmlns:r="http://schemas.openxmlformats.org/officeDocument/2006/relationships" ref="A100" r:id="rId98"/>
    <hyperlink xmlns:r="http://schemas.openxmlformats.org/officeDocument/2006/relationships" ref="A101" r:id="rId99"/>
    <hyperlink xmlns:r="http://schemas.openxmlformats.org/officeDocument/2006/relationships" ref="A102" r:id="rId100"/>
    <hyperlink xmlns:r="http://schemas.openxmlformats.org/officeDocument/2006/relationships" ref="A103" r:id="rId101"/>
    <hyperlink xmlns:r="http://schemas.openxmlformats.org/officeDocument/2006/relationships" ref="A104" r:id="rId102"/>
    <hyperlink xmlns:r="http://schemas.openxmlformats.org/officeDocument/2006/relationships" ref="A105" r:id="rId103"/>
    <hyperlink xmlns:r="http://schemas.openxmlformats.org/officeDocument/2006/relationships" ref="A106" r:id="rId104"/>
    <hyperlink xmlns:r="http://schemas.openxmlformats.org/officeDocument/2006/relationships" ref="A107" r:id="rId105"/>
    <hyperlink xmlns:r="http://schemas.openxmlformats.org/officeDocument/2006/relationships" ref="A108" r:id="rId106"/>
    <hyperlink xmlns:r="http://schemas.openxmlformats.org/officeDocument/2006/relationships" ref="A109" r:id="rId107"/>
    <hyperlink xmlns:r="http://schemas.openxmlformats.org/officeDocument/2006/relationships" ref="A110" r:id="rId108"/>
    <hyperlink xmlns:r="http://schemas.openxmlformats.org/officeDocument/2006/relationships" ref="A111" r:id="rId109"/>
    <hyperlink xmlns:r="http://schemas.openxmlformats.org/officeDocument/2006/relationships" ref="A112" r:id="rId110"/>
    <hyperlink xmlns:r="http://schemas.openxmlformats.org/officeDocument/2006/relationships" ref="A113" r:id="rId111"/>
    <hyperlink xmlns:r="http://schemas.openxmlformats.org/officeDocument/2006/relationships" ref="A114" r:id="rId112"/>
    <hyperlink xmlns:r="http://schemas.openxmlformats.org/officeDocument/2006/relationships" ref="A115" r:id="rId113"/>
    <hyperlink xmlns:r="http://schemas.openxmlformats.org/officeDocument/2006/relationships" ref="A116" r:id="rId114"/>
    <hyperlink xmlns:r="http://schemas.openxmlformats.org/officeDocument/2006/relationships" ref="A117" r:id="rId115"/>
    <hyperlink xmlns:r="http://schemas.openxmlformats.org/officeDocument/2006/relationships" ref="A118" r:id="rId116"/>
    <hyperlink xmlns:r="http://schemas.openxmlformats.org/officeDocument/2006/relationships" ref="A119" r:id="rId117"/>
    <hyperlink xmlns:r="http://schemas.openxmlformats.org/officeDocument/2006/relationships" ref="A120" r:id="rId118"/>
    <hyperlink xmlns:r="http://schemas.openxmlformats.org/officeDocument/2006/relationships" ref="A121" r:id="rId119"/>
    <hyperlink xmlns:r="http://schemas.openxmlformats.org/officeDocument/2006/relationships" ref="A122" r:id="rId120"/>
    <hyperlink xmlns:r="http://schemas.openxmlformats.org/officeDocument/2006/relationships" ref="A123" r:id="rId121"/>
    <hyperlink xmlns:r="http://schemas.openxmlformats.org/officeDocument/2006/relationships" ref="A124" r:id="rId122"/>
    <hyperlink xmlns:r="http://schemas.openxmlformats.org/officeDocument/2006/relationships" ref="A125" r:id="rId123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2E8677"/>
    <outlinePr summaryBelow="1" summaryRight="1"/>
    <pageSetUpPr fitToPage="1"/>
  </sheetPr>
  <dimension ref="A1:U133"/>
  <sheetViews>
    <sheetView showGridLines="0"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6" customWidth="1" min="3" max="3"/>
    <col width="9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9" customWidth="1" min="19" max="19"/>
    <col width="10" customWidth="1" min="20" max="20"/>
  </cols>
  <sheetData>
    <row r="1" ht="20" customHeight="1">
      <c r="A1" s="8" t="inlineStr">
        <is>
          <t>Effective capacity (kbd) — max demonstrated annual throughput 2017-2024 excl. 2020 (RefineryDataTool actuals). BLUE = desk-adjustable: edits here flow into the boxes' 'eff cap' column. Nameplate is what's stated; this is what's proven.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</row>
    <row r="2">
      <c r="A2" s="23" t="inlineStr">
        <is>
          <t>refinery_id</t>
        </is>
      </c>
      <c r="B2" s="23" t="inlineStr">
        <is>
          <t>name</t>
        </is>
      </c>
      <c r="C2" s="23" t="inlineStr">
        <is>
          <t>padd</t>
        </is>
      </c>
      <c r="D2" s="23" t="inlineStr">
        <is>
          <t>crude kbd</t>
        </is>
      </c>
      <c r="E2" s="23" t="inlineStr">
        <is>
          <t>CDU</t>
        </is>
      </c>
      <c r="F2" s="23" t="inlineStr">
        <is>
          <t>VDU</t>
        </is>
      </c>
      <c r="G2" s="23" t="inlineStr">
        <is>
          <t>FCC</t>
        </is>
      </c>
      <c r="H2" s="23" t="inlineStr">
        <is>
          <t>RCC</t>
        </is>
      </c>
      <c r="I2" s="23" t="inlineStr">
        <is>
          <t>COKER</t>
        </is>
      </c>
      <c r="J2" s="23" t="inlineStr">
        <is>
          <t>FCOKER</t>
        </is>
      </c>
      <c r="K2" s="23" t="inlineStr">
        <is>
          <t>DHCU</t>
        </is>
      </c>
      <c r="L2" s="23" t="inlineStr">
        <is>
          <t>RHCU</t>
        </is>
      </c>
      <c r="M2" s="23" t="inlineStr">
        <is>
          <t>REF</t>
        </is>
      </c>
      <c r="N2" s="23" t="inlineStr">
        <is>
          <t>CCR</t>
        </is>
      </c>
      <c r="O2" s="23" t="inlineStr">
        <is>
          <t>ISOM</t>
        </is>
      </c>
      <c r="P2" s="23" t="inlineStr">
        <is>
          <t>ALKY</t>
        </is>
      </c>
      <c r="Q2" s="23" t="inlineStr">
        <is>
          <t>NSPL</t>
        </is>
      </c>
      <c r="R2" s="23" t="inlineStr">
        <is>
          <t>NHT</t>
        </is>
      </c>
      <c r="S2" s="23" t="inlineStr">
        <is>
          <t>CDU eff yr</t>
        </is>
      </c>
      <c r="T2" s="23" t="inlineStr">
        <is>
          <t>CDU eff/plate</t>
        </is>
      </c>
    </row>
    <row r="3">
      <c r="A3" s="28" t="inlineStr">
        <is>
          <t>PHILLIPS_LINDEN</t>
        </is>
      </c>
      <c r="B3" s="28" t="inlineStr">
        <is>
          <t>Phillips 66 Co. Linden</t>
        </is>
      </c>
      <c r="C3" s="28" t="n">
        <v>1</v>
      </c>
      <c r="D3" s="30">
        <f>SUMIFS(Data!$G$3:$G$125,Data!$A$3:$A$125,$A3)</f>
        <v/>
      </c>
      <c r="E3" s="29" t="n">
        <v>255.77</v>
      </c>
      <c r="F3" s="29" t="n">
        <v>83.43000000000001</v>
      </c>
      <c r="G3" s="29" t="n">
        <v>110.22</v>
      </c>
      <c r="H3" s="29" t="n"/>
      <c r="I3" s="29" t="n"/>
      <c r="J3" s="29" t="n"/>
      <c r="K3" s="29" t="n"/>
      <c r="L3" s="29" t="n"/>
      <c r="M3" s="29" t="n"/>
      <c r="N3" s="29" t="n">
        <v>34.68</v>
      </c>
      <c r="O3" s="29" t="n"/>
      <c r="P3" s="29" t="n">
        <v>22.62</v>
      </c>
      <c r="Q3" s="29" t="n"/>
      <c r="R3" s="29" t="n">
        <v>65.38</v>
      </c>
      <c r="S3" s="28" t="inlineStr">
        <is>
          <t>2022</t>
        </is>
      </c>
      <c r="T3" s="52">
        <f>IFERROR($E3/Nameplate!$E3,"")</f>
        <v/>
      </c>
    </row>
    <row r="4">
      <c r="A4" s="28" t="inlineStr">
        <is>
          <t>MONROE_TRAINER</t>
        </is>
      </c>
      <c r="B4" s="28" t="inlineStr">
        <is>
          <t>Monroe Energy Trainer</t>
        </is>
      </c>
      <c r="C4" s="28" t="n">
        <v>1</v>
      </c>
      <c r="D4" s="30">
        <f>SUMIFS(Data!$G$3:$G$125,Data!$A$3:$A$125,$A4)</f>
        <v/>
      </c>
      <c r="E4" s="29" t="n">
        <v>180.96</v>
      </c>
      <c r="F4" s="29" t="n">
        <v>48.62</v>
      </c>
      <c r="G4" s="29" t="n">
        <v>36.16</v>
      </c>
      <c r="H4" s="29" t="n"/>
      <c r="I4" s="29" t="n"/>
      <c r="J4" s="29" t="n"/>
      <c r="K4" s="29" t="n">
        <v>23</v>
      </c>
      <c r="L4" s="29" t="n"/>
      <c r="M4" s="29" t="n"/>
      <c r="N4" s="29" t="n">
        <v>47.8</v>
      </c>
      <c r="O4" s="29" t="n"/>
      <c r="P4" s="29" t="n">
        <v>12</v>
      </c>
      <c r="Q4" s="29" t="n"/>
      <c r="R4" s="29" t="n">
        <v>67.7</v>
      </c>
      <c r="S4" s="28" t="inlineStr">
        <is>
          <t>2017</t>
        </is>
      </c>
      <c r="T4" s="52">
        <f>IFERROR($E4/Nameplate!$E4,"")</f>
        <v/>
      </c>
    </row>
    <row r="5">
      <c r="A5" s="28" t="inlineStr">
        <is>
          <t>PBF_DELAWARE_CITY</t>
        </is>
      </c>
      <c r="B5" s="28" t="inlineStr">
        <is>
          <t>PBF Energy Company LLC Delaware City</t>
        </is>
      </c>
      <c r="C5" s="28" t="n">
        <v>1</v>
      </c>
      <c r="D5" s="30">
        <f>SUMIFS(Data!$G$3:$G$125,Data!$A$3:$A$125,$A5)</f>
        <v/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8" t="n"/>
      <c r="T5" s="52">
        <f>IFERROR($E5/Nameplate!$E5,"")</f>
        <v/>
      </c>
    </row>
    <row r="6">
      <c r="A6" s="28" t="inlineStr">
        <is>
          <t>PBF_PAULSBORO</t>
        </is>
      </c>
      <c r="B6" s="28" t="inlineStr">
        <is>
          <t>PBF Energy Company LLC Paulsboro</t>
        </is>
      </c>
      <c r="C6" s="28" t="n">
        <v>1</v>
      </c>
      <c r="D6" s="30">
        <f>SUMIFS(Data!$G$3:$G$125,Data!$A$3:$A$125,$A6)</f>
        <v/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8" t="n"/>
      <c r="T6" s="52">
        <f>IFERROR($E6/Nameplate!$E6,"")</f>
        <v/>
      </c>
    </row>
    <row r="7">
      <c r="A7" s="28" t="inlineStr">
        <is>
          <t>UNITED_WARREN</t>
        </is>
      </c>
      <c r="B7" s="28" t="inlineStr">
        <is>
          <t>United Refining Warren</t>
        </is>
      </c>
      <c r="C7" s="28" t="n">
        <v>1</v>
      </c>
      <c r="D7" s="30">
        <f>SUMIFS(Data!$G$3:$G$125,Data!$A$3:$A$125,$A7)</f>
        <v/>
      </c>
      <c r="E7" s="29" t="n">
        <v>67.8</v>
      </c>
      <c r="F7" s="29" t="n">
        <v>31.36</v>
      </c>
      <c r="G7" s="29" t="n">
        <v>24.01</v>
      </c>
      <c r="H7" s="29" t="n"/>
      <c r="I7" s="29" t="n"/>
      <c r="J7" s="29" t="n"/>
      <c r="K7" s="29" t="n"/>
      <c r="L7" s="29" t="n"/>
      <c r="M7" s="29" t="n">
        <v>14.48</v>
      </c>
      <c r="N7" s="29" t="n"/>
      <c r="O7" s="29" t="n">
        <v>4.37</v>
      </c>
      <c r="P7" s="29" t="n">
        <v>5.42</v>
      </c>
      <c r="Q7" s="29" t="n"/>
      <c r="R7" s="29" t="n">
        <v>20.17</v>
      </c>
      <c r="S7" s="28" t="inlineStr">
        <is>
          <t>2017</t>
        </is>
      </c>
      <c r="T7" s="52">
        <f>IFERROR($E7/Nameplate!$E7,"")</f>
        <v/>
      </c>
    </row>
    <row r="8">
      <c r="A8" s="28" t="inlineStr">
        <is>
          <t>ERGON_NEWELL</t>
        </is>
      </c>
      <c r="B8" s="28" t="inlineStr">
        <is>
          <t>Ergon Newell</t>
        </is>
      </c>
      <c r="C8" s="28" t="n">
        <v>1</v>
      </c>
      <c r="D8" s="30">
        <f>SUMIFS(Data!$G$3:$G$125,Data!$A$3:$A$125,$A8)</f>
        <v/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8" t="n"/>
      <c r="T8" s="52">
        <f>IFERROR($E8/Nameplate!$E8,"")</f>
        <v/>
      </c>
    </row>
    <row r="9">
      <c r="A9" s="28" t="inlineStr">
        <is>
          <t>AMERICAN_BRADFORD</t>
        </is>
      </c>
      <c r="B9" s="28" t="inlineStr">
        <is>
          <t>American Refining Group Bradford</t>
        </is>
      </c>
      <c r="C9" s="28" t="n">
        <v>1</v>
      </c>
      <c r="D9" s="30">
        <f>SUMIFS(Data!$G$3:$G$125,Data!$A$3:$A$125,$A9)</f>
        <v/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8" t="n"/>
      <c r="T9" s="52">
        <f>IFERROR($E9/Nameplate!$E9,"")</f>
        <v/>
      </c>
    </row>
    <row r="10">
      <c r="A10" s="28" t="inlineStr">
        <is>
          <t>BP_WHITING</t>
        </is>
      </c>
      <c r="B10" s="28" t="inlineStr">
        <is>
          <t>BP Whiting</t>
        </is>
      </c>
      <c r="C10" s="28" t="n">
        <v>2</v>
      </c>
      <c r="D10" s="30">
        <f>SUMIFS(Data!$G$3:$G$125,Data!$A$3:$A$125,$A10)</f>
        <v/>
      </c>
      <c r="E10" s="29" t="n">
        <v>426.8</v>
      </c>
      <c r="F10" s="29" t="n">
        <v>203.71</v>
      </c>
      <c r="G10" s="29" t="n">
        <v>156.64</v>
      </c>
      <c r="H10" s="29" t="n"/>
      <c r="I10" s="29" t="n">
        <v>86.65000000000001</v>
      </c>
      <c r="J10" s="29" t="n"/>
      <c r="K10" s="29" t="n"/>
      <c r="L10" s="29" t="n"/>
      <c r="M10" s="29" t="n">
        <v>61.97</v>
      </c>
      <c r="N10" s="29" t="n"/>
      <c r="O10" s="29" t="n">
        <v>30</v>
      </c>
      <c r="P10" s="29" t="n">
        <v>38.5</v>
      </c>
      <c r="Q10" s="29" t="n"/>
      <c r="R10" s="29" t="n">
        <v>87.76000000000001</v>
      </c>
      <c r="S10" s="28" t="inlineStr">
        <is>
          <t>2023</t>
        </is>
      </c>
      <c r="T10" s="52">
        <f>IFERROR($E10/Nameplate!$E10,"")</f>
        <v/>
      </c>
    </row>
    <row r="11">
      <c r="A11" s="28" t="inlineStr">
        <is>
          <t>FLINT_ROSEMOUNT</t>
        </is>
      </c>
      <c r="B11" s="28" t="inlineStr">
        <is>
          <t>Flint Hills Resources Rosemount</t>
        </is>
      </c>
      <c r="C11" s="28" t="n">
        <v>2</v>
      </c>
      <c r="D11" s="30">
        <f>SUMIFS(Data!$G$3:$G$125,Data!$A$3:$A$125,$A11)</f>
        <v/>
      </c>
      <c r="E11" s="29" t="n">
        <v>345</v>
      </c>
      <c r="F11" s="29" t="n">
        <v>182.66</v>
      </c>
      <c r="G11" s="29" t="n">
        <v>79.2</v>
      </c>
      <c r="H11" s="29" t="n"/>
      <c r="I11" s="29" t="n">
        <v>72.06</v>
      </c>
      <c r="J11" s="29" t="n"/>
      <c r="K11" s="29" t="n">
        <v>58.46</v>
      </c>
      <c r="L11" s="29" t="n"/>
      <c r="M11" s="29" t="n">
        <v>13.8</v>
      </c>
      <c r="N11" s="29" t="n">
        <v>36.89</v>
      </c>
      <c r="O11" s="29" t="n">
        <v>17.99</v>
      </c>
      <c r="P11" s="29" t="n">
        <v>16.84</v>
      </c>
      <c r="Q11" s="29" t="n"/>
      <c r="R11" s="29" t="n">
        <v>62.9</v>
      </c>
      <c r="S11" s="28" t="inlineStr">
        <is>
          <t>2022</t>
        </is>
      </c>
      <c r="T11" s="52">
        <f>IFERROR($E11/Nameplate!$E11,"")</f>
        <v/>
      </c>
    </row>
    <row r="12">
      <c r="A12" s="28" t="inlineStr">
        <is>
          <t>CENOVUS_WOOD_RIVER</t>
        </is>
      </c>
      <c r="B12" s="28" t="inlineStr">
        <is>
          <t>Cenovus Wood River</t>
        </is>
      </c>
      <c r="C12" s="28" t="n">
        <v>2</v>
      </c>
      <c r="D12" s="30">
        <f>SUMIFS(Data!$G$3:$G$125,Data!$A$3:$A$125,$A12)</f>
        <v/>
      </c>
      <c r="E12" s="29" t="n">
        <v>367.5</v>
      </c>
      <c r="F12" s="29" t="n">
        <v>166.34</v>
      </c>
      <c r="G12" s="29" t="n">
        <v>95.40000000000001</v>
      </c>
      <c r="H12" s="29" t="n"/>
      <c r="I12" s="29" t="n">
        <v>73.98</v>
      </c>
      <c r="J12" s="29" t="n"/>
      <c r="K12" s="29" t="n">
        <v>56.07</v>
      </c>
      <c r="L12" s="29" t="n"/>
      <c r="M12" s="29" t="n"/>
      <c r="N12" s="29" t="n">
        <v>65.25</v>
      </c>
      <c r="O12" s="29" t="n"/>
      <c r="P12" s="29" t="n">
        <v>25.06</v>
      </c>
      <c r="Q12" s="29" t="n"/>
      <c r="R12" s="29" t="n">
        <v>80</v>
      </c>
      <c r="S12" s="28" t="inlineStr">
        <is>
          <t>2024</t>
        </is>
      </c>
      <c r="T12" s="52">
        <f>IFERROR($E12/Nameplate!$E12,"")</f>
        <v/>
      </c>
    </row>
    <row r="13">
      <c r="A13" s="28" t="inlineStr">
        <is>
          <t>MARATHON_CATLETTSBURG</t>
        </is>
      </c>
      <c r="B13" s="28" t="inlineStr">
        <is>
          <t>Marathon Petroleum Catlettsburg</t>
        </is>
      </c>
      <c r="C13" s="28" t="n">
        <v>2</v>
      </c>
      <c r="D13" s="30">
        <f>SUMIFS(Data!$G$3:$G$125,Data!$A$3:$A$125,$A13)</f>
        <v/>
      </c>
      <c r="E13" s="29" t="n">
        <v>296.94</v>
      </c>
      <c r="F13" s="29" t="n">
        <v>103.64</v>
      </c>
      <c r="G13" s="29" t="n">
        <v>94.73</v>
      </c>
      <c r="H13" s="29" t="n"/>
      <c r="I13" s="29" t="n"/>
      <c r="J13" s="29" t="n"/>
      <c r="K13" s="29" t="n"/>
      <c r="L13" s="29" t="n"/>
      <c r="M13" s="29" t="n">
        <v>38.61</v>
      </c>
      <c r="N13" s="29" t="n">
        <v>21.5</v>
      </c>
      <c r="O13" s="29" t="n">
        <v>19.6</v>
      </c>
      <c r="P13" s="29" t="n">
        <v>25.91</v>
      </c>
      <c r="Q13" s="29" t="n"/>
      <c r="R13" s="29" t="n">
        <v>59</v>
      </c>
      <c r="S13" s="28" t="inlineStr">
        <is>
          <t>2024</t>
        </is>
      </c>
      <c r="T13" s="52">
        <f>IFERROR($E13/Nameplate!$E13,"")</f>
        <v/>
      </c>
    </row>
    <row r="14">
      <c r="A14" s="28" t="inlineStr">
        <is>
          <t>MARATHON_ROBINSON</t>
        </is>
      </c>
      <c r="B14" s="28" t="inlineStr">
        <is>
          <t>Marathon Petroleum Robinson</t>
        </is>
      </c>
      <c r="C14" s="28" t="n">
        <v>2</v>
      </c>
      <c r="D14" s="30">
        <f>SUMIFS(Data!$G$3:$G$125,Data!$A$3:$A$125,$A14)</f>
        <v/>
      </c>
      <c r="E14" s="29" t="n">
        <v>249.47</v>
      </c>
      <c r="F14" s="29" t="n">
        <v>76</v>
      </c>
      <c r="G14" s="29" t="n">
        <v>54.27</v>
      </c>
      <c r="H14" s="29" t="n"/>
      <c r="I14" s="29" t="n">
        <v>62.17</v>
      </c>
      <c r="J14" s="29" t="n"/>
      <c r="K14" s="29" t="n">
        <v>43.8</v>
      </c>
      <c r="L14" s="29" t="n"/>
      <c r="M14" s="29" t="n"/>
      <c r="N14" s="29" t="n">
        <v>64.45</v>
      </c>
      <c r="O14" s="29" t="n">
        <v>15.87</v>
      </c>
      <c r="P14" s="29" t="n">
        <v>15.3</v>
      </c>
      <c r="Q14" s="29" t="n"/>
      <c r="R14" s="29" t="n">
        <v>72.18000000000001</v>
      </c>
      <c r="S14" s="28" t="inlineStr">
        <is>
          <t>2024</t>
        </is>
      </c>
      <c r="T14" s="52">
        <f>IFERROR($E14/Nameplate!$E14,"")</f>
        <v/>
      </c>
    </row>
    <row r="15">
      <c r="A15" s="28" t="inlineStr">
        <is>
          <t>EXXONMOBIL_JOLIET</t>
        </is>
      </c>
      <c r="B15" s="28" t="inlineStr">
        <is>
          <t>ExxonMobil Joliet</t>
        </is>
      </c>
      <c r="C15" s="28" t="n">
        <v>2</v>
      </c>
      <c r="D15" s="30">
        <f>SUMIFS(Data!$G$3:$G$125,Data!$A$3:$A$125,$A15)</f>
        <v/>
      </c>
      <c r="E15" s="29" t="n">
        <v>271.98</v>
      </c>
      <c r="F15" s="29" t="n">
        <v>126.57</v>
      </c>
      <c r="G15" s="29" t="n">
        <v>99.29000000000001</v>
      </c>
      <c r="H15" s="29" t="n"/>
      <c r="I15" s="29" t="n">
        <v>58.32</v>
      </c>
      <c r="J15" s="29" t="n"/>
      <c r="K15" s="29" t="n"/>
      <c r="L15" s="29" t="n"/>
      <c r="M15" s="29" t="n"/>
      <c r="N15" s="29" t="n">
        <v>50.33</v>
      </c>
      <c r="O15" s="29" t="n"/>
      <c r="P15" s="29" t="n">
        <v>30.08</v>
      </c>
      <c r="Q15" s="29" t="n"/>
      <c r="R15" s="29" t="n">
        <v>81.79000000000001</v>
      </c>
      <c r="S15" s="28" t="inlineStr">
        <is>
          <t>2024</t>
        </is>
      </c>
      <c r="T15" s="52">
        <f>IFERROR($E15/Nameplate!$E15,"")</f>
        <v/>
      </c>
    </row>
    <row r="16">
      <c r="A16" s="28" t="inlineStr">
        <is>
          <t>PHILLIPS_PONCA_CITY</t>
        </is>
      </c>
      <c r="B16" s="28" t="inlineStr">
        <is>
          <t>Phillips 66 Co. Ponca City</t>
        </is>
      </c>
      <c r="C16" s="28" t="n">
        <v>2</v>
      </c>
      <c r="D16" s="30">
        <f>SUMIFS(Data!$G$3:$G$125,Data!$A$3:$A$125,$A16)</f>
        <v/>
      </c>
      <c r="E16" s="29" t="n">
        <v>222.14</v>
      </c>
      <c r="F16" s="29" t="n">
        <v>79.56999999999999</v>
      </c>
      <c r="G16" s="29" t="n">
        <v>70.18000000000001</v>
      </c>
      <c r="H16" s="29" t="n"/>
      <c r="I16" s="29" t="n">
        <v>27.44</v>
      </c>
      <c r="J16" s="29" t="n"/>
      <c r="K16" s="29" t="n"/>
      <c r="L16" s="29" t="n"/>
      <c r="M16" s="29" t="n">
        <v>46.34</v>
      </c>
      <c r="N16" s="29" t="n"/>
      <c r="O16" s="29" t="n"/>
      <c r="P16" s="29" t="n">
        <v>16.7</v>
      </c>
      <c r="Q16" s="29" t="n"/>
      <c r="R16" s="29" t="n">
        <v>59.13</v>
      </c>
      <c r="S16" s="28" t="inlineStr">
        <is>
          <t>2019</t>
        </is>
      </c>
      <c r="T16" s="52">
        <f>IFERROR($E16/Nameplate!$E16,"")</f>
        <v/>
      </c>
    </row>
    <row r="17">
      <c r="A17" s="28" t="inlineStr">
        <is>
          <t>CITGO_LEMONT</t>
        </is>
      </c>
      <c r="B17" s="28" t="inlineStr">
        <is>
          <t>Citgo Lemont</t>
        </is>
      </c>
      <c r="C17" s="28" t="n">
        <v>2</v>
      </c>
      <c r="D17" s="30">
        <f>SUMIFS(Data!$G$3:$G$125,Data!$A$3:$A$125,$A17)</f>
        <v/>
      </c>
      <c r="E17" s="29" t="n">
        <v>180.69</v>
      </c>
      <c r="F17" s="29" t="n">
        <v>76.8</v>
      </c>
      <c r="G17" s="29" t="n">
        <v>69.5</v>
      </c>
      <c r="H17" s="29" t="n"/>
      <c r="I17" s="29" t="n">
        <v>40.74</v>
      </c>
      <c r="J17" s="29" t="n"/>
      <c r="K17" s="29" t="n"/>
      <c r="L17" s="29" t="n"/>
      <c r="M17" s="29" t="n">
        <v>33</v>
      </c>
      <c r="N17" s="29" t="n"/>
      <c r="O17" s="29" t="n"/>
      <c r="P17" s="29" t="n">
        <v>23.65</v>
      </c>
      <c r="Q17" s="29" t="n"/>
      <c r="R17" s="29" t="n">
        <v>51.28</v>
      </c>
      <c r="S17" s="28" t="inlineStr">
        <is>
          <t>2023</t>
        </is>
      </c>
      <c r="T17" s="52">
        <f>IFERROR($E17/Nameplate!$E17,"")</f>
        <v/>
      </c>
    </row>
    <row r="18">
      <c r="A18" s="28" t="inlineStr">
        <is>
          <t>CENOVUS_LIMA</t>
        </is>
      </c>
      <c r="B18" s="28" t="inlineStr">
        <is>
          <t>Cenovus Lima</t>
        </is>
      </c>
      <c r="C18" s="28" t="n">
        <v>2</v>
      </c>
      <c r="D18" s="30">
        <f>SUMIFS(Data!$G$3:$G$125,Data!$A$3:$A$125,$A18)</f>
        <v/>
      </c>
      <c r="E18" s="29" t="n">
        <v>172.2</v>
      </c>
      <c r="F18" s="29" t="n">
        <v>57.93</v>
      </c>
      <c r="G18" s="29" t="n">
        <v>39.44</v>
      </c>
      <c r="H18" s="29" t="n"/>
      <c r="I18" s="29" t="n">
        <v>22.7</v>
      </c>
      <c r="J18" s="29" t="n"/>
      <c r="K18" s="29" t="n">
        <v>26</v>
      </c>
      <c r="L18" s="29" t="n"/>
      <c r="M18" s="29" t="n">
        <v>39.71</v>
      </c>
      <c r="N18" s="29" t="n"/>
      <c r="O18" s="29" t="n">
        <v>16.6</v>
      </c>
      <c r="P18" s="29" t="n"/>
      <c r="Q18" s="29" t="n"/>
      <c r="R18" s="29" t="n">
        <v>62.54</v>
      </c>
      <c r="S18" s="28" t="inlineStr">
        <is>
          <t>2017</t>
        </is>
      </c>
      <c r="T18" s="52">
        <f>IFERROR($E18/Nameplate!$E18,"")</f>
        <v/>
      </c>
    </row>
    <row r="19">
      <c r="A19" s="28" t="inlineStr">
        <is>
          <t>PBF_TOLEDO</t>
        </is>
      </c>
      <c r="B19" s="28" t="inlineStr">
        <is>
          <t>PBF Energy Company LLC Toledo</t>
        </is>
      </c>
      <c r="C19" s="28" t="n">
        <v>2</v>
      </c>
      <c r="D19" s="30">
        <f>SUMIFS(Data!$G$3:$G$125,Data!$A$3:$A$125,$A19)</f>
        <v/>
      </c>
      <c r="E19" s="29" t="n">
        <v>175.03</v>
      </c>
      <c r="F19" s="29" t="n"/>
      <c r="G19" s="29" t="n"/>
      <c r="H19" s="29" t="n">
        <v>58.81</v>
      </c>
      <c r="I19" s="29" t="n"/>
      <c r="J19" s="29" t="n"/>
      <c r="K19" s="29" t="n">
        <v>45.97</v>
      </c>
      <c r="L19" s="29" t="n"/>
      <c r="M19" s="29" t="n">
        <v>40.78</v>
      </c>
      <c r="N19" s="29" t="n"/>
      <c r="O19" s="29" t="n"/>
      <c r="P19" s="29" t="n">
        <v>10.62</v>
      </c>
      <c r="Q19" s="29" t="n"/>
      <c r="R19" s="29" t="n">
        <v>42.12</v>
      </c>
      <c r="S19" s="28" t="inlineStr">
        <is>
          <t>2019</t>
        </is>
      </c>
      <c r="T19" s="52">
        <f>IFERROR($E19/Nameplate!$E19,"")</f>
        <v/>
      </c>
    </row>
    <row r="20">
      <c r="A20" s="28" t="inlineStr">
        <is>
          <t>VALERO_MEMPHIS</t>
        </is>
      </c>
      <c r="B20" s="28" t="inlineStr">
        <is>
          <t>Valero Memphis</t>
        </is>
      </c>
      <c r="C20" s="28" t="n">
        <v>2</v>
      </c>
      <c r="D20" s="30">
        <f>SUMIFS(Data!$G$3:$G$125,Data!$A$3:$A$125,$A20)</f>
        <v/>
      </c>
      <c r="E20" s="29" t="n">
        <v>187.36</v>
      </c>
      <c r="F20" s="29" t="n"/>
      <c r="G20" s="29" t="n"/>
      <c r="H20" s="29" t="n">
        <v>54.8</v>
      </c>
      <c r="I20" s="29" t="n"/>
      <c r="J20" s="29" t="n"/>
      <c r="K20" s="29" t="n">
        <v>23.8</v>
      </c>
      <c r="L20" s="29" t="n"/>
      <c r="M20" s="29" t="n"/>
      <c r="N20" s="29" t="n">
        <v>35.5</v>
      </c>
      <c r="O20" s="29" t="n"/>
      <c r="P20" s="29" t="n">
        <v>9.17</v>
      </c>
      <c r="Q20" s="29" t="n"/>
      <c r="R20" s="29" t="n">
        <v>68.70999999999999</v>
      </c>
      <c r="S20" s="28" t="inlineStr">
        <is>
          <t>2018</t>
        </is>
      </c>
      <c r="T20" s="52">
        <f>IFERROR($E20/Nameplate!$E20,"")</f>
        <v/>
      </c>
    </row>
    <row r="21">
      <c r="A21" s="28" t="inlineStr">
        <is>
          <t>CENOVUS_TOLEDO</t>
        </is>
      </c>
      <c r="B21" s="28" t="inlineStr">
        <is>
          <t>Cenovus Toledo</t>
        </is>
      </c>
      <c r="C21" s="28" t="n">
        <v>2</v>
      </c>
      <c r="D21" s="30">
        <f>SUMIFS(Data!$G$3:$G$125,Data!$A$3:$A$125,$A21)</f>
        <v/>
      </c>
      <c r="E21" s="29" t="n">
        <v>153.2</v>
      </c>
      <c r="F21" s="29" t="n">
        <v>69.97</v>
      </c>
      <c r="G21" s="29" t="n">
        <v>41.32</v>
      </c>
      <c r="H21" s="29" t="n"/>
      <c r="I21" s="29" t="n">
        <v>26.45</v>
      </c>
      <c r="J21" s="29" t="n"/>
      <c r="K21" s="29" t="n">
        <v>30.69</v>
      </c>
      <c r="L21" s="29" t="n"/>
      <c r="M21" s="29" t="n"/>
      <c r="N21" s="29" t="n">
        <v>41.41</v>
      </c>
      <c r="O21" s="29" t="n"/>
      <c r="P21" s="29" t="n">
        <v>11.95</v>
      </c>
      <c r="Q21" s="29" t="n"/>
      <c r="R21" s="29" t="n">
        <v>46.1</v>
      </c>
      <c r="S21" s="28" t="inlineStr">
        <is>
          <t>2018</t>
        </is>
      </c>
      <c r="T21" s="52">
        <f>IFERROR($E21/Nameplate!$E21,"")</f>
        <v/>
      </c>
    </row>
    <row r="22">
      <c r="A22" s="28" t="inlineStr">
        <is>
          <t>MARATHON_DETROIT</t>
        </is>
      </c>
      <c r="B22" s="28" t="inlineStr">
        <is>
          <t>Marathon Petroleum Detroit</t>
        </is>
      </c>
      <c r="C22" s="28" t="n">
        <v>2</v>
      </c>
      <c r="D22" s="30">
        <f>SUMIFS(Data!$G$3:$G$125,Data!$A$3:$A$125,$A22)</f>
        <v/>
      </c>
      <c r="E22" s="29" t="n">
        <v>140.27</v>
      </c>
      <c r="F22" s="29" t="n">
        <v>66.54000000000001</v>
      </c>
      <c r="G22" s="29" t="n">
        <v>43.66</v>
      </c>
      <c r="H22" s="29" t="n"/>
      <c r="I22" s="29" t="n">
        <v>29.5</v>
      </c>
      <c r="J22" s="29" t="n"/>
      <c r="K22" s="29" t="n"/>
      <c r="L22" s="29" t="n"/>
      <c r="M22" s="29" t="n"/>
      <c r="N22" s="29" t="n">
        <v>26.32</v>
      </c>
      <c r="O22" s="29" t="n"/>
      <c r="P22" s="29" t="n">
        <v>7.56</v>
      </c>
      <c r="Q22" s="29" t="n"/>
      <c r="R22" s="29" t="n">
        <v>46.61</v>
      </c>
      <c r="S22" s="28" t="inlineStr">
        <is>
          <t>2023</t>
        </is>
      </c>
      <c r="T22" s="52">
        <f>IFERROR($E22/Nameplate!$E22,"")</f>
        <v/>
      </c>
    </row>
    <row r="23">
      <c r="A23" s="28" t="inlineStr">
        <is>
          <t>HF_EL_DORADO_KS</t>
        </is>
      </c>
      <c r="B23" s="28" t="inlineStr">
        <is>
          <t>HF Sinclair El Dorado (KS)</t>
        </is>
      </c>
      <c r="C23" s="28" t="n">
        <v>2</v>
      </c>
      <c r="D23" s="30">
        <f>SUMIFS(Data!$G$3:$G$125,Data!$A$3:$A$125,$A23)</f>
        <v/>
      </c>
      <c r="E23" s="29" t="n">
        <v>147.58</v>
      </c>
      <c r="F23" s="29" t="n">
        <v>64.34999999999999</v>
      </c>
      <c r="G23" s="29" t="n">
        <v>43.99</v>
      </c>
      <c r="H23" s="29" t="n"/>
      <c r="I23" s="29" t="n">
        <v>22.5</v>
      </c>
      <c r="J23" s="29" t="n"/>
      <c r="K23" s="29" t="n"/>
      <c r="L23" s="29" t="n"/>
      <c r="M23" s="29" t="n">
        <v>23.04</v>
      </c>
      <c r="N23" s="29" t="n">
        <v>28.74</v>
      </c>
      <c r="O23" s="29" t="n">
        <v>12.44</v>
      </c>
      <c r="P23" s="29" t="n">
        <v>17.27</v>
      </c>
      <c r="Q23" s="29" t="n"/>
      <c r="R23" s="29" t="n">
        <v>41.56</v>
      </c>
      <c r="S23" s="28" t="inlineStr">
        <is>
          <t>2017</t>
        </is>
      </c>
      <c r="T23" s="52">
        <f>IFERROR($E23/Nameplate!$E23,"")</f>
        <v/>
      </c>
    </row>
    <row r="24">
      <c r="A24" s="28" t="inlineStr">
        <is>
          <t>CVR_COFFEYVILLE</t>
        </is>
      </c>
      <c r="B24" s="28" t="inlineStr">
        <is>
          <t>CVR Energy Coffeyville</t>
        </is>
      </c>
      <c r="C24" s="28" t="n">
        <v>2</v>
      </c>
      <c r="D24" s="30">
        <f>SUMIFS(Data!$G$3:$G$125,Data!$A$3:$A$125,$A24)</f>
        <v/>
      </c>
      <c r="E24" s="29" t="n">
        <v>131.57</v>
      </c>
      <c r="F24" s="29" t="n">
        <v>45.69</v>
      </c>
      <c r="G24" s="29" t="n">
        <v>40.99</v>
      </c>
      <c r="H24" s="29" t="n"/>
      <c r="I24" s="29" t="n">
        <v>24.45</v>
      </c>
      <c r="J24" s="29" t="n"/>
      <c r="K24" s="29" t="n"/>
      <c r="L24" s="29" t="n"/>
      <c r="M24" s="29" t="n"/>
      <c r="N24" s="29" t="n">
        <v>24.83</v>
      </c>
      <c r="O24" s="29" t="n"/>
      <c r="P24" s="29" t="n">
        <v>12.24</v>
      </c>
      <c r="Q24" s="29" t="n"/>
      <c r="R24" s="29" t="n">
        <v>35.69</v>
      </c>
      <c r="S24" s="28" t="inlineStr">
        <is>
          <t>2017</t>
        </is>
      </c>
      <c r="T24" s="52">
        <f>IFERROR($E24/Nameplate!$E24,"")</f>
        <v/>
      </c>
    </row>
    <row r="25">
      <c r="A25" s="28" t="inlineStr">
        <is>
          <t>HF_TULSA</t>
        </is>
      </c>
      <c r="B25" s="28" t="inlineStr">
        <is>
          <t>HF Sinclair Tulsa</t>
        </is>
      </c>
      <c r="C25" s="28" t="n">
        <v>2</v>
      </c>
      <c r="D25" s="30">
        <f>SUMIFS(Data!$G$3:$G$125,Data!$A$3:$A$125,$A25)</f>
        <v/>
      </c>
      <c r="E25" s="29" t="n">
        <v>142.23</v>
      </c>
      <c r="F25" s="29" t="n">
        <v>42.58</v>
      </c>
      <c r="G25" s="29" t="n">
        <v>24.62</v>
      </c>
      <c r="H25" s="29" t="n"/>
      <c r="I25" s="29" t="n">
        <v>10.97</v>
      </c>
      <c r="J25" s="29" t="n"/>
      <c r="K25" s="29" t="n"/>
      <c r="L25" s="29" t="n"/>
      <c r="M25" s="29" t="n"/>
      <c r="N25" s="29" t="n">
        <v>22</v>
      </c>
      <c r="O25" s="29" t="n">
        <v>10.92</v>
      </c>
      <c r="P25" s="29" t="n">
        <v>6.43</v>
      </c>
      <c r="Q25" s="29" t="n"/>
      <c r="R25" s="29" t="n">
        <v>48.78</v>
      </c>
      <c r="S25" s="28" t="inlineStr">
        <is>
          <t>2022</t>
        </is>
      </c>
      <c r="T25" s="52">
        <f>IFERROR($E25/Nameplate!$E25,"")</f>
        <v/>
      </c>
    </row>
    <row r="26">
      <c r="A26" s="28" t="inlineStr">
        <is>
          <t>NCRA_MCPHERSON</t>
        </is>
      </c>
      <c r="B26" s="28" t="inlineStr">
        <is>
          <t>NCRA McPherson</t>
        </is>
      </c>
      <c r="C26" s="28" t="n">
        <v>2</v>
      </c>
      <c r="D26" s="30">
        <f>SUMIFS(Data!$G$3:$G$125,Data!$A$3:$A$125,$A26)</f>
        <v/>
      </c>
      <c r="E26" s="29" t="n">
        <v>114.56</v>
      </c>
      <c r="F26" s="29" t="n">
        <v>46.63</v>
      </c>
      <c r="G26" s="29" t="n">
        <v>23.7</v>
      </c>
      <c r="H26" s="29" t="n"/>
      <c r="I26" s="29" t="n">
        <v>21.9</v>
      </c>
      <c r="J26" s="29" t="n"/>
      <c r="K26" s="29" t="n">
        <v>34.06</v>
      </c>
      <c r="L26" s="29" t="n"/>
      <c r="M26" s="29" t="n"/>
      <c r="N26" s="29" t="n">
        <v>27</v>
      </c>
      <c r="O26" s="29" t="n">
        <v>10.75</v>
      </c>
      <c r="P26" s="29" t="n">
        <v>9.869999999999999</v>
      </c>
      <c r="Q26" s="29" t="n"/>
      <c r="R26" s="29" t="n">
        <v>29.8</v>
      </c>
      <c r="S26" s="28" t="inlineStr">
        <is>
          <t>2024</t>
        </is>
      </c>
      <c r="T26" s="52">
        <f>IFERROR($E26/Nameplate!$E26,"")</f>
        <v/>
      </c>
    </row>
    <row r="27">
      <c r="A27" s="28" t="inlineStr">
        <is>
          <t>MARATHON_SAINT_PAUL_PARK</t>
        </is>
      </c>
      <c r="B27" s="28" t="inlineStr">
        <is>
          <t>Marathon Petroleum Saint Paul Park</t>
        </is>
      </c>
      <c r="C27" s="28" t="n">
        <v>2</v>
      </c>
      <c r="D27" s="30">
        <f>SUMIFS(Data!$G$3:$G$125,Data!$A$3:$A$125,$A27)</f>
        <v/>
      </c>
      <c r="E27" s="29" t="n">
        <v>106.52</v>
      </c>
      <c r="F27" s="29" t="n">
        <v>39.78</v>
      </c>
      <c r="G27" s="29" t="n">
        <v>28.07</v>
      </c>
      <c r="H27" s="29" t="n"/>
      <c r="I27" s="29" t="n"/>
      <c r="J27" s="29" t="n"/>
      <c r="K27" s="29" t="n"/>
      <c r="L27" s="29" t="n"/>
      <c r="M27" s="29" t="n">
        <v>22.41</v>
      </c>
      <c r="N27" s="29" t="n"/>
      <c r="O27" s="29" t="n">
        <v>9.5</v>
      </c>
      <c r="P27" s="29" t="n">
        <v>6.79</v>
      </c>
      <c r="Q27" s="29" t="n"/>
      <c r="R27" s="29" t="n">
        <v>23</v>
      </c>
      <c r="S27" s="28" t="inlineStr">
        <is>
          <t>2024</t>
        </is>
      </c>
      <c r="T27" s="52">
        <f>IFERROR($E27/Nameplate!$E27,"")</f>
        <v/>
      </c>
    </row>
    <row r="28">
      <c r="A28" s="28" t="inlineStr">
        <is>
          <t>MARATHON_CANTON</t>
        </is>
      </c>
      <c r="B28" s="28" t="inlineStr">
        <is>
          <t>Marathon Petroleum Canton</t>
        </is>
      </c>
      <c r="C28" s="28" t="n">
        <v>2</v>
      </c>
      <c r="D28" s="30">
        <f>SUMIFS(Data!$G$3:$G$125,Data!$A$3:$A$125,$A28)</f>
        <v/>
      </c>
      <c r="E28" s="29" t="n">
        <v>102.87</v>
      </c>
      <c r="F28" s="29" t="n">
        <v>34.83</v>
      </c>
      <c r="G28" s="29" t="n">
        <v>25.86</v>
      </c>
      <c r="H28" s="29" t="n"/>
      <c r="I28" s="29" t="n"/>
      <c r="J28" s="29" t="n"/>
      <c r="K28" s="29" t="n"/>
      <c r="L28" s="29" t="n"/>
      <c r="M28" s="29" t="n"/>
      <c r="N28" s="29" t="n">
        <v>25.08</v>
      </c>
      <c r="O28" s="29" t="n"/>
      <c r="P28" s="29" t="n">
        <v>7.87</v>
      </c>
      <c r="Q28" s="29" t="n"/>
      <c r="R28" s="29" t="n">
        <v>38.64</v>
      </c>
      <c r="S28" s="28" t="inlineStr">
        <is>
          <t>2018</t>
        </is>
      </c>
      <c r="T28" s="52">
        <f>IFERROR($E28/Nameplate!$E28,"")</f>
        <v/>
      </c>
    </row>
    <row r="29">
      <c r="A29" s="28" t="inlineStr">
        <is>
          <t>VALERO_ARDMORE</t>
        </is>
      </c>
      <c r="B29" s="28" t="inlineStr">
        <is>
          <t>Valero Ardmore</t>
        </is>
      </c>
      <c r="C29" s="28" t="n">
        <v>2</v>
      </c>
      <c r="D29" s="30">
        <f>SUMIFS(Data!$G$3:$G$125,Data!$A$3:$A$125,$A29)</f>
        <v/>
      </c>
      <c r="E29" s="29" t="n">
        <v>83.59</v>
      </c>
      <c r="F29" s="29" t="n">
        <v>26.11</v>
      </c>
      <c r="G29" s="29" t="n">
        <v>13.18</v>
      </c>
      <c r="H29" s="29" t="n"/>
      <c r="I29" s="29" t="n"/>
      <c r="J29" s="29" t="n"/>
      <c r="K29" s="29" t="n">
        <v>9.44</v>
      </c>
      <c r="L29" s="29" t="n"/>
      <c r="M29" s="29" t="n"/>
      <c r="N29" s="29" t="n">
        <v>19.1</v>
      </c>
      <c r="O29" s="29" t="n"/>
      <c r="P29" s="29" t="n">
        <v>3.98</v>
      </c>
      <c r="Q29" s="29" t="n"/>
      <c r="R29" s="29" t="n">
        <v>27.69</v>
      </c>
      <c r="S29" s="28" t="inlineStr">
        <is>
          <t>2018</t>
        </is>
      </c>
      <c r="T29" s="52">
        <f>IFERROR($E29/Nameplate!$E29,"")</f>
        <v/>
      </c>
    </row>
    <row r="30">
      <c r="A30" s="28" t="inlineStr">
        <is>
          <t>MARATHON_MANDAN</t>
        </is>
      </c>
      <c r="B30" s="28" t="inlineStr">
        <is>
          <t>Marathon Petroleum Mandan</t>
        </is>
      </c>
      <c r="C30" s="28" t="n">
        <v>2</v>
      </c>
      <c r="D30" s="30">
        <f>SUMIFS(Data!$G$3:$G$125,Data!$A$3:$A$125,$A30)</f>
        <v/>
      </c>
      <c r="E30" s="29" t="n">
        <v>73.63</v>
      </c>
      <c r="F30" s="29" t="n"/>
      <c r="G30" s="29" t="n"/>
      <c r="H30" s="29" t="n">
        <v>23.44</v>
      </c>
      <c r="I30" s="29" t="n"/>
      <c r="J30" s="29" t="n"/>
      <c r="K30" s="29" t="n"/>
      <c r="L30" s="29" t="n"/>
      <c r="M30" s="29" t="n">
        <v>12.5</v>
      </c>
      <c r="N30" s="29" t="n"/>
      <c r="O30" s="29" t="n"/>
      <c r="P30" s="29" t="n">
        <v>6.73</v>
      </c>
      <c r="Q30" s="29" t="n"/>
      <c r="R30" s="29" t="n">
        <v>12.73</v>
      </c>
      <c r="S30" s="28" t="inlineStr">
        <is>
          <t>2022</t>
        </is>
      </c>
      <c r="T30" s="52">
        <f>IFERROR($E30/Nameplate!$E30,"")</f>
        <v/>
      </c>
    </row>
    <row r="31">
      <c r="A31" s="28" t="inlineStr">
        <is>
          <t>CVR_WYNNEWOOD</t>
        </is>
      </c>
      <c r="B31" s="28" t="inlineStr">
        <is>
          <t>CVR Energy Wynnewood</t>
        </is>
      </c>
      <c r="C31" s="28" t="n">
        <v>2</v>
      </c>
      <c r="D31" s="30">
        <f>SUMIFS(Data!$G$3:$G$125,Data!$A$3:$A$125,$A31)</f>
        <v/>
      </c>
      <c r="E31" s="29" t="n">
        <v>73.39</v>
      </c>
      <c r="F31" s="29" t="n">
        <v>23.42</v>
      </c>
      <c r="G31" s="29" t="n">
        <v>21.62</v>
      </c>
      <c r="H31" s="29" t="n"/>
      <c r="I31" s="29" t="n"/>
      <c r="J31" s="29" t="n"/>
      <c r="K31" s="29" t="n"/>
      <c r="L31" s="29" t="n"/>
      <c r="M31" s="29" t="n"/>
      <c r="N31" s="29" t="n">
        <v>15.26</v>
      </c>
      <c r="O31" s="29" t="n">
        <v>4.5</v>
      </c>
      <c r="P31" s="29" t="n">
        <v>6.68</v>
      </c>
      <c r="Q31" s="29" t="n"/>
      <c r="R31" s="29" t="n">
        <v>21.13</v>
      </c>
      <c r="S31" s="28" t="inlineStr">
        <is>
          <t>2021</t>
        </is>
      </c>
      <c r="T31" s="52">
        <f>IFERROR($E31/Nameplate!$E31,"")</f>
        <v/>
      </c>
    </row>
    <row r="32">
      <c r="A32" s="28" t="inlineStr">
        <is>
          <t>CENOVUS_SUPERIOR</t>
        </is>
      </c>
      <c r="B32" s="28" t="inlineStr">
        <is>
          <t>Cenovus Superior</t>
        </is>
      </c>
      <c r="C32" s="28" t="n">
        <v>2</v>
      </c>
      <c r="D32" s="30">
        <f>SUMIFS(Data!$G$3:$G$125,Data!$A$3:$A$125,$A32)</f>
        <v/>
      </c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8" t="n"/>
      <c r="T32" s="52">
        <f>IFERROR($E32/Nameplate!$E32,"")</f>
        <v/>
      </c>
    </row>
    <row r="33">
      <c r="A33" s="28" t="inlineStr">
        <is>
          <t>COUNTRYMARK_MOUNT_VERNON</t>
        </is>
      </c>
      <c r="B33" s="28" t="inlineStr">
        <is>
          <t>Countrymark Cooperative Inc. Mount Vernon</t>
        </is>
      </c>
      <c r="C33" s="28" t="n">
        <v>2</v>
      </c>
      <c r="D33" s="30">
        <f>SUMIFS(Data!$G$3:$G$125,Data!$A$3:$A$125,$A33)</f>
        <v/>
      </c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8" t="n"/>
      <c r="T33" s="52">
        <f>IFERROR($E33/Nameplate!$E33,"")</f>
        <v/>
      </c>
    </row>
    <row r="34">
      <c r="A34" s="28" t="inlineStr">
        <is>
          <t>SOMERSET_SOMERSET</t>
        </is>
      </c>
      <c r="B34" s="28" t="inlineStr">
        <is>
          <t>Somerset Refinery Somerset</t>
        </is>
      </c>
      <c r="C34" s="28" t="n">
        <v>2</v>
      </c>
      <c r="D34" s="30">
        <f>SUMIFS(Data!$G$3:$G$125,Data!$A$3:$A$125,$A34)</f>
        <v/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8" t="n"/>
      <c r="T34" s="52">
        <f>IFERROR($E34/Nameplate!$E34,"")</f>
        <v/>
      </c>
    </row>
    <row r="35">
      <c r="A35" s="28" t="inlineStr">
        <is>
          <t>MPC_GALV_BAY</t>
        </is>
      </c>
      <c r="B35" s="28" t="inlineStr">
        <is>
          <t>Galveston Bay Refinery</t>
        </is>
      </c>
      <c r="C35" s="28" t="n">
        <v>3</v>
      </c>
      <c r="D35" s="30">
        <f>SUMIFS(Data!$G$3:$G$125,Data!$A$3:$A$125,$A35)</f>
        <v/>
      </c>
      <c r="E35" s="29" t="n">
        <v>594.4400000000001</v>
      </c>
      <c r="F35" s="29" t="n">
        <v>229.26</v>
      </c>
      <c r="G35" s="29" t="n">
        <v>204.5</v>
      </c>
      <c r="H35" s="29" t="n"/>
      <c r="I35" s="29" t="n">
        <v>32.34</v>
      </c>
      <c r="J35" s="29" t="n"/>
      <c r="K35" s="29" t="n">
        <v>79.92</v>
      </c>
      <c r="L35" s="29" t="n">
        <v>70</v>
      </c>
      <c r="M35" s="29" t="n"/>
      <c r="N35" s="29" t="n">
        <v>141.18</v>
      </c>
      <c r="O35" s="29" t="n"/>
      <c r="P35" s="29" t="n">
        <v>70.97</v>
      </c>
      <c r="Q35" s="29" t="n"/>
      <c r="R35" s="29" t="n">
        <v>173.75</v>
      </c>
      <c r="S35" s="28" t="inlineStr">
        <is>
          <t>2018</t>
        </is>
      </c>
      <c r="T35" s="52">
        <f>IFERROR($E35/Nameplate!$E35,"")</f>
        <v/>
      </c>
    </row>
    <row r="36">
      <c r="A36" s="28" t="inlineStr">
        <is>
          <t>MOTIVA_PAR</t>
        </is>
      </c>
      <c r="B36" s="28" t="inlineStr">
        <is>
          <t>Motiva Port Arthur</t>
        </is>
      </c>
      <c r="C36" s="28" t="n">
        <v>3</v>
      </c>
      <c r="D36" s="30">
        <f>SUMIFS(Data!$G$3:$G$125,Data!$A$3:$A$125,$A36)</f>
        <v/>
      </c>
      <c r="E36" s="29" t="n">
        <v>604.41</v>
      </c>
      <c r="F36" s="29" t="n">
        <v>287.84</v>
      </c>
      <c r="G36" s="29" t="n">
        <v>91.88</v>
      </c>
      <c r="H36" s="29" t="n"/>
      <c r="I36" s="29" t="n">
        <v>135.46</v>
      </c>
      <c r="J36" s="29" t="n"/>
      <c r="K36" s="29" t="n">
        <v>108.17</v>
      </c>
      <c r="L36" s="29" t="n"/>
      <c r="M36" s="29" t="n"/>
      <c r="N36" s="29" t="n">
        <v>126.51</v>
      </c>
      <c r="O36" s="29" t="n">
        <v>48.27</v>
      </c>
      <c r="P36" s="29" t="n">
        <v>24.66</v>
      </c>
      <c r="Q36" s="29" t="n"/>
      <c r="R36" s="29" t="n">
        <v>163.2</v>
      </c>
      <c r="S36" s="28" t="inlineStr">
        <is>
          <t>2023</t>
        </is>
      </c>
      <c r="T36" s="52">
        <f>IFERROR($E36/Nameplate!$E36,"")</f>
        <v/>
      </c>
    </row>
    <row r="37">
      <c r="A37" s="28" t="inlineStr">
        <is>
          <t>EXXONMOBIL_BEAUMONT</t>
        </is>
      </c>
      <c r="B37" s="28" t="inlineStr">
        <is>
          <t>ExxonMobil Beaumont</t>
        </is>
      </c>
      <c r="C37" s="28" t="n">
        <v>3</v>
      </c>
      <c r="D37" s="30">
        <f>SUMIFS(Data!$G$3:$G$125,Data!$A$3:$A$125,$A37)</f>
        <v/>
      </c>
      <c r="E37" s="29" t="n">
        <v>584.51</v>
      </c>
      <c r="F37" s="29" t="n">
        <v>187.61</v>
      </c>
      <c r="G37" s="29" t="n">
        <v>107.3</v>
      </c>
      <c r="H37" s="29" t="n"/>
      <c r="I37" s="29" t="n">
        <v>53.65</v>
      </c>
      <c r="J37" s="29" t="n"/>
      <c r="K37" s="29" t="n">
        <v>69.83</v>
      </c>
      <c r="L37" s="29" t="n"/>
      <c r="M37" s="29" t="n"/>
      <c r="N37" s="29" t="n">
        <v>155.98</v>
      </c>
      <c r="O37" s="29" t="n">
        <v>38.6</v>
      </c>
      <c r="P37" s="29" t="n">
        <v>17.93</v>
      </c>
      <c r="Q37" s="29" t="n"/>
      <c r="R37" s="29" t="n">
        <v>171.24</v>
      </c>
      <c r="S37" s="28" t="inlineStr">
        <is>
          <t>2024</t>
        </is>
      </c>
      <c r="T37" s="52">
        <f>IFERROR($E37/Nameplate!$E37,"")</f>
        <v/>
      </c>
    </row>
    <row r="38">
      <c r="A38" s="28" t="inlineStr">
        <is>
          <t>MARATHON_GARYVILLE</t>
        </is>
      </c>
      <c r="B38" s="28" t="inlineStr">
        <is>
          <t>Marathon Petroleum Garyville</t>
        </is>
      </c>
      <c r="C38" s="28" t="n">
        <v>3</v>
      </c>
      <c r="D38" s="30">
        <f>SUMIFS(Data!$G$3:$G$125,Data!$A$3:$A$125,$A38)</f>
        <v/>
      </c>
      <c r="E38" s="29" t="n">
        <v>601.37</v>
      </c>
      <c r="F38" s="29" t="n">
        <v>228.53</v>
      </c>
      <c r="G38" s="29" t="n">
        <v>145.68</v>
      </c>
      <c r="H38" s="29" t="n"/>
      <c r="I38" s="29" t="n">
        <v>94.17</v>
      </c>
      <c r="J38" s="29" t="n"/>
      <c r="K38" s="29" t="n">
        <v>99.45</v>
      </c>
      <c r="L38" s="29" t="n"/>
      <c r="M38" s="29" t="n"/>
      <c r="N38" s="29" t="n">
        <v>136.81</v>
      </c>
      <c r="O38" s="29" t="n">
        <v>23</v>
      </c>
      <c r="P38" s="29" t="n">
        <v>37.3</v>
      </c>
      <c r="Q38" s="29" t="n"/>
      <c r="R38" s="29" t="n">
        <v>139.69</v>
      </c>
      <c r="S38" s="28" t="inlineStr">
        <is>
          <t>2023</t>
        </is>
      </c>
      <c r="T38" s="52">
        <f>IFERROR($E38/Nameplate!$E38,"")</f>
        <v/>
      </c>
    </row>
    <row r="39">
      <c r="A39" s="28" t="inlineStr">
        <is>
          <t>XOM_BAYTOWN</t>
        </is>
      </c>
      <c r="B39" s="28" t="inlineStr">
        <is>
          <t>ExxonMobil Baytown</t>
        </is>
      </c>
      <c r="C39" s="28" t="n">
        <v>3</v>
      </c>
      <c r="D39" s="30">
        <f>SUMIFS(Data!$G$3:$G$125,Data!$A$3:$A$125,$A39)</f>
        <v/>
      </c>
      <c r="E39" s="29" t="n">
        <v>549.52</v>
      </c>
      <c r="F39" s="29" t="n">
        <v>220.96</v>
      </c>
      <c r="G39" s="29" t="n">
        <v>212.42</v>
      </c>
      <c r="H39" s="29" t="n"/>
      <c r="I39" s="29" t="n">
        <v>47.29</v>
      </c>
      <c r="J39" s="29" t="n">
        <v>40.88</v>
      </c>
      <c r="K39" s="29" t="n">
        <v>30.5</v>
      </c>
      <c r="L39" s="29" t="n"/>
      <c r="M39" s="29" t="n"/>
      <c r="N39" s="29" t="n">
        <v>133.94</v>
      </c>
      <c r="O39" s="29" t="n"/>
      <c r="P39" s="29" t="n">
        <v>49.33</v>
      </c>
      <c r="Q39" s="29" t="n"/>
      <c r="R39" s="29" t="n">
        <v>155.04</v>
      </c>
      <c r="S39" s="28" t="inlineStr">
        <is>
          <t>2023</t>
        </is>
      </c>
      <c r="T39" s="52">
        <f>IFERROR($E39/Nameplate!$E39,"")</f>
        <v/>
      </c>
    </row>
    <row r="40">
      <c r="A40" s="28" t="inlineStr">
        <is>
          <t>EXXONMOBIL_BATON_ROUGE</t>
        </is>
      </c>
      <c r="B40" s="28" t="inlineStr">
        <is>
          <t>ExxonMobil Baton Rouge</t>
        </is>
      </c>
      <c r="C40" s="28" t="n">
        <v>3</v>
      </c>
      <c r="D40" s="30">
        <f>SUMIFS(Data!$G$3:$G$125,Data!$A$3:$A$125,$A40)</f>
        <v/>
      </c>
      <c r="E40" s="29" t="n">
        <v>539.64</v>
      </c>
      <c r="F40" s="29" t="n">
        <v>217.79</v>
      </c>
      <c r="G40" s="29" t="n">
        <v>217.12</v>
      </c>
      <c r="H40" s="29" t="n"/>
      <c r="I40" s="29" t="n">
        <v>107.67</v>
      </c>
      <c r="J40" s="29" t="n"/>
      <c r="K40" s="29" t="n">
        <v>26</v>
      </c>
      <c r="L40" s="29" t="n"/>
      <c r="M40" s="29" t="n"/>
      <c r="N40" s="29" t="n">
        <v>78.13</v>
      </c>
      <c r="O40" s="29" t="n"/>
      <c r="P40" s="29" t="n">
        <v>49.33</v>
      </c>
      <c r="Q40" s="29" t="n"/>
      <c r="R40" s="29" t="n">
        <v>120.78</v>
      </c>
      <c r="S40" s="28" t="inlineStr">
        <is>
          <t>2022</t>
        </is>
      </c>
      <c r="T40" s="52">
        <f>IFERROR($E40/Nameplate!$E40,"")</f>
        <v/>
      </c>
    </row>
    <row r="41">
      <c r="A41" s="28" t="inlineStr">
        <is>
          <t>CITGO_LAKE_CHARLES</t>
        </is>
      </c>
      <c r="B41" s="28" t="inlineStr">
        <is>
          <t>Citgo Lake Charles</t>
        </is>
      </c>
      <c r="C41" s="28" t="n">
        <v>3</v>
      </c>
      <c r="D41" s="30">
        <f>SUMIFS(Data!$G$3:$G$125,Data!$A$3:$A$125,$A41)</f>
        <v/>
      </c>
      <c r="E41" s="29" t="n">
        <v>435.62</v>
      </c>
      <c r="F41" s="29" t="n">
        <v>176.27</v>
      </c>
      <c r="G41" s="29" t="n">
        <v>143.97</v>
      </c>
      <c r="H41" s="29" t="n"/>
      <c r="I41" s="29" t="n">
        <v>71.81</v>
      </c>
      <c r="J41" s="29" t="n"/>
      <c r="K41" s="29" t="n">
        <v>46.84</v>
      </c>
      <c r="L41" s="29" t="n"/>
      <c r="M41" s="29" t="n">
        <v>50.04</v>
      </c>
      <c r="N41" s="29" t="n">
        <v>64</v>
      </c>
      <c r="O41" s="29" t="n">
        <v>27.45</v>
      </c>
      <c r="P41" s="29" t="n">
        <v>28.88</v>
      </c>
      <c r="Q41" s="29" t="n"/>
      <c r="R41" s="29" t="n">
        <v>128.2</v>
      </c>
      <c r="S41" s="28" t="inlineStr">
        <is>
          <t>2022</t>
        </is>
      </c>
      <c r="T41" s="52">
        <f>IFERROR($E41/Nameplate!$E41,"")</f>
        <v/>
      </c>
    </row>
    <row r="42">
      <c r="A42" s="28" t="inlineStr">
        <is>
          <t>VALERO_PORT_ARTHUR</t>
        </is>
      </c>
      <c r="B42" s="28" t="inlineStr">
        <is>
          <t>Valero Port Arthur</t>
        </is>
      </c>
      <c r="C42" s="28" t="n">
        <v>3</v>
      </c>
      <c r="D42" s="30">
        <f>SUMIFS(Data!$G$3:$G$125,Data!$A$3:$A$125,$A42)</f>
        <v/>
      </c>
      <c r="E42" s="29" t="n">
        <v>332.38</v>
      </c>
      <c r="F42" s="29" t="n">
        <v>200.67</v>
      </c>
      <c r="G42" s="29" t="n">
        <v>71.58</v>
      </c>
      <c r="H42" s="29" t="n"/>
      <c r="I42" s="29" t="n">
        <v>104.55</v>
      </c>
      <c r="J42" s="29" t="n"/>
      <c r="K42" s="29" t="n">
        <v>96.03</v>
      </c>
      <c r="L42" s="29" t="n"/>
      <c r="M42" s="29" t="n"/>
      <c r="N42" s="29" t="n">
        <v>57.9</v>
      </c>
      <c r="O42" s="29" t="n"/>
      <c r="P42" s="29" t="n">
        <v>23.91</v>
      </c>
      <c r="Q42" s="29" t="n"/>
      <c r="R42" s="29" t="n">
        <v>80.67</v>
      </c>
      <c r="S42" s="28" t="inlineStr">
        <is>
          <t>2018</t>
        </is>
      </c>
      <c r="T42" s="52">
        <f>IFERROR($E42/Nameplate!$E42,"")</f>
        <v/>
      </c>
    </row>
    <row r="43">
      <c r="A43" s="28" t="inlineStr">
        <is>
          <t>CHEVRON_PASCAGOULA</t>
        </is>
      </c>
      <c r="B43" s="28" t="inlineStr">
        <is>
          <t>Chevron Pascagoula</t>
        </is>
      </c>
      <c r="C43" s="28" t="n">
        <v>3</v>
      </c>
      <c r="D43" s="30">
        <f>SUMIFS(Data!$G$3:$G$125,Data!$A$3:$A$125,$A43)</f>
        <v/>
      </c>
      <c r="E43" s="29" t="n">
        <v>358</v>
      </c>
      <c r="F43" s="29" t="n">
        <v>212.76</v>
      </c>
      <c r="G43" s="29" t="n">
        <v>83.98999999999999</v>
      </c>
      <c r="H43" s="29" t="n"/>
      <c r="I43" s="29" t="n">
        <v>104.24</v>
      </c>
      <c r="J43" s="29" t="n"/>
      <c r="K43" s="29" t="n">
        <v>100.82</v>
      </c>
      <c r="L43" s="29" t="n"/>
      <c r="M43" s="29" t="n">
        <v>16.94</v>
      </c>
      <c r="N43" s="29" t="n">
        <v>61.6</v>
      </c>
      <c r="O43" s="29" t="n"/>
      <c r="P43" s="29" t="n">
        <v>19.93</v>
      </c>
      <c r="Q43" s="29" t="n"/>
      <c r="R43" s="29" t="n">
        <v>73.93000000000001</v>
      </c>
      <c r="S43" s="28" t="inlineStr">
        <is>
          <t>2019</t>
        </is>
      </c>
      <c r="T43" s="52">
        <f>IFERROR($E43/Nameplate!$E43,"")</f>
        <v/>
      </c>
    </row>
    <row r="44">
      <c r="A44" s="28" t="inlineStr">
        <is>
          <t>PEMEX_DEER_PARK</t>
        </is>
      </c>
      <c r="B44" s="28" t="inlineStr">
        <is>
          <t>PEMEX Deer Park</t>
        </is>
      </c>
      <c r="C44" s="28" t="n">
        <v>3</v>
      </c>
      <c r="D44" s="30">
        <f>SUMIFS(Data!$G$3:$G$125,Data!$A$3:$A$125,$A44)</f>
        <v/>
      </c>
      <c r="E44" s="29" t="n">
        <v>300.22</v>
      </c>
      <c r="F44" s="29" t="n">
        <v>150.21</v>
      </c>
      <c r="G44" s="29" t="n">
        <v>66.78</v>
      </c>
      <c r="H44" s="29" t="n"/>
      <c r="I44" s="29" t="n">
        <v>76.23999999999999</v>
      </c>
      <c r="J44" s="29" t="n"/>
      <c r="K44" s="29" t="n">
        <v>48.41</v>
      </c>
      <c r="L44" s="29" t="n"/>
      <c r="M44" s="29" t="n">
        <v>24.5</v>
      </c>
      <c r="N44" s="29" t="n">
        <v>45</v>
      </c>
      <c r="O44" s="29" t="n"/>
      <c r="P44" s="29" t="n">
        <v>19.25</v>
      </c>
      <c r="Q44" s="29" t="n"/>
      <c r="R44" s="29" t="n">
        <v>78.94</v>
      </c>
      <c r="S44" s="28" t="inlineStr">
        <is>
          <t>2017</t>
        </is>
      </c>
      <c r="T44" s="52">
        <f>IFERROR($E44/Nameplate!$E44,"")</f>
        <v/>
      </c>
    </row>
    <row r="45">
      <c r="A45" s="28" t="inlineStr">
        <is>
          <t>FLINT_CORPUS_CHRISTI</t>
        </is>
      </c>
      <c r="B45" s="28" t="inlineStr">
        <is>
          <t>Flint Hills Resources Corpus Christi</t>
        </is>
      </c>
      <c r="C45" s="28" t="n">
        <v>3</v>
      </c>
      <c r="D45" s="30">
        <f>SUMIFS(Data!$G$3:$G$125,Data!$A$3:$A$125,$A45)</f>
        <v/>
      </c>
      <c r="E45" s="29" t="n">
        <v>342.28</v>
      </c>
      <c r="F45" s="29" t="n">
        <v>87.48999999999999</v>
      </c>
      <c r="G45" s="29" t="n">
        <v>104.79</v>
      </c>
      <c r="H45" s="29" t="n"/>
      <c r="I45" s="29" t="n">
        <v>14.4</v>
      </c>
      <c r="J45" s="29" t="n"/>
      <c r="K45" s="29" t="n">
        <v>15</v>
      </c>
      <c r="L45" s="29" t="n"/>
      <c r="M45" s="29" t="n">
        <v>27</v>
      </c>
      <c r="N45" s="29" t="n">
        <v>48</v>
      </c>
      <c r="O45" s="29" t="n">
        <v>3.4</v>
      </c>
      <c r="P45" s="29" t="n">
        <v>18.75</v>
      </c>
      <c r="Q45" s="29" t="n"/>
      <c r="R45" s="29" t="n">
        <v>104.19</v>
      </c>
      <c r="S45" s="28" t="inlineStr">
        <is>
          <t>2023</t>
        </is>
      </c>
      <c r="T45" s="52">
        <f>IFERROR($E45/Nameplate!$E45,"")</f>
        <v/>
      </c>
    </row>
    <row r="46">
      <c r="A46" s="28" t="inlineStr">
        <is>
          <t>VALERO_CORPUS_CHRISTI</t>
        </is>
      </c>
      <c r="B46" s="28" t="inlineStr">
        <is>
          <t>Valero Corpus Christi</t>
        </is>
      </c>
      <c r="C46" s="28" t="n">
        <v>3</v>
      </c>
      <c r="D46" s="30">
        <f>SUMIFS(Data!$G$3:$G$125,Data!$A$3:$A$125,$A46)</f>
        <v/>
      </c>
      <c r="E46" s="29" t="n">
        <v>249.82</v>
      </c>
      <c r="F46" s="29" t="n">
        <v>92.52</v>
      </c>
      <c r="G46" s="29" t="n">
        <v>29.18</v>
      </c>
      <c r="H46" s="29" t="n">
        <v>91.2</v>
      </c>
      <c r="I46" s="29" t="n">
        <v>18.68</v>
      </c>
      <c r="J46" s="29" t="n"/>
      <c r="K46" s="29" t="n">
        <v>50.17</v>
      </c>
      <c r="L46" s="29" t="n"/>
      <c r="M46" s="29" t="n">
        <v>8.869999999999999</v>
      </c>
      <c r="N46" s="29" t="n">
        <v>59.88</v>
      </c>
      <c r="O46" s="29" t="n">
        <v>10.5</v>
      </c>
      <c r="P46" s="29" t="n">
        <v>30.23</v>
      </c>
      <c r="Q46" s="29" t="n"/>
      <c r="R46" s="29" t="n">
        <v>84.90000000000001</v>
      </c>
      <c r="S46" s="28" t="inlineStr">
        <is>
          <t>2023</t>
        </is>
      </c>
      <c r="T46" s="52">
        <f>IFERROR($E46/Nameplate!$E46,"")</f>
        <v/>
      </c>
    </row>
    <row r="47">
      <c r="A47" s="28" t="inlineStr">
        <is>
          <t>PHILLIPS_WESTLAKE</t>
        </is>
      </c>
      <c r="B47" s="28" t="inlineStr">
        <is>
          <t>Phillips 66 Co. Westlake</t>
        </is>
      </c>
      <c r="C47" s="28" t="n">
        <v>3</v>
      </c>
      <c r="D47" s="30">
        <f>SUMIFS(Data!$G$3:$G$125,Data!$A$3:$A$125,$A47)</f>
        <v/>
      </c>
      <c r="E47" s="29" t="n">
        <v>241.32</v>
      </c>
      <c r="F47" s="29" t="n">
        <v>101.89</v>
      </c>
      <c r="G47" s="29" t="n">
        <v>50.47</v>
      </c>
      <c r="H47" s="29" t="n"/>
      <c r="I47" s="29" t="n">
        <v>47.8</v>
      </c>
      <c r="J47" s="29" t="n"/>
      <c r="K47" s="29" t="n"/>
      <c r="L47" s="29" t="n"/>
      <c r="M47" s="29" t="n"/>
      <c r="N47" s="29" t="n">
        <v>37.5</v>
      </c>
      <c r="O47" s="29" t="n">
        <v>19.79</v>
      </c>
      <c r="P47" s="29" t="n">
        <v>9.91</v>
      </c>
      <c r="Q47" s="29" t="n"/>
      <c r="R47" s="29" t="n">
        <v>49.99</v>
      </c>
      <c r="S47" s="28" t="inlineStr">
        <is>
          <t>2023</t>
        </is>
      </c>
      <c r="T47" s="52">
        <f>IFERROR($E47/Nameplate!$E47,"")</f>
        <v/>
      </c>
    </row>
    <row r="48">
      <c r="A48" s="28" t="inlineStr">
        <is>
          <t>PHILLIPS_SWEENY</t>
        </is>
      </c>
      <c r="B48" s="28" t="inlineStr">
        <is>
          <t>Phillips 66 Co. Sweeny</t>
        </is>
      </c>
      <c r="C48" s="28" t="n">
        <v>3</v>
      </c>
      <c r="D48" s="30">
        <f>SUMIFS(Data!$G$3:$G$125,Data!$A$3:$A$125,$A48)</f>
        <v/>
      </c>
      <c r="E48" s="29" t="n">
        <v>270.25</v>
      </c>
      <c r="F48" s="29" t="n">
        <v>131.14</v>
      </c>
      <c r="G48" s="29" t="n">
        <v>110.83</v>
      </c>
      <c r="H48" s="29" t="n"/>
      <c r="I48" s="29" t="n">
        <v>70.14</v>
      </c>
      <c r="J48" s="29" t="n"/>
      <c r="K48" s="29" t="n"/>
      <c r="L48" s="29" t="n"/>
      <c r="M48" s="29" t="n"/>
      <c r="N48" s="29" t="n">
        <v>35</v>
      </c>
      <c r="O48" s="29" t="n">
        <v>10</v>
      </c>
      <c r="P48" s="29" t="n">
        <v>25.99</v>
      </c>
      <c r="Q48" s="29" t="n"/>
      <c r="R48" s="29" t="n">
        <v>71.8</v>
      </c>
      <c r="S48" s="28" t="inlineStr">
        <is>
          <t>2022</t>
        </is>
      </c>
      <c r="T48" s="52">
        <f>IFERROR($E48/Nameplate!$E48,"")</f>
        <v/>
      </c>
    </row>
    <row r="49">
      <c r="A49" s="28" t="inlineStr">
        <is>
          <t>VALERO_TEXAS_CITY</t>
        </is>
      </c>
      <c r="B49" s="28" t="inlineStr">
        <is>
          <t>Valero Texas City</t>
        </is>
      </c>
      <c r="C49" s="28" t="n">
        <v>3</v>
      </c>
      <c r="D49" s="30">
        <f>SUMIFS(Data!$G$3:$G$125,Data!$A$3:$A$125,$A49)</f>
        <v/>
      </c>
      <c r="E49" s="29" t="n">
        <v>209.26</v>
      </c>
      <c r="F49" s="29" t="n">
        <v>131.51</v>
      </c>
      <c r="G49" s="29" t="n">
        <v>85.5</v>
      </c>
      <c r="H49" s="29" t="n"/>
      <c r="I49" s="29" t="n">
        <v>53.29</v>
      </c>
      <c r="J49" s="29" t="n"/>
      <c r="K49" s="29" t="n"/>
      <c r="L49" s="29" t="n"/>
      <c r="M49" s="29" t="n"/>
      <c r="N49" s="29" t="n">
        <v>18</v>
      </c>
      <c r="O49" s="29" t="n">
        <v>6.5</v>
      </c>
      <c r="P49" s="29" t="n">
        <v>18.14</v>
      </c>
      <c r="Q49" s="29" t="n"/>
      <c r="R49" s="29" t="n">
        <v>36.72</v>
      </c>
      <c r="S49" s="28" t="inlineStr">
        <is>
          <t>2018</t>
        </is>
      </c>
      <c r="T49" s="52">
        <f>IFERROR($E49/Nameplate!$E49,"")</f>
        <v/>
      </c>
    </row>
    <row r="50">
      <c r="A50" s="28" t="inlineStr">
        <is>
          <t>SHELL_NORCO</t>
        </is>
      </c>
      <c r="B50" s="28" t="inlineStr">
        <is>
          <t>Shell Norco</t>
        </is>
      </c>
      <c r="C50" s="28" t="n">
        <v>3</v>
      </c>
      <c r="D50" s="30">
        <f>SUMIFS(Data!$G$3:$G$125,Data!$A$3:$A$125,$A50)</f>
        <v/>
      </c>
      <c r="E50" s="29" t="n">
        <v>239.28</v>
      </c>
      <c r="F50" s="29" t="n">
        <v>80.59</v>
      </c>
      <c r="G50" s="29" t="n">
        <v>107.11</v>
      </c>
      <c r="H50" s="29" t="n"/>
      <c r="I50" s="29" t="n">
        <v>27.04</v>
      </c>
      <c r="J50" s="29" t="n"/>
      <c r="K50" s="29" t="n">
        <v>42.44</v>
      </c>
      <c r="L50" s="29" t="n"/>
      <c r="M50" s="29" t="n"/>
      <c r="N50" s="29" t="n">
        <v>39.65</v>
      </c>
      <c r="O50" s="29" t="n"/>
      <c r="P50" s="29" t="n">
        <v>21.78</v>
      </c>
      <c r="Q50" s="29" t="n"/>
      <c r="R50" s="29" t="n">
        <v>41.91</v>
      </c>
      <c r="S50" s="28" t="inlineStr">
        <is>
          <t>2018</t>
        </is>
      </c>
      <c r="T50" s="52">
        <f>IFERROR($E50/Nameplate!$E50,"")</f>
        <v/>
      </c>
    </row>
    <row r="51">
      <c r="A51" s="28" t="inlineStr">
        <is>
          <t>TOTAL_PORT_ARTHUR</t>
        </is>
      </c>
      <c r="B51" s="28" t="inlineStr">
        <is>
          <t>Total Port Arthur</t>
        </is>
      </c>
      <c r="C51" s="28" t="n">
        <v>3</v>
      </c>
      <c r="D51" s="30">
        <f>SUMIFS(Data!$G$3:$G$125,Data!$A$3:$A$125,$A51)</f>
        <v/>
      </c>
      <c r="E51" s="29" t="n">
        <v>232.55</v>
      </c>
      <c r="F51" s="29" t="n">
        <v>104.64</v>
      </c>
      <c r="G51" s="29" t="n">
        <v>79.81</v>
      </c>
      <c r="H51" s="29" t="n"/>
      <c r="I51" s="29" t="n">
        <v>38.07</v>
      </c>
      <c r="J51" s="29" t="n"/>
      <c r="K51" s="29" t="n"/>
      <c r="L51" s="29" t="n"/>
      <c r="M51" s="29" t="n"/>
      <c r="N51" s="29" t="n">
        <v>40.43</v>
      </c>
      <c r="O51" s="29" t="n">
        <v>8</v>
      </c>
      <c r="P51" s="29" t="n">
        <v>9.02</v>
      </c>
      <c r="Q51" s="29" t="n"/>
      <c r="R51" s="29" t="n">
        <v>48.47</v>
      </c>
      <c r="S51" s="28" t="inlineStr">
        <is>
          <t>2018</t>
        </is>
      </c>
      <c r="T51" s="52">
        <f>IFERROR($E51/Nameplate!$E51,"")</f>
        <v/>
      </c>
    </row>
    <row r="52">
      <c r="A52" s="28" t="inlineStr">
        <is>
          <t>VALERO_SAINT_CHARLES</t>
        </is>
      </c>
      <c r="B52" s="28" t="inlineStr">
        <is>
          <t>Valero Saint Charles</t>
        </is>
      </c>
      <c r="C52" s="28" t="n">
        <v>3</v>
      </c>
      <c r="D52" s="30">
        <f>SUMIFS(Data!$G$3:$G$125,Data!$A$3:$A$125,$A52)</f>
        <v/>
      </c>
      <c r="E52" s="29" t="n">
        <v>197.41</v>
      </c>
      <c r="F52" s="29" t="n">
        <v>156.52</v>
      </c>
      <c r="G52" s="29" t="n">
        <v>99.38</v>
      </c>
      <c r="H52" s="29" t="n"/>
      <c r="I52" s="29" t="n">
        <v>71.67</v>
      </c>
      <c r="J52" s="29" t="n"/>
      <c r="K52" s="29" t="n">
        <v>78.98999999999999</v>
      </c>
      <c r="L52" s="29" t="n"/>
      <c r="M52" s="29" t="n"/>
      <c r="N52" s="29" t="n">
        <v>27</v>
      </c>
      <c r="O52" s="29" t="n"/>
      <c r="P52" s="29" t="n">
        <v>24.81</v>
      </c>
      <c r="Q52" s="29" t="n"/>
      <c r="R52" s="29" t="n">
        <v>46.64</v>
      </c>
      <c r="S52" s="28" t="inlineStr">
        <is>
          <t>2018</t>
        </is>
      </c>
      <c r="T52" s="52">
        <f>IFERROR($E52/Nameplate!$E52,"")</f>
        <v/>
      </c>
    </row>
    <row r="53">
      <c r="A53" s="28" t="inlineStr">
        <is>
          <t>VALERO_HOUSTON</t>
        </is>
      </c>
      <c r="B53" s="28" t="inlineStr">
        <is>
          <t>Valero Houston</t>
        </is>
      </c>
      <c r="C53" s="28" t="n">
        <v>3</v>
      </c>
      <c r="D53" s="30">
        <f>SUMIFS(Data!$G$3:$G$125,Data!$A$3:$A$125,$A53)</f>
        <v/>
      </c>
      <c r="E53" s="29" t="n">
        <v>210</v>
      </c>
      <c r="F53" s="29" t="n">
        <v>69.88</v>
      </c>
      <c r="G53" s="29" t="n">
        <v>57.57</v>
      </c>
      <c r="H53" s="29" t="n"/>
      <c r="I53" s="29" t="n"/>
      <c r="J53" s="29" t="n"/>
      <c r="K53" s="29" t="n">
        <v>31.03</v>
      </c>
      <c r="L53" s="29" t="n"/>
      <c r="M53" s="29" t="n"/>
      <c r="N53" s="29" t="n"/>
      <c r="O53" s="29" t="n"/>
      <c r="P53" s="29" t="n">
        <v>34.93</v>
      </c>
      <c r="Q53" s="29" t="n"/>
      <c r="R53" s="29" t="n">
        <v>9</v>
      </c>
      <c r="S53" s="28" t="inlineStr">
        <is>
          <t>2024</t>
        </is>
      </c>
      <c r="T53" s="52">
        <f>IFERROR($E53/Nameplate!$E53,"")</f>
        <v/>
      </c>
    </row>
    <row r="54">
      <c r="A54" s="28" t="inlineStr">
        <is>
          <t>VALERO_SUNRAY</t>
        </is>
      </c>
      <c r="B54" s="28" t="inlineStr">
        <is>
          <t>Valero Sunray</t>
        </is>
      </c>
      <c r="C54" s="28" t="n">
        <v>3</v>
      </c>
      <c r="D54" s="30">
        <f>SUMIFS(Data!$G$3:$G$125,Data!$A$3:$A$125,$A54)</f>
        <v/>
      </c>
      <c r="E54" s="29" t="n">
        <v>189.28</v>
      </c>
      <c r="F54" s="29" t="n">
        <v>53.45</v>
      </c>
      <c r="G54" s="29" t="n">
        <v>55.92</v>
      </c>
      <c r="H54" s="29" t="n"/>
      <c r="I54" s="29" t="n"/>
      <c r="J54" s="29" t="n"/>
      <c r="K54" s="29" t="n">
        <v>20</v>
      </c>
      <c r="L54" s="29" t="n"/>
      <c r="M54" s="29" t="n">
        <v>21.49</v>
      </c>
      <c r="N54" s="29" t="n">
        <v>28.46</v>
      </c>
      <c r="O54" s="29" t="n"/>
      <c r="P54" s="29" t="n">
        <v>11.79</v>
      </c>
      <c r="Q54" s="29" t="n"/>
      <c r="R54" s="29" t="n">
        <v>57.33</v>
      </c>
      <c r="S54" s="28" t="inlineStr">
        <is>
          <t>2018</t>
        </is>
      </c>
      <c r="T54" s="52">
        <f>IFERROR($E54/Nameplate!$E54,"")</f>
        <v/>
      </c>
    </row>
    <row r="55">
      <c r="A55" s="28" t="inlineStr">
        <is>
          <t>PBF_CHALMETTE</t>
        </is>
      </c>
      <c r="B55" s="28" t="inlineStr">
        <is>
          <t>PBF Energy Company LLC Chalmette</t>
        </is>
      </c>
      <c r="C55" s="28" t="n">
        <v>3</v>
      </c>
      <c r="D55" s="30">
        <f>SUMIFS(Data!$G$3:$G$125,Data!$A$3:$A$125,$A55)</f>
        <v/>
      </c>
      <c r="E55" s="29" t="n">
        <v>185.67</v>
      </c>
      <c r="F55" s="29" t="n">
        <v>84.83</v>
      </c>
      <c r="G55" s="29" t="n">
        <v>75.59999999999999</v>
      </c>
      <c r="H55" s="29" t="n"/>
      <c r="I55" s="29" t="n">
        <v>35.96</v>
      </c>
      <c r="J55" s="29" t="n"/>
      <c r="K55" s="29" t="n"/>
      <c r="L55" s="29" t="n"/>
      <c r="M55" s="29" t="n">
        <v>9.390000000000001</v>
      </c>
      <c r="N55" s="29" t="n">
        <v>21</v>
      </c>
      <c r="O55" s="29" t="n">
        <v>8.199999999999999</v>
      </c>
      <c r="P55" s="29" t="n">
        <v>16.08</v>
      </c>
      <c r="Q55" s="29" t="n"/>
      <c r="R55" s="29" t="n">
        <v>36.12</v>
      </c>
      <c r="S55" s="28" t="inlineStr">
        <is>
          <t>2019</t>
        </is>
      </c>
      <c r="T55" s="52">
        <f>IFERROR($E55/Nameplate!$E55,"")</f>
        <v/>
      </c>
    </row>
    <row r="56">
      <c r="A56" s="28" t="inlineStr">
        <is>
          <t>CITGO_CORPUS_CHRISTI</t>
        </is>
      </c>
      <c r="B56" s="28" t="inlineStr">
        <is>
          <t>Citgo Corpus Christi</t>
        </is>
      </c>
      <c r="C56" s="28" t="n">
        <v>3</v>
      </c>
      <c r="D56" s="30">
        <f>SUMIFS(Data!$G$3:$G$125,Data!$A$3:$A$125,$A56)</f>
        <v/>
      </c>
      <c r="E56" s="29" t="n">
        <v>158.96</v>
      </c>
      <c r="F56" s="29" t="n">
        <v>83.69</v>
      </c>
      <c r="G56" s="29" t="n">
        <v>68.15000000000001</v>
      </c>
      <c r="H56" s="29" t="n"/>
      <c r="I56" s="29" t="n">
        <v>40.15</v>
      </c>
      <c r="J56" s="29" t="n"/>
      <c r="K56" s="29" t="n"/>
      <c r="L56" s="29" t="n"/>
      <c r="M56" s="29" t="n"/>
      <c r="N56" s="29" t="n">
        <v>39.12</v>
      </c>
      <c r="O56" s="29" t="n"/>
      <c r="P56" s="29" t="n">
        <v>30.05</v>
      </c>
      <c r="Q56" s="29" t="n"/>
      <c r="R56" s="29" t="n">
        <v>49.83</v>
      </c>
      <c r="S56" s="28" t="inlineStr">
        <is>
          <t>2022</t>
        </is>
      </c>
      <c r="T56" s="52">
        <f>IFERROR($E56/Nameplate!$E56,"")</f>
        <v/>
      </c>
    </row>
    <row r="57">
      <c r="A57" s="28" t="inlineStr">
        <is>
          <t>WRB_BORGER</t>
        </is>
      </c>
      <c r="B57" s="28" t="inlineStr">
        <is>
          <t>WRB Refining Borger</t>
        </is>
      </c>
      <c r="C57" s="28" t="n">
        <v>3</v>
      </c>
      <c r="D57" s="30">
        <f>SUMIFS(Data!$G$3:$G$125,Data!$A$3:$A$125,$A57)</f>
        <v/>
      </c>
      <c r="E57" s="29" t="n">
        <v>147.84</v>
      </c>
      <c r="F57" s="29" t="n">
        <v>55.28</v>
      </c>
      <c r="G57" s="29" t="n">
        <v>51.95</v>
      </c>
      <c r="H57" s="29" t="n"/>
      <c r="I57" s="29" t="n">
        <v>25.65</v>
      </c>
      <c r="J57" s="29" t="n"/>
      <c r="K57" s="29" t="n"/>
      <c r="L57" s="29" t="n"/>
      <c r="M57" s="29" t="n">
        <v>30</v>
      </c>
      <c r="N57" s="29" t="n"/>
      <c r="O57" s="29" t="n">
        <v>16.11</v>
      </c>
      <c r="P57" s="29" t="n">
        <v>12.13</v>
      </c>
      <c r="Q57" s="29" t="n"/>
      <c r="R57" s="29" t="n">
        <v>34.92</v>
      </c>
      <c r="S57" s="28" t="inlineStr">
        <is>
          <t>2017</t>
        </is>
      </c>
      <c r="T57" s="52">
        <f>IFERROR($E57/Nameplate!$E57,"")</f>
        <v/>
      </c>
    </row>
    <row r="58">
      <c r="A58" s="28" t="inlineStr">
        <is>
          <t>MARATHON_EL_PASO</t>
        </is>
      </c>
      <c r="B58" s="28" t="inlineStr">
        <is>
          <t>Marathon Petroleum El Paso</t>
        </is>
      </c>
      <c r="C58" s="28" t="n">
        <v>3</v>
      </c>
      <c r="D58" s="30">
        <f>SUMIFS(Data!$G$3:$G$125,Data!$A$3:$A$125,$A58)</f>
        <v/>
      </c>
      <c r="E58" s="29" t="n">
        <v>132.13</v>
      </c>
      <c r="F58" s="29" t="n">
        <v>37.95</v>
      </c>
      <c r="G58" s="29" t="n">
        <v>34.73</v>
      </c>
      <c r="H58" s="29" t="n"/>
      <c r="I58" s="29" t="n"/>
      <c r="J58" s="29" t="n"/>
      <c r="K58" s="29" t="n"/>
      <c r="L58" s="29" t="n"/>
      <c r="M58" s="29" t="n"/>
      <c r="N58" s="29" t="n">
        <v>27.06</v>
      </c>
      <c r="O58" s="29" t="n"/>
      <c r="P58" s="29" t="n">
        <v>15.42</v>
      </c>
      <c r="Q58" s="29" t="n"/>
      <c r="R58" s="29" t="n">
        <v>37.03</v>
      </c>
      <c r="S58" s="28" t="inlineStr">
        <is>
          <t>2019</t>
        </is>
      </c>
      <c r="T58" s="52">
        <f>IFERROR($E58/Nameplate!$E58,"")</f>
        <v/>
      </c>
    </row>
    <row r="59">
      <c r="A59" s="28" t="inlineStr">
        <is>
          <t>CHEVRON_PASADENA</t>
        </is>
      </c>
      <c r="B59" s="28" t="inlineStr">
        <is>
          <t>Chevron Pasadena</t>
        </is>
      </c>
      <c r="C59" s="28" t="n">
        <v>3</v>
      </c>
      <c r="D59" s="30">
        <f>SUMIFS(Data!$G$3:$G$125,Data!$A$3:$A$125,$A59)</f>
        <v/>
      </c>
      <c r="E59" s="29" t="n">
        <v>106.26</v>
      </c>
      <c r="F59" s="29" t="n">
        <v>27.81</v>
      </c>
      <c r="G59" s="29" t="n">
        <v>49.35</v>
      </c>
      <c r="H59" s="29" t="n"/>
      <c r="I59" s="29" t="n"/>
      <c r="J59" s="29" t="n"/>
      <c r="K59" s="29" t="n"/>
      <c r="L59" s="29" t="n"/>
      <c r="M59" s="29" t="n"/>
      <c r="N59" s="29" t="n">
        <v>22.24</v>
      </c>
      <c r="O59" s="29" t="n"/>
      <c r="P59" s="29" t="n">
        <v>10</v>
      </c>
      <c r="Q59" s="29" t="n"/>
      <c r="R59" s="29" t="n">
        <v>26.69</v>
      </c>
      <c r="S59" s="28" t="inlineStr">
        <is>
          <t>2017</t>
        </is>
      </c>
      <c r="T59" s="52">
        <f>IFERROR($E59/Nameplate!$E59,"")</f>
        <v/>
      </c>
    </row>
    <row r="60">
      <c r="A60" s="28" t="inlineStr">
        <is>
          <t>VALERO_MERAUX</t>
        </is>
      </c>
      <c r="B60" s="28" t="inlineStr">
        <is>
          <t>Valero Meraux</t>
        </is>
      </c>
      <c r="C60" s="28" t="n">
        <v>3</v>
      </c>
      <c r="D60" s="30">
        <f>SUMIFS(Data!$G$3:$G$125,Data!$A$3:$A$125,$A60)</f>
        <v/>
      </c>
      <c r="E60" s="29" t="n">
        <v>126.23</v>
      </c>
      <c r="F60" s="29" t="n">
        <v>51</v>
      </c>
      <c r="G60" s="29" t="n"/>
      <c r="H60" s="29" t="n"/>
      <c r="I60" s="29" t="n"/>
      <c r="J60" s="29" t="n"/>
      <c r="K60" s="29" t="n">
        <v>48.3</v>
      </c>
      <c r="L60" s="29" t="n"/>
      <c r="M60" s="29" t="n"/>
      <c r="N60" s="29" t="n">
        <v>31.92</v>
      </c>
      <c r="O60" s="29" t="n"/>
      <c r="P60" s="29" t="n"/>
      <c r="Q60" s="29" t="n"/>
      <c r="R60" s="29" t="n">
        <v>39.94</v>
      </c>
      <c r="S60" s="28" t="inlineStr">
        <is>
          <t>2018</t>
        </is>
      </c>
      <c r="T60" s="52">
        <f>IFERROR($E60/Nameplate!$E60,"")</f>
        <v/>
      </c>
    </row>
    <row r="61">
      <c r="A61" s="28" t="inlineStr">
        <is>
          <t>KINDER_HOUSTON</t>
        </is>
      </c>
      <c r="B61" s="28" t="inlineStr">
        <is>
          <t>Kinder Morgan Houston</t>
        </is>
      </c>
      <c r="C61" s="28" t="n">
        <v>3</v>
      </c>
      <c r="D61" s="30">
        <f>SUMIFS(Data!$G$3:$G$125,Data!$A$3:$A$125,$A61)</f>
        <v/>
      </c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8" t="n"/>
      <c r="T61" s="52">
        <f>IFERROR($E61/Nameplate!$E61,"")</f>
        <v/>
      </c>
    </row>
    <row r="62">
      <c r="A62" s="28" t="inlineStr">
        <is>
          <t>CALCASIEU_LAKE_CHARLES</t>
        </is>
      </c>
      <c r="B62" s="28" t="inlineStr">
        <is>
          <t>Calcasieu Refining Co. Lake Charles</t>
        </is>
      </c>
      <c r="C62" s="28" t="n">
        <v>3</v>
      </c>
      <c r="D62" s="30">
        <f>SUMIFS(Data!$G$3:$G$125,Data!$A$3:$A$125,$A62)</f>
        <v/>
      </c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8" t="n"/>
      <c r="T62" s="52">
        <f>IFERROR($E62/Nameplate!$E62,"")</f>
        <v/>
      </c>
    </row>
    <row r="63">
      <c r="A63" s="28" t="inlineStr">
        <is>
          <t>HF_ARTESIA</t>
        </is>
      </c>
      <c r="B63" s="28" t="inlineStr">
        <is>
          <t>HF Sinclair Artesia</t>
        </is>
      </c>
      <c r="C63" s="28" t="n">
        <v>3</v>
      </c>
      <c r="D63" s="30">
        <f>SUMIFS(Data!$G$3:$G$125,Data!$A$3:$A$125,$A63)</f>
        <v/>
      </c>
      <c r="E63" s="29" t="n">
        <v>109.44</v>
      </c>
      <c r="F63" s="29" t="n">
        <v>31.59</v>
      </c>
      <c r="G63" s="29" t="n">
        <v>30.99</v>
      </c>
      <c r="H63" s="29" t="n"/>
      <c r="I63" s="29" t="n"/>
      <c r="J63" s="29" t="n"/>
      <c r="K63" s="29" t="n">
        <v>17.47</v>
      </c>
      <c r="L63" s="29" t="n"/>
      <c r="M63" s="29" t="n"/>
      <c r="N63" s="29" t="n">
        <v>23.5</v>
      </c>
      <c r="O63" s="29" t="n">
        <v>9.4</v>
      </c>
      <c r="P63" s="29" t="n">
        <v>8.1</v>
      </c>
      <c r="Q63" s="29" t="n"/>
      <c r="R63" s="29" t="n">
        <v>37.03</v>
      </c>
      <c r="S63" s="28" t="inlineStr">
        <is>
          <t>2018</t>
        </is>
      </c>
      <c r="T63" s="52">
        <f>IFERROR($E63/Nameplate!$E63,"")</f>
        <v/>
      </c>
    </row>
    <row r="64">
      <c r="A64" s="28" t="inlineStr">
        <is>
          <t>VALERO_THREE_RIVERS</t>
        </is>
      </c>
      <c r="B64" s="28" t="inlineStr">
        <is>
          <t>Valero Three Rivers</t>
        </is>
      </c>
      <c r="C64" s="28" t="n">
        <v>3</v>
      </c>
      <c r="D64" s="30">
        <f>SUMIFS(Data!$G$3:$G$125,Data!$A$3:$A$125,$A64)</f>
        <v/>
      </c>
      <c r="E64" s="29" t="n">
        <v>86.8</v>
      </c>
      <c r="F64" s="29" t="n">
        <v>34.82</v>
      </c>
      <c r="G64" s="29" t="n">
        <v>23.37</v>
      </c>
      <c r="H64" s="29" t="n"/>
      <c r="I64" s="29" t="n"/>
      <c r="J64" s="29" t="n"/>
      <c r="K64" s="29" t="n">
        <v>14.99</v>
      </c>
      <c r="L64" s="29" t="n"/>
      <c r="M64" s="29" t="n">
        <v>10.5</v>
      </c>
      <c r="N64" s="29" t="n">
        <v>22.75</v>
      </c>
      <c r="O64" s="29" t="n"/>
      <c r="P64" s="29" t="n">
        <v>8.640000000000001</v>
      </c>
      <c r="Q64" s="29" t="n"/>
      <c r="R64" s="29" t="n">
        <v>38.03</v>
      </c>
      <c r="S64" s="28" t="inlineStr">
        <is>
          <t>2024</t>
        </is>
      </c>
      <c r="T64" s="52">
        <f>IFERROR($E64/Nameplate!$E64,"")</f>
        <v/>
      </c>
    </row>
    <row r="65">
      <c r="A65" s="28" t="inlineStr">
        <is>
          <t>VERTEX_MOBILE</t>
        </is>
      </c>
      <c r="B65" s="28" t="inlineStr">
        <is>
          <t>Vertex Energy Inc. Mobile</t>
        </is>
      </c>
      <c r="C65" s="28" t="n">
        <v>3</v>
      </c>
      <c r="D65" s="30">
        <f>SUMIFS(Data!$G$3:$G$125,Data!$A$3:$A$125,$A65)</f>
        <v/>
      </c>
      <c r="E65" s="29" t="n">
        <v>90.72</v>
      </c>
      <c r="F65" s="29" t="n">
        <v>28.8</v>
      </c>
      <c r="G65" s="29" t="n"/>
      <c r="H65" s="29" t="n"/>
      <c r="I65" s="29" t="n"/>
      <c r="J65" s="29" t="n"/>
      <c r="K65" s="29" t="n"/>
      <c r="L65" s="29" t="n"/>
      <c r="M65" s="29" t="n">
        <v>20.8</v>
      </c>
      <c r="N65" s="29" t="n"/>
      <c r="O65" s="29" t="n">
        <v>1.9</v>
      </c>
      <c r="P65" s="29" t="n"/>
      <c r="Q65" s="29" t="n"/>
      <c r="R65" s="29" t="n">
        <v>20.83</v>
      </c>
      <c r="S65" s="28" t="inlineStr">
        <is>
          <t>2017</t>
        </is>
      </c>
      <c r="T65" s="52">
        <f>IFERROR($E65/Nameplate!$E65,"")</f>
        <v/>
      </c>
    </row>
    <row r="66">
      <c r="A66" s="28" t="inlineStr">
        <is>
          <t>DELEK_EL_DORADO_AR</t>
        </is>
      </c>
      <c r="B66" s="28" t="inlineStr">
        <is>
          <t>Delek Group El Dorado (AR)</t>
        </is>
      </c>
      <c r="C66" s="28" t="n">
        <v>3</v>
      </c>
      <c r="D66" s="30">
        <f>SUMIFS(Data!$G$3:$G$125,Data!$A$3:$A$125,$A66)</f>
        <v/>
      </c>
      <c r="E66" s="29" t="n">
        <v>77.98999999999999</v>
      </c>
      <c r="F66" s="29" t="n">
        <v>25.69</v>
      </c>
      <c r="G66" s="29" t="n">
        <v>18.37</v>
      </c>
      <c r="H66" s="29" t="n"/>
      <c r="I66" s="29" t="n"/>
      <c r="J66" s="29" t="n"/>
      <c r="K66" s="29" t="n"/>
      <c r="L66" s="29" t="n"/>
      <c r="M66" s="29" t="n"/>
      <c r="N66" s="29" t="n">
        <v>15</v>
      </c>
      <c r="O66" s="29" t="n">
        <v>7.31</v>
      </c>
      <c r="P66" s="29" t="n">
        <v>2.6</v>
      </c>
      <c r="Q66" s="29" t="n"/>
      <c r="R66" s="29" t="n">
        <v>19.46</v>
      </c>
      <c r="S66" s="28" t="inlineStr">
        <is>
          <t>2024</t>
        </is>
      </c>
      <c r="T66" s="52">
        <f>IFERROR($E66/Nameplate!$E66,"")</f>
        <v/>
      </c>
    </row>
    <row r="67">
      <c r="A67" s="28" t="inlineStr">
        <is>
          <t>BASF_PORT_ARTHUR</t>
        </is>
      </c>
      <c r="B67" s="28" t="inlineStr">
        <is>
          <t>BASF FINA Petrochemicals Port Arthur</t>
        </is>
      </c>
      <c r="C67" s="28" t="n">
        <v>3</v>
      </c>
      <c r="D67" s="30">
        <f>SUMIFS(Data!$G$3:$G$125,Data!$A$3:$A$125,$A67)</f>
        <v/>
      </c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8" t="n"/>
      <c r="T67" s="52">
        <f>IFERROR($E67/Nameplate!$E67,"")</f>
        <v/>
      </c>
    </row>
    <row r="68">
      <c r="A68" s="28" t="inlineStr">
        <is>
          <t>DELEK_TYLER</t>
        </is>
      </c>
      <c r="B68" s="28" t="inlineStr">
        <is>
          <t>Delek Refining Ltd. Tyler</t>
        </is>
      </c>
      <c r="C68" s="28" t="n">
        <v>3</v>
      </c>
      <c r="D68" s="30">
        <f>SUMIFS(Data!$G$3:$G$125,Data!$A$3:$A$125,$A68)</f>
        <v/>
      </c>
      <c r="E68" s="29" t="n">
        <v>72.72</v>
      </c>
      <c r="F68" s="29" t="n">
        <v>21</v>
      </c>
      <c r="G68" s="29" t="n">
        <v>20.25</v>
      </c>
      <c r="H68" s="29" t="n"/>
      <c r="I68" s="29" t="n">
        <v>8.1</v>
      </c>
      <c r="J68" s="29" t="n"/>
      <c r="K68" s="29" t="n"/>
      <c r="L68" s="29" t="n"/>
      <c r="M68" s="29" t="n">
        <v>4.17</v>
      </c>
      <c r="N68" s="29" t="n">
        <v>15.77</v>
      </c>
      <c r="O68" s="29" t="n">
        <v>3</v>
      </c>
      <c r="P68" s="29" t="n">
        <v>4.95</v>
      </c>
      <c r="Q68" s="29" t="n"/>
      <c r="R68" s="29" t="n">
        <v>25.45</v>
      </c>
      <c r="S68" s="28" t="inlineStr">
        <is>
          <t>2022</t>
        </is>
      </c>
      <c r="T68" s="52">
        <f>IFERROR($E68/Nameplate!$E68,"")</f>
        <v/>
      </c>
    </row>
    <row r="69">
      <c r="A69" s="28" t="inlineStr">
        <is>
          <t>PLACID_PORT_ALLEN</t>
        </is>
      </c>
      <c r="B69" s="28" t="inlineStr">
        <is>
          <t>Placid Refining Port Allen</t>
        </is>
      </c>
      <c r="C69" s="28" t="n">
        <v>3</v>
      </c>
      <c r="D69" s="30">
        <f>SUMIFS(Data!$G$3:$G$125,Data!$A$3:$A$125,$A69)</f>
        <v/>
      </c>
      <c r="E69" s="29" t="n">
        <v>78.48</v>
      </c>
      <c r="F69" s="29" t="n">
        <v>26.41</v>
      </c>
      <c r="G69" s="29" t="n">
        <v>24.69</v>
      </c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>
        <v>7.45</v>
      </c>
      <c r="Q69" s="29" t="n"/>
      <c r="R69" s="29" t="n">
        <v>10.7</v>
      </c>
      <c r="S69" s="28" t="inlineStr">
        <is>
          <t>2018</t>
        </is>
      </c>
      <c r="T69" s="52">
        <f>IFERROR($E69/Nameplate!$E69,"")</f>
        <v/>
      </c>
    </row>
    <row r="70">
      <c r="A70" s="28" t="inlineStr">
        <is>
          <t>DELEK_KROTZ_SPRINGS</t>
        </is>
      </c>
      <c r="B70" s="28" t="inlineStr">
        <is>
          <t>Delek Group Krotz Springs</t>
        </is>
      </c>
      <c r="C70" s="28" t="n">
        <v>3</v>
      </c>
      <c r="D70" s="30">
        <f>SUMIFS(Data!$G$3:$G$125,Data!$A$3:$A$125,$A70)</f>
        <v/>
      </c>
      <c r="E70" s="29" t="n">
        <v>77.36</v>
      </c>
      <c r="F70" s="29" t="n">
        <v>21.36</v>
      </c>
      <c r="G70" s="29" t="n"/>
      <c r="H70" s="29" t="n">
        <v>26.86</v>
      </c>
      <c r="I70" s="29" t="n"/>
      <c r="J70" s="29" t="n"/>
      <c r="K70" s="29" t="n"/>
      <c r="L70" s="29" t="n"/>
      <c r="M70" s="29" t="n">
        <v>12.38</v>
      </c>
      <c r="N70" s="29" t="n"/>
      <c r="O70" s="29" t="n">
        <v>7.11</v>
      </c>
      <c r="P70" s="29" t="n">
        <v>7.06</v>
      </c>
      <c r="Q70" s="29" t="n"/>
      <c r="R70" s="29" t="n">
        <v>17.18</v>
      </c>
      <c r="S70" s="28" t="inlineStr">
        <is>
          <t>2023</t>
        </is>
      </c>
      <c r="T70" s="52">
        <f>IFERROR($E70/Nameplate!$E70,"")</f>
        <v/>
      </c>
    </row>
    <row r="71">
      <c r="A71" s="28" t="inlineStr">
        <is>
          <t>ALON_BIG_SPRINGS</t>
        </is>
      </c>
      <c r="B71" s="28" t="inlineStr">
        <is>
          <t>Alon Big Springs</t>
        </is>
      </c>
      <c r="C71" s="28" t="n">
        <v>3</v>
      </c>
      <c r="D71" s="30">
        <f>SUMIFS(Data!$G$3:$G$125,Data!$A$3:$A$125,$A71)</f>
        <v/>
      </c>
      <c r="E71" s="29" t="n">
        <v>71.97</v>
      </c>
      <c r="F71" s="29" t="n">
        <v>21.73</v>
      </c>
      <c r="G71" s="29" t="n">
        <v>22.77</v>
      </c>
      <c r="H71" s="29" t="n"/>
      <c r="I71" s="29" t="n"/>
      <c r="J71" s="29" t="n"/>
      <c r="K71" s="29" t="n"/>
      <c r="L71" s="29" t="n"/>
      <c r="M71" s="29" t="n"/>
      <c r="N71" s="29" t="n">
        <v>21</v>
      </c>
      <c r="O71" s="29" t="n"/>
      <c r="P71" s="29" t="n">
        <v>5.92</v>
      </c>
      <c r="Q71" s="29" t="n"/>
      <c r="R71" s="29" t="n">
        <v>25.14</v>
      </c>
      <c r="S71" s="28" t="inlineStr">
        <is>
          <t>2019</t>
        </is>
      </c>
      <c r="T71" s="52">
        <f>IFERROR($E71/Nameplate!$E71,"")</f>
        <v/>
      </c>
    </row>
    <row r="72">
      <c r="A72" s="28" t="inlineStr">
        <is>
          <t>BUCKEYE_CORPUS_CHRISTI</t>
        </is>
      </c>
      <c r="B72" s="28" t="inlineStr">
        <is>
          <t>Buckeye Partners Corpus Christi</t>
        </is>
      </c>
      <c r="C72" s="28" t="n">
        <v>3</v>
      </c>
      <c r="D72" s="30">
        <f>SUMIFS(Data!$G$3:$G$125,Data!$A$3:$A$125,$A72)</f>
        <v/>
      </c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8" t="n"/>
      <c r="T72" s="52">
        <f>IFERROR($E72/Nameplate!$E72,"")</f>
        <v/>
      </c>
    </row>
    <row r="73">
      <c r="A73" s="28" t="inlineStr">
        <is>
          <t>CALUMET_SHREVEPORT</t>
        </is>
      </c>
      <c r="B73" s="28" t="inlineStr">
        <is>
          <t>Calumet Lubricants Co. Shreveport</t>
        </is>
      </c>
      <c r="C73" s="28" t="n">
        <v>3</v>
      </c>
      <c r="D73" s="30">
        <f>SUMIFS(Data!$G$3:$G$125,Data!$A$3:$A$125,$A73)</f>
        <v/>
      </c>
      <c r="E73" s="29" t="n">
        <v>48.65</v>
      </c>
      <c r="F73" s="29" t="n">
        <v>15.75</v>
      </c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>
        <v>18.29</v>
      </c>
      <c r="S73" s="28" t="inlineStr">
        <is>
          <t>2017</t>
        </is>
      </c>
      <c r="T73" s="52">
        <f>IFERROR($E73/Nameplate!$E73,"")</f>
        <v/>
      </c>
    </row>
    <row r="74">
      <c r="A74" s="28" t="inlineStr">
        <is>
          <t>MARATHON_TEXAS_CITY_GALVESTON_BAY</t>
        </is>
      </c>
      <c r="B74" s="28" t="inlineStr">
        <is>
          <t>Marathon Petroleum Texas City (Galveston Bay)</t>
        </is>
      </c>
      <c r="C74" s="28" t="n">
        <v>3</v>
      </c>
      <c r="D74" s="30">
        <f>SUMIFS(Data!$G$3:$G$125,Data!$A$3:$A$125,$A74)</f>
        <v/>
      </c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8" t="n"/>
      <c r="T74" s="52">
        <f>IFERROR($E74/Nameplate!$E74,"")</f>
        <v/>
      </c>
    </row>
    <row r="75">
      <c r="A75" s="28" t="inlineStr">
        <is>
          <t>HUNT_TUSCALOOSA</t>
        </is>
      </c>
      <c r="B75" s="28" t="inlineStr">
        <is>
          <t>Hunt Refining Consolidated Tuscaloosa</t>
        </is>
      </c>
      <c r="C75" s="28" t="n">
        <v>3</v>
      </c>
      <c r="D75" s="30">
        <f>SUMIFS(Data!$G$3:$G$125,Data!$A$3:$A$125,$A75)</f>
        <v/>
      </c>
      <c r="E75" s="29" t="n">
        <v>44.01</v>
      </c>
      <c r="F75" s="29" t="n">
        <v>24.75</v>
      </c>
      <c r="G75" s="29" t="n"/>
      <c r="H75" s="29" t="n"/>
      <c r="I75" s="29" t="n">
        <v>26.07</v>
      </c>
      <c r="J75" s="29" t="n"/>
      <c r="K75" s="29" t="n">
        <v>14.45</v>
      </c>
      <c r="L75" s="29" t="n"/>
      <c r="M75" s="29" t="n"/>
      <c r="N75" s="29" t="n">
        <v>7.32</v>
      </c>
      <c r="O75" s="29" t="n">
        <v>4.49</v>
      </c>
      <c r="P75" s="29" t="n"/>
      <c r="Q75" s="29" t="n"/>
      <c r="R75" s="29" t="n">
        <v>8.9</v>
      </c>
      <c r="S75" s="28" t="inlineStr">
        <is>
          <t>2019</t>
        </is>
      </c>
      <c r="T75" s="52">
        <f>IFERROR($E75/Nameplate!$E75,"")</f>
        <v/>
      </c>
    </row>
    <row r="76">
      <c r="A76" s="28" t="inlineStr">
        <is>
          <t>ERGON_VICKSBURG</t>
        </is>
      </c>
      <c r="B76" s="28" t="inlineStr">
        <is>
          <t>Ergon Vicksburg</t>
        </is>
      </c>
      <c r="C76" s="28" t="n">
        <v>3</v>
      </c>
      <c r="D76" s="30">
        <f>SUMIFS(Data!$G$3:$G$125,Data!$A$3:$A$125,$A76)</f>
        <v/>
      </c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8" t="n"/>
      <c r="T76" s="52">
        <f>IFERROR($E76/Nameplate!$E76,"")</f>
        <v/>
      </c>
    </row>
    <row r="77">
      <c r="A77" s="28" t="inlineStr">
        <is>
          <t>LAZARUS_SAN_ANTONIO</t>
        </is>
      </c>
      <c r="B77" s="28" t="inlineStr">
        <is>
          <t>Lazarus Energy San Antonio</t>
        </is>
      </c>
      <c r="C77" s="28" t="n">
        <v>3</v>
      </c>
      <c r="D77" s="30">
        <f>SUMIFS(Data!$G$3:$G$125,Data!$A$3:$A$125,$A77)</f>
        <v/>
      </c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8" t="n"/>
      <c r="T77" s="52">
        <f>IFERROR($E77/Nameplate!$E77,"")</f>
        <v/>
      </c>
    </row>
    <row r="78">
      <c r="A78" s="28" t="inlineStr">
        <is>
          <t>BLUE_NIXON</t>
        </is>
      </c>
      <c r="B78" s="28" t="inlineStr">
        <is>
          <t>Blue Dolphin Energy Nixon</t>
        </is>
      </c>
      <c r="C78" s="28" t="n">
        <v>3</v>
      </c>
      <c r="D78" s="30">
        <f>SUMIFS(Data!$G$3:$G$125,Data!$A$3:$A$125,$A78)</f>
        <v/>
      </c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8" t="n"/>
      <c r="T78" s="52">
        <f>IFERROR($E78/Nameplate!$E78,"")</f>
        <v/>
      </c>
    </row>
    <row r="79">
      <c r="A79" s="28" t="inlineStr">
        <is>
          <t>CALUMET_COTTON_VALLEY</t>
        </is>
      </c>
      <c r="B79" s="28" t="inlineStr">
        <is>
          <t>Calumet Lubricants Co. Cotton Valley</t>
        </is>
      </c>
      <c r="C79" s="28" t="n">
        <v>3</v>
      </c>
      <c r="D79" s="30">
        <f>SUMIFS(Data!$G$3:$G$125,Data!$A$3:$A$125,$A79)</f>
        <v/>
      </c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8" t="n"/>
      <c r="T79" s="52">
        <f>IFERROR($E79/Nameplate!$E79,"")</f>
        <v/>
      </c>
    </row>
    <row r="80">
      <c r="A80" s="28" t="inlineStr">
        <is>
          <t>HUNT_SANDERSVILLE</t>
        </is>
      </c>
      <c r="B80" s="28" t="inlineStr">
        <is>
          <t>Hunt Refining Consolidated Sandersville</t>
        </is>
      </c>
      <c r="C80" s="28" t="n">
        <v>3</v>
      </c>
      <c r="D80" s="30">
        <f>SUMIFS(Data!$G$3:$G$125,Data!$A$3:$A$125,$A80)</f>
        <v/>
      </c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8" t="n"/>
      <c r="T80" s="52">
        <f>IFERROR($E80/Nameplate!$E80,"")</f>
        <v/>
      </c>
    </row>
    <row r="81">
      <c r="A81" s="28" t="inlineStr">
        <is>
          <t>CALUMET_PRINCETON</t>
        </is>
      </c>
      <c r="B81" s="28" t="inlineStr">
        <is>
          <t>Calumet Lubricants Co. Princeton</t>
        </is>
      </c>
      <c r="C81" s="28" t="n">
        <v>3</v>
      </c>
      <c r="D81" s="30">
        <f>SUMIFS(Data!$G$3:$G$125,Data!$A$3:$A$125,$A81)</f>
        <v/>
      </c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8" t="n"/>
      <c r="T81" s="52">
        <f>IFERROR($E81/Nameplate!$E81,"")</f>
        <v/>
      </c>
    </row>
    <row r="82">
      <c r="A82" s="28" t="inlineStr">
        <is>
          <t>CROSS_SMACKOVER</t>
        </is>
      </c>
      <c r="B82" s="28" t="inlineStr">
        <is>
          <t>Cross Oil and Ref.Co. Smackover</t>
        </is>
      </c>
      <c r="C82" s="28" t="n">
        <v>3</v>
      </c>
      <c r="D82" s="30">
        <f>SUMIFS(Data!$G$3:$G$125,Data!$A$3:$A$125,$A82)</f>
        <v/>
      </c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8" t="n"/>
      <c r="T82" s="52">
        <f>IFERROR($E82/Nameplate!$E82,"")</f>
        <v/>
      </c>
    </row>
    <row r="83">
      <c r="A83" s="28" t="inlineStr">
        <is>
          <t>GOODWAY_ATMORE</t>
        </is>
      </c>
      <c r="B83" s="28" t="inlineStr">
        <is>
          <t>Goodway Refining Atmore</t>
        </is>
      </c>
      <c r="C83" s="28" t="n">
        <v>3</v>
      </c>
      <c r="D83" s="30">
        <f>SUMIFS(Data!$G$3:$G$125,Data!$A$3:$A$125,$A83)</f>
        <v/>
      </c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8" t="n"/>
      <c r="T83" s="52">
        <f>IFERROR($E83/Nameplate!$E83,"")</f>
        <v/>
      </c>
    </row>
    <row r="84">
      <c r="A84" s="28" t="inlineStr">
        <is>
          <t>LYONDELLBASELL_HOUSTON</t>
        </is>
      </c>
      <c r="B84" s="28" t="inlineStr">
        <is>
          <t>LyondellBasell Refining Houston</t>
        </is>
      </c>
      <c r="C84" s="28" t="n">
        <v>3</v>
      </c>
      <c r="D84" s="30">
        <f>SUMIFS(Data!$G$3:$G$125,Data!$A$3:$A$125,$A84)</f>
        <v/>
      </c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8" t="n"/>
      <c r="T84" s="52">
        <f>IFERROR($E84/Nameplate!$E84,"")</f>
        <v/>
      </c>
    </row>
    <row r="85">
      <c r="A85" s="28" t="inlineStr">
        <is>
          <t>SHELL_CONVENT</t>
        </is>
      </c>
      <c r="B85" s="28" t="inlineStr">
        <is>
          <t>Shell Convent</t>
        </is>
      </c>
      <c r="C85" s="28" t="n">
        <v>3</v>
      </c>
      <c r="D85" s="30">
        <f>SUMIFS(Data!$G$3:$G$125,Data!$A$3:$A$125,$A85)</f>
        <v/>
      </c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8" t="n"/>
      <c r="T85" s="52">
        <f>IFERROR($E85/Nameplate!$E85,"")</f>
        <v/>
      </c>
    </row>
    <row r="86">
      <c r="A86" s="28" t="inlineStr">
        <is>
          <t>SHELL_SAINT_ROSE</t>
        </is>
      </c>
      <c r="B86" s="28" t="inlineStr">
        <is>
          <t>Shell Oil Co. USA Saint Rose</t>
        </is>
      </c>
      <c r="C86" s="28" t="n">
        <v>3</v>
      </c>
      <c r="D86" s="30">
        <f>SUMIFS(Data!$G$3:$G$125,Data!$A$3:$A$125,$A86)</f>
        <v/>
      </c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8" t="n"/>
      <c r="T86" s="52">
        <f>IFERROR($E86/Nameplate!$E86,"")</f>
        <v/>
      </c>
    </row>
    <row r="87">
      <c r="A87" s="28" t="inlineStr">
        <is>
          <t>SUNCOR_DENVER</t>
        </is>
      </c>
      <c r="B87" s="28" t="inlineStr">
        <is>
          <t>Suncor Denver</t>
        </is>
      </c>
      <c r="C87" s="28" t="n">
        <v>4</v>
      </c>
      <c r="D87" s="30">
        <f>SUMIFS(Data!$G$3:$G$125,Data!$A$3:$A$125,$A87)</f>
        <v/>
      </c>
      <c r="E87" s="29" t="n">
        <v>105.8</v>
      </c>
      <c r="F87" s="29" t="n">
        <v>42.36</v>
      </c>
      <c r="G87" s="29" t="n">
        <v>29.86</v>
      </c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>
        <v>27.78</v>
      </c>
      <c r="S87" s="28" t="inlineStr">
        <is>
          <t>2017</t>
        </is>
      </c>
      <c r="T87" s="52">
        <f>IFERROR($E87/Nameplate!$E87,"")</f>
        <v/>
      </c>
    </row>
    <row r="88">
      <c r="A88" s="28" t="inlineStr">
        <is>
          <t>SINCLAIR_SINCLAIR</t>
        </is>
      </c>
      <c r="B88" s="28" t="inlineStr">
        <is>
          <t>Sinclair Sinclair</t>
        </is>
      </c>
      <c r="C88" s="28" t="n">
        <v>4</v>
      </c>
      <c r="D88" s="30">
        <f>SUMIFS(Data!$G$3:$G$125,Data!$A$3:$A$125,$A88)</f>
        <v/>
      </c>
      <c r="E88" s="29" t="n">
        <v>87.40000000000001</v>
      </c>
      <c r="F88" s="29" t="n">
        <v>35.24</v>
      </c>
      <c r="G88" s="29" t="n">
        <v>20.87</v>
      </c>
      <c r="H88" s="29" t="n"/>
      <c r="I88" s="29" t="n">
        <v>18.42</v>
      </c>
      <c r="J88" s="29" t="n"/>
      <c r="K88" s="29" t="n">
        <v>14.97</v>
      </c>
      <c r="L88" s="29" t="n"/>
      <c r="M88" s="29" t="n">
        <v>14</v>
      </c>
      <c r="N88" s="29" t="n"/>
      <c r="O88" s="29" t="n"/>
      <c r="P88" s="29" t="n">
        <v>3.55</v>
      </c>
      <c r="Q88" s="29" t="n"/>
      <c r="R88" s="29" t="n">
        <v>17.66</v>
      </c>
      <c r="S88" s="28" t="inlineStr">
        <is>
          <t>2024</t>
        </is>
      </c>
      <c r="T88" s="52">
        <f>IFERROR($E88/Nameplate!$E88,"")</f>
        <v/>
      </c>
    </row>
    <row r="89">
      <c r="A89" s="28" t="inlineStr">
        <is>
          <t>MARATHON_SALT_LAKE_CITY</t>
        </is>
      </c>
      <c r="B89" s="28" t="inlineStr">
        <is>
          <t>Marathon Petroleum Salt Lake City</t>
        </is>
      </c>
      <c r="C89" s="28" t="n">
        <v>4</v>
      </c>
      <c r="D89" s="30">
        <f>SUMIFS(Data!$G$3:$G$125,Data!$A$3:$A$125,$A89)</f>
        <v/>
      </c>
      <c r="E89" s="29" t="n">
        <v>62.42</v>
      </c>
      <c r="F89" s="29" t="n"/>
      <c r="G89" s="29" t="n"/>
      <c r="H89" s="29" t="n">
        <v>22.87</v>
      </c>
      <c r="I89" s="29" t="n"/>
      <c r="J89" s="29" t="n"/>
      <c r="K89" s="29" t="n"/>
      <c r="L89" s="29" t="n"/>
      <c r="M89" s="29" t="n">
        <v>13.29</v>
      </c>
      <c r="N89" s="29" t="n"/>
      <c r="O89" s="29" t="n"/>
      <c r="P89" s="29" t="n">
        <v>8.140000000000001</v>
      </c>
      <c r="Q89" s="29" t="n"/>
      <c r="R89" s="29" t="n">
        <v>16.45</v>
      </c>
      <c r="S89" s="28" t="inlineStr">
        <is>
          <t>2017</t>
        </is>
      </c>
      <c r="T89" s="52">
        <f>IFERROR($E89/Nameplate!$E89,"")</f>
        <v/>
      </c>
    </row>
    <row r="90">
      <c r="A90" s="28" t="inlineStr">
        <is>
          <t>PHILLIPS_BILLINGS</t>
        </is>
      </c>
      <c r="B90" s="28" t="inlineStr">
        <is>
          <t>Phillips 66 Co. Billings</t>
        </is>
      </c>
      <c r="C90" s="28" t="n">
        <v>4</v>
      </c>
      <c r="D90" s="30">
        <f>SUMIFS(Data!$G$3:$G$125,Data!$A$3:$A$125,$A90)</f>
        <v/>
      </c>
      <c r="E90" s="29" t="n">
        <v>68.11</v>
      </c>
      <c r="F90" s="29" t="n">
        <v>34.52</v>
      </c>
      <c r="G90" s="29" t="n">
        <v>21.5</v>
      </c>
      <c r="H90" s="29" t="n"/>
      <c r="I90" s="29" t="n">
        <v>20.12</v>
      </c>
      <c r="J90" s="29" t="n"/>
      <c r="K90" s="29" t="n"/>
      <c r="L90" s="29" t="n"/>
      <c r="M90" s="29" t="n">
        <v>10.97</v>
      </c>
      <c r="N90" s="29" t="n"/>
      <c r="O90" s="29" t="n"/>
      <c r="P90" s="29" t="n">
        <v>5.99</v>
      </c>
      <c r="Q90" s="29" t="n"/>
      <c r="R90" s="29" t="n">
        <v>16.29</v>
      </c>
      <c r="S90" s="28" t="inlineStr">
        <is>
          <t>2019</t>
        </is>
      </c>
      <c r="T90" s="52">
        <f>IFERROR($E90/Nameplate!$E90,"")</f>
        <v/>
      </c>
    </row>
    <row r="91">
      <c r="A91" s="28" t="inlineStr">
        <is>
          <t>PAR_BILLINGS</t>
        </is>
      </c>
      <c r="B91" s="28" t="inlineStr">
        <is>
          <t>Par Petroleum Billings</t>
        </is>
      </c>
      <c r="C91" s="28" t="n">
        <v>4</v>
      </c>
      <c r="D91" s="30">
        <f>SUMIFS(Data!$G$3:$G$125,Data!$A$3:$A$125,$A91)</f>
        <v/>
      </c>
      <c r="E91" s="29" t="n">
        <v>59.77</v>
      </c>
      <c r="F91" s="29" t="n">
        <v>28.93</v>
      </c>
      <c r="G91" s="29" t="n">
        <v>15.92</v>
      </c>
      <c r="H91" s="29" t="n"/>
      <c r="I91" s="29" t="n"/>
      <c r="J91" s="29" t="n">
        <v>9.92</v>
      </c>
      <c r="K91" s="29" t="n">
        <v>5.87</v>
      </c>
      <c r="L91" s="29" t="n"/>
      <c r="M91" s="29" t="n">
        <v>10.06</v>
      </c>
      <c r="N91" s="29" t="n"/>
      <c r="O91" s="29" t="n"/>
      <c r="P91" s="29" t="n">
        <v>5.85</v>
      </c>
      <c r="Q91" s="29" t="n"/>
      <c r="R91" s="29" t="n">
        <v>13.84</v>
      </c>
      <c r="S91" s="28" t="inlineStr">
        <is>
          <t>2017</t>
        </is>
      </c>
      <c r="T91" s="52">
        <f>IFERROR($E91/Nameplate!$E91,"")</f>
        <v/>
      </c>
    </row>
    <row r="92">
      <c r="A92" s="28" t="inlineStr">
        <is>
          <t>CHS_LAUREL</t>
        </is>
      </c>
      <c r="B92" s="28" t="inlineStr">
        <is>
          <t>CHS Laurel</t>
        </is>
      </c>
      <c r="C92" s="28" t="n">
        <v>4</v>
      </c>
      <c r="D92" s="30">
        <f>SUMIFS(Data!$G$3:$G$125,Data!$A$3:$A$125,$A92)</f>
        <v/>
      </c>
      <c r="E92" s="29" t="n">
        <v>63.29</v>
      </c>
      <c r="F92" s="29" t="n">
        <v>31.81</v>
      </c>
      <c r="G92" s="29" t="n">
        <v>16.34</v>
      </c>
      <c r="H92" s="29" t="n"/>
      <c r="I92" s="29" t="n">
        <v>15.88</v>
      </c>
      <c r="J92" s="29" t="n"/>
      <c r="K92" s="29" t="n"/>
      <c r="L92" s="29" t="n"/>
      <c r="M92" s="29" t="n">
        <v>11.94</v>
      </c>
      <c r="N92" s="29" t="n"/>
      <c r="O92" s="29" t="n"/>
      <c r="P92" s="29" t="n">
        <v>4.2</v>
      </c>
      <c r="Q92" s="29" t="n"/>
      <c r="R92" s="29" t="n">
        <v>16.62</v>
      </c>
      <c r="S92" s="28" t="inlineStr">
        <is>
          <t>2024</t>
        </is>
      </c>
      <c r="T92" s="52">
        <f>IFERROR($E92/Nameplate!$E92,"")</f>
        <v/>
      </c>
    </row>
    <row r="93">
      <c r="A93" s="28" t="inlineStr">
        <is>
          <t>CHEVRON_SALT_LAKE_CITY</t>
        </is>
      </c>
      <c r="B93" s="28" t="inlineStr">
        <is>
          <t>Chevron Salt Lake City</t>
        </is>
      </c>
      <c r="C93" s="28" t="n">
        <v>4</v>
      </c>
      <c r="D93" s="30">
        <f>SUMIFS(Data!$G$3:$G$125,Data!$A$3:$A$125,$A93)</f>
        <v/>
      </c>
      <c r="E93" s="29" t="n">
        <v>54</v>
      </c>
      <c r="F93" s="29" t="n">
        <v>18.84</v>
      </c>
      <c r="G93" s="29" t="n">
        <v>13.72</v>
      </c>
      <c r="H93" s="29" t="n"/>
      <c r="I93" s="29" t="n">
        <v>7.7</v>
      </c>
      <c r="J93" s="29" t="n"/>
      <c r="K93" s="29" t="n"/>
      <c r="L93" s="29" t="n"/>
      <c r="M93" s="29" t="n">
        <v>8.82</v>
      </c>
      <c r="N93" s="29" t="n"/>
      <c r="O93" s="29" t="n"/>
      <c r="P93" s="29" t="n">
        <v>6.91</v>
      </c>
      <c r="Q93" s="29" t="n"/>
      <c r="R93" s="29" t="n">
        <v>15.1</v>
      </c>
      <c r="S93" s="28" t="inlineStr">
        <is>
          <t>2023</t>
        </is>
      </c>
      <c r="T93" s="52">
        <f>IFERROR($E93/Nameplate!$E93,"")</f>
        <v/>
      </c>
    </row>
    <row r="94">
      <c r="A94" s="28" t="inlineStr">
        <is>
          <t>HF_WOODS_CROSS</t>
        </is>
      </c>
      <c r="B94" s="28" t="inlineStr">
        <is>
          <t>HF Sinclair Woods Cross</t>
        </is>
      </c>
      <c r="C94" s="28" t="n">
        <v>4</v>
      </c>
      <c r="D94" s="30">
        <f>SUMIFS(Data!$G$3:$G$125,Data!$A$3:$A$125,$A94)</f>
        <v/>
      </c>
      <c r="E94" s="29" t="n">
        <v>39.33</v>
      </c>
      <c r="F94" s="29" t="n"/>
      <c r="G94" s="29" t="n"/>
      <c r="H94" s="29" t="n"/>
      <c r="I94" s="29" t="n"/>
      <c r="J94" s="29" t="n"/>
      <c r="K94" s="29" t="n">
        <v>9.800000000000001</v>
      </c>
      <c r="L94" s="29" t="n"/>
      <c r="M94" s="29" t="n">
        <v>8</v>
      </c>
      <c r="N94" s="29" t="n"/>
      <c r="O94" s="29" t="n">
        <v>3</v>
      </c>
      <c r="P94" s="29" t="n">
        <v>6.32</v>
      </c>
      <c r="Q94" s="29" t="n"/>
      <c r="R94" s="29" t="n">
        <v>11.75</v>
      </c>
      <c r="S94" s="28" t="inlineStr">
        <is>
          <t>2024</t>
        </is>
      </c>
      <c r="T94" s="52">
        <f>IFERROR($E94/Nameplate!$E94,"")</f>
        <v/>
      </c>
    </row>
    <row r="95">
      <c r="A95" s="28" t="inlineStr">
        <is>
          <t>BIG_NORTH_SLATERVILLE_CANAL</t>
        </is>
      </c>
      <c r="B95" s="28" t="inlineStr">
        <is>
          <t>Big West Oil Co North Slaterville Canal</t>
        </is>
      </c>
      <c r="C95" s="28" t="n">
        <v>4</v>
      </c>
      <c r="D95" s="30">
        <f>SUMIFS(Data!$G$3:$G$125,Data!$A$3:$A$125,$A95)</f>
        <v/>
      </c>
      <c r="E95" s="29" t="n">
        <v>29.99</v>
      </c>
      <c r="F95" s="29" t="n"/>
      <c r="G95" s="29" t="n">
        <v>11.34</v>
      </c>
      <c r="H95" s="29" t="n"/>
      <c r="I95" s="29" t="n"/>
      <c r="J95" s="29" t="n"/>
      <c r="K95" s="29" t="n"/>
      <c r="L95" s="29" t="n"/>
      <c r="M95" s="29" t="n"/>
      <c r="N95" s="29" t="n"/>
      <c r="O95" s="29" t="n">
        <v>1.95</v>
      </c>
      <c r="P95" s="29" t="n">
        <v>2.54</v>
      </c>
      <c r="Q95" s="29" t="n"/>
      <c r="R95" s="29" t="n">
        <v>10.31</v>
      </c>
      <c r="S95" s="28" t="inlineStr">
        <is>
          <t>2018</t>
        </is>
      </c>
      <c r="T95" s="52">
        <f>IFERROR($E95/Nameplate!$E95,"")</f>
        <v/>
      </c>
    </row>
    <row r="96">
      <c r="A96" s="28" t="inlineStr">
        <is>
          <t>HF_CASPER</t>
        </is>
      </c>
      <c r="B96" s="28" t="inlineStr">
        <is>
          <t>HF Sinclair Casper</t>
        </is>
      </c>
      <c r="C96" s="28" t="n">
        <v>4</v>
      </c>
      <c r="D96" s="30">
        <f>SUMIFS(Data!$G$3:$G$125,Data!$A$3:$A$125,$A96)</f>
        <v/>
      </c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8" t="n"/>
      <c r="T96" s="52">
        <f>IFERROR($E96/Nameplate!$E96,"")</f>
        <v/>
      </c>
    </row>
    <row r="97">
      <c r="A97" s="28" t="inlineStr">
        <is>
          <t>PAR_NEWCASTLE</t>
        </is>
      </c>
      <c r="B97" s="28" t="inlineStr">
        <is>
          <t>Par Petroleum Newcastle</t>
        </is>
      </c>
      <c r="C97" s="28" t="n">
        <v>4</v>
      </c>
      <c r="D97" s="30">
        <f>SUMIFS(Data!$G$3:$G$125,Data!$A$3:$A$125,$A97)</f>
        <v/>
      </c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8" t="n"/>
      <c r="T97" s="52">
        <f>IFERROR($E97/Nameplate!$E97,"")</f>
        <v/>
      </c>
    </row>
    <row r="98">
      <c r="A98" s="28" t="inlineStr">
        <is>
          <t>MONTANA_GREAT_FALLS</t>
        </is>
      </c>
      <c r="B98" s="28" t="inlineStr">
        <is>
          <t>Montana Refining Co. Great Falls</t>
        </is>
      </c>
      <c r="C98" s="28" t="n">
        <v>4</v>
      </c>
      <c r="D98" s="30">
        <f>SUMIFS(Data!$G$3:$G$125,Data!$A$3:$A$125,$A98)</f>
        <v/>
      </c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8" t="n"/>
      <c r="T98" s="52">
        <f>IFERROR($E98/Nameplate!$E98,"")</f>
        <v/>
      </c>
    </row>
    <row r="99">
      <c r="A99" s="28" t="inlineStr">
        <is>
          <t>SILVER_WOODS_CROSS</t>
        </is>
      </c>
      <c r="B99" s="28" t="inlineStr">
        <is>
          <t>Silver Eagle Refining Woods Cross</t>
        </is>
      </c>
      <c r="C99" s="28" t="n">
        <v>4</v>
      </c>
      <c r="D99" s="30">
        <f>SUMIFS(Data!$G$3:$G$125,Data!$A$3:$A$125,$A99)</f>
        <v/>
      </c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8" t="n"/>
      <c r="T99" s="52">
        <f>IFERROR($E99/Nameplate!$E99,"")</f>
        <v/>
      </c>
    </row>
    <row r="100">
      <c r="A100" s="28" t="inlineStr">
        <is>
          <t>WYOMING_EVANSTON</t>
        </is>
      </c>
      <c r="B100" s="28" t="inlineStr">
        <is>
          <t>Wyoming Refining Evanston</t>
        </is>
      </c>
      <c r="C100" s="28" t="n">
        <v>4</v>
      </c>
      <c r="D100" s="30">
        <f>SUMIFS(Data!$G$3:$G$125,Data!$A$3:$A$125,$A100)</f>
        <v/>
      </c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8" t="n"/>
      <c r="T100" s="52">
        <f>IFERROR($E100/Nameplate!$E100,"")</f>
        <v/>
      </c>
    </row>
    <row r="101">
      <c r="A101" s="28" t="inlineStr">
        <is>
          <t>SLATE_DOUGLAS</t>
        </is>
      </c>
      <c r="B101" s="28" t="inlineStr">
        <is>
          <t>Slate Douglas</t>
        </is>
      </c>
      <c r="C101" s="28" t="n">
        <v>4</v>
      </c>
      <c r="D101" s="30">
        <f>SUMIFS(Data!$G$3:$G$125,Data!$A$3:$A$125,$A101)</f>
        <v/>
      </c>
      <c r="E101" s="29" t="n"/>
      <c r="F101" s="29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8" t="n"/>
      <c r="T101" s="52">
        <f>IFERROR($E101/Nameplate!$E101,"")</f>
        <v/>
      </c>
    </row>
    <row r="102">
      <c r="A102" s="28" t="inlineStr">
        <is>
          <t>CHEVRON_EL_SEGUNDO</t>
        </is>
      </c>
      <c r="B102" s="28" t="inlineStr">
        <is>
          <t>Chevron El Segundo</t>
        </is>
      </c>
      <c r="C102" s="28" t="n">
        <v>5</v>
      </c>
      <c r="D102" s="30">
        <f>SUMIFS(Data!$G$3:$G$125,Data!$A$3:$A$125,$A102)</f>
        <v/>
      </c>
      <c r="E102" s="29" t="n">
        <v>273.07</v>
      </c>
      <c r="F102" s="29" t="n">
        <v>145.08</v>
      </c>
      <c r="G102" s="29" t="n">
        <v>73.06</v>
      </c>
      <c r="H102" s="29" t="n"/>
      <c r="I102" s="29" t="n">
        <v>59.61</v>
      </c>
      <c r="J102" s="29" t="n"/>
      <c r="K102" s="29" t="n">
        <v>51.87</v>
      </c>
      <c r="L102" s="29" t="n"/>
      <c r="M102" s="29" t="n"/>
      <c r="N102" s="29" t="n">
        <v>45.8</v>
      </c>
      <c r="O102" s="29" t="n">
        <v>14.06</v>
      </c>
      <c r="P102" s="29" t="n">
        <v>21.52</v>
      </c>
      <c r="Q102" s="29" t="n"/>
      <c r="R102" s="29" t="n">
        <v>54.95</v>
      </c>
      <c r="S102" s="28" t="inlineStr">
        <is>
          <t>2018</t>
        </is>
      </c>
      <c r="T102" s="52">
        <f>IFERROR($E102/Nameplate!$E102,"")</f>
        <v/>
      </c>
    </row>
    <row r="103">
      <c r="A103" s="28" t="inlineStr">
        <is>
          <t>MARATHON_CARSON</t>
        </is>
      </c>
      <c r="B103" s="28" t="inlineStr">
        <is>
          <t>Marathon Petroleum Carson</t>
        </is>
      </c>
      <c r="C103" s="28" t="n">
        <v>5</v>
      </c>
      <c r="D103" s="30">
        <f>SUMIFS(Data!$G$3:$G$125,Data!$A$3:$A$125,$A103)</f>
        <v/>
      </c>
      <c r="E103" s="29" t="n"/>
      <c r="F103" s="29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8" t="n"/>
      <c r="T103" s="52">
        <f>IFERROR($E103/Nameplate!$E103,"")</f>
        <v/>
      </c>
    </row>
    <row r="104">
      <c r="A104" s="28" t="inlineStr">
        <is>
          <t>CHEVRON_RICHMOND</t>
        </is>
      </c>
      <c r="B104" s="28" t="inlineStr">
        <is>
          <t>Chevron Richmond</t>
        </is>
      </c>
      <c r="C104" s="28" t="n">
        <v>5</v>
      </c>
      <c r="D104" s="30">
        <f>SUMIFS(Data!$G$3:$G$125,Data!$A$3:$A$125,$A104)</f>
        <v/>
      </c>
      <c r="E104" s="29" t="n">
        <v>249</v>
      </c>
      <c r="F104" s="29" t="n">
        <v>100.65</v>
      </c>
      <c r="G104" s="29" t="n">
        <v>85.58</v>
      </c>
      <c r="H104" s="29" t="n"/>
      <c r="I104" s="29" t="n"/>
      <c r="J104" s="29" t="n"/>
      <c r="K104" s="29" t="n">
        <v>59.3</v>
      </c>
      <c r="L104" s="29" t="n"/>
      <c r="M104" s="29" t="n"/>
      <c r="N104" s="29" t="n"/>
      <c r="O104" s="29" t="n">
        <v>20.95</v>
      </c>
      <c r="P104" s="29" t="n">
        <v>20.71</v>
      </c>
      <c r="Q104" s="29" t="n"/>
      <c r="R104" s="29" t="n">
        <v>57.6</v>
      </c>
      <c r="S104" s="28" t="inlineStr">
        <is>
          <t>2018</t>
        </is>
      </c>
      <c r="T104" s="52">
        <f>IFERROR($E104/Nameplate!$E104,"")</f>
        <v/>
      </c>
    </row>
    <row r="105">
      <c r="A105" s="28" t="inlineStr">
        <is>
          <t>BP_FERNDALE</t>
        </is>
      </c>
      <c r="B105" s="28" t="inlineStr">
        <is>
          <t>BP Ferndale</t>
        </is>
      </c>
      <c r="C105" s="28" t="n">
        <v>5</v>
      </c>
      <c r="D105" s="30">
        <f>SUMIFS(Data!$G$3:$G$125,Data!$A$3:$A$125,$A105)</f>
        <v/>
      </c>
      <c r="E105" s="29" t="n">
        <v>234.11</v>
      </c>
      <c r="F105" s="29" t="n">
        <v>95.93000000000001</v>
      </c>
      <c r="G105" s="29" t="n"/>
      <c r="H105" s="29" t="n"/>
      <c r="I105" s="29" t="n">
        <v>41.3</v>
      </c>
      <c r="J105" s="29" t="n"/>
      <c r="K105" s="29" t="n">
        <v>64.90000000000001</v>
      </c>
      <c r="L105" s="29" t="n"/>
      <c r="M105" s="29" t="n"/>
      <c r="N105" s="29" t="n">
        <v>57.28</v>
      </c>
      <c r="O105" s="29" t="n">
        <v>21.46</v>
      </c>
      <c r="P105" s="29" t="n"/>
      <c r="Q105" s="29" t="n"/>
      <c r="R105" s="29" t="n">
        <v>61.09</v>
      </c>
      <c r="S105" s="28" t="inlineStr">
        <is>
          <t>2024</t>
        </is>
      </c>
      <c r="T105" s="52">
        <f>IFERROR($E105/Nameplate!$E105,"")</f>
        <v/>
      </c>
    </row>
    <row r="106">
      <c r="A106" s="28" t="inlineStr">
        <is>
          <t>PBF_TORRANCE</t>
        </is>
      </c>
      <c r="B106" s="28" t="inlineStr">
        <is>
          <t>PBF Energy Company LLC Torrance</t>
        </is>
      </c>
      <c r="C106" s="28" t="n">
        <v>5</v>
      </c>
      <c r="D106" s="30">
        <f>SUMIFS(Data!$G$3:$G$125,Data!$A$3:$A$125,$A106)</f>
        <v/>
      </c>
      <c r="E106" s="29" t="n">
        <v>154.8</v>
      </c>
      <c r="F106" s="29" t="n">
        <v>102.19</v>
      </c>
      <c r="G106" s="29" t="n">
        <v>74.73</v>
      </c>
      <c r="H106" s="29" t="n"/>
      <c r="I106" s="29" t="n">
        <v>58.01</v>
      </c>
      <c r="J106" s="29" t="n"/>
      <c r="K106" s="29" t="n">
        <v>27.67</v>
      </c>
      <c r="L106" s="29" t="n"/>
      <c r="M106" s="29" t="n">
        <v>19.94</v>
      </c>
      <c r="N106" s="29" t="n"/>
      <c r="O106" s="29" t="n"/>
      <c r="P106" s="29" t="n">
        <v>30</v>
      </c>
      <c r="Q106" s="29" t="n"/>
      <c r="R106" s="29" t="n">
        <v>23.51</v>
      </c>
      <c r="S106" s="28" t="inlineStr">
        <is>
          <t>2018</t>
        </is>
      </c>
      <c r="T106" s="52">
        <f>IFERROR($E106/Nameplate!$E106,"")</f>
        <v/>
      </c>
    </row>
    <row r="107">
      <c r="A107" s="28" t="inlineStr">
        <is>
          <t>PBF_MARTINEZ</t>
        </is>
      </c>
      <c r="B107" s="28" t="inlineStr">
        <is>
          <t>PBF Energy Company LLC Martinez</t>
        </is>
      </c>
      <c r="C107" s="28" t="n">
        <v>5</v>
      </c>
      <c r="D107" s="30">
        <f>SUMIFS(Data!$G$3:$G$125,Data!$A$3:$A$125,$A107)</f>
        <v/>
      </c>
      <c r="E107" s="29" t="n">
        <v>137.65</v>
      </c>
      <c r="F107" s="29" t="n">
        <v>57.35</v>
      </c>
      <c r="G107" s="29" t="n">
        <v>55.88</v>
      </c>
      <c r="H107" s="29" t="n"/>
      <c r="I107" s="29" t="n">
        <v>23.25</v>
      </c>
      <c r="J107" s="29" t="n">
        <v>15.38</v>
      </c>
      <c r="K107" s="29" t="n">
        <v>25.91</v>
      </c>
      <c r="L107" s="29" t="n"/>
      <c r="M107" s="29" t="n"/>
      <c r="N107" s="29" t="n">
        <v>30.86</v>
      </c>
      <c r="O107" s="29" t="n">
        <v>7.43</v>
      </c>
      <c r="P107" s="29" t="n">
        <v>15.66</v>
      </c>
      <c r="Q107" s="29" t="n"/>
      <c r="R107" s="29" t="n">
        <v>27.58</v>
      </c>
      <c r="S107" s="28" t="inlineStr">
        <is>
          <t>2017</t>
        </is>
      </c>
      <c r="T107" s="52">
        <f>IFERROR($E107/Nameplate!$E107,"")</f>
        <v/>
      </c>
    </row>
    <row r="108">
      <c r="A108" s="28" t="inlineStr">
        <is>
          <t>HF_ANACORTES</t>
        </is>
      </c>
      <c r="B108" s="28" t="inlineStr">
        <is>
          <t>HF Sinclair Anacortes</t>
        </is>
      </c>
      <c r="C108" s="28" t="n">
        <v>5</v>
      </c>
      <c r="D108" s="30">
        <f>SUMIFS(Data!$G$3:$G$125,Data!$A$3:$A$125,$A108)</f>
        <v/>
      </c>
      <c r="E108" s="29" t="n">
        <v>136.51</v>
      </c>
      <c r="F108" s="29" t="n">
        <v>52.48</v>
      </c>
      <c r="G108" s="29" t="n">
        <v>39.63</v>
      </c>
      <c r="H108" s="29" t="n"/>
      <c r="I108" s="29" t="n">
        <v>23.81</v>
      </c>
      <c r="J108" s="29" t="n"/>
      <c r="K108" s="29" t="n"/>
      <c r="L108" s="29" t="n"/>
      <c r="M108" s="29" t="n">
        <v>26.58</v>
      </c>
      <c r="N108" s="29" t="n"/>
      <c r="O108" s="29" t="n"/>
      <c r="P108" s="29" t="n">
        <v>9.77</v>
      </c>
      <c r="Q108" s="29" t="n"/>
      <c r="R108" s="29" t="n">
        <v>30.11</v>
      </c>
      <c r="S108" s="28" t="inlineStr">
        <is>
          <t>2019</t>
        </is>
      </c>
      <c r="T108" s="52">
        <f>IFERROR($E108/Nameplate!$E108,"")</f>
        <v/>
      </c>
    </row>
    <row r="109">
      <c r="A109" s="28" t="inlineStr">
        <is>
          <t>MARATHON_ANACORTES</t>
        </is>
      </c>
      <c r="B109" s="28" t="inlineStr">
        <is>
          <t>Marathon Petroleum Anacortes</t>
        </is>
      </c>
      <c r="C109" s="28" t="n">
        <v>5</v>
      </c>
      <c r="D109" s="30">
        <f>SUMIFS(Data!$G$3:$G$125,Data!$A$3:$A$125,$A109)</f>
        <v/>
      </c>
      <c r="E109" s="29" t="n">
        <v>132.22</v>
      </c>
      <c r="F109" s="29" t="n">
        <v>43.94</v>
      </c>
      <c r="G109" s="29" t="n">
        <v>50.86</v>
      </c>
      <c r="H109" s="29" t="n"/>
      <c r="I109" s="29" t="n"/>
      <c r="J109" s="29" t="n"/>
      <c r="K109" s="29" t="n"/>
      <c r="L109" s="29" t="n"/>
      <c r="M109" s="29" t="n"/>
      <c r="N109" s="29" t="n">
        <v>26</v>
      </c>
      <c r="O109" s="29" t="n"/>
      <c r="P109" s="29" t="n">
        <v>14.39</v>
      </c>
      <c r="Q109" s="29" t="n"/>
      <c r="R109" s="29" t="n">
        <v>35.99</v>
      </c>
      <c r="S109" s="28" t="inlineStr">
        <is>
          <t>2017</t>
        </is>
      </c>
      <c r="T109" s="52">
        <f>IFERROR($E109/Nameplate!$E109,"")</f>
        <v/>
      </c>
    </row>
    <row r="110">
      <c r="A110" s="28" t="inlineStr">
        <is>
          <t>PHILLIPS_FERNDALE</t>
        </is>
      </c>
      <c r="B110" s="28" t="inlineStr">
        <is>
          <t>Phillips 66 Co. Ferndale</t>
        </is>
      </c>
      <c r="C110" s="28" t="n">
        <v>5</v>
      </c>
      <c r="D110" s="30">
        <f>SUMIFS(Data!$G$3:$G$125,Data!$A$3:$A$125,$A110)</f>
        <v/>
      </c>
      <c r="E110" s="29" t="n">
        <v>104.97</v>
      </c>
      <c r="F110" s="29" t="n">
        <v>39</v>
      </c>
      <c r="G110" s="29" t="n">
        <v>37.94</v>
      </c>
      <c r="H110" s="29" t="n"/>
      <c r="I110" s="29" t="n"/>
      <c r="J110" s="29" t="n"/>
      <c r="K110" s="29" t="n"/>
      <c r="L110" s="29" t="n"/>
      <c r="M110" s="29" t="n"/>
      <c r="N110" s="29" t="n">
        <v>17.08</v>
      </c>
      <c r="O110" s="29" t="n"/>
      <c r="P110" s="29" t="n">
        <v>15.44</v>
      </c>
      <c r="Q110" s="29" t="n"/>
      <c r="R110" s="29" t="n">
        <v>18.6</v>
      </c>
      <c r="S110" s="28" t="inlineStr">
        <is>
          <t>2017</t>
        </is>
      </c>
      <c r="T110" s="52">
        <f>IFERROR($E110/Nameplate!$E110,"")</f>
        <v/>
      </c>
    </row>
    <row r="111">
      <c r="A111" s="28" t="inlineStr">
        <is>
          <t>MARATHON_LOS_ANGELES</t>
        </is>
      </c>
      <c r="B111" s="28" t="inlineStr">
        <is>
          <t>Marathon Petroleum Los Angeles</t>
        </is>
      </c>
      <c r="C111" s="28" t="n">
        <v>5</v>
      </c>
      <c r="D111" s="30">
        <f>SUMIFS(Data!$G$3:$G$125,Data!$A$3:$A$125,$A111)</f>
        <v/>
      </c>
      <c r="E111" s="29" t="n"/>
      <c r="F111" s="29" t="n"/>
      <c r="G111" s="29" t="n"/>
      <c r="H111" s="29" t="n"/>
      <c r="I111" s="29" t="n"/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8" t="n"/>
      <c r="T111" s="52">
        <f>IFERROR($E111/Nameplate!$E111,"")</f>
        <v/>
      </c>
    </row>
    <row r="112">
      <c r="A112" s="28" t="inlineStr">
        <is>
          <t>PAR_EWA_BEACH</t>
        </is>
      </c>
      <c r="B112" s="28" t="inlineStr">
        <is>
          <t>Par Petroleum Ewa Beach</t>
        </is>
      </c>
      <c r="C112" s="28" t="n">
        <v>5</v>
      </c>
      <c r="D112" s="30">
        <f>SUMIFS(Data!$G$3:$G$125,Data!$A$3:$A$125,$A112)</f>
        <v/>
      </c>
      <c r="E112" s="29" t="n">
        <v>109</v>
      </c>
      <c r="F112" s="29" t="n">
        <v>43.41</v>
      </c>
      <c r="G112" s="29" t="n">
        <v>17.49</v>
      </c>
      <c r="H112" s="29" t="n"/>
      <c r="I112" s="29" t="n"/>
      <c r="J112" s="29" t="n"/>
      <c r="K112" s="29" t="n">
        <v>21.99</v>
      </c>
      <c r="L112" s="29" t="n"/>
      <c r="M112" s="29" t="n"/>
      <c r="N112" s="29" t="n">
        <v>11.83</v>
      </c>
      <c r="O112" s="29" t="n"/>
      <c r="P112" s="29" t="n">
        <v>0.64</v>
      </c>
      <c r="Q112" s="29" t="n"/>
      <c r="R112" s="29" t="n">
        <v>18.31</v>
      </c>
      <c r="S112" s="28" t="inlineStr">
        <is>
          <t>2019</t>
        </is>
      </c>
      <c r="T112" s="52">
        <f>IFERROR($E112/Nameplate!$E112,"")</f>
        <v/>
      </c>
    </row>
    <row r="113">
      <c r="A113" s="28" t="inlineStr">
        <is>
          <t>VALERO_LOS_ANGELES</t>
        </is>
      </c>
      <c r="B113" s="28" t="inlineStr">
        <is>
          <t>Valero Los Angeles</t>
        </is>
      </c>
      <c r="C113" s="28" t="n">
        <v>5</v>
      </c>
      <c r="D113" s="30">
        <f>SUMIFS(Data!$G$3:$G$125,Data!$A$3:$A$125,$A113)</f>
        <v/>
      </c>
      <c r="E113" s="29" t="n">
        <v>82.65000000000001</v>
      </c>
      <c r="F113" s="29" t="n">
        <v>38.55</v>
      </c>
      <c r="G113" s="29" t="n">
        <v>52.6</v>
      </c>
      <c r="H113" s="29" t="n"/>
      <c r="I113" s="29" t="n">
        <v>21.81</v>
      </c>
      <c r="J113" s="29" t="n"/>
      <c r="K113" s="29" t="n"/>
      <c r="L113" s="29" t="n"/>
      <c r="M113" s="29" t="n"/>
      <c r="N113" s="29" t="n">
        <v>16.91</v>
      </c>
      <c r="O113" s="29" t="n"/>
      <c r="P113" s="29" t="n">
        <v>18.07</v>
      </c>
      <c r="Q113" s="29" t="n"/>
      <c r="R113" s="29" t="n">
        <v>26.63</v>
      </c>
      <c r="S113" s="28" t="inlineStr">
        <is>
          <t>2023</t>
        </is>
      </c>
      <c r="T113" s="52">
        <f>IFERROR($E113/Nameplate!$E113,"")</f>
        <v/>
      </c>
    </row>
    <row r="114">
      <c r="A114" s="28" t="inlineStr">
        <is>
          <t>MARATHON_NIKISKI</t>
        </is>
      </c>
      <c r="B114" s="28" t="inlineStr">
        <is>
          <t>Marathon Petroleum Nikiski</t>
        </is>
      </c>
      <c r="C114" s="28" t="n">
        <v>5</v>
      </c>
      <c r="D114" s="30">
        <f>SUMIFS(Data!$G$3:$G$125,Data!$A$3:$A$125,$A114)</f>
        <v/>
      </c>
      <c r="E114" s="29" t="n">
        <v>66.23999999999999</v>
      </c>
      <c r="F114" s="29" t="n">
        <v>25.98</v>
      </c>
      <c r="G114" s="29" t="n"/>
      <c r="H114" s="29" t="n"/>
      <c r="I114" s="29" t="n"/>
      <c r="J114" s="29" t="n"/>
      <c r="K114" s="29" t="n">
        <v>12.99</v>
      </c>
      <c r="L114" s="29" t="n"/>
      <c r="M114" s="29" t="n">
        <v>11.43</v>
      </c>
      <c r="N114" s="29" t="n">
        <v>13.74</v>
      </c>
      <c r="O114" s="29" t="n">
        <v>5.49</v>
      </c>
      <c r="P114" s="29" t="n"/>
      <c r="Q114" s="29" t="n"/>
      <c r="R114" s="29" t="n">
        <v>12.85</v>
      </c>
      <c r="S114" s="28" t="inlineStr">
        <is>
          <t>2024</t>
        </is>
      </c>
      <c r="T114" s="52">
        <f>IFERROR($E114/Nameplate!$E114,"")</f>
        <v/>
      </c>
    </row>
    <row r="115">
      <c r="A115" s="28" t="inlineStr">
        <is>
          <t>PETRO_VALDEZ</t>
        </is>
      </c>
      <c r="B115" s="28" t="inlineStr">
        <is>
          <t>Petro Star Inc. Valdez</t>
        </is>
      </c>
      <c r="C115" s="28" t="n">
        <v>5</v>
      </c>
      <c r="D115" s="30">
        <f>SUMIFS(Data!$G$3:$G$125,Data!$A$3:$A$125,$A115)</f>
        <v/>
      </c>
      <c r="E115" s="29" t="n"/>
      <c r="F115" s="29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8" t="n"/>
      <c r="T115" s="52">
        <f>IFERROR($E115/Nameplate!$E115,"")</f>
        <v/>
      </c>
    </row>
    <row r="116">
      <c r="A116" s="28" t="inlineStr">
        <is>
          <t>PAR_TACOMA</t>
        </is>
      </c>
      <c r="B116" s="28" t="inlineStr">
        <is>
          <t>Par Petroleum Tacoma</t>
        </is>
      </c>
      <c r="C116" s="28" t="n">
        <v>5</v>
      </c>
      <c r="D116" s="30">
        <f>SUMIFS(Data!$G$3:$G$125,Data!$A$3:$A$125,$A116)</f>
        <v/>
      </c>
      <c r="E116" s="29" t="n"/>
      <c r="F116" s="29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8" t="n"/>
      <c r="T116" s="52">
        <f>IFERROR($E116/Nameplate!$E116,"")</f>
        <v/>
      </c>
    </row>
    <row r="117">
      <c r="A117" s="28" t="inlineStr">
        <is>
          <t>KERN_BAKERSFIELD</t>
        </is>
      </c>
      <c r="B117" s="28" t="inlineStr">
        <is>
          <t>Kern Oil Bakersfield</t>
        </is>
      </c>
      <c r="C117" s="28" t="n">
        <v>5</v>
      </c>
      <c r="D117" s="30">
        <f>SUMIFS(Data!$G$3:$G$125,Data!$A$3:$A$125,$A117)</f>
        <v/>
      </c>
      <c r="E117" s="29" t="n"/>
      <c r="F117" s="29" t="n"/>
      <c r="G117" s="29" t="n"/>
      <c r="H117" s="29" t="n"/>
      <c r="I117" s="29" t="n"/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8" t="n"/>
      <c r="T117" s="52">
        <f>IFERROR($E117/Nameplate!$E117,"")</f>
        <v/>
      </c>
    </row>
    <row r="118">
      <c r="A118" s="28" t="inlineStr">
        <is>
          <t>SAN_BAKERSFIELD</t>
        </is>
      </c>
      <c r="B118" s="28" t="inlineStr">
        <is>
          <t>San Joaquin Refining Bakersfield</t>
        </is>
      </c>
      <c r="C118" s="28" t="n">
        <v>5</v>
      </c>
      <c r="D118" s="30">
        <f>SUMIFS(Data!$G$3:$G$125,Data!$A$3:$A$125,$A118)</f>
        <v/>
      </c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8" t="n"/>
      <c r="T118" s="52">
        <f>IFERROR($E118/Nameplate!$E118,"")</f>
        <v/>
      </c>
    </row>
    <row r="119">
      <c r="A119" s="28" t="inlineStr">
        <is>
          <t>PETRO_NORTH_POLE</t>
        </is>
      </c>
      <c r="B119" s="28" t="inlineStr">
        <is>
          <t>Petro Star Inc. North Pole</t>
        </is>
      </c>
      <c r="C119" s="28" t="n">
        <v>5</v>
      </c>
      <c r="D119" s="30">
        <f>SUMIFS(Data!$G$3:$G$125,Data!$A$3:$A$125,$A119)</f>
        <v/>
      </c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8" t="n"/>
      <c r="T119" s="52">
        <f>IFERROR($E119/Nameplate!$E119,"")</f>
        <v/>
      </c>
    </row>
    <row r="120">
      <c r="A120" s="28" t="inlineStr">
        <is>
          <t>BP_PRUDHOE_BAY</t>
        </is>
      </c>
      <c r="B120" s="28" t="inlineStr">
        <is>
          <t>BP Prudhoe Bay</t>
        </is>
      </c>
      <c r="C120" s="28" t="n">
        <v>5</v>
      </c>
      <c r="D120" s="30">
        <f>SUMIFS(Data!$G$3:$G$125,Data!$A$3:$A$125,$A120)</f>
        <v/>
      </c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8" t="n"/>
      <c r="T120" s="52">
        <f>IFERROR($E120/Nameplate!$E120,"")</f>
        <v/>
      </c>
    </row>
    <row r="121">
      <c r="A121" s="28" t="inlineStr">
        <is>
          <t>CONOCOPHILLIPS_ANCHORAGE</t>
        </is>
      </c>
      <c r="B121" s="28" t="inlineStr">
        <is>
          <t>ConocoPhillips Anchorage</t>
        </is>
      </c>
      <c r="C121" s="28" t="n">
        <v>5</v>
      </c>
      <c r="D121" s="30">
        <f>SUMIFS(Data!$G$3:$G$125,Data!$A$3:$A$125,$A121)</f>
        <v/>
      </c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8" t="n"/>
      <c r="T121" s="52">
        <f>IFERROR($E121/Nameplate!$E121,"")</f>
        <v/>
      </c>
    </row>
    <row r="122">
      <c r="A122" s="28" t="inlineStr">
        <is>
          <t>LUNDAYTHAGARD_SOUTH_GATE</t>
        </is>
      </c>
      <c r="B122" s="28" t="inlineStr">
        <is>
          <t>Lunday-Thagard Oil Co. South Gate</t>
        </is>
      </c>
      <c r="C122" s="28" t="n">
        <v>5</v>
      </c>
      <c r="D122" s="30">
        <f>SUMIFS(Data!$G$3:$G$125,Data!$A$3:$A$125,$A122)</f>
        <v/>
      </c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8" t="n"/>
      <c r="T122" s="52">
        <f>IFERROR($E122/Nameplate!$E122,"")</f>
        <v/>
      </c>
    </row>
    <row r="123">
      <c r="A123" s="28" t="inlineStr">
        <is>
          <t>FORELAND_TONOPAH</t>
        </is>
      </c>
      <c r="B123" s="28" t="inlineStr">
        <is>
          <t>Foreland Corp Tonopah</t>
        </is>
      </c>
      <c r="C123" s="28" t="n">
        <v>5</v>
      </c>
      <c r="D123" s="30">
        <f>SUMIFS(Data!$G$3:$G$125,Data!$A$3:$A$125,$A123)</f>
        <v/>
      </c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8" t="n"/>
      <c r="T123" s="52">
        <f>IFERROR($E123/Nameplate!$E123,"")</f>
        <v/>
      </c>
    </row>
    <row r="124">
      <c r="A124" s="28" t="inlineStr">
        <is>
          <t>PHILLIPS_LOS_ANGELES</t>
        </is>
      </c>
      <c r="B124" s="28" t="inlineStr">
        <is>
          <t>Phillips 66 Co. Los Angeles</t>
        </is>
      </c>
      <c r="C124" s="28" t="n">
        <v>5</v>
      </c>
      <c r="D124" s="30">
        <f>SUMIFS(Data!$G$3:$G$125,Data!$A$3:$A$125,$A124)</f>
        <v/>
      </c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8" t="n"/>
      <c r="T124" s="52">
        <f>IFERROR($E124/Nameplate!$E124,"")</f>
        <v/>
      </c>
    </row>
    <row r="125">
      <c r="A125" s="28" t="inlineStr">
        <is>
          <t>VALERO_BENICIA</t>
        </is>
      </c>
      <c r="B125" s="28" t="inlineStr">
        <is>
          <t>Valero Benicia</t>
        </is>
      </c>
      <c r="C125" s="28" t="n">
        <v>5</v>
      </c>
      <c r="D125" s="30">
        <f>SUMIFS(Data!$G$3:$G$125,Data!$A$3:$A$125,$A125)</f>
        <v/>
      </c>
      <c r="E125" s="29" t="n">
        <v>133.86</v>
      </c>
      <c r="F125" s="29" t="n">
        <v>67.31</v>
      </c>
      <c r="G125" s="29" t="n">
        <v>58.69</v>
      </c>
      <c r="H125" s="29" t="n"/>
      <c r="I125" s="29" t="n"/>
      <c r="J125" s="29" t="n">
        <v>28.66</v>
      </c>
      <c r="K125" s="29" t="n">
        <v>15.86</v>
      </c>
      <c r="L125" s="29" t="n"/>
      <c r="M125" s="29" t="n">
        <v>27.62</v>
      </c>
      <c r="N125" s="29" t="n"/>
      <c r="O125" s="29" t="n"/>
      <c r="P125" s="29" t="n">
        <v>16.1</v>
      </c>
      <c r="Q125" s="29" t="n"/>
      <c r="R125" s="29" t="n">
        <v>36.48</v>
      </c>
      <c r="S125" s="28" t="inlineStr">
        <is>
          <t>2018</t>
        </is>
      </c>
      <c r="T125" s="52">
        <f>IFERROR($E125/Nameplate!$E125,"")</f>
        <v/>
      </c>
    </row>
    <row r="127" ht="20" customHeight="1">
      <c r="A127" s="8" t="inlineStr">
        <is>
          <t>PADD rollup — CDU nameplate vs effective vs running (kbd, unit-detail refineries only)</t>
        </is>
      </c>
      <c r="B127" s="9" t="n"/>
      <c r="C127" s="9" t="n"/>
      <c r="D127" s="9" t="n"/>
      <c r="E127" s="9" t="n"/>
      <c r="F127" s="9" t="n"/>
      <c r="G127" s="9" t="n"/>
      <c r="H127" s="9" t="n"/>
    </row>
    <row r="128">
      <c r="A128" s="23" t="inlineStr">
        <is>
          <t>PADD</t>
        </is>
      </c>
      <c r="B128" s="23" t="inlineStr">
        <is>
          <t>nameplate</t>
        </is>
      </c>
      <c r="C128" s="23" t="inlineStr">
        <is>
          <t>effective</t>
        </is>
      </c>
      <c r="D128" s="23" t="inlineStr">
        <is>
          <t>running now</t>
        </is>
      </c>
    </row>
    <row r="129">
      <c r="A129" s="50" t="n">
        <v>1</v>
      </c>
      <c r="B129" s="55">
        <f>SUMIFS(Nameplate!$E$3:$E$125,Nameplate!$C$3:$C$125,1)</f>
        <v/>
      </c>
      <c r="C129" s="55">
        <f>SUMIFS($E$3:$E$125,$C$3:$C$125,1)</f>
        <v/>
      </c>
      <c r="D129" s="55">
        <f>SUMPRODUCT(('Individual Refineries'!$D$3:$D$1084="CDU")*('Individual Refineries'!$C$3:$C$1084=1)*'Individual Refineries'!$F$3:$F$1084*'Individual Refineries'!$K$3:$K$1084)</f>
        <v/>
      </c>
    </row>
    <row r="130">
      <c r="A130" s="50" t="n">
        <v>2</v>
      </c>
      <c r="B130" s="55">
        <f>SUMIFS(Nameplate!$E$3:$E$125,Nameplate!$C$3:$C$125,2)</f>
        <v/>
      </c>
      <c r="C130" s="55">
        <f>SUMIFS($E$3:$E$125,$C$3:$C$125,2)</f>
        <v/>
      </c>
      <c r="D130" s="55">
        <f>SUMPRODUCT(('Individual Refineries'!$D$3:$D$1084="CDU")*('Individual Refineries'!$C$3:$C$1084=2)*'Individual Refineries'!$F$3:$F$1084*'Individual Refineries'!$K$3:$K$1084)</f>
        <v/>
      </c>
    </row>
    <row r="131">
      <c r="A131" s="50" t="n">
        <v>3</v>
      </c>
      <c r="B131" s="55">
        <f>SUMIFS(Nameplate!$E$3:$E$125,Nameplate!$C$3:$C$125,3)</f>
        <v/>
      </c>
      <c r="C131" s="55">
        <f>SUMIFS($E$3:$E$125,$C$3:$C$125,3)</f>
        <v/>
      </c>
      <c r="D131" s="55">
        <f>SUMPRODUCT(('Individual Refineries'!$D$3:$D$1084="CDU")*('Individual Refineries'!$C$3:$C$1084=3)*'Individual Refineries'!$F$3:$F$1084*'Individual Refineries'!$K$3:$K$1084)</f>
        <v/>
      </c>
    </row>
    <row r="132">
      <c r="A132" s="50" t="n">
        <v>4</v>
      </c>
      <c r="B132" s="55">
        <f>SUMIFS(Nameplate!$E$3:$E$125,Nameplate!$C$3:$C$125,4)</f>
        <v/>
      </c>
      <c r="C132" s="55">
        <f>SUMIFS($E$3:$E$125,$C$3:$C$125,4)</f>
        <v/>
      </c>
      <c r="D132" s="55">
        <f>SUMPRODUCT(('Individual Refineries'!$D$3:$D$1084="CDU")*('Individual Refineries'!$C$3:$C$1084=4)*'Individual Refineries'!$F$3:$F$1084*'Individual Refineries'!$K$3:$K$1084)</f>
        <v/>
      </c>
    </row>
    <row r="133">
      <c r="A133" s="50" t="n">
        <v>5</v>
      </c>
      <c r="B133" s="55">
        <f>SUMIFS(Nameplate!$E$3:$E$125,Nameplate!$C$3:$C$125,5)</f>
        <v/>
      </c>
      <c r="C133" s="55">
        <f>SUMIFS($E$3:$E$125,$C$3:$C$125,5)</f>
        <v/>
      </c>
      <c r="D133" s="55">
        <f>SUMPRODUCT(('Individual Refineries'!$D$3:$D$1084="CDU")*('Individual Refineries'!$C$3:$C$1084=5)*'Individual Refineries'!$F$3:$F$1084*'Individual Refineries'!$K$3:$K$1084)</f>
        <v/>
      </c>
    </row>
  </sheetData>
  <autoFilter ref="A2:T125"/>
  <mergeCells count="2">
    <mergeCell ref="A1:U1"/>
    <mergeCell ref="A127:H127"/>
  </mergeCells>
  <conditionalFormatting sqref="E3:E125">
    <cfRule type="dataBar" priority="1">
      <dataBar showValue="1">
        <cfvo type="num" val="0"/>
        <cfvo type="max"/>
        <color rgb="00C9A227"/>
      </dataBar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O125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" customWidth="1" min="4" max="4"/>
    <col width="13" customWidth="1" min="5" max="5"/>
    <col width="15" customWidth="1" min="6" max="6"/>
    <col width="10" customWidth="1" min="7" max="7"/>
    <col width="9" customWidth="1" min="8" max="8"/>
    <col width="12" customWidth="1" min="9" max="9"/>
    <col width="9" customWidth="1" min="10" max="10"/>
    <col width="8" customWidth="1" min="11" max="11"/>
    <col width="9" customWidth="1" min="12" max="12"/>
    <col width="8" customWidth="1" min="13" max="13"/>
    <col width="9" customWidth="1" min="14" max="14"/>
    <col width="8" customWidth="1" min="15" max="15"/>
  </cols>
  <sheetData>
    <row r="1" ht="20" customHeight="1">
      <c r="A1" s="8" t="inlineStr">
        <is>
          <t>Imported data — refinery registry + 2024 net yields (% of crude). Type a crude capacity (blue) and that refinery's box lights up. Re-import: python -m naphtha_model ingest-yields &lt;file&gt;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</row>
    <row r="2">
      <c r="A2" s="23" t="inlineStr">
        <is>
          <t>refinery_id</t>
        </is>
      </c>
      <c r="B2" s="23" t="inlineStr">
        <is>
          <t>name</t>
        </is>
      </c>
      <c r="C2" s="23" t="inlineStr">
        <is>
          <t>owner</t>
        </is>
      </c>
      <c r="D2" s="23" t="inlineStr">
        <is>
          <t>padd</t>
        </is>
      </c>
      <c r="E2" s="23" t="inlineStr">
        <is>
          <t>state</t>
        </is>
      </c>
      <c r="F2" s="23" t="inlineStr">
        <is>
          <t>city</t>
        </is>
      </c>
      <c r="G2" s="23" t="inlineStr">
        <is>
          <t>crude_capacity_kbd</t>
        </is>
      </c>
      <c r="H2" s="23" t="inlineStr">
        <is>
          <t>status</t>
        </is>
      </c>
      <c r="I2" s="23" t="inlineStr">
        <is>
          <t>gasoil_diesel</t>
        </is>
      </c>
      <c r="J2" s="23" t="inlineStr">
        <is>
          <t>gasoline</t>
        </is>
      </c>
      <c r="K2" s="23" t="inlineStr">
        <is>
          <t>hfo</t>
        </is>
      </c>
      <c r="L2" s="23" t="inlineStr">
        <is>
          <t>kero_jet</t>
        </is>
      </c>
      <c r="M2" s="23" t="inlineStr">
        <is>
          <t>lpg</t>
        </is>
      </c>
      <c r="N2" s="23" t="inlineStr">
        <is>
          <t>naphtha</t>
        </is>
      </c>
      <c r="O2" s="23" t="inlineStr">
        <is>
          <t>total</t>
        </is>
      </c>
    </row>
    <row r="3">
      <c r="A3" s="28" t="inlineStr">
        <is>
          <t>PHILLIPS_LINDEN</t>
        </is>
      </c>
      <c r="B3" s="28" t="inlineStr">
        <is>
          <t>Phillips 66 Co. Linden</t>
        </is>
      </c>
      <c r="C3" s="28" t="inlineStr">
        <is>
          <t>Phillips 66 Co.</t>
        </is>
      </c>
      <c r="D3" s="28" t="n">
        <v>1</v>
      </c>
      <c r="E3" s="28" t="inlineStr">
        <is>
          <t>New Jersey</t>
        </is>
      </c>
      <c r="F3" s="28" t="inlineStr">
        <is>
          <t>Linden</t>
        </is>
      </c>
      <c r="G3" s="29" t="n">
        <v>258</v>
      </c>
      <c r="H3" s="28" t="inlineStr">
        <is>
          <t>operating</t>
        </is>
      </c>
      <c r="I3" s="56" t="n">
        <v>0.320086</v>
      </c>
      <c r="J3" s="56" t="n">
        <v>0.513787</v>
      </c>
      <c r="K3" s="56" t="n">
        <v>0.001038</v>
      </c>
      <c r="L3" s="56" t="n">
        <v>0.09799200000000001</v>
      </c>
      <c r="M3" s="56" t="n">
        <v>0.024308</v>
      </c>
      <c r="N3" s="56" t="n">
        <v>0</v>
      </c>
      <c r="O3" s="56" t="n">
        <v>0.95721</v>
      </c>
    </row>
    <row r="4">
      <c r="A4" s="28" t="inlineStr">
        <is>
          <t>MONROE_TRAINER</t>
        </is>
      </c>
      <c r="B4" s="28" t="inlineStr">
        <is>
          <t>Monroe Energy Trainer</t>
        </is>
      </c>
      <c r="C4" s="28" t="inlineStr">
        <is>
          <t>Delta Airlines</t>
        </is>
      </c>
      <c r="D4" s="28" t="n">
        <v>1</v>
      </c>
      <c r="E4" s="28" t="inlineStr">
        <is>
          <t>Pennsylvania</t>
        </is>
      </c>
      <c r="F4" s="28" t="inlineStr">
        <is>
          <t>Trainer</t>
        </is>
      </c>
      <c r="G4" s="29" t="n">
        <v>185</v>
      </c>
      <c r="H4" s="28" t="inlineStr">
        <is>
          <t>operating</t>
        </is>
      </c>
      <c r="I4" s="56" t="n">
        <v>0.19063</v>
      </c>
      <c r="J4" s="56" t="n">
        <v>0.5729529999999999</v>
      </c>
      <c r="K4" s="56" t="n">
        <v>0.012446</v>
      </c>
      <c r="L4" s="56" t="n">
        <v>0.196579</v>
      </c>
      <c r="M4" s="56" t="n">
        <v>0.014049</v>
      </c>
      <c r="N4" s="56" t="n">
        <v>0</v>
      </c>
      <c r="O4" s="56" t="n">
        <v>0.986657</v>
      </c>
    </row>
    <row r="5">
      <c r="A5" s="28" t="inlineStr">
        <is>
          <t>PBF_DELAWARE_CITY</t>
        </is>
      </c>
      <c r="B5" s="28" t="inlineStr">
        <is>
          <t>PBF Energy Company LLC Delaware City</t>
        </is>
      </c>
      <c r="C5" s="28" t="inlineStr">
        <is>
          <t>PBF Energy Company LLC</t>
        </is>
      </c>
      <c r="D5" s="28" t="n">
        <v>1</v>
      </c>
      <c r="E5" s="28" t="inlineStr">
        <is>
          <t>Delaware</t>
        </is>
      </c>
      <c r="F5" s="28" t="inlineStr">
        <is>
          <t>Delaware City</t>
        </is>
      </c>
      <c r="G5" s="29" t="n">
        <v>180</v>
      </c>
      <c r="H5" s="28" t="inlineStr">
        <is>
          <t>operating</t>
        </is>
      </c>
      <c r="I5" s="56" t="n">
        <v>0.288664</v>
      </c>
      <c r="J5" s="56" t="n">
        <v>0.626601</v>
      </c>
      <c r="K5" s="56" t="n">
        <v>0.006595999999999999</v>
      </c>
      <c r="L5" s="56" t="n">
        <v>0.118778</v>
      </c>
      <c r="M5" s="56" t="n">
        <v>0.027567</v>
      </c>
      <c r="N5" s="56" t="n">
        <v>0</v>
      </c>
      <c r="O5" s="56" t="n">
        <v>1.068205</v>
      </c>
    </row>
    <row r="6">
      <c r="A6" s="28" t="inlineStr">
        <is>
          <t>PBF_PAULSBORO</t>
        </is>
      </c>
      <c r="B6" s="28" t="inlineStr">
        <is>
          <t>PBF Energy Company LLC Paulsboro</t>
        </is>
      </c>
      <c r="C6" s="28" t="inlineStr">
        <is>
          <t>PBF Energy Company LLC</t>
        </is>
      </c>
      <c r="D6" s="28" t="n">
        <v>1</v>
      </c>
      <c r="E6" s="28" t="inlineStr">
        <is>
          <t>New Jersey</t>
        </is>
      </c>
      <c r="F6" s="28" t="inlineStr">
        <is>
          <t>Paulsboro</t>
        </is>
      </c>
      <c r="G6" s="29" t="n">
        <v>100</v>
      </c>
      <c r="H6" s="28" t="inlineStr">
        <is>
          <t>operating</t>
        </is>
      </c>
      <c r="I6" s="56" t="n">
        <v>0.373933</v>
      </c>
      <c r="J6" s="56" t="n">
        <v>0.272644</v>
      </c>
      <c r="K6" s="56" t="n">
        <v>0.024194</v>
      </c>
      <c r="L6" s="56" t="n">
        <v>0.199112</v>
      </c>
      <c r="M6" s="56" t="n">
        <v>0.009816</v>
      </c>
      <c r="N6" s="56" t="n">
        <v>0</v>
      </c>
      <c r="O6" s="56" t="n">
        <v>0.8796980000000001</v>
      </c>
    </row>
    <row r="7">
      <c r="A7" s="28" t="inlineStr">
        <is>
          <t>UNITED_WARREN</t>
        </is>
      </c>
      <c r="B7" s="28" t="inlineStr">
        <is>
          <t>United Refining Warren</t>
        </is>
      </c>
      <c r="C7" s="28" t="inlineStr">
        <is>
          <t>United Refining</t>
        </is>
      </c>
      <c r="D7" s="28" t="n">
        <v>1</v>
      </c>
      <c r="E7" s="28" t="inlineStr">
        <is>
          <t>Pennsylvania</t>
        </is>
      </c>
      <c r="F7" s="28" t="inlineStr">
        <is>
          <t>Warren</t>
        </is>
      </c>
      <c r="G7" s="29" t="n">
        <v>70</v>
      </c>
      <c r="H7" s="28" t="inlineStr">
        <is>
          <t>operating</t>
        </is>
      </c>
      <c r="I7" s="56" t="n">
        <v>0.174032</v>
      </c>
      <c r="J7" s="56" t="n">
        <v>0.450898</v>
      </c>
      <c r="K7" s="56" t="n">
        <v>0.001753</v>
      </c>
      <c r="L7" s="56" t="n">
        <v>0</v>
      </c>
      <c r="M7" s="56" t="n">
        <v>0.0007560000000000001</v>
      </c>
      <c r="N7" s="56" t="n">
        <v>0</v>
      </c>
      <c r="O7" s="56" t="n">
        <v>0.627437</v>
      </c>
    </row>
    <row r="8">
      <c r="A8" s="28" t="inlineStr">
        <is>
          <t>ERGON_NEWELL</t>
        </is>
      </c>
      <c r="B8" s="28" t="inlineStr">
        <is>
          <t>Ergon Newell</t>
        </is>
      </c>
      <c r="C8" s="28" t="inlineStr">
        <is>
          <t>Ergon</t>
        </is>
      </c>
      <c r="D8" s="28" t="n">
        <v>1</v>
      </c>
      <c r="E8" s="28" t="inlineStr">
        <is>
          <t>West Virginia</t>
        </is>
      </c>
      <c r="F8" s="28" t="inlineStr">
        <is>
          <t>Newell</t>
        </is>
      </c>
      <c r="G8" s="29" t="n">
        <v>22.3</v>
      </c>
      <c r="H8" s="28" t="inlineStr">
        <is>
          <t>operating</t>
        </is>
      </c>
      <c r="I8" s="56" t="n">
        <v>0.276305</v>
      </c>
      <c r="J8" s="56" t="n">
        <v>0.340546</v>
      </c>
      <c r="K8" s="56" t="n">
        <v>0</v>
      </c>
      <c r="L8" s="56" t="n">
        <v>0</v>
      </c>
      <c r="M8" s="56" t="n">
        <v>0.001903</v>
      </c>
      <c r="N8" s="56" t="n">
        <v>0</v>
      </c>
      <c r="O8" s="56" t="n">
        <v>0.618754</v>
      </c>
    </row>
    <row r="9">
      <c r="A9" s="28" t="inlineStr">
        <is>
          <t>AMERICAN_BRADFORD</t>
        </is>
      </c>
      <c r="B9" s="28" t="inlineStr">
        <is>
          <t>American Refining Group Bradford</t>
        </is>
      </c>
      <c r="C9" s="28" t="inlineStr">
        <is>
          <t>American Refining Group</t>
        </is>
      </c>
      <c r="D9" s="28" t="n">
        <v>1</v>
      </c>
      <c r="E9" s="28" t="inlineStr">
        <is>
          <t>Pennsylvania</t>
        </is>
      </c>
      <c r="F9" s="28" t="inlineStr">
        <is>
          <t>Bradford</t>
        </is>
      </c>
      <c r="G9" s="29" t="n">
        <v>11.8</v>
      </c>
      <c r="H9" s="28" t="inlineStr">
        <is>
          <t>operating</t>
        </is>
      </c>
      <c r="I9" s="56" t="n">
        <v>0.240976</v>
      </c>
      <c r="J9" s="56" t="n">
        <v>0.368069</v>
      </c>
      <c r="K9" s="56" t="n">
        <v>0</v>
      </c>
      <c r="L9" s="56" t="n">
        <v>0</v>
      </c>
      <c r="M9" s="56" t="n">
        <v>0.00557</v>
      </c>
      <c r="N9" s="56" t="n">
        <v>0</v>
      </c>
      <c r="O9" s="56" t="n">
        <v>0.614615</v>
      </c>
    </row>
    <row r="10">
      <c r="A10" s="28" t="inlineStr">
        <is>
          <t>BP_WHITING</t>
        </is>
      </c>
      <c r="B10" s="28" t="inlineStr">
        <is>
          <t>BP Whiting</t>
        </is>
      </c>
      <c r="C10" s="28" t="inlineStr">
        <is>
          <t>BP</t>
        </is>
      </c>
      <c r="D10" s="28" t="n">
        <v>2</v>
      </c>
      <c r="E10" s="28" t="inlineStr">
        <is>
          <t>Indiana</t>
        </is>
      </c>
      <c r="F10" s="28" t="inlineStr">
        <is>
          <t>Whiting</t>
        </is>
      </c>
      <c r="G10" s="29" t="n">
        <v>435</v>
      </c>
      <c r="H10" s="28" t="inlineStr">
        <is>
          <t>operating</t>
        </is>
      </c>
      <c r="I10" s="56" t="n">
        <v>0.232409</v>
      </c>
      <c r="J10" s="56" t="n">
        <v>0.573591</v>
      </c>
      <c r="K10" s="56" t="n">
        <v>0.010617</v>
      </c>
      <c r="L10" s="56" t="n">
        <v>0.069983</v>
      </c>
      <c r="M10" s="56" t="n">
        <v>0.018035</v>
      </c>
      <c r="N10" s="56" t="n">
        <v>0.00217</v>
      </c>
      <c r="O10" s="56" t="n">
        <v>0.9068040000000001</v>
      </c>
    </row>
    <row r="11">
      <c r="A11" s="28" t="inlineStr">
        <is>
          <t>FLINT_ROSEMOUNT</t>
        </is>
      </c>
      <c r="B11" s="28" t="inlineStr">
        <is>
          <t>Flint Hills Resources Rosemount</t>
        </is>
      </c>
      <c r="C11" s="28" t="inlineStr">
        <is>
          <t>Koch Industries</t>
        </is>
      </c>
      <c r="D11" s="28" t="n">
        <v>2</v>
      </c>
      <c r="E11" s="28" t="inlineStr">
        <is>
          <t>Minnesota</t>
        </is>
      </c>
      <c r="F11" s="28" t="inlineStr">
        <is>
          <t>Rosemount</t>
        </is>
      </c>
      <c r="G11" s="29" t="n">
        <v>375</v>
      </c>
      <c r="H11" s="28" t="inlineStr">
        <is>
          <t>operating</t>
        </is>
      </c>
      <c r="I11" s="56" t="n">
        <v>0.115114</v>
      </c>
      <c r="J11" s="56" t="n">
        <v>0.666609</v>
      </c>
      <c r="K11" s="56" t="n">
        <v>0.022427</v>
      </c>
      <c r="L11" s="56" t="n">
        <v>0.112758</v>
      </c>
      <c r="M11" s="56" t="n">
        <v>0.014163</v>
      </c>
      <c r="N11" s="56" t="n">
        <v>0.010141</v>
      </c>
      <c r="O11" s="56" t="n">
        <v>0.941212</v>
      </c>
    </row>
    <row r="12">
      <c r="A12" s="28" t="inlineStr">
        <is>
          <t>CENOVUS_WOOD_RIVER</t>
        </is>
      </c>
      <c r="B12" s="28" t="inlineStr">
        <is>
          <t>Cenovus Wood River</t>
        </is>
      </c>
      <c r="C12" s="28" t="inlineStr">
        <is>
          <t>Cenovus (50%) / Phillips 66 Co. (50%)</t>
        </is>
      </c>
      <c r="D12" s="28" t="n">
        <v>2</v>
      </c>
      <c r="E12" s="28" t="inlineStr">
        <is>
          <t>Illinois</t>
        </is>
      </c>
      <c r="F12" s="28" t="inlineStr">
        <is>
          <t>Wood River</t>
        </is>
      </c>
      <c r="G12" s="29" t="n">
        <v>356</v>
      </c>
      <c r="H12" s="28" t="inlineStr">
        <is>
          <t>operating</t>
        </is>
      </c>
      <c r="I12" s="56" t="n">
        <v>0.06430799999999999</v>
      </c>
      <c r="J12" s="56" t="n">
        <v>0.361823</v>
      </c>
      <c r="K12" s="56" t="n">
        <v>0.010296</v>
      </c>
      <c r="L12" s="56" t="n">
        <v>0.034763</v>
      </c>
      <c r="M12" s="56" t="n">
        <v>0.003792</v>
      </c>
      <c r="N12" s="56" t="n">
        <v>0.001431</v>
      </c>
      <c r="O12" s="56" t="n">
        <v>0.476413</v>
      </c>
    </row>
    <row r="13">
      <c r="A13" s="28" t="inlineStr">
        <is>
          <t>MARATHON_CATLETTSBURG</t>
        </is>
      </c>
      <c r="B13" s="28" t="inlineStr">
        <is>
          <t>Marathon Petroleum Catlettsburg</t>
        </is>
      </c>
      <c r="C13" s="28" t="inlineStr">
        <is>
          <t>Marathon Petroleum</t>
        </is>
      </c>
      <c r="D13" s="28" t="n">
        <v>2</v>
      </c>
      <c r="E13" s="28" t="inlineStr">
        <is>
          <t>Kentucky</t>
        </is>
      </c>
      <c r="F13" s="28" t="inlineStr">
        <is>
          <t>Catlettsburg</t>
        </is>
      </c>
      <c r="G13" s="29" t="n">
        <v>316</v>
      </c>
      <c r="H13" s="28" t="inlineStr">
        <is>
          <t>operating</t>
        </is>
      </c>
      <c r="I13" s="56" t="n">
        <v>0.478289</v>
      </c>
      <c r="J13" s="56" t="n">
        <v>0.4347570000000001</v>
      </c>
      <c r="K13" s="56" t="n">
        <v>0.001486</v>
      </c>
      <c r="L13" s="56" t="n">
        <v>0.020455</v>
      </c>
      <c r="M13" s="56" t="n">
        <v>0.009075999999999999</v>
      </c>
      <c r="N13" s="56" t="n">
        <v>0.001714</v>
      </c>
      <c r="O13" s="56" t="n">
        <v>0.945778</v>
      </c>
    </row>
    <row r="14">
      <c r="A14" s="28" t="inlineStr">
        <is>
          <t>MARATHON_ROBINSON</t>
        </is>
      </c>
      <c r="B14" s="28" t="inlineStr">
        <is>
          <t>Marathon Petroleum Robinson</t>
        </is>
      </c>
      <c r="C14" s="28" t="inlineStr">
        <is>
          <t>Marathon Petroleum</t>
        </is>
      </c>
      <c r="D14" s="28" t="n">
        <v>2</v>
      </c>
      <c r="E14" s="28" t="inlineStr">
        <is>
          <t>Illinois</t>
        </is>
      </c>
      <c r="F14" s="28" t="inlineStr">
        <is>
          <t>Robinson</t>
        </is>
      </c>
      <c r="G14" s="29" t="n">
        <v>278</v>
      </c>
      <c r="H14" s="28" t="inlineStr">
        <is>
          <t>operating</t>
        </is>
      </c>
      <c r="I14" s="56" t="n">
        <v>0.395003</v>
      </c>
      <c r="J14" s="56" t="n">
        <v>0.5376069999999999</v>
      </c>
      <c r="K14" s="56" t="n">
        <v>0.010142</v>
      </c>
      <c r="L14" s="56" t="n">
        <v>0.021377</v>
      </c>
      <c r="M14" s="56" t="n">
        <v>0.005884</v>
      </c>
      <c r="N14" s="56" t="n">
        <v>0.00261</v>
      </c>
      <c r="O14" s="56" t="n">
        <v>0.972624</v>
      </c>
    </row>
    <row r="15">
      <c r="A15" s="28" t="inlineStr">
        <is>
          <t>EXXONMOBIL_JOLIET</t>
        </is>
      </c>
      <c r="B15" s="28" t="inlineStr">
        <is>
          <t>ExxonMobil Joliet</t>
        </is>
      </c>
      <c r="C15" s="28" t="inlineStr">
        <is>
          <t>ExxonMobil</t>
        </is>
      </c>
      <c r="D15" s="28" t="n">
        <v>2</v>
      </c>
      <c r="E15" s="28" t="inlineStr">
        <is>
          <t>Illinois</t>
        </is>
      </c>
      <c r="F15" s="28" t="inlineStr">
        <is>
          <t>Joliet</t>
        </is>
      </c>
      <c r="G15" s="29" t="n">
        <v>252</v>
      </c>
      <c r="H15" s="28" t="inlineStr">
        <is>
          <t>operating</t>
        </is>
      </c>
      <c r="I15" s="56" t="n">
        <v>0.277571</v>
      </c>
      <c r="J15" s="56" t="n">
        <v>0.571539</v>
      </c>
      <c r="K15" s="56" t="n">
        <v>0.002654</v>
      </c>
      <c r="L15" s="56" t="n">
        <v>0.066733</v>
      </c>
      <c r="M15" s="56" t="n">
        <v>0.003918</v>
      </c>
      <c r="N15" s="56" t="n">
        <v>0.001772</v>
      </c>
      <c r="O15" s="56" t="n">
        <v>0.924187</v>
      </c>
    </row>
    <row r="16">
      <c r="A16" s="28" t="inlineStr">
        <is>
          <t>PHILLIPS_PONCA_CITY</t>
        </is>
      </c>
      <c r="B16" s="28" t="inlineStr">
        <is>
          <t>Phillips 66 Co. Ponca City</t>
        </is>
      </c>
      <c r="C16" s="28" t="inlineStr">
        <is>
          <t>Phillips 66 Co.</t>
        </is>
      </c>
      <c r="D16" s="28" t="n">
        <v>2</v>
      </c>
      <c r="E16" s="28" t="inlineStr">
        <is>
          <t>Oklahoma</t>
        </is>
      </c>
      <c r="F16" s="28" t="inlineStr">
        <is>
          <t>Ponca City</t>
        </is>
      </c>
      <c r="G16" s="29" t="n">
        <v>225</v>
      </c>
      <c r="H16" s="28" t="inlineStr">
        <is>
          <t>operating</t>
        </is>
      </c>
      <c r="I16" s="56" t="n">
        <v>0.366507</v>
      </c>
      <c r="J16" s="56" t="n">
        <v>0.485868</v>
      </c>
      <c r="K16" s="56" t="n">
        <v>0.006726999999999999</v>
      </c>
      <c r="L16" s="56" t="n">
        <v>0.081784</v>
      </c>
      <c r="M16" s="56" t="n">
        <v>0.002253</v>
      </c>
      <c r="N16" s="56" t="n">
        <v>0.001036</v>
      </c>
      <c r="O16" s="56" t="n">
        <v>0.9441759999999999</v>
      </c>
    </row>
    <row r="17">
      <c r="A17" s="28" t="inlineStr">
        <is>
          <t>CITGO_LEMONT</t>
        </is>
      </c>
      <c r="B17" s="28" t="inlineStr">
        <is>
          <t>Citgo Lemont</t>
        </is>
      </c>
      <c r="C17" s="28" t="inlineStr">
        <is>
          <t>PDVSA</t>
        </is>
      </c>
      <c r="D17" s="28" t="n">
        <v>2</v>
      </c>
      <c r="E17" s="28" t="inlineStr">
        <is>
          <t>Illinois</t>
        </is>
      </c>
      <c r="F17" s="28" t="inlineStr">
        <is>
          <t>Lemont</t>
        </is>
      </c>
      <c r="G17" s="29" t="n">
        <v>194.12</v>
      </c>
      <c r="H17" s="28" t="inlineStr">
        <is>
          <t>operating</t>
        </is>
      </c>
      <c r="I17" s="56" t="n">
        <v>0.299464</v>
      </c>
      <c r="J17" s="56" t="n">
        <v>0.5076160000000001</v>
      </c>
      <c r="K17" s="56" t="n">
        <v>0.0008100000000000001</v>
      </c>
      <c r="L17" s="56" t="n">
        <v>0.130942</v>
      </c>
      <c r="M17" s="56" t="n">
        <v>0.002889</v>
      </c>
      <c r="N17" s="56" t="n">
        <v>0.00595</v>
      </c>
      <c r="O17" s="56" t="n">
        <v>0.9476720000000001</v>
      </c>
    </row>
    <row r="18">
      <c r="A18" s="28" t="inlineStr">
        <is>
          <t>CENOVUS_LIMA</t>
        </is>
      </c>
      <c r="B18" s="28" t="inlineStr">
        <is>
          <t>Cenovus Lima</t>
        </is>
      </c>
      <c r="C18" s="28" t="inlineStr">
        <is>
          <t>Cenovus</t>
        </is>
      </c>
      <c r="D18" s="28" t="n">
        <v>2</v>
      </c>
      <c r="E18" s="28" t="inlineStr">
        <is>
          <t>Ohio</t>
        </is>
      </c>
      <c r="F18" s="28" t="inlineStr">
        <is>
          <t>Lima</t>
        </is>
      </c>
      <c r="G18" s="29" t="n">
        <v>185</v>
      </c>
      <c r="H18" s="28" t="inlineStr">
        <is>
          <t>operating</t>
        </is>
      </c>
      <c r="I18" s="56" t="n">
        <v>0.208956</v>
      </c>
      <c r="J18" s="56" t="n">
        <v>0.567905</v>
      </c>
      <c r="K18" s="56" t="n">
        <v>0.001856</v>
      </c>
      <c r="L18" s="56" t="n">
        <v>0.167952</v>
      </c>
      <c r="M18" s="56" t="n">
        <v>0.007396000000000001</v>
      </c>
      <c r="N18" s="56" t="n">
        <v>0.005404</v>
      </c>
      <c r="O18" s="56" t="n">
        <v>0.959469</v>
      </c>
    </row>
    <row r="19">
      <c r="A19" s="28" t="inlineStr">
        <is>
          <t>PBF_TOLEDO</t>
        </is>
      </c>
      <c r="B19" s="28" t="inlineStr">
        <is>
          <t>PBF Energy Company LLC Toledo</t>
        </is>
      </c>
      <c r="C19" s="28" t="inlineStr">
        <is>
          <t>PBF Energy Company LLC</t>
        </is>
      </c>
      <c r="D19" s="28" t="n">
        <v>2</v>
      </c>
      <c r="E19" s="28" t="inlineStr">
        <is>
          <t>Ohio</t>
        </is>
      </c>
      <c r="F19" s="28" t="inlineStr">
        <is>
          <t>Toledo</t>
        </is>
      </c>
      <c r="G19" s="29" t="n">
        <v>180</v>
      </c>
      <c r="H19" s="28" t="inlineStr">
        <is>
          <t>operating</t>
        </is>
      </c>
      <c r="I19" s="56" t="n">
        <v>0.227272</v>
      </c>
      <c r="J19" s="56" t="n">
        <v>0.554835</v>
      </c>
      <c r="K19" s="56" t="n">
        <v>0.003474</v>
      </c>
      <c r="L19" s="56" t="n">
        <v>0.181237</v>
      </c>
      <c r="M19" s="56" t="n">
        <v>0.008708</v>
      </c>
      <c r="N19" s="56" t="n">
        <v>0.003831</v>
      </c>
      <c r="O19" s="56" t="n">
        <v>0.9793569999999999</v>
      </c>
    </row>
    <row r="20">
      <c r="A20" s="28" t="inlineStr">
        <is>
          <t>VALERO_MEMPHIS</t>
        </is>
      </c>
      <c r="B20" s="28" t="inlineStr">
        <is>
          <t>Valero Memphis</t>
        </is>
      </c>
      <c r="C20" s="28" t="inlineStr">
        <is>
          <t>Valero</t>
        </is>
      </c>
      <c r="D20" s="28" t="n">
        <v>2</v>
      </c>
      <c r="E20" s="28" t="inlineStr">
        <is>
          <t>Tennessee</t>
        </is>
      </c>
      <c r="F20" s="28" t="inlineStr">
        <is>
          <t>Memphis</t>
        </is>
      </c>
      <c r="G20" s="29" t="n">
        <v>180</v>
      </c>
      <c r="H20" s="28" t="inlineStr">
        <is>
          <t>operating</t>
        </is>
      </c>
      <c r="I20" s="56" t="n">
        <v>0.5403629999999999</v>
      </c>
      <c r="J20" s="56" t="n">
        <v>0.426441</v>
      </c>
      <c r="K20" s="56" t="n">
        <v>0.000731</v>
      </c>
      <c r="L20" s="56" t="n">
        <v>0</v>
      </c>
      <c r="M20" s="56" t="n">
        <v>0.00437</v>
      </c>
      <c r="N20" s="56" t="n">
        <v>0.003239</v>
      </c>
      <c r="O20" s="56" t="n">
        <v>0.9751430000000001</v>
      </c>
    </row>
    <row r="21">
      <c r="A21" s="28" t="inlineStr">
        <is>
          <t>CENOVUS_TOLEDO</t>
        </is>
      </c>
      <c r="B21" s="28" t="inlineStr">
        <is>
          <t>Cenovus Toledo</t>
        </is>
      </c>
      <c r="C21" s="28" t="inlineStr">
        <is>
          <t>Cenovus</t>
        </is>
      </c>
      <c r="D21" s="28" t="n">
        <v>2</v>
      </c>
      <c r="E21" s="28" t="inlineStr">
        <is>
          <t>Ohio</t>
        </is>
      </c>
      <c r="F21" s="28" t="inlineStr">
        <is>
          <t>Toledo</t>
        </is>
      </c>
      <c r="G21" s="29" t="n">
        <v>160</v>
      </c>
      <c r="H21" s="28" t="inlineStr">
        <is>
          <t>operating</t>
        </is>
      </c>
      <c r="I21" s="56" t="n">
        <v>0.037569</v>
      </c>
      <c r="J21" s="56" t="n">
        <v>0.75274</v>
      </c>
      <c r="K21" s="56" t="n">
        <v>0.016172</v>
      </c>
      <c r="L21" s="56" t="n">
        <v>0.107308</v>
      </c>
      <c r="M21" s="56" t="n">
        <v>0.008028</v>
      </c>
      <c r="N21" s="56" t="n">
        <v>0.002121</v>
      </c>
      <c r="O21" s="56" t="n">
        <v>0.9239360000000001</v>
      </c>
    </row>
    <row r="22">
      <c r="A22" s="28" t="inlineStr">
        <is>
          <t>MARATHON_DETROIT</t>
        </is>
      </c>
      <c r="B22" s="28" t="inlineStr">
        <is>
          <t>Marathon Petroleum Detroit</t>
        </is>
      </c>
      <c r="C22" s="28" t="inlineStr">
        <is>
          <t>Marathon Petroleum</t>
        </is>
      </c>
      <c r="D22" s="28" t="n">
        <v>2</v>
      </c>
      <c r="E22" s="28" t="inlineStr">
        <is>
          <t>Michigan</t>
        </is>
      </c>
      <c r="F22" s="28" t="inlineStr">
        <is>
          <t>Detroit</t>
        </is>
      </c>
      <c r="G22" s="29" t="n">
        <v>140</v>
      </c>
      <c r="H22" s="28" t="inlineStr">
        <is>
          <t>operating</t>
        </is>
      </c>
      <c r="I22" s="56" t="n">
        <v>0.340967</v>
      </c>
      <c r="J22" s="56" t="n">
        <v>0.490704</v>
      </c>
      <c r="K22" s="56" t="n">
        <v>0.007616</v>
      </c>
      <c r="L22" s="56" t="n">
        <v>0.010936</v>
      </c>
      <c r="M22" s="56" t="n">
        <v>0.011926</v>
      </c>
      <c r="N22" s="56" t="n">
        <v>0.001459</v>
      </c>
      <c r="O22" s="56" t="n">
        <v>0.86361</v>
      </c>
    </row>
    <row r="23">
      <c r="A23" s="28" t="inlineStr">
        <is>
          <t>HF_EL_DORADO_KS</t>
        </is>
      </c>
      <c r="B23" s="28" t="inlineStr">
        <is>
          <t>HF Sinclair El Dorado (KS)</t>
        </is>
      </c>
      <c r="C23" s="28" t="inlineStr">
        <is>
          <t>HF Sinclair</t>
        </is>
      </c>
      <c r="D23" s="28" t="n">
        <v>2</v>
      </c>
      <c r="E23" s="28" t="inlineStr">
        <is>
          <t>Kansas</t>
        </is>
      </c>
      <c r="F23" s="28" t="inlineStr">
        <is>
          <t>El Dorado (KS)</t>
        </is>
      </c>
      <c r="G23" s="29" t="n">
        <v>135</v>
      </c>
      <c r="H23" s="28" t="inlineStr">
        <is>
          <t>operating</t>
        </is>
      </c>
      <c r="I23" s="56" t="n">
        <v>0.212953</v>
      </c>
      <c r="J23" s="56" t="n">
        <v>0.673224</v>
      </c>
      <c r="K23" s="56" t="n">
        <v>0.01426</v>
      </c>
      <c r="L23" s="56" t="n">
        <v>0.048543</v>
      </c>
      <c r="M23" s="56" t="n">
        <v>0.006962</v>
      </c>
      <c r="N23" s="56" t="n">
        <v>0.003144</v>
      </c>
      <c r="O23" s="56" t="n">
        <v>0.9590879999999999</v>
      </c>
    </row>
    <row r="24">
      <c r="A24" s="28" t="inlineStr">
        <is>
          <t>CVR_COFFEYVILLE</t>
        </is>
      </c>
      <c r="B24" s="28" t="inlineStr">
        <is>
          <t>CVR Energy Coffeyville</t>
        </is>
      </c>
      <c r="C24" s="28" t="inlineStr">
        <is>
          <t>Icahn Enterprises (80%) / Other Investors (20%)</t>
        </is>
      </c>
      <c r="D24" s="28" t="n">
        <v>2</v>
      </c>
      <c r="E24" s="28" t="inlineStr">
        <is>
          <t>Kansas</t>
        </is>
      </c>
      <c r="F24" s="28" t="inlineStr">
        <is>
          <t>Coffeyville</t>
        </is>
      </c>
      <c r="G24" s="29" t="n">
        <v>132</v>
      </c>
      <c r="H24" s="28" t="inlineStr">
        <is>
          <t>operating</t>
        </is>
      </c>
      <c r="I24" s="56" t="n">
        <v>0.315972</v>
      </c>
      <c r="J24" s="56" t="n">
        <v>0.379308</v>
      </c>
      <c r="K24" s="56" t="n">
        <v>0.001787</v>
      </c>
      <c r="L24" s="56" t="n">
        <v>0.06864099999999999</v>
      </c>
      <c r="M24" s="56" t="n">
        <v>0.003074</v>
      </c>
      <c r="N24" s="56" t="n">
        <v>0.001004</v>
      </c>
      <c r="O24" s="56" t="n">
        <v>0.769787</v>
      </c>
    </row>
    <row r="25">
      <c r="A25" s="28" t="inlineStr">
        <is>
          <t>HF_TULSA</t>
        </is>
      </c>
      <c r="B25" s="28" t="inlineStr">
        <is>
          <t>HF Sinclair Tulsa</t>
        </is>
      </c>
      <c r="C25" s="28" t="inlineStr">
        <is>
          <t>HF Sinclair</t>
        </is>
      </c>
      <c r="D25" s="28" t="n">
        <v>2</v>
      </c>
      <c r="E25" s="28" t="inlineStr">
        <is>
          <t>Oklahoma</t>
        </is>
      </c>
      <c r="F25" s="28" t="inlineStr">
        <is>
          <t>Tulsa</t>
        </is>
      </c>
      <c r="G25" s="29" t="n">
        <v>125</v>
      </c>
      <c r="H25" s="28" t="inlineStr">
        <is>
          <t>operating</t>
        </is>
      </c>
      <c r="I25" s="56" t="n">
        <v>0.509566</v>
      </c>
      <c r="J25" s="56" t="n">
        <v>0.302954</v>
      </c>
      <c r="K25" s="56" t="n">
        <v>0.003985</v>
      </c>
      <c r="L25" s="56" t="n">
        <v>0.056125</v>
      </c>
      <c r="M25" s="56" t="n">
        <v>0.004819</v>
      </c>
      <c r="N25" s="56" t="n">
        <v>0.014038</v>
      </c>
      <c r="O25" s="56" t="n">
        <v>0.891486</v>
      </c>
    </row>
    <row r="26">
      <c r="A26" s="28" t="inlineStr">
        <is>
          <t>NCRA_MCPHERSON</t>
        </is>
      </c>
      <c r="B26" s="28" t="inlineStr">
        <is>
          <t>NCRA McPherson</t>
        </is>
      </c>
      <c r="C26" s="28" t="inlineStr">
        <is>
          <t>CHS</t>
        </is>
      </c>
      <c r="D26" s="28" t="n">
        <v>2</v>
      </c>
      <c r="E26" s="28" t="inlineStr">
        <is>
          <t>Kansas</t>
        </is>
      </c>
      <c r="F26" s="28" t="inlineStr">
        <is>
          <t>McPherson</t>
        </is>
      </c>
      <c r="G26" s="29" t="n">
        <v>117.1</v>
      </c>
      <c r="H26" s="28" t="inlineStr">
        <is>
          <t>operating</t>
        </is>
      </c>
      <c r="I26" s="56" t="n">
        <v>0.266878</v>
      </c>
      <c r="J26" s="56" t="n">
        <v>0.567835</v>
      </c>
      <c r="K26" s="56" t="n">
        <v>0.004981999999999999</v>
      </c>
      <c r="L26" s="56" t="n">
        <v>0.121657</v>
      </c>
      <c r="M26" s="56" t="n">
        <v>0.004316</v>
      </c>
      <c r="N26" s="56" t="n">
        <v>0.002883</v>
      </c>
      <c r="O26" s="56" t="n">
        <v>0.968549</v>
      </c>
    </row>
    <row r="27">
      <c r="A27" s="28" t="inlineStr">
        <is>
          <t>MARATHON_SAINT_PAUL_PARK</t>
        </is>
      </c>
      <c r="B27" s="28" t="inlineStr">
        <is>
          <t>Marathon Petroleum Saint Paul Park</t>
        </is>
      </c>
      <c r="C27" s="28" t="inlineStr">
        <is>
          <t>Marathon Petroleum</t>
        </is>
      </c>
      <c r="D27" s="28" t="n">
        <v>2</v>
      </c>
      <c r="E27" s="28" t="inlineStr">
        <is>
          <t>Minnesota</t>
        </is>
      </c>
      <c r="F27" s="28" t="inlineStr">
        <is>
          <t>Saint Paul Park</t>
        </is>
      </c>
      <c r="G27" s="29" t="n">
        <v>111</v>
      </c>
      <c r="H27" s="28" t="inlineStr">
        <is>
          <t>operating</t>
        </is>
      </c>
      <c r="I27" s="56" t="n">
        <v>0.2093</v>
      </c>
      <c r="J27" s="56" t="n">
        <v>0.545693</v>
      </c>
      <c r="K27" s="56" t="n">
        <v>0.011134</v>
      </c>
      <c r="L27" s="56" t="n">
        <v>0.127933</v>
      </c>
      <c r="M27" s="56" t="n">
        <v>0.007335</v>
      </c>
      <c r="N27" s="56" t="n">
        <v>0.000164</v>
      </c>
      <c r="O27" s="56" t="n">
        <v>0.90156</v>
      </c>
    </row>
    <row r="28">
      <c r="A28" s="28" t="inlineStr">
        <is>
          <t>MARATHON_CANTON</t>
        </is>
      </c>
      <c r="B28" s="28" t="inlineStr">
        <is>
          <t>Marathon Petroleum Canton</t>
        </is>
      </c>
      <c r="C28" s="28" t="inlineStr">
        <is>
          <t>Marathon Petroleum</t>
        </is>
      </c>
      <c r="D28" s="28" t="n">
        <v>2</v>
      </c>
      <c r="E28" s="28" t="inlineStr">
        <is>
          <t>Ohio</t>
        </is>
      </c>
      <c r="F28" s="28" t="inlineStr">
        <is>
          <t>Canton</t>
        </is>
      </c>
      <c r="G28" s="29" t="n">
        <v>100</v>
      </c>
      <c r="H28" s="28" t="inlineStr">
        <is>
          <t>operating</t>
        </is>
      </c>
      <c r="I28" s="56" t="n">
        <v>0.473389</v>
      </c>
      <c r="J28" s="56" t="n">
        <v>0.40001</v>
      </c>
      <c r="K28" s="56" t="n">
        <v>0.001688</v>
      </c>
      <c r="L28" s="56" t="n">
        <v>0.020935</v>
      </c>
      <c r="M28" s="56" t="n">
        <v>0.002659</v>
      </c>
      <c r="N28" s="56" t="n">
        <v>0.004758</v>
      </c>
      <c r="O28" s="56" t="n">
        <v>0.9034399999999999</v>
      </c>
    </row>
    <row r="29">
      <c r="A29" s="28" t="inlineStr">
        <is>
          <t>VALERO_ARDMORE</t>
        </is>
      </c>
      <c r="B29" s="28" t="inlineStr">
        <is>
          <t>Valero Ardmore</t>
        </is>
      </c>
      <c r="C29" s="28" t="inlineStr">
        <is>
          <t>Valero</t>
        </is>
      </c>
      <c r="D29" s="28" t="n">
        <v>2</v>
      </c>
      <c r="E29" s="28" t="inlineStr">
        <is>
          <t>Oklahoma</t>
        </is>
      </c>
      <c r="F29" s="28" t="inlineStr">
        <is>
          <t>Ardmore</t>
        </is>
      </c>
      <c r="G29" s="29" t="n">
        <v>86</v>
      </c>
      <c r="H29" s="28" t="inlineStr">
        <is>
          <t>operating</t>
        </is>
      </c>
      <c r="I29" s="56" t="n">
        <v>0.492831</v>
      </c>
      <c r="J29" s="56" t="n">
        <v>0.421308</v>
      </c>
      <c r="K29" s="56" t="n">
        <v>0.006997</v>
      </c>
      <c r="L29" s="56" t="n">
        <v>0</v>
      </c>
      <c r="M29" s="56" t="n">
        <v>9.8e-05</v>
      </c>
      <c r="N29" s="56" t="n">
        <v>0.000158</v>
      </c>
      <c r="O29" s="56" t="n">
        <v>0.921392</v>
      </c>
    </row>
    <row r="30">
      <c r="A30" s="28" t="inlineStr">
        <is>
          <t>MARATHON_MANDAN</t>
        </is>
      </c>
      <c r="B30" s="28" t="inlineStr">
        <is>
          <t>Marathon Petroleum Mandan</t>
        </is>
      </c>
      <c r="C30" s="28" t="inlineStr">
        <is>
          <t>Marathon Petroleum</t>
        </is>
      </c>
      <c r="D30" s="28" t="n">
        <v>2</v>
      </c>
      <c r="E30" s="28" t="inlineStr">
        <is>
          <t>North Dakota</t>
        </is>
      </c>
      <c r="F30" s="28" t="inlineStr">
        <is>
          <t>Mandan</t>
        </is>
      </c>
      <c r="G30" s="29" t="n">
        <v>75.5</v>
      </c>
      <c r="H30" s="28" t="inlineStr">
        <is>
          <t>operating</t>
        </is>
      </c>
      <c r="I30" s="56" t="n">
        <v>0.439423</v>
      </c>
      <c r="J30" s="56" t="n">
        <v>0.42772</v>
      </c>
      <c r="K30" s="56" t="n">
        <v>0.011106</v>
      </c>
      <c r="L30" s="56" t="n">
        <v>0.070643</v>
      </c>
      <c r="M30" s="56" t="n">
        <v>0.003674</v>
      </c>
      <c r="N30" s="56" t="n">
        <v>0.00416</v>
      </c>
      <c r="O30" s="56" t="n">
        <v>0.9567260000000001</v>
      </c>
    </row>
    <row r="31">
      <c r="A31" s="28" t="inlineStr">
        <is>
          <t>CVR_WYNNEWOOD</t>
        </is>
      </c>
      <c r="B31" s="28" t="inlineStr">
        <is>
          <t>CVR Energy Wynnewood</t>
        </is>
      </c>
      <c r="C31" s="28" t="inlineStr">
        <is>
          <t>Icahn Enterprises (80%) / Other Investors (20%)</t>
        </is>
      </c>
      <c r="D31" s="28" t="n">
        <v>2</v>
      </c>
      <c r="E31" s="28" t="inlineStr">
        <is>
          <t>Oklahoma</t>
        </is>
      </c>
      <c r="F31" s="28" t="inlineStr">
        <is>
          <t>Wynnewood</t>
        </is>
      </c>
      <c r="G31" s="29" t="n">
        <v>75</v>
      </c>
      <c r="H31" s="28" t="inlineStr">
        <is>
          <t>operating</t>
        </is>
      </c>
      <c r="I31" s="56" t="n">
        <v>0.17764</v>
      </c>
      <c r="J31" s="56" t="n">
        <v>0.415458</v>
      </c>
      <c r="K31" s="56" t="n">
        <v>0.003776</v>
      </c>
      <c r="L31" s="56" t="n">
        <v>0.150803</v>
      </c>
      <c r="M31" s="56" t="n">
        <v>0.004015</v>
      </c>
      <c r="N31" s="56" t="n">
        <v>0.002848</v>
      </c>
      <c r="O31" s="56" t="n">
        <v>0.75454</v>
      </c>
    </row>
    <row r="32">
      <c r="A32" s="28" t="inlineStr">
        <is>
          <t>CENOVUS_SUPERIOR</t>
        </is>
      </c>
      <c r="B32" s="28" t="inlineStr">
        <is>
          <t>Cenovus Superior</t>
        </is>
      </c>
      <c r="C32" s="28" t="inlineStr">
        <is>
          <t>Cenovus</t>
        </is>
      </c>
      <c r="D32" s="28" t="n">
        <v>2</v>
      </c>
      <c r="E32" s="28" t="inlineStr">
        <is>
          <t>Wisconsin</t>
        </is>
      </c>
      <c r="F32" s="28" t="inlineStr">
        <is>
          <t>Superior</t>
        </is>
      </c>
      <c r="G32" s="29" t="n">
        <v>50</v>
      </c>
      <c r="H32" s="28" t="inlineStr">
        <is>
          <t>operating</t>
        </is>
      </c>
      <c r="I32" s="56" t="n">
        <v>0.258986</v>
      </c>
      <c r="J32" s="56" t="n">
        <v>0.389313</v>
      </c>
      <c r="K32" s="56" t="n">
        <v>0.007497</v>
      </c>
      <c r="L32" s="56" t="n">
        <v>0.148205</v>
      </c>
      <c r="M32" s="56" t="n">
        <v>0.006697999999999999</v>
      </c>
      <c r="N32" s="56" t="n">
        <v>0.002883</v>
      </c>
      <c r="O32" s="56" t="n">
        <v>0.8135819999999999</v>
      </c>
    </row>
    <row r="33">
      <c r="A33" s="28" t="inlineStr">
        <is>
          <t>COUNTRYMARK_MOUNT_VERNON</t>
        </is>
      </c>
      <c r="B33" s="28" t="inlineStr">
        <is>
          <t>Countrymark Cooperative Inc. Mount Vernon</t>
        </is>
      </c>
      <c r="C33" s="28" t="inlineStr">
        <is>
          <t>Countrymark Cooperative Inc.</t>
        </is>
      </c>
      <c r="D33" s="28" t="n">
        <v>2</v>
      </c>
      <c r="E33" s="28" t="inlineStr">
        <is>
          <t>Indiana</t>
        </is>
      </c>
      <c r="F33" s="28" t="inlineStr">
        <is>
          <t>Mount Vernon</t>
        </is>
      </c>
      <c r="G33" s="29" t="n">
        <v>30.8</v>
      </c>
      <c r="H33" s="28" t="inlineStr">
        <is>
          <t>operating</t>
        </is>
      </c>
      <c r="I33" s="56" t="n">
        <v>0.275814</v>
      </c>
      <c r="J33" s="56" t="n">
        <v>0.469008</v>
      </c>
      <c r="K33" s="56" t="n">
        <v>0.001351</v>
      </c>
      <c r="L33" s="56" t="n">
        <v>0.150118</v>
      </c>
      <c r="M33" s="56" t="n">
        <v>0.002167</v>
      </c>
      <c r="N33" s="56" t="n">
        <v>0.000118</v>
      </c>
      <c r="O33" s="56" t="n">
        <v>0.898573</v>
      </c>
    </row>
    <row r="34">
      <c r="A34" s="28" t="inlineStr">
        <is>
          <t>SOMERSET_SOMERSET</t>
        </is>
      </c>
      <c r="B34" s="28" t="inlineStr">
        <is>
          <t>Somerset Refinery Somerset</t>
        </is>
      </c>
      <c r="C34" s="28" t="inlineStr">
        <is>
          <t>Continental Refining Company</t>
        </is>
      </c>
      <c r="D34" s="28" t="n">
        <v>2</v>
      </c>
      <c r="E34" s="28" t="inlineStr">
        <is>
          <t>Kentucky</t>
        </is>
      </c>
      <c r="F34" s="28" t="inlineStr">
        <is>
          <t>Somerset</t>
        </is>
      </c>
      <c r="G34" s="29" t="n">
        <v>0</v>
      </c>
      <c r="H34" s="28" t="inlineStr">
        <is>
          <t>shut</t>
        </is>
      </c>
      <c r="I34" s="56" t="n">
        <v>0.349199</v>
      </c>
      <c r="J34" s="56" t="n">
        <v>0.451466</v>
      </c>
      <c r="K34" s="56" t="n">
        <v>0.025532</v>
      </c>
      <c r="L34" s="56" t="n">
        <v>0.083103</v>
      </c>
      <c r="M34" s="56" t="n">
        <v>0.007549</v>
      </c>
      <c r="N34" s="56" t="n">
        <v>0.002096</v>
      </c>
      <c r="O34" s="56" t="n">
        <v>0.9189449999999999</v>
      </c>
    </row>
    <row r="35">
      <c r="A35" s="28" t="inlineStr">
        <is>
          <t>MPC_GALV_BAY</t>
        </is>
      </c>
      <c r="B35" s="28" t="inlineStr">
        <is>
          <t>Galveston Bay Refinery</t>
        </is>
      </c>
      <c r="C35" s="28" t="inlineStr">
        <is>
          <t>Marathon Petroleum</t>
        </is>
      </c>
      <c r="D35" s="28" t="n">
        <v>3</v>
      </c>
      <c r="E35" s="28" t="inlineStr">
        <is>
          <t>TX</t>
        </is>
      </c>
      <c r="F35" s="28" t="inlineStr">
        <is>
          <t>Texas City</t>
        </is>
      </c>
      <c r="G35" s="29" t="n">
        <v>665</v>
      </c>
      <c r="H35" s="28" t="inlineStr">
        <is>
          <t>operating</t>
        </is>
      </c>
      <c r="I35" s="56" t="n">
        <v>0.221018</v>
      </c>
      <c r="J35" s="56" t="n">
        <v>0.588114</v>
      </c>
      <c r="K35" s="56" t="n">
        <v>0.017278</v>
      </c>
      <c r="L35" s="56" t="n">
        <v>0.09565</v>
      </c>
      <c r="M35" s="56" t="n">
        <v>-0.012318</v>
      </c>
      <c r="N35" s="56" t="n">
        <v>0.003629</v>
      </c>
      <c r="O35" s="56" t="n">
        <v>0.913371</v>
      </c>
    </row>
    <row r="36">
      <c r="A36" s="28" t="inlineStr">
        <is>
          <t>MOTIVA_PAR</t>
        </is>
      </c>
      <c r="B36" s="28" t="inlineStr">
        <is>
          <t>Motiva Port Arthur</t>
        </is>
      </c>
      <c r="C36" s="28" t="inlineStr">
        <is>
          <t>Saudi Aramco</t>
        </is>
      </c>
      <c r="D36" s="28" t="n">
        <v>3</v>
      </c>
      <c r="E36" s="28" t="inlineStr">
        <is>
          <t>TX</t>
        </is>
      </c>
      <c r="F36" s="28" t="inlineStr">
        <is>
          <t>Port Arthur</t>
        </is>
      </c>
      <c r="G36" s="29" t="n">
        <v>639.7</v>
      </c>
      <c r="H36" s="28" t="inlineStr">
        <is>
          <t>operating</t>
        </is>
      </c>
      <c r="I36" s="56" t="n">
        <v>0.271759</v>
      </c>
      <c r="J36" s="56" t="n">
        <v>0.398699</v>
      </c>
      <c r="K36" s="56" t="n">
        <v>0.003444</v>
      </c>
      <c r="L36" s="56" t="n">
        <v>0.115527</v>
      </c>
      <c r="M36" s="56" t="n">
        <v>0.017008</v>
      </c>
      <c r="N36" s="56" t="n">
        <v>0.000361</v>
      </c>
      <c r="O36" s="56" t="n">
        <v>0.806798</v>
      </c>
    </row>
    <row r="37">
      <c r="A37" s="28" t="inlineStr">
        <is>
          <t>EXXONMOBIL_BEAUMONT</t>
        </is>
      </c>
      <c r="B37" s="28" t="inlineStr">
        <is>
          <t>ExxonMobil Beaumont</t>
        </is>
      </c>
      <c r="C37" s="28" t="inlineStr">
        <is>
          <t>ExxonMobil</t>
        </is>
      </c>
      <c r="D37" s="28" t="n">
        <v>3</v>
      </c>
      <c r="E37" s="28" t="inlineStr">
        <is>
          <t>Texas</t>
        </is>
      </c>
      <c r="F37" s="28" t="inlineStr">
        <is>
          <t>Beaumont</t>
        </is>
      </c>
      <c r="G37" s="29" t="n">
        <v>634.4</v>
      </c>
      <c r="H37" s="28" t="inlineStr">
        <is>
          <t>operating</t>
        </is>
      </c>
      <c r="I37" s="56" t="n">
        <v>0.238924</v>
      </c>
      <c r="J37" s="56" t="n">
        <v>0.384458</v>
      </c>
      <c r="K37" s="56" t="n">
        <v>0.069187</v>
      </c>
      <c r="L37" s="56" t="n">
        <v>0.204725</v>
      </c>
      <c r="M37" s="56" t="n">
        <v>0.017905</v>
      </c>
      <c r="N37" s="56" t="n">
        <v>0.017309</v>
      </c>
      <c r="O37" s="56" t="n">
        <v>0.932508</v>
      </c>
    </row>
    <row r="38">
      <c r="A38" s="28" t="inlineStr">
        <is>
          <t>MARATHON_GARYVILLE</t>
        </is>
      </c>
      <c r="B38" s="28" t="inlineStr">
        <is>
          <t>Marathon Petroleum Garyville</t>
        </is>
      </c>
      <c r="C38" s="28" t="inlineStr">
        <is>
          <t>Marathon Petroleum</t>
        </is>
      </c>
      <c r="D38" s="28" t="n">
        <v>3</v>
      </c>
      <c r="E38" s="28" t="inlineStr">
        <is>
          <t>Louisiana</t>
        </is>
      </c>
      <c r="F38" s="28" t="inlineStr">
        <is>
          <t>Garyville</t>
        </is>
      </c>
      <c r="G38" s="29" t="n">
        <v>628</v>
      </c>
      <c r="H38" s="28" t="inlineStr">
        <is>
          <t>operating</t>
        </is>
      </c>
      <c r="I38" s="56" t="n">
        <v>0.458336</v>
      </c>
      <c r="J38" s="56" t="n">
        <v>0.491212</v>
      </c>
      <c r="K38" s="56" t="n">
        <v>0.003555</v>
      </c>
      <c r="L38" s="56" t="n">
        <v>0</v>
      </c>
      <c r="M38" s="56" t="n">
        <v>0.029851</v>
      </c>
      <c r="N38" s="56" t="n">
        <v>0.001977</v>
      </c>
      <c r="O38" s="56" t="n">
        <v>0.98493</v>
      </c>
    </row>
    <row r="39">
      <c r="A39" s="28" t="inlineStr">
        <is>
          <t>XOM_BAYTOWN</t>
        </is>
      </c>
      <c r="B39" s="28" t="inlineStr">
        <is>
          <t>ExxonMobil Baytown</t>
        </is>
      </c>
      <c r="C39" s="28" t="inlineStr">
        <is>
          <t>ExxonMobil</t>
        </is>
      </c>
      <c r="D39" s="28" t="n">
        <v>3</v>
      </c>
      <c r="E39" s="28" t="inlineStr">
        <is>
          <t>TX</t>
        </is>
      </c>
      <c r="F39" s="28" t="inlineStr">
        <is>
          <t>Baytown</t>
        </is>
      </c>
      <c r="G39" s="29" t="n">
        <v>580.2</v>
      </c>
      <c r="H39" s="28" t="inlineStr">
        <is>
          <t>operating</t>
        </is>
      </c>
      <c r="I39" s="56" t="n">
        <v>0.302334</v>
      </c>
      <c r="J39" s="56" t="n">
        <v>0.5320940000000001</v>
      </c>
      <c r="K39" s="56" t="n">
        <v>0.003543</v>
      </c>
      <c r="L39" s="56" t="n">
        <v>0.052782</v>
      </c>
      <c r="M39" s="56" t="n">
        <v>0.025773</v>
      </c>
      <c r="N39" s="56" t="n">
        <v>0.005712</v>
      </c>
      <c r="O39" s="56" t="n">
        <v>0.922239</v>
      </c>
    </row>
    <row r="40">
      <c r="A40" s="28" t="inlineStr">
        <is>
          <t>EXXONMOBIL_BATON_ROUGE</t>
        </is>
      </c>
      <c r="B40" s="28" t="inlineStr">
        <is>
          <t>ExxonMobil Baton Rouge</t>
        </is>
      </c>
      <c r="C40" s="28" t="inlineStr">
        <is>
          <t>ExxonMobil</t>
        </is>
      </c>
      <c r="D40" s="28" t="n">
        <v>3</v>
      </c>
      <c r="E40" s="28" t="inlineStr">
        <is>
          <t>Louisiana</t>
        </is>
      </c>
      <c r="F40" s="28" t="inlineStr">
        <is>
          <t>Baton Rouge</t>
        </is>
      </c>
      <c r="G40" s="29" t="n">
        <v>540.2</v>
      </c>
      <c r="H40" s="28" t="inlineStr">
        <is>
          <t>operating</t>
        </is>
      </c>
      <c r="I40" s="56" t="n">
        <v>0.2846</v>
      </c>
      <c r="J40" s="56" t="n">
        <v>0.568909</v>
      </c>
      <c r="K40" s="56" t="n">
        <v>0.00356</v>
      </c>
      <c r="L40" s="56" t="n">
        <v>0.108793</v>
      </c>
      <c r="M40" s="56" t="n">
        <v>0.026229</v>
      </c>
      <c r="N40" s="56" t="n">
        <v>0.009407</v>
      </c>
      <c r="O40" s="56" t="n">
        <v>1.001498</v>
      </c>
    </row>
    <row r="41">
      <c r="A41" s="28" t="inlineStr">
        <is>
          <t>CITGO_LAKE_CHARLES</t>
        </is>
      </c>
      <c r="B41" s="28" t="inlineStr">
        <is>
          <t>Citgo Lake Charles</t>
        </is>
      </c>
      <c r="C41" s="28" t="inlineStr">
        <is>
          <t>PDVSA</t>
        </is>
      </c>
      <c r="D41" s="28" t="n">
        <v>3</v>
      </c>
      <c r="E41" s="28" t="inlineStr">
        <is>
          <t>Louisiana</t>
        </is>
      </c>
      <c r="F41" s="28" t="inlineStr">
        <is>
          <t>Lake Charles</t>
        </is>
      </c>
      <c r="G41" s="29" t="n">
        <v>483</v>
      </c>
      <c r="H41" s="28" t="inlineStr">
        <is>
          <t>operating</t>
        </is>
      </c>
      <c r="I41" s="56" t="n">
        <v>0.222284</v>
      </c>
      <c r="J41" s="56" t="n">
        <v>0.476438</v>
      </c>
      <c r="K41" s="56" t="n">
        <v>0.003516</v>
      </c>
      <c r="L41" s="56" t="n">
        <v>0.221989</v>
      </c>
      <c r="M41" s="56" t="n">
        <v>0.023067</v>
      </c>
      <c r="N41" s="56" t="n">
        <v>0.006716</v>
      </c>
      <c r="O41" s="56" t="n">
        <v>0.9540099999999999</v>
      </c>
    </row>
    <row r="42">
      <c r="A42" s="28" t="inlineStr">
        <is>
          <t>VALERO_PORT_ARTHUR</t>
        </is>
      </c>
      <c r="B42" s="28" t="inlineStr">
        <is>
          <t>Valero Port Arthur</t>
        </is>
      </c>
      <c r="C42" s="28" t="inlineStr">
        <is>
          <t>Valero</t>
        </is>
      </c>
      <c r="D42" s="28" t="n">
        <v>3</v>
      </c>
      <c r="E42" s="28" t="inlineStr">
        <is>
          <t>Texas</t>
        </is>
      </c>
      <c r="F42" s="28" t="inlineStr">
        <is>
          <t>Port Arthur</t>
        </is>
      </c>
      <c r="G42" s="29" t="n">
        <v>435</v>
      </c>
      <c r="H42" s="28" t="inlineStr">
        <is>
          <t>operating</t>
        </is>
      </c>
      <c r="I42" s="56" t="n">
        <v>0.349707</v>
      </c>
      <c r="J42" s="56" t="n">
        <v>0.428718</v>
      </c>
      <c r="K42" s="56" t="n">
        <v>0.003681</v>
      </c>
      <c r="L42" s="56" t="n">
        <v>0.130599</v>
      </c>
      <c r="M42" s="56" t="n">
        <v>0.022231</v>
      </c>
      <c r="N42" s="56" t="n">
        <v>0.016109</v>
      </c>
      <c r="O42" s="56" t="n">
        <v>0.9510460000000001</v>
      </c>
    </row>
    <row r="43">
      <c r="A43" s="28" t="inlineStr">
        <is>
          <t>CHEVRON_PASCAGOULA</t>
        </is>
      </c>
      <c r="B43" s="28" t="inlineStr">
        <is>
          <t>Chevron Pascagoula</t>
        </is>
      </c>
      <c r="C43" s="28" t="inlineStr">
        <is>
          <t>Chevron</t>
        </is>
      </c>
      <c r="D43" s="28" t="n">
        <v>3</v>
      </c>
      <c r="E43" s="28" t="inlineStr">
        <is>
          <t>Mississippi</t>
        </is>
      </c>
      <c r="F43" s="28" t="inlineStr">
        <is>
          <t>Pascagoula</t>
        </is>
      </c>
      <c r="G43" s="29" t="n">
        <v>370</v>
      </c>
      <c r="H43" s="28" t="inlineStr">
        <is>
          <t>operating</t>
        </is>
      </c>
      <c r="I43" s="56" t="n">
        <v>0.287417</v>
      </c>
      <c r="J43" s="56" t="n">
        <v>0.418473</v>
      </c>
      <c r="K43" s="56" t="n">
        <v>0.003869</v>
      </c>
      <c r="L43" s="56" t="n">
        <v>0.185057</v>
      </c>
      <c r="M43" s="56" t="n">
        <v>0.025618</v>
      </c>
      <c r="N43" s="56" t="n">
        <v>0.029496</v>
      </c>
      <c r="O43" s="56" t="n">
        <v>0.9499299999999999</v>
      </c>
    </row>
    <row r="44">
      <c r="A44" s="28" t="inlineStr">
        <is>
          <t>PEMEX_DEER_PARK</t>
        </is>
      </c>
      <c r="B44" s="28" t="inlineStr">
        <is>
          <t>PEMEX Deer Park</t>
        </is>
      </c>
      <c r="C44" s="28" t="inlineStr">
        <is>
          <t>PEMEX</t>
        </is>
      </c>
      <c r="D44" s="28" t="n">
        <v>3</v>
      </c>
      <c r="E44" s="28" t="inlineStr">
        <is>
          <t>Texas</t>
        </is>
      </c>
      <c r="F44" s="28" t="inlineStr">
        <is>
          <t>Deer Park</t>
        </is>
      </c>
      <c r="G44" s="29" t="n">
        <v>340</v>
      </c>
      <c r="H44" s="28" t="inlineStr">
        <is>
          <t>operating</t>
        </is>
      </c>
      <c r="I44" s="56" t="n">
        <v>0.306532</v>
      </c>
      <c r="J44" s="56" t="n">
        <v>0.516228</v>
      </c>
      <c r="K44" s="56" t="n">
        <v>0.003653</v>
      </c>
      <c r="L44" s="56" t="n">
        <v>0.136363</v>
      </c>
      <c r="M44" s="56" t="n">
        <v>0.021048</v>
      </c>
      <c r="N44" s="56" t="n">
        <v>0.018313</v>
      </c>
      <c r="O44" s="56" t="n">
        <v>1.002137</v>
      </c>
    </row>
    <row r="45">
      <c r="A45" s="28" t="inlineStr">
        <is>
          <t>FLINT_CORPUS_CHRISTI</t>
        </is>
      </c>
      <c r="B45" s="28" t="inlineStr">
        <is>
          <t>Flint Hills Resources Corpus Christi</t>
        </is>
      </c>
      <c r="C45" s="28" t="inlineStr">
        <is>
          <t>Koch Industries</t>
        </is>
      </c>
      <c r="D45" s="28" t="n">
        <v>3</v>
      </c>
      <c r="E45" s="28" t="inlineStr">
        <is>
          <t>Texas</t>
        </is>
      </c>
      <c r="F45" s="28" t="inlineStr">
        <is>
          <t>Corpus Christi</t>
        </is>
      </c>
      <c r="G45" s="29" t="n">
        <v>330</v>
      </c>
      <c r="H45" s="28" t="inlineStr">
        <is>
          <t>operating</t>
        </is>
      </c>
      <c r="I45" s="56" t="n">
        <v>0.278743</v>
      </c>
      <c r="J45" s="56" t="n">
        <v>0.394957</v>
      </c>
      <c r="K45" s="56" t="n">
        <v>0.003838</v>
      </c>
      <c r="L45" s="56" t="n">
        <v>0.198456</v>
      </c>
      <c r="M45" s="56" t="n">
        <v>0.026986</v>
      </c>
      <c r="N45" s="56" t="n">
        <v>0.025336</v>
      </c>
      <c r="O45" s="56" t="n">
        <v>0.9283159999999999</v>
      </c>
    </row>
    <row r="46">
      <c r="A46" s="28" t="inlineStr">
        <is>
          <t>VALERO_CORPUS_CHRISTI</t>
        </is>
      </c>
      <c r="B46" s="28" t="inlineStr">
        <is>
          <t>Valero Corpus Christi</t>
        </is>
      </c>
      <c r="C46" s="28" t="inlineStr">
        <is>
          <t>Valero</t>
        </is>
      </c>
      <c r="D46" s="28" t="n">
        <v>3</v>
      </c>
      <c r="E46" s="28" t="inlineStr">
        <is>
          <t>Texas</t>
        </is>
      </c>
      <c r="F46" s="28" t="inlineStr">
        <is>
          <t>Corpus Christi</t>
        </is>
      </c>
      <c r="G46" s="29" t="n">
        <v>290</v>
      </c>
      <c r="H46" s="28" t="inlineStr">
        <is>
          <t>operating</t>
        </is>
      </c>
      <c r="I46" s="56" t="n">
        <v>0.263274</v>
      </c>
      <c r="J46" s="56" t="n">
        <v>0.575665</v>
      </c>
      <c r="K46" s="56" t="n">
        <v>0.001007</v>
      </c>
      <c r="L46" s="56" t="n">
        <v>0.143351</v>
      </c>
      <c r="M46" s="56" t="n">
        <v>0.001649</v>
      </c>
      <c r="N46" s="56" t="n">
        <v>0.007865</v>
      </c>
      <c r="O46" s="56" t="n">
        <v>0.992811</v>
      </c>
    </row>
    <row r="47">
      <c r="A47" s="28" t="inlineStr">
        <is>
          <t>PHILLIPS_WESTLAKE</t>
        </is>
      </c>
      <c r="B47" s="28" t="inlineStr">
        <is>
          <t>Phillips 66 Co. Westlake</t>
        </is>
      </c>
      <c r="C47" s="28" t="inlineStr">
        <is>
          <t>Phillips 66 Co.</t>
        </is>
      </c>
      <c r="D47" s="28" t="n">
        <v>3</v>
      </c>
      <c r="E47" s="28" t="inlineStr">
        <is>
          <t>Louisiana</t>
        </is>
      </c>
      <c r="F47" s="28" t="inlineStr">
        <is>
          <t>Westlake</t>
        </is>
      </c>
      <c r="G47" s="29" t="n">
        <v>281</v>
      </c>
      <c r="H47" s="28" t="inlineStr">
        <is>
          <t>operating</t>
        </is>
      </c>
      <c r="I47" s="56" t="n">
        <v>0.315462</v>
      </c>
      <c r="J47" s="56" t="n">
        <v>0.367467</v>
      </c>
      <c r="K47" s="56" t="n">
        <v>0.02545</v>
      </c>
      <c r="L47" s="56" t="n">
        <v>0.16352</v>
      </c>
      <c r="M47" s="56" t="n">
        <v>0.018966</v>
      </c>
      <c r="N47" s="56" t="n">
        <v>0.008149999999999999</v>
      </c>
      <c r="O47" s="56" t="n">
        <v>0.899015</v>
      </c>
    </row>
    <row r="48">
      <c r="A48" s="28" t="inlineStr">
        <is>
          <t>PHILLIPS_SWEENY</t>
        </is>
      </c>
      <c r="B48" s="28" t="inlineStr">
        <is>
          <t>Phillips 66 Co. Sweeny</t>
        </is>
      </c>
      <c r="C48" s="28" t="inlineStr">
        <is>
          <t>Phillips 66 Co.</t>
        </is>
      </c>
      <c r="D48" s="28" t="n">
        <v>3</v>
      </c>
      <c r="E48" s="28" t="inlineStr">
        <is>
          <t>Texas</t>
        </is>
      </c>
      <c r="F48" s="28" t="inlineStr">
        <is>
          <t>Sweeny</t>
        </is>
      </c>
      <c r="G48" s="29" t="n">
        <v>277.9</v>
      </c>
      <c r="H48" s="28" t="inlineStr">
        <is>
          <t>operating</t>
        </is>
      </c>
      <c r="I48" s="56" t="n">
        <v>0.364807</v>
      </c>
      <c r="J48" s="56" t="n">
        <v>0.515578</v>
      </c>
      <c r="K48" s="56" t="n">
        <v>0.00374</v>
      </c>
      <c r="L48" s="56" t="n">
        <v>0.063764</v>
      </c>
      <c r="M48" s="56" t="n">
        <v>0.033251</v>
      </c>
      <c r="N48" s="56" t="n">
        <v>0.017331</v>
      </c>
      <c r="O48" s="56" t="n">
        <v>0.99847</v>
      </c>
    </row>
    <row r="49">
      <c r="A49" s="28" t="inlineStr">
        <is>
          <t>VALERO_TEXAS_CITY</t>
        </is>
      </c>
      <c r="B49" s="28" t="inlineStr">
        <is>
          <t>Valero Texas City</t>
        </is>
      </c>
      <c r="C49" s="28" t="inlineStr">
        <is>
          <t>Valero</t>
        </is>
      </c>
      <c r="D49" s="28" t="n">
        <v>3</v>
      </c>
      <c r="E49" s="28" t="inlineStr">
        <is>
          <t>Texas</t>
        </is>
      </c>
      <c r="F49" s="28" t="inlineStr">
        <is>
          <t>Texas City</t>
        </is>
      </c>
      <c r="G49" s="29" t="n">
        <v>260</v>
      </c>
      <c r="H49" s="28" t="inlineStr">
        <is>
          <t>operating</t>
        </is>
      </c>
      <c r="I49" s="56" t="n">
        <v>0.40265</v>
      </c>
      <c r="J49" s="56" t="n">
        <v>0.446027</v>
      </c>
      <c r="K49" s="56" t="n">
        <v>0.003848</v>
      </c>
      <c r="L49" s="56" t="n">
        <v>0.057356</v>
      </c>
      <c r="M49" s="56" t="n">
        <v>0.028643</v>
      </c>
      <c r="N49" s="56" t="n">
        <v>0.024883</v>
      </c>
      <c r="O49" s="56" t="n">
        <v>0.963408</v>
      </c>
    </row>
    <row r="50">
      <c r="A50" s="28" t="inlineStr">
        <is>
          <t>SHELL_NORCO</t>
        </is>
      </c>
      <c r="B50" s="28" t="inlineStr">
        <is>
          <t>Shell Norco</t>
        </is>
      </c>
      <c r="C50" s="28" t="inlineStr">
        <is>
          <t>Shell</t>
        </is>
      </c>
      <c r="D50" s="28" t="n">
        <v>3</v>
      </c>
      <c r="E50" s="28" t="inlineStr">
        <is>
          <t>Louisiana</t>
        </is>
      </c>
      <c r="F50" s="28" t="inlineStr">
        <is>
          <t>Norco</t>
        </is>
      </c>
      <c r="G50" s="29" t="n">
        <v>250</v>
      </c>
      <c r="H50" s="28" t="inlineStr">
        <is>
          <t>operating</t>
        </is>
      </c>
      <c r="I50" s="56" t="n">
        <v>0.369059</v>
      </c>
      <c r="J50" s="56" t="n">
        <v>0.5950719999999999</v>
      </c>
      <c r="K50" s="56" t="n">
        <v>0.003113</v>
      </c>
      <c r="L50" s="56" t="n">
        <v>0.118014</v>
      </c>
      <c r="M50" s="56" t="n">
        <v>0.008717000000000001</v>
      </c>
      <c r="N50" s="56" t="n">
        <v>0.000902</v>
      </c>
      <c r="O50" s="56" t="n">
        <v>1.094877</v>
      </c>
    </row>
    <row r="51">
      <c r="A51" s="28" t="inlineStr">
        <is>
          <t>TOTAL_PORT_ARTHUR</t>
        </is>
      </c>
      <c r="B51" s="28" t="inlineStr">
        <is>
          <t>Total Port Arthur</t>
        </is>
      </c>
      <c r="C51" s="28" t="inlineStr">
        <is>
          <t>Total</t>
        </is>
      </c>
      <c r="D51" s="28" t="n">
        <v>3</v>
      </c>
      <c r="E51" s="28" t="inlineStr">
        <is>
          <t>Texas</t>
        </is>
      </c>
      <c r="F51" s="28" t="inlineStr">
        <is>
          <t>Port Arthur</t>
        </is>
      </c>
      <c r="G51" s="29" t="n">
        <v>238</v>
      </c>
      <c r="H51" s="28" t="inlineStr">
        <is>
          <t>operating</t>
        </is>
      </c>
      <c r="I51" s="56" t="n">
        <v>0.433829</v>
      </c>
      <c r="J51" s="56" t="n">
        <v>0.496059</v>
      </c>
      <c r="K51" s="56" t="n">
        <v>0.00364</v>
      </c>
      <c r="L51" s="56" t="n">
        <v>0.07234</v>
      </c>
      <c r="M51" s="56" t="n">
        <v>0.042162</v>
      </c>
      <c r="N51" s="56" t="n">
        <v>0.00464</v>
      </c>
      <c r="O51" s="56" t="n">
        <v>1.052668</v>
      </c>
    </row>
    <row r="52">
      <c r="A52" s="28" t="inlineStr">
        <is>
          <t>VALERO_SAINT_CHARLES</t>
        </is>
      </c>
      <c r="B52" s="28" t="inlineStr">
        <is>
          <t>Valero Saint Charles</t>
        </is>
      </c>
      <c r="C52" s="28" t="inlineStr">
        <is>
          <t>Valero</t>
        </is>
      </c>
      <c r="D52" s="28" t="n">
        <v>3</v>
      </c>
      <c r="E52" s="28" t="inlineStr">
        <is>
          <t>Louisiana</t>
        </is>
      </c>
      <c r="F52" s="28" t="inlineStr">
        <is>
          <t>Saint Charles</t>
        </is>
      </c>
      <c r="G52" s="29" t="n">
        <v>215</v>
      </c>
      <c r="H52" s="28" t="inlineStr">
        <is>
          <t>operating</t>
        </is>
      </c>
      <c r="I52" s="56" t="n">
        <v>0.615668</v>
      </c>
      <c r="J52" s="56" t="n">
        <v>1.298121</v>
      </c>
      <c r="K52" s="56" t="n">
        <v>0.00316</v>
      </c>
      <c r="L52" s="56" t="n">
        <v>0</v>
      </c>
      <c r="M52" s="56" t="n">
        <v>-0.024284</v>
      </c>
      <c r="N52" s="56" t="n">
        <v>0</v>
      </c>
      <c r="O52" s="56" t="n">
        <v>1.892666</v>
      </c>
    </row>
    <row r="53">
      <c r="A53" s="28" t="inlineStr">
        <is>
          <t>VALERO_HOUSTON</t>
        </is>
      </c>
      <c r="B53" s="28" t="inlineStr">
        <is>
          <t>Valero Houston</t>
        </is>
      </c>
      <c r="C53" s="28" t="inlineStr">
        <is>
          <t>Valero</t>
        </is>
      </c>
      <c r="D53" s="28" t="n">
        <v>3</v>
      </c>
      <c r="E53" s="28" t="inlineStr">
        <is>
          <t>Texas</t>
        </is>
      </c>
      <c r="F53" s="28" t="inlineStr">
        <is>
          <t>Houston</t>
        </is>
      </c>
      <c r="G53" s="29" t="n">
        <v>205</v>
      </c>
      <c r="H53" s="28" t="inlineStr">
        <is>
          <t>operating</t>
        </is>
      </c>
      <c r="I53" s="56" t="n">
        <v>0.301428</v>
      </c>
      <c r="J53" s="56" t="n">
        <v>0.412325</v>
      </c>
      <c r="K53" s="56" t="n">
        <v>0.042713</v>
      </c>
      <c r="L53" s="56" t="n">
        <v>0.145476</v>
      </c>
      <c r="M53" s="56" t="n">
        <v>-0.012555</v>
      </c>
      <c r="N53" s="56" t="n">
        <v>0.040042</v>
      </c>
      <c r="O53" s="56" t="n">
        <v>0.92943</v>
      </c>
    </row>
    <row r="54">
      <c r="A54" s="28" t="inlineStr">
        <is>
          <t>VALERO_SUNRAY</t>
        </is>
      </c>
      <c r="B54" s="28" t="inlineStr">
        <is>
          <t>Valero Sunray</t>
        </is>
      </c>
      <c r="C54" s="28" t="inlineStr">
        <is>
          <t>Valero</t>
        </is>
      </c>
      <c r="D54" s="28" t="n">
        <v>3</v>
      </c>
      <c r="E54" s="28" t="inlineStr">
        <is>
          <t>Texas</t>
        </is>
      </c>
      <c r="F54" s="28" t="inlineStr">
        <is>
          <t>Sunray</t>
        </is>
      </c>
      <c r="G54" s="29" t="n">
        <v>195</v>
      </c>
      <c r="H54" s="28" t="inlineStr">
        <is>
          <t>operating</t>
        </is>
      </c>
      <c r="I54" s="56" t="n">
        <v>0.301291</v>
      </c>
      <c r="J54" s="56" t="n">
        <v>0.590812</v>
      </c>
      <c r="K54" s="56" t="n">
        <v>0.001658</v>
      </c>
      <c r="L54" s="56" t="n">
        <v>0.059199</v>
      </c>
      <c r="M54" s="56" t="n">
        <v>0.008832</v>
      </c>
      <c r="N54" s="56" t="n">
        <v>0</v>
      </c>
      <c r="O54" s="56" t="n">
        <v>0.9617910000000001</v>
      </c>
    </row>
    <row r="55">
      <c r="A55" s="28" t="inlineStr">
        <is>
          <t>PBF_CHALMETTE</t>
        </is>
      </c>
      <c r="B55" s="28" t="inlineStr">
        <is>
          <t>PBF Energy Company LLC Chalmette</t>
        </is>
      </c>
      <c r="C55" s="28" t="inlineStr">
        <is>
          <t>PBF Energy Company LLC</t>
        </is>
      </c>
      <c r="D55" s="28" t="n">
        <v>3</v>
      </c>
      <c r="E55" s="28" t="inlineStr">
        <is>
          <t>Louisiana</t>
        </is>
      </c>
      <c r="F55" s="28" t="inlineStr">
        <is>
          <t>Chalmette</t>
        </is>
      </c>
      <c r="G55" s="29" t="n">
        <v>185</v>
      </c>
      <c r="H55" s="28" t="inlineStr">
        <is>
          <t>operating</t>
        </is>
      </c>
      <c r="I55" s="56" t="n">
        <v>0.37363</v>
      </c>
      <c r="J55" s="56" t="n">
        <v>0.598032</v>
      </c>
      <c r="K55" s="56" t="n">
        <v>0.019126</v>
      </c>
      <c r="L55" s="56" t="n">
        <v>0</v>
      </c>
      <c r="M55" s="56" t="n">
        <v>0.019554</v>
      </c>
      <c r="N55" s="56" t="n">
        <v>0</v>
      </c>
      <c r="O55" s="56" t="n">
        <v>1.010341</v>
      </c>
    </row>
    <row r="56">
      <c r="A56" s="28" t="inlineStr">
        <is>
          <t>CITGO_CORPUS_CHRISTI</t>
        </is>
      </c>
      <c r="B56" s="28" t="inlineStr">
        <is>
          <t>Citgo Corpus Christi</t>
        </is>
      </c>
      <c r="C56" s="28" t="inlineStr">
        <is>
          <t>PDVSA</t>
        </is>
      </c>
      <c r="D56" s="28" t="n">
        <v>3</v>
      </c>
      <c r="E56" s="28" t="inlineStr">
        <is>
          <t>Texas</t>
        </is>
      </c>
      <c r="F56" s="28" t="inlineStr">
        <is>
          <t>Corpus Christi</t>
        </is>
      </c>
      <c r="G56" s="29" t="n">
        <v>175.5</v>
      </c>
      <c r="H56" s="28" t="inlineStr">
        <is>
          <t>operating</t>
        </is>
      </c>
      <c r="I56" s="56" t="n">
        <v>0.422158</v>
      </c>
      <c r="J56" s="56" t="n">
        <v>0.545632</v>
      </c>
      <c r="K56" s="56" t="n">
        <v>0.003574</v>
      </c>
      <c r="L56" s="56" t="n">
        <v>0</v>
      </c>
      <c r="M56" s="56" t="n">
        <v>0.020524</v>
      </c>
      <c r="N56" s="56" t="n">
        <v>0.01035</v>
      </c>
      <c r="O56" s="56" t="n">
        <v>1.002238</v>
      </c>
    </row>
    <row r="57">
      <c r="A57" s="28" t="inlineStr">
        <is>
          <t>WRB_BORGER</t>
        </is>
      </c>
      <c r="B57" s="28" t="inlineStr">
        <is>
          <t>WRB Refining Borger</t>
        </is>
      </c>
      <c r="C57" s="28" t="inlineStr">
        <is>
          <t>Cenovus (50%) / Phillips 66 Co. (50%)</t>
        </is>
      </c>
      <c r="D57" s="28" t="n">
        <v>3</v>
      </c>
      <c r="E57" s="28" t="inlineStr">
        <is>
          <t>Texas</t>
        </is>
      </c>
      <c r="F57" s="28" t="inlineStr">
        <is>
          <t>Borger</t>
        </is>
      </c>
      <c r="G57" s="29" t="n">
        <v>154</v>
      </c>
      <c r="H57" s="28" t="inlineStr">
        <is>
          <t>operating</t>
        </is>
      </c>
      <c r="I57" s="56" t="n">
        <v>0.162333</v>
      </c>
      <c r="J57" s="56" t="n">
        <v>0.270181</v>
      </c>
      <c r="K57" s="56" t="n">
        <v>0.020806</v>
      </c>
      <c r="L57" s="56" t="n">
        <v>0.032517</v>
      </c>
      <c r="M57" s="56" t="n">
        <v>-0.0008140000000000001</v>
      </c>
      <c r="N57" s="56" t="n">
        <v>0.001021</v>
      </c>
      <c r="O57" s="56" t="n">
        <v>0.486044</v>
      </c>
    </row>
    <row r="58">
      <c r="A58" s="28" t="inlineStr">
        <is>
          <t>MARATHON_EL_PASO</t>
        </is>
      </c>
      <c r="B58" s="28" t="inlineStr">
        <is>
          <t>Marathon Petroleum El Paso</t>
        </is>
      </c>
      <c r="C58" s="28" t="inlineStr">
        <is>
          <t>Marathon Petroleum</t>
        </is>
      </c>
      <c r="D58" s="28" t="n">
        <v>3</v>
      </c>
      <c r="E58" s="28" t="inlineStr">
        <is>
          <t>Texas</t>
        </is>
      </c>
      <c r="F58" s="28" t="inlineStr">
        <is>
          <t>El Paso</t>
        </is>
      </c>
      <c r="G58" s="29" t="n">
        <v>133</v>
      </c>
      <c r="H58" s="28" t="inlineStr">
        <is>
          <t>operating</t>
        </is>
      </c>
      <c r="I58" s="56" t="n">
        <v>0.205383</v>
      </c>
      <c r="J58" s="56" t="n">
        <v>0.469657</v>
      </c>
      <c r="K58" s="56" t="n">
        <v>0.056662</v>
      </c>
      <c r="L58" s="56" t="n">
        <v>0.186622</v>
      </c>
      <c r="M58" s="56" t="n">
        <v>-0.006245000000000001</v>
      </c>
      <c r="N58" s="56" t="n">
        <v>0.004522</v>
      </c>
      <c r="O58" s="56" t="n">
        <v>0.916601</v>
      </c>
    </row>
    <row r="59">
      <c r="A59" s="28" t="inlineStr">
        <is>
          <t>CHEVRON_PASADENA</t>
        </is>
      </c>
      <c r="B59" s="28" t="inlineStr">
        <is>
          <t>Chevron Pasadena</t>
        </is>
      </c>
      <c r="C59" s="28" t="inlineStr">
        <is>
          <t>Chevron</t>
        </is>
      </c>
      <c r="D59" s="28" t="n">
        <v>3</v>
      </c>
      <c r="E59" s="28" t="inlineStr">
        <is>
          <t>Texas</t>
        </is>
      </c>
      <c r="F59" s="28" t="inlineStr">
        <is>
          <t>Pasadena</t>
        </is>
      </c>
      <c r="G59" s="29" t="n">
        <v>125</v>
      </c>
      <c r="H59" s="28" t="inlineStr">
        <is>
          <t>operating</t>
        </is>
      </c>
      <c r="I59" s="56" t="n">
        <v>0.395379</v>
      </c>
      <c r="J59" s="56" t="n">
        <v>0.497175</v>
      </c>
      <c r="K59" s="56" t="n">
        <v>0.003382</v>
      </c>
      <c r="L59" s="56" t="n">
        <v>0</v>
      </c>
      <c r="M59" s="56" t="n">
        <v>0.002623</v>
      </c>
      <c r="N59" s="56" t="n">
        <v>0.003667</v>
      </c>
      <c r="O59" s="56" t="n">
        <v>0.902226</v>
      </c>
    </row>
    <row r="60">
      <c r="A60" s="28" t="inlineStr">
        <is>
          <t>VALERO_MERAUX</t>
        </is>
      </c>
      <c r="B60" s="28" t="inlineStr">
        <is>
          <t>Valero Meraux</t>
        </is>
      </c>
      <c r="C60" s="28" t="inlineStr">
        <is>
          <t>Valero</t>
        </is>
      </c>
      <c r="D60" s="28" t="n">
        <v>3</v>
      </c>
      <c r="E60" s="28" t="inlineStr">
        <is>
          <t>Louisiana</t>
        </is>
      </c>
      <c r="F60" s="28" t="inlineStr">
        <is>
          <t>Meraux</t>
        </is>
      </c>
      <c r="G60" s="29" t="n">
        <v>125</v>
      </c>
      <c r="H60" s="28" t="inlineStr">
        <is>
          <t>operating</t>
        </is>
      </c>
      <c r="I60" s="56" t="n">
        <v>0.406057</v>
      </c>
      <c r="J60" s="56" t="n">
        <v>0.343784</v>
      </c>
      <c r="K60" s="56" t="n">
        <v>0.075484</v>
      </c>
      <c r="L60" s="56" t="n">
        <v>0.131051</v>
      </c>
      <c r="M60" s="56" t="n">
        <v>0.013595</v>
      </c>
      <c r="N60" s="56" t="n">
        <v>0</v>
      </c>
      <c r="O60" s="56" t="n">
        <v>0.9699720000000001</v>
      </c>
    </row>
    <row r="61">
      <c r="A61" s="28" t="inlineStr">
        <is>
          <t>KINDER_HOUSTON</t>
        </is>
      </c>
      <c r="B61" s="28" t="inlineStr">
        <is>
          <t>Kinder Morgan Houston</t>
        </is>
      </c>
      <c r="C61" s="28" t="inlineStr">
        <is>
          <t>Kinder Morgan</t>
        </is>
      </c>
      <c r="D61" s="28" t="n">
        <v>3</v>
      </c>
      <c r="E61" s="28" t="inlineStr">
        <is>
          <t>Texas</t>
        </is>
      </c>
      <c r="F61" s="28" t="inlineStr">
        <is>
          <t>Houston</t>
        </is>
      </c>
      <c r="G61" s="29" t="n">
        <v>121</v>
      </c>
      <c r="H61" s="28" t="inlineStr">
        <is>
          <t>operating</t>
        </is>
      </c>
      <c r="I61" s="56" t="n">
        <v>0.257837</v>
      </c>
      <c r="J61" s="56" t="n">
        <v>0.471439</v>
      </c>
      <c r="K61" s="56" t="n">
        <v>0.010564</v>
      </c>
      <c r="L61" s="56" t="n">
        <v>0.149315</v>
      </c>
      <c r="M61" s="56" t="n">
        <v>0.009444000000000001</v>
      </c>
      <c r="N61" s="56" t="n">
        <v>0.010428</v>
      </c>
      <c r="O61" s="56" t="n">
        <v>0.9090250000000001</v>
      </c>
    </row>
    <row r="62">
      <c r="A62" s="28" t="inlineStr">
        <is>
          <t>CALCASIEU_LAKE_CHARLES</t>
        </is>
      </c>
      <c r="B62" s="28" t="inlineStr">
        <is>
          <t>Calcasieu Refining Co. Lake Charles</t>
        </is>
      </c>
      <c r="C62" s="28" t="inlineStr">
        <is>
          <t>TransWorld Oil</t>
        </is>
      </c>
      <c r="D62" s="28" t="n">
        <v>3</v>
      </c>
      <c r="E62" s="28" t="inlineStr">
        <is>
          <t>Louisiana</t>
        </is>
      </c>
      <c r="F62" s="28" t="inlineStr">
        <is>
          <t>Lake Charles</t>
        </is>
      </c>
      <c r="G62" s="29" t="n">
        <v>105</v>
      </c>
      <c r="H62" s="28" t="inlineStr">
        <is>
          <t>operating</t>
        </is>
      </c>
      <c r="I62" s="56" t="n">
        <v>0.311396</v>
      </c>
      <c r="J62" s="56" t="n">
        <v>0.121784</v>
      </c>
      <c r="K62" s="56" t="n">
        <v>0.170369</v>
      </c>
      <c r="L62" s="56" t="n">
        <v>0.294263</v>
      </c>
      <c r="M62" s="56" t="n">
        <v>0.012351</v>
      </c>
      <c r="N62" s="56" t="n">
        <v>0.088491</v>
      </c>
      <c r="O62" s="56" t="n">
        <v>0.9986539999999999</v>
      </c>
    </row>
    <row r="63">
      <c r="A63" s="28" t="inlineStr">
        <is>
          <t>HF_ARTESIA</t>
        </is>
      </c>
      <c r="B63" s="28" t="inlineStr">
        <is>
          <t>HF Sinclair Artesia</t>
        </is>
      </c>
      <c r="C63" s="28" t="inlineStr">
        <is>
          <t>HF Sinclair</t>
        </is>
      </c>
      <c r="D63" s="28" t="n">
        <v>3</v>
      </c>
      <c r="E63" s="28" t="inlineStr">
        <is>
          <t>New Mexico</t>
        </is>
      </c>
      <c r="F63" s="28" t="inlineStr">
        <is>
          <t>Artesia</t>
        </is>
      </c>
      <c r="G63" s="29" t="n">
        <v>100</v>
      </c>
      <c r="H63" s="28" t="inlineStr">
        <is>
          <t>operating</t>
        </is>
      </c>
      <c r="I63" s="56" t="n">
        <v>0.38747</v>
      </c>
      <c r="J63" s="56" t="n">
        <v>0.537395</v>
      </c>
      <c r="K63" s="56" t="n">
        <v>0.022453</v>
      </c>
      <c r="L63" s="56" t="n">
        <v>0</v>
      </c>
      <c r="M63" s="56" t="n">
        <v>0.009494000000000001</v>
      </c>
      <c r="N63" s="56" t="n">
        <v>0.010624</v>
      </c>
      <c r="O63" s="56" t="n">
        <v>0.967436</v>
      </c>
    </row>
    <row r="64">
      <c r="A64" s="28" t="inlineStr">
        <is>
          <t>VALERO_THREE_RIVERS</t>
        </is>
      </c>
      <c r="B64" s="28" t="inlineStr">
        <is>
          <t>Valero Three Rivers</t>
        </is>
      </c>
      <c r="C64" s="28" t="inlineStr">
        <is>
          <t>Valero</t>
        </is>
      </c>
      <c r="D64" s="28" t="n">
        <v>3</v>
      </c>
      <c r="E64" s="28" t="inlineStr">
        <is>
          <t>Texas</t>
        </is>
      </c>
      <c r="F64" s="28" t="inlineStr">
        <is>
          <t>Three Rivers</t>
        </is>
      </c>
      <c r="G64" s="29" t="n">
        <v>97.5</v>
      </c>
      <c r="H64" s="28" t="inlineStr">
        <is>
          <t>operating</t>
        </is>
      </c>
      <c r="I64" s="56" t="n">
        <v>0.376837</v>
      </c>
      <c r="J64" s="56" t="n">
        <v>0.556462</v>
      </c>
      <c r="K64" s="56" t="n">
        <v>0.002712</v>
      </c>
      <c r="L64" s="56" t="n">
        <v>0.07276099999999999</v>
      </c>
      <c r="M64" s="56" t="n">
        <v>0.009213000000000001</v>
      </c>
      <c r="N64" s="56" t="n">
        <v>0.003392</v>
      </c>
      <c r="O64" s="56" t="n">
        <v>1.021378</v>
      </c>
    </row>
    <row r="65">
      <c r="A65" s="28" t="inlineStr">
        <is>
          <t>VERTEX_MOBILE</t>
        </is>
      </c>
      <c r="B65" s="28" t="inlineStr">
        <is>
          <t>Vertex Energy Inc. Mobile</t>
        </is>
      </c>
      <c r="C65" s="28" t="inlineStr">
        <is>
          <t>Vertex Energy Inc.</t>
        </is>
      </c>
      <c r="D65" s="28" t="n">
        <v>3</v>
      </c>
      <c r="E65" s="28" t="inlineStr">
        <is>
          <t>Alabama</t>
        </is>
      </c>
      <c r="F65" s="28" t="inlineStr">
        <is>
          <t>Mobile</t>
        </is>
      </c>
      <c r="G65" s="29" t="n">
        <v>91.2</v>
      </c>
      <c r="H65" s="28" t="inlineStr">
        <is>
          <t>operating</t>
        </is>
      </c>
      <c r="I65" s="56" t="n">
        <v>0.177058</v>
      </c>
      <c r="J65" s="56" t="n">
        <v>0.439033</v>
      </c>
      <c r="K65" s="56" t="n">
        <v>0.153936</v>
      </c>
      <c r="L65" s="56" t="n">
        <v>0.230735</v>
      </c>
      <c r="M65" s="56" t="n">
        <v>0.006176</v>
      </c>
      <c r="N65" s="56" t="n">
        <v>0</v>
      </c>
      <c r="O65" s="56" t="n">
        <v>1.006939</v>
      </c>
    </row>
    <row r="66">
      <c r="A66" s="28" t="inlineStr">
        <is>
          <t>DELEK_EL_DORADO_AR</t>
        </is>
      </c>
      <c r="B66" s="28" t="inlineStr">
        <is>
          <t>Delek Group El Dorado (AR)</t>
        </is>
      </c>
      <c r="C66" s="28" t="inlineStr">
        <is>
          <t>Delek Group</t>
        </is>
      </c>
      <c r="D66" s="28" t="n">
        <v>3</v>
      </c>
      <c r="E66" s="28" t="inlineStr">
        <is>
          <t>Arkansas</t>
        </is>
      </c>
      <c r="F66" s="28" t="inlineStr">
        <is>
          <t>El Dorado (AR)</t>
        </is>
      </c>
      <c r="G66" s="29" t="n">
        <v>80</v>
      </c>
      <c r="H66" s="28" t="inlineStr">
        <is>
          <t>operating</t>
        </is>
      </c>
      <c r="I66" s="56" t="n">
        <v>0.4034</v>
      </c>
      <c r="J66" s="56" t="n">
        <v>0.475627</v>
      </c>
      <c r="K66" s="56" t="n">
        <v>0.007422</v>
      </c>
      <c r="L66" s="56" t="n">
        <v>0.013435</v>
      </c>
      <c r="M66" s="56" t="n">
        <v>0.007036</v>
      </c>
      <c r="N66" s="56" t="n">
        <v>0.008023000000000001</v>
      </c>
      <c r="O66" s="56" t="n">
        <v>0.914942</v>
      </c>
    </row>
    <row r="67">
      <c r="A67" s="28" t="inlineStr">
        <is>
          <t>BASF_PORT_ARTHUR</t>
        </is>
      </c>
      <c r="B67" s="28" t="inlineStr">
        <is>
          <t>BASF FINA Petrochemicals Port Arthur</t>
        </is>
      </c>
      <c r="C67" s="28" t="inlineStr">
        <is>
          <t>BASF (60%) / Total (40%)</t>
        </is>
      </c>
      <c r="D67" s="28" t="n">
        <v>3</v>
      </c>
      <c r="E67" s="28" t="inlineStr">
        <is>
          <t>Texas</t>
        </is>
      </c>
      <c r="F67" s="28" t="inlineStr">
        <is>
          <t>Port Arthur</t>
        </is>
      </c>
      <c r="G67" s="29" t="n">
        <v>75</v>
      </c>
      <c r="H67" s="28" t="inlineStr">
        <is>
          <t>operating</t>
        </is>
      </c>
      <c r="I67" s="56" t="n">
        <v>0.142189</v>
      </c>
      <c r="J67" s="56" t="n">
        <v>0.07367600000000001</v>
      </c>
      <c r="K67" s="56" t="n">
        <v>0.01051</v>
      </c>
      <c r="L67" s="56" t="n">
        <v>0.141698</v>
      </c>
      <c r="M67" s="56" t="n">
        <v>0.009918</v>
      </c>
      <c r="N67" s="56" t="n">
        <v>0.194225</v>
      </c>
      <c r="O67" s="56" t="n">
        <v>0.572215</v>
      </c>
    </row>
    <row r="68">
      <c r="A68" s="28" t="inlineStr">
        <is>
          <t>DELEK_TYLER</t>
        </is>
      </c>
      <c r="B68" s="28" t="inlineStr">
        <is>
          <t>Delek Refining Ltd. Tyler</t>
        </is>
      </c>
      <c r="C68" s="28" t="inlineStr">
        <is>
          <t>Delek Group</t>
        </is>
      </c>
      <c r="D68" s="28" t="n">
        <v>3</v>
      </c>
      <c r="E68" s="28" t="inlineStr">
        <is>
          <t>Texas</t>
        </is>
      </c>
      <c r="F68" s="28" t="inlineStr">
        <is>
          <t>Tyler</t>
        </is>
      </c>
      <c r="G68" s="29" t="n">
        <v>75</v>
      </c>
      <c r="H68" s="28" t="inlineStr">
        <is>
          <t>operating</t>
        </is>
      </c>
      <c r="I68" s="56" t="n">
        <v>0.386015</v>
      </c>
      <c r="J68" s="56" t="n">
        <v>0.423062</v>
      </c>
      <c r="K68" s="56" t="n">
        <v>0.029762</v>
      </c>
      <c r="L68" s="56" t="n">
        <v>0.07327600000000001</v>
      </c>
      <c r="M68" s="56" t="n">
        <v>0.002922</v>
      </c>
      <c r="N68" s="56" t="n">
        <v>0.001145</v>
      </c>
      <c r="O68" s="56" t="n">
        <v>0.91618</v>
      </c>
    </row>
    <row r="69">
      <c r="A69" s="28" t="inlineStr">
        <is>
          <t>PLACID_PORT_ALLEN</t>
        </is>
      </c>
      <c r="B69" s="28" t="inlineStr">
        <is>
          <t>Placid Refining Port Allen</t>
        </is>
      </c>
      <c r="C69" s="28" t="inlineStr">
        <is>
          <t>Placid Refining</t>
        </is>
      </c>
      <c r="D69" s="28" t="n">
        <v>3</v>
      </c>
      <c r="E69" s="28" t="inlineStr">
        <is>
          <t>Louisiana</t>
        </is>
      </c>
      <c r="F69" s="28" t="inlineStr">
        <is>
          <t>Port Allen</t>
        </is>
      </c>
      <c r="G69" s="29" t="n">
        <v>75</v>
      </c>
      <c r="H69" s="28" t="inlineStr">
        <is>
          <t>operating</t>
        </is>
      </c>
      <c r="I69" s="56" t="n">
        <v>0.268586</v>
      </c>
      <c r="J69" s="56" t="n">
        <v>0.444066</v>
      </c>
      <c r="K69" s="56" t="n">
        <v>0.037123</v>
      </c>
      <c r="L69" s="56" t="n">
        <v>0.17464</v>
      </c>
      <c r="M69" s="56" t="n">
        <v>0.015311</v>
      </c>
      <c r="N69" s="56" t="n">
        <v>0</v>
      </c>
      <c r="O69" s="56" t="n">
        <v>0.939727</v>
      </c>
    </row>
    <row r="70">
      <c r="A70" s="28" t="inlineStr">
        <is>
          <t>DELEK_KROTZ_SPRINGS</t>
        </is>
      </c>
      <c r="B70" s="28" t="inlineStr">
        <is>
          <t>Delek Group Krotz Springs</t>
        </is>
      </c>
      <c r="C70" s="28" t="inlineStr">
        <is>
          <t>Delek Group</t>
        </is>
      </c>
      <c r="D70" s="28" t="n">
        <v>3</v>
      </c>
      <c r="E70" s="28" t="inlineStr">
        <is>
          <t>Louisiana</t>
        </is>
      </c>
      <c r="F70" s="28" t="inlineStr">
        <is>
          <t>Krotz Springs</t>
        </is>
      </c>
      <c r="G70" s="29" t="n">
        <v>74</v>
      </c>
      <c r="H70" s="28" t="inlineStr">
        <is>
          <t>operating</t>
        </is>
      </c>
      <c r="I70" s="56" t="n">
        <v>0.213711</v>
      </c>
      <c r="J70" s="56" t="n">
        <v>0.510205</v>
      </c>
      <c r="K70" s="56" t="n">
        <v>0.003372</v>
      </c>
      <c r="L70" s="56" t="n">
        <v>0.22578</v>
      </c>
      <c r="M70" s="56" t="n">
        <v>0.000295</v>
      </c>
      <c r="N70" s="56" t="n">
        <v>0.008662</v>
      </c>
      <c r="O70" s="56" t="n">
        <v>0.962025</v>
      </c>
    </row>
    <row r="71">
      <c r="A71" s="28" t="inlineStr">
        <is>
          <t>ALON_BIG_SPRINGS</t>
        </is>
      </c>
      <c r="B71" s="28" t="inlineStr">
        <is>
          <t>Alon Big Springs</t>
        </is>
      </c>
      <c r="C71" s="28" t="inlineStr">
        <is>
          <t>Delek Group</t>
        </is>
      </c>
      <c r="D71" s="28" t="n">
        <v>3</v>
      </c>
      <c r="E71" s="28" t="inlineStr">
        <is>
          <t>Texas</t>
        </is>
      </c>
      <c r="F71" s="28" t="inlineStr">
        <is>
          <t>Big Springs</t>
        </is>
      </c>
      <c r="G71" s="29" t="n">
        <v>73</v>
      </c>
      <c r="H71" s="28" t="inlineStr">
        <is>
          <t>operating</t>
        </is>
      </c>
      <c r="I71" s="56" t="n">
        <v>0.276801</v>
      </c>
      <c r="J71" s="56" t="n">
        <v>0.561952</v>
      </c>
      <c r="K71" s="56" t="n">
        <v>0.003322</v>
      </c>
      <c r="L71" s="56" t="n">
        <v>0.11696</v>
      </c>
      <c r="M71" s="56" t="n">
        <v>0.008336</v>
      </c>
      <c r="N71" s="56" t="n">
        <v>0</v>
      </c>
      <c r="O71" s="56" t="n">
        <v>0.967371</v>
      </c>
    </row>
    <row r="72">
      <c r="A72" s="28" t="inlineStr">
        <is>
          <t>BUCKEYE_CORPUS_CHRISTI</t>
        </is>
      </c>
      <c r="B72" s="28" t="inlineStr">
        <is>
          <t>Buckeye Partners Corpus Christi</t>
        </is>
      </c>
      <c r="C72" s="28" t="inlineStr">
        <is>
          <t>Buckeye Partners (80%) / Trafigura (20%)</t>
        </is>
      </c>
      <c r="D72" s="28" t="n">
        <v>3</v>
      </c>
      <c r="E72" s="28" t="inlineStr">
        <is>
          <t>Texas</t>
        </is>
      </c>
      <c r="F72" s="28" t="inlineStr">
        <is>
          <t>Corpus Christi</t>
        </is>
      </c>
      <c r="G72" s="29" t="n">
        <v>65</v>
      </c>
      <c r="H72" s="28" t="inlineStr">
        <is>
          <t>operating</t>
        </is>
      </c>
      <c r="I72" s="56" t="n">
        <v>0.209113</v>
      </c>
      <c r="J72" s="56" t="n">
        <v>0.369389</v>
      </c>
      <c r="K72" s="56" t="n">
        <v>0.008895999999999999</v>
      </c>
      <c r="L72" s="56" t="n">
        <v>0.12579</v>
      </c>
      <c r="M72" s="56" t="n">
        <v>0.005306</v>
      </c>
      <c r="N72" s="56" t="n">
        <v>0.007039999999999999</v>
      </c>
      <c r="O72" s="56" t="n">
        <v>0.725534</v>
      </c>
    </row>
    <row r="73">
      <c r="A73" s="28" t="inlineStr">
        <is>
          <t>CALUMET_SHREVEPORT</t>
        </is>
      </c>
      <c r="B73" s="28" t="inlineStr">
        <is>
          <t>Calumet Lubricants Co. Shreveport</t>
        </is>
      </c>
      <c r="C73" s="28" t="inlineStr">
        <is>
          <t>Calumet Lubricants Co.</t>
        </is>
      </c>
      <c r="D73" s="28" t="n">
        <v>3</v>
      </c>
      <c r="E73" s="28" t="inlineStr">
        <is>
          <t>Louisiana</t>
        </is>
      </c>
      <c r="F73" s="28" t="inlineStr">
        <is>
          <t>Shreveport</t>
        </is>
      </c>
      <c r="G73" s="29" t="n">
        <v>57</v>
      </c>
      <c r="H73" s="28" t="inlineStr">
        <is>
          <t>operating</t>
        </is>
      </c>
      <c r="I73" s="56" t="n">
        <v>0.29839</v>
      </c>
      <c r="J73" s="56" t="n">
        <v>0.294843</v>
      </c>
      <c r="K73" s="56" t="n">
        <v>0</v>
      </c>
      <c r="L73" s="56" t="n">
        <v>0.030803</v>
      </c>
      <c r="M73" s="56" t="n">
        <v>-0.002215</v>
      </c>
      <c r="N73" s="56" t="n">
        <v>0</v>
      </c>
      <c r="O73" s="56" t="n">
        <v>0.621823</v>
      </c>
    </row>
    <row r="74">
      <c r="A74" s="28" t="inlineStr">
        <is>
          <t>MARATHON_TEXAS_CITY_GALVESTON_BAY</t>
        </is>
      </c>
      <c r="B74" s="28" t="inlineStr">
        <is>
          <t>Marathon Petroleum Texas City (Galveston Bay)</t>
        </is>
      </c>
      <c r="C74" s="28" t="inlineStr">
        <is>
          <t>Marathon Petroleum</t>
        </is>
      </c>
      <c r="D74" s="28" t="n">
        <v>3</v>
      </c>
      <c r="E74" s="28" t="inlineStr">
        <is>
          <t>Texas</t>
        </is>
      </c>
      <c r="F74" s="28" t="inlineStr">
        <is>
          <t>Texas City (Galveston Bay)</t>
        </is>
      </c>
      <c r="G74" s="29" t="n">
        <v>50</v>
      </c>
      <c r="H74" s="28" t="inlineStr">
        <is>
          <t>operating</t>
        </is>
      </c>
      <c r="I74" s="56" t="n">
        <v>0.462257</v>
      </c>
      <c r="J74" s="56" t="n">
        <v>0.400925</v>
      </c>
      <c r="K74" s="56" t="n">
        <v>0.028332</v>
      </c>
      <c r="L74" s="56" t="n">
        <v>0.032129</v>
      </c>
      <c r="M74" s="56" t="n">
        <v>0.015216</v>
      </c>
      <c r="N74" s="56" t="n">
        <v>0.04196399999999999</v>
      </c>
      <c r="O74" s="56" t="n">
        <v>0.980822</v>
      </c>
    </row>
    <row r="75">
      <c r="A75" s="28" t="inlineStr">
        <is>
          <t>HUNT_TUSCALOOSA</t>
        </is>
      </c>
      <c r="B75" s="28" t="inlineStr">
        <is>
          <t>Hunt Refining Consolidated Tuscaloosa</t>
        </is>
      </c>
      <c r="C75" s="28" t="inlineStr">
        <is>
          <t>Hunt Refining Consolidated</t>
        </is>
      </c>
      <c r="D75" s="28" t="n">
        <v>3</v>
      </c>
      <c r="E75" s="28" t="inlineStr">
        <is>
          <t>Alabama</t>
        </is>
      </c>
      <c r="F75" s="28" t="inlineStr">
        <is>
          <t>Tuscaloosa</t>
        </is>
      </c>
      <c r="G75" s="29" t="n">
        <v>40</v>
      </c>
      <c r="H75" s="28" t="inlineStr">
        <is>
          <t>operating</t>
        </is>
      </c>
      <c r="I75" s="56" t="n">
        <v>0.434917</v>
      </c>
      <c r="J75" s="56" t="n">
        <v>0.345385</v>
      </c>
      <c r="K75" s="56" t="n">
        <v>0.003574</v>
      </c>
      <c r="L75" s="56" t="n">
        <v>0.036317</v>
      </c>
      <c r="M75" s="56" t="n">
        <v>0.02139</v>
      </c>
      <c r="N75" s="56" t="n">
        <v>0.00308</v>
      </c>
      <c r="O75" s="56" t="n">
        <v>0.8446630000000001</v>
      </c>
    </row>
    <row r="76">
      <c r="A76" s="28" t="inlineStr">
        <is>
          <t>ERGON_VICKSBURG</t>
        </is>
      </c>
      <c r="B76" s="28" t="inlineStr">
        <is>
          <t>Ergon Vicksburg</t>
        </is>
      </c>
      <c r="C76" s="28" t="inlineStr">
        <is>
          <t>Ergon</t>
        </is>
      </c>
      <c r="D76" s="28" t="n">
        <v>3</v>
      </c>
      <c r="E76" s="28" t="inlineStr">
        <is>
          <t>Mississippi</t>
        </is>
      </c>
      <c r="F76" s="28" t="inlineStr">
        <is>
          <t>Vicksburg</t>
        </is>
      </c>
      <c r="G76" s="29" t="n">
        <v>27.3</v>
      </c>
      <c r="H76" s="28" t="inlineStr">
        <is>
          <t>operating</t>
        </is>
      </c>
      <c r="I76" s="56" t="n">
        <v>0.17077</v>
      </c>
      <c r="J76" s="56" t="n">
        <v>0.070315</v>
      </c>
      <c r="K76" s="56" t="n">
        <v>8e-06</v>
      </c>
      <c r="L76" s="56" t="n">
        <v>0.026369</v>
      </c>
      <c r="M76" s="56" t="n">
        <v>-0.012448</v>
      </c>
      <c r="N76" s="56" t="n">
        <v>0.011187</v>
      </c>
      <c r="O76" s="56" t="n">
        <v>0.266193</v>
      </c>
    </row>
    <row r="77">
      <c r="A77" s="28" t="inlineStr">
        <is>
          <t>LAZARUS_SAN_ANTONIO</t>
        </is>
      </c>
      <c r="B77" s="28" t="inlineStr">
        <is>
          <t>Lazarus Energy San Antonio</t>
        </is>
      </c>
      <c r="C77" s="28" t="inlineStr">
        <is>
          <t>Starlight Relativity Acquisition Co. LLC</t>
        </is>
      </c>
      <c r="D77" s="28" t="n">
        <v>3</v>
      </c>
      <c r="E77" s="28" t="inlineStr">
        <is>
          <t>Texas</t>
        </is>
      </c>
      <c r="F77" s="28" t="inlineStr">
        <is>
          <t>San Antonio</t>
        </is>
      </c>
      <c r="G77" s="29" t="n">
        <v>21</v>
      </c>
      <c r="H77" s="28" t="inlineStr">
        <is>
          <t>operating</t>
        </is>
      </c>
      <c r="I77" s="56" t="n">
        <v>0.304606</v>
      </c>
      <c r="J77" s="56" t="n">
        <v>0.367749</v>
      </c>
      <c r="K77" s="56" t="n">
        <v>0.036324</v>
      </c>
      <c r="L77" s="56" t="n">
        <v>0.102987</v>
      </c>
      <c r="M77" s="56" t="n">
        <v>0.014718</v>
      </c>
      <c r="N77" s="56" t="n">
        <v>0.002046</v>
      </c>
      <c r="O77" s="56" t="n">
        <v>0.82843</v>
      </c>
    </row>
    <row r="78">
      <c r="A78" s="28" t="inlineStr">
        <is>
          <t>BLUE_NIXON</t>
        </is>
      </c>
      <c r="B78" s="28" t="inlineStr">
        <is>
          <t>Blue Dolphin Energy Nixon</t>
        </is>
      </c>
      <c r="C78" s="28" t="inlineStr">
        <is>
          <t>Blue Dolphin Energy</t>
        </is>
      </c>
      <c r="D78" s="28" t="n">
        <v>3</v>
      </c>
      <c r="E78" s="28" t="inlineStr">
        <is>
          <t>Texas</t>
        </is>
      </c>
      <c r="F78" s="28" t="inlineStr">
        <is>
          <t>Nixon</t>
        </is>
      </c>
      <c r="G78" s="29" t="n">
        <v>15</v>
      </c>
      <c r="H78" s="28" t="inlineStr">
        <is>
          <t>operating</t>
        </is>
      </c>
      <c r="I78" s="56" t="n">
        <v>0.363456</v>
      </c>
      <c r="J78" s="56" t="n">
        <v>0</v>
      </c>
      <c r="K78" s="56" t="n">
        <v>0.073994</v>
      </c>
      <c r="L78" s="56" t="n">
        <v>0.18064</v>
      </c>
      <c r="M78" s="56" t="n">
        <v>0.008919</v>
      </c>
      <c r="N78" s="56" t="n">
        <v>0.076588</v>
      </c>
      <c r="O78" s="56" t="n">
        <v>0.7035980000000001</v>
      </c>
    </row>
    <row r="79">
      <c r="A79" s="28" t="inlineStr">
        <is>
          <t>CALUMET_COTTON_VALLEY</t>
        </is>
      </c>
      <c r="B79" s="28" t="inlineStr">
        <is>
          <t>Calumet Lubricants Co. Cotton Valley</t>
        </is>
      </c>
      <c r="C79" s="28" t="inlineStr">
        <is>
          <t>Calumet Lubricants Co.</t>
        </is>
      </c>
      <c r="D79" s="28" t="n">
        <v>3</v>
      </c>
      <c r="E79" s="28" t="inlineStr">
        <is>
          <t>Louisiana</t>
        </is>
      </c>
      <c r="F79" s="28" t="inlineStr">
        <is>
          <t>Cotton Valley</t>
        </is>
      </c>
      <c r="G79" s="29" t="n">
        <v>14</v>
      </c>
      <c r="H79" s="28" t="inlineStr">
        <is>
          <t>operating</t>
        </is>
      </c>
      <c r="I79" s="56" t="n">
        <v>0.453142</v>
      </c>
      <c r="J79" s="56" t="n">
        <v>0.08595999999999999</v>
      </c>
      <c r="K79" s="56" t="n">
        <v>0.025344</v>
      </c>
      <c r="L79" s="56" t="n">
        <v>0.042477</v>
      </c>
      <c r="M79" s="56" t="n">
        <v>-0.008026999999999999</v>
      </c>
      <c r="N79" s="56" t="n">
        <v>0.065992</v>
      </c>
      <c r="O79" s="56" t="n">
        <v>0.664875</v>
      </c>
    </row>
    <row r="80">
      <c r="A80" s="28" t="inlineStr">
        <is>
          <t>HUNT_SANDERSVILLE</t>
        </is>
      </c>
      <c r="B80" s="28" t="inlineStr">
        <is>
          <t>Hunt Refining Consolidated Sandersville</t>
        </is>
      </c>
      <c r="C80" s="28" t="inlineStr">
        <is>
          <t>Hunt Refining Consolidated</t>
        </is>
      </c>
      <c r="D80" s="28" t="n">
        <v>3</v>
      </c>
      <c r="E80" s="28" t="inlineStr">
        <is>
          <t>Mississippi</t>
        </is>
      </c>
      <c r="F80" s="28" t="inlineStr">
        <is>
          <t>Sandersville</t>
        </is>
      </c>
      <c r="G80" s="29" t="n">
        <v>12.5</v>
      </c>
      <c r="H80" s="28" t="inlineStr">
        <is>
          <t>operating</t>
        </is>
      </c>
      <c r="I80" s="56" t="n">
        <v>0.359598</v>
      </c>
      <c r="J80" s="56" t="n">
        <v>0.08290400000000001</v>
      </c>
      <c r="K80" s="56" t="n">
        <v>0.018897</v>
      </c>
      <c r="L80" s="56" t="n">
        <v>0.030569</v>
      </c>
      <c r="M80" s="56" t="n">
        <v>-0.010272</v>
      </c>
      <c r="N80" s="56" t="n">
        <v>0.028532</v>
      </c>
      <c r="O80" s="56" t="n">
        <v>0.510246</v>
      </c>
    </row>
    <row r="81">
      <c r="A81" s="28" t="inlineStr">
        <is>
          <t>CALUMET_PRINCETON</t>
        </is>
      </c>
      <c r="B81" s="28" t="inlineStr">
        <is>
          <t>Calumet Lubricants Co. Princeton</t>
        </is>
      </c>
      <c r="C81" s="28" t="inlineStr">
        <is>
          <t>Calumet Lubricants Co.</t>
        </is>
      </c>
      <c r="D81" s="28" t="n">
        <v>3</v>
      </c>
      <c r="E81" s="28" t="inlineStr">
        <is>
          <t>Louisiana</t>
        </is>
      </c>
      <c r="F81" s="28" t="inlineStr">
        <is>
          <t>Princeton</t>
        </is>
      </c>
      <c r="G81" s="29" t="n">
        <v>8.654999999999999</v>
      </c>
      <c r="H81" s="28" t="inlineStr">
        <is>
          <t>operating</t>
        </is>
      </c>
      <c r="I81" s="56" t="n">
        <v>0.341568</v>
      </c>
      <c r="J81" s="56" t="n">
        <v>0.08357900000000001</v>
      </c>
      <c r="K81" s="56" t="n">
        <v>0</v>
      </c>
      <c r="L81" s="56" t="n">
        <v>0.052205</v>
      </c>
      <c r="M81" s="56" t="n">
        <v>-0.015673</v>
      </c>
      <c r="N81" s="56" t="n">
        <v>0.059992</v>
      </c>
      <c r="O81" s="56" t="n">
        <v>0.5217000000000001</v>
      </c>
    </row>
    <row r="82">
      <c r="A82" s="28" t="inlineStr">
        <is>
          <t>CROSS_SMACKOVER</t>
        </is>
      </c>
      <c r="B82" s="28" t="inlineStr">
        <is>
          <t>Cross Oil and Ref.Co. Smackover</t>
        </is>
      </c>
      <c r="C82" s="28" t="inlineStr">
        <is>
          <t>Cross Oil and Ref.Co.</t>
        </is>
      </c>
      <c r="D82" s="28" t="n">
        <v>3</v>
      </c>
      <c r="E82" s="28" t="inlineStr">
        <is>
          <t>Arkansas</t>
        </is>
      </c>
      <c r="F82" s="28" t="inlineStr">
        <is>
          <t>Smackover</t>
        </is>
      </c>
      <c r="G82" s="29" t="n">
        <v>7.7</v>
      </c>
      <c r="H82" s="28" t="inlineStr">
        <is>
          <t>operating</t>
        </is>
      </c>
      <c r="I82" s="56" t="n">
        <v>0.406383</v>
      </c>
      <c r="J82" s="56" t="n">
        <v>0.076489</v>
      </c>
      <c r="K82" s="56" t="n">
        <v>0</v>
      </c>
      <c r="L82" s="56" t="n">
        <v>0.02503</v>
      </c>
      <c r="M82" s="56" t="n">
        <v>-0.009790999999999999</v>
      </c>
      <c r="N82" s="56" t="n">
        <v>0.034216</v>
      </c>
      <c r="O82" s="56" t="n">
        <v>0.532326</v>
      </c>
    </row>
    <row r="83">
      <c r="A83" s="28" t="inlineStr">
        <is>
          <t>GOODWAY_ATMORE</t>
        </is>
      </c>
      <c r="B83" s="28" t="inlineStr">
        <is>
          <t>Goodway Refining Atmore</t>
        </is>
      </c>
      <c r="C83" s="28" t="inlineStr">
        <is>
          <t>Goodway Refining</t>
        </is>
      </c>
      <c r="D83" s="28" t="n">
        <v>3</v>
      </c>
      <c r="E83" s="28" t="inlineStr">
        <is>
          <t>Alabama</t>
        </is>
      </c>
      <c r="F83" s="28" t="inlineStr">
        <is>
          <t>Atmore</t>
        </is>
      </c>
      <c r="G83" s="29" t="n">
        <v>4.1</v>
      </c>
      <c r="H83" s="28" t="inlineStr">
        <is>
          <t>operating</t>
        </is>
      </c>
      <c r="I83" s="56" t="n">
        <v>0.429329</v>
      </c>
      <c r="J83" s="56" t="n">
        <v>0.07316499999999999</v>
      </c>
      <c r="K83" s="56" t="n">
        <v>0.029337</v>
      </c>
      <c r="L83" s="56" t="n">
        <v>0.070023</v>
      </c>
      <c r="M83" s="56" t="n">
        <v>0</v>
      </c>
      <c r="N83" s="56" t="n">
        <v>0.057377</v>
      </c>
      <c r="O83" s="56" t="n">
        <v>0.659231</v>
      </c>
    </row>
    <row r="84">
      <c r="A84" s="28" t="inlineStr">
        <is>
          <t>LYONDELLBASELL_HOUSTON</t>
        </is>
      </c>
      <c r="B84" s="28" t="inlineStr">
        <is>
          <t>LyondellBasell Refining Houston</t>
        </is>
      </c>
      <c r="C84" s="28" t="inlineStr">
        <is>
          <t>Access Industries</t>
        </is>
      </c>
      <c r="D84" s="28" t="n">
        <v>3</v>
      </c>
      <c r="E84" s="28" t="inlineStr">
        <is>
          <t>Texas</t>
        </is>
      </c>
      <c r="F84" s="28" t="inlineStr">
        <is>
          <t>Houston</t>
        </is>
      </c>
      <c r="G84" s="29" t="n">
        <v>0</v>
      </c>
      <c r="H84" s="28" t="inlineStr">
        <is>
          <t>shut</t>
        </is>
      </c>
      <c r="I84" s="56" t="n">
        <v>0.336599</v>
      </c>
      <c r="J84" s="56" t="n">
        <v>0.420847</v>
      </c>
      <c r="K84" s="56" t="n">
        <v>0.020254</v>
      </c>
      <c r="L84" s="56" t="n">
        <v>0.037415</v>
      </c>
      <c r="M84" s="56" t="n">
        <v>0.023197</v>
      </c>
      <c r="N84" s="56" t="n">
        <v>0.035638</v>
      </c>
      <c r="O84" s="56" t="n">
        <v>0.873951</v>
      </c>
    </row>
    <row r="85">
      <c r="A85" s="28" t="inlineStr">
        <is>
          <t>SHELL_CONVENT</t>
        </is>
      </c>
      <c r="B85" s="28" t="inlineStr">
        <is>
          <t>Shell Convent</t>
        </is>
      </c>
      <c r="C85" s="28" t="inlineStr">
        <is>
          <t>Shell</t>
        </is>
      </c>
      <c r="D85" s="28" t="n">
        <v>3</v>
      </c>
      <c r="E85" s="28" t="inlineStr">
        <is>
          <t>Louisiana</t>
        </is>
      </c>
      <c r="F85" s="28" t="inlineStr">
        <is>
          <t>Convent</t>
        </is>
      </c>
      <c r="G85" s="29" t="n">
        <v>0</v>
      </c>
      <c r="H85" s="28" t="inlineStr">
        <is>
          <t>shut</t>
        </is>
      </c>
      <c r="I85" s="56" t="n">
        <v>0</v>
      </c>
      <c r="J85" s="56" t="n">
        <v>0</v>
      </c>
      <c r="K85" s="56" t="n">
        <v>0</v>
      </c>
      <c r="L85" s="56" t="n">
        <v>0</v>
      </c>
      <c r="M85" s="56" t="n">
        <v>0</v>
      </c>
      <c r="N85" s="56" t="n">
        <v>0</v>
      </c>
      <c r="O85" s="56" t="n">
        <v>0</v>
      </c>
    </row>
    <row r="86">
      <c r="A86" s="28" t="inlineStr">
        <is>
          <t>SHELL_SAINT_ROSE</t>
        </is>
      </c>
      <c r="B86" s="28" t="inlineStr">
        <is>
          <t>Shell Oil Co. USA Saint Rose</t>
        </is>
      </c>
      <c r="C86" s="28" t="inlineStr">
        <is>
          <t>Shell</t>
        </is>
      </c>
      <c r="D86" s="28" t="n">
        <v>3</v>
      </c>
      <c r="E86" s="28" t="inlineStr">
        <is>
          <t>Louisiana</t>
        </is>
      </c>
      <c r="F86" s="28" t="inlineStr">
        <is>
          <t>Saint Rose</t>
        </is>
      </c>
      <c r="G86" s="29" t="n">
        <v>0</v>
      </c>
      <c r="H86" s="28" t="inlineStr">
        <is>
          <t>shut</t>
        </is>
      </c>
      <c r="I86" s="56" t="n">
        <v>0.248537</v>
      </c>
      <c r="J86" s="56" t="n">
        <v>0.036875</v>
      </c>
      <c r="K86" s="56" t="n">
        <v>0.075868</v>
      </c>
      <c r="L86" s="56" t="n">
        <v>0.086676</v>
      </c>
      <c r="M86" s="56" t="n">
        <v>-0.003411</v>
      </c>
      <c r="N86" s="56" t="n">
        <v>0.001364</v>
      </c>
      <c r="O86" s="56" t="n">
        <v>0.445944</v>
      </c>
    </row>
    <row r="87">
      <c r="A87" s="28" t="inlineStr">
        <is>
          <t>SUNCOR_DENVER</t>
        </is>
      </c>
      <c r="B87" s="28" t="inlineStr">
        <is>
          <t>Suncor Denver</t>
        </is>
      </c>
      <c r="C87" s="28" t="inlineStr">
        <is>
          <t>Suncor</t>
        </is>
      </c>
      <c r="D87" s="28" t="n">
        <v>4</v>
      </c>
      <c r="E87" s="28" t="inlineStr">
        <is>
          <t>Colorado</t>
        </is>
      </c>
      <c r="F87" s="28" t="inlineStr">
        <is>
          <t>Denver</t>
        </is>
      </c>
      <c r="G87" s="29" t="n">
        <v>98</v>
      </c>
      <c r="H87" s="28" t="inlineStr">
        <is>
          <t>operating</t>
        </is>
      </c>
      <c r="I87" s="56" t="n">
        <v>0.351623</v>
      </c>
      <c r="J87" s="56" t="n">
        <v>0.464713</v>
      </c>
      <c r="K87" s="56" t="n">
        <v>0.010519</v>
      </c>
      <c r="L87" s="56" t="n">
        <v>0.114136</v>
      </c>
      <c r="M87" s="56" t="n">
        <v>-0.005588999999999999</v>
      </c>
      <c r="N87" s="56" t="n">
        <v>0.002181</v>
      </c>
      <c r="O87" s="56" t="n">
        <v>0.937585</v>
      </c>
    </row>
    <row r="88">
      <c r="A88" s="28" t="inlineStr">
        <is>
          <t>SINCLAIR_SINCLAIR</t>
        </is>
      </c>
      <c r="B88" s="28" t="inlineStr">
        <is>
          <t>Sinclair Sinclair</t>
        </is>
      </c>
      <c r="C88" s="28" t="inlineStr">
        <is>
          <t>Sinclair</t>
        </is>
      </c>
      <c r="D88" s="28" t="n">
        <v>4</v>
      </c>
      <c r="E88" s="28" t="inlineStr">
        <is>
          <t>Wyoming</t>
        </is>
      </c>
      <c r="F88" s="28" t="inlineStr">
        <is>
          <t>Sinclair</t>
        </is>
      </c>
      <c r="G88" s="29" t="n">
        <v>94</v>
      </c>
      <c r="H88" s="28" t="inlineStr">
        <is>
          <t>operating</t>
        </is>
      </c>
      <c r="I88" s="56" t="n">
        <v>0.366417</v>
      </c>
      <c r="J88" s="56" t="n">
        <v>0.531999</v>
      </c>
      <c r="K88" s="56" t="n">
        <v>0.00218</v>
      </c>
      <c r="L88" s="56" t="n">
        <v>0.097106</v>
      </c>
      <c r="M88" s="56" t="n">
        <v>-0.004258</v>
      </c>
      <c r="N88" s="56" t="n">
        <v>0.006728</v>
      </c>
      <c r="O88" s="56" t="n">
        <v>1.000171</v>
      </c>
    </row>
    <row r="89">
      <c r="A89" s="28" t="inlineStr">
        <is>
          <t>MARATHON_SALT_LAKE_CITY</t>
        </is>
      </c>
      <c r="B89" s="28" t="inlineStr">
        <is>
          <t>Marathon Petroleum Salt Lake City</t>
        </is>
      </c>
      <c r="C89" s="28" t="inlineStr">
        <is>
          <t>Marathon Petroleum</t>
        </is>
      </c>
      <c r="D89" s="28" t="n">
        <v>4</v>
      </c>
      <c r="E89" s="28" t="inlineStr">
        <is>
          <t>Utah</t>
        </is>
      </c>
      <c r="F89" s="28" t="inlineStr">
        <is>
          <t>Salt Lake City</t>
        </is>
      </c>
      <c r="G89" s="29" t="n">
        <v>72.5</v>
      </c>
      <c r="H89" s="28" t="inlineStr">
        <is>
          <t>operating</t>
        </is>
      </c>
      <c r="I89" s="56" t="n">
        <v>0.442593</v>
      </c>
      <c r="J89" s="56" t="n">
        <v>0.464356</v>
      </c>
      <c r="K89" s="56" t="n">
        <v>0.028389</v>
      </c>
      <c r="L89" s="56" t="n">
        <v>0.046315</v>
      </c>
      <c r="M89" s="56" t="n">
        <v>0.002077</v>
      </c>
      <c r="N89" s="56" t="n">
        <v>5.3e-05</v>
      </c>
      <c r="O89" s="56" t="n">
        <v>0.983782</v>
      </c>
    </row>
    <row r="90">
      <c r="A90" s="28" t="inlineStr">
        <is>
          <t>PHILLIPS_BILLINGS</t>
        </is>
      </c>
      <c r="B90" s="28" t="inlineStr">
        <is>
          <t>Phillips 66 Co. Billings</t>
        </is>
      </c>
      <c r="C90" s="28" t="inlineStr">
        <is>
          <t>Phillips 66 Co.</t>
        </is>
      </c>
      <c r="D90" s="28" t="n">
        <v>4</v>
      </c>
      <c r="E90" s="28" t="inlineStr">
        <is>
          <t>Montana</t>
        </is>
      </c>
      <c r="F90" s="28" t="inlineStr">
        <is>
          <t>Billings</t>
        </is>
      </c>
      <c r="G90" s="29" t="n">
        <v>66</v>
      </c>
      <c r="H90" s="28" t="inlineStr">
        <is>
          <t>operating</t>
        </is>
      </c>
      <c r="I90" s="56" t="n">
        <v>0.206148</v>
      </c>
      <c r="J90" s="56" t="n">
        <v>0.708599</v>
      </c>
      <c r="K90" s="56" t="n">
        <v>0.021939</v>
      </c>
      <c r="L90" s="56" t="n">
        <v>0.022072</v>
      </c>
      <c r="M90" s="56" t="n">
        <v>-0.002983</v>
      </c>
      <c r="N90" s="56" t="n">
        <v>0.002102</v>
      </c>
      <c r="O90" s="56" t="n">
        <v>0.957878</v>
      </c>
    </row>
    <row r="91">
      <c r="A91" s="28" t="inlineStr">
        <is>
          <t>PAR_BILLINGS</t>
        </is>
      </c>
      <c r="B91" s="28" t="inlineStr">
        <is>
          <t>Par Petroleum Billings</t>
        </is>
      </c>
      <c r="C91" s="28" t="inlineStr">
        <is>
          <t>Par Petroleum</t>
        </is>
      </c>
      <c r="D91" s="28" t="n">
        <v>4</v>
      </c>
      <c r="E91" s="28" t="inlineStr">
        <is>
          <t>Montana</t>
        </is>
      </c>
      <c r="F91" s="28" t="inlineStr">
        <is>
          <t>Billings</t>
        </is>
      </c>
      <c r="G91" s="29" t="n">
        <v>62.9</v>
      </c>
      <c r="H91" s="28" t="inlineStr">
        <is>
          <t>operating</t>
        </is>
      </c>
      <c r="I91" s="56" t="n">
        <v>0.290164</v>
      </c>
      <c r="J91" s="56" t="n">
        <v>0.579892</v>
      </c>
      <c r="K91" s="56" t="n">
        <v>0.001147</v>
      </c>
      <c r="L91" s="56" t="n">
        <v>0.051463</v>
      </c>
      <c r="M91" s="56" t="n">
        <v>-0.003161</v>
      </c>
      <c r="N91" s="56" t="n">
        <v>0.000607</v>
      </c>
      <c r="O91" s="56" t="n">
        <v>0.920112</v>
      </c>
    </row>
    <row r="92">
      <c r="A92" s="28" t="inlineStr">
        <is>
          <t>CHS_LAUREL</t>
        </is>
      </c>
      <c r="B92" s="28" t="inlineStr">
        <is>
          <t>CHS Laurel</t>
        </is>
      </c>
      <c r="C92" s="28" t="inlineStr">
        <is>
          <t>CHS</t>
        </is>
      </c>
      <c r="D92" s="28" t="n">
        <v>4</v>
      </c>
      <c r="E92" s="28" t="inlineStr">
        <is>
          <t>Montana</t>
        </is>
      </c>
      <c r="F92" s="28" t="inlineStr">
        <is>
          <t>Laurel</t>
        </is>
      </c>
      <c r="G92" s="29" t="n">
        <v>61.1</v>
      </c>
      <c r="H92" s="28" t="inlineStr">
        <is>
          <t>operating</t>
        </is>
      </c>
      <c r="I92" s="56" t="n">
        <v>0.252542</v>
      </c>
      <c r="J92" s="56" t="n">
        <v>0.5941960000000001</v>
      </c>
      <c r="K92" s="56" t="n">
        <v>0.031141</v>
      </c>
      <c r="L92" s="56" t="n">
        <v>0.03949</v>
      </c>
      <c r="M92" s="56" t="n">
        <v>-0.001713</v>
      </c>
      <c r="N92" s="56" t="n">
        <v>0.001502</v>
      </c>
      <c r="O92" s="56" t="n">
        <v>0.917157</v>
      </c>
    </row>
    <row r="93">
      <c r="A93" s="28" t="inlineStr">
        <is>
          <t>CHEVRON_SALT_LAKE_CITY</t>
        </is>
      </c>
      <c r="B93" s="28" t="inlineStr">
        <is>
          <t>Chevron Salt Lake City</t>
        </is>
      </c>
      <c r="C93" s="28" t="inlineStr">
        <is>
          <t>Chevron</t>
        </is>
      </c>
      <c r="D93" s="28" t="n">
        <v>4</v>
      </c>
      <c r="E93" s="28" t="inlineStr">
        <is>
          <t>Utah</t>
        </is>
      </c>
      <c r="F93" s="28" t="inlineStr">
        <is>
          <t>Salt Lake City</t>
        </is>
      </c>
      <c r="G93" s="29" t="n">
        <v>55</v>
      </c>
      <c r="H93" s="28" t="inlineStr">
        <is>
          <t>operating</t>
        </is>
      </c>
      <c r="I93" s="56" t="n">
        <v>0.397096</v>
      </c>
      <c r="J93" s="56" t="n">
        <v>0.474627</v>
      </c>
      <c r="K93" s="56" t="n">
        <v>0.036584</v>
      </c>
      <c r="L93" s="56" t="n">
        <v>0.07890999999999999</v>
      </c>
      <c r="M93" s="56" t="n">
        <v>0.000162</v>
      </c>
      <c r="N93" s="56" t="n">
        <v>0.000904</v>
      </c>
      <c r="O93" s="56" t="n">
        <v>0.988286</v>
      </c>
    </row>
    <row r="94">
      <c r="A94" s="28" t="inlineStr">
        <is>
          <t>HF_WOODS_CROSS</t>
        </is>
      </c>
      <c r="B94" s="28" t="inlineStr">
        <is>
          <t>HF Sinclair Woods Cross</t>
        </is>
      </c>
      <c r="C94" s="28" t="inlineStr">
        <is>
          <t>HF Sinclair</t>
        </is>
      </c>
      <c r="D94" s="28" t="n">
        <v>4</v>
      </c>
      <c r="E94" s="28" t="inlineStr">
        <is>
          <t>Utah</t>
        </is>
      </c>
      <c r="F94" s="28" t="inlineStr">
        <is>
          <t>Woods Cross</t>
        </is>
      </c>
      <c r="G94" s="29" t="n">
        <v>45</v>
      </c>
      <c r="H94" s="28" t="inlineStr">
        <is>
          <t>operating</t>
        </is>
      </c>
      <c r="I94" s="56" t="n">
        <v>0.401415</v>
      </c>
      <c r="J94" s="56" t="n">
        <v>0.553244</v>
      </c>
      <c r="K94" s="56" t="n">
        <v>0.025584</v>
      </c>
      <c r="L94" s="56" t="n">
        <v>0</v>
      </c>
      <c r="M94" s="56" t="n">
        <v>0.003234</v>
      </c>
      <c r="N94" s="56" t="n">
        <v>5.2e-05</v>
      </c>
      <c r="O94" s="56" t="n">
        <v>0.9835259999999999</v>
      </c>
    </row>
    <row r="95">
      <c r="A95" s="28" t="inlineStr">
        <is>
          <t>BIG_NORTH_SLATERVILLE_CANAL</t>
        </is>
      </c>
      <c r="B95" s="28" t="inlineStr">
        <is>
          <t>Big West Oil Co North Slaterville Canal</t>
        </is>
      </c>
      <c r="C95" s="28" t="inlineStr">
        <is>
          <t>Flying J</t>
        </is>
      </c>
      <c r="D95" s="28" t="n">
        <v>4</v>
      </c>
      <c r="E95" s="28" t="inlineStr">
        <is>
          <t>Utah</t>
        </is>
      </c>
      <c r="F95" s="28" t="inlineStr">
        <is>
          <t>North Slaterville Canal</t>
        </is>
      </c>
      <c r="G95" s="29" t="n">
        <v>33</v>
      </c>
      <c r="H95" s="28" t="inlineStr">
        <is>
          <t>operating</t>
        </is>
      </c>
      <c r="I95" s="56" t="n">
        <v>0.320812</v>
      </c>
      <c r="J95" s="56" t="n">
        <v>0.5379390000000001</v>
      </c>
      <c r="K95" s="56" t="n">
        <v>0.029751</v>
      </c>
      <c r="L95" s="56" t="n">
        <v>0.107187</v>
      </c>
      <c r="M95" s="56" t="n">
        <v>-0.00187</v>
      </c>
      <c r="N95" s="56" t="n">
        <v>6.4e-05</v>
      </c>
      <c r="O95" s="56" t="n">
        <v>0.993883</v>
      </c>
    </row>
    <row r="96">
      <c r="A96" s="28" t="inlineStr">
        <is>
          <t>HF_CASPER</t>
        </is>
      </c>
      <c r="B96" s="28" t="inlineStr">
        <is>
          <t>HF Sinclair Casper</t>
        </is>
      </c>
      <c r="C96" s="28" t="inlineStr">
        <is>
          <t>HF Sinclair</t>
        </is>
      </c>
      <c r="D96" s="28" t="n">
        <v>4</v>
      </c>
      <c r="E96" s="28" t="inlineStr">
        <is>
          <t>Wyoming</t>
        </is>
      </c>
      <c r="F96" s="28" t="inlineStr">
        <is>
          <t>Casper</t>
        </is>
      </c>
      <c r="G96" s="29" t="n">
        <v>30</v>
      </c>
      <c r="H96" s="28" t="inlineStr">
        <is>
          <t>operating</t>
        </is>
      </c>
      <c r="I96" s="56" t="n">
        <v>0.496774</v>
      </c>
      <c r="J96" s="56" t="n">
        <v>0.499014</v>
      </c>
      <c r="K96" s="56" t="n">
        <v>0.000712</v>
      </c>
      <c r="L96" s="56" t="n">
        <v>0.004889</v>
      </c>
      <c r="M96" s="56" t="n">
        <v>-0.005282</v>
      </c>
      <c r="N96" s="56" t="n">
        <v>0</v>
      </c>
      <c r="O96" s="56" t="n">
        <v>0.996107</v>
      </c>
    </row>
    <row r="97">
      <c r="A97" s="28" t="inlineStr">
        <is>
          <t>PAR_NEWCASTLE</t>
        </is>
      </c>
      <c r="B97" s="28" t="inlineStr">
        <is>
          <t>Par Petroleum Newcastle</t>
        </is>
      </c>
      <c r="C97" s="28" t="inlineStr">
        <is>
          <t>Par Petroleum</t>
        </is>
      </c>
      <c r="D97" s="28" t="n">
        <v>4</v>
      </c>
      <c r="E97" s="28" t="inlineStr">
        <is>
          <t>Wyoming</t>
        </is>
      </c>
      <c r="F97" s="28" t="inlineStr">
        <is>
          <t>Newcastle</t>
        </is>
      </c>
      <c r="G97" s="29" t="n">
        <v>20</v>
      </c>
      <c r="H97" s="28" t="inlineStr">
        <is>
          <t>operating</t>
        </is>
      </c>
      <c r="I97" s="56" t="n">
        <v>0.444493</v>
      </c>
      <c r="J97" s="56" t="n">
        <v>0.53644</v>
      </c>
      <c r="K97" s="56" t="n">
        <v>0.001048</v>
      </c>
      <c r="L97" s="56" t="n">
        <v>0.005358000000000001</v>
      </c>
      <c r="M97" s="56" t="n">
        <v>0.00214</v>
      </c>
      <c r="N97" s="56" t="n">
        <v>0</v>
      </c>
      <c r="O97" s="56" t="n">
        <v>0.989479</v>
      </c>
    </row>
    <row r="98">
      <c r="A98" s="28" t="inlineStr">
        <is>
          <t>MONTANA_GREAT_FALLS</t>
        </is>
      </c>
      <c r="B98" s="28" t="inlineStr">
        <is>
          <t>Montana Refining Co. Great Falls</t>
        </is>
      </c>
      <c r="C98" s="28" t="inlineStr">
        <is>
          <t>Calumet Lubricants Co.</t>
        </is>
      </c>
      <c r="D98" s="28" t="n">
        <v>4</v>
      </c>
      <c r="E98" s="28" t="inlineStr">
        <is>
          <t>Montana</t>
        </is>
      </c>
      <c r="F98" s="28" t="inlineStr">
        <is>
          <t>Great Falls</t>
        </is>
      </c>
      <c r="G98" s="29" t="n">
        <v>17</v>
      </c>
      <c r="H98" s="28" t="inlineStr">
        <is>
          <t>operating</t>
        </is>
      </c>
      <c r="I98" s="56" t="n">
        <v>0.309768</v>
      </c>
      <c r="J98" s="56" t="n">
        <v>0.428469</v>
      </c>
      <c r="K98" s="56" t="n">
        <v>0.005883</v>
      </c>
      <c r="L98" s="56" t="n">
        <v>0.049243</v>
      </c>
      <c r="M98" s="56" t="n">
        <v>-0.0006980000000000001</v>
      </c>
      <c r="N98" s="56" t="n">
        <v>-4e-06</v>
      </c>
      <c r="O98" s="56" t="n">
        <v>0.79266</v>
      </c>
    </row>
    <row r="99">
      <c r="A99" s="28" t="inlineStr">
        <is>
          <t>SILVER_WOODS_CROSS</t>
        </is>
      </c>
      <c r="B99" s="28" t="inlineStr">
        <is>
          <t>Silver Eagle Refining Woods Cross</t>
        </is>
      </c>
      <c r="C99" s="28" t="inlineStr">
        <is>
          <t>Silver Eagle Refining</t>
        </is>
      </c>
      <c r="D99" s="28" t="n">
        <v>4</v>
      </c>
      <c r="E99" s="28" t="inlineStr">
        <is>
          <t>Utah</t>
        </is>
      </c>
      <c r="F99" s="28" t="inlineStr">
        <is>
          <t>Woods Cross</t>
        </is>
      </c>
      <c r="G99" s="29" t="n">
        <v>15.7</v>
      </c>
      <c r="H99" s="28" t="inlineStr">
        <is>
          <t>operating</t>
        </is>
      </c>
      <c r="I99" s="56" t="n">
        <v>0.464598</v>
      </c>
      <c r="J99" s="56" t="n">
        <v>0.159771</v>
      </c>
      <c r="K99" s="56" t="n">
        <v>0.033965</v>
      </c>
      <c r="L99" s="56" t="n">
        <v>0</v>
      </c>
      <c r="M99" s="56" t="n">
        <v>0.001484</v>
      </c>
      <c r="N99" s="56" t="n">
        <v>0</v>
      </c>
      <c r="O99" s="56" t="n">
        <v>0.6598189999999999</v>
      </c>
    </row>
    <row r="100">
      <c r="A100" s="28" t="inlineStr">
        <is>
          <t>WYOMING_EVANSTON</t>
        </is>
      </c>
      <c r="B100" s="28" t="inlineStr">
        <is>
          <t>Wyoming Refining Evanston</t>
        </is>
      </c>
      <c r="C100" s="28" t="inlineStr">
        <is>
          <t>Silver Eagle Refining</t>
        </is>
      </c>
      <c r="D100" s="28" t="n">
        <v>4</v>
      </c>
      <c r="E100" s="28" t="inlineStr">
        <is>
          <t>Wyoming</t>
        </is>
      </c>
      <c r="F100" s="28" t="inlineStr">
        <is>
          <t>Evanston</t>
        </is>
      </c>
      <c r="G100" s="29" t="n">
        <v>3.4</v>
      </c>
      <c r="H100" s="28" t="inlineStr">
        <is>
          <t>operating</t>
        </is>
      </c>
      <c r="I100" s="56" t="n">
        <v>0.480779</v>
      </c>
      <c r="J100" s="56" t="n">
        <v>0.135541</v>
      </c>
      <c r="K100" s="56" t="n">
        <v>0.08306699999999999</v>
      </c>
      <c r="L100" s="56" t="n">
        <v>0.058593</v>
      </c>
      <c r="M100" s="56" t="n">
        <v>0</v>
      </c>
      <c r="N100" s="56" t="n">
        <v>0</v>
      </c>
      <c r="O100" s="56" t="n">
        <v>0.757981</v>
      </c>
    </row>
    <row r="101">
      <c r="A101" s="28" t="inlineStr">
        <is>
          <t>SLATE_DOUGLAS</t>
        </is>
      </c>
      <c r="B101" s="28" t="inlineStr">
        <is>
          <t>Slate Douglas</t>
        </is>
      </c>
      <c r="C101" s="28" t="inlineStr">
        <is>
          <t>Slate</t>
        </is>
      </c>
      <c r="D101" s="28" t="n">
        <v>4</v>
      </c>
      <c r="E101" s="28" t="inlineStr">
        <is>
          <t>Wyoming</t>
        </is>
      </c>
      <c r="F101" s="28" t="inlineStr">
        <is>
          <t>Douglas</t>
        </is>
      </c>
      <c r="G101" s="29" t="n">
        <v>0</v>
      </c>
      <c r="H101" s="28" t="inlineStr">
        <is>
          <t>shut</t>
        </is>
      </c>
      <c r="I101" s="56" t="n">
        <v>0.375865</v>
      </c>
      <c r="J101" s="56" t="n">
        <v>0.376853</v>
      </c>
      <c r="K101" s="56" t="n">
        <v>0.01883</v>
      </c>
      <c r="L101" s="56" t="n">
        <v>0.056385</v>
      </c>
      <c r="M101" s="56" t="n">
        <v>0</v>
      </c>
      <c r="N101" s="56" t="n">
        <v>0</v>
      </c>
      <c r="O101" s="56" t="n">
        <v>0.8279840000000001</v>
      </c>
    </row>
    <row r="102">
      <c r="A102" s="28" t="inlineStr">
        <is>
          <t>CHEVRON_EL_SEGUNDO</t>
        </is>
      </c>
      <c r="B102" s="28" t="inlineStr">
        <is>
          <t>Chevron El Segundo</t>
        </is>
      </c>
      <c r="C102" s="28" t="inlineStr">
        <is>
          <t>Chevron</t>
        </is>
      </c>
      <c r="D102" s="28" t="n">
        <v>5</v>
      </c>
      <c r="E102" s="28" t="inlineStr">
        <is>
          <t>California</t>
        </is>
      </c>
      <c r="F102" s="28" t="inlineStr">
        <is>
          <t>El Segundo</t>
        </is>
      </c>
      <c r="G102" s="29" t="n">
        <v>290.5</v>
      </c>
      <c r="H102" s="28" t="inlineStr">
        <is>
          <t>operating</t>
        </is>
      </c>
      <c r="I102" s="56" t="n">
        <v>0.192272</v>
      </c>
      <c r="J102" s="56" t="n">
        <v>0.48526</v>
      </c>
      <c r="K102" s="56" t="n">
        <v>0.082898</v>
      </c>
      <c r="L102" s="56" t="n">
        <v>0.189701</v>
      </c>
      <c r="M102" s="56" t="n">
        <v>0.002815</v>
      </c>
      <c r="N102" s="56" t="n">
        <v>0.0005899999999999999</v>
      </c>
      <c r="O102" s="56" t="n">
        <v>0.9535339999999999</v>
      </c>
    </row>
    <row r="103">
      <c r="A103" s="28" t="inlineStr">
        <is>
          <t>MARATHON_CARSON</t>
        </is>
      </c>
      <c r="B103" s="28" t="inlineStr">
        <is>
          <t>Marathon Petroleum Carson</t>
        </is>
      </c>
      <c r="C103" s="28" t="inlineStr">
        <is>
          <t>Marathon Petroleum</t>
        </is>
      </c>
      <c r="D103" s="28" t="n">
        <v>5</v>
      </c>
      <c r="E103" s="28" t="inlineStr">
        <is>
          <t>California</t>
        </is>
      </c>
      <c r="F103" s="28" t="inlineStr">
        <is>
          <t>Carson</t>
        </is>
      </c>
      <c r="G103" s="29" t="n">
        <v>281</v>
      </c>
      <c r="H103" s="28" t="inlineStr">
        <is>
          <t>operating</t>
        </is>
      </c>
      <c r="I103" s="56" t="n">
        <v>0.201981</v>
      </c>
      <c r="J103" s="56" t="n">
        <v>0.566462</v>
      </c>
      <c r="K103" s="56" t="n">
        <v>0.002984</v>
      </c>
      <c r="L103" s="56" t="n">
        <v>0.225839</v>
      </c>
      <c r="M103" s="56" t="n">
        <v>0.001472</v>
      </c>
      <c r="N103" s="56" t="n">
        <v>1e-06</v>
      </c>
      <c r="O103" s="56" t="n">
        <v>0.998739</v>
      </c>
    </row>
    <row r="104">
      <c r="A104" s="28" t="inlineStr">
        <is>
          <t>CHEVRON_RICHMOND</t>
        </is>
      </c>
      <c r="B104" s="28" t="inlineStr">
        <is>
          <t>Chevron Richmond</t>
        </is>
      </c>
      <c r="C104" s="28" t="inlineStr">
        <is>
          <t>Chevron</t>
        </is>
      </c>
      <c r="D104" s="28" t="n">
        <v>5</v>
      </c>
      <c r="E104" s="28" t="inlineStr">
        <is>
          <t>California</t>
        </is>
      </c>
      <c r="F104" s="28" t="inlineStr">
        <is>
          <t>Richmond</t>
        </is>
      </c>
      <c r="G104" s="29" t="n">
        <v>257.2</v>
      </c>
      <c r="H104" s="28" t="inlineStr">
        <is>
          <t>operating</t>
        </is>
      </c>
      <c r="I104" s="56" t="n">
        <v>0.150528</v>
      </c>
      <c r="J104" s="56" t="n">
        <v>0.550218</v>
      </c>
      <c r="K104" s="56" t="n">
        <v>0.005405999999999999</v>
      </c>
      <c r="L104" s="56" t="n">
        <v>0.25124</v>
      </c>
      <c r="M104" s="56" t="n">
        <v>-0.000156</v>
      </c>
      <c r="N104" s="56" t="n">
        <v>1.2e-05</v>
      </c>
      <c r="O104" s="56" t="n">
        <v>0.957249</v>
      </c>
    </row>
    <row r="105">
      <c r="A105" s="28" t="inlineStr">
        <is>
          <t>BP_FERNDALE</t>
        </is>
      </c>
      <c r="B105" s="28" t="inlineStr">
        <is>
          <t>BP Ferndale</t>
        </is>
      </c>
      <c r="C105" s="28" t="inlineStr">
        <is>
          <t>BP</t>
        </is>
      </c>
      <c r="D105" s="28" t="n">
        <v>5</v>
      </c>
      <c r="E105" s="28" t="inlineStr">
        <is>
          <t>Washington</t>
        </is>
      </c>
      <c r="F105" s="28" t="inlineStr">
        <is>
          <t>Ferndale</t>
        </is>
      </c>
      <c r="G105" s="29" t="n">
        <v>251</v>
      </c>
      <c r="H105" s="28" t="inlineStr">
        <is>
          <t>operating</t>
        </is>
      </c>
      <c r="I105" s="56" t="n">
        <v>0.222178</v>
      </c>
      <c r="J105" s="56" t="n">
        <v>0.436207</v>
      </c>
      <c r="K105" s="56" t="n">
        <v>0.042946</v>
      </c>
      <c r="L105" s="56" t="n">
        <v>0.280827</v>
      </c>
      <c r="M105" s="56" t="n">
        <v>0.008300999999999999</v>
      </c>
      <c r="N105" s="56" t="n">
        <v>0.001779</v>
      </c>
      <c r="O105" s="56" t="n">
        <v>0.992238</v>
      </c>
    </row>
    <row r="106">
      <c r="A106" s="28" t="inlineStr">
        <is>
          <t>PBF_TORRANCE</t>
        </is>
      </c>
      <c r="B106" s="28" t="inlineStr">
        <is>
          <t>PBF Energy Company LLC Torrance</t>
        </is>
      </c>
      <c r="C106" s="28" t="inlineStr">
        <is>
          <t>PBF Energy Company LLC</t>
        </is>
      </c>
      <c r="D106" s="28" t="n">
        <v>5</v>
      </c>
      <c r="E106" s="28" t="inlineStr">
        <is>
          <t>California</t>
        </is>
      </c>
      <c r="F106" s="28" t="inlineStr">
        <is>
          <t>Torrance</t>
        </is>
      </c>
      <c r="G106" s="29" t="n">
        <v>166.2</v>
      </c>
      <c r="H106" s="28" t="inlineStr">
        <is>
          <t>operating</t>
        </is>
      </c>
      <c r="I106" s="56" t="n">
        <v>0.118726</v>
      </c>
      <c r="J106" s="56" t="n">
        <v>0.689007</v>
      </c>
      <c r="K106" s="56" t="n">
        <v>0.017247</v>
      </c>
      <c r="L106" s="56" t="n">
        <v>0.15367</v>
      </c>
      <c r="M106" s="56" t="n">
        <v>0.023254</v>
      </c>
      <c r="N106" s="56" t="n">
        <v>0.001327</v>
      </c>
      <c r="O106" s="56" t="n">
        <v>1.003231</v>
      </c>
    </row>
    <row r="107">
      <c r="A107" s="28" t="inlineStr">
        <is>
          <t>PBF_MARTINEZ</t>
        </is>
      </c>
      <c r="B107" s="28" t="inlineStr">
        <is>
          <t>PBF Energy Company LLC Martinez</t>
        </is>
      </c>
      <c r="C107" s="28" t="inlineStr">
        <is>
          <t>PBF Energy Company LLC</t>
        </is>
      </c>
      <c r="D107" s="28" t="n">
        <v>5</v>
      </c>
      <c r="E107" s="28" t="inlineStr">
        <is>
          <t>California</t>
        </is>
      </c>
      <c r="F107" s="28" t="inlineStr">
        <is>
          <t>Martinez</t>
        </is>
      </c>
      <c r="G107" s="29" t="n">
        <v>158</v>
      </c>
      <c r="H107" s="28" t="inlineStr">
        <is>
          <t>operating</t>
        </is>
      </c>
      <c r="I107" s="56" t="n">
        <v>0.235715</v>
      </c>
      <c r="J107" s="56" t="n">
        <v>0.584921</v>
      </c>
      <c r="K107" s="56" t="n">
        <v>0.002139</v>
      </c>
      <c r="L107" s="56" t="n">
        <v>0.228967</v>
      </c>
      <c r="M107" s="56" t="n">
        <v>0.005984000000000001</v>
      </c>
      <c r="N107" s="56" t="n">
        <v>0</v>
      </c>
      <c r="O107" s="56" t="n">
        <v>1.057726</v>
      </c>
    </row>
    <row r="108">
      <c r="A108" s="28" t="inlineStr">
        <is>
          <t>HF_ANACORTES</t>
        </is>
      </c>
      <c r="B108" s="28" t="inlineStr">
        <is>
          <t>HF Sinclair Anacortes</t>
        </is>
      </c>
      <c r="C108" s="28" t="inlineStr">
        <is>
          <t>HF Sinclair</t>
        </is>
      </c>
      <c r="D108" s="28" t="n">
        <v>5</v>
      </c>
      <c r="E108" s="28" t="inlineStr">
        <is>
          <t>Washington</t>
        </is>
      </c>
      <c r="F108" s="28" t="inlineStr">
        <is>
          <t>Anacortes</t>
        </is>
      </c>
      <c r="G108" s="29" t="n">
        <v>149</v>
      </c>
      <c r="H108" s="28" t="inlineStr">
        <is>
          <t>operating</t>
        </is>
      </c>
      <c r="I108" s="56" t="n">
        <v>0.189541</v>
      </c>
      <c r="J108" s="56" t="n">
        <v>0.6463139999999999</v>
      </c>
      <c r="K108" s="56" t="n">
        <v>0.004459</v>
      </c>
      <c r="L108" s="56" t="n">
        <v>0.18885</v>
      </c>
      <c r="M108" s="56" t="n">
        <v>0.0074</v>
      </c>
      <c r="N108" s="56" t="n">
        <v>0</v>
      </c>
      <c r="O108" s="56" t="n">
        <v>1.036564</v>
      </c>
    </row>
    <row r="109">
      <c r="A109" s="28" t="inlineStr">
        <is>
          <t>MARATHON_ANACORTES</t>
        </is>
      </c>
      <c r="B109" s="28" t="inlineStr">
        <is>
          <t>Marathon Petroleum Anacortes</t>
        </is>
      </c>
      <c r="C109" s="28" t="inlineStr">
        <is>
          <t>Marathon Petroleum</t>
        </is>
      </c>
      <c r="D109" s="28" t="n">
        <v>5</v>
      </c>
      <c r="E109" s="28" t="inlineStr">
        <is>
          <t>Washington</t>
        </is>
      </c>
      <c r="F109" s="28" t="inlineStr">
        <is>
          <t>Anacortes</t>
        </is>
      </c>
      <c r="G109" s="29" t="n">
        <v>122</v>
      </c>
      <c r="H109" s="28" t="inlineStr">
        <is>
          <t>operating</t>
        </is>
      </c>
      <c r="I109" s="56" t="n">
        <v>0.144005</v>
      </c>
      <c r="J109" s="56" t="n">
        <v>0.5900030000000001</v>
      </c>
      <c r="K109" s="56" t="n">
        <v>0.06291099999999999</v>
      </c>
      <c r="L109" s="56" t="n">
        <v>0.219241</v>
      </c>
      <c r="M109" s="56" t="n">
        <v>-0.000174</v>
      </c>
      <c r="N109" s="56" t="n">
        <v>0</v>
      </c>
      <c r="O109" s="56" t="n">
        <v>1.015987</v>
      </c>
    </row>
    <row r="110">
      <c r="A110" s="28" t="inlineStr">
        <is>
          <t>PHILLIPS_FERNDALE</t>
        </is>
      </c>
      <c r="B110" s="28" t="inlineStr">
        <is>
          <t>Phillips 66 Co. Ferndale</t>
        </is>
      </c>
      <c r="C110" s="28" t="inlineStr">
        <is>
          <t>Phillips 66 Co.</t>
        </is>
      </c>
      <c r="D110" s="28" t="n">
        <v>5</v>
      </c>
      <c r="E110" s="28" t="inlineStr">
        <is>
          <t>Washington</t>
        </is>
      </c>
      <c r="F110" s="28" t="inlineStr">
        <is>
          <t>Ferndale</t>
        </is>
      </c>
      <c r="G110" s="29" t="n">
        <v>105</v>
      </c>
      <c r="H110" s="28" t="inlineStr">
        <is>
          <t>operating</t>
        </is>
      </c>
      <c r="I110" s="56" t="n">
        <v>0.256814</v>
      </c>
      <c r="J110" s="56" t="n">
        <v>0.537851</v>
      </c>
      <c r="K110" s="56" t="n">
        <v>0.04954</v>
      </c>
      <c r="L110" s="56" t="n">
        <v>0.15784</v>
      </c>
      <c r="M110" s="56" t="n">
        <v>0.004546</v>
      </c>
      <c r="N110" s="56" t="n">
        <v>0.001016</v>
      </c>
      <c r="O110" s="56" t="n">
        <v>1.007606</v>
      </c>
    </row>
    <row r="111">
      <c r="A111" s="28" t="inlineStr">
        <is>
          <t>MARATHON_LOS_ANGELES</t>
        </is>
      </c>
      <c r="B111" s="28" t="inlineStr">
        <is>
          <t>Marathon Petroleum Los Angeles</t>
        </is>
      </c>
      <c r="C111" s="28" t="inlineStr">
        <is>
          <t>Marathon Petroleum</t>
        </is>
      </c>
      <c r="D111" s="28" t="n">
        <v>5</v>
      </c>
      <c r="E111" s="28" t="inlineStr">
        <is>
          <t>California</t>
        </is>
      </c>
      <c r="F111" s="28" t="inlineStr">
        <is>
          <t>Los Angeles</t>
        </is>
      </c>
      <c r="G111" s="29" t="n">
        <v>103.5</v>
      </c>
      <c r="H111" s="28" t="inlineStr">
        <is>
          <t>operating</t>
        </is>
      </c>
      <c r="I111" s="56" t="n">
        <v>0.264219</v>
      </c>
      <c r="J111" s="56" t="n">
        <v>0.4821029999999999</v>
      </c>
      <c r="K111" s="56" t="n">
        <v>0.0048</v>
      </c>
      <c r="L111" s="56" t="n">
        <v>0.269748</v>
      </c>
      <c r="M111" s="56" t="n">
        <v>0.011184</v>
      </c>
      <c r="N111" s="56" t="n">
        <v>0.0009</v>
      </c>
      <c r="O111" s="56" t="n">
        <v>1.032953</v>
      </c>
    </row>
    <row r="112">
      <c r="A112" s="28" t="inlineStr">
        <is>
          <t>PAR_EWA_BEACH</t>
        </is>
      </c>
      <c r="B112" s="28" t="inlineStr">
        <is>
          <t>Par Petroleum Ewa Beach</t>
        </is>
      </c>
      <c r="C112" s="28" t="inlineStr">
        <is>
          <t>Par Petroleum</t>
        </is>
      </c>
      <c r="D112" s="28" t="n">
        <v>5</v>
      </c>
      <c r="E112" s="28" t="inlineStr">
        <is>
          <t>Hawaii</t>
        </is>
      </c>
      <c r="F112" s="28" t="inlineStr">
        <is>
          <t>Ewa Beach</t>
        </is>
      </c>
      <c r="G112" s="29" t="n">
        <v>94</v>
      </c>
      <c r="H112" s="28" t="inlineStr">
        <is>
          <t>operating</t>
        </is>
      </c>
      <c r="I112" s="56" t="n">
        <v>0.181748</v>
      </c>
      <c r="J112" s="56" t="n">
        <v>0.324677</v>
      </c>
      <c r="K112" s="56" t="n">
        <v>0.158243</v>
      </c>
      <c r="L112" s="56" t="n">
        <v>0.230458</v>
      </c>
      <c r="M112" s="56" t="n">
        <v>0</v>
      </c>
      <c r="N112" s="56" t="n">
        <v>0</v>
      </c>
      <c r="O112" s="56" t="n">
        <v>0.8951260000000001</v>
      </c>
    </row>
    <row r="113">
      <c r="A113" s="28" t="inlineStr">
        <is>
          <t>VALERO_LOS_ANGELES</t>
        </is>
      </c>
      <c r="B113" s="28" t="inlineStr">
        <is>
          <t>Valero Los Angeles</t>
        </is>
      </c>
      <c r="C113" s="28" t="inlineStr">
        <is>
          <t>Valero</t>
        </is>
      </c>
      <c r="D113" s="28" t="n">
        <v>5</v>
      </c>
      <c r="E113" s="28" t="inlineStr">
        <is>
          <t>California</t>
        </is>
      </c>
      <c r="F113" s="28" t="inlineStr">
        <is>
          <t>Los Angeles</t>
        </is>
      </c>
      <c r="G113" s="29" t="n">
        <v>90</v>
      </c>
      <c r="H113" s="28" t="inlineStr">
        <is>
          <t>operating</t>
        </is>
      </c>
      <c r="I113" s="56" t="n">
        <v>0.27538</v>
      </c>
      <c r="J113" s="56" t="n">
        <v>0.770338</v>
      </c>
      <c r="K113" s="56" t="n">
        <v>0.004334</v>
      </c>
      <c r="L113" s="56" t="n">
        <v>0.014074</v>
      </c>
      <c r="M113" s="56" t="n">
        <v>-0.006875</v>
      </c>
      <c r="N113" s="56" t="n">
        <v>0</v>
      </c>
      <c r="O113" s="56" t="n">
        <v>1.05725</v>
      </c>
    </row>
    <row r="114">
      <c r="A114" s="28" t="inlineStr">
        <is>
          <t>MARATHON_NIKISKI</t>
        </is>
      </c>
      <c r="B114" s="28" t="inlineStr">
        <is>
          <t>Marathon Petroleum Nikiski</t>
        </is>
      </c>
      <c r="C114" s="28" t="inlineStr">
        <is>
          <t>Marathon Petroleum</t>
        </is>
      </c>
      <c r="D114" s="28" t="n">
        <v>5</v>
      </c>
      <c r="E114" s="28" t="inlineStr">
        <is>
          <t>Alaska</t>
        </is>
      </c>
      <c r="F114" s="28" t="inlineStr">
        <is>
          <t>Nikiski</t>
        </is>
      </c>
      <c r="G114" s="29" t="n">
        <v>68</v>
      </c>
      <c r="H114" s="28" t="inlineStr">
        <is>
          <t>operating</t>
        </is>
      </c>
      <c r="I114" s="56" t="n">
        <v>0.109631</v>
      </c>
      <c r="J114" s="56" t="n">
        <v>0.354587</v>
      </c>
      <c r="K114" s="56" t="n">
        <v>0.207415</v>
      </c>
      <c r="L114" s="56" t="n">
        <v>0.35698</v>
      </c>
      <c r="M114" s="56" t="n">
        <v>0.007786</v>
      </c>
      <c r="N114" s="56" t="n">
        <v>0.002593</v>
      </c>
      <c r="O114" s="56" t="n">
        <v>1.038994</v>
      </c>
    </row>
    <row r="115">
      <c r="A115" s="28" t="inlineStr">
        <is>
          <t>PETRO_VALDEZ</t>
        </is>
      </c>
      <c r="B115" s="28" t="inlineStr">
        <is>
          <t>Petro Star Inc. Valdez</t>
        </is>
      </c>
      <c r="C115" s="28" t="inlineStr">
        <is>
          <t>Petro Star Inc.</t>
        </is>
      </c>
      <c r="D115" s="28" t="n">
        <v>5</v>
      </c>
      <c r="E115" s="28" t="inlineStr">
        <is>
          <t>Alaska</t>
        </is>
      </c>
      <c r="F115" s="28" t="inlineStr">
        <is>
          <t>Valdez</t>
        </is>
      </c>
      <c r="G115" s="29" t="n">
        <v>60</v>
      </c>
      <c r="H115" s="28" t="inlineStr">
        <is>
          <t>operating</t>
        </is>
      </c>
      <c r="I115" s="56" t="n">
        <v>0.08385099999999999</v>
      </c>
      <c r="J115" s="56" t="n">
        <v>0</v>
      </c>
      <c r="K115" s="56" t="n">
        <v>0</v>
      </c>
      <c r="L115" s="56" t="n">
        <v>0.286891</v>
      </c>
      <c r="M115" s="56" t="n">
        <v>0</v>
      </c>
      <c r="N115" s="56" t="n">
        <v>0</v>
      </c>
      <c r="O115" s="56" t="n">
        <v>0.370742</v>
      </c>
    </row>
    <row r="116">
      <c r="A116" s="28" t="inlineStr">
        <is>
          <t>PAR_TACOMA</t>
        </is>
      </c>
      <c r="B116" s="28" t="inlineStr">
        <is>
          <t>Par Petroleum Tacoma</t>
        </is>
      </c>
      <c r="C116" s="28" t="inlineStr">
        <is>
          <t>Par Petroleum</t>
        </is>
      </c>
      <c r="D116" s="28" t="n">
        <v>5</v>
      </c>
      <c r="E116" s="28" t="inlineStr">
        <is>
          <t>Washington</t>
        </is>
      </c>
      <c r="F116" s="28" t="inlineStr">
        <is>
          <t>Tacoma</t>
        </is>
      </c>
      <c r="G116" s="29" t="n">
        <v>42</v>
      </c>
      <c r="H116" s="28" t="inlineStr">
        <is>
          <t>operating</t>
        </is>
      </c>
      <c r="I116" s="56" t="n">
        <v>0.011295</v>
      </c>
      <c r="J116" s="56" t="n">
        <v>0.401806</v>
      </c>
      <c r="K116" s="56" t="n">
        <v>0.314159</v>
      </c>
      <c r="L116" s="56" t="n">
        <v>0.207682</v>
      </c>
      <c r="M116" s="56" t="n">
        <v>0.004532</v>
      </c>
      <c r="N116" s="56" t="n">
        <v>0.00111</v>
      </c>
      <c r="O116" s="56" t="n">
        <v>0.9405880000000001</v>
      </c>
    </row>
    <row r="117">
      <c r="A117" s="28" t="inlineStr">
        <is>
          <t>KERN_BAKERSFIELD</t>
        </is>
      </c>
      <c r="B117" s="28" t="inlineStr">
        <is>
          <t>Kern Oil Bakersfield</t>
        </is>
      </c>
      <c r="C117" s="28" t="inlineStr">
        <is>
          <t>Kern Oil</t>
        </is>
      </c>
      <c r="D117" s="28" t="n">
        <v>5</v>
      </c>
      <c r="E117" s="28" t="inlineStr">
        <is>
          <t>California</t>
        </is>
      </c>
      <c r="F117" s="28" t="inlineStr">
        <is>
          <t>Bakersfield</t>
        </is>
      </c>
      <c r="G117" s="29" t="n">
        <v>27</v>
      </c>
      <c r="H117" s="28" t="inlineStr">
        <is>
          <t>operating</t>
        </is>
      </c>
      <c r="I117" s="56" t="n">
        <v>0.154252</v>
      </c>
      <c r="J117" s="56" t="n">
        <v>0.233653</v>
      </c>
      <c r="K117" s="56" t="n">
        <v>0.147569</v>
      </c>
      <c r="L117" s="56" t="n">
        <v>0.198035</v>
      </c>
      <c r="M117" s="56" t="n">
        <v>-0.001804</v>
      </c>
      <c r="N117" s="56" t="n">
        <v>0</v>
      </c>
      <c r="O117" s="56" t="n">
        <v>0.7317140000000001</v>
      </c>
    </row>
    <row r="118">
      <c r="A118" s="28" t="inlineStr">
        <is>
          <t>SAN_BAKERSFIELD</t>
        </is>
      </c>
      <c r="B118" s="28" t="inlineStr">
        <is>
          <t>San Joaquin Refining Bakersfield</t>
        </is>
      </c>
      <c r="C118" s="28" t="inlineStr">
        <is>
          <t>San Joaquin Refining</t>
        </is>
      </c>
      <c r="D118" s="28" t="n">
        <v>5</v>
      </c>
      <c r="E118" s="28" t="inlineStr">
        <is>
          <t>California</t>
        </is>
      </c>
      <c r="F118" s="28" t="inlineStr">
        <is>
          <t>Bakersfield</t>
        </is>
      </c>
      <c r="G118" s="29" t="n">
        <v>25</v>
      </c>
      <c r="H118" s="28" t="inlineStr">
        <is>
          <t>operating</t>
        </is>
      </c>
      <c r="I118" s="56" t="n">
        <v>0.138155</v>
      </c>
      <c r="J118" s="56" t="n">
        <v>0.204411</v>
      </c>
      <c r="K118" s="56" t="n">
        <v>0.128041</v>
      </c>
      <c r="L118" s="56" t="n">
        <v>0.185724</v>
      </c>
      <c r="M118" s="56" t="n">
        <v>-0.004491</v>
      </c>
      <c r="N118" s="56" t="n">
        <v>0</v>
      </c>
      <c r="O118" s="56" t="n">
        <v>0.651841</v>
      </c>
    </row>
    <row r="119">
      <c r="A119" s="28" t="inlineStr">
        <is>
          <t>PETRO_NORTH_POLE</t>
        </is>
      </c>
      <c r="B119" s="28" t="inlineStr">
        <is>
          <t>Petro Star Inc. North Pole</t>
        </is>
      </c>
      <c r="C119" s="28" t="inlineStr">
        <is>
          <t>Petro Star Inc.</t>
        </is>
      </c>
      <c r="D119" s="28" t="n">
        <v>5</v>
      </c>
      <c r="E119" s="28" t="inlineStr">
        <is>
          <t>Alaska</t>
        </is>
      </c>
      <c r="F119" s="28" t="inlineStr">
        <is>
          <t>North Pole</t>
        </is>
      </c>
      <c r="G119" s="29" t="n">
        <v>22</v>
      </c>
      <c r="H119" s="28" t="inlineStr">
        <is>
          <t>operating</t>
        </is>
      </c>
      <c r="I119" s="56" t="n">
        <v>0.079803</v>
      </c>
      <c r="J119" s="56" t="n">
        <v>0</v>
      </c>
      <c r="K119" s="56" t="n">
        <v>0</v>
      </c>
      <c r="L119" s="56" t="n">
        <v>0.286199</v>
      </c>
      <c r="M119" s="56" t="n">
        <v>0</v>
      </c>
      <c r="N119" s="56" t="n">
        <v>0</v>
      </c>
      <c r="O119" s="56" t="n">
        <v>0.366002</v>
      </c>
    </row>
    <row r="120">
      <c r="A120" s="28" t="inlineStr">
        <is>
          <t>BP_PRUDHOE_BAY</t>
        </is>
      </c>
      <c r="B120" s="28" t="inlineStr">
        <is>
          <t>BP Prudhoe Bay</t>
        </is>
      </c>
      <c r="C120" s="28" t="inlineStr">
        <is>
          <t>BP</t>
        </is>
      </c>
      <c r="D120" s="28" t="n">
        <v>5</v>
      </c>
      <c r="E120" s="28" t="inlineStr">
        <is>
          <t>Alaska</t>
        </is>
      </c>
      <c r="F120" s="28" t="inlineStr">
        <is>
          <t>Prudhoe Bay</t>
        </is>
      </c>
      <c r="G120" s="29" t="n">
        <v>16</v>
      </c>
      <c r="H120" s="28" t="inlineStr">
        <is>
          <t>operating</t>
        </is>
      </c>
      <c r="I120" s="56" t="n">
        <v>0.289795</v>
      </c>
      <c r="J120" s="56" t="n">
        <v>0</v>
      </c>
      <c r="K120" s="56" t="n">
        <v>0</v>
      </c>
      <c r="L120" s="56" t="n">
        <v>0.013923</v>
      </c>
      <c r="M120" s="56" t="n">
        <v>0</v>
      </c>
      <c r="N120" s="56" t="n">
        <v>0</v>
      </c>
      <c r="O120" s="56" t="n">
        <v>0.303708</v>
      </c>
    </row>
    <row r="121">
      <c r="A121" s="28" t="inlineStr">
        <is>
          <t>CONOCOPHILLIPS_ANCHORAGE</t>
        </is>
      </c>
      <c r="B121" s="28" t="inlineStr">
        <is>
          <t>ConocoPhillips Anchorage</t>
        </is>
      </c>
      <c r="C121" s="28" t="inlineStr">
        <is>
          <t>Phillips Petroleum</t>
        </is>
      </c>
      <c r="D121" s="28" t="n">
        <v>5</v>
      </c>
      <c r="E121" s="28" t="inlineStr">
        <is>
          <t>Alaska</t>
        </is>
      </c>
      <c r="F121" s="28" t="inlineStr">
        <is>
          <t>Anchorage</t>
        </is>
      </c>
      <c r="G121" s="29" t="n">
        <v>16</v>
      </c>
      <c r="H121" s="28" t="inlineStr">
        <is>
          <t>operating</t>
        </is>
      </c>
      <c r="I121" s="56" t="n">
        <v>0.2074</v>
      </c>
      <c r="J121" s="56" t="n">
        <v>0.326149</v>
      </c>
      <c r="K121" s="56" t="n">
        <v>0.239697</v>
      </c>
      <c r="L121" s="56" t="n">
        <v>0.155583</v>
      </c>
      <c r="M121" s="56" t="n">
        <v>0.00265</v>
      </c>
      <c r="N121" s="56" t="n">
        <v>0.000244</v>
      </c>
      <c r="O121" s="56" t="n">
        <v>0.931729</v>
      </c>
    </row>
    <row r="122">
      <c r="A122" s="28" t="inlineStr">
        <is>
          <t>LUNDAYTHAGARD_SOUTH_GATE</t>
        </is>
      </c>
      <c r="B122" s="28" t="inlineStr">
        <is>
          <t>Lunday-Thagard Oil Co. South Gate</t>
        </is>
      </c>
      <c r="C122" s="28" t="inlineStr">
        <is>
          <t>Lunday-Thagard Oil Co.</t>
        </is>
      </c>
      <c r="D122" s="28" t="n">
        <v>5</v>
      </c>
      <c r="E122" s="28" t="inlineStr">
        <is>
          <t>California</t>
        </is>
      </c>
      <c r="F122" s="28" t="inlineStr">
        <is>
          <t>South Gate</t>
        </is>
      </c>
      <c r="G122" s="29" t="n">
        <v>8.5</v>
      </c>
      <c r="H122" s="28" t="inlineStr">
        <is>
          <t>operating</t>
        </is>
      </c>
      <c r="I122" s="56" t="n">
        <v>0.156687</v>
      </c>
      <c r="J122" s="56" t="n">
        <v>0.169549</v>
      </c>
      <c r="K122" s="56" t="n">
        <v>0.16339</v>
      </c>
      <c r="L122" s="56" t="n">
        <v>0.201004</v>
      </c>
      <c r="M122" s="56" t="n">
        <v>-0.005519</v>
      </c>
      <c r="N122" s="56" t="n">
        <v>0</v>
      </c>
      <c r="O122" s="56" t="n">
        <v>0.685111</v>
      </c>
    </row>
    <row r="123">
      <c r="A123" s="28" t="inlineStr">
        <is>
          <t>FORELAND_TONOPAH</t>
        </is>
      </c>
      <c r="B123" s="28" t="inlineStr">
        <is>
          <t>Foreland Corp Tonopah</t>
        </is>
      </c>
      <c r="C123" s="28" t="inlineStr">
        <is>
          <t>Energy Income Fund</t>
        </is>
      </c>
      <c r="D123" s="28" t="n">
        <v>5</v>
      </c>
      <c r="E123" s="28" t="inlineStr">
        <is>
          <t>Nevada</t>
        </is>
      </c>
      <c r="F123" s="28" t="inlineStr">
        <is>
          <t>Tonopah</t>
        </is>
      </c>
      <c r="G123" s="29" t="n">
        <v>5</v>
      </c>
      <c r="H123" s="28" t="inlineStr">
        <is>
          <t>operating</t>
        </is>
      </c>
      <c r="I123" s="56" t="n">
        <v>0.147387</v>
      </c>
      <c r="J123" s="56" t="n">
        <v>0.143284</v>
      </c>
      <c r="K123" s="56" t="n">
        <v>0.155302</v>
      </c>
      <c r="L123" s="56" t="n">
        <v>0.172063</v>
      </c>
      <c r="M123" s="56" t="n">
        <v>0</v>
      </c>
      <c r="N123" s="56" t="n">
        <v>0</v>
      </c>
      <c r="O123" s="56" t="n">
        <v>0.618035</v>
      </c>
    </row>
    <row r="124">
      <c r="A124" s="28" t="inlineStr">
        <is>
          <t>PHILLIPS_LOS_ANGELES</t>
        </is>
      </c>
      <c r="B124" s="28" t="inlineStr">
        <is>
          <t>Phillips 66 Co. Los Angeles</t>
        </is>
      </c>
      <c r="C124" s="28" t="inlineStr">
        <is>
          <t>Phillips 66 Co.</t>
        </is>
      </c>
      <c r="D124" s="28" t="n">
        <v>5</v>
      </c>
      <c r="E124" s="28" t="inlineStr">
        <is>
          <t>California</t>
        </is>
      </c>
      <c r="F124" s="28" t="inlineStr">
        <is>
          <t>Los Angeles</t>
        </is>
      </c>
      <c r="G124" s="29" t="n">
        <v>0</v>
      </c>
      <c r="H124" s="28" t="inlineStr">
        <is>
          <t>shut</t>
        </is>
      </c>
      <c r="I124" s="56" t="n">
        <v>0.236233</v>
      </c>
      <c r="J124" s="56" t="n">
        <v>0.688377</v>
      </c>
      <c r="K124" s="56" t="n">
        <v>0.004597</v>
      </c>
      <c r="L124" s="56" t="n">
        <v>0.120232</v>
      </c>
      <c r="M124" s="56" t="n">
        <v>0.007835999999999999</v>
      </c>
      <c r="N124" s="56" t="n">
        <v>0.000102</v>
      </c>
      <c r="O124" s="56" t="n">
        <v>1.057378</v>
      </c>
    </row>
    <row r="125">
      <c r="A125" s="28" t="inlineStr">
        <is>
          <t>VALERO_BENICIA</t>
        </is>
      </c>
      <c r="B125" s="28" t="inlineStr">
        <is>
          <t>Valero Benicia</t>
        </is>
      </c>
      <c r="C125" s="28" t="inlineStr">
        <is>
          <t>Valero</t>
        </is>
      </c>
      <c r="D125" s="28" t="n">
        <v>5</v>
      </c>
      <c r="E125" s="28" t="inlineStr">
        <is>
          <t>California</t>
        </is>
      </c>
      <c r="F125" s="28" t="inlineStr">
        <is>
          <t>Benicia</t>
        </is>
      </c>
      <c r="G125" s="29" t="n">
        <v>0</v>
      </c>
      <c r="H125" s="28" t="inlineStr">
        <is>
          <t>shut</t>
        </is>
      </c>
      <c r="I125" s="56" t="n">
        <v>0.227784</v>
      </c>
      <c r="J125" s="56" t="n">
        <v>0.6763429999999999</v>
      </c>
      <c r="K125" s="56" t="n">
        <v>0.012873</v>
      </c>
      <c r="L125" s="56" t="n">
        <v>0.101721</v>
      </c>
      <c r="M125" s="56" t="n">
        <v>0.004105</v>
      </c>
      <c r="N125" s="56" t="n">
        <v>0.000439</v>
      </c>
      <c r="O125" s="56" t="n">
        <v>1.023265</v>
      </c>
    </row>
  </sheetData>
  <autoFilter ref="A2:O125"/>
  <mergeCells count="1">
    <mergeCell ref="A1:O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2026-07-09T16:39:54Z</dcterms:created>
  <dcterms:modified xsi:type="dcterms:W3CDTF">2026-07-09T16:39:55Z</dcterms:modified>
</cp:coreProperties>
</file>