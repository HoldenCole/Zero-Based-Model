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Data" sheetId="2" state="visible" r:id="rId2"/>
    <sheet name="Boxes" sheetId="3" state="visible" r:id="rId3"/>
    <sheet name="Assumptions" sheetId="4" state="visible" r:id="rId4"/>
    <sheet name="Nameplate" sheetId="5" state="visible" r:id="rId5"/>
    <sheet name="Effective" sheetId="6" state="visible" r:id="rId6"/>
    <sheet name="CrudeSlate" sheetId="7" state="visible" r:id="rId7"/>
    <sheet name="BlendEcon" sheetId="8" state="visible" r:id="rId8"/>
    <sheet name="KitWalk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+0.00;-0.00"/>
    <numFmt numFmtId="167" formatCode="+0.0;-0.0"/>
    <numFmt numFmtId="168" formatCode="+0.00%;-0.00%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FFFFFF"/>
      <sz val="20"/>
    </font>
    <font>
      <name val="Calibri"/>
      <color rgb="00C9A227"/>
      <sz val="10"/>
    </font>
    <font>
      <name val="Calibri"/>
      <b val="1"/>
      <color rgb="0016243D"/>
      <sz val="18"/>
    </font>
    <font>
      <name val="Calibri"/>
      <color rgb="007A8699"/>
      <sz val="7"/>
    </font>
    <font>
      <color rgb="00AAAAAA"/>
      <sz val="8"/>
    </font>
    <font>
      <name val="Calibri"/>
      <b val="1"/>
      <color rgb="0016243D"/>
      <sz val="9"/>
    </font>
    <font>
      <name val="Calibri"/>
      <i val="1"/>
      <color rgb="0055617A"/>
      <sz val="9"/>
    </font>
  </fonts>
  <fills count="9">
    <fill>
      <patternFill/>
    </fill>
    <fill>
      <patternFill patternType="gray125"/>
    </fill>
    <fill>
      <patternFill patternType="solid">
        <fgColor rgb="0016243D"/>
      </patternFill>
    </fill>
    <fill>
      <patternFill patternType="solid">
        <fgColor rgb="0027406B"/>
      </patternFill>
    </fill>
    <fill>
      <patternFill patternType="solid">
        <fgColor rgb="00DCE9F7"/>
      </patternFill>
    </fill>
    <fill>
      <patternFill patternType="solid">
        <fgColor rgb="00F4F6FA"/>
      </patternFill>
    </fill>
    <fill>
      <patternFill patternType="solid">
        <fgColor rgb="00FCE4D6"/>
      </patternFill>
    </fill>
    <fill>
      <patternFill patternType="solid">
        <fgColor rgb="00F3E8C8"/>
      </patternFill>
    </fill>
    <fill>
      <patternFill patternType="solid">
        <fgColor rgb="00C9A227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left style="thin">
        <color rgb="00D5DAE3"/>
      </left>
      <right style="thin">
        <color rgb="00D5DAE3"/>
      </right>
      <top style="thin">
        <color rgb="00D5DAE3"/>
      </top>
      <bottom style="thin">
        <color rgb="00D5DAE3"/>
      </bottom>
    </border>
    <border>
      <top style="medium">
        <color rgb="00C9A227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0" fillId="8" borderId="0" pivotButton="0" quotePrefix="0" xfId="0"/>
    <xf numFmtId="3" fontId="7" fillId="0" borderId="3" pivotButton="0" quotePrefix="0" xfId="0"/>
    <xf numFmtId="9" fontId="7" fillId="0" borderId="3" pivotButton="0" quotePrefix="0" xfId="0"/>
    <xf numFmtId="0" fontId="8" fillId="0" borderId="0" pivotButton="0" quotePrefix="0" xfId="0"/>
    <xf numFmtId="0" fontId="1" fillId="2" borderId="1" applyAlignment="1" pivotButton="0" quotePrefix="0" xfId="0">
      <alignment vertical="center"/>
    </xf>
    <xf numFmtId="0" fontId="0" fillId="2" borderId="1" pivotButton="0" quotePrefix="0" xfId="0"/>
    <xf numFmtId="0" fontId="10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0" fillId="4" borderId="2" pivotButton="0" quotePrefix="0" xfId="0"/>
    <xf numFmtId="0" fontId="0" fillId="6" borderId="2" pivotButton="0" quotePrefix="0" xfId="0"/>
    <xf numFmtId="0" fontId="0" fillId="5" borderId="2" pivotButton="0" quotePrefix="0" xfId="0"/>
    <xf numFmtId="0" fontId="11" fillId="0" borderId="0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3" fontId="3" fillId="4" borderId="2" pivotButton="0" quotePrefix="0" xfId="0"/>
    <xf numFmtId="10" fontId="3" fillId="4" borderId="2" pivotButton="0" quotePrefix="0" xfId="0"/>
    <xf numFmtId="3" fontId="3" fillId="5" borderId="2" pivotButton="0" quotePrefix="0" xfId="0"/>
    <xf numFmtId="0" fontId="3" fillId="4" borderId="2" pivotButton="0" quotePrefix="0" xfId="0"/>
    <xf numFmtId="164" fontId="3" fillId="6" borderId="2" pivotButton="0" quotePrefix="0" xfId="0"/>
    <xf numFmtId="164" fontId="3" fillId="5" borderId="2" pivotButton="0" quotePrefix="0" xfId="0"/>
    <xf numFmtId="10" fontId="3" fillId="5" borderId="2" pivotButton="0" quotePrefix="0" xfId="0"/>
    <xf numFmtId="165" fontId="3" fillId="5" borderId="2" pivotButton="0" quotePrefix="0" xfId="0"/>
    <xf numFmtId="0" fontId="2" fillId="0" borderId="0" pivotButton="0" quotePrefix="0" xfId="0"/>
    <xf numFmtId="0" fontId="4" fillId="7" borderId="2" pivotButton="0" quotePrefix="0" xfId="0"/>
    <xf numFmtId="165" fontId="4" fillId="7" borderId="2" pivotButton="0" quotePrefix="0" xfId="0"/>
    <xf numFmtId="164" fontId="3" fillId="4" borderId="2" pivotButton="0" quotePrefix="0" xfId="0"/>
    <xf numFmtId="9" fontId="3" fillId="4" borderId="2" pivotButton="0" quotePrefix="0" xfId="0"/>
    <xf numFmtId="2" fontId="3" fillId="4" borderId="2" pivotButton="0" quotePrefix="0" xfId="0"/>
    <xf numFmtId="0" fontId="4" fillId="0" borderId="2" pivotButton="0" quotePrefix="0" xfId="0"/>
    <xf numFmtId="1" fontId="4" fillId="7" borderId="2" pivotButton="0" quotePrefix="0" xfId="0"/>
    <xf numFmtId="9" fontId="3" fillId="5" borderId="2" pivotButton="0" quotePrefix="0" xfId="0"/>
    <xf numFmtId="3" fontId="4" fillId="7" borderId="2" pivotButton="0" quotePrefix="0" xfId="0"/>
    <xf numFmtId="164" fontId="3" fillId="0" borderId="2" pivotButton="0" quotePrefix="0" xfId="0"/>
    <xf numFmtId="165" fontId="3" fillId="0" borderId="2" pivotButton="0" quotePrefix="0" xfId="0"/>
    <xf numFmtId="2" fontId="3" fillId="5" borderId="2" pivotButton="0" quotePrefix="0" xfId="0"/>
    <xf numFmtId="166" fontId="3" fillId="5" borderId="2" pivotButton="0" quotePrefix="0" xfId="0"/>
    <xf numFmtId="0" fontId="3" fillId="5" borderId="2" pivotButton="0" quotePrefix="0" xfId="0"/>
    <xf numFmtId="167" fontId="3" fillId="5" borderId="2" pivotButton="0" quotePrefix="0" xfId="0"/>
    <xf numFmtId="168" fontId="3" fillId="5" borderId="2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naphtha by PADD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naphtha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'Cover'!$P$40:$P$44</f>
            </numRef>
          </cat>
          <val>
            <numRef>
              <f>'Cover'!$Q$40:$Q$44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by PADD: nameplate vs effective vs running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nameplate</v>
          </tx>
          <spPr>
            <a:solidFill>
              <a:srgbClr val="16243D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'Effective'!$B$129:$B$133</f>
            </numRef>
          </val>
        </ser>
        <ser>
          <idx val="1"/>
          <order val="1"/>
          <tx>
            <v>effective</v>
          </tx>
          <spPr>
            <a:solidFill>
              <a:srgbClr val="5B7BA8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'Effective'!$C$129:$C$133</f>
            </numRef>
          </val>
        </ser>
        <ser>
          <idx val="2"/>
          <order val="2"/>
          <tx>
            <v>running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'Effective'!$D$129:$D$133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11</row>
      <rowOff>0</rowOff>
    </from>
    <ext cx="37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45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2:Q46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2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>
      <c r="B3" s="1" t="n"/>
      <c r="C3" s="2" t="inlineStr">
        <is>
          <t>US NAPHTHA — ZERO-BASED REFINERY MODEL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B5" s="1" t="n"/>
      <c r="C5" s="3" t="inlineStr">
        <is>
          <t>123 refineries · unit-level build · PADD 1–5 · generated 08 Jul 2026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</row>
    <row r="7" ht="4" customHeight="1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9">
      <c r="C9" s="5">
        <f>SUMPRODUCT((Boxes!$A$3:$A$1084="TOTAL")*Boxes!$P$3:$P$1084)</f>
        <v/>
      </c>
      <c r="E9" s="6">
        <f>SUMPRODUCT((Boxes!$A$3:$A$1084="TOTAL")*(Boxes!$C$3:$C$1084=3)*Boxes!$P$3:$P$1084)/SUMPRODUCT((Boxes!$A$3:$A$1084="TOTAL")*Boxes!$P$3:$P$1084)</f>
        <v/>
      </c>
      <c r="G9" s="5">
        <f>SUMPRODUCT(((Boxes!$D$3:$D$1084="CDU")+(Boxes!$D$3:$D$1084="CRUDE-EST"))*Boxes!$F$3:$F$1084*Boxes!$J$3:$J$1084)</f>
        <v/>
      </c>
      <c r="I9" s="5">
        <f>SUMPRODUCT((Boxes!$D$3:$D$1084="CDU")*Boxes!$F$3:$F$1084)</f>
        <v/>
      </c>
      <c r="K9" s="5">
        <f>SUMPRODUCT((Boxes!$A$3:$A$1084="UNIT")*1)</f>
        <v/>
      </c>
    </row>
    <row r="10">
      <c r="C10" s="7" t="inlineStr">
        <is>
          <t>US NET NAPHTHA (KBD)</t>
        </is>
      </c>
      <c r="E10" s="7" t="inlineStr">
        <is>
          <t>PADD 3 SHARE</t>
        </is>
      </c>
      <c r="G10" s="7" t="inlineStr">
        <is>
          <t>US CRUDE RUNS (KBD)</t>
        </is>
      </c>
      <c r="I10" s="7" t="inlineStr">
        <is>
          <t>CDU NAMEPLATE (KBD)</t>
        </is>
      </c>
      <c r="K10" s="7" t="inlineStr">
        <is>
          <t>UNITS MODELLED</t>
        </is>
      </c>
    </row>
    <row r="28" ht="20" customHeight="1">
      <c r="A28" s="8" t="inlineStr">
        <is>
          <t xml:space="preserve">  MODEL MAP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30">
      <c r="C30" s="10" t="inlineStr">
        <is>
          <t>Data</t>
        </is>
      </c>
      <c r="E30" s="11" t="inlineStr">
        <is>
          <t>imported registry, 2024 net yields, crude capacities (inputs)</t>
        </is>
      </c>
    </row>
    <row r="31">
      <c r="C31" s="10" t="inlineStr">
        <is>
          <t>Boxes</t>
        </is>
      </c>
      <c r="E31" s="11" t="inlineStr">
        <is>
          <t>the engine — every refinery unit by unit; net naphtha per site</t>
        </is>
      </c>
    </row>
    <row r="32">
      <c r="C32" s="10" t="inlineStr">
        <is>
          <t>Assumptions</t>
        </is>
      </c>
      <c r="E32" s="11" t="inlineStr">
        <is>
          <t>PADD yields &amp; utilization, cut split, master dials, prices, freight</t>
        </is>
      </c>
    </row>
    <row r="33">
      <c r="C33" s="10" t="inlineStr">
        <is>
          <t>Nameplate</t>
        </is>
      </c>
      <c r="E33" s="11" t="inlineStr">
        <is>
          <t>stated unit capacities, refinery × unit, PADD totals</t>
        </is>
      </c>
    </row>
    <row r="34">
      <c r="C34" s="10" t="inlineStr">
        <is>
          <t>Effective</t>
        </is>
      </c>
      <c r="E34" s="11" t="inlineStr">
        <is>
          <t>demonstrated capacities (2017–24 max) vs nameplate vs running</t>
        </is>
      </c>
    </row>
    <row r="35">
      <c r="C35" s="10" t="inlineStr">
        <is>
          <t>CrudeSlate</t>
        </is>
      </c>
      <c r="E35" s="11" t="inlineStr">
        <is>
          <t>actual crude diet per refinery; merchant naphtha buyers flagged</t>
        </is>
      </c>
    </row>
    <row r="36">
      <c r="C36" s="10" t="inlineStr">
        <is>
          <t>BlendEcon</t>
        </is>
      </c>
      <c r="E36" s="11" t="inlineStr">
        <is>
          <t>spreads, arbs, max-light vs max-heavy — fill prices to activate</t>
        </is>
      </c>
    </row>
    <row r="37">
      <c r="C37" s="10" t="inlineStr">
        <is>
          <t>KitWalk</t>
        </is>
      </c>
      <c r="E37" s="11" t="inlineStr">
        <is>
          <t>CDU → SR naphtha → NHT → reformer → net, vs 2024 actuals</t>
        </is>
      </c>
    </row>
    <row r="40" ht="20" customHeight="1">
      <c r="A40" s="8" t="inlineStr">
        <is>
          <t xml:space="preserve">  HOW TO DRIVE IT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P40" s="12" t="inlineStr">
        <is>
          <t>PADD 1</t>
        </is>
      </c>
      <c r="Q40" s="12">
        <f>SUMPRODUCT((Boxes!$A$3:$A$1084="TOTAL")*(Boxes!$C$3:$C$1084=1)*Boxes!$P$3:$P$1084)</f>
        <v/>
      </c>
    </row>
    <row r="41">
      <c r="P41" s="12" t="inlineStr">
        <is>
          <t>PADD 2</t>
        </is>
      </c>
      <c r="Q41" s="12">
        <f>SUMPRODUCT((Boxes!$A$3:$A$1084="TOTAL")*(Boxes!$C$3:$C$1084=2)*Boxes!$P$3:$P$1084)</f>
        <v/>
      </c>
    </row>
    <row r="42">
      <c r="C42" s="13" t="n"/>
      <c r="D42" s="11" t="inlineStr">
        <is>
          <t>blue — input: type here</t>
        </is>
      </c>
      <c r="P42" s="12" t="inlineStr">
        <is>
          <t>PADD 3</t>
        </is>
      </c>
      <c r="Q42" s="12">
        <f>SUMPRODUCT((Boxes!$A$3:$A$1084="TOTAL")*(Boxes!$C$3:$C$1084=3)*Boxes!$P$3:$P$1084)</f>
        <v/>
      </c>
    </row>
    <row r="43">
      <c r="C43" s="14" t="n"/>
      <c r="D43" s="11" t="inlineStr">
        <is>
          <t>orange — manual override: applies when MODE = override; flip the MODE dropdown (per unit, or per refinery on the NET NAPHTHA row) to switch back to assumptions</t>
        </is>
      </c>
      <c r="P43" s="12" t="inlineStr">
        <is>
          <t>PADD 4</t>
        </is>
      </c>
      <c r="Q43" s="12">
        <f>SUMPRODUCT((Boxes!$A$3:$A$1084="TOTAL")*(Boxes!$C$3:$C$1084=4)*Boxes!$P$3:$P$1084)</f>
        <v/>
      </c>
    </row>
    <row r="44">
      <c r="C44" s="15" t="n"/>
      <c r="D44" s="11" t="inlineStr">
        <is>
          <t>grey — live formula: don't type</t>
        </is>
      </c>
      <c r="P44" s="12" t="inlineStr">
        <is>
          <t>PADD 5</t>
        </is>
      </c>
      <c r="Q44" s="12">
        <f>SUMPRODUCT((Boxes!$A$3:$A$1084="TOTAL")*(Boxes!$C$3:$C$1084=5)*Boxes!$P$3:$P$1084)</f>
        <v/>
      </c>
    </row>
    <row r="46">
      <c r="C46" s="16" t="inlineStr">
        <is>
          <t>Everything is live: edit any input or assumption and Boxes, capacity views, KitWalk and BlendEcon re-price instantly.</t>
        </is>
      </c>
    </row>
  </sheetData>
  <mergeCells count="2">
    <mergeCell ref="A40:M40"/>
    <mergeCell ref="A28:M2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O125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 ht="20" customHeight="1">
      <c r="A1" s="8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</row>
    <row r="2">
      <c r="A2" s="17" t="inlineStr">
        <is>
          <t>refinery_id</t>
        </is>
      </c>
      <c r="B2" s="17" t="inlineStr">
        <is>
          <t>name</t>
        </is>
      </c>
      <c r="C2" s="17" t="inlineStr">
        <is>
          <t>owner</t>
        </is>
      </c>
      <c r="D2" s="17" t="inlineStr">
        <is>
          <t>padd</t>
        </is>
      </c>
      <c r="E2" s="17" t="inlineStr">
        <is>
          <t>state</t>
        </is>
      </c>
      <c r="F2" s="17" t="inlineStr">
        <is>
          <t>city</t>
        </is>
      </c>
      <c r="G2" s="17" t="inlineStr">
        <is>
          <t>crude_capacity_kbd</t>
        </is>
      </c>
      <c r="H2" s="17" t="inlineStr">
        <is>
          <t>status</t>
        </is>
      </c>
      <c r="I2" s="17" t="inlineStr">
        <is>
          <t>gasoil_diesel</t>
        </is>
      </c>
      <c r="J2" s="17" t="inlineStr">
        <is>
          <t>gasoline</t>
        </is>
      </c>
      <c r="K2" s="17" t="inlineStr">
        <is>
          <t>hfo</t>
        </is>
      </c>
      <c r="L2" s="17" t="inlineStr">
        <is>
          <t>kero_jet</t>
        </is>
      </c>
      <c r="M2" s="17" t="inlineStr">
        <is>
          <t>lpg</t>
        </is>
      </c>
      <c r="N2" s="17" t="inlineStr">
        <is>
          <t>naphtha</t>
        </is>
      </c>
      <c r="O2" s="17" t="inlineStr">
        <is>
          <t>total</t>
        </is>
      </c>
    </row>
    <row r="3">
      <c r="A3" s="18" t="inlineStr">
        <is>
          <t>PHILLIPS_LINDEN</t>
        </is>
      </c>
      <c r="B3" s="18" t="inlineStr">
        <is>
          <t>Phillips 66 Co. Linden</t>
        </is>
      </c>
      <c r="C3" s="18" t="inlineStr">
        <is>
          <t>Phillips 66 Co.</t>
        </is>
      </c>
      <c r="D3" s="18" t="n">
        <v>1</v>
      </c>
      <c r="E3" s="18" t="inlineStr">
        <is>
          <t>New Jersey</t>
        </is>
      </c>
      <c r="F3" s="18" t="inlineStr">
        <is>
          <t>Linden</t>
        </is>
      </c>
      <c r="G3" s="19" t="n">
        <v>258</v>
      </c>
      <c r="H3" s="18" t="inlineStr">
        <is>
          <t>operating</t>
        </is>
      </c>
      <c r="I3" s="20" t="n">
        <v>0.320086</v>
      </c>
      <c r="J3" s="20" t="n">
        <v>0.513787</v>
      </c>
      <c r="K3" s="20" t="n">
        <v>0.001038</v>
      </c>
      <c r="L3" s="20" t="n">
        <v>0.09799200000000001</v>
      </c>
      <c r="M3" s="20" t="n">
        <v>0.024308</v>
      </c>
      <c r="N3" s="20" t="n">
        <v>0</v>
      </c>
      <c r="O3" s="20" t="n">
        <v>0.95721</v>
      </c>
    </row>
    <row r="4">
      <c r="A4" s="18" t="inlineStr">
        <is>
          <t>MONROE_TRAINER</t>
        </is>
      </c>
      <c r="B4" s="18" t="inlineStr">
        <is>
          <t>Monroe Energy Trainer</t>
        </is>
      </c>
      <c r="C4" s="18" t="inlineStr">
        <is>
          <t>Delta Airlines</t>
        </is>
      </c>
      <c r="D4" s="18" t="n">
        <v>1</v>
      </c>
      <c r="E4" s="18" t="inlineStr">
        <is>
          <t>Pennsylvania</t>
        </is>
      </c>
      <c r="F4" s="18" t="inlineStr">
        <is>
          <t>Trainer</t>
        </is>
      </c>
      <c r="G4" s="19" t="n">
        <v>185</v>
      </c>
      <c r="H4" s="18" t="inlineStr">
        <is>
          <t>operating</t>
        </is>
      </c>
      <c r="I4" s="20" t="n">
        <v>0.19063</v>
      </c>
      <c r="J4" s="20" t="n">
        <v>0.5729529999999999</v>
      </c>
      <c r="K4" s="20" t="n">
        <v>0.012446</v>
      </c>
      <c r="L4" s="20" t="n">
        <v>0.196579</v>
      </c>
      <c r="M4" s="20" t="n">
        <v>0.014049</v>
      </c>
      <c r="N4" s="20" t="n">
        <v>0</v>
      </c>
      <c r="O4" s="20" t="n">
        <v>0.986657</v>
      </c>
    </row>
    <row r="5">
      <c r="A5" s="18" t="inlineStr">
        <is>
          <t>PBF_DELAWARE_CITY</t>
        </is>
      </c>
      <c r="B5" s="18" t="inlineStr">
        <is>
          <t>PBF Energy Company LLC Delaware City</t>
        </is>
      </c>
      <c r="C5" s="18" t="inlineStr">
        <is>
          <t>PBF Energy Company LLC</t>
        </is>
      </c>
      <c r="D5" s="18" t="n">
        <v>1</v>
      </c>
      <c r="E5" s="18" t="inlineStr">
        <is>
          <t>Delaware</t>
        </is>
      </c>
      <c r="F5" s="18" t="inlineStr">
        <is>
          <t>Delaware City</t>
        </is>
      </c>
      <c r="G5" s="19" t="n">
        <v>180</v>
      </c>
      <c r="H5" s="18" t="inlineStr">
        <is>
          <t>operating</t>
        </is>
      </c>
      <c r="I5" s="20" t="n">
        <v>0.288664</v>
      </c>
      <c r="J5" s="20" t="n">
        <v>0.626601</v>
      </c>
      <c r="K5" s="20" t="n">
        <v>0.006595999999999999</v>
      </c>
      <c r="L5" s="20" t="n">
        <v>0.118778</v>
      </c>
      <c r="M5" s="20" t="n">
        <v>0.027567</v>
      </c>
      <c r="N5" s="20" t="n">
        <v>0</v>
      </c>
      <c r="O5" s="20" t="n">
        <v>1.068205</v>
      </c>
    </row>
    <row r="6">
      <c r="A6" s="18" t="inlineStr">
        <is>
          <t>PBF_PAULSBORO</t>
        </is>
      </c>
      <c r="B6" s="18" t="inlineStr">
        <is>
          <t>PBF Energy Company LLC Paulsboro</t>
        </is>
      </c>
      <c r="C6" s="18" t="inlineStr">
        <is>
          <t>PBF Energy Company LLC</t>
        </is>
      </c>
      <c r="D6" s="18" t="n">
        <v>1</v>
      </c>
      <c r="E6" s="18" t="inlineStr">
        <is>
          <t>New Jersey</t>
        </is>
      </c>
      <c r="F6" s="18" t="inlineStr">
        <is>
          <t>Paulsboro</t>
        </is>
      </c>
      <c r="G6" s="19" t="n">
        <v>100</v>
      </c>
      <c r="H6" s="18" t="inlineStr">
        <is>
          <t>operating</t>
        </is>
      </c>
      <c r="I6" s="20" t="n">
        <v>0.373933</v>
      </c>
      <c r="J6" s="20" t="n">
        <v>0.272644</v>
      </c>
      <c r="K6" s="20" t="n">
        <v>0.024194</v>
      </c>
      <c r="L6" s="20" t="n">
        <v>0.199112</v>
      </c>
      <c r="M6" s="20" t="n">
        <v>0.009816</v>
      </c>
      <c r="N6" s="20" t="n">
        <v>0</v>
      </c>
      <c r="O6" s="20" t="n">
        <v>0.8796980000000001</v>
      </c>
    </row>
    <row r="7">
      <c r="A7" s="18" t="inlineStr">
        <is>
          <t>UNITED_WARREN</t>
        </is>
      </c>
      <c r="B7" s="18" t="inlineStr">
        <is>
          <t>United Refining Warren</t>
        </is>
      </c>
      <c r="C7" s="18" t="inlineStr">
        <is>
          <t>United Refining</t>
        </is>
      </c>
      <c r="D7" s="18" t="n">
        <v>1</v>
      </c>
      <c r="E7" s="18" t="inlineStr">
        <is>
          <t>Pennsylvania</t>
        </is>
      </c>
      <c r="F7" s="18" t="inlineStr">
        <is>
          <t>Warren</t>
        </is>
      </c>
      <c r="G7" s="19" t="n">
        <v>70</v>
      </c>
      <c r="H7" s="18" t="inlineStr">
        <is>
          <t>operating</t>
        </is>
      </c>
      <c r="I7" s="20" t="n">
        <v>0.174032</v>
      </c>
      <c r="J7" s="20" t="n">
        <v>0.450898</v>
      </c>
      <c r="K7" s="20" t="n">
        <v>0.001753</v>
      </c>
      <c r="L7" s="20" t="n">
        <v>0</v>
      </c>
      <c r="M7" s="20" t="n">
        <v>0.0007560000000000001</v>
      </c>
      <c r="N7" s="20" t="n">
        <v>0</v>
      </c>
      <c r="O7" s="20" t="n">
        <v>0.627437</v>
      </c>
    </row>
    <row r="8">
      <c r="A8" s="18" t="inlineStr">
        <is>
          <t>ERGON_NEWELL</t>
        </is>
      </c>
      <c r="B8" s="18" t="inlineStr">
        <is>
          <t>Ergon Newell</t>
        </is>
      </c>
      <c r="C8" s="18" t="inlineStr">
        <is>
          <t>Ergon</t>
        </is>
      </c>
      <c r="D8" s="18" t="n">
        <v>1</v>
      </c>
      <c r="E8" s="18" t="inlineStr">
        <is>
          <t>West Virginia</t>
        </is>
      </c>
      <c r="F8" s="18" t="inlineStr">
        <is>
          <t>Newell</t>
        </is>
      </c>
      <c r="G8" s="19" t="n">
        <v>22.3</v>
      </c>
      <c r="H8" s="18" t="inlineStr">
        <is>
          <t>operating</t>
        </is>
      </c>
      <c r="I8" s="20" t="n">
        <v>0.276305</v>
      </c>
      <c r="J8" s="20" t="n">
        <v>0.340546</v>
      </c>
      <c r="K8" s="20" t="n">
        <v>0</v>
      </c>
      <c r="L8" s="20" t="n">
        <v>0</v>
      </c>
      <c r="M8" s="20" t="n">
        <v>0.001903</v>
      </c>
      <c r="N8" s="20" t="n">
        <v>0</v>
      </c>
      <c r="O8" s="20" t="n">
        <v>0.618754</v>
      </c>
    </row>
    <row r="9">
      <c r="A9" s="18" t="inlineStr">
        <is>
          <t>AMERICAN_BRADFORD</t>
        </is>
      </c>
      <c r="B9" s="18" t="inlineStr">
        <is>
          <t>American Refining Group Bradford</t>
        </is>
      </c>
      <c r="C9" s="18" t="inlineStr">
        <is>
          <t>American Refining Group</t>
        </is>
      </c>
      <c r="D9" s="18" t="n">
        <v>1</v>
      </c>
      <c r="E9" s="18" t="inlineStr">
        <is>
          <t>Pennsylvania</t>
        </is>
      </c>
      <c r="F9" s="18" t="inlineStr">
        <is>
          <t>Bradford</t>
        </is>
      </c>
      <c r="G9" s="19" t="n">
        <v>11.8</v>
      </c>
      <c r="H9" s="18" t="inlineStr">
        <is>
          <t>operating</t>
        </is>
      </c>
      <c r="I9" s="20" t="n">
        <v>0.240976</v>
      </c>
      <c r="J9" s="20" t="n">
        <v>0.368069</v>
      </c>
      <c r="K9" s="20" t="n">
        <v>0</v>
      </c>
      <c r="L9" s="20" t="n">
        <v>0</v>
      </c>
      <c r="M9" s="20" t="n">
        <v>0.00557</v>
      </c>
      <c r="N9" s="20" t="n">
        <v>0</v>
      </c>
      <c r="O9" s="20" t="n">
        <v>0.614615</v>
      </c>
    </row>
    <row r="10">
      <c r="A10" s="18" t="inlineStr">
        <is>
          <t>BP_WHITING</t>
        </is>
      </c>
      <c r="B10" s="18" t="inlineStr">
        <is>
          <t>BP Whiting</t>
        </is>
      </c>
      <c r="C10" s="18" t="inlineStr">
        <is>
          <t>BP</t>
        </is>
      </c>
      <c r="D10" s="18" t="n">
        <v>2</v>
      </c>
      <c r="E10" s="18" t="inlineStr">
        <is>
          <t>Indiana</t>
        </is>
      </c>
      <c r="F10" s="18" t="inlineStr">
        <is>
          <t>Whiting</t>
        </is>
      </c>
      <c r="G10" s="19" t="n">
        <v>435</v>
      </c>
      <c r="H10" s="18" t="inlineStr">
        <is>
          <t>operating</t>
        </is>
      </c>
      <c r="I10" s="20" t="n">
        <v>0.232409</v>
      </c>
      <c r="J10" s="20" t="n">
        <v>0.573591</v>
      </c>
      <c r="K10" s="20" t="n">
        <v>0.010617</v>
      </c>
      <c r="L10" s="20" t="n">
        <v>0.069983</v>
      </c>
      <c r="M10" s="20" t="n">
        <v>0.018035</v>
      </c>
      <c r="N10" s="20" t="n">
        <v>0.00217</v>
      </c>
      <c r="O10" s="20" t="n">
        <v>0.9068040000000001</v>
      </c>
    </row>
    <row r="11">
      <c r="A11" s="18" t="inlineStr">
        <is>
          <t>FLINT_ROSEMOUNT</t>
        </is>
      </c>
      <c r="B11" s="18" t="inlineStr">
        <is>
          <t>Flint Hills Resources Rosemount</t>
        </is>
      </c>
      <c r="C11" s="18" t="inlineStr">
        <is>
          <t>Koch Industries</t>
        </is>
      </c>
      <c r="D11" s="18" t="n">
        <v>2</v>
      </c>
      <c r="E11" s="18" t="inlineStr">
        <is>
          <t>Minnesota</t>
        </is>
      </c>
      <c r="F11" s="18" t="inlineStr">
        <is>
          <t>Rosemount</t>
        </is>
      </c>
      <c r="G11" s="19" t="n">
        <v>375</v>
      </c>
      <c r="H11" s="18" t="inlineStr">
        <is>
          <t>operating</t>
        </is>
      </c>
      <c r="I11" s="20" t="n">
        <v>0.115114</v>
      </c>
      <c r="J11" s="20" t="n">
        <v>0.666609</v>
      </c>
      <c r="K11" s="20" t="n">
        <v>0.022427</v>
      </c>
      <c r="L11" s="20" t="n">
        <v>0.112758</v>
      </c>
      <c r="M11" s="20" t="n">
        <v>0.014163</v>
      </c>
      <c r="N11" s="20" t="n">
        <v>0.010141</v>
      </c>
      <c r="O11" s="20" t="n">
        <v>0.941212</v>
      </c>
    </row>
    <row r="12">
      <c r="A12" s="18" t="inlineStr">
        <is>
          <t>CENOVUS_WOOD_RIVER</t>
        </is>
      </c>
      <c r="B12" s="18" t="inlineStr">
        <is>
          <t>Cenovus Wood River</t>
        </is>
      </c>
      <c r="C12" s="18" t="inlineStr">
        <is>
          <t>Cenovus (50%) / Phillips 66 Co. (50%)</t>
        </is>
      </c>
      <c r="D12" s="18" t="n">
        <v>2</v>
      </c>
      <c r="E12" s="18" t="inlineStr">
        <is>
          <t>Illinois</t>
        </is>
      </c>
      <c r="F12" s="18" t="inlineStr">
        <is>
          <t>Wood River</t>
        </is>
      </c>
      <c r="G12" s="19" t="n">
        <v>356</v>
      </c>
      <c r="H12" s="18" t="inlineStr">
        <is>
          <t>operating</t>
        </is>
      </c>
      <c r="I12" s="20" t="n">
        <v>0.06430799999999999</v>
      </c>
      <c r="J12" s="20" t="n">
        <v>0.361823</v>
      </c>
      <c r="K12" s="20" t="n">
        <v>0.010296</v>
      </c>
      <c r="L12" s="20" t="n">
        <v>0.034763</v>
      </c>
      <c r="M12" s="20" t="n">
        <v>0.003792</v>
      </c>
      <c r="N12" s="20" t="n">
        <v>0.001431</v>
      </c>
      <c r="O12" s="20" t="n">
        <v>0.476413</v>
      </c>
    </row>
    <row r="13">
      <c r="A13" s="18" t="inlineStr">
        <is>
          <t>MARATHON_CATLETTSBURG</t>
        </is>
      </c>
      <c r="B13" s="18" t="inlineStr">
        <is>
          <t>Marathon Petroleum Catlettsburg</t>
        </is>
      </c>
      <c r="C13" s="18" t="inlineStr">
        <is>
          <t>Marathon Petroleum</t>
        </is>
      </c>
      <c r="D13" s="18" t="n">
        <v>2</v>
      </c>
      <c r="E13" s="18" t="inlineStr">
        <is>
          <t>Kentucky</t>
        </is>
      </c>
      <c r="F13" s="18" t="inlineStr">
        <is>
          <t>Catlettsburg</t>
        </is>
      </c>
      <c r="G13" s="19" t="n">
        <v>316</v>
      </c>
      <c r="H13" s="18" t="inlineStr">
        <is>
          <t>operating</t>
        </is>
      </c>
      <c r="I13" s="20" t="n">
        <v>0.478289</v>
      </c>
      <c r="J13" s="20" t="n">
        <v>0.4347570000000001</v>
      </c>
      <c r="K13" s="20" t="n">
        <v>0.001486</v>
      </c>
      <c r="L13" s="20" t="n">
        <v>0.020455</v>
      </c>
      <c r="M13" s="20" t="n">
        <v>0.009075999999999999</v>
      </c>
      <c r="N13" s="20" t="n">
        <v>0.001714</v>
      </c>
      <c r="O13" s="20" t="n">
        <v>0.945778</v>
      </c>
    </row>
    <row r="14">
      <c r="A14" s="18" t="inlineStr">
        <is>
          <t>MARATHON_ROBINSON</t>
        </is>
      </c>
      <c r="B14" s="18" t="inlineStr">
        <is>
          <t>Marathon Petroleum Robinson</t>
        </is>
      </c>
      <c r="C14" s="18" t="inlineStr">
        <is>
          <t>Marathon Petroleum</t>
        </is>
      </c>
      <c r="D14" s="18" t="n">
        <v>2</v>
      </c>
      <c r="E14" s="18" t="inlineStr">
        <is>
          <t>Illinois</t>
        </is>
      </c>
      <c r="F14" s="18" t="inlineStr">
        <is>
          <t>Robinson</t>
        </is>
      </c>
      <c r="G14" s="19" t="n">
        <v>278</v>
      </c>
      <c r="H14" s="18" t="inlineStr">
        <is>
          <t>operating</t>
        </is>
      </c>
      <c r="I14" s="20" t="n">
        <v>0.395003</v>
      </c>
      <c r="J14" s="20" t="n">
        <v>0.5376069999999999</v>
      </c>
      <c r="K14" s="20" t="n">
        <v>0.010142</v>
      </c>
      <c r="L14" s="20" t="n">
        <v>0.021377</v>
      </c>
      <c r="M14" s="20" t="n">
        <v>0.005884</v>
      </c>
      <c r="N14" s="20" t="n">
        <v>0.00261</v>
      </c>
      <c r="O14" s="20" t="n">
        <v>0.972624</v>
      </c>
    </row>
    <row r="15">
      <c r="A15" s="18" t="inlineStr">
        <is>
          <t>EXXONMOBIL_JOLIET</t>
        </is>
      </c>
      <c r="B15" s="18" t="inlineStr">
        <is>
          <t>ExxonMobil Joliet</t>
        </is>
      </c>
      <c r="C15" s="18" t="inlineStr">
        <is>
          <t>ExxonMobil</t>
        </is>
      </c>
      <c r="D15" s="18" t="n">
        <v>2</v>
      </c>
      <c r="E15" s="18" t="inlineStr">
        <is>
          <t>Illinois</t>
        </is>
      </c>
      <c r="F15" s="18" t="inlineStr">
        <is>
          <t>Joliet</t>
        </is>
      </c>
      <c r="G15" s="19" t="n">
        <v>252</v>
      </c>
      <c r="H15" s="18" t="inlineStr">
        <is>
          <t>operating</t>
        </is>
      </c>
      <c r="I15" s="20" t="n">
        <v>0.277571</v>
      </c>
      <c r="J15" s="20" t="n">
        <v>0.571539</v>
      </c>
      <c r="K15" s="20" t="n">
        <v>0.002654</v>
      </c>
      <c r="L15" s="20" t="n">
        <v>0.066733</v>
      </c>
      <c r="M15" s="20" t="n">
        <v>0.003918</v>
      </c>
      <c r="N15" s="20" t="n">
        <v>0.001772</v>
      </c>
      <c r="O15" s="20" t="n">
        <v>0.924187</v>
      </c>
    </row>
    <row r="16">
      <c r="A16" s="18" t="inlineStr">
        <is>
          <t>PHILLIPS_PONCA_CITY</t>
        </is>
      </c>
      <c r="B16" s="18" t="inlineStr">
        <is>
          <t>Phillips 66 Co. Ponca City</t>
        </is>
      </c>
      <c r="C16" s="18" t="inlineStr">
        <is>
          <t>Phillips 66 Co.</t>
        </is>
      </c>
      <c r="D16" s="18" t="n">
        <v>2</v>
      </c>
      <c r="E16" s="18" t="inlineStr">
        <is>
          <t>Oklahoma</t>
        </is>
      </c>
      <c r="F16" s="18" t="inlineStr">
        <is>
          <t>Ponca City</t>
        </is>
      </c>
      <c r="G16" s="19" t="n">
        <v>225</v>
      </c>
      <c r="H16" s="18" t="inlineStr">
        <is>
          <t>operating</t>
        </is>
      </c>
      <c r="I16" s="20" t="n">
        <v>0.366507</v>
      </c>
      <c r="J16" s="20" t="n">
        <v>0.485868</v>
      </c>
      <c r="K16" s="20" t="n">
        <v>0.006726999999999999</v>
      </c>
      <c r="L16" s="20" t="n">
        <v>0.081784</v>
      </c>
      <c r="M16" s="20" t="n">
        <v>0.002253</v>
      </c>
      <c r="N16" s="20" t="n">
        <v>0.001036</v>
      </c>
      <c r="O16" s="20" t="n">
        <v>0.9441759999999999</v>
      </c>
    </row>
    <row r="17">
      <c r="A17" s="18" t="inlineStr">
        <is>
          <t>CITGO_LEMONT</t>
        </is>
      </c>
      <c r="B17" s="18" t="inlineStr">
        <is>
          <t>Citgo Lemont</t>
        </is>
      </c>
      <c r="C17" s="18" t="inlineStr">
        <is>
          <t>PDVSA</t>
        </is>
      </c>
      <c r="D17" s="18" t="n">
        <v>2</v>
      </c>
      <c r="E17" s="18" t="inlineStr">
        <is>
          <t>Illinois</t>
        </is>
      </c>
      <c r="F17" s="18" t="inlineStr">
        <is>
          <t>Lemont</t>
        </is>
      </c>
      <c r="G17" s="19" t="n">
        <v>194.12</v>
      </c>
      <c r="H17" s="18" t="inlineStr">
        <is>
          <t>operating</t>
        </is>
      </c>
      <c r="I17" s="20" t="n">
        <v>0.299464</v>
      </c>
      <c r="J17" s="20" t="n">
        <v>0.5076160000000001</v>
      </c>
      <c r="K17" s="20" t="n">
        <v>0.0008100000000000001</v>
      </c>
      <c r="L17" s="20" t="n">
        <v>0.130942</v>
      </c>
      <c r="M17" s="20" t="n">
        <v>0.002889</v>
      </c>
      <c r="N17" s="20" t="n">
        <v>0.00595</v>
      </c>
      <c r="O17" s="20" t="n">
        <v>0.9476720000000001</v>
      </c>
    </row>
    <row r="18">
      <c r="A18" s="18" t="inlineStr">
        <is>
          <t>CENOVUS_LIMA</t>
        </is>
      </c>
      <c r="B18" s="18" t="inlineStr">
        <is>
          <t>Cenovus Lima</t>
        </is>
      </c>
      <c r="C18" s="18" t="inlineStr">
        <is>
          <t>Cenovus</t>
        </is>
      </c>
      <c r="D18" s="18" t="n">
        <v>2</v>
      </c>
      <c r="E18" s="18" t="inlineStr">
        <is>
          <t>Ohio</t>
        </is>
      </c>
      <c r="F18" s="18" t="inlineStr">
        <is>
          <t>Lima</t>
        </is>
      </c>
      <c r="G18" s="19" t="n">
        <v>185</v>
      </c>
      <c r="H18" s="18" t="inlineStr">
        <is>
          <t>operating</t>
        </is>
      </c>
      <c r="I18" s="20" t="n">
        <v>0.208956</v>
      </c>
      <c r="J18" s="20" t="n">
        <v>0.567905</v>
      </c>
      <c r="K18" s="20" t="n">
        <v>0.001856</v>
      </c>
      <c r="L18" s="20" t="n">
        <v>0.167952</v>
      </c>
      <c r="M18" s="20" t="n">
        <v>0.007396000000000001</v>
      </c>
      <c r="N18" s="20" t="n">
        <v>0.005404</v>
      </c>
      <c r="O18" s="20" t="n">
        <v>0.959469</v>
      </c>
    </row>
    <row r="19">
      <c r="A19" s="18" t="inlineStr">
        <is>
          <t>PBF_TOLEDO</t>
        </is>
      </c>
      <c r="B19" s="18" t="inlineStr">
        <is>
          <t>PBF Energy Company LLC Toledo</t>
        </is>
      </c>
      <c r="C19" s="18" t="inlineStr">
        <is>
          <t>PBF Energy Company LLC</t>
        </is>
      </c>
      <c r="D19" s="18" t="n">
        <v>2</v>
      </c>
      <c r="E19" s="18" t="inlineStr">
        <is>
          <t>Ohio</t>
        </is>
      </c>
      <c r="F19" s="18" t="inlineStr">
        <is>
          <t>Toledo</t>
        </is>
      </c>
      <c r="G19" s="19" t="n">
        <v>180</v>
      </c>
      <c r="H19" s="18" t="inlineStr">
        <is>
          <t>operating</t>
        </is>
      </c>
      <c r="I19" s="20" t="n">
        <v>0.227272</v>
      </c>
      <c r="J19" s="20" t="n">
        <v>0.554835</v>
      </c>
      <c r="K19" s="20" t="n">
        <v>0.003474</v>
      </c>
      <c r="L19" s="20" t="n">
        <v>0.181237</v>
      </c>
      <c r="M19" s="20" t="n">
        <v>0.008708</v>
      </c>
      <c r="N19" s="20" t="n">
        <v>0.003831</v>
      </c>
      <c r="O19" s="20" t="n">
        <v>0.9793569999999999</v>
      </c>
    </row>
    <row r="20">
      <c r="A20" s="18" t="inlineStr">
        <is>
          <t>VALERO_MEMPHIS</t>
        </is>
      </c>
      <c r="B20" s="18" t="inlineStr">
        <is>
          <t>Valero Memphis</t>
        </is>
      </c>
      <c r="C20" s="18" t="inlineStr">
        <is>
          <t>Valero</t>
        </is>
      </c>
      <c r="D20" s="18" t="n">
        <v>2</v>
      </c>
      <c r="E20" s="18" t="inlineStr">
        <is>
          <t>Tennessee</t>
        </is>
      </c>
      <c r="F20" s="18" t="inlineStr">
        <is>
          <t>Memphis</t>
        </is>
      </c>
      <c r="G20" s="19" t="n">
        <v>180</v>
      </c>
      <c r="H20" s="18" t="inlineStr">
        <is>
          <t>operating</t>
        </is>
      </c>
      <c r="I20" s="20" t="n">
        <v>0.5403629999999999</v>
      </c>
      <c r="J20" s="20" t="n">
        <v>0.426441</v>
      </c>
      <c r="K20" s="20" t="n">
        <v>0.000731</v>
      </c>
      <c r="L20" s="20" t="n">
        <v>0</v>
      </c>
      <c r="M20" s="20" t="n">
        <v>0.00437</v>
      </c>
      <c r="N20" s="20" t="n">
        <v>0.003239</v>
      </c>
      <c r="O20" s="20" t="n">
        <v>0.9751430000000001</v>
      </c>
    </row>
    <row r="21">
      <c r="A21" s="18" t="inlineStr">
        <is>
          <t>CENOVUS_TOLEDO</t>
        </is>
      </c>
      <c r="B21" s="18" t="inlineStr">
        <is>
          <t>Cenovus Toledo</t>
        </is>
      </c>
      <c r="C21" s="18" t="inlineStr">
        <is>
          <t>Cenovus</t>
        </is>
      </c>
      <c r="D21" s="18" t="n">
        <v>2</v>
      </c>
      <c r="E21" s="18" t="inlineStr">
        <is>
          <t>Ohio</t>
        </is>
      </c>
      <c r="F21" s="18" t="inlineStr">
        <is>
          <t>Toledo</t>
        </is>
      </c>
      <c r="G21" s="19" t="n">
        <v>160</v>
      </c>
      <c r="H21" s="18" t="inlineStr">
        <is>
          <t>operating</t>
        </is>
      </c>
      <c r="I21" s="20" t="n">
        <v>0.037569</v>
      </c>
      <c r="J21" s="20" t="n">
        <v>0.75274</v>
      </c>
      <c r="K21" s="20" t="n">
        <v>0.016172</v>
      </c>
      <c r="L21" s="20" t="n">
        <v>0.107308</v>
      </c>
      <c r="M21" s="20" t="n">
        <v>0.008028</v>
      </c>
      <c r="N21" s="20" t="n">
        <v>0.002121</v>
      </c>
      <c r="O21" s="20" t="n">
        <v>0.9239360000000001</v>
      </c>
    </row>
    <row r="22">
      <c r="A22" s="18" t="inlineStr">
        <is>
          <t>MARATHON_DETROIT</t>
        </is>
      </c>
      <c r="B22" s="18" t="inlineStr">
        <is>
          <t>Marathon Petroleum Detroit</t>
        </is>
      </c>
      <c r="C22" s="18" t="inlineStr">
        <is>
          <t>Marathon Petroleum</t>
        </is>
      </c>
      <c r="D22" s="18" t="n">
        <v>2</v>
      </c>
      <c r="E22" s="18" t="inlineStr">
        <is>
          <t>Michigan</t>
        </is>
      </c>
      <c r="F22" s="18" t="inlineStr">
        <is>
          <t>Detroit</t>
        </is>
      </c>
      <c r="G22" s="19" t="n">
        <v>140</v>
      </c>
      <c r="H22" s="18" t="inlineStr">
        <is>
          <t>operating</t>
        </is>
      </c>
      <c r="I22" s="20" t="n">
        <v>0.340967</v>
      </c>
      <c r="J22" s="20" t="n">
        <v>0.490704</v>
      </c>
      <c r="K22" s="20" t="n">
        <v>0.007616</v>
      </c>
      <c r="L22" s="20" t="n">
        <v>0.010936</v>
      </c>
      <c r="M22" s="20" t="n">
        <v>0.011926</v>
      </c>
      <c r="N22" s="20" t="n">
        <v>0.001459</v>
      </c>
      <c r="O22" s="20" t="n">
        <v>0.86361</v>
      </c>
    </row>
    <row r="23">
      <c r="A23" s="18" t="inlineStr">
        <is>
          <t>HF_EL_DORADO_KS</t>
        </is>
      </c>
      <c r="B23" s="18" t="inlineStr">
        <is>
          <t>HF Sinclair El Dorado (KS)</t>
        </is>
      </c>
      <c r="C23" s="18" t="inlineStr">
        <is>
          <t>HF Sinclair</t>
        </is>
      </c>
      <c r="D23" s="18" t="n">
        <v>2</v>
      </c>
      <c r="E23" s="18" t="inlineStr">
        <is>
          <t>Kansas</t>
        </is>
      </c>
      <c r="F23" s="18" t="inlineStr">
        <is>
          <t>El Dorado (KS)</t>
        </is>
      </c>
      <c r="G23" s="19" t="n">
        <v>135</v>
      </c>
      <c r="H23" s="18" t="inlineStr">
        <is>
          <t>operating</t>
        </is>
      </c>
      <c r="I23" s="20" t="n">
        <v>0.212953</v>
      </c>
      <c r="J23" s="20" t="n">
        <v>0.673224</v>
      </c>
      <c r="K23" s="20" t="n">
        <v>0.01426</v>
      </c>
      <c r="L23" s="20" t="n">
        <v>0.048543</v>
      </c>
      <c r="M23" s="20" t="n">
        <v>0.006962</v>
      </c>
      <c r="N23" s="20" t="n">
        <v>0.003144</v>
      </c>
      <c r="O23" s="20" t="n">
        <v>0.9590879999999999</v>
      </c>
    </row>
    <row r="24">
      <c r="A24" s="18" t="inlineStr">
        <is>
          <t>CVR_COFFEYVILLE</t>
        </is>
      </c>
      <c r="B24" s="18" t="inlineStr">
        <is>
          <t>CVR Energy Coffeyville</t>
        </is>
      </c>
      <c r="C24" s="18" t="inlineStr">
        <is>
          <t>Icahn Enterprises (80%) / Other Investors (20%)</t>
        </is>
      </c>
      <c r="D24" s="18" t="n">
        <v>2</v>
      </c>
      <c r="E24" s="18" t="inlineStr">
        <is>
          <t>Kansas</t>
        </is>
      </c>
      <c r="F24" s="18" t="inlineStr">
        <is>
          <t>Coffeyville</t>
        </is>
      </c>
      <c r="G24" s="19" t="n">
        <v>132</v>
      </c>
      <c r="H24" s="18" t="inlineStr">
        <is>
          <t>operating</t>
        </is>
      </c>
      <c r="I24" s="20" t="n">
        <v>0.315972</v>
      </c>
      <c r="J24" s="20" t="n">
        <v>0.379308</v>
      </c>
      <c r="K24" s="20" t="n">
        <v>0.001787</v>
      </c>
      <c r="L24" s="20" t="n">
        <v>0.06864099999999999</v>
      </c>
      <c r="M24" s="20" t="n">
        <v>0.003074</v>
      </c>
      <c r="N24" s="20" t="n">
        <v>0.001004</v>
      </c>
      <c r="O24" s="20" t="n">
        <v>0.769787</v>
      </c>
    </row>
    <row r="25">
      <c r="A25" s="18" t="inlineStr">
        <is>
          <t>HF_TULSA</t>
        </is>
      </c>
      <c r="B25" s="18" t="inlineStr">
        <is>
          <t>HF Sinclair Tulsa</t>
        </is>
      </c>
      <c r="C25" s="18" t="inlineStr">
        <is>
          <t>HF Sinclair</t>
        </is>
      </c>
      <c r="D25" s="18" t="n">
        <v>2</v>
      </c>
      <c r="E25" s="18" t="inlineStr">
        <is>
          <t>Oklahoma</t>
        </is>
      </c>
      <c r="F25" s="18" t="inlineStr">
        <is>
          <t>Tulsa</t>
        </is>
      </c>
      <c r="G25" s="19" t="n">
        <v>125</v>
      </c>
      <c r="H25" s="18" t="inlineStr">
        <is>
          <t>operating</t>
        </is>
      </c>
      <c r="I25" s="20" t="n">
        <v>0.509566</v>
      </c>
      <c r="J25" s="20" t="n">
        <v>0.302954</v>
      </c>
      <c r="K25" s="20" t="n">
        <v>0.003985</v>
      </c>
      <c r="L25" s="20" t="n">
        <v>0.056125</v>
      </c>
      <c r="M25" s="20" t="n">
        <v>0.004819</v>
      </c>
      <c r="N25" s="20" t="n">
        <v>0.014038</v>
      </c>
      <c r="O25" s="20" t="n">
        <v>0.891486</v>
      </c>
    </row>
    <row r="26">
      <c r="A26" s="18" t="inlineStr">
        <is>
          <t>NCRA_MCPHERSON</t>
        </is>
      </c>
      <c r="B26" s="18" t="inlineStr">
        <is>
          <t>NCRA McPherson</t>
        </is>
      </c>
      <c r="C26" s="18" t="inlineStr">
        <is>
          <t>CHS</t>
        </is>
      </c>
      <c r="D26" s="18" t="n">
        <v>2</v>
      </c>
      <c r="E26" s="18" t="inlineStr">
        <is>
          <t>Kansas</t>
        </is>
      </c>
      <c r="F26" s="18" t="inlineStr">
        <is>
          <t>McPherson</t>
        </is>
      </c>
      <c r="G26" s="19" t="n">
        <v>117.1</v>
      </c>
      <c r="H26" s="18" t="inlineStr">
        <is>
          <t>operating</t>
        </is>
      </c>
      <c r="I26" s="20" t="n">
        <v>0.266878</v>
      </c>
      <c r="J26" s="20" t="n">
        <v>0.567835</v>
      </c>
      <c r="K26" s="20" t="n">
        <v>0.004981999999999999</v>
      </c>
      <c r="L26" s="20" t="n">
        <v>0.121657</v>
      </c>
      <c r="M26" s="20" t="n">
        <v>0.004316</v>
      </c>
      <c r="N26" s="20" t="n">
        <v>0.002883</v>
      </c>
      <c r="O26" s="20" t="n">
        <v>0.968549</v>
      </c>
    </row>
    <row r="27">
      <c r="A27" s="18" t="inlineStr">
        <is>
          <t>MARATHON_SAINT_PAUL_PARK</t>
        </is>
      </c>
      <c r="B27" s="18" t="inlineStr">
        <is>
          <t>Marathon Petroleum Saint Paul Park</t>
        </is>
      </c>
      <c r="C27" s="18" t="inlineStr">
        <is>
          <t>Marathon Petroleum</t>
        </is>
      </c>
      <c r="D27" s="18" t="n">
        <v>2</v>
      </c>
      <c r="E27" s="18" t="inlineStr">
        <is>
          <t>Minnesota</t>
        </is>
      </c>
      <c r="F27" s="18" t="inlineStr">
        <is>
          <t>Saint Paul Park</t>
        </is>
      </c>
      <c r="G27" s="19" t="n">
        <v>111</v>
      </c>
      <c r="H27" s="18" t="inlineStr">
        <is>
          <t>operating</t>
        </is>
      </c>
      <c r="I27" s="20" t="n">
        <v>0.2093</v>
      </c>
      <c r="J27" s="20" t="n">
        <v>0.545693</v>
      </c>
      <c r="K27" s="20" t="n">
        <v>0.011134</v>
      </c>
      <c r="L27" s="20" t="n">
        <v>0.127933</v>
      </c>
      <c r="M27" s="20" t="n">
        <v>0.007335</v>
      </c>
      <c r="N27" s="20" t="n">
        <v>0.000164</v>
      </c>
      <c r="O27" s="20" t="n">
        <v>0.90156</v>
      </c>
    </row>
    <row r="28">
      <c r="A28" s="18" t="inlineStr">
        <is>
          <t>MARATHON_CANTON</t>
        </is>
      </c>
      <c r="B28" s="18" t="inlineStr">
        <is>
          <t>Marathon Petroleum Canton</t>
        </is>
      </c>
      <c r="C28" s="18" t="inlineStr">
        <is>
          <t>Marathon Petroleum</t>
        </is>
      </c>
      <c r="D28" s="18" t="n">
        <v>2</v>
      </c>
      <c r="E28" s="18" t="inlineStr">
        <is>
          <t>Ohio</t>
        </is>
      </c>
      <c r="F28" s="18" t="inlineStr">
        <is>
          <t>Canton</t>
        </is>
      </c>
      <c r="G28" s="19" t="n">
        <v>100</v>
      </c>
      <c r="H28" s="18" t="inlineStr">
        <is>
          <t>operating</t>
        </is>
      </c>
      <c r="I28" s="20" t="n">
        <v>0.473389</v>
      </c>
      <c r="J28" s="20" t="n">
        <v>0.40001</v>
      </c>
      <c r="K28" s="20" t="n">
        <v>0.001688</v>
      </c>
      <c r="L28" s="20" t="n">
        <v>0.020935</v>
      </c>
      <c r="M28" s="20" t="n">
        <v>0.002659</v>
      </c>
      <c r="N28" s="20" t="n">
        <v>0.004758</v>
      </c>
      <c r="O28" s="20" t="n">
        <v>0.9034399999999999</v>
      </c>
    </row>
    <row r="29">
      <c r="A29" s="18" t="inlineStr">
        <is>
          <t>VALERO_ARDMORE</t>
        </is>
      </c>
      <c r="B29" s="18" t="inlineStr">
        <is>
          <t>Valero Ardmore</t>
        </is>
      </c>
      <c r="C29" s="18" t="inlineStr">
        <is>
          <t>Valero</t>
        </is>
      </c>
      <c r="D29" s="18" t="n">
        <v>2</v>
      </c>
      <c r="E29" s="18" t="inlineStr">
        <is>
          <t>Oklahoma</t>
        </is>
      </c>
      <c r="F29" s="18" t="inlineStr">
        <is>
          <t>Ardmore</t>
        </is>
      </c>
      <c r="G29" s="19" t="n">
        <v>86</v>
      </c>
      <c r="H29" s="18" t="inlineStr">
        <is>
          <t>operating</t>
        </is>
      </c>
      <c r="I29" s="20" t="n">
        <v>0.492831</v>
      </c>
      <c r="J29" s="20" t="n">
        <v>0.421308</v>
      </c>
      <c r="K29" s="20" t="n">
        <v>0.006997</v>
      </c>
      <c r="L29" s="20" t="n">
        <v>0</v>
      </c>
      <c r="M29" s="20" t="n">
        <v>9.8e-05</v>
      </c>
      <c r="N29" s="20" t="n">
        <v>0.000158</v>
      </c>
      <c r="O29" s="20" t="n">
        <v>0.921392</v>
      </c>
    </row>
    <row r="30">
      <c r="A30" s="18" t="inlineStr">
        <is>
          <t>MARATHON_MANDAN</t>
        </is>
      </c>
      <c r="B30" s="18" t="inlineStr">
        <is>
          <t>Marathon Petroleum Mandan</t>
        </is>
      </c>
      <c r="C30" s="18" t="inlineStr">
        <is>
          <t>Marathon Petroleum</t>
        </is>
      </c>
      <c r="D30" s="18" t="n">
        <v>2</v>
      </c>
      <c r="E30" s="18" t="inlineStr">
        <is>
          <t>North Dakota</t>
        </is>
      </c>
      <c r="F30" s="18" t="inlineStr">
        <is>
          <t>Mandan</t>
        </is>
      </c>
      <c r="G30" s="19" t="n">
        <v>75.5</v>
      </c>
      <c r="H30" s="18" t="inlineStr">
        <is>
          <t>operating</t>
        </is>
      </c>
      <c r="I30" s="20" t="n">
        <v>0.439423</v>
      </c>
      <c r="J30" s="20" t="n">
        <v>0.42772</v>
      </c>
      <c r="K30" s="20" t="n">
        <v>0.011106</v>
      </c>
      <c r="L30" s="20" t="n">
        <v>0.070643</v>
      </c>
      <c r="M30" s="20" t="n">
        <v>0.003674</v>
      </c>
      <c r="N30" s="20" t="n">
        <v>0.00416</v>
      </c>
      <c r="O30" s="20" t="n">
        <v>0.9567260000000001</v>
      </c>
    </row>
    <row r="31">
      <c r="A31" s="18" t="inlineStr">
        <is>
          <t>CVR_WYNNEWOOD</t>
        </is>
      </c>
      <c r="B31" s="18" t="inlineStr">
        <is>
          <t>CVR Energy Wynnewood</t>
        </is>
      </c>
      <c r="C31" s="18" t="inlineStr">
        <is>
          <t>Icahn Enterprises (80%) / Other Investors (20%)</t>
        </is>
      </c>
      <c r="D31" s="18" t="n">
        <v>2</v>
      </c>
      <c r="E31" s="18" t="inlineStr">
        <is>
          <t>Oklahoma</t>
        </is>
      </c>
      <c r="F31" s="18" t="inlineStr">
        <is>
          <t>Wynnewood</t>
        </is>
      </c>
      <c r="G31" s="19" t="n">
        <v>75</v>
      </c>
      <c r="H31" s="18" t="inlineStr">
        <is>
          <t>operating</t>
        </is>
      </c>
      <c r="I31" s="20" t="n">
        <v>0.17764</v>
      </c>
      <c r="J31" s="20" t="n">
        <v>0.415458</v>
      </c>
      <c r="K31" s="20" t="n">
        <v>0.003776</v>
      </c>
      <c r="L31" s="20" t="n">
        <v>0.150803</v>
      </c>
      <c r="M31" s="20" t="n">
        <v>0.004015</v>
      </c>
      <c r="N31" s="20" t="n">
        <v>0.002848</v>
      </c>
      <c r="O31" s="20" t="n">
        <v>0.75454</v>
      </c>
    </row>
    <row r="32">
      <c r="A32" s="18" t="inlineStr">
        <is>
          <t>CENOVUS_SUPERIOR</t>
        </is>
      </c>
      <c r="B32" s="18" t="inlineStr">
        <is>
          <t>Cenovus Superior</t>
        </is>
      </c>
      <c r="C32" s="18" t="inlineStr">
        <is>
          <t>Cenovus</t>
        </is>
      </c>
      <c r="D32" s="18" t="n">
        <v>2</v>
      </c>
      <c r="E32" s="18" t="inlineStr">
        <is>
          <t>Wisconsin</t>
        </is>
      </c>
      <c r="F32" s="18" t="inlineStr">
        <is>
          <t>Superior</t>
        </is>
      </c>
      <c r="G32" s="19" t="n">
        <v>50</v>
      </c>
      <c r="H32" s="18" t="inlineStr">
        <is>
          <t>operating</t>
        </is>
      </c>
      <c r="I32" s="20" t="n">
        <v>0.258986</v>
      </c>
      <c r="J32" s="20" t="n">
        <v>0.389313</v>
      </c>
      <c r="K32" s="20" t="n">
        <v>0.007497</v>
      </c>
      <c r="L32" s="20" t="n">
        <v>0.148205</v>
      </c>
      <c r="M32" s="20" t="n">
        <v>0.006697999999999999</v>
      </c>
      <c r="N32" s="20" t="n">
        <v>0.002883</v>
      </c>
      <c r="O32" s="20" t="n">
        <v>0.8135819999999999</v>
      </c>
    </row>
    <row r="33">
      <c r="A33" s="18" t="inlineStr">
        <is>
          <t>COUNTRYMARK_MOUNT_VERNON</t>
        </is>
      </c>
      <c r="B33" s="18" t="inlineStr">
        <is>
          <t>Countrymark Cooperative Inc. Mount Vernon</t>
        </is>
      </c>
      <c r="C33" s="18" t="inlineStr">
        <is>
          <t>Countrymark Cooperative Inc.</t>
        </is>
      </c>
      <c r="D33" s="18" t="n">
        <v>2</v>
      </c>
      <c r="E33" s="18" t="inlineStr">
        <is>
          <t>Indiana</t>
        </is>
      </c>
      <c r="F33" s="18" t="inlineStr">
        <is>
          <t>Mount Vernon</t>
        </is>
      </c>
      <c r="G33" s="19" t="n">
        <v>30.8</v>
      </c>
      <c r="H33" s="18" t="inlineStr">
        <is>
          <t>operating</t>
        </is>
      </c>
      <c r="I33" s="20" t="n">
        <v>0.275814</v>
      </c>
      <c r="J33" s="20" t="n">
        <v>0.469008</v>
      </c>
      <c r="K33" s="20" t="n">
        <v>0.001351</v>
      </c>
      <c r="L33" s="20" t="n">
        <v>0.150118</v>
      </c>
      <c r="M33" s="20" t="n">
        <v>0.002167</v>
      </c>
      <c r="N33" s="20" t="n">
        <v>0.000118</v>
      </c>
      <c r="O33" s="20" t="n">
        <v>0.898573</v>
      </c>
    </row>
    <row r="34">
      <c r="A34" s="18" t="inlineStr">
        <is>
          <t>SOMERSET_SOMERSET</t>
        </is>
      </c>
      <c r="B34" s="18" t="inlineStr">
        <is>
          <t>Somerset Refinery Somerset</t>
        </is>
      </c>
      <c r="C34" s="18" t="inlineStr">
        <is>
          <t>Continental Refining Company</t>
        </is>
      </c>
      <c r="D34" s="18" t="n">
        <v>2</v>
      </c>
      <c r="E34" s="18" t="inlineStr">
        <is>
          <t>Kentucky</t>
        </is>
      </c>
      <c r="F34" s="18" t="inlineStr">
        <is>
          <t>Somerset</t>
        </is>
      </c>
      <c r="G34" s="19" t="n">
        <v>0</v>
      </c>
      <c r="H34" s="18" t="inlineStr">
        <is>
          <t>shut</t>
        </is>
      </c>
      <c r="I34" s="20" t="n">
        <v>0.349199</v>
      </c>
      <c r="J34" s="20" t="n">
        <v>0.451466</v>
      </c>
      <c r="K34" s="20" t="n">
        <v>0.025532</v>
      </c>
      <c r="L34" s="20" t="n">
        <v>0.083103</v>
      </c>
      <c r="M34" s="20" t="n">
        <v>0.007549</v>
      </c>
      <c r="N34" s="20" t="n">
        <v>0.002096</v>
      </c>
      <c r="O34" s="20" t="n">
        <v>0.9189449999999999</v>
      </c>
    </row>
    <row r="35">
      <c r="A35" s="18" t="inlineStr">
        <is>
          <t>MPC_GALV_BAY</t>
        </is>
      </c>
      <c r="B35" s="18" t="inlineStr">
        <is>
          <t>Galveston Bay Refinery</t>
        </is>
      </c>
      <c r="C35" s="18" t="inlineStr">
        <is>
          <t>Marathon Petroleum</t>
        </is>
      </c>
      <c r="D35" s="18" t="n">
        <v>3</v>
      </c>
      <c r="E35" s="18" t="inlineStr">
        <is>
          <t>TX</t>
        </is>
      </c>
      <c r="F35" s="18" t="inlineStr">
        <is>
          <t>Texas City</t>
        </is>
      </c>
      <c r="G35" s="19" t="n">
        <v>665</v>
      </c>
      <c r="H35" s="18" t="inlineStr">
        <is>
          <t>operating</t>
        </is>
      </c>
      <c r="I35" s="20" t="n">
        <v>0.221018</v>
      </c>
      <c r="J35" s="20" t="n">
        <v>0.588114</v>
      </c>
      <c r="K35" s="20" t="n">
        <v>0.017278</v>
      </c>
      <c r="L35" s="20" t="n">
        <v>0.09565</v>
      </c>
      <c r="M35" s="20" t="n">
        <v>-0.012318</v>
      </c>
      <c r="N35" s="20" t="n">
        <v>0.003629</v>
      </c>
      <c r="O35" s="20" t="n">
        <v>0.913371</v>
      </c>
    </row>
    <row r="36">
      <c r="A36" s="18" t="inlineStr">
        <is>
          <t>MOTIVA_PAR</t>
        </is>
      </c>
      <c r="B36" s="18" t="inlineStr">
        <is>
          <t>Motiva Port Arthur</t>
        </is>
      </c>
      <c r="C36" s="18" t="inlineStr">
        <is>
          <t>Saudi Aramco</t>
        </is>
      </c>
      <c r="D36" s="18" t="n">
        <v>3</v>
      </c>
      <c r="E36" s="18" t="inlineStr">
        <is>
          <t>TX</t>
        </is>
      </c>
      <c r="F36" s="18" t="inlineStr">
        <is>
          <t>Port Arthur</t>
        </is>
      </c>
      <c r="G36" s="19" t="n">
        <v>639.7</v>
      </c>
      <c r="H36" s="18" t="inlineStr">
        <is>
          <t>operating</t>
        </is>
      </c>
      <c r="I36" s="20" t="n">
        <v>0.271759</v>
      </c>
      <c r="J36" s="20" t="n">
        <v>0.398699</v>
      </c>
      <c r="K36" s="20" t="n">
        <v>0.003444</v>
      </c>
      <c r="L36" s="20" t="n">
        <v>0.115527</v>
      </c>
      <c r="M36" s="20" t="n">
        <v>0.017008</v>
      </c>
      <c r="N36" s="20" t="n">
        <v>0.000361</v>
      </c>
      <c r="O36" s="20" t="n">
        <v>0.806798</v>
      </c>
    </row>
    <row r="37">
      <c r="A37" s="18" t="inlineStr">
        <is>
          <t>EXXONMOBIL_BEAUMONT</t>
        </is>
      </c>
      <c r="B37" s="18" t="inlineStr">
        <is>
          <t>ExxonMobil Beaumont</t>
        </is>
      </c>
      <c r="C37" s="18" t="inlineStr">
        <is>
          <t>ExxonMobil</t>
        </is>
      </c>
      <c r="D37" s="18" t="n">
        <v>3</v>
      </c>
      <c r="E37" s="18" t="inlineStr">
        <is>
          <t>Texas</t>
        </is>
      </c>
      <c r="F37" s="18" t="inlineStr">
        <is>
          <t>Beaumont</t>
        </is>
      </c>
      <c r="G37" s="19" t="n">
        <v>634.4</v>
      </c>
      <c r="H37" s="18" t="inlineStr">
        <is>
          <t>operating</t>
        </is>
      </c>
      <c r="I37" s="20" t="n">
        <v>0.238924</v>
      </c>
      <c r="J37" s="20" t="n">
        <v>0.384458</v>
      </c>
      <c r="K37" s="20" t="n">
        <v>0.069187</v>
      </c>
      <c r="L37" s="20" t="n">
        <v>0.204725</v>
      </c>
      <c r="M37" s="20" t="n">
        <v>0.017905</v>
      </c>
      <c r="N37" s="20" t="n">
        <v>0.017309</v>
      </c>
      <c r="O37" s="20" t="n">
        <v>0.932508</v>
      </c>
    </row>
    <row r="38">
      <c r="A38" s="18" t="inlineStr">
        <is>
          <t>MARATHON_GARYVILLE</t>
        </is>
      </c>
      <c r="B38" s="18" t="inlineStr">
        <is>
          <t>Marathon Petroleum Garyville</t>
        </is>
      </c>
      <c r="C38" s="18" t="inlineStr">
        <is>
          <t>Marathon Petroleum</t>
        </is>
      </c>
      <c r="D38" s="18" t="n">
        <v>3</v>
      </c>
      <c r="E38" s="18" t="inlineStr">
        <is>
          <t>Louisiana</t>
        </is>
      </c>
      <c r="F38" s="18" t="inlineStr">
        <is>
          <t>Garyville</t>
        </is>
      </c>
      <c r="G38" s="19" t="n">
        <v>628</v>
      </c>
      <c r="H38" s="18" t="inlineStr">
        <is>
          <t>operating</t>
        </is>
      </c>
      <c r="I38" s="20" t="n">
        <v>0.458336</v>
      </c>
      <c r="J38" s="20" t="n">
        <v>0.491212</v>
      </c>
      <c r="K38" s="20" t="n">
        <v>0.003555</v>
      </c>
      <c r="L38" s="20" t="n">
        <v>0</v>
      </c>
      <c r="M38" s="20" t="n">
        <v>0.029851</v>
      </c>
      <c r="N38" s="20" t="n">
        <v>0.001977</v>
      </c>
      <c r="O38" s="20" t="n">
        <v>0.98493</v>
      </c>
    </row>
    <row r="39">
      <c r="A39" s="18" t="inlineStr">
        <is>
          <t>XOM_BAYTOWN</t>
        </is>
      </c>
      <c r="B39" s="18" t="inlineStr">
        <is>
          <t>ExxonMobil Baytown</t>
        </is>
      </c>
      <c r="C39" s="18" t="inlineStr">
        <is>
          <t>ExxonMobil</t>
        </is>
      </c>
      <c r="D39" s="18" t="n">
        <v>3</v>
      </c>
      <c r="E39" s="18" t="inlineStr">
        <is>
          <t>TX</t>
        </is>
      </c>
      <c r="F39" s="18" t="inlineStr">
        <is>
          <t>Baytown</t>
        </is>
      </c>
      <c r="G39" s="19" t="n">
        <v>580.2</v>
      </c>
      <c r="H39" s="18" t="inlineStr">
        <is>
          <t>operating</t>
        </is>
      </c>
      <c r="I39" s="20" t="n">
        <v>0.302334</v>
      </c>
      <c r="J39" s="20" t="n">
        <v>0.5320940000000001</v>
      </c>
      <c r="K39" s="20" t="n">
        <v>0.003543</v>
      </c>
      <c r="L39" s="20" t="n">
        <v>0.052782</v>
      </c>
      <c r="M39" s="20" t="n">
        <v>0.025773</v>
      </c>
      <c r="N39" s="20" t="n">
        <v>0.005712</v>
      </c>
      <c r="O39" s="20" t="n">
        <v>0.922239</v>
      </c>
    </row>
    <row r="40">
      <c r="A40" s="18" t="inlineStr">
        <is>
          <t>EXXONMOBIL_BATON_ROUGE</t>
        </is>
      </c>
      <c r="B40" s="18" t="inlineStr">
        <is>
          <t>ExxonMobil Baton Rouge</t>
        </is>
      </c>
      <c r="C40" s="18" t="inlineStr">
        <is>
          <t>ExxonMobil</t>
        </is>
      </c>
      <c r="D40" s="18" t="n">
        <v>3</v>
      </c>
      <c r="E40" s="18" t="inlineStr">
        <is>
          <t>Louisiana</t>
        </is>
      </c>
      <c r="F40" s="18" t="inlineStr">
        <is>
          <t>Baton Rouge</t>
        </is>
      </c>
      <c r="G40" s="19" t="n">
        <v>540.2</v>
      </c>
      <c r="H40" s="18" t="inlineStr">
        <is>
          <t>operating</t>
        </is>
      </c>
      <c r="I40" s="20" t="n">
        <v>0.2846</v>
      </c>
      <c r="J40" s="20" t="n">
        <v>0.568909</v>
      </c>
      <c r="K40" s="20" t="n">
        <v>0.00356</v>
      </c>
      <c r="L40" s="20" t="n">
        <v>0.108793</v>
      </c>
      <c r="M40" s="20" t="n">
        <v>0.026229</v>
      </c>
      <c r="N40" s="20" t="n">
        <v>0.009407</v>
      </c>
      <c r="O40" s="20" t="n">
        <v>1.001498</v>
      </c>
    </row>
    <row r="41">
      <c r="A41" s="18" t="inlineStr">
        <is>
          <t>CITGO_LAKE_CHARLES</t>
        </is>
      </c>
      <c r="B41" s="18" t="inlineStr">
        <is>
          <t>Citgo Lake Charles</t>
        </is>
      </c>
      <c r="C41" s="18" t="inlineStr">
        <is>
          <t>PDVSA</t>
        </is>
      </c>
      <c r="D41" s="18" t="n">
        <v>3</v>
      </c>
      <c r="E41" s="18" t="inlineStr">
        <is>
          <t>Louisiana</t>
        </is>
      </c>
      <c r="F41" s="18" t="inlineStr">
        <is>
          <t>Lake Charles</t>
        </is>
      </c>
      <c r="G41" s="19" t="n">
        <v>483</v>
      </c>
      <c r="H41" s="18" t="inlineStr">
        <is>
          <t>operating</t>
        </is>
      </c>
      <c r="I41" s="20" t="n">
        <v>0.222284</v>
      </c>
      <c r="J41" s="20" t="n">
        <v>0.476438</v>
      </c>
      <c r="K41" s="20" t="n">
        <v>0.003516</v>
      </c>
      <c r="L41" s="20" t="n">
        <v>0.221989</v>
      </c>
      <c r="M41" s="20" t="n">
        <v>0.023067</v>
      </c>
      <c r="N41" s="20" t="n">
        <v>0.006716</v>
      </c>
      <c r="O41" s="20" t="n">
        <v>0.9540099999999999</v>
      </c>
    </row>
    <row r="42">
      <c r="A42" s="18" t="inlineStr">
        <is>
          <t>VALERO_PORT_ARTHUR</t>
        </is>
      </c>
      <c r="B42" s="18" t="inlineStr">
        <is>
          <t>Valero Port Arthur</t>
        </is>
      </c>
      <c r="C42" s="18" t="inlineStr">
        <is>
          <t>Valero</t>
        </is>
      </c>
      <c r="D42" s="18" t="n">
        <v>3</v>
      </c>
      <c r="E42" s="18" t="inlineStr">
        <is>
          <t>Texas</t>
        </is>
      </c>
      <c r="F42" s="18" t="inlineStr">
        <is>
          <t>Port Arthur</t>
        </is>
      </c>
      <c r="G42" s="19" t="n">
        <v>435</v>
      </c>
      <c r="H42" s="18" t="inlineStr">
        <is>
          <t>operating</t>
        </is>
      </c>
      <c r="I42" s="20" t="n">
        <v>0.349707</v>
      </c>
      <c r="J42" s="20" t="n">
        <v>0.428718</v>
      </c>
      <c r="K42" s="20" t="n">
        <v>0.003681</v>
      </c>
      <c r="L42" s="20" t="n">
        <v>0.130599</v>
      </c>
      <c r="M42" s="20" t="n">
        <v>0.022231</v>
      </c>
      <c r="N42" s="20" t="n">
        <v>0.016109</v>
      </c>
      <c r="O42" s="20" t="n">
        <v>0.9510460000000001</v>
      </c>
    </row>
    <row r="43">
      <c r="A43" s="18" t="inlineStr">
        <is>
          <t>CHEVRON_PASCAGOULA</t>
        </is>
      </c>
      <c r="B43" s="18" t="inlineStr">
        <is>
          <t>Chevron Pascagoula</t>
        </is>
      </c>
      <c r="C43" s="18" t="inlineStr">
        <is>
          <t>Chevron</t>
        </is>
      </c>
      <c r="D43" s="18" t="n">
        <v>3</v>
      </c>
      <c r="E43" s="18" t="inlineStr">
        <is>
          <t>Mississippi</t>
        </is>
      </c>
      <c r="F43" s="18" t="inlineStr">
        <is>
          <t>Pascagoula</t>
        </is>
      </c>
      <c r="G43" s="19" t="n">
        <v>370</v>
      </c>
      <c r="H43" s="18" t="inlineStr">
        <is>
          <t>operating</t>
        </is>
      </c>
      <c r="I43" s="20" t="n">
        <v>0.287417</v>
      </c>
      <c r="J43" s="20" t="n">
        <v>0.418473</v>
      </c>
      <c r="K43" s="20" t="n">
        <v>0.003869</v>
      </c>
      <c r="L43" s="20" t="n">
        <v>0.185057</v>
      </c>
      <c r="M43" s="20" t="n">
        <v>0.025618</v>
      </c>
      <c r="N43" s="20" t="n">
        <v>0.029496</v>
      </c>
      <c r="O43" s="20" t="n">
        <v>0.9499299999999999</v>
      </c>
    </row>
    <row r="44">
      <c r="A44" s="18" t="inlineStr">
        <is>
          <t>PEMEX_DEER_PARK</t>
        </is>
      </c>
      <c r="B44" s="18" t="inlineStr">
        <is>
          <t>PEMEX Deer Park</t>
        </is>
      </c>
      <c r="C44" s="18" t="inlineStr">
        <is>
          <t>PEMEX</t>
        </is>
      </c>
      <c r="D44" s="18" t="n">
        <v>3</v>
      </c>
      <c r="E44" s="18" t="inlineStr">
        <is>
          <t>Texas</t>
        </is>
      </c>
      <c r="F44" s="18" t="inlineStr">
        <is>
          <t>Deer Park</t>
        </is>
      </c>
      <c r="G44" s="19" t="n">
        <v>340</v>
      </c>
      <c r="H44" s="18" t="inlineStr">
        <is>
          <t>operating</t>
        </is>
      </c>
      <c r="I44" s="20" t="n">
        <v>0.306532</v>
      </c>
      <c r="J44" s="20" t="n">
        <v>0.516228</v>
      </c>
      <c r="K44" s="20" t="n">
        <v>0.003653</v>
      </c>
      <c r="L44" s="20" t="n">
        <v>0.136363</v>
      </c>
      <c r="M44" s="20" t="n">
        <v>0.021048</v>
      </c>
      <c r="N44" s="20" t="n">
        <v>0.018313</v>
      </c>
      <c r="O44" s="20" t="n">
        <v>1.002137</v>
      </c>
    </row>
    <row r="45">
      <c r="A45" s="18" t="inlineStr">
        <is>
          <t>FLINT_CORPUS_CHRISTI</t>
        </is>
      </c>
      <c r="B45" s="18" t="inlineStr">
        <is>
          <t>Flint Hills Resources Corpus Christi</t>
        </is>
      </c>
      <c r="C45" s="18" t="inlineStr">
        <is>
          <t>Koch Industries</t>
        </is>
      </c>
      <c r="D45" s="18" t="n">
        <v>3</v>
      </c>
      <c r="E45" s="18" t="inlineStr">
        <is>
          <t>Texas</t>
        </is>
      </c>
      <c r="F45" s="18" t="inlineStr">
        <is>
          <t>Corpus Christi</t>
        </is>
      </c>
      <c r="G45" s="19" t="n">
        <v>330</v>
      </c>
      <c r="H45" s="18" t="inlineStr">
        <is>
          <t>operating</t>
        </is>
      </c>
      <c r="I45" s="20" t="n">
        <v>0.278743</v>
      </c>
      <c r="J45" s="20" t="n">
        <v>0.394957</v>
      </c>
      <c r="K45" s="20" t="n">
        <v>0.003838</v>
      </c>
      <c r="L45" s="20" t="n">
        <v>0.198456</v>
      </c>
      <c r="M45" s="20" t="n">
        <v>0.026986</v>
      </c>
      <c r="N45" s="20" t="n">
        <v>0.025336</v>
      </c>
      <c r="O45" s="20" t="n">
        <v>0.9283159999999999</v>
      </c>
    </row>
    <row r="46">
      <c r="A46" s="18" t="inlineStr">
        <is>
          <t>VALERO_CORPUS_CHRISTI</t>
        </is>
      </c>
      <c r="B46" s="18" t="inlineStr">
        <is>
          <t>Valero Corpus Christi</t>
        </is>
      </c>
      <c r="C46" s="18" t="inlineStr">
        <is>
          <t>Valero</t>
        </is>
      </c>
      <c r="D46" s="18" t="n">
        <v>3</v>
      </c>
      <c r="E46" s="18" t="inlineStr">
        <is>
          <t>Texas</t>
        </is>
      </c>
      <c r="F46" s="18" t="inlineStr">
        <is>
          <t>Corpus Christi</t>
        </is>
      </c>
      <c r="G46" s="19" t="n">
        <v>290</v>
      </c>
      <c r="H46" s="18" t="inlineStr">
        <is>
          <t>operating</t>
        </is>
      </c>
      <c r="I46" s="20" t="n">
        <v>0.263274</v>
      </c>
      <c r="J46" s="20" t="n">
        <v>0.575665</v>
      </c>
      <c r="K46" s="20" t="n">
        <v>0.001007</v>
      </c>
      <c r="L46" s="20" t="n">
        <v>0.143351</v>
      </c>
      <c r="M46" s="20" t="n">
        <v>0.001649</v>
      </c>
      <c r="N46" s="20" t="n">
        <v>0.007865</v>
      </c>
      <c r="O46" s="20" t="n">
        <v>0.992811</v>
      </c>
    </row>
    <row r="47">
      <c r="A47" s="18" t="inlineStr">
        <is>
          <t>PHILLIPS_WESTLAKE</t>
        </is>
      </c>
      <c r="B47" s="18" t="inlineStr">
        <is>
          <t>Phillips 66 Co. Westlake</t>
        </is>
      </c>
      <c r="C47" s="18" t="inlineStr">
        <is>
          <t>Phillips 66 Co.</t>
        </is>
      </c>
      <c r="D47" s="18" t="n">
        <v>3</v>
      </c>
      <c r="E47" s="18" t="inlineStr">
        <is>
          <t>Louisiana</t>
        </is>
      </c>
      <c r="F47" s="18" t="inlineStr">
        <is>
          <t>Westlake</t>
        </is>
      </c>
      <c r="G47" s="19" t="n">
        <v>281</v>
      </c>
      <c r="H47" s="18" t="inlineStr">
        <is>
          <t>operating</t>
        </is>
      </c>
      <c r="I47" s="20" t="n">
        <v>0.315462</v>
      </c>
      <c r="J47" s="20" t="n">
        <v>0.367467</v>
      </c>
      <c r="K47" s="20" t="n">
        <v>0.02545</v>
      </c>
      <c r="L47" s="20" t="n">
        <v>0.16352</v>
      </c>
      <c r="M47" s="20" t="n">
        <v>0.018966</v>
      </c>
      <c r="N47" s="20" t="n">
        <v>0.008149999999999999</v>
      </c>
      <c r="O47" s="20" t="n">
        <v>0.899015</v>
      </c>
    </row>
    <row r="48">
      <c r="A48" s="18" t="inlineStr">
        <is>
          <t>PHILLIPS_SWEENY</t>
        </is>
      </c>
      <c r="B48" s="18" t="inlineStr">
        <is>
          <t>Phillips 66 Co. Sweeny</t>
        </is>
      </c>
      <c r="C48" s="18" t="inlineStr">
        <is>
          <t>Phillips 66 Co.</t>
        </is>
      </c>
      <c r="D48" s="18" t="n">
        <v>3</v>
      </c>
      <c r="E48" s="18" t="inlineStr">
        <is>
          <t>Texas</t>
        </is>
      </c>
      <c r="F48" s="18" t="inlineStr">
        <is>
          <t>Sweeny</t>
        </is>
      </c>
      <c r="G48" s="19" t="n">
        <v>277.9</v>
      </c>
      <c r="H48" s="18" t="inlineStr">
        <is>
          <t>operating</t>
        </is>
      </c>
      <c r="I48" s="20" t="n">
        <v>0.364807</v>
      </c>
      <c r="J48" s="20" t="n">
        <v>0.515578</v>
      </c>
      <c r="K48" s="20" t="n">
        <v>0.00374</v>
      </c>
      <c r="L48" s="20" t="n">
        <v>0.063764</v>
      </c>
      <c r="M48" s="20" t="n">
        <v>0.033251</v>
      </c>
      <c r="N48" s="20" t="n">
        <v>0.017331</v>
      </c>
      <c r="O48" s="20" t="n">
        <v>0.99847</v>
      </c>
    </row>
    <row r="49">
      <c r="A49" s="18" t="inlineStr">
        <is>
          <t>VALERO_TEXAS_CITY</t>
        </is>
      </c>
      <c r="B49" s="18" t="inlineStr">
        <is>
          <t>Valero Texas City</t>
        </is>
      </c>
      <c r="C49" s="18" t="inlineStr">
        <is>
          <t>Valero</t>
        </is>
      </c>
      <c r="D49" s="18" t="n">
        <v>3</v>
      </c>
      <c r="E49" s="18" t="inlineStr">
        <is>
          <t>Texas</t>
        </is>
      </c>
      <c r="F49" s="18" t="inlineStr">
        <is>
          <t>Texas City</t>
        </is>
      </c>
      <c r="G49" s="19" t="n">
        <v>260</v>
      </c>
      <c r="H49" s="18" t="inlineStr">
        <is>
          <t>operating</t>
        </is>
      </c>
      <c r="I49" s="20" t="n">
        <v>0.40265</v>
      </c>
      <c r="J49" s="20" t="n">
        <v>0.446027</v>
      </c>
      <c r="K49" s="20" t="n">
        <v>0.003848</v>
      </c>
      <c r="L49" s="20" t="n">
        <v>0.057356</v>
      </c>
      <c r="M49" s="20" t="n">
        <v>0.028643</v>
      </c>
      <c r="N49" s="20" t="n">
        <v>0.024883</v>
      </c>
      <c r="O49" s="20" t="n">
        <v>0.963408</v>
      </c>
    </row>
    <row r="50">
      <c r="A50" s="18" t="inlineStr">
        <is>
          <t>SHELL_NORCO</t>
        </is>
      </c>
      <c r="B50" s="18" t="inlineStr">
        <is>
          <t>Shell Norco</t>
        </is>
      </c>
      <c r="C50" s="18" t="inlineStr">
        <is>
          <t>Shell</t>
        </is>
      </c>
      <c r="D50" s="18" t="n">
        <v>3</v>
      </c>
      <c r="E50" s="18" t="inlineStr">
        <is>
          <t>Louisiana</t>
        </is>
      </c>
      <c r="F50" s="18" t="inlineStr">
        <is>
          <t>Norco</t>
        </is>
      </c>
      <c r="G50" s="19" t="n">
        <v>250</v>
      </c>
      <c r="H50" s="18" t="inlineStr">
        <is>
          <t>operating</t>
        </is>
      </c>
      <c r="I50" s="20" t="n">
        <v>0.369059</v>
      </c>
      <c r="J50" s="20" t="n">
        <v>0.5950719999999999</v>
      </c>
      <c r="K50" s="20" t="n">
        <v>0.003113</v>
      </c>
      <c r="L50" s="20" t="n">
        <v>0.118014</v>
      </c>
      <c r="M50" s="20" t="n">
        <v>0.008717000000000001</v>
      </c>
      <c r="N50" s="20" t="n">
        <v>0.000902</v>
      </c>
      <c r="O50" s="20" t="n">
        <v>1.094877</v>
      </c>
    </row>
    <row r="51">
      <c r="A51" s="18" t="inlineStr">
        <is>
          <t>TOTAL_PORT_ARTHUR</t>
        </is>
      </c>
      <c r="B51" s="18" t="inlineStr">
        <is>
          <t>Total Port Arthur</t>
        </is>
      </c>
      <c r="C51" s="18" t="inlineStr">
        <is>
          <t>Total</t>
        </is>
      </c>
      <c r="D51" s="18" t="n">
        <v>3</v>
      </c>
      <c r="E51" s="18" t="inlineStr">
        <is>
          <t>Texas</t>
        </is>
      </c>
      <c r="F51" s="18" t="inlineStr">
        <is>
          <t>Port Arthur</t>
        </is>
      </c>
      <c r="G51" s="19" t="n">
        <v>238</v>
      </c>
      <c r="H51" s="18" t="inlineStr">
        <is>
          <t>operating</t>
        </is>
      </c>
      <c r="I51" s="20" t="n">
        <v>0.433829</v>
      </c>
      <c r="J51" s="20" t="n">
        <v>0.496059</v>
      </c>
      <c r="K51" s="20" t="n">
        <v>0.00364</v>
      </c>
      <c r="L51" s="20" t="n">
        <v>0.07234</v>
      </c>
      <c r="M51" s="20" t="n">
        <v>0.042162</v>
      </c>
      <c r="N51" s="20" t="n">
        <v>0.00464</v>
      </c>
      <c r="O51" s="20" t="n">
        <v>1.052668</v>
      </c>
    </row>
    <row r="52">
      <c r="A52" s="18" t="inlineStr">
        <is>
          <t>VALERO_SAINT_CHARLES</t>
        </is>
      </c>
      <c r="B52" s="18" t="inlineStr">
        <is>
          <t>Valero Saint Charles</t>
        </is>
      </c>
      <c r="C52" s="18" t="inlineStr">
        <is>
          <t>Valero</t>
        </is>
      </c>
      <c r="D52" s="18" t="n">
        <v>3</v>
      </c>
      <c r="E52" s="18" t="inlineStr">
        <is>
          <t>Louisiana</t>
        </is>
      </c>
      <c r="F52" s="18" t="inlineStr">
        <is>
          <t>Saint Charles</t>
        </is>
      </c>
      <c r="G52" s="19" t="n">
        <v>215</v>
      </c>
      <c r="H52" s="18" t="inlineStr">
        <is>
          <t>operating</t>
        </is>
      </c>
      <c r="I52" s="20" t="n">
        <v>0.615668</v>
      </c>
      <c r="J52" s="20" t="n">
        <v>1.298121</v>
      </c>
      <c r="K52" s="20" t="n">
        <v>0.00316</v>
      </c>
      <c r="L52" s="20" t="n">
        <v>0</v>
      </c>
      <c r="M52" s="20" t="n">
        <v>-0.024284</v>
      </c>
      <c r="N52" s="20" t="n">
        <v>0</v>
      </c>
      <c r="O52" s="20" t="n">
        <v>1.892666</v>
      </c>
    </row>
    <row r="53">
      <c r="A53" s="18" t="inlineStr">
        <is>
          <t>VALERO_HOUSTON</t>
        </is>
      </c>
      <c r="B53" s="18" t="inlineStr">
        <is>
          <t>Valero Houston</t>
        </is>
      </c>
      <c r="C53" s="18" t="inlineStr">
        <is>
          <t>Valero</t>
        </is>
      </c>
      <c r="D53" s="18" t="n">
        <v>3</v>
      </c>
      <c r="E53" s="18" t="inlineStr">
        <is>
          <t>Texas</t>
        </is>
      </c>
      <c r="F53" s="18" t="inlineStr">
        <is>
          <t>Houston</t>
        </is>
      </c>
      <c r="G53" s="19" t="n">
        <v>205</v>
      </c>
      <c r="H53" s="18" t="inlineStr">
        <is>
          <t>operating</t>
        </is>
      </c>
      <c r="I53" s="20" t="n">
        <v>0.301428</v>
      </c>
      <c r="J53" s="20" t="n">
        <v>0.412325</v>
      </c>
      <c r="K53" s="20" t="n">
        <v>0.042713</v>
      </c>
      <c r="L53" s="20" t="n">
        <v>0.145476</v>
      </c>
      <c r="M53" s="20" t="n">
        <v>-0.012555</v>
      </c>
      <c r="N53" s="20" t="n">
        <v>0.040042</v>
      </c>
      <c r="O53" s="20" t="n">
        <v>0.92943</v>
      </c>
    </row>
    <row r="54">
      <c r="A54" s="18" t="inlineStr">
        <is>
          <t>VALERO_SUNRAY</t>
        </is>
      </c>
      <c r="B54" s="18" t="inlineStr">
        <is>
          <t>Valero Sunray</t>
        </is>
      </c>
      <c r="C54" s="18" t="inlineStr">
        <is>
          <t>Valero</t>
        </is>
      </c>
      <c r="D54" s="18" t="n">
        <v>3</v>
      </c>
      <c r="E54" s="18" t="inlineStr">
        <is>
          <t>Texas</t>
        </is>
      </c>
      <c r="F54" s="18" t="inlineStr">
        <is>
          <t>Sunray</t>
        </is>
      </c>
      <c r="G54" s="19" t="n">
        <v>195</v>
      </c>
      <c r="H54" s="18" t="inlineStr">
        <is>
          <t>operating</t>
        </is>
      </c>
      <c r="I54" s="20" t="n">
        <v>0.301291</v>
      </c>
      <c r="J54" s="20" t="n">
        <v>0.590812</v>
      </c>
      <c r="K54" s="20" t="n">
        <v>0.001658</v>
      </c>
      <c r="L54" s="20" t="n">
        <v>0.059199</v>
      </c>
      <c r="M54" s="20" t="n">
        <v>0.008832</v>
      </c>
      <c r="N54" s="20" t="n">
        <v>0</v>
      </c>
      <c r="O54" s="20" t="n">
        <v>0.9617910000000001</v>
      </c>
    </row>
    <row r="55">
      <c r="A55" s="18" t="inlineStr">
        <is>
          <t>PBF_CHALMETTE</t>
        </is>
      </c>
      <c r="B55" s="18" t="inlineStr">
        <is>
          <t>PBF Energy Company LLC Chalmette</t>
        </is>
      </c>
      <c r="C55" s="18" t="inlineStr">
        <is>
          <t>PBF Energy Company LLC</t>
        </is>
      </c>
      <c r="D55" s="18" t="n">
        <v>3</v>
      </c>
      <c r="E55" s="18" t="inlineStr">
        <is>
          <t>Louisiana</t>
        </is>
      </c>
      <c r="F55" s="18" t="inlineStr">
        <is>
          <t>Chalmette</t>
        </is>
      </c>
      <c r="G55" s="19" t="n">
        <v>185</v>
      </c>
      <c r="H55" s="18" t="inlineStr">
        <is>
          <t>operating</t>
        </is>
      </c>
      <c r="I55" s="20" t="n">
        <v>0.37363</v>
      </c>
      <c r="J55" s="20" t="n">
        <v>0.598032</v>
      </c>
      <c r="K55" s="20" t="n">
        <v>0.019126</v>
      </c>
      <c r="L55" s="20" t="n">
        <v>0</v>
      </c>
      <c r="M55" s="20" t="n">
        <v>0.019554</v>
      </c>
      <c r="N55" s="20" t="n">
        <v>0</v>
      </c>
      <c r="O55" s="20" t="n">
        <v>1.010341</v>
      </c>
    </row>
    <row r="56">
      <c r="A56" s="18" t="inlineStr">
        <is>
          <t>CITGO_CORPUS_CHRISTI</t>
        </is>
      </c>
      <c r="B56" s="18" t="inlineStr">
        <is>
          <t>Citgo Corpus Christi</t>
        </is>
      </c>
      <c r="C56" s="18" t="inlineStr">
        <is>
          <t>PDVSA</t>
        </is>
      </c>
      <c r="D56" s="18" t="n">
        <v>3</v>
      </c>
      <c r="E56" s="18" t="inlineStr">
        <is>
          <t>Texas</t>
        </is>
      </c>
      <c r="F56" s="18" t="inlineStr">
        <is>
          <t>Corpus Christi</t>
        </is>
      </c>
      <c r="G56" s="19" t="n">
        <v>175.5</v>
      </c>
      <c r="H56" s="18" t="inlineStr">
        <is>
          <t>operating</t>
        </is>
      </c>
      <c r="I56" s="20" t="n">
        <v>0.422158</v>
      </c>
      <c r="J56" s="20" t="n">
        <v>0.545632</v>
      </c>
      <c r="K56" s="20" t="n">
        <v>0.003574</v>
      </c>
      <c r="L56" s="20" t="n">
        <v>0</v>
      </c>
      <c r="M56" s="20" t="n">
        <v>0.020524</v>
      </c>
      <c r="N56" s="20" t="n">
        <v>0.01035</v>
      </c>
      <c r="O56" s="20" t="n">
        <v>1.002238</v>
      </c>
    </row>
    <row r="57">
      <c r="A57" s="18" t="inlineStr">
        <is>
          <t>WRB_BORGER</t>
        </is>
      </c>
      <c r="B57" s="18" t="inlineStr">
        <is>
          <t>WRB Refining Borger</t>
        </is>
      </c>
      <c r="C57" s="18" t="inlineStr">
        <is>
          <t>Cenovus (50%) / Phillips 66 Co. (50%)</t>
        </is>
      </c>
      <c r="D57" s="18" t="n">
        <v>3</v>
      </c>
      <c r="E57" s="18" t="inlineStr">
        <is>
          <t>Texas</t>
        </is>
      </c>
      <c r="F57" s="18" t="inlineStr">
        <is>
          <t>Borger</t>
        </is>
      </c>
      <c r="G57" s="19" t="n">
        <v>154</v>
      </c>
      <c r="H57" s="18" t="inlineStr">
        <is>
          <t>operating</t>
        </is>
      </c>
      <c r="I57" s="20" t="n">
        <v>0.162333</v>
      </c>
      <c r="J57" s="20" t="n">
        <v>0.270181</v>
      </c>
      <c r="K57" s="20" t="n">
        <v>0.020806</v>
      </c>
      <c r="L57" s="20" t="n">
        <v>0.032517</v>
      </c>
      <c r="M57" s="20" t="n">
        <v>-0.0008140000000000001</v>
      </c>
      <c r="N57" s="20" t="n">
        <v>0.001021</v>
      </c>
      <c r="O57" s="20" t="n">
        <v>0.486044</v>
      </c>
    </row>
    <row r="58">
      <c r="A58" s="18" t="inlineStr">
        <is>
          <t>MARATHON_EL_PASO</t>
        </is>
      </c>
      <c r="B58" s="18" t="inlineStr">
        <is>
          <t>Marathon Petroleum El Paso</t>
        </is>
      </c>
      <c r="C58" s="18" t="inlineStr">
        <is>
          <t>Marathon Petroleum</t>
        </is>
      </c>
      <c r="D58" s="18" t="n">
        <v>3</v>
      </c>
      <c r="E58" s="18" t="inlineStr">
        <is>
          <t>Texas</t>
        </is>
      </c>
      <c r="F58" s="18" t="inlineStr">
        <is>
          <t>El Paso</t>
        </is>
      </c>
      <c r="G58" s="19" t="n">
        <v>133</v>
      </c>
      <c r="H58" s="18" t="inlineStr">
        <is>
          <t>operating</t>
        </is>
      </c>
      <c r="I58" s="20" t="n">
        <v>0.205383</v>
      </c>
      <c r="J58" s="20" t="n">
        <v>0.469657</v>
      </c>
      <c r="K58" s="20" t="n">
        <v>0.056662</v>
      </c>
      <c r="L58" s="20" t="n">
        <v>0.186622</v>
      </c>
      <c r="M58" s="20" t="n">
        <v>-0.006245000000000001</v>
      </c>
      <c r="N58" s="20" t="n">
        <v>0.004522</v>
      </c>
      <c r="O58" s="20" t="n">
        <v>0.916601</v>
      </c>
    </row>
    <row r="59">
      <c r="A59" s="18" t="inlineStr">
        <is>
          <t>CHEVRON_PASADENA</t>
        </is>
      </c>
      <c r="B59" s="18" t="inlineStr">
        <is>
          <t>Chevron Pasadena</t>
        </is>
      </c>
      <c r="C59" s="18" t="inlineStr">
        <is>
          <t>Chevron</t>
        </is>
      </c>
      <c r="D59" s="18" t="n">
        <v>3</v>
      </c>
      <c r="E59" s="18" t="inlineStr">
        <is>
          <t>Texas</t>
        </is>
      </c>
      <c r="F59" s="18" t="inlineStr">
        <is>
          <t>Pasadena</t>
        </is>
      </c>
      <c r="G59" s="19" t="n">
        <v>125</v>
      </c>
      <c r="H59" s="18" t="inlineStr">
        <is>
          <t>operating</t>
        </is>
      </c>
      <c r="I59" s="20" t="n">
        <v>0.395379</v>
      </c>
      <c r="J59" s="20" t="n">
        <v>0.497175</v>
      </c>
      <c r="K59" s="20" t="n">
        <v>0.003382</v>
      </c>
      <c r="L59" s="20" t="n">
        <v>0</v>
      </c>
      <c r="M59" s="20" t="n">
        <v>0.002623</v>
      </c>
      <c r="N59" s="20" t="n">
        <v>0.003667</v>
      </c>
      <c r="O59" s="20" t="n">
        <v>0.902226</v>
      </c>
    </row>
    <row r="60">
      <c r="A60" s="18" t="inlineStr">
        <is>
          <t>VALERO_MERAUX</t>
        </is>
      </c>
      <c r="B60" s="18" t="inlineStr">
        <is>
          <t>Valero Meraux</t>
        </is>
      </c>
      <c r="C60" s="18" t="inlineStr">
        <is>
          <t>Valero</t>
        </is>
      </c>
      <c r="D60" s="18" t="n">
        <v>3</v>
      </c>
      <c r="E60" s="18" t="inlineStr">
        <is>
          <t>Louisiana</t>
        </is>
      </c>
      <c r="F60" s="18" t="inlineStr">
        <is>
          <t>Meraux</t>
        </is>
      </c>
      <c r="G60" s="19" t="n">
        <v>125</v>
      </c>
      <c r="H60" s="18" t="inlineStr">
        <is>
          <t>operating</t>
        </is>
      </c>
      <c r="I60" s="20" t="n">
        <v>0.406057</v>
      </c>
      <c r="J60" s="20" t="n">
        <v>0.343784</v>
      </c>
      <c r="K60" s="20" t="n">
        <v>0.075484</v>
      </c>
      <c r="L60" s="20" t="n">
        <v>0.131051</v>
      </c>
      <c r="M60" s="20" t="n">
        <v>0.013595</v>
      </c>
      <c r="N60" s="20" t="n">
        <v>0</v>
      </c>
      <c r="O60" s="20" t="n">
        <v>0.9699720000000001</v>
      </c>
    </row>
    <row r="61">
      <c r="A61" s="18" t="inlineStr">
        <is>
          <t>KINDER_HOUSTON</t>
        </is>
      </c>
      <c r="B61" s="18" t="inlineStr">
        <is>
          <t>Kinder Morgan Houston</t>
        </is>
      </c>
      <c r="C61" s="18" t="inlineStr">
        <is>
          <t>Kinder Morgan</t>
        </is>
      </c>
      <c r="D61" s="18" t="n">
        <v>3</v>
      </c>
      <c r="E61" s="18" t="inlineStr">
        <is>
          <t>Texas</t>
        </is>
      </c>
      <c r="F61" s="18" t="inlineStr">
        <is>
          <t>Houston</t>
        </is>
      </c>
      <c r="G61" s="19" t="n">
        <v>121</v>
      </c>
      <c r="H61" s="18" t="inlineStr">
        <is>
          <t>operating</t>
        </is>
      </c>
      <c r="I61" s="20" t="n">
        <v>0.257837</v>
      </c>
      <c r="J61" s="20" t="n">
        <v>0.471439</v>
      </c>
      <c r="K61" s="20" t="n">
        <v>0.010564</v>
      </c>
      <c r="L61" s="20" t="n">
        <v>0.149315</v>
      </c>
      <c r="M61" s="20" t="n">
        <v>0.009444000000000001</v>
      </c>
      <c r="N61" s="20" t="n">
        <v>0.010428</v>
      </c>
      <c r="O61" s="20" t="n">
        <v>0.9090250000000001</v>
      </c>
    </row>
    <row r="62">
      <c r="A62" s="18" t="inlineStr">
        <is>
          <t>CALCASIEU_LAKE_CHARLES</t>
        </is>
      </c>
      <c r="B62" s="18" t="inlineStr">
        <is>
          <t>Calcasieu Refining Co. Lake Charles</t>
        </is>
      </c>
      <c r="C62" s="18" t="inlineStr">
        <is>
          <t>TransWorld Oil</t>
        </is>
      </c>
      <c r="D62" s="18" t="n">
        <v>3</v>
      </c>
      <c r="E62" s="18" t="inlineStr">
        <is>
          <t>Louisiana</t>
        </is>
      </c>
      <c r="F62" s="18" t="inlineStr">
        <is>
          <t>Lake Charles</t>
        </is>
      </c>
      <c r="G62" s="19" t="n">
        <v>105</v>
      </c>
      <c r="H62" s="18" t="inlineStr">
        <is>
          <t>operating</t>
        </is>
      </c>
      <c r="I62" s="20" t="n">
        <v>0.311396</v>
      </c>
      <c r="J62" s="20" t="n">
        <v>0.121784</v>
      </c>
      <c r="K62" s="20" t="n">
        <v>0.170369</v>
      </c>
      <c r="L62" s="20" t="n">
        <v>0.294263</v>
      </c>
      <c r="M62" s="20" t="n">
        <v>0.012351</v>
      </c>
      <c r="N62" s="20" t="n">
        <v>0.088491</v>
      </c>
      <c r="O62" s="20" t="n">
        <v>0.9986539999999999</v>
      </c>
    </row>
    <row r="63">
      <c r="A63" s="18" t="inlineStr">
        <is>
          <t>HF_ARTESIA</t>
        </is>
      </c>
      <c r="B63" s="18" t="inlineStr">
        <is>
          <t>HF Sinclair Artesia</t>
        </is>
      </c>
      <c r="C63" s="18" t="inlineStr">
        <is>
          <t>HF Sinclair</t>
        </is>
      </c>
      <c r="D63" s="18" t="n">
        <v>3</v>
      </c>
      <c r="E63" s="18" t="inlineStr">
        <is>
          <t>New Mexico</t>
        </is>
      </c>
      <c r="F63" s="18" t="inlineStr">
        <is>
          <t>Artesia</t>
        </is>
      </c>
      <c r="G63" s="19" t="n">
        <v>100</v>
      </c>
      <c r="H63" s="18" t="inlineStr">
        <is>
          <t>operating</t>
        </is>
      </c>
      <c r="I63" s="20" t="n">
        <v>0.38747</v>
      </c>
      <c r="J63" s="20" t="n">
        <v>0.537395</v>
      </c>
      <c r="K63" s="20" t="n">
        <v>0.022453</v>
      </c>
      <c r="L63" s="20" t="n">
        <v>0</v>
      </c>
      <c r="M63" s="20" t="n">
        <v>0.009494000000000001</v>
      </c>
      <c r="N63" s="20" t="n">
        <v>0.010624</v>
      </c>
      <c r="O63" s="20" t="n">
        <v>0.967436</v>
      </c>
    </row>
    <row r="64">
      <c r="A64" s="18" t="inlineStr">
        <is>
          <t>VALERO_THREE_RIVERS</t>
        </is>
      </c>
      <c r="B64" s="18" t="inlineStr">
        <is>
          <t>Valero Three Rivers</t>
        </is>
      </c>
      <c r="C64" s="18" t="inlineStr">
        <is>
          <t>Valero</t>
        </is>
      </c>
      <c r="D64" s="18" t="n">
        <v>3</v>
      </c>
      <c r="E64" s="18" t="inlineStr">
        <is>
          <t>Texas</t>
        </is>
      </c>
      <c r="F64" s="18" t="inlineStr">
        <is>
          <t>Three Rivers</t>
        </is>
      </c>
      <c r="G64" s="19" t="n">
        <v>97.5</v>
      </c>
      <c r="H64" s="18" t="inlineStr">
        <is>
          <t>operating</t>
        </is>
      </c>
      <c r="I64" s="20" t="n">
        <v>0.376837</v>
      </c>
      <c r="J64" s="20" t="n">
        <v>0.556462</v>
      </c>
      <c r="K64" s="20" t="n">
        <v>0.002712</v>
      </c>
      <c r="L64" s="20" t="n">
        <v>0.07276099999999999</v>
      </c>
      <c r="M64" s="20" t="n">
        <v>0.009213000000000001</v>
      </c>
      <c r="N64" s="20" t="n">
        <v>0.003392</v>
      </c>
      <c r="O64" s="20" t="n">
        <v>1.021378</v>
      </c>
    </row>
    <row r="65">
      <c r="A65" s="18" t="inlineStr">
        <is>
          <t>VERTEX_MOBILE</t>
        </is>
      </c>
      <c r="B65" s="18" t="inlineStr">
        <is>
          <t>Vertex Energy Inc. Mobile</t>
        </is>
      </c>
      <c r="C65" s="18" t="inlineStr">
        <is>
          <t>Vertex Energy Inc.</t>
        </is>
      </c>
      <c r="D65" s="18" t="n">
        <v>3</v>
      </c>
      <c r="E65" s="18" t="inlineStr">
        <is>
          <t>Alabama</t>
        </is>
      </c>
      <c r="F65" s="18" t="inlineStr">
        <is>
          <t>Mobile</t>
        </is>
      </c>
      <c r="G65" s="19" t="n">
        <v>91.2</v>
      </c>
      <c r="H65" s="18" t="inlineStr">
        <is>
          <t>operating</t>
        </is>
      </c>
      <c r="I65" s="20" t="n">
        <v>0.177058</v>
      </c>
      <c r="J65" s="20" t="n">
        <v>0.439033</v>
      </c>
      <c r="K65" s="20" t="n">
        <v>0.153936</v>
      </c>
      <c r="L65" s="20" t="n">
        <v>0.230735</v>
      </c>
      <c r="M65" s="20" t="n">
        <v>0.006176</v>
      </c>
      <c r="N65" s="20" t="n">
        <v>0</v>
      </c>
      <c r="O65" s="20" t="n">
        <v>1.006939</v>
      </c>
    </row>
    <row r="66">
      <c r="A66" s="18" t="inlineStr">
        <is>
          <t>DELEK_EL_DORADO_AR</t>
        </is>
      </c>
      <c r="B66" s="18" t="inlineStr">
        <is>
          <t>Delek Group El Dorado (AR)</t>
        </is>
      </c>
      <c r="C66" s="18" t="inlineStr">
        <is>
          <t>Delek Group</t>
        </is>
      </c>
      <c r="D66" s="18" t="n">
        <v>3</v>
      </c>
      <c r="E66" s="18" t="inlineStr">
        <is>
          <t>Arkansas</t>
        </is>
      </c>
      <c r="F66" s="18" t="inlineStr">
        <is>
          <t>El Dorado (AR)</t>
        </is>
      </c>
      <c r="G66" s="19" t="n">
        <v>80</v>
      </c>
      <c r="H66" s="18" t="inlineStr">
        <is>
          <t>operating</t>
        </is>
      </c>
      <c r="I66" s="20" t="n">
        <v>0.4034</v>
      </c>
      <c r="J66" s="20" t="n">
        <v>0.475627</v>
      </c>
      <c r="K66" s="20" t="n">
        <v>0.007422</v>
      </c>
      <c r="L66" s="20" t="n">
        <v>0.013435</v>
      </c>
      <c r="M66" s="20" t="n">
        <v>0.007036</v>
      </c>
      <c r="N66" s="20" t="n">
        <v>0.008023000000000001</v>
      </c>
      <c r="O66" s="20" t="n">
        <v>0.914942</v>
      </c>
    </row>
    <row r="67">
      <c r="A67" s="18" t="inlineStr">
        <is>
          <t>BASF_PORT_ARTHUR</t>
        </is>
      </c>
      <c r="B67" s="18" t="inlineStr">
        <is>
          <t>BASF FINA Petrochemicals Port Arthur</t>
        </is>
      </c>
      <c r="C67" s="18" t="inlineStr">
        <is>
          <t>BASF (60%) / Total (40%)</t>
        </is>
      </c>
      <c r="D67" s="18" t="n">
        <v>3</v>
      </c>
      <c r="E67" s="18" t="inlineStr">
        <is>
          <t>Texas</t>
        </is>
      </c>
      <c r="F67" s="18" t="inlineStr">
        <is>
          <t>Port Arthur</t>
        </is>
      </c>
      <c r="G67" s="19" t="n">
        <v>75</v>
      </c>
      <c r="H67" s="18" t="inlineStr">
        <is>
          <t>operating</t>
        </is>
      </c>
      <c r="I67" s="20" t="n">
        <v>0.142189</v>
      </c>
      <c r="J67" s="20" t="n">
        <v>0.07367600000000001</v>
      </c>
      <c r="K67" s="20" t="n">
        <v>0.01051</v>
      </c>
      <c r="L67" s="20" t="n">
        <v>0.141698</v>
      </c>
      <c r="M67" s="20" t="n">
        <v>0.009918</v>
      </c>
      <c r="N67" s="20" t="n">
        <v>0.194225</v>
      </c>
      <c r="O67" s="20" t="n">
        <v>0.572215</v>
      </c>
    </row>
    <row r="68">
      <c r="A68" s="18" t="inlineStr">
        <is>
          <t>DELEK_TYLER</t>
        </is>
      </c>
      <c r="B68" s="18" t="inlineStr">
        <is>
          <t>Delek Refining Ltd. Tyler</t>
        </is>
      </c>
      <c r="C68" s="18" t="inlineStr">
        <is>
          <t>Delek Group</t>
        </is>
      </c>
      <c r="D68" s="18" t="n">
        <v>3</v>
      </c>
      <c r="E68" s="18" t="inlineStr">
        <is>
          <t>Texas</t>
        </is>
      </c>
      <c r="F68" s="18" t="inlineStr">
        <is>
          <t>Tyler</t>
        </is>
      </c>
      <c r="G68" s="19" t="n">
        <v>75</v>
      </c>
      <c r="H68" s="18" t="inlineStr">
        <is>
          <t>operating</t>
        </is>
      </c>
      <c r="I68" s="20" t="n">
        <v>0.386015</v>
      </c>
      <c r="J68" s="20" t="n">
        <v>0.423062</v>
      </c>
      <c r="K68" s="20" t="n">
        <v>0.029762</v>
      </c>
      <c r="L68" s="20" t="n">
        <v>0.07327600000000001</v>
      </c>
      <c r="M68" s="20" t="n">
        <v>0.002922</v>
      </c>
      <c r="N68" s="20" t="n">
        <v>0.001145</v>
      </c>
      <c r="O68" s="20" t="n">
        <v>0.91618</v>
      </c>
    </row>
    <row r="69">
      <c r="A69" s="18" t="inlineStr">
        <is>
          <t>PLACID_PORT_ALLEN</t>
        </is>
      </c>
      <c r="B69" s="18" t="inlineStr">
        <is>
          <t>Placid Refining Port Allen</t>
        </is>
      </c>
      <c r="C69" s="18" t="inlineStr">
        <is>
          <t>Placid Refining</t>
        </is>
      </c>
      <c r="D69" s="18" t="n">
        <v>3</v>
      </c>
      <c r="E69" s="18" t="inlineStr">
        <is>
          <t>Louisiana</t>
        </is>
      </c>
      <c r="F69" s="18" t="inlineStr">
        <is>
          <t>Port Allen</t>
        </is>
      </c>
      <c r="G69" s="19" t="n">
        <v>75</v>
      </c>
      <c r="H69" s="18" t="inlineStr">
        <is>
          <t>operating</t>
        </is>
      </c>
      <c r="I69" s="20" t="n">
        <v>0.268586</v>
      </c>
      <c r="J69" s="20" t="n">
        <v>0.444066</v>
      </c>
      <c r="K69" s="20" t="n">
        <v>0.037123</v>
      </c>
      <c r="L69" s="20" t="n">
        <v>0.17464</v>
      </c>
      <c r="M69" s="20" t="n">
        <v>0.015311</v>
      </c>
      <c r="N69" s="20" t="n">
        <v>0</v>
      </c>
      <c r="O69" s="20" t="n">
        <v>0.939727</v>
      </c>
    </row>
    <row r="70">
      <c r="A70" s="18" t="inlineStr">
        <is>
          <t>DELEK_KROTZ_SPRINGS</t>
        </is>
      </c>
      <c r="B70" s="18" t="inlineStr">
        <is>
          <t>Delek Group Krotz Springs</t>
        </is>
      </c>
      <c r="C70" s="18" t="inlineStr">
        <is>
          <t>Delek Group</t>
        </is>
      </c>
      <c r="D70" s="18" t="n">
        <v>3</v>
      </c>
      <c r="E70" s="18" t="inlineStr">
        <is>
          <t>Louisiana</t>
        </is>
      </c>
      <c r="F70" s="18" t="inlineStr">
        <is>
          <t>Krotz Springs</t>
        </is>
      </c>
      <c r="G70" s="19" t="n">
        <v>74</v>
      </c>
      <c r="H70" s="18" t="inlineStr">
        <is>
          <t>operating</t>
        </is>
      </c>
      <c r="I70" s="20" t="n">
        <v>0.213711</v>
      </c>
      <c r="J70" s="20" t="n">
        <v>0.510205</v>
      </c>
      <c r="K70" s="20" t="n">
        <v>0.003372</v>
      </c>
      <c r="L70" s="20" t="n">
        <v>0.22578</v>
      </c>
      <c r="M70" s="20" t="n">
        <v>0.000295</v>
      </c>
      <c r="N70" s="20" t="n">
        <v>0.008662</v>
      </c>
      <c r="O70" s="20" t="n">
        <v>0.962025</v>
      </c>
    </row>
    <row r="71">
      <c r="A71" s="18" t="inlineStr">
        <is>
          <t>ALON_BIG_SPRINGS</t>
        </is>
      </c>
      <c r="B71" s="18" t="inlineStr">
        <is>
          <t>Alon Big Springs</t>
        </is>
      </c>
      <c r="C71" s="18" t="inlineStr">
        <is>
          <t>Delek Group</t>
        </is>
      </c>
      <c r="D71" s="18" t="n">
        <v>3</v>
      </c>
      <c r="E71" s="18" t="inlineStr">
        <is>
          <t>Texas</t>
        </is>
      </c>
      <c r="F71" s="18" t="inlineStr">
        <is>
          <t>Big Springs</t>
        </is>
      </c>
      <c r="G71" s="19" t="n">
        <v>73</v>
      </c>
      <c r="H71" s="18" t="inlineStr">
        <is>
          <t>operating</t>
        </is>
      </c>
      <c r="I71" s="20" t="n">
        <v>0.276801</v>
      </c>
      <c r="J71" s="20" t="n">
        <v>0.561952</v>
      </c>
      <c r="K71" s="20" t="n">
        <v>0.003322</v>
      </c>
      <c r="L71" s="20" t="n">
        <v>0.11696</v>
      </c>
      <c r="M71" s="20" t="n">
        <v>0.008336</v>
      </c>
      <c r="N71" s="20" t="n">
        <v>0</v>
      </c>
      <c r="O71" s="20" t="n">
        <v>0.967371</v>
      </c>
    </row>
    <row r="72">
      <c r="A72" s="18" t="inlineStr">
        <is>
          <t>BUCKEYE_CORPUS_CHRISTI</t>
        </is>
      </c>
      <c r="B72" s="18" t="inlineStr">
        <is>
          <t>Buckeye Partners Corpus Christi</t>
        </is>
      </c>
      <c r="C72" s="18" t="inlineStr">
        <is>
          <t>Buckeye Partners (80%) / Trafigura (20%)</t>
        </is>
      </c>
      <c r="D72" s="18" t="n">
        <v>3</v>
      </c>
      <c r="E72" s="18" t="inlineStr">
        <is>
          <t>Texas</t>
        </is>
      </c>
      <c r="F72" s="18" t="inlineStr">
        <is>
          <t>Corpus Christi</t>
        </is>
      </c>
      <c r="G72" s="19" t="n">
        <v>65</v>
      </c>
      <c r="H72" s="18" t="inlineStr">
        <is>
          <t>operating</t>
        </is>
      </c>
      <c r="I72" s="20" t="n">
        <v>0.209113</v>
      </c>
      <c r="J72" s="20" t="n">
        <v>0.369389</v>
      </c>
      <c r="K72" s="20" t="n">
        <v>0.008895999999999999</v>
      </c>
      <c r="L72" s="20" t="n">
        <v>0.12579</v>
      </c>
      <c r="M72" s="20" t="n">
        <v>0.005306</v>
      </c>
      <c r="N72" s="20" t="n">
        <v>0.007039999999999999</v>
      </c>
      <c r="O72" s="20" t="n">
        <v>0.725534</v>
      </c>
    </row>
    <row r="73">
      <c r="A73" s="18" t="inlineStr">
        <is>
          <t>CALUMET_SHREVEPORT</t>
        </is>
      </c>
      <c r="B73" s="18" t="inlineStr">
        <is>
          <t>Calumet Lubricants Co. Shreveport</t>
        </is>
      </c>
      <c r="C73" s="18" t="inlineStr">
        <is>
          <t>Calumet Lubricants Co.</t>
        </is>
      </c>
      <c r="D73" s="18" t="n">
        <v>3</v>
      </c>
      <c r="E73" s="18" t="inlineStr">
        <is>
          <t>Louisiana</t>
        </is>
      </c>
      <c r="F73" s="18" t="inlineStr">
        <is>
          <t>Shreveport</t>
        </is>
      </c>
      <c r="G73" s="19" t="n">
        <v>57</v>
      </c>
      <c r="H73" s="18" t="inlineStr">
        <is>
          <t>operating</t>
        </is>
      </c>
      <c r="I73" s="20" t="n">
        <v>0.29839</v>
      </c>
      <c r="J73" s="20" t="n">
        <v>0.294843</v>
      </c>
      <c r="K73" s="20" t="n">
        <v>0</v>
      </c>
      <c r="L73" s="20" t="n">
        <v>0.030803</v>
      </c>
      <c r="M73" s="20" t="n">
        <v>-0.002215</v>
      </c>
      <c r="N73" s="20" t="n">
        <v>0</v>
      </c>
      <c r="O73" s="20" t="n">
        <v>0.621823</v>
      </c>
    </row>
    <row r="74">
      <c r="A74" s="18" t="inlineStr">
        <is>
          <t>MARATHON_TEXAS_CITY_GALVESTON_BAY</t>
        </is>
      </c>
      <c r="B74" s="18" t="inlineStr">
        <is>
          <t>Marathon Petroleum Texas City (Galveston Bay)</t>
        </is>
      </c>
      <c r="C74" s="18" t="inlineStr">
        <is>
          <t>Marathon Petroleum</t>
        </is>
      </c>
      <c r="D74" s="18" t="n">
        <v>3</v>
      </c>
      <c r="E74" s="18" t="inlineStr">
        <is>
          <t>Texas</t>
        </is>
      </c>
      <c r="F74" s="18" t="inlineStr">
        <is>
          <t>Texas City (Galveston Bay)</t>
        </is>
      </c>
      <c r="G74" s="19" t="n">
        <v>50</v>
      </c>
      <c r="H74" s="18" t="inlineStr">
        <is>
          <t>operating</t>
        </is>
      </c>
      <c r="I74" s="20" t="n">
        <v>0.462257</v>
      </c>
      <c r="J74" s="20" t="n">
        <v>0.400925</v>
      </c>
      <c r="K74" s="20" t="n">
        <v>0.028332</v>
      </c>
      <c r="L74" s="20" t="n">
        <v>0.032129</v>
      </c>
      <c r="M74" s="20" t="n">
        <v>0.015216</v>
      </c>
      <c r="N74" s="20" t="n">
        <v>0.04196399999999999</v>
      </c>
      <c r="O74" s="20" t="n">
        <v>0.980822</v>
      </c>
    </row>
    <row r="75">
      <c r="A75" s="18" t="inlineStr">
        <is>
          <t>HUNT_TUSCALOOSA</t>
        </is>
      </c>
      <c r="B75" s="18" t="inlineStr">
        <is>
          <t>Hunt Refining Consolidated Tuscaloosa</t>
        </is>
      </c>
      <c r="C75" s="18" t="inlineStr">
        <is>
          <t>Hunt Refining Consolidated</t>
        </is>
      </c>
      <c r="D75" s="18" t="n">
        <v>3</v>
      </c>
      <c r="E75" s="18" t="inlineStr">
        <is>
          <t>Alabama</t>
        </is>
      </c>
      <c r="F75" s="18" t="inlineStr">
        <is>
          <t>Tuscaloosa</t>
        </is>
      </c>
      <c r="G75" s="19" t="n">
        <v>40</v>
      </c>
      <c r="H75" s="18" t="inlineStr">
        <is>
          <t>operating</t>
        </is>
      </c>
      <c r="I75" s="20" t="n">
        <v>0.434917</v>
      </c>
      <c r="J75" s="20" t="n">
        <v>0.345385</v>
      </c>
      <c r="K75" s="20" t="n">
        <v>0.003574</v>
      </c>
      <c r="L75" s="20" t="n">
        <v>0.036317</v>
      </c>
      <c r="M75" s="20" t="n">
        <v>0.02139</v>
      </c>
      <c r="N75" s="20" t="n">
        <v>0.00308</v>
      </c>
      <c r="O75" s="20" t="n">
        <v>0.8446630000000001</v>
      </c>
    </row>
    <row r="76">
      <c r="A76" s="18" t="inlineStr">
        <is>
          <t>ERGON_VICKSBURG</t>
        </is>
      </c>
      <c r="B76" s="18" t="inlineStr">
        <is>
          <t>Ergon Vicksburg</t>
        </is>
      </c>
      <c r="C76" s="18" t="inlineStr">
        <is>
          <t>Ergon</t>
        </is>
      </c>
      <c r="D76" s="18" t="n">
        <v>3</v>
      </c>
      <c r="E76" s="18" t="inlineStr">
        <is>
          <t>Mississippi</t>
        </is>
      </c>
      <c r="F76" s="18" t="inlineStr">
        <is>
          <t>Vicksburg</t>
        </is>
      </c>
      <c r="G76" s="19" t="n">
        <v>27.3</v>
      </c>
      <c r="H76" s="18" t="inlineStr">
        <is>
          <t>operating</t>
        </is>
      </c>
      <c r="I76" s="20" t="n">
        <v>0.17077</v>
      </c>
      <c r="J76" s="20" t="n">
        <v>0.070315</v>
      </c>
      <c r="K76" s="20" t="n">
        <v>8e-06</v>
      </c>
      <c r="L76" s="20" t="n">
        <v>0.026369</v>
      </c>
      <c r="M76" s="20" t="n">
        <v>-0.012448</v>
      </c>
      <c r="N76" s="20" t="n">
        <v>0.011187</v>
      </c>
      <c r="O76" s="20" t="n">
        <v>0.266193</v>
      </c>
    </row>
    <row r="77">
      <c r="A77" s="18" t="inlineStr">
        <is>
          <t>LAZARUS_SAN_ANTONIO</t>
        </is>
      </c>
      <c r="B77" s="18" t="inlineStr">
        <is>
          <t>Lazarus Energy San Antonio</t>
        </is>
      </c>
      <c r="C77" s="18" t="inlineStr">
        <is>
          <t>Starlight Relativity Acquisition Co. LLC</t>
        </is>
      </c>
      <c r="D77" s="18" t="n">
        <v>3</v>
      </c>
      <c r="E77" s="18" t="inlineStr">
        <is>
          <t>Texas</t>
        </is>
      </c>
      <c r="F77" s="18" t="inlineStr">
        <is>
          <t>San Antonio</t>
        </is>
      </c>
      <c r="G77" s="19" t="n">
        <v>21</v>
      </c>
      <c r="H77" s="18" t="inlineStr">
        <is>
          <t>operating</t>
        </is>
      </c>
      <c r="I77" s="20" t="n">
        <v>0.304606</v>
      </c>
      <c r="J77" s="20" t="n">
        <v>0.367749</v>
      </c>
      <c r="K77" s="20" t="n">
        <v>0.036324</v>
      </c>
      <c r="L77" s="20" t="n">
        <v>0.102987</v>
      </c>
      <c r="M77" s="20" t="n">
        <v>0.014718</v>
      </c>
      <c r="N77" s="20" t="n">
        <v>0.002046</v>
      </c>
      <c r="O77" s="20" t="n">
        <v>0.82843</v>
      </c>
    </row>
    <row r="78">
      <c r="A78" s="18" t="inlineStr">
        <is>
          <t>BLUE_NIXON</t>
        </is>
      </c>
      <c r="B78" s="18" t="inlineStr">
        <is>
          <t>Blue Dolphin Energy Nixon</t>
        </is>
      </c>
      <c r="C78" s="18" t="inlineStr">
        <is>
          <t>Blue Dolphin Energy</t>
        </is>
      </c>
      <c r="D78" s="18" t="n">
        <v>3</v>
      </c>
      <c r="E78" s="18" t="inlineStr">
        <is>
          <t>Texas</t>
        </is>
      </c>
      <c r="F78" s="18" t="inlineStr">
        <is>
          <t>Nixon</t>
        </is>
      </c>
      <c r="G78" s="19" t="n">
        <v>15</v>
      </c>
      <c r="H78" s="18" t="inlineStr">
        <is>
          <t>operating</t>
        </is>
      </c>
      <c r="I78" s="20" t="n">
        <v>0.363456</v>
      </c>
      <c r="J78" s="20" t="n">
        <v>0</v>
      </c>
      <c r="K78" s="20" t="n">
        <v>0.073994</v>
      </c>
      <c r="L78" s="20" t="n">
        <v>0.18064</v>
      </c>
      <c r="M78" s="20" t="n">
        <v>0.008919</v>
      </c>
      <c r="N78" s="20" t="n">
        <v>0.076588</v>
      </c>
      <c r="O78" s="20" t="n">
        <v>0.7035980000000001</v>
      </c>
    </row>
    <row r="79">
      <c r="A79" s="18" t="inlineStr">
        <is>
          <t>CALUMET_COTTON_VALLEY</t>
        </is>
      </c>
      <c r="B79" s="18" t="inlineStr">
        <is>
          <t>Calumet Lubricants Co. Cotton Valley</t>
        </is>
      </c>
      <c r="C79" s="18" t="inlineStr">
        <is>
          <t>Calumet Lubricants Co.</t>
        </is>
      </c>
      <c r="D79" s="18" t="n">
        <v>3</v>
      </c>
      <c r="E79" s="18" t="inlineStr">
        <is>
          <t>Louisiana</t>
        </is>
      </c>
      <c r="F79" s="18" t="inlineStr">
        <is>
          <t>Cotton Valley</t>
        </is>
      </c>
      <c r="G79" s="19" t="n">
        <v>14</v>
      </c>
      <c r="H79" s="18" t="inlineStr">
        <is>
          <t>operating</t>
        </is>
      </c>
      <c r="I79" s="20" t="n">
        <v>0.453142</v>
      </c>
      <c r="J79" s="20" t="n">
        <v>0.08595999999999999</v>
      </c>
      <c r="K79" s="20" t="n">
        <v>0.025344</v>
      </c>
      <c r="L79" s="20" t="n">
        <v>0.042477</v>
      </c>
      <c r="M79" s="20" t="n">
        <v>-0.008026999999999999</v>
      </c>
      <c r="N79" s="20" t="n">
        <v>0.065992</v>
      </c>
      <c r="O79" s="20" t="n">
        <v>0.664875</v>
      </c>
    </row>
    <row r="80">
      <c r="A80" s="18" t="inlineStr">
        <is>
          <t>HUNT_SANDERSVILLE</t>
        </is>
      </c>
      <c r="B80" s="18" t="inlineStr">
        <is>
          <t>Hunt Refining Consolidated Sandersville</t>
        </is>
      </c>
      <c r="C80" s="18" t="inlineStr">
        <is>
          <t>Hunt Refining Consolidated</t>
        </is>
      </c>
      <c r="D80" s="18" t="n">
        <v>3</v>
      </c>
      <c r="E80" s="18" t="inlineStr">
        <is>
          <t>Mississippi</t>
        </is>
      </c>
      <c r="F80" s="18" t="inlineStr">
        <is>
          <t>Sandersville</t>
        </is>
      </c>
      <c r="G80" s="19" t="n">
        <v>12.5</v>
      </c>
      <c r="H80" s="18" t="inlineStr">
        <is>
          <t>operating</t>
        </is>
      </c>
      <c r="I80" s="20" t="n">
        <v>0.359598</v>
      </c>
      <c r="J80" s="20" t="n">
        <v>0.08290400000000001</v>
      </c>
      <c r="K80" s="20" t="n">
        <v>0.018897</v>
      </c>
      <c r="L80" s="20" t="n">
        <v>0.030569</v>
      </c>
      <c r="M80" s="20" t="n">
        <v>-0.010272</v>
      </c>
      <c r="N80" s="20" t="n">
        <v>0.028532</v>
      </c>
      <c r="O80" s="20" t="n">
        <v>0.510246</v>
      </c>
    </row>
    <row r="81">
      <c r="A81" s="18" t="inlineStr">
        <is>
          <t>CALUMET_PRINCETON</t>
        </is>
      </c>
      <c r="B81" s="18" t="inlineStr">
        <is>
          <t>Calumet Lubricants Co. Princeton</t>
        </is>
      </c>
      <c r="C81" s="18" t="inlineStr">
        <is>
          <t>Calumet Lubricants Co.</t>
        </is>
      </c>
      <c r="D81" s="18" t="n">
        <v>3</v>
      </c>
      <c r="E81" s="18" t="inlineStr">
        <is>
          <t>Louisiana</t>
        </is>
      </c>
      <c r="F81" s="18" t="inlineStr">
        <is>
          <t>Princeton</t>
        </is>
      </c>
      <c r="G81" s="19" t="n">
        <v>8.654999999999999</v>
      </c>
      <c r="H81" s="18" t="inlineStr">
        <is>
          <t>operating</t>
        </is>
      </c>
      <c r="I81" s="20" t="n">
        <v>0.341568</v>
      </c>
      <c r="J81" s="20" t="n">
        <v>0.08357900000000001</v>
      </c>
      <c r="K81" s="20" t="n">
        <v>0</v>
      </c>
      <c r="L81" s="20" t="n">
        <v>0.052205</v>
      </c>
      <c r="M81" s="20" t="n">
        <v>-0.015673</v>
      </c>
      <c r="N81" s="20" t="n">
        <v>0.059992</v>
      </c>
      <c r="O81" s="20" t="n">
        <v>0.5217000000000001</v>
      </c>
    </row>
    <row r="82">
      <c r="A82" s="18" t="inlineStr">
        <is>
          <t>CROSS_SMACKOVER</t>
        </is>
      </c>
      <c r="B82" s="18" t="inlineStr">
        <is>
          <t>Cross Oil and Ref.Co. Smackover</t>
        </is>
      </c>
      <c r="C82" s="18" t="inlineStr">
        <is>
          <t>Cross Oil and Ref.Co.</t>
        </is>
      </c>
      <c r="D82" s="18" t="n">
        <v>3</v>
      </c>
      <c r="E82" s="18" t="inlineStr">
        <is>
          <t>Arkansas</t>
        </is>
      </c>
      <c r="F82" s="18" t="inlineStr">
        <is>
          <t>Smackover</t>
        </is>
      </c>
      <c r="G82" s="19" t="n">
        <v>7.7</v>
      </c>
      <c r="H82" s="18" t="inlineStr">
        <is>
          <t>operating</t>
        </is>
      </c>
      <c r="I82" s="20" t="n">
        <v>0.406383</v>
      </c>
      <c r="J82" s="20" t="n">
        <v>0.076489</v>
      </c>
      <c r="K82" s="20" t="n">
        <v>0</v>
      </c>
      <c r="L82" s="20" t="n">
        <v>0.02503</v>
      </c>
      <c r="M82" s="20" t="n">
        <v>-0.009790999999999999</v>
      </c>
      <c r="N82" s="20" t="n">
        <v>0.034216</v>
      </c>
      <c r="O82" s="20" t="n">
        <v>0.532326</v>
      </c>
    </row>
    <row r="83">
      <c r="A83" s="18" t="inlineStr">
        <is>
          <t>GOODWAY_ATMORE</t>
        </is>
      </c>
      <c r="B83" s="18" t="inlineStr">
        <is>
          <t>Goodway Refining Atmore</t>
        </is>
      </c>
      <c r="C83" s="18" t="inlineStr">
        <is>
          <t>Goodway Refining</t>
        </is>
      </c>
      <c r="D83" s="18" t="n">
        <v>3</v>
      </c>
      <c r="E83" s="18" t="inlineStr">
        <is>
          <t>Alabama</t>
        </is>
      </c>
      <c r="F83" s="18" t="inlineStr">
        <is>
          <t>Atmore</t>
        </is>
      </c>
      <c r="G83" s="19" t="n">
        <v>4.1</v>
      </c>
      <c r="H83" s="18" t="inlineStr">
        <is>
          <t>operating</t>
        </is>
      </c>
      <c r="I83" s="20" t="n">
        <v>0.429329</v>
      </c>
      <c r="J83" s="20" t="n">
        <v>0.07316499999999999</v>
      </c>
      <c r="K83" s="20" t="n">
        <v>0.029337</v>
      </c>
      <c r="L83" s="20" t="n">
        <v>0.070023</v>
      </c>
      <c r="M83" s="20" t="n">
        <v>0</v>
      </c>
      <c r="N83" s="20" t="n">
        <v>0.057377</v>
      </c>
      <c r="O83" s="20" t="n">
        <v>0.659231</v>
      </c>
    </row>
    <row r="84">
      <c r="A84" s="18" t="inlineStr">
        <is>
          <t>LYONDELLBASELL_HOUSTON</t>
        </is>
      </c>
      <c r="B84" s="18" t="inlineStr">
        <is>
          <t>LyondellBasell Refining Houston</t>
        </is>
      </c>
      <c r="C84" s="18" t="inlineStr">
        <is>
          <t>Access Industries</t>
        </is>
      </c>
      <c r="D84" s="18" t="n">
        <v>3</v>
      </c>
      <c r="E84" s="18" t="inlineStr">
        <is>
          <t>Texas</t>
        </is>
      </c>
      <c r="F84" s="18" t="inlineStr">
        <is>
          <t>Houston</t>
        </is>
      </c>
      <c r="G84" s="19" t="n">
        <v>0</v>
      </c>
      <c r="H84" s="18" t="inlineStr">
        <is>
          <t>shut</t>
        </is>
      </c>
      <c r="I84" s="20" t="n">
        <v>0.336599</v>
      </c>
      <c r="J84" s="20" t="n">
        <v>0.420847</v>
      </c>
      <c r="K84" s="20" t="n">
        <v>0.020254</v>
      </c>
      <c r="L84" s="20" t="n">
        <v>0.037415</v>
      </c>
      <c r="M84" s="20" t="n">
        <v>0.023197</v>
      </c>
      <c r="N84" s="20" t="n">
        <v>0.035638</v>
      </c>
      <c r="O84" s="20" t="n">
        <v>0.873951</v>
      </c>
    </row>
    <row r="85">
      <c r="A85" s="18" t="inlineStr">
        <is>
          <t>SHELL_CONVENT</t>
        </is>
      </c>
      <c r="B85" s="18" t="inlineStr">
        <is>
          <t>Shell Convent</t>
        </is>
      </c>
      <c r="C85" s="18" t="inlineStr">
        <is>
          <t>Shell</t>
        </is>
      </c>
      <c r="D85" s="18" t="n">
        <v>3</v>
      </c>
      <c r="E85" s="18" t="inlineStr">
        <is>
          <t>Louisiana</t>
        </is>
      </c>
      <c r="F85" s="18" t="inlineStr">
        <is>
          <t>Convent</t>
        </is>
      </c>
      <c r="G85" s="19" t="n">
        <v>0</v>
      </c>
      <c r="H85" s="18" t="inlineStr">
        <is>
          <t>shut</t>
        </is>
      </c>
      <c r="I85" s="20" t="n">
        <v>0</v>
      </c>
      <c r="J85" s="20" t="n">
        <v>0</v>
      </c>
      <c r="K85" s="20" t="n">
        <v>0</v>
      </c>
      <c r="L85" s="20" t="n">
        <v>0</v>
      </c>
      <c r="M85" s="20" t="n">
        <v>0</v>
      </c>
      <c r="N85" s="20" t="n">
        <v>0</v>
      </c>
      <c r="O85" s="20" t="n">
        <v>0</v>
      </c>
    </row>
    <row r="86">
      <c r="A86" s="18" t="inlineStr">
        <is>
          <t>SHELL_SAINT_ROSE</t>
        </is>
      </c>
      <c r="B86" s="18" t="inlineStr">
        <is>
          <t>Shell Oil Co. USA Saint Rose</t>
        </is>
      </c>
      <c r="C86" s="18" t="inlineStr">
        <is>
          <t>Shell</t>
        </is>
      </c>
      <c r="D86" s="18" t="n">
        <v>3</v>
      </c>
      <c r="E86" s="18" t="inlineStr">
        <is>
          <t>Louisiana</t>
        </is>
      </c>
      <c r="F86" s="18" t="inlineStr">
        <is>
          <t>Saint Rose</t>
        </is>
      </c>
      <c r="G86" s="19" t="n">
        <v>0</v>
      </c>
      <c r="H86" s="18" t="inlineStr">
        <is>
          <t>shut</t>
        </is>
      </c>
      <c r="I86" s="20" t="n">
        <v>0.248537</v>
      </c>
      <c r="J86" s="20" t="n">
        <v>0.036875</v>
      </c>
      <c r="K86" s="20" t="n">
        <v>0.075868</v>
      </c>
      <c r="L86" s="20" t="n">
        <v>0.086676</v>
      </c>
      <c r="M86" s="20" t="n">
        <v>-0.003411</v>
      </c>
      <c r="N86" s="20" t="n">
        <v>0.001364</v>
      </c>
      <c r="O86" s="20" t="n">
        <v>0.445944</v>
      </c>
    </row>
    <row r="87">
      <c r="A87" s="18" t="inlineStr">
        <is>
          <t>SUNCOR_DENVER</t>
        </is>
      </c>
      <c r="B87" s="18" t="inlineStr">
        <is>
          <t>Suncor Denver</t>
        </is>
      </c>
      <c r="C87" s="18" t="inlineStr">
        <is>
          <t>Suncor</t>
        </is>
      </c>
      <c r="D87" s="18" t="n">
        <v>4</v>
      </c>
      <c r="E87" s="18" t="inlineStr">
        <is>
          <t>Colorado</t>
        </is>
      </c>
      <c r="F87" s="18" t="inlineStr">
        <is>
          <t>Denver</t>
        </is>
      </c>
      <c r="G87" s="19" t="n">
        <v>98</v>
      </c>
      <c r="H87" s="18" t="inlineStr">
        <is>
          <t>operating</t>
        </is>
      </c>
      <c r="I87" s="20" t="n">
        <v>0.351623</v>
      </c>
      <c r="J87" s="20" t="n">
        <v>0.464713</v>
      </c>
      <c r="K87" s="20" t="n">
        <v>0.010519</v>
      </c>
      <c r="L87" s="20" t="n">
        <v>0.114136</v>
      </c>
      <c r="M87" s="20" t="n">
        <v>-0.005588999999999999</v>
      </c>
      <c r="N87" s="20" t="n">
        <v>0.002181</v>
      </c>
      <c r="O87" s="20" t="n">
        <v>0.937585</v>
      </c>
    </row>
    <row r="88">
      <c r="A88" s="18" t="inlineStr">
        <is>
          <t>SINCLAIR_SINCLAIR</t>
        </is>
      </c>
      <c r="B88" s="18" t="inlineStr">
        <is>
          <t>Sinclair Sinclair</t>
        </is>
      </c>
      <c r="C88" s="18" t="inlineStr">
        <is>
          <t>Sinclair</t>
        </is>
      </c>
      <c r="D88" s="18" t="n">
        <v>4</v>
      </c>
      <c r="E88" s="18" t="inlineStr">
        <is>
          <t>Wyoming</t>
        </is>
      </c>
      <c r="F88" s="18" t="inlineStr">
        <is>
          <t>Sinclair</t>
        </is>
      </c>
      <c r="G88" s="19" t="n">
        <v>94</v>
      </c>
      <c r="H88" s="18" t="inlineStr">
        <is>
          <t>operating</t>
        </is>
      </c>
      <c r="I88" s="20" t="n">
        <v>0.366417</v>
      </c>
      <c r="J88" s="20" t="n">
        <v>0.531999</v>
      </c>
      <c r="K88" s="20" t="n">
        <v>0.00218</v>
      </c>
      <c r="L88" s="20" t="n">
        <v>0.097106</v>
      </c>
      <c r="M88" s="20" t="n">
        <v>-0.004258</v>
      </c>
      <c r="N88" s="20" t="n">
        <v>0.006728</v>
      </c>
      <c r="O88" s="20" t="n">
        <v>1.000171</v>
      </c>
    </row>
    <row r="89">
      <c r="A89" s="18" t="inlineStr">
        <is>
          <t>MARATHON_SALT_LAKE_CITY</t>
        </is>
      </c>
      <c r="B89" s="18" t="inlineStr">
        <is>
          <t>Marathon Petroleum Salt Lake City</t>
        </is>
      </c>
      <c r="C89" s="18" t="inlineStr">
        <is>
          <t>Marathon Petroleum</t>
        </is>
      </c>
      <c r="D89" s="18" t="n">
        <v>4</v>
      </c>
      <c r="E89" s="18" t="inlineStr">
        <is>
          <t>Utah</t>
        </is>
      </c>
      <c r="F89" s="18" t="inlineStr">
        <is>
          <t>Salt Lake City</t>
        </is>
      </c>
      <c r="G89" s="19" t="n">
        <v>72.5</v>
      </c>
      <c r="H89" s="18" t="inlineStr">
        <is>
          <t>operating</t>
        </is>
      </c>
      <c r="I89" s="20" t="n">
        <v>0.442593</v>
      </c>
      <c r="J89" s="20" t="n">
        <v>0.464356</v>
      </c>
      <c r="K89" s="20" t="n">
        <v>0.028389</v>
      </c>
      <c r="L89" s="20" t="n">
        <v>0.046315</v>
      </c>
      <c r="M89" s="20" t="n">
        <v>0.002077</v>
      </c>
      <c r="N89" s="20" t="n">
        <v>5.3e-05</v>
      </c>
      <c r="O89" s="20" t="n">
        <v>0.983782</v>
      </c>
    </row>
    <row r="90">
      <c r="A90" s="18" t="inlineStr">
        <is>
          <t>PHILLIPS_BILLINGS</t>
        </is>
      </c>
      <c r="B90" s="18" t="inlineStr">
        <is>
          <t>Phillips 66 Co. Billings</t>
        </is>
      </c>
      <c r="C90" s="18" t="inlineStr">
        <is>
          <t>Phillips 66 Co.</t>
        </is>
      </c>
      <c r="D90" s="18" t="n">
        <v>4</v>
      </c>
      <c r="E90" s="18" t="inlineStr">
        <is>
          <t>Montana</t>
        </is>
      </c>
      <c r="F90" s="18" t="inlineStr">
        <is>
          <t>Billings</t>
        </is>
      </c>
      <c r="G90" s="19" t="n">
        <v>66</v>
      </c>
      <c r="H90" s="18" t="inlineStr">
        <is>
          <t>operating</t>
        </is>
      </c>
      <c r="I90" s="20" t="n">
        <v>0.206148</v>
      </c>
      <c r="J90" s="20" t="n">
        <v>0.708599</v>
      </c>
      <c r="K90" s="20" t="n">
        <v>0.021939</v>
      </c>
      <c r="L90" s="20" t="n">
        <v>0.022072</v>
      </c>
      <c r="M90" s="20" t="n">
        <v>-0.002983</v>
      </c>
      <c r="N90" s="20" t="n">
        <v>0.002102</v>
      </c>
      <c r="O90" s="20" t="n">
        <v>0.957878</v>
      </c>
    </row>
    <row r="91">
      <c r="A91" s="18" t="inlineStr">
        <is>
          <t>PAR_BILLINGS</t>
        </is>
      </c>
      <c r="B91" s="18" t="inlineStr">
        <is>
          <t>Par Petroleum Billings</t>
        </is>
      </c>
      <c r="C91" s="18" t="inlineStr">
        <is>
          <t>Par Petroleum</t>
        </is>
      </c>
      <c r="D91" s="18" t="n">
        <v>4</v>
      </c>
      <c r="E91" s="18" t="inlineStr">
        <is>
          <t>Montana</t>
        </is>
      </c>
      <c r="F91" s="18" t="inlineStr">
        <is>
          <t>Billings</t>
        </is>
      </c>
      <c r="G91" s="19" t="n">
        <v>62.9</v>
      </c>
      <c r="H91" s="18" t="inlineStr">
        <is>
          <t>operating</t>
        </is>
      </c>
      <c r="I91" s="20" t="n">
        <v>0.290164</v>
      </c>
      <c r="J91" s="20" t="n">
        <v>0.579892</v>
      </c>
      <c r="K91" s="20" t="n">
        <v>0.001147</v>
      </c>
      <c r="L91" s="20" t="n">
        <v>0.051463</v>
      </c>
      <c r="M91" s="20" t="n">
        <v>-0.003161</v>
      </c>
      <c r="N91" s="20" t="n">
        <v>0.000607</v>
      </c>
      <c r="O91" s="20" t="n">
        <v>0.920112</v>
      </c>
    </row>
    <row r="92">
      <c r="A92" s="18" t="inlineStr">
        <is>
          <t>CHS_LAUREL</t>
        </is>
      </c>
      <c r="B92" s="18" t="inlineStr">
        <is>
          <t>CHS Laurel</t>
        </is>
      </c>
      <c r="C92" s="18" t="inlineStr">
        <is>
          <t>CHS</t>
        </is>
      </c>
      <c r="D92" s="18" t="n">
        <v>4</v>
      </c>
      <c r="E92" s="18" t="inlineStr">
        <is>
          <t>Montana</t>
        </is>
      </c>
      <c r="F92" s="18" t="inlineStr">
        <is>
          <t>Laurel</t>
        </is>
      </c>
      <c r="G92" s="19" t="n">
        <v>61.1</v>
      </c>
      <c r="H92" s="18" t="inlineStr">
        <is>
          <t>operating</t>
        </is>
      </c>
      <c r="I92" s="20" t="n">
        <v>0.252542</v>
      </c>
      <c r="J92" s="20" t="n">
        <v>0.5941960000000001</v>
      </c>
      <c r="K92" s="20" t="n">
        <v>0.031141</v>
      </c>
      <c r="L92" s="20" t="n">
        <v>0.03949</v>
      </c>
      <c r="M92" s="20" t="n">
        <v>-0.001713</v>
      </c>
      <c r="N92" s="20" t="n">
        <v>0.001502</v>
      </c>
      <c r="O92" s="20" t="n">
        <v>0.917157</v>
      </c>
    </row>
    <row r="93">
      <c r="A93" s="18" t="inlineStr">
        <is>
          <t>CHEVRON_SALT_LAKE_CITY</t>
        </is>
      </c>
      <c r="B93" s="18" t="inlineStr">
        <is>
          <t>Chevron Salt Lake City</t>
        </is>
      </c>
      <c r="C93" s="18" t="inlineStr">
        <is>
          <t>Chevron</t>
        </is>
      </c>
      <c r="D93" s="18" t="n">
        <v>4</v>
      </c>
      <c r="E93" s="18" t="inlineStr">
        <is>
          <t>Utah</t>
        </is>
      </c>
      <c r="F93" s="18" t="inlineStr">
        <is>
          <t>Salt Lake City</t>
        </is>
      </c>
      <c r="G93" s="19" t="n">
        <v>55</v>
      </c>
      <c r="H93" s="18" t="inlineStr">
        <is>
          <t>operating</t>
        </is>
      </c>
      <c r="I93" s="20" t="n">
        <v>0.397096</v>
      </c>
      <c r="J93" s="20" t="n">
        <v>0.474627</v>
      </c>
      <c r="K93" s="20" t="n">
        <v>0.036584</v>
      </c>
      <c r="L93" s="20" t="n">
        <v>0.07890999999999999</v>
      </c>
      <c r="M93" s="20" t="n">
        <v>0.000162</v>
      </c>
      <c r="N93" s="20" t="n">
        <v>0.000904</v>
      </c>
      <c r="O93" s="20" t="n">
        <v>0.988286</v>
      </c>
    </row>
    <row r="94">
      <c r="A94" s="18" t="inlineStr">
        <is>
          <t>HF_WOODS_CROSS</t>
        </is>
      </c>
      <c r="B94" s="18" t="inlineStr">
        <is>
          <t>HF Sinclair Woods Cross</t>
        </is>
      </c>
      <c r="C94" s="18" t="inlineStr">
        <is>
          <t>HF Sinclair</t>
        </is>
      </c>
      <c r="D94" s="18" t="n">
        <v>4</v>
      </c>
      <c r="E94" s="18" t="inlineStr">
        <is>
          <t>Utah</t>
        </is>
      </c>
      <c r="F94" s="18" t="inlineStr">
        <is>
          <t>Woods Cross</t>
        </is>
      </c>
      <c r="G94" s="19" t="n">
        <v>45</v>
      </c>
      <c r="H94" s="18" t="inlineStr">
        <is>
          <t>operating</t>
        </is>
      </c>
      <c r="I94" s="20" t="n">
        <v>0.401415</v>
      </c>
      <c r="J94" s="20" t="n">
        <v>0.553244</v>
      </c>
      <c r="K94" s="20" t="n">
        <v>0.025584</v>
      </c>
      <c r="L94" s="20" t="n">
        <v>0</v>
      </c>
      <c r="M94" s="20" t="n">
        <v>0.003234</v>
      </c>
      <c r="N94" s="20" t="n">
        <v>5.2e-05</v>
      </c>
      <c r="O94" s="20" t="n">
        <v>0.9835259999999999</v>
      </c>
    </row>
    <row r="95">
      <c r="A95" s="18" t="inlineStr">
        <is>
          <t>BIG_NORTH_SLATERVILLE_CANAL</t>
        </is>
      </c>
      <c r="B95" s="18" t="inlineStr">
        <is>
          <t>Big West Oil Co North Slaterville Canal</t>
        </is>
      </c>
      <c r="C95" s="18" t="inlineStr">
        <is>
          <t>Flying J</t>
        </is>
      </c>
      <c r="D95" s="18" t="n">
        <v>4</v>
      </c>
      <c r="E95" s="18" t="inlineStr">
        <is>
          <t>Utah</t>
        </is>
      </c>
      <c r="F95" s="18" t="inlineStr">
        <is>
          <t>North Slaterville Canal</t>
        </is>
      </c>
      <c r="G95" s="19" t="n">
        <v>33</v>
      </c>
      <c r="H95" s="18" t="inlineStr">
        <is>
          <t>operating</t>
        </is>
      </c>
      <c r="I95" s="20" t="n">
        <v>0.320812</v>
      </c>
      <c r="J95" s="20" t="n">
        <v>0.5379390000000001</v>
      </c>
      <c r="K95" s="20" t="n">
        <v>0.029751</v>
      </c>
      <c r="L95" s="20" t="n">
        <v>0.107187</v>
      </c>
      <c r="M95" s="20" t="n">
        <v>-0.00187</v>
      </c>
      <c r="N95" s="20" t="n">
        <v>6.4e-05</v>
      </c>
      <c r="O95" s="20" t="n">
        <v>0.993883</v>
      </c>
    </row>
    <row r="96">
      <c r="A96" s="18" t="inlineStr">
        <is>
          <t>HF_CASPER</t>
        </is>
      </c>
      <c r="B96" s="18" t="inlineStr">
        <is>
          <t>HF Sinclair Casper</t>
        </is>
      </c>
      <c r="C96" s="18" t="inlineStr">
        <is>
          <t>HF Sinclair</t>
        </is>
      </c>
      <c r="D96" s="18" t="n">
        <v>4</v>
      </c>
      <c r="E96" s="18" t="inlineStr">
        <is>
          <t>Wyoming</t>
        </is>
      </c>
      <c r="F96" s="18" t="inlineStr">
        <is>
          <t>Casper</t>
        </is>
      </c>
      <c r="G96" s="19" t="n">
        <v>30</v>
      </c>
      <c r="H96" s="18" t="inlineStr">
        <is>
          <t>operating</t>
        </is>
      </c>
      <c r="I96" s="20" t="n">
        <v>0.496774</v>
      </c>
      <c r="J96" s="20" t="n">
        <v>0.499014</v>
      </c>
      <c r="K96" s="20" t="n">
        <v>0.000712</v>
      </c>
      <c r="L96" s="20" t="n">
        <v>0.004889</v>
      </c>
      <c r="M96" s="20" t="n">
        <v>-0.005282</v>
      </c>
      <c r="N96" s="20" t="n">
        <v>0</v>
      </c>
      <c r="O96" s="20" t="n">
        <v>0.996107</v>
      </c>
    </row>
    <row r="97">
      <c r="A97" s="18" t="inlineStr">
        <is>
          <t>PAR_NEWCASTLE</t>
        </is>
      </c>
      <c r="B97" s="18" t="inlineStr">
        <is>
          <t>Par Petroleum Newcastle</t>
        </is>
      </c>
      <c r="C97" s="18" t="inlineStr">
        <is>
          <t>Par Petroleum</t>
        </is>
      </c>
      <c r="D97" s="18" t="n">
        <v>4</v>
      </c>
      <c r="E97" s="18" t="inlineStr">
        <is>
          <t>Wyoming</t>
        </is>
      </c>
      <c r="F97" s="18" t="inlineStr">
        <is>
          <t>Newcastle</t>
        </is>
      </c>
      <c r="G97" s="19" t="n">
        <v>20</v>
      </c>
      <c r="H97" s="18" t="inlineStr">
        <is>
          <t>operating</t>
        </is>
      </c>
      <c r="I97" s="20" t="n">
        <v>0.444493</v>
      </c>
      <c r="J97" s="20" t="n">
        <v>0.53644</v>
      </c>
      <c r="K97" s="20" t="n">
        <v>0.001048</v>
      </c>
      <c r="L97" s="20" t="n">
        <v>0.005358000000000001</v>
      </c>
      <c r="M97" s="20" t="n">
        <v>0.00214</v>
      </c>
      <c r="N97" s="20" t="n">
        <v>0</v>
      </c>
      <c r="O97" s="20" t="n">
        <v>0.989479</v>
      </c>
    </row>
    <row r="98">
      <c r="A98" s="18" t="inlineStr">
        <is>
          <t>MONTANA_GREAT_FALLS</t>
        </is>
      </c>
      <c r="B98" s="18" t="inlineStr">
        <is>
          <t>Montana Refining Co. Great Falls</t>
        </is>
      </c>
      <c r="C98" s="18" t="inlineStr">
        <is>
          <t>Calumet Lubricants Co.</t>
        </is>
      </c>
      <c r="D98" s="18" t="n">
        <v>4</v>
      </c>
      <c r="E98" s="18" t="inlineStr">
        <is>
          <t>Montana</t>
        </is>
      </c>
      <c r="F98" s="18" t="inlineStr">
        <is>
          <t>Great Falls</t>
        </is>
      </c>
      <c r="G98" s="19" t="n">
        <v>17</v>
      </c>
      <c r="H98" s="18" t="inlineStr">
        <is>
          <t>operating</t>
        </is>
      </c>
      <c r="I98" s="20" t="n">
        <v>0.309768</v>
      </c>
      <c r="J98" s="20" t="n">
        <v>0.428469</v>
      </c>
      <c r="K98" s="20" t="n">
        <v>0.005883</v>
      </c>
      <c r="L98" s="20" t="n">
        <v>0.049243</v>
      </c>
      <c r="M98" s="20" t="n">
        <v>-0.0006980000000000001</v>
      </c>
      <c r="N98" s="20" t="n">
        <v>-4e-06</v>
      </c>
      <c r="O98" s="20" t="n">
        <v>0.79266</v>
      </c>
    </row>
    <row r="99">
      <c r="A99" s="18" t="inlineStr">
        <is>
          <t>SILVER_WOODS_CROSS</t>
        </is>
      </c>
      <c r="B99" s="18" t="inlineStr">
        <is>
          <t>Silver Eagle Refining Woods Cross</t>
        </is>
      </c>
      <c r="C99" s="18" t="inlineStr">
        <is>
          <t>Silver Eagle Refining</t>
        </is>
      </c>
      <c r="D99" s="18" t="n">
        <v>4</v>
      </c>
      <c r="E99" s="18" t="inlineStr">
        <is>
          <t>Utah</t>
        </is>
      </c>
      <c r="F99" s="18" t="inlineStr">
        <is>
          <t>Woods Cross</t>
        </is>
      </c>
      <c r="G99" s="19" t="n">
        <v>15.7</v>
      </c>
      <c r="H99" s="18" t="inlineStr">
        <is>
          <t>operating</t>
        </is>
      </c>
      <c r="I99" s="20" t="n">
        <v>0.464598</v>
      </c>
      <c r="J99" s="20" t="n">
        <v>0.159771</v>
      </c>
      <c r="K99" s="20" t="n">
        <v>0.033965</v>
      </c>
      <c r="L99" s="20" t="n">
        <v>0</v>
      </c>
      <c r="M99" s="20" t="n">
        <v>0.001484</v>
      </c>
      <c r="N99" s="20" t="n">
        <v>0</v>
      </c>
      <c r="O99" s="20" t="n">
        <v>0.6598189999999999</v>
      </c>
    </row>
    <row r="100">
      <c r="A100" s="18" t="inlineStr">
        <is>
          <t>WYOMING_EVANSTON</t>
        </is>
      </c>
      <c r="B100" s="18" t="inlineStr">
        <is>
          <t>Wyoming Refining Evanston</t>
        </is>
      </c>
      <c r="C100" s="18" t="inlineStr">
        <is>
          <t>Silver Eagle Refining</t>
        </is>
      </c>
      <c r="D100" s="18" t="n">
        <v>4</v>
      </c>
      <c r="E100" s="18" t="inlineStr">
        <is>
          <t>Wyoming</t>
        </is>
      </c>
      <c r="F100" s="18" t="inlineStr">
        <is>
          <t>Evanston</t>
        </is>
      </c>
      <c r="G100" s="19" t="n">
        <v>3.4</v>
      </c>
      <c r="H100" s="18" t="inlineStr">
        <is>
          <t>operating</t>
        </is>
      </c>
      <c r="I100" s="20" t="n">
        <v>0.480779</v>
      </c>
      <c r="J100" s="20" t="n">
        <v>0.135541</v>
      </c>
      <c r="K100" s="20" t="n">
        <v>0.08306699999999999</v>
      </c>
      <c r="L100" s="20" t="n">
        <v>0.058593</v>
      </c>
      <c r="M100" s="20" t="n">
        <v>0</v>
      </c>
      <c r="N100" s="20" t="n">
        <v>0</v>
      </c>
      <c r="O100" s="20" t="n">
        <v>0.757981</v>
      </c>
    </row>
    <row r="101">
      <c r="A101" s="18" t="inlineStr">
        <is>
          <t>SLATE_DOUGLAS</t>
        </is>
      </c>
      <c r="B101" s="18" t="inlineStr">
        <is>
          <t>Slate Douglas</t>
        </is>
      </c>
      <c r="C101" s="18" t="inlineStr">
        <is>
          <t>Slate</t>
        </is>
      </c>
      <c r="D101" s="18" t="n">
        <v>4</v>
      </c>
      <c r="E101" s="18" t="inlineStr">
        <is>
          <t>Wyoming</t>
        </is>
      </c>
      <c r="F101" s="18" t="inlineStr">
        <is>
          <t>Douglas</t>
        </is>
      </c>
      <c r="G101" s="19" t="n">
        <v>0</v>
      </c>
      <c r="H101" s="18" t="inlineStr">
        <is>
          <t>shut</t>
        </is>
      </c>
      <c r="I101" s="20" t="n">
        <v>0.375865</v>
      </c>
      <c r="J101" s="20" t="n">
        <v>0.376853</v>
      </c>
      <c r="K101" s="20" t="n">
        <v>0.01883</v>
      </c>
      <c r="L101" s="20" t="n">
        <v>0.056385</v>
      </c>
      <c r="M101" s="20" t="n">
        <v>0</v>
      </c>
      <c r="N101" s="20" t="n">
        <v>0</v>
      </c>
      <c r="O101" s="20" t="n">
        <v>0.8279840000000001</v>
      </c>
    </row>
    <row r="102">
      <c r="A102" s="18" t="inlineStr">
        <is>
          <t>CHEVRON_EL_SEGUNDO</t>
        </is>
      </c>
      <c r="B102" s="18" t="inlineStr">
        <is>
          <t>Chevron El Segundo</t>
        </is>
      </c>
      <c r="C102" s="18" t="inlineStr">
        <is>
          <t>Chevron</t>
        </is>
      </c>
      <c r="D102" s="18" t="n">
        <v>5</v>
      </c>
      <c r="E102" s="18" t="inlineStr">
        <is>
          <t>California</t>
        </is>
      </c>
      <c r="F102" s="18" t="inlineStr">
        <is>
          <t>El Segundo</t>
        </is>
      </c>
      <c r="G102" s="19" t="n">
        <v>290.5</v>
      </c>
      <c r="H102" s="18" t="inlineStr">
        <is>
          <t>operating</t>
        </is>
      </c>
      <c r="I102" s="20" t="n">
        <v>0.192272</v>
      </c>
      <c r="J102" s="20" t="n">
        <v>0.48526</v>
      </c>
      <c r="K102" s="20" t="n">
        <v>0.082898</v>
      </c>
      <c r="L102" s="20" t="n">
        <v>0.189701</v>
      </c>
      <c r="M102" s="20" t="n">
        <v>0.002815</v>
      </c>
      <c r="N102" s="20" t="n">
        <v>0.0005899999999999999</v>
      </c>
      <c r="O102" s="20" t="n">
        <v>0.9535339999999999</v>
      </c>
    </row>
    <row r="103">
      <c r="A103" s="18" t="inlineStr">
        <is>
          <t>MARATHON_CARSON</t>
        </is>
      </c>
      <c r="B103" s="18" t="inlineStr">
        <is>
          <t>Marathon Petroleum Carson</t>
        </is>
      </c>
      <c r="C103" s="18" t="inlineStr">
        <is>
          <t>Marathon Petroleum</t>
        </is>
      </c>
      <c r="D103" s="18" t="n">
        <v>5</v>
      </c>
      <c r="E103" s="18" t="inlineStr">
        <is>
          <t>California</t>
        </is>
      </c>
      <c r="F103" s="18" t="inlineStr">
        <is>
          <t>Carson</t>
        </is>
      </c>
      <c r="G103" s="19" t="n">
        <v>281</v>
      </c>
      <c r="H103" s="18" t="inlineStr">
        <is>
          <t>operating</t>
        </is>
      </c>
      <c r="I103" s="20" t="n">
        <v>0.201981</v>
      </c>
      <c r="J103" s="20" t="n">
        <v>0.566462</v>
      </c>
      <c r="K103" s="20" t="n">
        <v>0.002984</v>
      </c>
      <c r="L103" s="20" t="n">
        <v>0.225839</v>
      </c>
      <c r="M103" s="20" t="n">
        <v>0.001472</v>
      </c>
      <c r="N103" s="20" t="n">
        <v>1e-06</v>
      </c>
      <c r="O103" s="20" t="n">
        <v>0.998739</v>
      </c>
    </row>
    <row r="104">
      <c r="A104" s="18" t="inlineStr">
        <is>
          <t>CHEVRON_RICHMOND</t>
        </is>
      </c>
      <c r="B104" s="18" t="inlineStr">
        <is>
          <t>Chevron Richmond</t>
        </is>
      </c>
      <c r="C104" s="18" t="inlineStr">
        <is>
          <t>Chevron</t>
        </is>
      </c>
      <c r="D104" s="18" t="n">
        <v>5</v>
      </c>
      <c r="E104" s="18" t="inlineStr">
        <is>
          <t>California</t>
        </is>
      </c>
      <c r="F104" s="18" t="inlineStr">
        <is>
          <t>Richmond</t>
        </is>
      </c>
      <c r="G104" s="19" t="n">
        <v>257.2</v>
      </c>
      <c r="H104" s="18" t="inlineStr">
        <is>
          <t>operating</t>
        </is>
      </c>
      <c r="I104" s="20" t="n">
        <v>0.150528</v>
      </c>
      <c r="J104" s="20" t="n">
        <v>0.550218</v>
      </c>
      <c r="K104" s="20" t="n">
        <v>0.005405999999999999</v>
      </c>
      <c r="L104" s="20" t="n">
        <v>0.25124</v>
      </c>
      <c r="M104" s="20" t="n">
        <v>-0.000156</v>
      </c>
      <c r="N104" s="20" t="n">
        <v>1.2e-05</v>
      </c>
      <c r="O104" s="20" t="n">
        <v>0.957249</v>
      </c>
    </row>
    <row r="105">
      <c r="A105" s="18" t="inlineStr">
        <is>
          <t>BP_FERNDALE</t>
        </is>
      </c>
      <c r="B105" s="18" t="inlineStr">
        <is>
          <t>BP Ferndale</t>
        </is>
      </c>
      <c r="C105" s="18" t="inlineStr">
        <is>
          <t>BP</t>
        </is>
      </c>
      <c r="D105" s="18" t="n">
        <v>5</v>
      </c>
      <c r="E105" s="18" t="inlineStr">
        <is>
          <t>Washington</t>
        </is>
      </c>
      <c r="F105" s="18" t="inlineStr">
        <is>
          <t>Ferndale</t>
        </is>
      </c>
      <c r="G105" s="19" t="n">
        <v>251</v>
      </c>
      <c r="H105" s="18" t="inlineStr">
        <is>
          <t>operating</t>
        </is>
      </c>
      <c r="I105" s="20" t="n">
        <v>0.222178</v>
      </c>
      <c r="J105" s="20" t="n">
        <v>0.436207</v>
      </c>
      <c r="K105" s="20" t="n">
        <v>0.042946</v>
      </c>
      <c r="L105" s="20" t="n">
        <v>0.280827</v>
      </c>
      <c r="M105" s="20" t="n">
        <v>0.008300999999999999</v>
      </c>
      <c r="N105" s="20" t="n">
        <v>0.001779</v>
      </c>
      <c r="O105" s="20" t="n">
        <v>0.992238</v>
      </c>
    </row>
    <row r="106">
      <c r="A106" s="18" t="inlineStr">
        <is>
          <t>PBF_TORRANCE</t>
        </is>
      </c>
      <c r="B106" s="18" t="inlineStr">
        <is>
          <t>PBF Energy Company LLC Torrance</t>
        </is>
      </c>
      <c r="C106" s="18" t="inlineStr">
        <is>
          <t>PBF Energy Company LLC</t>
        </is>
      </c>
      <c r="D106" s="18" t="n">
        <v>5</v>
      </c>
      <c r="E106" s="18" t="inlineStr">
        <is>
          <t>California</t>
        </is>
      </c>
      <c r="F106" s="18" t="inlineStr">
        <is>
          <t>Torrance</t>
        </is>
      </c>
      <c r="G106" s="19" t="n">
        <v>166.2</v>
      </c>
      <c r="H106" s="18" t="inlineStr">
        <is>
          <t>operating</t>
        </is>
      </c>
      <c r="I106" s="20" t="n">
        <v>0.118726</v>
      </c>
      <c r="J106" s="20" t="n">
        <v>0.689007</v>
      </c>
      <c r="K106" s="20" t="n">
        <v>0.017247</v>
      </c>
      <c r="L106" s="20" t="n">
        <v>0.15367</v>
      </c>
      <c r="M106" s="20" t="n">
        <v>0.023254</v>
      </c>
      <c r="N106" s="20" t="n">
        <v>0.001327</v>
      </c>
      <c r="O106" s="20" t="n">
        <v>1.003231</v>
      </c>
    </row>
    <row r="107">
      <c r="A107" s="18" t="inlineStr">
        <is>
          <t>PBF_MARTINEZ</t>
        </is>
      </c>
      <c r="B107" s="18" t="inlineStr">
        <is>
          <t>PBF Energy Company LLC Martinez</t>
        </is>
      </c>
      <c r="C107" s="18" t="inlineStr">
        <is>
          <t>PBF Energy Company LLC</t>
        </is>
      </c>
      <c r="D107" s="18" t="n">
        <v>5</v>
      </c>
      <c r="E107" s="18" t="inlineStr">
        <is>
          <t>California</t>
        </is>
      </c>
      <c r="F107" s="18" t="inlineStr">
        <is>
          <t>Martinez</t>
        </is>
      </c>
      <c r="G107" s="19" t="n">
        <v>158</v>
      </c>
      <c r="H107" s="18" t="inlineStr">
        <is>
          <t>operating</t>
        </is>
      </c>
      <c r="I107" s="20" t="n">
        <v>0.235715</v>
      </c>
      <c r="J107" s="20" t="n">
        <v>0.584921</v>
      </c>
      <c r="K107" s="20" t="n">
        <v>0.002139</v>
      </c>
      <c r="L107" s="20" t="n">
        <v>0.228967</v>
      </c>
      <c r="M107" s="20" t="n">
        <v>0.005984000000000001</v>
      </c>
      <c r="N107" s="20" t="n">
        <v>0</v>
      </c>
      <c r="O107" s="20" t="n">
        <v>1.057726</v>
      </c>
    </row>
    <row r="108">
      <c r="A108" s="18" t="inlineStr">
        <is>
          <t>HF_ANACORTES</t>
        </is>
      </c>
      <c r="B108" s="18" t="inlineStr">
        <is>
          <t>HF Sinclair Anacortes</t>
        </is>
      </c>
      <c r="C108" s="18" t="inlineStr">
        <is>
          <t>HF Sinclair</t>
        </is>
      </c>
      <c r="D108" s="18" t="n">
        <v>5</v>
      </c>
      <c r="E108" s="18" t="inlineStr">
        <is>
          <t>Washington</t>
        </is>
      </c>
      <c r="F108" s="18" t="inlineStr">
        <is>
          <t>Anacortes</t>
        </is>
      </c>
      <c r="G108" s="19" t="n">
        <v>149</v>
      </c>
      <c r="H108" s="18" t="inlineStr">
        <is>
          <t>operating</t>
        </is>
      </c>
      <c r="I108" s="20" t="n">
        <v>0.189541</v>
      </c>
      <c r="J108" s="20" t="n">
        <v>0.6463139999999999</v>
      </c>
      <c r="K108" s="20" t="n">
        <v>0.004459</v>
      </c>
      <c r="L108" s="20" t="n">
        <v>0.18885</v>
      </c>
      <c r="M108" s="20" t="n">
        <v>0.0074</v>
      </c>
      <c r="N108" s="20" t="n">
        <v>0</v>
      </c>
      <c r="O108" s="20" t="n">
        <v>1.036564</v>
      </c>
    </row>
    <row r="109">
      <c r="A109" s="18" t="inlineStr">
        <is>
          <t>MARATHON_ANACORTES</t>
        </is>
      </c>
      <c r="B109" s="18" t="inlineStr">
        <is>
          <t>Marathon Petroleum Anacortes</t>
        </is>
      </c>
      <c r="C109" s="18" t="inlineStr">
        <is>
          <t>Marathon Petroleum</t>
        </is>
      </c>
      <c r="D109" s="18" t="n">
        <v>5</v>
      </c>
      <c r="E109" s="18" t="inlineStr">
        <is>
          <t>Washington</t>
        </is>
      </c>
      <c r="F109" s="18" t="inlineStr">
        <is>
          <t>Anacortes</t>
        </is>
      </c>
      <c r="G109" s="19" t="n">
        <v>122</v>
      </c>
      <c r="H109" s="18" t="inlineStr">
        <is>
          <t>operating</t>
        </is>
      </c>
      <c r="I109" s="20" t="n">
        <v>0.144005</v>
      </c>
      <c r="J109" s="20" t="n">
        <v>0.5900030000000001</v>
      </c>
      <c r="K109" s="20" t="n">
        <v>0.06291099999999999</v>
      </c>
      <c r="L109" s="20" t="n">
        <v>0.219241</v>
      </c>
      <c r="M109" s="20" t="n">
        <v>-0.000174</v>
      </c>
      <c r="N109" s="20" t="n">
        <v>0</v>
      </c>
      <c r="O109" s="20" t="n">
        <v>1.015987</v>
      </c>
    </row>
    <row r="110">
      <c r="A110" s="18" t="inlineStr">
        <is>
          <t>PHILLIPS_FERNDALE</t>
        </is>
      </c>
      <c r="B110" s="18" t="inlineStr">
        <is>
          <t>Phillips 66 Co. Ferndale</t>
        </is>
      </c>
      <c r="C110" s="18" t="inlineStr">
        <is>
          <t>Phillips 66 Co.</t>
        </is>
      </c>
      <c r="D110" s="18" t="n">
        <v>5</v>
      </c>
      <c r="E110" s="18" t="inlineStr">
        <is>
          <t>Washington</t>
        </is>
      </c>
      <c r="F110" s="18" t="inlineStr">
        <is>
          <t>Ferndale</t>
        </is>
      </c>
      <c r="G110" s="19" t="n">
        <v>105</v>
      </c>
      <c r="H110" s="18" t="inlineStr">
        <is>
          <t>operating</t>
        </is>
      </c>
      <c r="I110" s="20" t="n">
        <v>0.256814</v>
      </c>
      <c r="J110" s="20" t="n">
        <v>0.537851</v>
      </c>
      <c r="K110" s="20" t="n">
        <v>0.04954</v>
      </c>
      <c r="L110" s="20" t="n">
        <v>0.15784</v>
      </c>
      <c r="M110" s="20" t="n">
        <v>0.004546</v>
      </c>
      <c r="N110" s="20" t="n">
        <v>0.001016</v>
      </c>
      <c r="O110" s="20" t="n">
        <v>1.007606</v>
      </c>
    </row>
    <row r="111">
      <c r="A111" s="18" t="inlineStr">
        <is>
          <t>MARATHON_LOS_ANGELES</t>
        </is>
      </c>
      <c r="B111" s="18" t="inlineStr">
        <is>
          <t>Marathon Petroleum Los Angeles</t>
        </is>
      </c>
      <c r="C111" s="18" t="inlineStr">
        <is>
          <t>Marathon Petroleum</t>
        </is>
      </c>
      <c r="D111" s="18" t="n">
        <v>5</v>
      </c>
      <c r="E111" s="18" t="inlineStr">
        <is>
          <t>California</t>
        </is>
      </c>
      <c r="F111" s="18" t="inlineStr">
        <is>
          <t>Los Angeles</t>
        </is>
      </c>
      <c r="G111" s="19" t="n">
        <v>103.5</v>
      </c>
      <c r="H111" s="18" t="inlineStr">
        <is>
          <t>operating</t>
        </is>
      </c>
      <c r="I111" s="20" t="n">
        <v>0.264219</v>
      </c>
      <c r="J111" s="20" t="n">
        <v>0.4821029999999999</v>
      </c>
      <c r="K111" s="20" t="n">
        <v>0.0048</v>
      </c>
      <c r="L111" s="20" t="n">
        <v>0.269748</v>
      </c>
      <c r="M111" s="20" t="n">
        <v>0.011184</v>
      </c>
      <c r="N111" s="20" t="n">
        <v>0.0009</v>
      </c>
      <c r="O111" s="20" t="n">
        <v>1.032953</v>
      </c>
    </row>
    <row r="112">
      <c r="A112" s="18" t="inlineStr">
        <is>
          <t>PAR_EWA_BEACH</t>
        </is>
      </c>
      <c r="B112" s="18" t="inlineStr">
        <is>
          <t>Par Petroleum Ewa Beach</t>
        </is>
      </c>
      <c r="C112" s="18" t="inlineStr">
        <is>
          <t>Par Petroleum</t>
        </is>
      </c>
      <c r="D112" s="18" t="n">
        <v>5</v>
      </c>
      <c r="E112" s="18" t="inlineStr">
        <is>
          <t>Hawaii</t>
        </is>
      </c>
      <c r="F112" s="18" t="inlineStr">
        <is>
          <t>Ewa Beach</t>
        </is>
      </c>
      <c r="G112" s="19" t="n">
        <v>94</v>
      </c>
      <c r="H112" s="18" t="inlineStr">
        <is>
          <t>operating</t>
        </is>
      </c>
      <c r="I112" s="20" t="n">
        <v>0.181748</v>
      </c>
      <c r="J112" s="20" t="n">
        <v>0.324677</v>
      </c>
      <c r="K112" s="20" t="n">
        <v>0.158243</v>
      </c>
      <c r="L112" s="20" t="n">
        <v>0.230458</v>
      </c>
      <c r="M112" s="20" t="n">
        <v>0</v>
      </c>
      <c r="N112" s="20" t="n">
        <v>0</v>
      </c>
      <c r="O112" s="20" t="n">
        <v>0.8951260000000001</v>
      </c>
    </row>
    <row r="113">
      <c r="A113" s="18" t="inlineStr">
        <is>
          <t>VALERO_LOS_ANGELES</t>
        </is>
      </c>
      <c r="B113" s="18" t="inlineStr">
        <is>
          <t>Valero Los Angeles</t>
        </is>
      </c>
      <c r="C113" s="18" t="inlineStr">
        <is>
          <t>Valero</t>
        </is>
      </c>
      <c r="D113" s="18" t="n">
        <v>5</v>
      </c>
      <c r="E113" s="18" t="inlineStr">
        <is>
          <t>California</t>
        </is>
      </c>
      <c r="F113" s="18" t="inlineStr">
        <is>
          <t>Los Angeles</t>
        </is>
      </c>
      <c r="G113" s="19" t="n">
        <v>90</v>
      </c>
      <c r="H113" s="18" t="inlineStr">
        <is>
          <t>operating</t>
        </is>
      </c>
      <c r="I113" s="20" t="n">
        <v>0.27538</v>
      </c>
      <c r="J113" s="20" t="n">
        <v>0.770338</v>
      </c>
      <c r="K113" s="20" t="n">
        <v>0.004334</v>
      </c>
      <c r="L113" s="20" t="n">
        <v>0.014074</v>
      </c>
      <c r="M113" s="20" t="n">
        <v>-0.006875</v>
      </c>
      <c r="N113" s="20" t="n">
        <v>0</v>
      </c>
      <c r="O113" s="20" t="n">
        <v>1.05725</v>
      </c>
    </row>
    <row r="114">
      <c r="A114" s="18" t="inlineStr">
        <is>
          <t>MARATHON_NIKISKI</t>
        </is>
      </c>
      <c r="B114" s="18" t="inlineStr">
        <is>
          <t>Marathon Petroleum Nikiski</t>
        </is>
      </c>
      <c r="C114" s="18" t="inlineStr">
        <is>
          <t>Marathon Petroleum</t>
        </is>
      </c>
      <c r="D114" s="18" t="n">
        <v>5</v>
      </c>
      <c r="E114" s="18" t="inlineStr">
        <is>
          <t>Alaska</t>
        </is>
      </c>
      <c r="F114" s="18" t="inlineStr">
        <is>
          <t>Nikiski</t>
        </is>
      </c>
      <c r="G114" s="19" t="n">
        <v>68</v>
      </c>
      <c r="H114" s="18" t="inlineStr">
        <is>
          <t>operating</t>
        </is>
      </c>
      <c r="I114" s="20" t="n">
        <v>0.109631</v>
      </c>
      <c r="J114" s="20" t="n">
        <v>0.354587</v>
      </c>
      <c r="K114" s="20" t="n">
        <v>0.207415</v>
      </c>
      <c r="L114" s="20" t="n">
        <v>0.35698</v>
      </c>
      <c r="M114" s="20" t="n">
        <v>0.007786</v>
      </c>
      <c r="N114" s="20" t="n">
        <v>0.002593</v>
      </c>
      <c r="O114" s="20" t="n">
        <v>1.038994</v>
      </c>
    </row>
    <row r="115">
      <c r="A115" s="18" t="inlineStr">
        <is>
          <t>PETRO_VALDEZ</t>
        </is>
      </c>
      <c r="B115" s="18" t="inlineStr">
        <is>
          <t>Petro Star Inc. Valdez</t>
        </is>
      </c>
      <c r="C115" s="18" t="inlineStr">
        <is>
          <t>Petro Star Inc.</t>
        </is>
      </c>
      <c r="D115" s="18" t="n">
        <v>5</v>
      </c>
      <c r="E115" s="18" t="inlineStr">
        <is>
          <t>Alaska</t>
        </is>
      </c>
      <c r="F115" s="18" t="inlineStr">
        <is>
          <t>Valdez</t>
        </is>
      </c>
      <c r="G115" s="19" t="n">
        <v>60</v>
      </c>
      <c r="H115" s="18" t="inlineStr">
        <is>
          <t>operating</t>
        </is>
      </c>
      <c r="I115" s="20" t="n">
        <v>0.08385099999999999</v>
      </c>
      <c r="J115" s="20" t="n">
        <v>0</v>
      </c>
      <c r="K115" s="20" t="n">
        <v>0</v>
      </c>
      <c r="L115" s="20" t="n">
        <v>0.286891</v>
      </c>
      <c r="M115" s="20" t="n">
        <v>0</v>
      </c>
      <c r="N115" s="20" t="n">
        <v>0</v>
      </c>
      <c r="O115" s="20" t="n">
        <v>0.370742</v>
      </c>
    </row>
    <row r="116">
      <c r="A116" s="18" t="inlineStr">
        <is>
          <t>PAR_TACOMA</t>
        </is>
      </c>
      <c r="B116" s="18" t="inlineStr">
        <is>
          <t>Par Petroleum Tacoma</t>
        </is>
      </c>
      <c r="C116" s="18" t="inlineStr">
        <is>
          <t>Par Petroleum</t>
        </is>
      </c>
      <c r="D116" s="18" t="n">
        <v>5</v>
      </c>
      <c r="E116" s="18" t="inlineStr">
        <is>
          <t>Washington</t>
        </is>
      </c>
      <c r="F116" s="18" t="inlineStr">
        <is>
          <t>Tacoma</t>
        </is>
      </c>
      <c r="G116" s="19" t="n">
        <v>42</v>
      </c>
      <c r="H116" s="18" t="inlineStr">
        <is>
          <t>operating</t>
        </is>
      </c>
      <c r="I116" s="20" t="n">
        <v>0.011295</v>
      </c>
      <c r="J116" s="20" t="n">
        <v>0.401806</v>
      </c>
      <c r="K116" s="20" t="n">
        <v>0.314159</v>
      </c>
      <c r="L116" s="20" t="n">
        <v>0.207682</v>
      </c>
      <c r="M116" s="20" t="n">
        <v>0.004532</v>
      </c>
      <c r="N116" s="20" t="n">
        <v>0.00111</v>
      </c>
      <c r="O116" s="20" t="n">
        <v>0.9405880000000001</v>
      </c>
    </row>
    <row r="117">
      <c r="A117" s="18" t="inlineStr">
        <is>
          <t>KERN_BAKERSFIELD</t>
        </is>
      </c>
      <c r="B117" s="18" t="inlineStr">
        <is>
          <t>Kern Oil Bakersfield</t>
        </is>
      </c>
      <c r="C117" s="18" t="inlineStr">
        <is>
          <t>Kern Oil</t>
        </is>
      </c>
      <c r="D117" s="18" t="n">
        <v>5</v>
      </c>
      <c r="E117" s="18" t="inlineStr">
        <is>
          <t>California</t>
        </is>
      </c>
      <c r="F117" s="18" t="inlineStr">
        <is>
          <t>Bakersfield</t>
        </is>
      </c>
      <c r="G117" s="19" t="n">
        <v>27</v>
      </c>
      <c r="H117" s="18" t="inlineStr">
        <is>
          <t>operating</t>
        </is>
      </c>
      <c r="I117" s="20" t="n">
        <v>0.154252</v>
      </c>
      <c r="J117" s="20" t="n">
        <v>0.233653</v>
      </c>
      <c r="K117" s="20" t="n">
        <v>0.147569</v>
      </c>
      <c r="L117" s="20" t="n">
        <v>0.198035</v>
      </c>
      <c r="M117" s="20" t="n">
        <v>-0.001804</v>
      </c>
      <c r="N117" s="20" t="n">
        <v>0</v>
      </c>
      <c r="O117" s="20" t="n">
        <v>0.7317140000000001</v>
      </c>
    </row>
    <row r="118">
      <c r="A118" s="18" t="inlineStr">
        <is>
          <t>SAN_BAKERSFIELD</t>
        </is>
      </c>
      <c r="B118" s="18" t="inlineStr">
        <is>
          <t>San Joaquin Refining Bakersfield</t>
        </is>
      </c>
      <c r="C118" s="18" t="inlineStr">
        <is>
          <t>San Joaquin Refining</t>
        </is>
      </c>
      <c r="D118" s="18" t="n">
        <v>5</v>
      </c>
      <c r="E118" s="18" t="inlineStr">
        <is>
          <t>California</t>
        </is>
      </c>
      <c r="F118" s="18" t="inlineStr">
        <is>
          <t>Bakersfield</t>
        </is>
      </c>
      <c r="G118" s="19" t="n">
        <v>25</v>
      </c>
      <c r="H118" s="18" t="inlineStr">
        <is>
          <t>operating</t>
        </is>
      </c>
      <c r="I118" s="20" t="n">
        <v>0.138155</v>
      </c>
      <c r="J118" s="20" t="n">
        <v>0.204411</v>
      </c>
      <c r="K118" s="20" t="n">
        <v>0.128041</v>
      </c>
      <c r="L118" s="20" t="n">
        <v>0.185724</v>
      </c>
      <c r="M118" s="20" t="n">
        <v>-0.004491</v>
      </c>
      <c r="N118" s="20" t="n">
        <v>0</v>
      </c>
      <c r="O118" s="20" t="n">
        <v>0.651841</v>
      </c>
    </row>
    <row r="119">
      <c r="A119" s="18" t="inlineStr">
        <is>
          <t>PETRO_NORTH_POLE</t>
        </is>
      </c>
      <c r="B119" s="18" t="inlineStr">
        <is>
          <t>Petro Star Inc. North Pole</t>
        </is>
      </c>
      <c r="C119" s="18" t="inlineStr">
        <is>
          <t>Petro Star Inc.</t>
        </is>
      </c>
      <c r="D119" s="18" t="n">
        <v>5</v>
      </c>
      <c r="E119" s="18" t="inlineStr">
        <is>
          <t>Alaska</t>
        </is>
      </c>
      <c r="F119" s="18" t="inlineStr">
        <is>
          <t>North Pole</t>
        </is>
      </c>
      <c r="G119" s="19" t="n">
        <v>22</v>
      </c>
      <c r="H119" s="18" t="inlineStr">
        <is>
          <t>operating</t>
        </is>
      </c>
      <c r="I119" s="20" t="n">
        <v>0.079803</v>
      </c>
      <c r="J119" s="20" t="n">
        <v>0</v>
      </c>
      <c r="K119" s="20" t="n">
        <v>0</v>
      </c>
      <c r="L119" s="20" t="n">
        <v>0.286199</v>
      </c>
      <c r="M119" s="20" t="n">
        <v>0</v>
      </c>
      <c r="N119" s="20" t="n">
        <v>0</v>
      </c>
      <c r="O119" s="20" t="n">
        <v>0.366002</v>
      </c>
    </row>
    <row r="120">
      <c r="A120" s="18" t="inlineStr">
        <is>
          <t>BP_PRUDHOE_BAY</t>
        </is>
      </c>
      <c r="B120" s="18" t="inlineStr">
        <is>
          <t>BP Prudhoe Bay</t>
        </is>
      </c>
      <c r="C120" s="18" t="inlineStr">
        <is>
          <t>BP</t>
        </is>
      </c>
      <c r="D120" s="18" t="n">
        <v>5</v>
      </c>
      <c r="E120" s="18" t="inlineStr">
        <is>
          <t>Alaska</t>
        </is>
      </c>
      <c r="F120" s="18" t="inlineStr">
        <is>
          <t>Prudhoe Bay</t>
        </is>
      </c>
      <c r="G120" s="19" t="n">
        <v>16</v>
      </c>
      <c r="H120" s="18" t="inlineStr">
        <is>
          <t>operating</t>
        </is>
      </c>
      <c r="I120" s="20" t="n">
        <v>0.289795</v>
      </c>
      <c r="J120" s="20" t="n">
        <v>0</v>
      </c>
      <c r="K120" s="20" t="n">
        <v>0</v>
      </c>
      <c r="L120" s="20" t="n">
        <v>0.013923</v>
      </c>
      <c r="M120" s="20" t="n">
        <v>0</v>
      </c>
      <c r="N120" s="20" t="n">
        <v>0</v>
      </c>
      <c r="O120" s="20" t="n">
        <v>0.303708</v>
      </c>
    </row>
    <row r="121">
      <c r="A121" s="18" t="inlineStr">
        <is>
          <t>CONOCOPHILLIPS_ANCHORAGE</t>
        </is>
      </c>
      <c r="B121" s="18" t="inlineStr">
        <is>
          <t>ConocoPhillips Anchorage</t>
        </is>
      </c>
      <c r="C121" s="18" t="inlineStr">
        <is>
          <t>Phillips Petroleum</t>
        </is>
      </c>
      <c r="D121" s="18" t="n">
        <v>5</v>
      </c>
      <c r="E121" s="18" t="inlineStr">
        <is>
          <t>Alaska</t>
        </is>
      </c>
      <c r="F121" s="18" t="inlineStr">
        <is>
          <t>Anchorage</t>
        </is>
      </c>
      <c r="G121" s="19" t="n">
        <v>16</v>
      </c>
      <c r="H121" s="18" t="inlineStr">
        <is>
          <t>operating</t>
        </is>
      </c>
      <c r="I121" s="20" t="n">
        <v>0.2074</v>
      </c>
      <c r="J121" s="20" t="n">
        <v>0.326149</v>
      </c>
      <c r="K121" s="20" t="n">
        <v>0.239697</v>
      </c>
      <c r="L121" s="20" t="n">
        <v>0.155583</v>
      </c>
      <c r="M121" s="20" t="n">
        <v>0.00265</v>
      </c>
      <c r="N121" s="20" t="n">
        <v>0.000244</v>
      </c>
      <c r="O121" s="20" t="n">
        <v>0.931729</v>
      </c>
    </row>
    <row r="122">
      <c r="A122" s="18" t="inlineStr">
        <is>
          <t>LUNDAYTHAGARD_SOUTH_GATE</t>
        </is>
      </c>
      <c r="B122" s="18" t="inlineStr">
        <is>
          <t>Lunday-Thagard Oil Co. South Gate</t>
        </is>
      </c>
      <c r="C122" s="18" t="inlineStr">
        <is>
          <t>Lunday-Thagard Oil Co.</t>
        </is>
      </c>
      <c r="D122" s="18" t="n">
        <v>5</v>
      </c>
      <c r="E122" s="18" t="inlineStr">
        <is>
          <t>California</t>
        </is>
      </c>
      <c r="F122" s="18" t="inlineStr">
        <is>
          <t>South Gate</t>
        </is>
      </c>
      <c r="G122" s="19" t="n">
        <v>8.5</v>
      </c>
      <c r="H122" s="18" t="inlineStr">
        <is>
          <t>operating</t>
        </is>
      </c>
      <c r="I122" s="20" t="n">
        <v>0.156687</v>
      </c>
      <c r="J122" s="20" t="n">
        <v>0.169549</v>
      </c>
      <c r="K122" s="20" t="n">
        <v>0.16339</v>
      </c>
      <c r="L122" s="20" t="n">
        <v>0.201004</v>
      </c>
      <c r="M122" s="20" t="n">
        <v>-0.005519</v>
      </c>
      <c r="N122" s="20" t="n">
        <v>0</v>
      </c>
      <c r="O122" s="20" t="n">
        <v>0.685111</v>
      </c>
    </row>
    <row r="123">
      <c r="A123" s="18" t="inlineStr">
        <is>
          <t>FORELAND_TONOPAH</t>
        </is>
      </c>
      <c r="B123" s="18" t="inlineStr">
        <is>
          <t>Foreland Corp Tonopah</t>
        </is>
      </c>
      <c r="C123" s="18" t="inlineStr">
        <is>
          <t>Energy Income Fund</t>
        </is>
      </c>
      <c r="D123" s="18" t="n">
        <v>5</v>
      </c>
      <c r="E123" s="18" t="inlineStr">
        <is>
          <t>Nevada</t>
        </is>
      </c>
      <c r="F123" s="18" t="inlineStr">
        <is>
          <t>Tonopah</t>
        </is>
      </c>
      <c r="G123" s="19" t="n">
        <v>5</v>
      </c>
      <c r="H123" s="18" t="inlineStr">
        <is>
          <t>operating</t>
        </is>
      </c>
      <c r="I123" s="20" t="n">
        <v>0.147387</v>
      </c>
      <c r="J123" s="20" t="n">
        <v>0.143284</v>
      </c>
      <c r="K123" s="20" t="n">
        <v>0.155302</v>
      </c>
      <c r="L123" s="20" t="n">
        <v>0.172063</v>
      </c>
      <c r="M123" s="20" t="n">
        <v>0</v>
      </c>
      <c r="N123" s="20" t="n">
        <v>0</v>
      </c>
      <c r="O123" s="20" t="n">
        <v>0.618035</v>
      </c>
    </row>
    <row r="124">
      <c r="A124" s="18" t="inlineStr">
        <is>
          <t>PHILLIPS_LOS_ANGELES</t>
        </is>
      </c>
      <c r="B124" s="18" t="inlineStr">
        <is>
          <t>Phillips 66 Co. Los Angeles</t>
        </is>
      </c>
      <c r="C124" s="18" t="inlineStr">
        <is>
          <t>Phillips 66 Co.</t>
        </is>
      </c>
      <c r="D124" s="18" t="n">
        <v>5</v>
      </c>
      <c r="E124" s="18" t="inlineStr">
        <is>
          <t>California</t>
        </is>
      </c>
      <c r="F124" s="18" t="inlineStr">
        <is>
          <t>Los Angeles</t>
        </is>
      </c>
      <c r="G124" s="19" t="n">
        <v>0</v>
      </c>
      <c r="H124" s="18" t="inlineStr">
        <is>
          <t>shut</t>
        </is>
      </c>
      <c r="I124" s="20" t="n">
        <v>0.236233</v>
      </c>
      <c r="J124" s="20" t="n">
        <v>0.688377</v>
      </c>
      <c r="K124" s="20" t="n">
        <v>0.004597</v>
      </c>
      <c r="L124" s="20" t="n">
        <v>0.120232</v>
      </c>
      <c r="M124" s="20" t="n">
        <v>0.007835999999999999</v>
      </c>
      <c r="N124" s="20" t="n">
        <v>0.000102</v>
      </c>
      <c r="O124" s="20" t="n">
        <v>1.057378</v>
      </c>
    </row>
    <row r="125">
      <c r="A125" s="18" t="inlineStr">
        <is>
          <t>VALERO_BENICIA</t>
        </is>
      </c>
      <c r="B125" s="18" t="inlineStr">
        <is>
          <t>Valero Benicia</t>
        </is>
      </c>
      <c r="C125" s="18" t="inlineStr">
        <is>
          <t>Valero</t>
        </is>
      </c>
      <c r="D125" s="18" t="n">
        <v>5</v>
      </c>
      <c r="E125" s="18" t="inlineStr">
        <is>
          <t>California</t>
        </is>
      </c>
      <c r="F125" s="18" t="inlineStr">
        <is>
          <t>Benicia</t>
        </is>
      </c>
      <c r="G125" s="19" t="n">
        <v>0</v>
      </c>
      <c r="H125" s="18" t="inlineStr">
        <is>
          <t>shut</t>
        </is>
      </c>
      <c r="I125" s="20" t="n">
        <v>0.227784</v>
      </c>
      <c r="J125" s="20" t="n">
        <v>0.6763429999999999</v>
      </c>
      <c r="K125" s="20" t="n">
        <v>0.012873</v>
      </c>
      <c r="L125" s="20" t="n">
        <v>0.101721</v>
      </c>
      <c r="M125" s="20" t="n">
        <v>0.004105</v>
      </c>
      <c r="N125" s="20" t="n">
        <v>0.000439</v>
      </c>
      <c r="O125" s="20" t="n">
        <v>1.023265</v>
      </c>
    </row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243D"/>
    <outlinePr summaryBelow="1" summaryRight="1"/>
    <pageSetUpPr/>
  </sheetPr>
  <dimension ref="A1:P108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11" customWidth="1" min="8" max="8"/>
    <col width="8" customWidth="1" min="9" max="9"/>
    <col width="7" customWidth="1" min="10" max="10"/>
    <col width="8" customWidth="1" min="11" max="11"/>
    <col width="9" customWidth="1" min="12" max="12"/>
    <col width="8" customWidth="1" min="13" max="13"/>
    <col width="9" customWidth="1" min="14" max="14"/>
    <col width="9" customWidth="1" min="15" max="15"/>
    <col width="14" customWidth="1" min="16" max="16"/>
  </cols>
  <sheetData>
    <row r="1" ht="20" customHeight="1">
      <c r="A1" s="8" t="inlineStr">
        <is>
          <t>Refinery boxes — net naphtha = capacity x utilization x signed yields. Blue = input, orange = manual override, grey = formula. The MODE dropdown flips each unit between override and assumption (set it on the NET NAPHTHA row to flip the whole refinery). Yield-mode rows read the Data sheet.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2">
      <c r="A2" s="17" t="inlineStr">
        <is>
          <t>row</t>
        </is>
      </c>
      <c r="B2" s="17" t="inlineStr">
        <is>
          <t>refinery_id</t>
        </is>
      </c>
      <c r="C2" s="17" t="inlineStr">
        <is>
          <t>padd</t>
        </is>
      </c>
      <c r="D2" s="17" t="inlineStr">
        <is>
          <t>unit</t>
        </is>
      </c>
      <c r="E2" s="17" t="inlineStr">
        <is>
          <t>type</t>
        </is>
      </c>
      <c r="F2" s="17" t="inlineStr">
        <is>
          <t>cap kbd</t>
        </is>
      </c>
      <c r="G2" s="17" t="inlineStr">
        <is>
          <t>eff cap</t>
        </is>
      </c>
      <c r="H2" s="17" t="inlineStr">
        <is>
          <t>mode</t>
        </is>
      </c>
      <c r="I2" s="17" t="inlineStr">
        <is>
          <t>util ovr</t>
        </is>
      </c>
      <c r="J2" s="17" t="inlineStr">
        <is>
          <t>util</t>
        </is>
      </c>
      <c r="K2" s="17" t="inlineStr">
        <is>
          <t>LVN ovr</t>
        </is>
      </c>
      <c r="L2" s="17" t="inlineStr">
        <is>
          <t>LVN yield</t>
        </is>
      </c>
      <c r="M2" s="17" t="inlineStr">
        <is>
          <t>HVN ovr</t>
        </is>
      </c>
      <c r="N2" s="17" t="inlineStr">
        <is>
          <t>HVN yield</t>
        </is>
      </c>
      <c r="O2" s="17" t="inlineStr">
        <is>
          <t>Σ yield</t>
        </is>
      </c>
      <c r="P2" s="17" t="inlineStr">
        <is>
          <t>net naphtha kbd</t>
        </is>
      </c>
    </row>
    <row r="3" ht="20" customHeight="1">
      <c r="A3" s="8">
        <f>"  Phillips 66 Co. Linden  [PHILLIPS_LINDEN]   —   Phillips 66 Co.   —   PADD 1   —   crude "&amp;TEXT(SUMIFS(Data!$G$3:$G$125,Data!$A$3:$A$125,"PHILLIPS_LINDEN"),"#,##0")&amp;" kbd"</f>
        <v/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</row>
    <row r="4">
      <c r="A4" s="11" t="inlineStr">
        <is>
          <t>UNIT</t>
        </is>
      </c>
      <c r="B4" s="18" t="inlineStr">
        <is>
          <t>PHILLIPS_LINDEN</t>
        </is>
      </c>
      <c r="C4" s="18" t="n">
        <v>1</v>
      </c>
      <c r="D4" s="18" t="inlineStr">
        <is>
          <t>CDU</t>
        </is>
      </c>
      <c r="E4" s="18" t="inlineStr">
        <is>
          <t>CDU</t>
        </is>
      </c>
      <c r="F4" s="19" t="n">
        <v>272.1</v>
      </c>
      <c r="G4" s="21">
        <f>IFERROR(IF(INDEX(Effective!$E$3:$R$125,MATCH($B4,Effective!$A$3:$A$125,0),MATCH($D4,Effective!$E$2:$R$2,0))=0,"",INDEX(Effective!$E$3:$R$125,MATCH($B4,Effective!$A$3:$A$125,0),MATCH($D4,Effective!$E$2:$R$2,0))),"")</f>
        <v/>
      </c>
      <c r="H4" s="22" t="inlineStr">
        <is>
          <t>override</t>
        </is>
      </c>
      <c r="I4" s="23" t="n">
        <v>0.804</v>
      </c>
      <c r="J4" s="24">
        <f>IF(AND(IF($H10&lt;&gt;"",$H10,$H4)="override",$I4&lt;&gt;""),$I4,SUMIFS(Assumptions!$K$4:$K$8,Assumptions!$J$4:$J$8,$C4))*Assumptions!$S$10</f>
        <v/>
      </c>
      <c r="K4" s="23" t="n"/>
      <c r="L4" s="25">
        <f>IF(AND(IF($H10&lt;&gt;"",$H10,$H4)="override",$K4&lt;&gt;""),$K4,SUMIFS(Assumptions!$P$4:$P$103,Assumptions!$M$4:$M$103,$C4,Assumptions!$N$4:$N$103,$E4,Assumptions!$O$4:$O$103,"LVN"))</f>
        <v/>
      </c>
      <c r="M4" s="23" t="n"/>
      <c r="N4" s="25">
        <f>IF(AND(IF($H10&lt;&gt;"",$H10,$H4)="override",$M4&lt;&gt;""),$M4,SUMIFS(Assumptions!$P$4:$P$103,Assumptions!$M$4:$M$103,$C4,Assumptions!$N$4:$N$103,$E4,Assumptions!$O$4:$O$103,"HVN"))</f>
        <v/>
      </c>
      <c r="O4" s="25">
        <f>(L4+N4)*Assumptions!$S$11</f>
        <v/>
      </c>
      <c r="P4" s="26">
        <f>$F4*$J4*$O4</f>
        <v/>
      </c>
    </row>
    <row r="5">
      <c r="A5" s="11" t="inlineStr">
        <is>
          <t>UNIT</t>
        </is>
      </c>
      <c r="B5" s="18" t="inlineStr">
        <is>
          <t>PHILLIPS_LINDEN</t>
        </is>
      </c>
      <c r="C5" s="18" t="n">
        <v>1</v>
      </c>
      <c r="D5" s="18" t="inlineStr">
        <is>
          <t>VDU</t>
        </is>
      </c>
      <c r="E5" s="18" t="inlineStr">
        <is>
          <t>VDU</t>
        </is>
      </c>
      <c r="F5" s="19" t="n">
        <v>75</v>
      </c>
      <c r="G5" s="21">
        <f>IFERROR(IF(INDEX(Effective!$E$3:$R$125,MATCH($B5,Effective!$A$3:$A$125,0),MATCH($D5,Effective!$E$2:$R$2,0))=0,"",INDEX(Effective!$E$3:$R$125,MATCH($B5,Effective!$A$3:$A$125,0),MATCH($D5,Effective!$E$2:$R$2,0))),"")</f>
        <v/>
      </c>
      <c r="H5" s="22" t="inlineStr">
        <is>
          <t>override</t>
        </is>
      </c>
      <c r="I5" s="23" t="n">
        <v>0.991</v>
      </c>
      <c r="J5" s="24">
        <f>IF(AND(IF($H10&lt;&gt;"",$H10,$H5)="override",$I5&lt;&gt;""),$I5,SUMIFS(Assumptions!$K$4:$K$8,Assumptions!$J$4:$J$8,$C5))*Assumptions!$S$10</f>
        <v/>
      </c>
      <c r="K5" s="23" t="n"/>
      <c r="L5" s="25">
        <f>IF(AND(IF($H10&lt;&gt;"",$H10,$H5)="override",$K5&lt;&gt;""),$K5,SUMIFS(Assumptions!$P$4:$P$103,Assumptions!$M$4:$M$103,$C5,Assumptions!$N$4:$N$103,$E5,Assumptions!$O$4:$O$103,"LVN"))</f>
        <v/>
      </c>
      <c r="M5" s="23" t="n"/>
      <c r="N5" s="25">
        <f>IF(AND(IF($H10&lt;&gt;"",$H10,$H5)="override",$M5&lt;&gt;""),$M5,SUMIFS(Assumptions!$P$4:$P$103,Assumptions!$M$4:$M$103,$C5,Assumptions!$N$4:$N$103,$E5,Assumptions!$O$4:$O$103,"HVN"))</f>
        <v/>
      </c>
      <c r="O5" s="25">
        <f>(L5+N5)*Assumptions!$S$11</f>
        <v/>
      </c>
      <c r="P5" s="26">
        <f>$F5*$J5*$O5</f>
        <v/>
      </c>
    </row>
    <row r="6">
      <c r="A6" s="11" t="inlineStr">
        <is>
          <t>UNIT</t>
        </is>
      </c>
      <c r="B6" s="18" t="inlineStr">
        <is>
          <t>PHILLIPS_LINDEN</t>
        </is>
      </c>
      <c r="C6" s="18" t="n">
        <v>1</v>
      </c>
      <c r="D6" s="18" t="inlineStr">
        <is>
          <t>FCC</t>
        </is>
      </c>
      <c r="E6" s="18" t="inlineStr">
        <is>
          <t>FCC</t>
        </is>
      </c>
      <c r="F6" s="19" t="n">
        <v>145</v>
      </c>
      <c r="G6" s="21">
        <f>IFERROR(IF(INDEX(Effective!$E$3:$R$125,MATCH($B6,Effective!$A$3:$A$125,0),MATCH($D6,Effective!$E$2:$R$2,0))=0,"",INDEX(Effective!$E$3:$R$125,MATCH($B6,Effective!$A$3:$A$125,0),MATCH($D6,Effective!$E$2:$R$2,0))),"")</f>
        <v/>
      </c>
      <c r="H6" s="22" t="inlineStr">
        <is>
          <t>override</t>
        </is>
      </c>
      <c r="I6" s="23" t="n">
        <v>0.569</v>
      </c>
      <c r="J6" s="24">
        <f>IF(AND(IF($H10&lt;&gt;"",$H10,$H6)="override",$I6&lt;&gt;""),$I6,SUMIFS(Assumptions!$K$4:$K$8,Assumptions!$J$4:$J$8,$C6))*Assumptions!$S$10</f>
        <v/>
      </c>
      <c r="K6" s="23" t="n"/>
      <c r="L6" s="25">
        <f>IF(AND(IF($H10&lt;&gt;"",$H10,$H6)="override",$K6&lt;&gt;""),$K6,SUMIFS(Assumptions!$P$4:$P$103,Assumptions!$M$4:$M$103,$C6,Assumptions!$N$4:$N$103,$E6,Assumptions!$O$4:$O$103,"LVN"))</f>
        <v/>
      </c>
      <c r="M6" s="23" t="n"/>
      <c r="N6" s="25">
        <f>IF(AND(IF($H10&lt;&gt;"",$H10,$H6)="override",$M6&lt;&gt;""),$M6,SUMIFS(Assumptions!$P$4:$P$103,Assumptions!$M$4:$M$103,$C6,Assumptions!$N$4:$N$103,$E6,Assumptions!$O$4:$O$103,"HVN"))</f>
        <v/>
      </c>
      <c r="O6" s="25">
        <f>(L6+N6)*Assumptions!$S$11</f>
        <v/>
      </c>
      <c r="P6" s="26">
        <f>$F6*$J6*$O6</f>
        <v/>
      </c>
    </row>
    <row r="7">
      <c r="A7" s="11" t="inlineStr">
        <is>
          <t>UNIT</t>
        </is>
      </c>
      <c r="B7" s="18" t="inlineStr">
        <is>
          <t>PHILLIPS_LINDEN</t>
        </is>
      </c>
      <c r="C7" s="18" t="n">
        <v>1</v>
      </c>
      <c r="D7" s="18" t="inlineStr">
        <is>
          <t>CCR</t>
        </is>
      </c>
      <c r="E7" s="18" t="inlineStr">
        <is>
          <t>REFORMER</t>
        </is>
      </c>
      <c r="F7" s="19" t="n">
        <v>37</v>
      </c>
      <c r="G7" s="21">
        <f>IFERROR(IF(INDEX(Effective!$E$3:$R$125,MATCH($B7,Effective!$A$3:$A$125,0),MATCH($D7,Effective!$E$2:$R$2,0))=0,"",INDEX(Effective!$E$3:$R$125,MATCH($B7,Effective!$A$3:$A$125,0),MATCH($D7,Effective!$E$2:$R$2,0))),"")</f>
        <v/>
      </c>
      <c r="H7" s="22" t="inlineStr">
        <is>
          <t>override</t>
        </is>
      </c>
      <c r="I7" s="23" t="n">
        <v>0.606</v>
      </c>
      <c r="J7" s="24">
        <f>IF(AND(IF($H10&lt;&gt;"",$H10,$H7)="override",$I7&lt;&gt;""),$I7,SUMIFS(Assumptions!$K$4:$K$8,Assumptions!$J$4:$J$8,$C7))*Assumptions!$S$10</f>
        <v/>
      </c>
      <c r="K7" s="23" t="n"/>
      <c r="L7" s="25">
        <f>IF(AND(IF($H10&lt;&gt;"",$H10,$H7)="override",$K7&lt;&gt;""),$K7,SUMIFS(Assumptions!$P$4:$P$103,Assumptions!$M$4:$M$103,$C7,Assumptions!$N$4:$N$103,$E7,Assumptions!$O$4:$O$103,"LVN"))</f>
        <v/>
      </c>
      <c r="M7" s="23" t="n"/>
      <c r="N7" s="25">
        <f>IF(AND(IF($H10&lt;&gt;"",$H10,$H7)="override",$M7&lt;&gt;""),$M7,SUMIFS(Assumptions!$P$4:$P$103,Assumptions!$M$4:$M$103,$C7,Assumptions!$N$4:$N$103,$E7,Assumptions!$O$4:$O$103,"HVN"))</f>
        <v/>
      </c>
      <c r="O7" s="25">
        <f>(L7+N7)*Assumptions!$S$11</f>
        <v/>
      </c>
      <c r="P7" s="26">
        <f>$F7*$J7*$O7</f>
        <v/>
      </c>
    </row>
    <row r="8">
      <c r="A8" s="11" t="inlineStr">
        <is>
          <t>UNIT</t>
        </is>
      </c>
      <c r="B8" s="18" t="inlineStr">
        <is>
          <t>PHILLIPS_LINDEN</t>
        </is>
      </c>
      <c r="C8" s="18" t="n">
        <v>1</v>
      </c>
      <c r="D8" s="18" t="inlineStr">
        <is>
          <t>ALKY</t>
        </is>
      </c>
      <c r="E8" s="18" t="inlineStr">
        <is>
          <t>ALKY</t>
        </is>
      </c>
      <c r="F8" s="19" t="n">
        <v>18.8</v>
      </c>
      <c r="G8" s="21">
        <f>IFERROR(IF(INDEX(Effective!$E$3:$R$125,MATCH($B8,Effective!$A$3:$A$125,0),MATCH($D8,Effective!$E$2:$R$2,0))=0,"",INDEX(Effective!$E$3:$R$125,MATCH($B8,Effective!$A$3:$A$125,0),MATCH($D8,Effective!$E$2:$R$2,0))),"")</f>
        <v/>
      </c>
      <c r="H8" s="22" t="inlineStr">
        <is>
          <t>override</t>
        </is>
      </c>
      <c r="I8" s="23" t="n">
        <v>0.988</v>
      </c>
      <c r="J8" s="24">
        <f>IF(AND(IF($H10&lt;&gt;"",$H10,$H8)="override",$I8&lt;&gt;""),$I8,SUMIFS(Assumptions!$K$4:$K$8,Assumptions!$J$4:$J$8,$C8))*Assumptions!$S$10</f>
        <v/>
      </c>
      <c r="K8" s="23" t="n"/>
      <c r="L8" s="25">
        <f>IF(AND(IF($H10&lt;&gt;"",$H10,$H8)="override",$K8&lt;&gt;""),$K8,SUMIFS(Assumptions!$P$4:$P$103,Assumptions!$M$4:$M$103,$C8,Assumptions!$N$4:$N$103,$E8,Assumptions!$O$4:$O$103,"LVN"))</f>
        <v/>
      </c>
      <c r="M8" s="23" t="n"/>
      <c r="N8" s="25">
        <f>IF(AND(IF($H10&lt;&gt;"",$H10,$H8)="override",$M8&lt;&gt;""),$M8,SUMIFS(Assumptions!$P$4:$P$103,Assumptions!$M$4:$M$103,$C8,Assumptions!$N$4:$N$103,$E8,Assumptions!$O$4:$O$103,"HVN"))</f>
        <v/>
      </c>
      <c r="O8" s="25">
        <f>(L8+N8)*Assumptions!$S$11</f>
        <v/>
      </c>
      <c r="P8" s="26">
        <f>$F8*$J8*$O8</f>
        <v/>
      </c>
    </row>
    <row r="9">
      <c r="A9" s="11" t="inlineStr">
        <is>
          <t>UNIT</t>
        </is>
      </c>
      <c r="B9" s="18" t="inlineStr">
        <is>
          <t>PHILLIPS_LINDEN</t>
        </is>
      </c>
      <c r="C9" s="18" t="n">
        <v>1</v>
      </c>
      <c r="D9" s="18" t="inlineStr">
        <is>
          <t>NHT</t>
        </is>
      </c>
      <c r="E9" s="18" t="inlineStr">
        <is>
          <t>NHT</t>
        </is>
      </c>
      <c r="F9" s="19" t="n">
        <v>65.5</v>
      </c>
      <c r="G9" s="21">
        <f>IFERROR(IF(INDEX(Effective!$E$3:$R$125,MATCH($B9,Effective!$A$3:$A$125,0),MATCH($D9,Effective!$E$2:$R$2,0))=0,"",INDEX(Effective!$E$3:$R$125,MATCH($B9,Effective!$A$3:$A$125,0),MATCH($D9,Effective!$E$2:$R$2,0))),"")</f>
        <v/>
      </c>
      <c r="H9" s="22" t="inlineStr">
        <is>
          <t>override</t>
        </is>
      </c>
      <c r="I9" s="23" t="n">
        <v>0.8110000000000001</v>
      </c>
      <c r="J9" s="24">
        <f>IF(AND(IF($H10&lt;&gt;"",$H10,$H9)="override",$I9&lt;&gt;""),$I9,SUMIFS(Assumptions!$K$4:$K$8,Assumptions!$J$4:$J$8,$C9))*Assumptions!$S$10</f>
        <v/>
      </c>
      <c r="K9" s="23" t="n"/>
      <c r="L9" s="25">
        <f>IF(AND(IF($H10&lt;&gt;"",$H10,$H9)="override",$K9&lt;&gt;""),$K9,SUMIFS(Assumptions!$P$4:$P$103,Assumptions!$M$4:$M$103,$C9,Assumptions!$N$4:$N$103,$E9,Assumptions!$O$4:$O$103,"LVN"))</f>
        <v/>
      </c>
      <c r="M9" s="23" t="n"/>
      <c r="N9" s="25">
        <f>IF(AND(IF($H10&lt;&gt;"",$H10,$H9)="override",$M9&lt;&gt;""),$M9,SUMIFS(Assumptions!$P$4:$P$103,Assumptions!$M$4:$M$103,$C9,Assumptions!$N$4:$N$103,$E9,Assumptions!$O$4:$O$103,"HVN"))</f>
        <v/>
      </c>
      <c r="O9" s="25">
        <f>(L9+N9)*Assumptions!$S$11</f>
        <v/>
      </c>
      <c r="P9" s="26">
        <f>$F9*$J9*$O9</f>
        <v/>
      </c>
    </row>
    <row r="10">
      <c r="A10" s="27" t="inlineStr">
        <is>
          <t>TOTAL</t>
        </is>
      </c>
      <c r="B10" s="28" t="inlineStr">
        <is>
          <t>PHILLIPS_LINDEN</t>
        </is>
      </c>
      <c r="C10" s="28" t="n">
        <v>1</v>
      </c>
      <c r="D10" s="28" t="inlineStr">
        <is>
          <t>NET NAPHTHA</t>
        </is>
      </c>
      <c r="H10" s="22" t="n"/>
      <c r="P10" s="29">
        <f>SUM(P4:P9)</f>
        <v/>
      </c>
    </row>
    <row r="12" ht="20" customHeight="1">
      <c r="A12" s="8">
        <f>"  Monroe Energy Trainer  [MONROE_TRAINER]   —   Delta Airlines   —   PADD 1   —   crude "&amp;TEXT(SUMIFS(Data!$G$3:$G$125,Data!$A$3:$A$125,"MONROE_TRAINER"),"#,##0")&amp;" kbd"</f>
        <v/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</row>
    <row r="13">
      <c r="A13" s="11" t="inlineStr">
        <is>
          <t>UNIT</t>
        </is>
      </c>
      <c r="B13" s="18" t="inlineStr">
        <is>
          <t>MONROE_TRAINER</t>
        </is>
      </c>
      <c r="C13" s="18" t="n">
        <v>1</v>
      </c>
      <c r="D13" s="18" t="inlineStr">
        <is>
          <t>CDU</t>
        </is>
      </c>
      <c r="E13" s="18" t="inlineStr">
        <is>
          <t>CDU</t>
        </is>
      </c>
      <c r="F13" s="19" t="n">
        <v>208</v>
      </c>
      <c r="G13" s="21">
        <f>IFERROR(IF(INDEX(Effective!$E$3:$R$125,MATCH($B13,Effective!$A$3:$A$125,0),MATCH($D13,Effective!$E$2:$R$2,0))=0,"",INDEX(Effective!$E$3:$R$125,MATCH($B13,Effective!$A$3:$A$125,0),MATCH($D13,Effective!$E$2:$R$2,0))),"")</f>
        <v/>
      </c>
      <c r="H13" s="22" t="inlineStr">
        <is>
          <t>override</t>
        </is>
      </c>
      <c r="I13" s="23" t="n">
        <v>0.8090000000000001</v>
      </c>
      <c r="J13" s="24">
        <f>IF(AND(IF($H20&lt;&gt;"",$H20,$H13)="override",$I13&lt;&gt;""),$I13,SUMIFS(Assumptions!$K$4:$K$8,Assumptions!$J$4:$J$8,$C13))*Assumptions!$S$10</f>
        <v/>
      </c>
      <c r="K13" s="23" t="n"/>
      <c r="L13" s="25">
        <f>IF(AND(IF($H20&lt;&gt;"",$H20,$H13)="override",$K13&lt;&gt;""),$K13,SUMIFS(Assumptions!$P$4:$P$103,Assumptions!$M$4:$M$103,$C13,Assumptions!$N$4:$N$103,$E13,Assumptions!$O$4:$O$103,"LVN"))</f>
        <v/>
      </c>
      <c r="M13" s="23" t="n"/>
      <c r="N13" s="25">
        <f>IF(AND(IF($H20&lt;&gt;"",$H20,$H13)="override",$M13&lt;&gt;""),$M13,SUMIFS(Assumptions!$P$4:$P$103,Assumptions!$M$4:$M$103,$C13,Assumptions!$N$4:$N$103,$E13,Assumptions!$O$4:$O$103,"HVN"))</f>
        <v/>
      </c>
      <c r="O13" s="25">
        <f>(L13+N13)*Assumptions!$S$11</f>
        <v/>
      </c>
      <c r="P13" s="26">
        <f>$F13*$J13*$O13</f>
        <v/>
      </c>
    </row>
    <row r="14">
      <c r="A14" s="11" t="inlineStr">
        <is>
          <t>UNIT</t>
        </is>
      </c>
      <c r="B14" s="18" t="inlineStr">
        <is>
          <t>MONROE_TRAINER</t>
        </is>
      </c>
      <c r="C14" s="18" t="n">
        <v>1</v>
      </c>
      <c r="D14" s="18" t="inlineStr">
        <is>
          <t>VDU</t>
        </is>
      </c>
      <c r="E14" s="18" t="inlineStr">
        <is>
          <t>VDU</t>
        </is>
      </c>
      <c r="F14" s="19" t="n">
        <v>73</v>
      </c>
      <c r="G14" s="21">
        <f>IFERROR(IF(INDEX(Effective!$E$3:$R$125,MATCH($B14,Effective!$A$3:$A$125,0),MATCH($D14,Effective!$E$2:$R$2,0))=0,"",INDEX(Effective!$E$3:$R$125,MATCH($B14,Effective!$A$3:$A$125,0),MATCH($D14,Effective!$E$2:$R$2,0))),"")</f>
        <v/>
      </c>
      <c r="H14" s="22" t="inlineStr">
        <is>
          <t>override</t>
        </is>
      </c>
      <c r="I14" s="23" t="n">
        <v>0.584</v>
      </c>
      <c r="J14" s="24">
        <f>IF(AND(IF($H20&lt;&gt;"",$H20,$H14)="override",$I14&lt;&gt;""),$I14,SUMIFS(Assumptions!$K$4:$K$8,Assumptions!$J$4:$J$8,$C14))*Assumptions!$S$10</f>
        <v/>
      </c>
      <c r="K14" s="23" t="n"/>
      <c r="L14" s="25">
        <f>IF(AND(IF($H20&lt;&gt;"",$H20,$H14)="override",$K14&lt;&gt;""),$K14,SUMIFS(Assumptions!$P$4:$P$103,Assumptions!$M$4:$M$103,$C14,Assumptions!$N$4:$N$103,$E14,Assumptions!$O$4:$O$103,"LVN"))</f>
        <v/>
      </c>
      <c r="M14" s="23" t="n"/>
      <c r="N14" s="25">
        <f>IF(AND(IF($H20&lt;&gt;"",$H20,$H14)="override",$M14&lt;&gt;""),$M14,SUMIFS(Assumptions!$P$4:$P$103,Assumptions!$M$4:$M$103,$C14,Assumptions!$N$4:$N$103,$E14,Assumptions!$O$4:$O$103,"HVN"))</f>
        <v/>
      </c>
      <c r="O14" s="25">
        <f>(L14+N14)*Assumptions!$S$11</f>
        <v/>
      </c>
      <c r="P14" s="26">
        <f>$F14*$J14*$O14</f>
        <v/>
      </c>
    </row>
    <row r="15">
      <c r="A15" s="11" t="inlineStr">
        <is>
          <t>UNIT</t>
        </is>
      </c>
      <c r="B15" s="18" t="inlineStr">
        <is>
          <t>MONROE_TRAINER</t>
        </is>
      </c>
      <c r="C15" s="18" t="n">
        <v>1</v>
      </c>
      <c r="D15" s="18" t="inlineStr">
        <is>
          <t>FCC</t>
        </is>
      </c>
      <c r="E15" s="18" t="inlineStr">
        <is>
          <t>FCC</t>
        </is>
      </c>
      <c r="F15" s="19" t="n">
        <v>53</v>
      </c>
      <c r="G15" s="21">
        <f>IFERROR(IF(INDEX(Effective!$E$3:$R$125,MATCH($B15,Effective!$A$3:$A$125,0),MATCH($D15,Effective!$E$2:$R$2,0))=0,"",INDEX(Effective!$E$3:$R$125,MATCH($B15,Effective!$A$3:$A$125,0),MATCH($D15,Effective!$E$2:$R$2,0))),"")</f>
        <v/>
      </c>
      <c r="H15" s="22" t="inlineStr">
        <is>
          <t>override</t>
        </is>
      </c>
      <c r="I15" s="23" t="n">
        <v>0.448</v>
      </c>
      <c r="J15" s="24">
        <f>IF(AND(IF($H20&lt;&gt;"",$H20,$H15)="override",$I15&lt;&gt;""),$I15,SUMIFS(Assumptions!$K$4:$K$8,Assumptions!$J$4:$J$8,$C15))*Assumptions!$S$10</f>
        <v/>
      </c>
      <c r="K15" s="23" t="n"/>
      <c r="L15" s="25">
        <f>IF(AND(IF($H20&lt;&gt;"",$H20,$H15)="override",$K15&lt;&gt;""),$K15,SUMIFS(Assumptions!$P$4:$P$103,Assumptions!$M$4:$M$103,$C15,Assumptions!$N$4:$N$103,$E15,Assumptions!$O$4:$O$103,"LVN"))</f>
        <v/>
      </c>
      <c r="M15" s="23" t="n"/>
      <c r="N15" s="25">
        <f>IF(AND(IF($H20&lt;&gt;"",$H20,$H15)="override",$M15&lt;&gt;""),$M15,SUMIFS(Assumptions!$P$4:$P$103,Assumptions!$M$4:$M$103,$C15,Assumptions!$N$4:$N$103,$E15,Assumptions!$O$4:$O$103,"HVN"))</f>
        <v/>
      </c>
      <c r="O15" s="25">
        <f>(L15+N15)*Assumptions!$S$11</f>
        <v/>
      </c>
      <c r="P15" s="26">
        <f>$F15*$J15*$O15</f>
        <v/>
      </c>
    </row>
    <row r="16">
      <c r="A16" s="11" t="inlineStr">
        <is>
          <t>UNIT</t>
        </is>
      </c>
      <c r="B16" s="18" t="inlineStr">
        <is>
          <t>MONROE_TRAINER</t>
        </is>
      </c>
      <c r="C16" s="18" t="n">
        <v>1</v>
      </c>
      <c r="D16" s="18" t="inlineStr">
        <is>
          <t>DHCU</t>
        </is>
      </c>
      <c r="E16" s="18" t="inlineStr">
        <is>
          <t>HYDROCRACKER</t>
        </is>
      </c>
      <c r="F16" s="19" t="n">
        <v>23</v>
      </c>
      <c r="G16" s="21">
        <f>IFERROR(IF(INDEX(Effective!$E$3:$R$125,MATCH($B16,Effective!$A$3:$A$125,0),MATCH($D16,Effective!$E$2:$R$2,0))=0,"",INDEX(Effective!$E$3:$R$125,MATCH($B16,Effective!$A$3:$A$125,0),MATCH($D16,Effective!$E$2:$R$2,0))),"")</f>
        <v/>
      </c>
      <c r="H16" s="22" t="inlineStr">
        <is>
          <t>override</t>
        </is>
      </c>
      <c r="I16" s="23" t="n">
        <v>1</v>
      </c>
      <c r="J16" s="24">
        <f>IF(AND(IF($H20&lt;&gt;"",$H20,$H16)="override",$I16&lt;&gt;""),$I16,SUMIFS(Assumptions!$K$4:$K$8,Assumptions!$J$4:$J$8,$C16))*Assumptions!$S$10</f>
        <v/>
      </c>
      <c r="K16" s="23" t="n"/>
      <c r="L16" s="25">
        <f>IF(AND(IF($H20&lt;&gt;"",$H20,$H16)="override",$K16&lt;&gt;""),$K16,SUMIFS(Assumptions!$P$4:$P$103,Assumptions!$M$4:$M$103,$C16,Assumptions!$N$4:$N$103,$E16,Assumptions!$O$4:$O$103,"LVN"))</f>
        <v/>
      </c>
      <c r="M16" s="23" t="n"/>
      <c r="N16" s="25">
        <f>IF(AND(IF($H20&lt;&gt;"",$H20,$H16)="override",$M16&lt;&gt;""),$M16,SUMIFS(Assumptions!$P$4:$P$103,Assumptions!$M$4:$M$103,$C16,Assumptions!$N$4:$N$103,$E16,Assumptions!$O$4:$O$103,"HVN"))</f>
        <v/>
      </c>
      <c r="O16" s="25">
        <f>(L16+N16)*Assumptions!$S$11</f>
        <v/>
      </c>
      <c r="P16" s="26">
        <f>$F16*$J16*$O16</f>
        <v/>
      </c>
    </row>
    <row r="17">
      <c r="A17" s="11" t="inlineStr">
        <is>
          <t>UNIT</t>
        </is>
      </c>
      <c r="B17" s="18" t="inlineStr">
        <is>
          <t>MONROE_TRAINER</t>
        </is>
      </c>
      <c r="C17" s="18" t="n">
        <v>1</v>
      </c>
      <c r="D17" s="18" t="inlineStr">
        <is>
          <t>CCR</t>
        </is>
      </c>
      <c r="E17" s="18" t="inlineStr">
        <is>
          <t>REFORMER</t>
        </is>
      </c>
      <c r="F17" s="19" t="n">
        <v>50</v>
      </c>
      <c r="G17" s="21">
        <f>IFERROR(IF(INDEX(Effective!$E$3:$R$125,MATCH($B17,Effective!$A$3:$A$125,0),MATCH($D17,Effective!$E$2:$R$2,0))=0,"",INDEX(Effective!$E$3:$R$125,MATCH($B17,Effective!$A$3:$A$125,0),MATCH($D17,Effective!$E$2:$R$2,0))),"")</f>
        <v/>
      </c>
      <c r="H17" s="22" t="inlineStr">
        <is>
          <t>override</t>
        </is>
      </c>
      <c r="I17" s="23" t="n">
        <v>0.956</v>
      </c>
      <c r="J17" s="24">
        <f>IF(AND(IF($H20&lt;&gt;"",$H20,$H17)="override",$I17&lt;&gt;""),$I17,SUMIFS(Assumptions!$K$4:$K$8,Assumptions!$J$4:$J$8,$C17))*Assumptions!$S$10</f>
        <v/>
      </c>
      <c r="K17" s="23" t="n"/>
      <c r="L17" s="25">
        <f>IF(AND(IF($H20&lt;&gt;"",$H20,$H17)="override",$K17&lt;&gt;""),$K17,SUMIFS(Assumptions!$P$4:$P$103,Assumptions!$M$4:$M$103,$C17,Assumptions!$N$4:$N$103,$E17,Assumptions!$O$4:$O$103,"LVN"))</f>
        <v/>
      </c>
      <c r="M17" s="23" t="n"/>
      <c r="N17" s="25">
        <f>IF(AND(IF($H20&lt;&gt;"",$H20,$H17)="override",$M17&lt;&gt;""),$M17,SUMIFS(Assumptions!$P$4:$P$103,Assumptions!$M$4:$M$103,$C17,Assumptions!$N$4:$N$103,$E17,Assumptions!$O$4:$O$103,"HVN"))</f>
        <v/>
      </c>
      <c r="O17" s="25">
        <f>(L17+N17)*Assumptions!$S$11</f>
        <v/>
      </c>
      <c r="P17" s="26">
        <f>$F17*$J17*$O17</f>
        <v/>
      </c>
    </row>
    <row r="18">
      <c r="A18" s="11" t="inlineStr">
        <is>
          <t>UNIT</t>
        </is>
      </c>
      <c r="B18" s="18" t="inlineStr">
        <is>
          <t>MONROE_TRAINER</t>
        </is>
      </c>
      <c r="C18" s="18" t="n">
        <v>1</v>
      </c>
      <c r="D18" s="18" t="inlineStr">
        <is>
          <t>ALKY</t>
        </is>
      </c>
      <c r="E18" s="18" t="inlineStr">
        <is>
          <t>ALKY</t>
        </is>
      </c>
      <c r="F18" s="19" t="n">
        <v>12</v>
      </c>
      <c r="G18" s="21">
        <f>IFERROR(IF(INDEX(Effective!$E$3:$R$125,MATCH($B18,Effective!$A$3:$A$125,0),MATCH($D18,Effective!$E$2:$R$2,0))=0,"",INDEX(Effective!$E$3:$R$125,MATCH($B18,Effective!$A$3:$A$125,0),MATCH($D18,Effective!$E$2:$R$2,0))),"")</f>
        <v/>
      </c>
      <c r="H18" s="22" t="inlineStr">
        <is>
          <t>override</t>
        </is>
      </c>
      <c r="I18" s="23" t="n">
        <v>0.411</v>
      </c>
      <c r="J18" s="24">
        <f>IF(AND(IF($H20&lt;&gt;"",$H20,$H18)="override",$I18&lt;&gt;""),$I18,SUMIFS(Assumptions!$K$4:$K$8,Assumptions!$J$4:$J$8,$C18))*Assumptions!$S$10</f>
        <v/>
      </c>
      <c r="K18" s="23" t="n"/>
      <c r="L18" s="25">
        <f>IF(AND(IF($H20&lt;&gt;"",$H20,$H18)="override",$K18&lt;&gt;""),$K18,SUMIFS(Assumptions!$P$4:$P$103,Assumptions!$M$4:$M$103,$C18,Assumptions!$N$4:$N$103,$E18,Assumptions!$O$4:$O$103,"LVN"))</f>
        <v/>
      </c>
      <c r="M18" s="23" t="n"/>
      <c r="N18" s="25">
        <f>IF(AND(IF($H20&lt;&gt;"",$H20,$H18)="override",$M18&lt;&gt;""),$M18,SUMIFS(Assumptions!$P$4:$P$103,Assumptions!$M$4:$M$103,$C18,Assumptions!$N$4:$N$103,$E18,Assumptions!$O$4:$O$103,"HVN"))</f>
        <v/>
      </c>
      <c r="O18" s="25">
        <f>(L18+N18)*Assumptions!$S$11</f>
        <v/>
      </c>
      <c r="P18" s="26">
        <f>$F18*$J18*$O18</f>
        <v/>
      </c>
    </row>
    <row r="19">
      <c r="A19" s="11" t="inlineStr">
        <is>
          <t>UNIT</t>
        </is>
      </c>
      <c r="B19" s="18" t="inlineStr">
        <is>
          <t>MONROE_TRAINER</t>
        </is>
      </c>
      <c r="C19" s="18" t="n">
        <v>1</v>
      </c>
      <c r="D19" s="18" t="inlineStr">
        <is>
          <t>NHT</t>
        </is>
      </c>
      <c r="E19" s="18" t="inlineStr">
        <is>
          <t>NHT</t>
        </is>
      </c>
      <c r="F19" s="19" t="n">
        <v>80</v>
      </c>
      <c r="G19" s="21">
        <f>IFERROR(IF(INDEX(Effective!$E$3:$R$125,MATCH($B19,Effective!$A$3:$A$125,0),MATCH($D19,Effective!$E$2:$R$2,0))=0,"",INDEX(Effective!$E$3:$R$125,MATCH($B19,Effective!$A$3:$A$125,0),MATCH($D19,Effective!$E$2:$R$2,0))),"")</f>
        <v/>
      </c>
      <c r="H19" s="22" t="inlineStr">
        <is>
          <t>override</t>
        </is>
      </c>
      <c r="I19" s="23" t="n">
        <v>0.835</v>
      </c>
      <c r="J19" s="24">
        <f>IF(AND(IF($H20&lt;&gt;"",$H20,$H19)="override",$I19&lt;&gt;""),$I19,SUMIFS(Assumptions!$K$4:$K$8,Assumptions!$J$4:$J$8,$C19))*Assumptions!$S$10</f>
        <v/>
      </c>
      <c r="K19" s="23" t="n"/>
      <c r="L19" s="25">
        <f>IF(AND(IF($H20&lt;&gt;"",$H20,$H19)="override",$K19&lt;&gt;""),$K19,SUMIFS(Assumptions!$P$4:$P$103,Assumptions!$M$4:$M$103,$C19,Assumptions!$N$4:$N$103,$E19,Assumptions!$O$4:$O$103,"LVN"))</f>
        <v/>
      </c>
      <c r="M19" s="23" t="n"/>
      <c r="N19" s="25">
        <f>IF(AND(IF($H20&lt;&gt;"",$H20,$H19)="override",$M19&lt;&gt;""),$M19,SUMIFS(Assumptions!$P$4:$P$103,Assumptions!$M$4:$M$103,$C19,Assumptions!$N$4:$N$103,$E19,Assumptions!$O$4:$O$103,"HVN"))</f>
        <v/>
      </c>
      <c r="O19" s="25">
        <f>(L19+N19)*Assumptions!$S$11</f>
        <v/>
      </c>
      <c r="P19" s="26">
        <f>$F19*$J19*$O19</f>
        <v/>
      </c>
    </row>
    <row r="20">
      <c r="A20" s="27" t="inlineStr">
        <is>
          <t>TOTAL</t>
        </is>
      </c>
      <c r="B20" s="28" t="inlineStr">
        <is>
          <t>MONROE_TRAINER</t>
        </is>
      </c>
      <c r="C20" s="28" t="n">
        <v>1</v>
      </c>
      <c r="D20" s="28" t="inlineStr">
        <is>
          <t>NET NAPHTHA</t>
        </is>
      </c>
      <c r="H20" s="22" t="n"/>
      <c r="P20" s="29">
        <f>SUM(P13:P19)</f>
        <v/>
      </c>
    </row>
    <row r="22" ht="20" customHeight="1">
      <c r="A22" s="8">
        <f>"  PBF Energy Company LLC Delaware City  [PBF_DELAWARE_CITY]   —   PBF Energy Company LLC   —   PADD 1   —   crude "&amp;TEXT(SUMIFS(Data!$G$3:$G$125,Data!$A$3:$A$125,"PBF_DELAWARE_CITY"),"#,##0")&amp;" kbd"</f>
        <v/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</row>
    <row r="23">
      <c r="A23" s="11" t="inlineStr">
        <is>
          <t>UNIT</t>
        </is>
      </c>
      <c r="B23" s="18" t="inlineStr">
        <is>
          <t>PBF_DELAWARE_CITY</t>
        </is>
      </c>
      <c r="C23" s="18" t="n">
        <v>1</v>
      </c>
      <c r="D23" s="18" t="inlineStr">
        <is>
          <t>CRUDE-EST</t>
        </is>
      </c>
      <c r="E23" s="18" t="inlineStr">
        <is>
          <t>est. yield</t>
        </is>
      </c>
      <c r="F23" s="21">
        <f>SUMIFS(Data!$G$3:$G$125,Data!$A$3:$A$125,$B23)</f>
        <v/>
      </c>
      <c r="G23" s="21">
        <f>IFERROR(IF(INDEX(Effective!$E$3:$R$125,MATCH($B23,Effective!$A$3:$A$125,0),MATCH($D23,Effective!$E$2:$R$2,0))=0,"",INDEX(Effective!$E$3:$R$125,MATCH($B23,Effective!$A$3:$A$125,0),MATCH($D23,Effective!$E$2:$R$2,0))),"")</f>
        <v/>
      </c>
      <c r="H23" s="22" t="inlineStr">
        <is>
          <t>override</t>
        </is>
      </c>
      <c r="I23" s="23" t="n"/>
      <c r="J23" s="24">
        <f>IF(AND(IF($H24&lt;&gt;"",$H24,$H23)="override",$I23&lt;&gt;""),$I23,SUMIFS(Assumptions!$K$4:$K$8,Assumptions!$J$4:$J$8,$C23))*Assumptions!$S$10</f>
        <v/>
      </c>
      <c r="K23" s="23" t="n"/>
      <c r="L23" s="25">
        <f>IF(AND(IF($H24&lt;&gt;"",$H24,$H23)="override",$K23&lt;&gt;""),$K23,SUMIFS(Data!$N$3:$N$125,Data!$A$3:$A$125,$B23)*Assumptions!$S$4)</f>
        <v/>
      </c>
      <c r="M23" s="23" t="n"/>
      <c r="N23" s="25">
        <f>IF(AND(IF($H24&lt;&gt;"",$H24,$H23)="override",$M23&lt;&gt;""),$M23,SUMIFS(Data!$N$3:$N$125,Data!$A$3:$A$125,$B23)*Assumptions!$S$5)</f>
        <v/>
      </c>
      <c r="O23" s="25">
        <f>(L23+N23)*Assumptions!$S$11</f>
        <v/>
      </c>
      <c r="P23" s="26">
        <f>$F23*$J23*$O23</f>
        <v/>
      </c>
    </row>
    <row r="24">
      <c r="A24" s="27" t="inlineStr">
        <is>
          <t>TOTAL</t>
        </is>
      </c>
      <c r="B24" s="28" t="inlineStr">
        <is>
          <t>PBF_DELAWARE_CITY</t>
        </is>
      </c>
      <c r="C24" s="28" t="n">
        <v>1</v>
      </c>
      <c r="D24" s="28" t="inlineStr">
        <is>
          <t>NET NAPHTHA</t>
        </is>
      </c>
      <c r="H24" s="22" t="n"/>
      <c r="P24" s="29">
        <f>SUM(P23:P23)</f>
        <v/>
      </c>
    </row>
    <row r="26" ht="20" customHeight="1">
      <c r="A26" s="8">
        <f>"  PBF Energy Company LLC Paulsboro  [PBF_PAULSBORO]   —   PBF Energy Company LLC   —   PADD 1   —   crude "&amp;TEXT(SUMIFS(Data!$G$3:$G$125,Data!$A$3:$A$125,"PBF_PAULSBORO"),"#,##0")&amp;" kbd"</f>
        <v/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</row>
    <row r="27">
      <c r="A27" s="11" t="inlineStr">
        <is>
          <t>UNIT</t>
        </is>
      </c>
      <c r="B27" s="18" t="inlineStr">
        <is>
          <t>PBF_PAULSBORO</t>
        </is>
      </c>
      <c r="C27" s="18" t="n">
        <v>1</v>
      </c>
      <c r="D27" s="18" t="inlineStr">
        <is>
          <t>CRUDE-EST</t>
        </is>
      </c>
      <c r="E27" s="18" t="inlineStr">
        <is>
          <t>est. yield</t>
        </is>
      </c>
      <c r="F27" s="21">
        <f>SUMIFS(Data!$G$3:$G$125,Data!$A$3:$A$125,$B27)</f>
        <v/>
      </c>
      <c r="G27" s="21">
        <f>IFERROR(IF(INDEX(Effective!$E$3:$R$125,MATCH($B27,Effective!$A$3:$A$125,0),MATCH($D27,Effective!$E$2:$R$2,0))=0,"",INDEX(Effective!$E$3:$R$125,MATCH($B27,Effective!$A$3:$A$125,0),MATCH($D27,Effective!$E$2:$R$2,0))),"")</f>
        <v/>
      </c>
      <c r="H27" s="22" t="inlineStr">
        <is>
          <t>override</t>
        </is>
      </c>
      <c r="I27" s="23" t="n"/>
      <c r="J27" s="24">
        <f>IF(AND(IF($H28&lt;&gt;"",$H28,$H27)="override",$I27&lt;&gt;""),$I27,SUMIFS(Assumptions!$K$4:$K$8,Assumptions!$J$4:$J$8,$C27))*Assumptions!$S$10</f>
        <v/>
      </c>
      <c r="K27" s="23" t="n"/>
      <c r="L27" s="25">
        <f>IF(AND(IF($H28&lt;&gt;"",$H28,$H27)="override",$K27&lt;&gt;""),$K27,SUMIFS(Data!$N$3:$N$125,Data!$A$3:$A$125,$B27)*Assumptions!$S$4)</f>
        <v/>
      </c>
      <c r="M27" s="23" t="n"/>
      <c r="N27" s="25">
        <f>IF(AND(IF($H28&lt;&gt;"",$H28,$H27)="override",$M27&lt;&gt;""),$M27,SUMIFS(Data!$N$3:$N$125,Data!$A$3:$A$125,$B27)*Assumptions!$S$5)</f>
        <v/>
      </c>
      <c r="O27" s="25">
        <f>(L27+N27)*Assumptions!$S$11</f>
        <v/>
      </c>
      <c r="P27" s="26">
        <f>$F27*$J27*$O27</f>
        <v/>
      </c>
    </row>
    <row r="28">
      <c r="A28" s="27" t="inlineStr">
        <is>
          <t>TOTAL</t>
        </is>
      </c>
      <c r="B28" s="28" t="inlineStr">
        <is>
          <t>PBF_PAULSBORO</t>
        </is>
      </c>
      <c r="C28" s="28" t="n">
        <v>1</v>
      </c>
      <c r="D28" s="28" t="inlineStr">
        <is>
          <t>NET NAPHTHA</t>
        </is>
      </c>
      <c r="H28" s="22" t="n"/>
      <c r="P28" s="29">
        <f>SUM(P27:P27)</f>
        <v/>
      </c>
    </row>
    <row r="30" ht="20" customHeight="1">
      <c r="A30" s="8">
        <f>"  United Refining Warren  [UNITED_WARREN]   —   United Refining   —   PADD 1   —   crude "&amp;TEXT(SUMIFS(Data!$G$3:$G$125,Data!$A$3:$A$125,"UNITED_WARREN"),"#,##0")&amp;" kbd"</f>
        <v/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</row>
    <row r="31">
      <c r="A31" s="11" t="inlineStr">
        <is>
          <t>UNIT</t>
        </is>
      </c>
      <c r="B31" s="18" t="inlineStr">
        <is>
          <t>UNITED_WARREN</t>
        </is>
      </c>
      <c r="C31" s="18" t="n">
        <v>1</v>
      </c>
      <c r="D31" s="18" t="inlineStr">
        <is>
          <t>CDU</t>
        </is>
      </c>
      <c r="E31" s="18" t="inlineStr">
        <is>
          <t>CDU</t>
        </is>
      </c>
      <c r="F31" s="19" t="n">
        <v>70</v>
      </c>
      <c r="G31" s="21">
        <f>IFERROR(IF(INDEX(Effective!$E$3:$R$125,MATCH($B31,Effective!$A$3:$A$125,0),MATCH($D31,Effective!$E$2:$R$2,0))=0,"",INDEX(Effective!$E$3:$R$125,MATCH($B31,Effective!$A$3:$A$125,0),MATCH($D31,Effective!$E$2:$R$2,0))),"")</f>
        <v/>
      </c>
      <c r="H31" s="22" t="inlineStr">
        <is>
          <t>override</t>
        </is>
      </c>
      <c r="I31" s="23" t="n">
        <v>0.869</v>
      </c>
      <c r="J31" s="24">
        <f>IF(AND(IF($H38&lt;&gt;"",$H38,$H31)="override",$I31&lt;&gt;""),$I31,SUMIFS(Assumptions!$K$4:$K$8,Assumptions!$J$4:$J$8,$C31))*Assumptions!$S$10</f>
        <v/>
      </c>
      <c r="K31" s="23" t="n"/>
      <c r="L31" s="25">
        <f>IF(AND(IF($H38&lt;&gt;"",$H38,$H31)="override",$K31&lt;&gt;""),$K31,SUMIFS(Assumptions!$P$4:$P$103,Assumptions!$M$4:$M$103,$C31,Assumptions!$N$4:$N$103,$E31,Assumptions!$O$4:$O$103,"LVN"))</f>
        <v/>
      </c>
      <c r="M31" s="23" t="n"/>
      <c r="N31" s="25">
        <f>IF(AND(IF($H38&lt;&gt;"",$H38,$H31)="override",$M31&lt;&gt;""),$M31,SUMIFS(Assumptions!$P$4:$P$103,Assumptions!$M$4:$M$103,$C31,Assumptions!$N$4:$N$103,$E31,Assumptions!$O$4:$O$103,"HVN"))</f>
        <v/>
      </c>
      <c r="O31" s="25">
        <f>(L31+N31)*Assumptions!$S$11</f>
        <v/>
      </c>
      <c r="P31" s="26">
        <f>$F31*$J31*$O31</f>
        <v/>
      </c>
    </row>
    <row r="32">
      <c r="A32" s="11" t="inlineStr">
        <is>
          <t>UNIT</t>
        </is>
      </c>
      <c r="B32" s="18" t="inlineStr">
        <is>
          <t>UNITED_WARREN</t>
        </is>
      </c>
      <c r="C32" s="18" t="n">
        <v>1</v>
      </c>
      <c r="D32" s="18" t="inlineStr">
        <is>
          <t>VDU</t>
        </is>
      </c>
      <c r="E32" s="18" t="inlineStr">
        <is>
          <t>VDU</t>
        </is>
      </c>
      <c r="F32" s="19" t="n">
        <v>40</v>
      </c>
      <c r="G32" s="21">
        <f>IFERROR(IF(INDEX(Effective!$E$3:$R$125,MATCH($B32,Effective!$A$3:$A$125,0),MATCH($D32,Effective!$E$2:$R$2,0))=0,"",INDEX(Effective!$E$3:$R$125,MATCH($B32,Effective!$A$3:$A$125,0),MATCH($D32,Effective!$E$2:$R$2,0))),"")</f>
        <v/>
      </c>
      <c r="H32" s="22" t="inlineStr">
        <is>
          <t>override</t>
        </is>
      </c>
      <c r="I32" s="23" t="n">
        <v>0.752</v>
      </c>
      <c r="J32" s="24">
        <f>IF(AND(IF($H38&lt;&gt;"",$H38,$H32)="override",$I32&lt;&gt;""),$I32,SUMIFS(Assumptions!$K$4:$K$8,Assumptions!$J$4:$J$8,$C32))*Assumptions!$S$10</f>
        <v/>
      </c>
      <c r="K32" s="23" t="n"/>
      <c r="L32" s="25">
        <f>IF(AND(IF($H38&lt;&gt;"",$H38,$H32)="override",$K32&lt;&gt;""),$K32,SUMIFS(Assumptions!$P$4:$P$103,Assumptions!$M$4:$M$103,$C32,Assumptions!$N$4:$N$103,$E32,Assumptions!$O$4:$O$103,"LVN"))</f>
        <v/>
      </c>
      <c r="M32" s="23" t="n"/>
      <c r="N32" s="25">
        <f>IF(AND(IF($H38&lt;&gt;"",$H38,$H32)="override",$M32&lt;&gt;""),$M32,SUMIFS(Assumptions!$P$4:$P$103,Assumptions!$M$4:$M$103,$C32,Assumptions!$N$4:$N$103,$E32,Assumptions!$O$4:$O$103,"HVN"))</f>
        <v/>
      </c>
      <c r="O32" s="25">
        <f>(L32+N32)*Assumptions!$S$11</f>
        <v/>
      </c>
      <c r="P32" s="26">
        <f>$F32*$J32*$O32</f>
        <v/>
      </c>
    </row>
    <row r="33">
      <c r="A33" s="11" t="inlineStr">
        <is>
          <t>UNIT</t>
        </is>
      </c>
      <c r="B33" s="18" t="inlineStr">
        <is>
          <t>UNITED_WARREN</t>
        </is>
      </c>
      <c r="C33" s="18" t="n">
        <v>1</v>
      </c>
      <c r="D33" s="18" t="inlineStr">
        <is>
          <t>FCC</t>
        </is>
      </c>
      <c r="E33" s="18" t="inlineStr">
        <is>
          <t>FCC</t>
        </is>
      </c>
      <c r="F33" s="19" t="n">
        <v>25</v>
      </c>
      <c r="G33" s="21">
        <f>IFERROR(IF(INDEX(Effective!$E$3:$R$125,MATCH($B33,Effective!$A$3:$A$125,0),MATCH($D33,Effective!$E$2:$R$2,0))=0,"",INDEX(Effective!$E$3:$R$125,MATCH($B33,Effective!$A$3:$A$125,0),MATCH($D33,Effective!$E$2:$R$2,0))),"")</f>
        <v/>
      </c>
      <c r="H33" s="22" t="inlineStr">
        <is>
          <t>override</t>
        </is>
      </c>
      <c r="I33" s="23" t="n">
        <v>0.961</v>
      </c>
      <c r="J33" s="24">
        <f>IF(AND(IF($H38&lt;&gt;"",$H38,$H33)="override",$I33&lt;&gt;""),$I33,SUMIFS(Assumptions!$K$4:$K$8,Assumptions!$J$4:$J$8,$C33))*Assumptions!$S$10</f>
        <v/>
      </c>
      <c r="K33" s="23" t="n"/>
      <c r="L33" s="25">
        <f>IF(AND(IF($H38&lt;&gt;"",$H38,$H33)="override",$K33&lt;&gt;""),$K33,SUMIFS(Assumptions!$P$4:$P$103,Assumptions!$M$4:$M$103,$C33,Assumptions!$N$4:$N$103,$E33,Assumptions!$O$4:$O$103,"LVN"))</f>
        <v/>
      </c>
      <c r="M33" s="23" t="n"/>
      <c r="N33" s="25">
        <f>IF(AND(IF($H38&lt;&gt;"",$H38,$H33)="override",$M33&lt;&gt;""),$M33,SUMIFS(Assumptions!$P$4:$P$103,Assumptions!$M$4:$M$103,$C33,Assumptions!$N$4:$N$103,$E33,Assumptions!$O$4:$O$103,"HVN"))</f>
        <v/>
      </c>
      <c r="O33" s="25">
        <f>(L33+N33)*Assumptions!$S$11</f>
        <v/>
      </c>
      <c r="P33" s="26">
        <f>$F33*$J33*$O33</f>
        <v/>
      </c>
    </row>
    <row r="34">
      <c r="A34" s="11" t="inlineStr">
        <is>
          <t>UNIT</t>
        </is>
      </c>
      <c r="B34" s="18" t="inlineStr">
        <is>
          <t>UNITED_WARREN</t>
        </is>
      </c>
      <c r="C34" s="18" t="n">
        <v>1</v>
      </c>
      <c r="D34" s="18" t="inlineStr">
        <is>
          <t>REF</t>
        </is>
      </c>
      <c r="E34" s="18" t="inlineStr">
        <is>
          <t>REFORMER</t>
        </is>
      </c>
      <c r="F34" s="19" t="n">
        <v>14</v>
      </c>
      <c r="G34" s="21">
        <f>IFERROR(IF(INDEX(Effective!$E$3:$R$125,MATCH($B34,Effective!$A$3:$A$125,0),MATCH($D34,Effective!$E$2:$R$2,0))=0,"",INDEX(Effective!$E$3:$R$125,MATCH($B34,Effective!$A$3:$A$125,0),MATCH($D34,Effective!$E$2:$R$2,0))),"")</f>
        <v/>
      </c>
      <c r="H34" s="22" t="inlineStr">
        <is>
          <t>override</t>
        </is>
      </c>
      <c r="I34" s="23" t="n">
        <v>0.964</v>
      </c>
      <c r="J34" s="24">
        <f>IF(AND(IF($H38&lt;&gt;"",$H38,$H34)="override",$I34&lt;&gt;""),$I34,SUMIFS(Assumptions!$K$4:$K$8,Assumptions!$J$4:$J$8,$C34))*Assumptions!$S$10</f>
        <v/>
      </c>
      <c r="K34" s="23" t="n"/>
      <c r="L34" s="25">
        <f>IF(AND(IF($H38&lt;&gt;"",$H38,$H34)="override",$K34&lt;&gt;""),$K34,SUMIFS(Assumptions!$P$4:$P$103,Assumptions!$M$4:$M$103,$C34,Assumptions!$N$4:$N$103,$E34,Assumptions!$O$4:$O$103,"LVN"))</f>
        <v/>
      </c>
      <c r="M34" s="23" t="n"/>
      <c r="N34" s="25">
        <f>IF(AND(IF($H38&lt;&gt;"",$H38,$H34)="override",$M34&lt;&gt;""),$M34,SUMIFS(Assumptions!$P$4:$P$103,Assumptions!$M$4:$M$103,$C34,Assumptions!$N$4:$N$103,$E34,Assumptions!$O$4:$O$103,"HVN"))</f>
        <v/>
      </c>
      <c r="O34" s="25">
        <f>(L34+N34)*Assumptions!$S$11</f>
        <v/>
      </c>
      <c r="P34" s="26">
        <f>$F34*$J34*$O34</f>
        <v/>
      </c>
    </row>
    <row r="35">
      <c r="A35" s="11" t="inlineStr">
        <is>
          <t>UNIT</t>
        </is>
      </c>
      <c r="B35" s="18" t="inlineStr">
        <is>
          <t>UNITED_WARREN</t>
        </is>
      </c>
      <c r="C35" s="18" t="n">
        <v>1</v>
      </c>
      <c r="D35" s="18" t="inlineStr">
        <is>
          <t>ISOM</t>
        </is>
      </c>
      <c r="E35" s="18" t="inlineStr">
        <is>
          <t>ISOM</t>
        </is>
      </c>
      <c r="F35" s="19" t="n">
        <v>8.5</v>
      </c>
      <c r="G35" s="21">
        <f>IFERROR(IF(INDEX(Effective!$E$3:$R$125,MATCH($B35,Effective!$A$3:$A$125,0),MATCH($D35,Effective!$E$2:$R$2,0))=0,"",INDEX(Effective!$E$3:$R$125,MATCH($B35,Effective!$A$3:$A$125,0),MATCH($D35,Effective!$E$2:$R$2,0))),"")</f>
        <v/>
      </c>
      <c r="H35" s="22" t="inlineStr">
        <is>
          <t>override</t>
        </is>
      </c>
      <c r="I35" s="23" t="n">
        <v>0.514</v>
      </c>
      <c r="J35" s="24">
        <f>IF(AND(IF($H38&lt;&gt;"",$H38,$H35)="override",$I35&lt;&gt;""),$I35,SUMIFS(Assumptions!$K$4:$K$8,Assumptions!$J$4:$J$8,$C35))*Assumptions!$S$10</f>
        <v/>
      </c>
      <c r="K35" s="23" t="n"/>
      <c r="L35" s="25">
        <f>IF(AND(IF($H38&lt;&gt;"",$H38,$H35)="override",$K35&lt;&gt;""),$K35,SUMIFS(Assumptions!$P$4:$P$103,Assumptions!$M$4:$M$103,$C35,Assumptions!$N$4:$N$103,$E35,Assumptions!$O$4:$O$103,"LVN"))</f>
        <v/>
      </c>
      <c r="M35" s="23" t="n"/>
      <c r="N35" s="25">
        <f>IF(AND(IF($H38&lt;&gt;"",$H38,$H35)="override",$M35&lt;&gt;""),$M35,SUMIFS(Assumptions!$P$4:$P$103,Assumptions!$M$4:$M$103,$C35,Assumptions!$N$4:$N$103,$E35,Assumptions!$O$4:$O$103,"HVN"))</f>
        <v/>
      </c>
      <c r="O35" s="25">
        <f>(L35+N35)*Assumptions!$S$11</f>
        <v/>
      </c>
      <c r="P35" s="26">
        <f>$F35*$J35*$O35</f>
        <v/>
      </c>
    </row>
    <row r="36">
      <c r="A36" s="11" t="inlineStr">
        <is>
          <t>UNIT</t>
        </is>
      </c>
      <c r="B36" s="18" t="inlineStr">
        <is>
          <t>UNITED_WARREN</t>
        </is>
      </c>
      <c r="C36" s="18" t="n">
        <v>1</v>
      </c>
      <c r="D36" s="18" t="inlineStr">
        <is>
          <t>ALKY</t>
        </is>
      </c>
      <c r="E36" s="18" t="inlineStr">
        <is>
          <t>ALKY</t>
        </is>
      </c>
      <c r="F36" s="19" t="n">
        <v>4.5</v>
      </c>
      <c r="G36" s="21">
        <f>IFERROR(IF(INDEX(Effective!$E$3:$R$125,MATCH($B36,Effective!$A$3:$A$125,0),MATCH($D36,Effective!$E$2:$R$2,0))=0,"",INDEX(Effective!$E$3:$R$125,MATCH($B36,Effective!$A$3:$A$125,0),MATCH($D36,Effective!$E$2:$R$2,0))),"")</f>
        <v/>
      </c>
      <c r="H36" s="22" t="inlineStr">
        <is>
          <t>override</t>
        </is>
      </c>
      <c r="I36" s="23" t="n">
        <v>1.1</v>
      </c>
      <c r="J36" s="24">
        <f>IF(AND(IF($H38&lt;&gt;"",$H38,$H36)="override",$I36&lt;&gt;""),$I36,SUMIFS(Assumptions!$K$4:$K$8,Assumptions!$J$4:$J$8,$C36))*Assumptions!$S$10</f>
        <v/>
      </c>
      <c r="K36" s="23" t="n"/>
      <c r="L36" s="25">
        <f>IF(AND(IF($H38&lt;&gt;"",$H38,$H36)="override",$K36&lt;&gt;""),$K36,SUMIFS(Assumptions!$P$4:$P$103,Assumptions!$M$4:$M$103,$C36,Assumptions!$N$4:$N$103,$E36,Assumptions!$O$4:$O$103,"LVN"))</f>
        <v/>
      </c>
      <c r="M36" s="23" t="n"/>
      <c r="N36" s="25">
        <f>IF(AND(IF($H38&lt;&gt;"",$H38,$H36)="override",$M36&lt;&gt;""),$M36,SUMIFS(Assumptions!$P$4:$P$103,Assumptions!$M$4:$M$103,$C36,Assumptions!$N$4:$N$103,$E36,Assumptions!$O$4:$O$103,"HVN"))</f>
        <v/>
      </c>
      <c r="O36" s="25">
        <f>(L36+N36)*Assumptions!$S$11</f>
        <v/>
      </c>
      <c r="P36" s="26">
        <f>$F36*$J36*$O36</f>
        <v/>
      </c>
    </row>
    <row r="37">
      <c r="A37" s="11" t="inlineStr">
        <is>
          <t>UNIT</t>
        </is>
      </c>
      <c r="B37" s="18" t="inlineStr">
        <is>
          <t>UNITED_WARREN</t>
        </is>
      </c>
      <c r="C37" s="18" t="n">
        <v>1</v>
      </c>
      <c r="D37" s="18" t="inlineStr">
        <is>
          <t>NHT</t>
        </is>
      </c>
      <c r="E37" s="18" t="inlineStr">
        <is>
          <t>NHT</t>
        </is>
      </c>
      <c r="F37" s="19" t="n">
        <v>26</v>
      </c>
      <c r="G37" s="21">
        <f>IFERROR(IF(INDEX(Effective!$E$3:$R$125,MATCH($B37,Effective!$A$3:$A$125,0),MATCH($D37,Effective!$E$2:$R$2,0))=0,"",INDEX(Effective!$E$3:$R$125,MATCH($B37,Effective!$A$3:$A$125,0),MATCH($D37,Effective!$E$2:$R$2,0))),"")</f>
        <v/>
      </c>
      <c r="H37" s="22" t="inlineStr">
        <is>
          <t>override</t>
        </is>
      </c>
      <c r="I37" s="23" t="n">
        <v>0.96</v>
      </c>
      <c r="J37" s="24">
        <f>IF(AND(IF($H38&lt;&gt;"",$H38,$H37)="override",$I37&lt;&gt;""),$I37,SUMIFS(Assumptions!$K$4:$K$8,Assumptions!$J$4:$J$8,$C37))*Assumptions!$S$10</f>
        <v/>
      </c>
      <c r="K37" s="23" t="n"/>
      <c r="L37" s="25">
        <f>IF(AND(IF($H38&lt;&gt;"",$H38,$H37)="override",$K37&lt;&gt;""),$K37,SUMIFS(Assumptions!$P$4:$P$103,Assumptions!$M$4:$M$103,$C37,Assumptions!$N$4:$N$103,$E37,Assumptions!$O$4:$O$103,"LVN"))</f>
        <v/>
      </c>
      <c r="M37" s="23" t="n"/>
      <c r="N37" s="25">
        <f>IF(AND(IF($H38&lt;&gt;"",$H38,$H37)="override",$M37&lt;&gt;""),$M37,SUMIFS(Assumptions!$P$4:$P$103,Assumptions!$M$4:$M$103,$C37,Assumptions!$N$4:$N$103,$E37,Assumptions!$O$4:$O$103,"HVN"))</f>
        <v/>
      </c>
      <c r="O37" s="25">
        <f>(L37+N37)*Assumptions!$S$11</f>
        <v/>
      </c>
      <c r="P37" s="26">
        <f>$F37*$J37*$O37</f>
        <v/>
      </c>
    </row>
    <row r="38">
      <c r="A38" s="27" t="inlineStr">
        <is>
          <t>TOTAL</t>
        </is>
      </c>
      <c r="B38" s="28" t="inlineStr">
        <is>
          <t>UNITED_WARREN</t>
        </is>
      </c>
      <c r="C38" s="28" t="n">
        <v>1</v>
      </c>
      <c r="D38" s="28" t="inlineStr">
        <is>
          <t>NET NAPHTHA</t>
        </is>
      </c>
      <c r="H38" s="22" t="n"/>
      <c r="P38" s="29">
        <f>SUM(P31:P37)</f>
        <v/>
      </c>
    </row>
    <row r="40" ht="20" customHeight="1">
      <c r="A40" s="8">
        <f>"  Ergon Newell  [ERGON_NEWELL]   —   Ergon   —   PADD 1   —   crude "&amp;TEXT(SUMIFS(Data!$G$3:$G$125,Data!$A$3:$A$125,"ERGON_NEWELL"),"#,##0")&amp;" kbd"</f>
        <v/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</row>
    <row r="41">
      <c r="A41" s="11" t="inlineStr">
        <is>
          <t>UNIT</t>
        </is>
      </c>
      <c r="B41" s="18" t="inlineStr">
        <is>
          <t>ERGON_NEWELL</t>
        </is>
      </c>
      <c r="C41" s="18" t="n">
        <v>1</v>
      </c>
      <c r="D41" s="18" t="inlineStr">
        <is>
          <t>CDU</t>
        </is>
      </c>
      <c r="E41" s="18" t="inlineStr">
        <is>
          <t>CDU</t>
        </is>
      </c>
      <c r="F41" s="19" t="n">
        <v>23</v>
      </c>
      <c r="G41" s="21">
        <f>IFERROR(IF(INDEX(Effective!$E$3:$R$125,MATCH($B41,Effective!$A$3:$A$125,0),MATCH($D41,Effective!$E$2:$R$2,0))=0,"",INDEX(Effective!$E$3:$R$125,MATCH($B41,Effective!$A$3:$A$125,0),MATCH($D41,Effective!$E$2:$R$2,0))),"")</f>
        <v/>
      </c>
      <c r="H41" s="22" t="inlineStr">
        <is>
          <t>override</t>
        </is>
      </c>
      <c r="I41" s="23" t="n"/>
      <c r="J41" s="24">
        <f>IF(AND(IF($H45&lt;&gt;"",$H45,$H41)="override",$I41&lt;&gt;""),$I41,SUMIFS(Assumptions!$K$4:$K$8,Assumptions!$J$4:$J$8,$C41))*Assumptions!$S$10</f>
        <v/>
      </c>
      <c r="K41" s="23" t="n"/>
      <c r="L41" s="25">
        <f>IF(AND(IF($H45&lt;&gt;"",$H45,$H41)="override",$K41&lt;&gt;""),$K41,SUMIFS(Assumptions!$P$4:$P$103,Assumptions!$M$4:$M$103,$C41,Assumptions!$N$4:$N$103,$E41,Assumptions!$O$4:$O$103,"LVN"))</f>
        <v/>
      </c>
      <c r="M41" s="23" t="n"/>
      <c r="N41" s="25">
        <f>IF(AND(IF($H45&lt;&gt;"",$H45,$H41)="override",$M41&lt;&gt;""),$M41,SUMIFS(Assumptions!$P$4:$P$103,Assumptions!$M$4:$M$103,$C41,Assumptions!$N$4:$N$103,$E41,Assumptions!$O$4:$O$103,"HVN"))</f>
        <v/>
      </c>
      <c r="O41" s="25">
        <f>(L41+N41)*Assumptions!$S$11</f>
        <v/>
      </c>
      <c r="P41" s="26">
        <f>$F41*$J41*$O41</f>
        <v/>
      </c>
    </row>
    <row r="42">
      <c r="A42" s="11" t="inlineStr">
        <is>
          <t>UNIT</t>
        </is>
      </c>
      <c r="B42" s="18" t="inlineStr">
        <is>
          <t>ERGON_NEWELL</t>
        </is>
      </c>
      <c r="C42" s="18" t="n">
        <v>1</v>
      </c>
      <c r="D42" s="18" t="inlineStr">
        <is>
          <t>VDU</t>
        </is>
      </c>
      <c r="E42" s="18" t="inlineStr">
        <is>
          <t>VDU</t>
        </is>
      </c>
      <c r="F42" s="19" t="n">
        <v>8.6</v>
      </c>
      <c r="G42" s="21">
        <f>IFERROR(IF(INDEX(Effective!$E$3:$R$125,MATCH($B42,Effective!$A$3:$A$125,0),MATCH($D42,Effective!$E$2:$R$2,0))=0,"",INDEX(Effective!$E$3:$R$125,MATCH($B42,Effective!$A$3:$A$125,0),MATCH($D42,Effective!$E$2:$R$2,0))),"")</f>
        <v/>
      </c>
      <c r="H42" s="22" t="inlineStr">
        <is>
          <t>override</t>
        </is>
      </c>
      <c r="I42" s="23" t="n"/>
      <c r="J42" s="24">
        <f>IF(AND(IF($H45&lt;&gt;"",$H45,$H42)="override",$I42&lt;&gt;""),$I42,SUMIFS(Assumptions!$K$4:$K$8,Assumptions!$J$4:$J$8,$C42))*Assumptions!$S$10</f>
        <v/>
      </c>
      <c r="K42" s="23" t="n"/>
      <c r="L42" s="25">
        <f>IF(AND(IF($H45&lt;&gt;"",$H45,$H42)="override",$K42&lt;&gt;""),$K42,SUMIFS(Assumptions!$P$4:$P$103,Assumptions!$M$4:$M$103,$C42,Assumptions!$N$4:$N$103,$E42,Assumptions!$O$4:$O$103,"LVN"))</f>
        <v/>
      </c>
      <c r="M42" s="23" t="n"/>
      <c r="N42" s="25">
        <f>IF(AND(IF($H45&lt;&gt;"",$H45,$H42)="override",$M42&lt;&gt;""),$M42,SUMIFS(Assumptions!$P$4:$P$103,Assumptions!$M$4:$M$103,$C42,Assumptions!$N$4:$N$103,$E42,Assumptions!$O$4:$O$103,"HVN"))</f>
        <v/>
      </c>
      <c r="O42" s="25">
        <f>(L42+N42)*Assumptions!$S$11</f>
        <v/>
      </c>
      <c r="P42" s="26">
        <f>$F42*$J42*$O42</f>
        <v/>
      </c>
    </row>
    <row r="43">
      <c r="A43" s="11" t="inlineStr">
        <is>
          <t>UNIT</t>
        </is>
      </c>
      <c r="B43" s="18" t="inlineStr">
        <is>
          <t>ERGON_NEWELL</t>
        </is>
      </c>
      <c r="C43" s="18" t="n">
        <v>1</v>
      </c>
      <c r="D43" s="18" t="inlineStr">
        <is>
          <t>CCR</t>
        </is>
      </c>
      <c r="E43" s="18" t="inlineStr">
        <is>
          <t>REFORMER</t>
        </is>
      </c>
      <c r="F43" s="19" t="n">
        <v>4.7</v>
      </c>
      <c r="G43" s="21">
        <f>IFERROR(IF(INDEX(Effective!$E$3:$R$125,MATCH($B43,Effective!$A$3:$A$125,0),MATCH($D43,Effective!$E$2:$R$2,0))=0,"",INDEX(Effective!$E$3:$R$125,MATCH($B43,Effective!$A$3:$A$125,0),MATCH($D43,Effective!$E$2:$R$2,0))),"")</f>
        <v/>
      </c>
      <c r="H43" s="22" t="inlineStr">
        <is>
          <t>override</t>
        </is>
      </c>
      <c r="I43" s="23" t="n"/>
      <c r="J43" s="24">
        <f>IF(AND(IF($H45&lt;&gt;"",$H45,$H43)="override",$I43&lt;&gt;""),$I43,SUMIFS(Assumptions!$K$4:$K$8,Assumptions!$J$4:$J$8,$C43))*Assumptions!$S$10</f>
        <v/>
      </c>
      <c r="K43" s="23" t="n"/>
      <c r="L43" s="25">
        <f>IF(AND(IF($H45&lt;&gt;"",$H45,$H43)="override",$K43&lt;&gt;""),$K43,SUMIFS(Assumptions!$P$4:$P$103,Assumptions!$M$4:$M$103,$C43,Assumptions!$N$4:$N$103,$E43,Assumptions!$O$4:$O$103,"LVN"))</f>
        <v/>
      </c>
      <c r="M43" s="23" t="n"/>
      <c r="N43" s="25">
        <f>IF(AND(IF($H45&lt;&gt;"",$H45,$H43)="override",$M43&lt;&gt;""),$M43,SUMIFS(Assumptions!$P$4:$P$103,Assumptions!$M$4:$M$103,$C43,Assumptions!$N$4:$N$103,$E43,Assumptions!$O$4:$O$103,"HVN"))</f>
        <v/>
      </c>
      <c r="O43" s="25">
        <f>(L43+N43)*Assumptions!$S$11</f>
        <v/>
      </c>
      <c r="P43" s="26">
        <f>$F43*$J43*$O43</f>
        <v/>
      </c>
    </row>
    <row r="44">
      <c r="A44" s="11" t="inlineStr">
        <is>
          <t>UNIT</t>
        </is>
      </c>
      <c r="B44" s="18" t="inlineStr">
        <is>
          <t>ERGON_NEWELL</t>
        </is>
      </c>
      <c r="C44" s="18" t="n">
        <v>1</v>
      </c>
      <c r="D44" s="18" t="inlineStr">
        <is>
          <t>NHT</t>
        </is>
      </c>
      <c r="E44" s="18" t="inlineStr">
        <is>
          <t>NHT</t>
        </is>
      </c>
      <c r="F44" s="19" t="n">
        <v>7.7</v>
      </c>
      <c r="G44" s="21">
        <f>IFERROR(IF(INDEX(Effective!$E$3:$R$125,MATCH($B44,Effective!$A$3:$A$125,0),MATCH($D44,Effective!$E$2:$R$2,0))=0,"",INDEX(Effective!$E$3:$R$125,MATCH($B44,Effective!$A$3:$A$125,0),MATCH($D44,Effective!$E$2:$R$2,0))),"")</f>
        <v/>
      </c>
      <c r="H44" s="22" t="inlineStr">
        <is>
          <t>override</t>
        </is>
      </c>
      <c r="I44" s="23" t="n"/>
      <c r="J44" s="24">
        <f>IF(AND(IF($H45&lt;&gt;"",$H45,$H44)="override",$I44&lt;&gt;""),$I44,SUMIFS(Assumptions!$K$4:$K$8,Assumptions!$J$4:$J$8,$C44))*Assumptions!$S$10</f>
        <v/>
      </c>
      <c r="K44" s="23" t="n"/>
      <c r="L44" s="25">
        <f>IF(AND(IF($H45&lt;&gt;"",$H45,$H44)="override",$K44&lt;&gt;""),$K44,SUMIFS(Assumptions!$P$4:$P$103,Assumptions!$M$4:$M$103,$C44,Assumptions!$N$4:$N$103,$E44,Assumptions!$O$4:$O$103,"LVN"))</f>
        <v/>
      </c>
      <c r="M44" s="23" t="n"/>
      <c r="N44" s="25">
        <f>IF(AND(IF($H45&lt;&gt;"",$H45,$H44)="override",$M44&lt;&gt;""),$M44,SUMIFS(Assumptions!$P$4:$P$103,Assumptions!$M$4:$M$103,$C44,Assumptions!$N$4:$N$103,$E44,Assumptions!$O$4:$O$103,"HVN"))</f>
        <v/>
      </c>
      <c r="O44" s="25">
        <f>(L44+N44)*Assumptions!$S$11</f>
        <v/>
      </c>
      <c r="P44" s="26">
        <f>$F44*$J44*$O44</f>
        <v/>
      </c>
    </row>
    <row r="45">
      <c r="A45" s="27" t="inlineStr">
        <is>
          <t>TOTAL</t>
        </is>
      </c>
      <c r="B45" s="28" t="inlineStr">
        <is>
          <t>ERGON_NEWELL</t>
        </is>
      </c>
      <c r="C45" s="28" t="n">
        <v>1</v>
      </c>
      <c r="D45" s="28" t="inlineStr">
        <is>
          <t>NET NAPHTHA</t>
        </is>
      </c>
      <c r="H45" s="22" t="n"/>
      <c r="P45" s="29">
        <f>SUM(P41:P44)</f>
        <v/>
      </c>
    </row>
    <row r="47" ht="20" customHeight="1">
      <c r="A47" s="8">
        <f>"  American Refining Group Bradford  [AMERICAN_BRADFORD]   —   American Refining Group   —   PADD 1   —   crude "&amp;TEXT(SUMIFS(Data!$G$3:$G$125,Data!$A$3:$A$125,"AMERICAN_BRADFORD"),"#,##0")&amp;" kbd"</f>
        <v/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</row>
    <row r="48">
      <c r="A48" s="11" t="inlineStr">
        <is>
          <t>UNIT</t>
        </is>
      </c>
      <c r="B48" s="18" t="inlineStr">
        <is>
          <t>AMERICAN_BRADFORD</t>
        </is>
      </c>
      <c r="C48" s="18" t="n">
        <v>1</v>
      </c>
      <c r="D48" s="18" t="inlineStr">
        <is>
          <t>CDU</t>
        </is>
      </c>
      <c r="E48" s="18" t="inlineStr">
        <is>
          <t>CDU</t>
        </is>
      </c>
      <c r="F48" s="19" t="n">
        <v>11.8</v>
      </c>
      <c r="G48" s="21">
        <f>IFERROR(IF(INDEX(Effective!$E$3:$R$125,MATCH($B48,Effective!$A$3:$A$125,0),MATCH($D48,Effective!$E$2:$R$2,0))=0,"",INDEX(Effective!$E$3:$R$125,MATCH($B48,Effective!$A$3:$A$125,0),MATCH($D48,Effective!$E$2:$R$2,0))),"")</f>
        <v/>
      </c>
      <c r="H48" s="22" t="inlineStr">
        <is>
          <t>override</t>
        </is>
      </c>
      <c r="I48" s="23" t="n"/>
      <c r="J48" s="24">
        <f>IF(AND(IF($H52&lt;&gt;"",$H52,$H48)="override",$I48&lt;&gt;""),$I48,SUMIFS(Assumptions!$K$4:$K$8,Assumptions!$J$4:$J$8,$C48))*Assumptions!$S$10</f>
        <v/>
      </c>
      <c r="K48" s="23" t="n"/>
      <c r="L48" s="25">
        <f>IF(AND(IF($H52&lt;&gt;"",$H52,$H48)="override",$K48&lt;&gt;""),$K48,SUMIFS(Assumptions!$P$4:$P$103,Assumptions!$M$4:$M$103,$C48,Assumptions!$N$4:$N$103,$E48,Assumptions!$O$4:$O$103,"LVN"))</f>
        <v/>
      </c>
      <c r="M48" s="23" t="n"/>
      <c r="N48" s="25">
        <f>IF(AND(IF($H52&lt;&gt;"",$H52,$H48)="override",$M48&lt;&gt;""),$M48,SUMIFS(Assumptions!$P$4:$P$103,Assumptions!$M$4:$M$103,$C48,Assumptions!$N$4:$N$103,$E48,Assumptions!$O$4:$O$103,"HVN"))</f>
        <v/>
      </c>
      <c r="O48" s="25">
        <f>(L48+N48)*Assumptions!$S$11</f>
        <v/>
      </c>
      <c r="P48" s="26">
        <f>$F48*$J48*$O48</f>
        <v/>
      </c>
    </row>
    <row r="49">
      <c r="A49" s="11" t="inlineStr">
        <is>
          <t>UNIT</t>
        </is>
      </c>
      <c r="B49" s="18" t="inlineStr">
        <is>
          <t>AMERICAN_BRADFORD</t>
        </is>
      </c>
      <c r="C49" s="18" t="n">
        <v>1</v>
      </c>
      <c r="D49" s="18" t="inlineStr">
        <is>
          <t>REF</t>
        </is>
      </c>
      <c r="E49" s="18" t="inlineStr">
        <is>
          <t>REFORMER</t>
        </is>
      </c>
      <c r="F49" s="19" t="n">
        <v>2.2</v>
      </c>
      <c r="G49" s="21">
        <f>IFERROR(IF(INDEX(Effective!$E$3:$R$125,MATCH($B49,Effective!$A$3:$A$125,0),MATCH($D49,Effective!$E$2:$R$2,0))=0,"",INDEX(Effective!$E$3:$R$125,MATCH($B49,Effective!$A$3:$A$125,0),MATCH($D49,Effective!$E$2:$R$2,0))),"")</f>
        <v/>
      </c>
      <c r="H49" s="22" t="inlineStr">
        <is>
          <t>override</t>
        </is>
      </c>
      <c r="I49" s="23" t="n"/>
      <c r="J49" s="24">
        <f>IF(AND(IF($H52&lt;&gt;"",$H52,$H49)="override",$I49&lt;&gt;""),$I49,SUMIFS(Assumptions!$K$4:$K$8,Assumptions!$J$4:$J$8,$C49))*Assumptions!$S$10</f>
        <v/>
      </c>
      <c r="K49" s="23" t="n"/>
      <c r="L49" s="25">
        <f>IF(AND(IF($H52&lt;&gt;"",$H52,$H49)="override",$K49&lt;&gt;""),$K49,SUMIFS(Assumptions!$P$4:$P$103,Assumptions!$M$4:$M$103,$C49,Assumptions!$N$4:$N$103,$E49,Assumptions!$O$4:$O$103,"LVN"))</f>
        <v/>
      </c>
      <c r="M49" s="23" t="n"/>
      <c r="N49" s="25">
        <f>IF(AND(IF($H52&lt;&gt;"",$H52,$H49)="override",$M49&lt;&gt;""),$M49,SUMIFS(Assumptions!$P$4:$P$103,Assumptions!$M$4:$M$103,$C49,Assumptions!$N$4:$N$103,$E49,Assumptions!$O$4:$O$103,"HVN"))</f>
        <v/>
      </c>
      <c r="O49" s="25">
        <f>(L49+N49)*Assumptions!$S$11</f>
        <v/>
      </c>
      <c r="P49" s="26">
        <f>$F49*$J49*$O49</f>
        <v/>
      </c>
    </row>
    <row r="50">
      <c r="A50" s="11" t="inlineStr">
        <is>
          <t>UNIT</t>
        </is>
      </c>
      <c r="B50" s="18" t="inlineStr">
        <is>
          <t>AMERICAN_BRADFORD</t>
        </is>
      </c>
      <c r="C50" s="18" t="n">
        <v>1</v>
      </c>
      <c r="D50" s="18" t="inlineStr">
        <is>
          <t>ISOM</t>
        </is>
      </c>
      <c r="E50" s="18" t="inlineStr">
        <is>
          <t>ISOM</t>
        </is>
      </c>
      <c r="F50" s="19" t="n">
        <v>0.78</v>
      </c>
      <c r="G50" s="21">
        <f>IFERROR(IF(INDEX(Effective!$E$3:$R$125,MATCH($B50,Effective!$A$3:$A$125,0),MATCH($D50,Effective!$E$2:$R$2,0))=0,"",INDEX(Effective!$E$3:$R$125,MATCH($B50,Effective!$A$3:$A$125,0),MATCH($D50,Effective!$E$2:$R$2,0))),"")</f>
        <v/>
      </c>
      <c r="H50" s="22" t="inlineStr">
        <is>
          <t>override</t>
        </is>
      </c>
      <c r="I50" s="23" t="n"/>
      <c r="J50" s="24">
        <f>IF(AND(IF($H52&lt;&gt;"",$H52,$H50)="override",$I50&lt;&gt;""),$I50,SUMIFS(Assumptions!$K$4:$K$8,Assumptions!$J$4:$J$8,$C50))*Assumptions!$S$10</f>
        <v/>
      </c>
      <c r="K50" s="23" t="n"/>
      <c r="L50" s="25">
        <f>IF(AND(IF($H52&lt;&gt;"",$H52,$H50)="override",$K50&lt;&gt;""),$K50,SUMIFS(Assumptions!$P$4:$P$103,Assumptions!$M$4:$M$103,$C50,Assumptions!$N$4:$N$103,$E50,Assumptions!$O$4:$O$103,"LVN"))</f>
        <v/>
      </c>
      <c r="M50" s="23" t="n"/>
      <c r="N50" s="25">
        <f>IF(AND(IF($H52&lt;&gt;"",$H52,$H50)="override",$M50&lt;&gt;""),$M50,SUMIFS(Assumptions!$P$4:$P$103,Assumptions!$M$4:$M$103,$C50,Assumptions!$N$4:$N$103,$E50,Assumptions!$O$4:$O$103,"HVN"))</f>
        <v/>
      </c>
      <c r="O50" s="25">
        <f>(L50+N50)*Assumptions!$S$11</f>
        <v/>
      </c>
      <c r="P50" s="26">
        <f>$F50*$J50*$O50</f>
        <v/>
      </c>
    </row>
    <row r="51">
      <c r="A51" s="11" t="inlineStr">
        <is>
          <t>UNIT</t>
        </is>
      </c>
      <c r="B51" s="18" t="inlineStr">
        <is>
          <t>AMERICAN_BRADFORD</t>
        </is>
      </c>
      <c r="C51" s="18" t="n">
        <v>1</v>
      </c>
      <c r="D51" s="18" t="inlineStr">
        <is>
          <t>NHT</t>
        </is>
      </c>
      <c r="E51" s="18" t="inlineStr">
        <is>
          <t>NHT</t>
        </is>
      </c>
      <c r="F51" s="19" t="n">
        <v>3.9</v>
      </c>
      <c r="G51" s="21">
        <f>IFERROR(IF(INDEX(Effective!$E$3:$R$125,MATCH($B51,Effective!$A$3:$A$125,0),MATCH($D51,Effective!$E$2:$R$2,0))=0,"",INDEX(Effective!$E$3:$R$125,MATCH($B51,Effective!$A$3:$A$125,0),MATCH($D51,Effective!$E$2:$R$2,0))),"")</f>
        <v/>
      </c>
      <c r="H51" s="22" t="inlineStr">
        <is>
          <t>override</t>
        </is>
      </c>
      <c r="I51" s="23" t="n"/>
      <c r="J51" s="24">
        <f>IF(AND(IF($H52&lt;&gt;"",$H52,$H51)="override",$I51&lt;&gt;""),$I51,SUMIFS(Assumptions!$K$4:$K$8,Assumptions!$J$4:$J$8,$C51))*Assumptions!$S$10</f>
        <v/>
      </c>
      <c r="K51" s="23" t="n"/>
      <c r="L51" s="25">
        <f>IF(AND(IF($H52&lt;&gt;"",$H52,$H51)="override",$K51&lt;&gt;""),$K51,SUMIFS(Assumptions!$P$4:$P$103,Assumptions!$M$4:$M$103,$C51,Assumptions!$N$4:$N$103,$E51,Assumptions!$O$4:$O$103,"LVN"))</f>
        <v/>
      </c>
      <c r="M51" s="23" t="n"/>
      <c r="N51" s="25">
        <f>IF(AND(IF($H52&lt;&gt;"",$H52,$H51)="override",$M51&lt;&gt;""),$M51,SUMIFS(Assumptions!$P$4:$P$103,Assumptions!$M$4:$M$103,$C51,Assumptions!$N$4:$N$103,$E51,Assumptions!$O$4:$O$103,"HVN"))</f>
        <v/>
      </c>
      <c r="O51" s="25">
        <f>(L51+N51)*Assumptions!$S$11</f>
        <v/>
      </c>
      <c r="P51" s="26">
        <f>$F51*$J51*$O51</f>
        <v/>
      </c>
    </row>
    <row r="52">
      <c r="A52" s="27" t="inlineStr">
        <is>
          <t>TOTAL</t>
        </is>
      </c>
      <c r="B52" s="28" t="inlineStr">
        <is>
          <t>AMERICAN_BRADFORD</t>
        </is>
      </c>
      <c r="C52" s="28" t="n">
        <v>1</v>
      </c>
      <c r="D52" s="28" t="inlineStr">
        <is>
          <t>NET NAPHTHA</t>
        </is>
      </c>
      <c r="H52" s="22" t="n"/>
      <c r="P52" s="29">
        <f>SUM(P48:P51)</f>
        <v/>
      </c>
    </row>
    <row r="54" ht="20" customHeight="1">
      <c r="A54" s="8">
        <f>"  BP Whiting  [BP_WHITING]   —   BP   —   PADD 2   —   crude "&amp;TEXT(SUMIFS(Data!$G$3:$G$125,Data!$A$3:$A$125,"BP_WHITING"),"#,##0")&amp;" kbd"</f>
        <v/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</row>
    <row r="55">
      <c r="A55" s="11" t="inlineStr">
        <is>
          <t>UNIT</t>
        </is>
      </c>
      <c r="B55" s="18" t="inlineStr">
        <is>
          <t>BP_WHITING</t>
        </is>
      </c>
      <c r="C55" s="18" t="n">
        <v>2</v>
      </c>
      <c r="D55" s="18" t="inlineStr">
        <is>
          <t>CDU</t>
        </is>
      </c>
      <c r="E55" s="18" t="inlineStr">
        <is>
          <t>CDU</t>
        </is>
      </c>
      <c r="F55" s="19" t="n">
        <v>440</v>
      </c>
      <c r="G55" s="21">
        <f>IFERROR(IF(INDEX(Effective!$E$3:$R$125,MATCH($B55,Effective!$A$3:$A$125,0),MATCH($D55,Effective!$E$2:$R$2,0))=0,"",INDEX(Effective!$E$3:$R$125,MATCH($B55,Effective!$A$3:$A$125,0),MATCH($D55,Effective!$E$2:$R$2,0))),"")</f>
        <v/>
      </c>
      <c r="H55" s="22" t="inlineStr">
        <is>
          <t>override</t>
        </is>
      </c>
      <c r="I55" s="23" t="n">
        <v>0.821</v>
      </c>
      <c r="J55" s="24">
        <f>IF(AND(IF($H63&lt;&gt;"",$H63,$H55)="override",$I55&lt;&gt;""),$I55,SUMIFS(Assumptions!$K$4:$K$8,Assumptions!$J$4:$J$8,$C55))*Assumptions!$S$10</f>
        <v/>
      </c>
      <c r="K55" s="23" t="n"/>
      <c r="L55" s="25">
        <f>IF(AND(IF($H63&lt;&gt;"",$H63,$H55)="override",$K55&lt;&gt;""),$K55,SUMIFS(Assumptions!$P$4:$P$103,Assumptions!$M$4:$M$103,$C55,Assumptions!$N$4:$N$103,$E55,Assumptions!$O$4:$O$103,"LVN"))</f>
        <v/>
      </c>
      <c r="M55" s="23" t="n"/>
      <c r="N55" s="25">
        <f>IF(AND(IF($H63&lt;&gt;"",$H63,$H55)="override",$M55&lt;&gt;""),$M55,SUMIFS(Assumptions!$P$4:$P$103,Assumptions!$M$4:$M$103,$C55,Assumptions!$N$4:$N$103,$E55,Assumptions!$O$4:$O$103,"HVN"))</f>
        <v/>
      </c>
      <c r="O55" s="25">
        <f>(L55+N55)*Assumptions!$S$11</f>
        <v/>
      </c>
      <c r="P55" s="26">
        <f>$F55*$J55*$O55</f>
        <v/>
      </c>
    </row>
    <row r="56">
      <c r="A56" s="11" t="inlineStr">
        <is>
          <t>UNIT</t>
        </is>
      </c>
      <c r="B56" s="18" t="inlineStr">
        <is>
          <t>BP_WHITING</t>
        </is>
      </c>
      <c r="C56" s="18" t="n">
        <v>2</v>
      </c>
      <c r="D56" s="18" t="inlineStr">
        <is>
          <t>VDU</t>
        </is>
      </c>
      <c r="E56" s="18" t="inlineStr">
        <is>
          <t>VDU</t>
        </is>
      </c>
      <c r="F56" s="19" t="n">
        <v>276.2</v>
      </c>
      <c r="G56" s="21">
        <f>IFERROR(IF(INDEX(Effective!$E$3:$R$125,MATCH($B56,Effective!$A$3:$A$125,0),MATCH($D56,Effective!$E$2:$R$2,0))=0,"",INDEX(Effective!$E$3:$R$125,MATCH($B56,Effective!$A$3:$A$125,0),MATCH($D56,Effective!$E$2:$R$2,0))),"")</f>
        <v/>
      </c>
      <c r="H56" s="22" t="inlineStr">
        <is>
          <t>override</t>
        </is>
      </c>
      <c r="I56" s="23" t="n">
        <v>0.61</v>
      </c>
      <c r="J56" s="24">
        <f>IF(AND(IF($H63&lt;&gt;"",$H63,$H56)="override",$I56&lt;&gt;""),$I56,SUMIFS(Assumptions!$K$4:$K$8,Assumptions!$J$4:$J$8,$C56))*Assumptions!$S$10</f>
        <v/>
      </c>
      <c r="K56" s="23" t="n"/>
      <c r="L56" s="25">
        <f>IF(AND(IF($H63&lt;&gt;"",$H63,$H56)="override",$K56&lt;&gt;""),$K56,SUMIFS(Assumptions!$P$4:$P$103,Assumptions!$M$4:$M$103,$C56,Assumptions!$N$4:$N$103,$E56,Assumptions!$O$4:$O$103,"LVN"))</f>
        <v/>
      </c>
      <c r="M56" s="23" t="n"/>
      <c r="N56" s="25">
        <f>IF(AND(IF($H63&lt;&gt;"",$H63,$H56)="override",$M56&lt;&gt;""),$M56,SUMIFS(Assumptions!$P$4:$P$103,Assumptions!$M$4:$M$103,$C56,Assumptions!$N$4:$N$103,$E56,Assumptions!$O$4:$O$103,"HVN"))</f>
        <v/>
      </c>
      <c r="O56" s="25">
        <f>(L56+N56)*Assumptions!$S$11</f>
        <v/>
      </c>
      <c r="P56" s="26">
        <f>$F56*$J56*$O56</f>
        <v/>
      </c>
    </row>
    <row r="57">
      <c r="A57" s="11" t="inlineStr">
        <is>
          <t>UNIT</t>
        </is>
      </c>
      <c r="B57" s="18" t="inlineStr">
        <is>
          <t>BP_WHITING</t>
        </is>
      </c>
      <c r="C57" s="18" t="n">
        <v>2</v>
      </c>
      <c r="D57" s="18" t="inlineStr">
        <is>
          <t>FCC</t>
        </is>
      </c>
      <c r="E57" s="18" t="inlineStr">
        <is>
          <t>FCC</t>
        </is>
      </c>
      <c r="F57" s="19" t="n">
        <v>177</v>
      </c>
      <c r="G57" s="21">
        <f>IFERROR(IF(INDEX(Effective!$E$3:$R$125,MATCH($B57,Effective!$A$3:$A$125,0),MATCH($D57,Effective!$E$2:$R$2,0))=0,"",INDEX(Effective!$E$3:$R$125,MATCH($B57,Effective!$A$3:$A$125,0),MATCH($D57,Effective!$E$2:$R$2,0))),"")</f>
        <v/>
      </c>
      <c r="H57" s="22" t="inlineStr">
        <is>
          <t>override</t>
        </is>
      </c>
      <c r="I57" s="23" t="n">
        <v>0.739</v>
      </c>
      <c r="J57" s="24">
        <f>IF(AND(IF($H63&lt;&gt;"",$H63,$H57)="override",$I57&lt;&gt;""),$I57,SUMIFS(Assumptions!$K$4:$K$8,Assumptions!$J$4:$J$8,$C57))*Assumptions!$S$10</f>
        <v/>
      </c>
      <c r="K57" s="23" t="n"/>
      <c r="L57" s="25">
        <f>IF(AND(IF($H63&lt;&gt;"",$H63,$H57)="override",$K57&lt;&gt;""),$K57,SUMIFS(Assumptions!$P$4:$P$103,Assumptions!$M$4:$M$103,$C57,Assumptions!$N$4:$N$103,$E57,Assumptions!$O$4:$O$103,"LVN"))</f>
        <v/>
      </c>
      <c r="M57" s="23" t="n"/>
      <c r="N57" s="25">
        <f>IF(AND(IF($H63&lt;&gt;"",$H63,$H57)="override",$M57&lt;&gt;""),$M57,SUMIFS(Assumptions!$P$4:$P$103,Assumptions!$M$4:$M$103,$C57,Assumptions!$N$4:$N$103,$E57,Assumptions!$O$4:$O$103,"HVN"))</f>
        <v/>
      </c>
      <c r="O57" s="25">
        <f>(L57+N57)*Assumptions!$S$11</f>
        <v/>
      </c>
      <c r="P57" s="26">
        <f>$F57*$J57*$O57</f>
        <v/>
      </c>
    </row>
    <row r="58">
      <c r="A58" s="11" t="inlineStr">
        <is>
          <t>UNIT</t>
        </is>
      </c>
      <c r="B58" s="18" t="inlineStr">
        <is>
          <t>BP_WHITING</t>
        </is>
      </c>
      <c r="C58" s="18" t="n">
        <v>2</v>
      </c>
      <c r="D58" s="18" t="inlineStr">
        <is>
          <t>COKER</t>
        </is>
      </c>
      <c r="E58" s="18" t="inlineStr">
        <is>
          <t>COKER</t>
        </is>
      </c>
      <c r="F58" s="19" t="n">
        <v>102</v>
      </c>
      <c r="G58" s="21">
        <f>IFERROR(IF(INDEX(Effective!$E$3:$R$125,MATCH($B58,Effective!$A$3:$A$125,0),MATCH($D58,Effective!$E$2:$R$2,0))=0,"",INDEX(Effective!$E$3:$R$125,MATCH($B58,Effective!$A$3:$A$125,0),MATCH($D58,Effective!$E$2:$R$2,0))),"")</f>
        <v/>
      </c>
      <c r="H58" s="22" t="inlineStr">
        <is>
          <t>override</t>
        </is>
      </c>
      <c r="I58" s="23" t="n">
        <v>0.548</v>
      </c>
      <c r="J58" s="24">
        <f>IF(AND(IF($H63&lt;&gt;"",$H63,$H58)="override",$I58&lt;&gt;""),$I58,SUMIFS(Assumptions!$K$4:$K$8,Assumptions!$J$4:$J$8,$C58))*Assumptions!$S$10</f>
        <v/>
      </c>
      <c r="K58" s="23" t="n"/>
      <c r="L58" s="25">
        <f>IF(AND(IF($H63&lt;&gt;"",$H63,$H58)="override",$K58&lt;&gt;""),$K58,SUMIFS(Assumptions!$P$4:$P$103,Assumptions!$M$4:$M$103,$C58,Assumptions!$N$4:$N$103,$E58,Assumptions!$O$4:$O$103,"LVN"))</f>
        <v/>
      </c>
      <c r="M58" s="23" t="n"/>
      <c r="N58" s="25">
        <f>IF(AND(IF($H63&lt;&gt;"",$H63,$H58)="override",$M58&lt;&gt;""),$M58,SUMIFS(Assumptions!$P$4:$P$103,Assumptions!$M$4:$M$103,$C58,Assumptions!$N$4:$N$103,$E58,Assumptions!$O$4:$O$103,"HVN"))</f>
        <v/>
      </c>
      <c r="O58" s="25">
        <f>(L58+N58)*Assumptions!$S$11</f>
        <v/>
      </c>
      <c r="P58" s="26">
        <f>$F58*$J58*$O58</f>
        <v/>
      </c>
    </row>
    <row r="59">
      <c r="A59" s="11" t="inlineStr">
        <is>
          <t>UNIT</t>
        </is>
      </c>
      <c r="B59" s="18" t="inlineStr">
        <is>
          <t>BP_WHITING</t>
        </is>
      </c>
      <c r="C59" s="18" t="n">
        <v>2</v>
      </c>
      <c r="D59" s="18" t="inlineStr">
        <is>
          <t>REF</t>
        </is>
      </c>
      <c r="E59" s="18" t="inlineStr">
        <is>
          <t>REFORMER</t>
        </is>
      </c>
      <c r="F59" s="19" t="n">
        <v>67</v>
      </c>
      <c r="G59" s="21">
        <f>IFERROR(IF(INDEX(Effective!$E$3:$R$125,MATCH($B59,Effective!$A$3:$A$125,0),MATCH($D59,Effective!$E$2:$R$2,0))=0,"",INDEX(Effective!$E$3:$R$125,MATCH($B59,Effective!$A$3:$A$125,0),MATCH($D59,Effective!$E$2:$R$2,0))),"")</f>
        <v/>
      </c>
      <c r="H59" s="22" t="inlineStr">
        <is>
          <t>override</t>
        </is>
      </c>
      <c r="I59" s="23" t="n"/>
      <c r="J59" s="24">
        <f>IF(AND(IF($H63&lt;&gt;"",$H63,$H59)="override",$I59&lt;&gt;""),$I59,SUMIFS(Assumptions!$K$4:$K$8,Assumptions!$J$4:$J$8,$C59))*Assumptions!$S$10</f>
        <v/>
      </c>
      <c r="K59" s="23" t="n"/>
      <c r="L59" s="25">
        <f>IF(AND(IF($H63&lt;&gt;"",$H63,$H59)="override",$K59&lt;&gt;""),$K59,SUMIFS(Assumptions!$P$4:$P$103,Assumptions!$M$4:$M$103,$C59,Assumptions!$N$4:$N$103,$E59,Assumptions!$O$4:$O$103,"LVN"))</f>
        <v/>
      </c>
      <c r="M59" s="23" t="n"/>
      <c r="N59" s="25">
        <f>IF(AND(IF($H63&lt;&gt;"",$H63,$H59)="override",$M59&lt;&gt;""),$M59,SUMIFS(Assumptions!$P$4:$P$103,Assumptions!$M$4:$M$103,$C59,Assumptions!$N$4:$N$103,$E59,Assumptions!$O$4:$O$103,"HVN"))</f>
        <v/>
      </c>
      <c r="O59" s="25">
        <f>(L59+N59)*Assumptions!$S$11</f>
        <v/>
      </c>
      <c r="P59" s="26">
        <f>$F59*$J59*$O59</f>
        <v/>
      </c>
    </row>
    <row r="60">
      <c r="A60" s="11" t="inlineStr">
        <is>
          <t>UNIT</t>
        </is>
      </c>
      <c r="B60" s="18" t="inlineStr">
        <is>
          <t>BP_WHITING</t>
        </is>
      </c>
      <c r="C60" s="18" t="n">
        <v>2</v>
      </c>
      <c r="D60" s="18" t="inlineStr">
        <is>
          <t>ISOM</t>
        </is>
      </c>
      <c r="E60" s="18" t="inlineStr">
        <is>
          <t>ISOM</t>
        </is>
      </c>
      <c r="F60" s="19" t="n">
        <v>30</v>
      </c>
      <c r="G60" s="21">
        <f>IFERROR(IF(INDEX(Effective!$E$3:$R$125,MATCH($B60,Effective!$A$3:$A$125,0),MATCH($D60,Effective!$E$2:$R$2,0))=0,"",INDEX(Effective!$E$3:$R$125,MATCH($B60,Effective!$A$3:$A$125,0),MATCH($D60,Effective!$E$2:$R$2,0))),"")</f>
        <v/>
      </c>
      <c r="H60" s="22" t="inlineStr">
        <is>
          <t>override</t>
        </is>
      </c>
      <c r="I60" s="23" t="n">
        <v>1</v>
      </c>
      <c r="J60" s="24">
        <f>IF(AND(IF($H63&lt;&gt;"",$H63,$H60)="override",$I60&lt;&gt;""),$I60,SUMIFS(Assumptions!$K$4:$K$8,Assumptions!$J$4:$J$8,$C60))*Assumptions!$S$10</f>
        <v/>
      </c>
      <c r="K60" s="23" t="n"/>
      <c r="L60" s="25">
        <f>IF(AND(IF($H63&lt;&gt;"",$H63,$H60)="override",$K60&lt;&gt;""),$K60,SUMIFS(Assumptions!$P$4:$P$103,Assumptions!$M$4:$M$103,$C60,Assumptions!$N$4:$N$103,$E60,Assumptions!$O$4:$O$103,"LVN"))</f>
        <v/>
      </c>
      <c r="M60" s="23" t="n"/>
      <c r="N60" s="25">
        <f>IF(AND(IF($H63&lt;&gt;"",$H63,$H60)="override",$M60&lt;&gt;""),$M60,SUMIFS(Assumptions!$P$4:$P$103,Assumptions!$M$4:$M$103,$C60,Assumptions!$N$4:$N$103,$E60,Assumptions!$O$4:$O$103,"HVN"))</f>
        <v/>
      </c>
      <c r="O60" s="25">
        <f>(L60+N60)*Assumptions!$S$11</f>
        <v/>
      </c>
      <c r="P60" s="26">
        <f>$F60*$J60*$O60</f>
        <v/>
      </c>
    </row>
    <row r="61">
      <c r="A61" s="11" t="inlineStr">
        <is>
          <t>UNIT</t>
        </is>
      </c>
      <c r="B61" s="18" t="inlineStr">
        <is>
          <t>BP_WHITING</t>
        </is>
      </c>
      <c r="C61" s="18" t="n">
        <v>2</v>
      </c>
      <c r="D61" s="18" t="inlineStr">
        <is>
          <t>ALKY</t>
        </is>
      </c>
      <c r="E61" s="18" t="inlineStr">
        <is>
          <t>ALKY</t>
        </is>
      </c>
      <c r="F61" s="19" t="n">
        <v>32</v>
      </c>
      <c r="G61" s="21">
        <f>IFERROR(IF(INDEX(Effective!$E$3:$R$125,MATCH($B61,Effective!$A$3:$A$125,0),MATCH($D61,Effective!$E$2:$R$2,0))=0,"",INDEX(Effective!$E$3:$R$125,MATCH($B61,Effective!$A$3:$A$125,0),MATCH($D61,Effective!$E$2:$R$2,0))),"")</f>
        <v/>
      </c>
      <c r="H61" s="22" t="inlineStr">
        <is>
          <t>override</t>
        </is>
      </c>
      <c r="I61" s="23" t="n">
        <v>0.996</v>
      </c>
      <c r="J61" s="24">
        <f>IF(AND(IF($H63&lt;&gt;"",$H63,$H61)="override",$I61&lt;&gt;""),$I61,SUMIFS(Assumptions!$K$4:$K$8,Assumptions!$J$4:$J$8,$C61))*Assumptions!$S$10</f>
        <v/>
      </c>
      <c r="K61" s="23" t="n"/>
      <c r="L61" s="25">
        <f>IF(AND(IF($H63&lt;&gt;"",$H63,$H61)="override",$K61&lt;&gt;""),$K61,SUMIFS(Assumptions!$P$4:$P$103,Assumptions!$M$4:$M$103,$C61,Assumptions!$N$4:$N$103,$E61,Assumptions!$O$4:$O$103,"LVN"))</f>
        <v/>
      </c>
      <c r="M61" s="23" t="n"/>
      <c r="N61" s="25">
        <f>IF(AND(IF($H63&lt;&gt;"",$H63,$H61)="override",$M61&lt;&gt;""),$M61,SUMIFS(Assumptions!$P$4:$P$103,Assumptions!$M$4:$M$103,$C61,Assumptions!$N$4:$N$103,$E61,Assumptions!$O$4:$O$103,"HVN"))</f>
        <v/>
      </c>
      <c r="O61" s="25">
        <f>(L61+N61)*Assumptions!$S$11</f>
        <v/>
      </c>
      <c r="P61" s="26">
        <f>$F61*$J61*$O61</f>
        <v/>
      </c>
    </row>
    <row r="62">
      <c r="A62" s="11" t="inlineStr">
        <is>
          <t>UNIT</t>
        </is>
      </c>
      <c r="B62" s="18" t="inlineStr">
        <is>
          <t>BP_WHITING</t>
        </is>
      </c>
      <c r="C62" s="18" t="n">
        <v>2</v>
      </c>
      <c r="D62" s="18" t="inlineStr">
        <is>
          <t>NHT</t>
        </is>
      </c>
      <c r="E62" s="18" t="inlineStr">
        <is>
          <t>NHT</t>
        </is>
      </c>
      <c r="F62" s="19" t="n">
        <v>122.7</v>
      </c>
      <c r="G62" s="21">
        <f>IFERROR(IF(INDEX(Effective!$E$3:$R$125,MATCH($B62,Effective!$A$3:$A$125,0),MATCH($D62,Effective!$E$2:$R$2,0))=0,"",INDEX(Effective!$E$3:$R$125,MATCH($B62,Effective!$A$3:$A$125,0),MATCH($D62,Effective!$E$2:$R$2,0))),"")</f>
        <v/>
      </c>
      <c r="H62" s="22" t="inlineStr">
        <is>
          <t>override</t>
        </is>
      </c>
      <c r="I62" s="23" t="n">
        <v>0.597</v>
      </c>
      <c r="J62" s="24">
        <f>IF(AND(IF($H63&lt;&gt;"",$H63,$H62)="override",$I62&lt;&gt;""),$I62,SUMIFS(Assumptions!$K$4:$K$8,Assumptions!$J$4:$J$8,$C62))*Assumptions!$S$10</f>
        <v/>
      </c>
      <c r="K62" s="23" t="n"/>
      <c r="L62" s="25">
        <f>IF(AND(IF($H63&lt;&gt;"",$H63,$H62)="override",$K62&lt;&gt;""),$K62,SUMIFS(Assumptions!$P$4:$P$103,Assumptions!$M$4:$M$103,$C62,Assumptions!$N$4:$N$103,$E62,Assumptions!$O$4:$O$103,"LVN"))</f>
        <v/>
      </c>
      <c r="M62" s="23" t="n"/>
      <c r="N62" s="25">
        <f>IF(AND(IF($H63&lt;&gt;"",$H63,$H62)="override",$M62&lt;&gt;""),$M62,SUMIFS(Assumptions!$P$4:$P$103,Assumptions!$M$4:$M$103,$C62,Assumptions!$N$4:$N$103,$E62,Assumptions!$O$4:$O$103,"HVN"))</f>
        <v/>
      </c>
      <c r="O62" s="25">
        <f>(L62+N62)*Assumptions!$S$11</f>
        <v/>
      </c>
      <c r="P62" s="26">
        <f>$F62*$J62*$O62</f>
        <v/>
      </c>
    </row>
    <row r="63">
      <c r="A63" s="27" t="inlineStr">
        <is>
          <t>TOTAL</t>
        </is>
      </c>
      <c r="B63" s="28" t="inlineStr">
        <is>
          <t>BP_WHITING</t>
        </is>
      </c>
      <c r="C63" s="28" t="n">
        <v>2</v>
      </c>
      <c r="D63" s="28" t="inlineStr">
        <is>
          <t>NET NAPHTHA</t>
        </is>
      </c>
      <c r="H63" s="22" t="n"/>
      <c r="P63" s="29">
        <f>SUM(P55:P62)</f>
        <v/>
      </c>
    </row>
    <row r="65" ht="20" customHeight="1">
      <c r="A65" s="8">
        <f>"  Flint Hills Resources Rosemount  [FLINT_ROSEMOUNT]   —   Koch Industries   —   PADD 2   —   crude "&amp;TEXT(SUMIFS(Data!$G$3:$G$125,Data!$A$3:$A$125,"FLINT_ROSEMOUNT"),"#,##0")&amp;" kbd"</f>
        <v/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</row>
    <row r="66">
      <c r="A66" s="11" t="inlineStr">
        <is>
          <t>UNIT</t>
        </is>
      </c>
      <c r="B66" s="18" t="inlineStr">
        <is>
          <t>FLINT_ROSEMOUNT</t>
        </is>
      </c>
      <c r="C66" s="18" t="n">
        <v>2</v>
      </c>
      <c r="D66" s="18" t="inlineStr">
        <is>
          <t>CDU</t>
        </is>
      </c>
      <c r="E66" s="18" t="inlineStr">
        <is>
          <t>CDU</t>
        </is>
      </c>
      <c r="F66" s="19" t="n">
        <v>375</v>
      </c>
      <c r="G66" s="21">
        <f>IFERROR(IF(INDEX(Effective!$E$3:$R$125,MATCH($B66,Effective!$A$3:$A$125,0),MATCH($D66,Effective!$E$2:$R$2,0))=0,"",INDEX(Effective!$E$3:$R$125,MATCH($B66,Effective!$A$3:$A$125,0),MATCH($D66,Effective!$E$2:$R$2,0))),"")</f>
        <v/>
      </c>
      <c r="H66" s="22" t="inlineStr">
        <is>
          <t>override</t>
        </is>
      </c>
      <c r="I66" s="23" t="n">
        <v>0.8149999999999999</v>
      </c>
      <c r="J66" s="24">
        <f>IF(AND(IF($H76&lt;&gt;"",$H76,$H66)="override",$I66&lt;&gt;""),$I66,SUMIFS(Assumptions!$K$4:$K$8,Assumptions!$J$4:$J$8,$C66))*Assumptions!$S$10</f>
        <v/>
      </c>
      <c r="K66" s="23" t="n"/>
      <c r="L66" s="25">
        <f>IF(AND(IF($H76&lt;&gt;"",$H76,$H66)="override",$K66&lt;&gt;""),$K66,SUMIFS(Assumptions!$P$4:$P$103,Assumptions!$M$4:$M$103,$C66,Assumptions!$N$4:$N$103,$E66,Assumptions!$O$4:$O$103,"LVN"))</f>
        <v/>
      </c>
      <c r="M66" s="23" t="n"/>
      <c r="N66" s="25">
        <f>IF(AND(IF($H76&lt;&gt;"",$H76,$H66)="override",$M66&lt;&gt;""),$M66,SUMIFS(Assumptions!$P$4:$P$103,Assumptions!$M$4:$M$103,$C66,Assumptions!$N$4:$N$103,$E66,Assumptions!$O$4:$O$103,"HVN"))</f>
        <v/>
      </c>
      <c r="O66" s="25">
        <f>(L66+N66)*Assumptions!$S$11</f>
        <v/>
      </c>
      <c r="P66" s="26">
        <f>$F66*$J66*$O66</f>
        <v/>
      </c>
    </row>
    <row r="67">
      <c r="A67" s="11" t="inlineStr">
        <is>
          <t>UNIT</t>
        </is>
      </c>
      <c r="B67" s="18" t="inlineStr">
        <is>
          <t>FLINT_ROSEMOUNT</t>
        </is>
      </c>
      <c r="C67" s="18" t="n">
        <v>2</v>
      </c>
      <c r="D67" s="18" t="inlineStr">
        <is>
          <t>VDU</t>
        </is>
      </c>
      <c r="E67" s="18" t="inlineStr">
        <is>
          <t>VDU</t>
        </is>
      </c>
      <c r="F67" s="19" t="n">
        <v>234</v>
      </c>
      <c r="G67" s="21">
        <f>IFERROR(IF(INDEX(Effective!$E$3:$R$125,MATCH($B67,Effective!$A$3:$A$125,0),MATCH($D67,Effective!$E$2:$R$2,0))=0,"",INDEX(Effective!$E$3:$R$125,MATCH($B67,Effective!$A$3:$A$125,0),MATCH($D67,Effective!$E$2:$R$2,0))),"")</f>
        <v/>
      </c>
      <c r="H67" s="22" t="inlineStr">
        <is>
          <t>override</t>
        </is>
      </c>
      <c r="I67" s="23" t="n">
        <v>0.697</v>
      </c>
      <c r="J67" s="24">
        <f>IF(AND(IF($H76&lt;&gt;"",$H76,$H67)="override",$I67&lt;&gt;""),$I67,SUMIFS(Assumptions!$K$4:$K$8,Assumptions!$J$4:$J$8,$C67))*Assumptions!$S$10</f>
        <v/>
      </c>
      <c r="K67" s="23" t="n"/>
      <c r="L67" s="25">
        <f>IF(AND(IF($H76&lt;&gt;"",$H76,$H67)="override",$K67&lt;&gt;""),$K67,SUMIFS(Assumptions!$P$4:$P$103,Assumptions!$M$4:$M$103,$C67,Assumptions!$N$4:$N$103,$E67,Assumptions!$O$4:$O$103,"LVN"))</f>
        <v/>
      </c>
      <c r="M67" s="23" t="n"/>
      <c r="N67" s="25">
        <f>IF(AND(IF($H76&lt;&gt;"",$H76,$H67)="override",$M67&lt;&gt;""),$M67,SUMIFS(Assumptions!$P$4:$P$103,Assumptions!$M$4:$M$103,$C67,Assumptions!$N$4:$N$103,$E67,Assumptions!$O$4:$O$103,"HVN"))</f>
        <v/>
      </c>
      <c r="O67" s="25">
        <f>(L67+N67)*Assumptions!$S$11</f>
        <v/>
      </c>
      <c r="P67" s="26">
        <f>$F67*$J67*$O67</f>
        <v/>
      </c>
    </row>
    <row r="68">
      <c r="A68" s="11" t="inlineStr">
        <is>
          <t>UNIT</t>
        </is>
      </c>
      <c r="B68" s="18" t="inlineStr">
        <is>
          <t>FLINT_ROSEMOUNT</t>
        </is>
      </c>
      <c r="C68" s="18" t="n">
        <v>2</v>
      </c>
      <c r="D68" s="18" t="inlineStr">
        <is>
          <t>FCC</t>
        </is>
      </c>
      <c r="E68" s="18" t="inlineStr">
        <is>
          <t>FCC</t>
        </is>
      </c>
      <c r="F68" s="19" t="n">
        <v>96</v>
      </c>
      <c r="G68" s="21">
        <f>IFERROR(IF(INDEX(Effective!$E$3:$R$125,MATCH($B68,Effective!$A$3:$A$125,0),MATCH($D68,Effective!$E$2:$R$2,0))=0,"",INDEX(Effective!$E$3:$R$125,MATCH($B68,Effective!$A$3:$A$125,0),MATCH($D68,Effective!$E$2:$R$2,0))),"")</f>
        <v/>
      </c>
      <c r="H68" s="22" t="inlineStr">
        <is>
          <t>override</t>
        </is>
      </c>
      <c r="I68" s="23" t="n">
        <v>0.782</v>
      </c>
      <c r="J68" s="24">
        <f>IF(AND(IF($H76&lt;&gt;"",$H76,$H68)="override",$I68&lt;&gt;""),$I68,SUMIFS(Assumptions!$K$4:$K$8,Assumptions!$J$4:$J$8,$C68))*Assumptions!$S$10</f>
        <v/>
      </c>
      <c r="K68" s="23" t="n"/>
      <c r="L68" s="25">
        <f>IF(AND(IF($H76&lt;&gt;"",$H76,$H68)="override",$K68&lt;&gt;""),$K68,SUMIFS(Assumptions!$P$4:$P$103,Assumptions!$M$4:$M$103,$C68,Assumptions!$N$4:$N$103,$E68,Assumptions!$O$4:$O$103,"LVN"))</f>
        <v/>
      </c>
      <c r="M68" s="23" t="n"/>
      <c r="N68" s="25">
        <f>IF(AND(IF($H76&lt;&gt;"",$H76,$H68)="override",$M68&lt;&gt;""),$M68,SUMIFS(Assumptions!$P$4:$P$103,Assumptions!$M$4:$M$103,$C68,Assumptions!$N$4:$N$103,$E68,Assumptions!$O$4:$O$103,"HVN"))</f>
        <v/>
      </c>
      <c r="O68" s="25">
        <f>(L68+N68)*Assumptions!$S$11</f>
        <v/>
      </c>
      <c r="P68" s="26">
        <f>$F68*$J68*$O68</f>
        <v/>
      </c>
    </row>
    <row r="69">
      <c r="A69" s="11" t="inlineStr">
        <is>
          <t>UNIT</t>
        </is>
      </c>
      <c r="B69" s="18" t="inlineStr">
        <is>
          <t>FLINT_ROSEMOUNT</t>
        </is>
      </c>
      <c r="C69" s="18" t="n">
        <v>2</v>
      </c>
      <c r="D69" s="18" t="inlineStr">
        <is>
          <t>DHCU</t>
        </is>
      </c>
      <c r="E69" s="18" t="inlineStr">
        <is>
          <t>HYDROCRACKER</t>
        </is>
      </c>
      <c r="F69" s="19" t="n">
        <v>67</v>
      </c>
      <c r="G69" s="21">
        <f>IFERROR(IF(INDEX(Effective!$E$3:$R$125,MATCH($B69,Effective!$A$3:$A$125,0),MATCH($D69,Effective!$E$2:$R$2,0))=0,"",INDEX(Effective!$E$3:$R$125,MATCH($B69,Effective!$A$3:$A$125,0),MATCH($D69,Effective!$E$2:$R$2,0))),"")</f>
        <v/>
      </c>
      <c r="H69" s="22" t="inlineStr">
        <is>
          <t>override</t>
        </is>
      </c>
      <c r="I69" s="23" t="n">
        <v>0.873</v>
      </c>
      <c r="J69" s="24">
        <f>IF(AND(IF($H76&lt;&gt;"",$H76,$H69)="override",$I69&lt;&gt;""),$I69,SUMIFS(Assumptions!$K$4:$K$8,Assumptions!$J$4:$J$8,$C69))*Assumptions!$S$10</f>
        <v/>
      </c>
      <c r="K69" s="23" t="n"/>
      <c r="L69" s="25">
        <f>IF(AND(IF($H76&lt;&gt;"",$H76,$H69)="override",$K69&lt;&gt;""),$K69,SUMIFS(Assumptions!$P$4:$P$103,Assumptions!$M$4:$M$103,$C69,Assumptions!$N$4:$N$103,$E69,Assumptions!$O$4:$O$103,"LVN"))</f>
        <v/>
      </c>
      <c r="M69" s="23" t="n"/>
      <c r="N69" s="25">
        <f>IF(AND(IF($H76&lt;&gt;"",$H76,$H69)="override",$M69&lt;&gt;""),$M69,SUMIFS(Assumptions!$P$4:$P$103,Assumptions!$M$4:$M$103,$C69,Assumptions!$N$4:$N$103,$E69,Assumptions!$O$4:$O$103,"HVN"))</f>
        <v/>
      </c>
      <c r="O69" s="25">
        <f>(L69+N69)*Assumptions!$S$11</f>
        <v/>
      </c>
      <c r="P69" s="26">
        <f>$F69*$J69*$O69</f>
        <v/>
      </c>
    </row>
    <row r="70">
      <c r="A70" s="11" t="inlineStr">
        <is>
          <t>UNIT</t>
        </is>
      </c>
      <c r="B70" s="18" t="inlineStr">
        <is>
          <t>FLINT_ROSEMOUNT</t>
        </is>
      </c>
      <c r="C70" s="18" t="n">
        <v>2</v>
      </c>
      <c r="D70" s="18" t="inlineStr">
        <is>
          <t>COKER</t>
        </is>
      </c>
      <c r="E70" s="18" t="inlineStr">
        <is>
          <t>COKER</t>
        </is>
      </c>
      <c r="F70" s="19" t="n">
        <v>82</v>
      </c>
      <c r="G70" s="21">
        <f>IFERROR(IF(INDEX(Effective!$E$3:$R$125,MATCH($B70,Effective!$A$3:$A$125,0),MATCH($D70,Effective!$E$2:$R$2,0))=0,"",INDEX(Effective!$E$3:$R$125,MATCH($B70,Effective!$A$3:$A$125,0),MATCH($D70,Effective!$E$2:$R$2,0))),"")</f>
        <v/>
      </c>
      <c r="H70" s="22" t="inlineStr">
        <is>
          <t>override</t>
        </is>
      </c>
      <c r="I70" s="23" t="n">
        <v>0.863</v>
      </c>
      <c r="J70" s="24">
        <f>IF(AND(IF($H76&lt;&gt;"",$H76,$H70)="override",$I70&lt;&gt;""),$I70,SUMIFS(Assumptions!$K$4:$K$8,Assumptions!$J$4:$J$8,$C70))*Assumptions!$S$10</f>
        <v/>
      </c>
      <c r="K70" s="23" t="n"/>
      <c r="L70" s="25">
        <f>IF(AND(IF($H76&lt;&gt;"",$H76,$H70)="override",$K70&lt;&gt;""),$K70,SUMIFS(Assumptions!$P$4:$P$103,Assumptions!$M$4:$M$103,$C70,Assumptions!$N$4:$N$103,$E70,Assumptions!$O$4:$O$103,"LVN"))</f>
        <v/>
      </c>
      <c r="M70" s="23" t="n"/>
      <c r="N70" s="25">
        <f>IF(AND(IF($H76&lt;&gt;"",$H76,$H70)="override",$M70&lt;&gt;""),$M70,SUMIFS(Assumptions!$P$4:$P$103,Assumptions!$M$4:$M$103,$C70,Assumptions!$N$4:$N$103,$E70,Assumptions!$O$4:$O$103,"HVN"))</f>
        <v/>
      </c>
      <c r="O70" s="25">
        <f>(L70+N70)*Assumptions!$S$11</f>
        <v/>
      </c>
      <c r="P70" s="26">
        <f>$F70*$J70*$O70</f>
        <v/>
      </c>
    </row>
    <row r="71">
      <c r="A71" s="11" t="inlineStr">
        <is>
          <t>UNIT</t>
        </is>
      </c>
      <c r="B71" s="18" t="inlineStr">
        <is>
          <t>FLINT_ROSEMOUNT</t>
        </is>
      </c>
      <c r="C71" s="18" t="n">
        <v>2</v>
      </c>
      <c r="D71" s="18" t="inlineStr">
        <is>
          <t>CCR</t>
        </is>
      </c>
      <c r="E71" s="18" t="inlineStr">
        <is>
          <t>REFORMER</t>
        </is>
      </c>
      <c r="F71" s="19" t="n">
        <v>37</v>
      </c>
      <c r="G71" s="21">
        <f>IFERROR(IF(INDEX(Effective!$E$3:$R$125,MATCH($B71,Effective!$A$3:$A$125,0),MATCH($D71,Effective!$E$2:$R$2,0))=0,"",INDEX(Effective!$E$3:$R$125,MATCH($B71,Effective!$A$3:$A$125,0),MATCH($D71,Effective!$E$2:$R$2,0))),"")</f>
        <v/>
      </c>
      <c r="H71" s="22" t="inlineStr">
        <is>
          <t>override</t>
        </is>
      </c>
      <c r="I71" s="23" t="n">
        <v>0.919</v>
      </c>
      <c r="J71" s="24">
        <f>IF(AND(IF($H76&lt;&gt;"",$H76,$H71)="override",$I71&lt;&gt;""),$I71,SUMIFS(Assumptions!$K$4:$K$8,Assumptions!$J$4:$J$8,$C71))*Assumptions!$S$10</f>
        <v/>
      </c>
      <c r="K71" s="23" t="n"/>
      <c r="L71" s="25">
        <f>IF(AND(IF($H76&lt;&gt;"",$H76,$H71)="override",$K71&lt;&gt;""),$K71,SUMIFS(Assumptions!$P$4:$P$103,Assumptions!$M$4:$M$103,$C71,Assumptions!$N$4:$N$103,$E71,Assumptions!$O$4:$O$103,"LVN"))</f>
        <v/>
      </c>
      <c r="M71" s="23" t="n"/>
      <c r="N71" s="25">
        <f>IF(AND(IF($H76&lt;&gt;"",$H76,$H71)="override",$M71&lt;&gt;""),$M71,SUMIFS(Assumptions!$P$4:$P$103,Assumptions!$M$4:$M$103,$C71,Assumptions!$N$4:$N$103,$E71,Assumptions!$O$4:$O$103,"HVN"))</f>
        <v/>
      </c>
      <c r="O71" s="25">
        <f>(L71+N71)*Assumptions!$S$11</f>
        <v/>
      </c>
      <c r="P71" s="26">
        <f>$F71*$J71*$O71</f>
        <v/>
      </c>
    </row>
    <row r="72">
      <c r="A72" s="11" t="inlineStr">
        <is>
          <t>UNIT</t>
        </is>
      </c>
      <c r="B72" s="18" t="inlineStr">
        <is>
          <t>FLINT_ROSEMOUNT</t>
        </is>
      </c>
      <c r="C72" s="18" t="n">
        <v>2</v>
      </c>
      <c r="D72" s="18" t="inlineStr">
        <is>
          <t>REF</t>
        </is>
      </c>
      <c r="E72" s="18" t="inlineStr">
        <is>
          <t>REFORMER</t>
        </is>
      </c>
      <c r="F72" s="19" t="n">
        <v>13.8</v>
      </c>
      <c r="G72" s="21">
        <f>IFERROR(IF(INDEX(Effective!$E$3:$R$125,MATCH($B72,Effective!$A$3:$A$125,0),MATCH($D72,Effective!$E$2:$R$2,0))=0,"",INDEX(Effective!$E$3:$R$125,MATCH($B72,Effective!$A$3:$A$125,0),MATCH($D72,Effective!$E$2:$R$2,0))),"")</f>
        <v/>
      </c>
      <c r="H72" s="22" t="inlineStr">
        <is>
          <t>override</t>
        </is>
      </c>
      <c r="I72" s="23" t="n">
        <v>0.9419999999999999</v>
      </c>
      <c r="J72" s="24">
        <f>IF(AND(IF($H76&lt;&gt;"",$H76,$H72)="override",$I72&lt;&gt;""),$I72,SUMIFS(Assumptions!$K$4:$K$8,Assumptions!$J$4:$J$8,$C72))*Assumptions!$S$10</f>
        <v/>
      </c>
      <c r="K72" s="23" t="n"/>
      <c r="L72" s="25">
        <f>IF(AND(IF($H76&lt;&gt;"",$H76,$H72)="override",$K72&lt;&gt;""),$K72,SUMIFS(Assumptions!$P$4:$P$103,Assumptions!$M$4:$M$103,$C72,Assumptions!$N$4:$N$103,$E72,Assumptions!$O$4:$O$103,"LVN"))</f>
        <v/>
      </c>
      <c r="M72" s="23" t="n"/>
      <c r="N72" s="25">
        <f>IF(AND(IF($H76&lt;&gt;"",$H76,$H72)="override",$M72&lt;&gt;""),$M72,SUMIFS(Assumptions!$P$4:$P$103,Assumptions!$M$4:$M$103,$C72,Assumptions!$N$4:$N$103,$E72,Assumptions!$O$4:$O$103,"HVN"))</f>
        <v/>
      </c>
      <c r="O72" s="25">
        <f>(L72+N72)*Assumptions!$S$11</f>
        <v/>
      </c>
      <c r="P72" s="26">
        <f>$F72*$J72*$O72</f>
        <v/>
      </c>
    </row>
    <row r="73">
      <c r="A73" s="11" t="inlineStr">
        <is>
          <t>UNIT</t>
        </is>
      </c>
      <c r="B73" s="18" t="inlineStr">
        <is>
          <t>FLINT_ROSEMOUNT</t>
        </is>
      </c>
      <c r="C73" s="18" t="n">
        <v>2</v>
      </c>
      <c r="D73" s="18" t="inlineStr">
        <is>
          <t>ISOM</t>
        </is>
      </c>
      <c r="E73" s="18" t="inlineStr">
        <is>
          <t>ISOM</t>
        </is>
      </c>
      <c r="F73" s="19" t="n">
        <v>18</v>
      </c>
      <c r="G73" s="21">
        <f>IFERROR(IF(INDEX(Effective!$E$3:$R$125,MATCH($B73,Effective!$A$3:$A$125,0),MATCH($D73,Effective!$E$2:$R$2,0))=0,"",INDEX(Effective!$E$3:$R$125,MATCH($B73,Effective!$A$3:$A$125,0),MATCH($D73,Effective!$E$2:$R$2,0))),"")</f>
        <v/>
      </c>
      <c r="H73" s="22" t="inlineStr">
        <is>
          <t>override</t>
        </is>
      </c>
      <c r="I73" s="23" t="n">
        <v>0.971</v>
      </c>
      <c r="J73" s="24">
        <f>IF(AND(IF($H76&lt;&gt;"",$H76,$H73)="override",$I73&lt;&gt;""),$I73,SUMIFS(Assumptions!$K$4:$K$8,Assumptions!$J$4:$J$8,$C73))*Assumptions!$S$10</f>
        <v/>
      </c>
      <c r="K73" s="23" t="n"/>
      <c r="L73" s="25">
        <f>IF(AND(IF($H76&lt;&gt;"",$H76,$H73)="override",$K73&lt;&gt;""),$K73,SUMIFS(Assumptions!$P$4:$P$103,Assumptions!$M$4:$M$103,$C73,Assumptions!$N$4:$N$103,$E73,Assumptions!$O$4:$O$103,"LVN"))</f>
        <v/>
      </c>
      <c r="M73" s="23" t="n"/>
      <c r="N73" s="25">
        <f>IF(AND(IF($H76&lt;&gt;"",$H76,$H73)="override",$M73&lt;&gt;""),$M73,SUMIFS(Assumptions!$P$4:$P$103,Assumptions!$M$4:$M$103,$C73,Assumptions!$N$4:$N$103,$E73,Assumptions!$O$4:$O$103,"HVN"))</f>
        <v/>
      </c>
      <c r="O73" s="25">
        <f>(L73+N73)*Assumptions!$S$11</f>
        <v/>
      </c>
      <c r="P73" s="26">
        <f>$F73*$J73*$O73</f>
        <v/>
      </c>
    </row>
    <row r="74">
      <c r="A74" s="11" t="inlineStr">
        <is>
          <t>UNIT</t>
        </is>
      </c>
      <c r="B74" s="18" t="inlineStr">
        <is>
          <t>FLINT_ROSEMOUNT</t>
        </is>
      </c>
      <c r="C74" s="18" t="n">
        <v>2</v>
      </c>
      <c r="D74" s="18" t="inlineStr">
        <is>
          <t>ALKY</t>
        </is>
      </c>
      <c r="E74" s="18" t="inlineStr">
        <is>
          <t>ALKY</t>
        </is>
      </c>
      <c r="F74" s="19" t="n">
        <v>14</v>
      </c>
      <c r="G74" s="21">
        <f>IFERROR(IF(INDEX(Effective!$E$3:$R$125,MATCH($B74,Effective!$A$3:$A$125,0),MATCH($D74,Effective!$E$2:$R$2,0))=0,"",INDEX(Effective!$E$3:$R$125,MATCH($B74,Effective!$A$3:$A$125,0),MATCH($D74,Effective!$E$2:$R$2,0))),"")</f>
        <v/>
      </c>
      <c r="H74" s="22" t="inlineStr">
        <is>
          <t>override</t>
        </is>
      </c>
      <c r="I74" s="23" t="n">
        <v>0.998</v>
      </c>
      <c r="J74" s="24">
        <f>IF(AND(IF($H76&lt;&gt;"",$H76,$H74)="override",$I74&lt;&gt;""),$I74,SUMIFS(Assumptions!$K$4:$K$8,Assumptions!$J$4:$J$8,$C74))*Assumptions!$S$10</f>
        <v/>
      </c>
      <c r="K74" s="23" t="n"/>
      <c r="L74" s="25">
        <f>IF(AND(IF($H76&lt;&gt;"",$H76,$H74)="override",$K74&lt;&gt;""),$K74,SUMIFS(Assumptions!$P$4:$P$103,Assumptions!$M$4:$M$103,$C74,Assumptions!$N$4:$N$103,$E74,Assumptions!$O$4:$O$103,"LVN"))</f>
        <v/>
      </c>
      <c r="M74" s="23" t="n"/>
      <c r="N74" s="25">
        <f>IF(AND(IF($H76&lt;&gt;"",$H76,$H74)="override",$M74&lt;&gt;""),$M74,SUMIFS(Assumptions!$P$4:$P$103,Assumptions!$M$4:$M$103,$C74,Assumptions!$N$4:$N$103,$E74,Assumptions!$O$4:$O$103,"HVN"))</f>
        <v/>
      </c>
      <c r="O74" s="25">
        <f>(L74+N74)*Assumptions!$S$11</f>
        <v/>
      </c>
      <c r="P74" s="26">
        <f>$F74*$J74*$O74</f>
        <v/>
      </c>
    </row>
    <row r="75">
      <c r="A75" s="11" t="inlineStr">
        <is>
          <t>UNIT</t>
        </is>
      </c>
      <c r="B75" s="18" t="inlineStr">
        <is>
          <t>FLINT_ROSEMOUNT</t>
        </is>
      </c>
      <c r="C75" s="18" t="n">
        <v>2</v>
      </c>
      <c r="D75" s="18" t="inlineStr">
        <is>
          <t>NHT</t>
        </is>
      </c>
      <c r="E75" s="18" t="inlineStr">
        <is>
          <t>NHT</t>
        </is>
      </c>
      <c r="F75" s="19" t="n">
        <v>51.3</v>
      </c>
      <c r="G75" s="21">
        <f>IFERROR(IF(INDEX(Effective!$E$3:$R$125,MATCH($B75,Effective!$A$3:$A$125,0),MATCH($D75,Effective!$E$2:$R$2,0))=0,"",INDEX(Effective!$E$3:$R$125,MATCH($B75,Effective!$A$3:$A$125,0),MATCH($D75,Effective!$E$2:$R$2,0))),"")</f>
        <v/>
      </c>
      <c r="H75" s="22" t="inlineStr">
        <is>
          <t>override</t>
        </is>
      </c>
      <c r="I75" s="23" t="n">
        <v>0.995</v>
      </c>
      <c r="J75" s="24">
        <f>IF(AND(IF($H76&lt;&gt;"",$H76,$H75)="override",$I75&lt;&gt;""),$I75,SUMIFS(Assumptions!$K$4:$K$8,Assumptions!$J$4:$J$8,$C75))*Assumptions!$S$10</f>
        <v/>
      </c>
      <c r="K75" s="23" t="n"/>
      <c r="L75" s="25">
        <f>IF(AND(IF($H76&lt;&gt;"",$H76,$H75)="override",$K75&lt;&gt;""),$K75,SUMIFS(Assumptions!$P$4:$P$103,Assumptions!$M$4:$M$103,$C75,Assumptions!$N$4:$N$103,$E75,Assumptions!$O$4:$O$103,"LVN"))</f>
        <v/>
      </c>
      <c r="M75" s="23" t="n"/>
      <c r="N75" s="25">
        <f>IF(AND(IF($H76&lt;&gt;"",$H76,$H75)="override",$M75&lt;&gt;""),$M75,SUMIFS(Assumptions!$P$4:$P$103,Assumptions!$M$4:$M$103,$C75,Assumptions!$N$4:$N$103,$E75,Assumptions!$O$4:$O$103,"HVN"))</f>
        <v/>
      </c>
      <c r="O75" s="25">
        <f>(L75+N75)*Assumptions!$S$11</f>
        <v/>
      </c>
      <c r="P75" s="26">
        <f>$F75*$J75*$O75</f>
        <v/>
      </c>
    </row>
    <row r="76">
      <c r="A76" s="27" t="inlineStr">
        <is>
          <t>TOTAL</t>
        </is>
      </c>
      <c r="B76" s="28" t="inlineStr">
        <is>
          <t>FLINT_ROSEMOUNT</t>
        </is>
      </c>
      <c r="C76" s="28" t="n">
        <v>2</v>
      </c>
      <c r="D76" s="28" t="inlineStr">
        <is>
          <t>NET NAPHTHA</t>
        </is>
      </c>
      <c r="H76" s="22" t="n"/>
      <c r="P76" s="29">
        <f>SUM(P66:P75)</f>
        <v/>
      </c>
    </row>
    <row r="78" ht="20" customHeight="1">
      <c r="A78" s="8">
        <f>"  Cenovus Wood River  [CENOVUS_WOOD_RIVER]   —   Cenovus (50%) / Phillips 66 Co. (50%)   —   PADD 2   —   crude "&amp;TEXT(SUMIFS(Data!$G$3:$G$125,Data!$A$3:$A$125,"CENOVUS_WOOD_RIVER"),"#,##0")&amp;" kbd"</f>
        <v/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</row>
    <row r="79">
      <c r="A79" s="11" t="inlineStr">
        <is>
          <t>UNIT</t>
        </is>
      </c>
      <c r="B79" s="18" t="inlineStr">
        <is>
          <t>CENOVUS_WOOD_RIVER</t>
        </is>
      </c>
      <c r="C79" s="18" t="n">
        <v>2</v>
      </c>
      <c r="D79" s="18" t="inlineStr">
        <is>
          <t>CDU</t>
        </is>
      </c>
      <c r="E79" s="18" t="inlineStr">
        <is>
          <t>CDU</t>
        </is>
      </c>
      <c r="F79" s="19" t="n">
        <v>367.5</v>
      </c>
      <c r="G79" s="21">
        <f>IFERROR(IF(INDEX(Effective!$E$3:$R$125,MATCH($B79,Effective!$A$3:$A$125,0),MATCH($D79,Effective!$E$2:$R$2,0))=0,"",INDEX(Effective!$E$3:$R$125,MATCH($B79,Effective!$A$3:$A$125,0),MATCH($D79,Effective!$E$2:$R$2,0))),"")</f>
        <v/>
      </c>
      <c r="H79" s="22" t="inlineStr">
        <is>
          <t>override</t>
        </is>
      </c>
      <c r="I79" s="23" t="n">
        <v>1</v>
      </c>
      <c r="J79" s="24">
        <f>IF(AND(IF($H87&lt;&gt;"",$H87,$H79)="override",$I79&lt;&gt;""),$I79,SUMIFS(Assumptions!$K$4:$K$8,Assumptions!$J$4:$J$8,$C79))*Assumptions!$S$10</f>
        <v/>
      </c>
      <c r="K79" s="23" t="n"/>
      <c r="L79" s="25">
        <f>IF(AND(IF($H87&lt;&gt;"",$H87,$H79)="override",$K79&lt;&gt;""),$K79,SUMIFS(Assumptions!$P$4:$P$103,Assumptions!$M$4:$M$103,$C79,Assumptions!$N$4:$N$103,$E79,Assumptions!$O$4:$O$103,"LVN"))</f>
        <v/>
      </c>
      <c r="M79" s="23" t="n"/>
      <c r="N79" s="25">
        <f>IF(AND(IF($H87&lt;&gt;"",$H87,$H79)="override",$M79&lt;&gt;""),$M79,SUMIFS(Assumptions!$P$4:$P$103,Assumptions!$M$4:$M$103,$C79,Assumptions!$N$4:$N$103,$E79,Assumptions!$O$4:$O$103,"HVN"))</f>
        <v/>
      </c>
      <c r="O79" s="25">
        <f>(L79+N79)*Assumptions!$S$11</f>
        <v/>
      </c>
      <c r="P79" s="26">
        <f>$F79*$J79*$O79</f>
        <v/>
      </c>
    </row>
    <row r="80">
      <c r="A80" s="11" t="inlineStr">
        <is>
          <t>UNIT</t>
        </is>
      </c>
      <c r="B80" s="18" t="inlineStr">
        <is>
          <t>CENOVUS_WOOD_RIVER</t>
        </is>
      </c>
      <c r="C80" s="18" t="n">
        <v>2</v>
      </c>
      <c r="D80" s="18" t="inlineStr">
        <is>
          <t>VDU</t>
        </is>
      </c>
      <c r="E80" s="18" t="inlineStr">
        <is>
          <t>VDU</t>
        </is>
      </c>
      <c r="F80" s="19" t="n">
        <v>196.5</v>
      </c>
      <c r="G80" s="21">
        <f>IFERROR(IF(INDEX(Effective!$E$3:$R$125,MATCH($B80,Effective!$A$3:$A$125,0),MATCH($D80,Effective!$E$2:$R$2,0))=0,"",INDEX(Effective!$E$3:$R$125,MATCH($B80,Effective!$A$3:$A$125,0),MATCH($D80,Effective!$E$2:$R$2,0))),"")</f>
        <v/>
      </c>
      <c r="H80" s="22" t="inlineStr">
        <is>
          <t>override</t>
        </is>
      </c>
      <c r="I80" s="23" t="n">
        <v>0.806</v>
      </c>
      <c r="J80" s="24">
        <f>IF(AND(IF($H87&lt;&gt;"",$H87,$H80)="override",$I80&lt;&gt;""),$I80,SUMIFS(Assumptions!$K$4:$K$8,Assumptions!$J$4:$J$8,$C80))*Assumptions!$S$10</f>
        <v/>
      </c>
      <c r="K80" s="23" t="n"/>
      <c r="L80" s="25">
        <f>IF(AND(IF($H87&lt;&gt;"",$H87,$H80)="override",$K80&lt;&gt;""),$K80,SUMIFS(Assumptions!$P$4:$P$103,Assumptions!$M$4:$M$103,$C80,Assumptions!$N$4:$N$103,$E80,Assumptions!$O$4:$O$103,"LVN"))</f>
        <v/>
      </c>
      <c r="M80" s="23" t="n"/>
      <c r="N80" s="25">
        <f>IF(AND(IF($H87&lt;&gt;"",$H87,$H80)="override",$M80&lt;&gt;""),$M80,SUMIFS(Assumptions!$P$4:$P$103,Assumptions!$M$4:$M$103,$C80,Assumptions!$N$4:$N$103,$E80,Assumptions!$O$4:$O$103,"HVN"))</f>
        <v/>
      </c>
      <c r="O80" s="25">
        <f>(L80+N80)*Assumptions!$S$11</f>
        <v/>
      </c>
      <c r="P80" s="26">
        <f>$F80*$J80*$O80</f>
        <v/>
      </c>
    </row>
    <row r="81">
      <c r="A81" s="11" t="inlineStr">
        <is>
          <t>UNIT</t>
        </is>
      </c>
      <c r="B81" s="18" t="inlineStr">
        <is>
          <t>CENOVUS_WOOD_RIVER</t>
        </is>
      </c>
      <c r="C81" s="18" t="n">
        <v>2</v>
      </c>
      <c r="D81" s="18" t="inlineStr">
        <is>
          <t>FCC</t>
        </is>
      </c>
      <c r="E81" s="18" t="inlineStr">
        <is>
          <t>FCC</t>
        </is>
      </c>
      <c r="F81" s="19" t="n">
        <v>101</v>
      </c>
      <c r="G81" s="21">
        <f>IFERROR(IF(INDEX(Effective!$E$3:$R$125,MATCH($B81,Effective!$A$3:$A$125,0),MATCH($D81,Effective!$E$2:$R$2,0))=0,"",INDEX(Effective!$E$3:$R$125,MATCH($B81,Effective!$A$3:$A$125,0),MATCH($D81,Effective!$E$2:$R$2,0))),"")</f>
        <v/>
      </c>
      <c r="H81" s="22" t="inlineStr">
        <is>
          <t>override</t>
        </is>
      </c>
      <c r="I81" s="23" t="n">
        <v>0.88</v>
      </c>
      <c r="J81" s="24">
        <f>IF(AND(IF($H87&lt;&gt;"",$H87,$H81)="override",$I81&lt;&gt;""),$I81,SUMIFS(Assumptions!$K$4:$K$8,Assumptions!$J$4:$J$8,$C81))*Assumptions!$S$10</f>
        <v/>
      </c>
      <c r="K81" s="23" t="n"/>
      <c r="L81" s="25">
        <f>IF(AND(IF($H87&lt;&gt;"",$H87,$H81)="override",$K81&lt;&gt;""),$K81,SUMIFS(Assumptions!$P$4:$P$103,Assumptions!$M$4:$M$103,$C81,Assumptions!$N$4:$N$103,$E81,Assumptions!$O$4:$O$103,"LVN"))</f>
        <v/>
      </c>
      <c r="M81" s="23" t="n"/>
      <c r="N81" s="25">
        <f>IF(AND(IF($H87&lt;&gt;"",$H87,$H81)="override",$M81&lt;&gt;""),$M81,SUMIFS(Assumptions!$P$4:$P$103,Assumptions!$M$4:$M$103,$C81,Assumptions!$N$4:$N$103,$E81,Assumptions!$O$4:$O$103,"HVN"))</f>
        <v/>
      </c>
      <c r="O81" s="25">
        <f>(L81+N81)*Assumptions!$S$11</f>
        <v/>
      </c>
      <c r="P81" s="26">
        <f>$F81*$J81*$O81</f>
        <v/>
      </c>
    </row>
    <row r="82">
      <c r="A82" s="11" t="inlineStr">
        <is>
          <t>UNIT</t>
        </is>
      </c>
      <c r="B82" s="18" t="inlineStr">
        <is>
          <t>CENOVUS_WOOD_RIVER</t>
        </is>
      </c>
      <c r="C82" s="18" t="n">
        <v>2</v>
      </c>
      <c r="D82" s="18" t="inlineStr">
        <is>
          <t>DHCU</t>
        </is>
      </c>
      <c r="E82" s="18" t="inlineStr">
        <is>
          <t>HYDROCRACKER</t>
        </is>
      </c>
      <c r="F82" s="19" t="n">
        <v>57.2</v>
      </c>
      <c r="G82" s="21">
        <f>IFERROR(IF(INDEX(Effective!$E$3:$R$125,MATCH($B82,Effective!$A$3:$A$125,0),MATCH($D82,Effective!$E$2:$R$2,0))=0,"",INDEX(Effective!$E$3:$R$125,MATCH($B82,Effective!$A$3:$A$125,0),MATCH($D82,Effective!$E$2:$R$2,0))),"")</f>
        <v/>
      </c>
      <c r="H82" s="22" t="inlineStr">
        <is>
          <t>override</t>
        </is>
      </c>
      <c r="I82" s="23" t="n">
        <v>0.98</v>
      </c>
      <c r="J82" s="24">
        <f>IF(AND(IF($H87&lt;&gt;"",$H87,$H82)="override",$I82&lt;&gt;""),$I82,SUMIFS(Assumptions!$K$4:$K$8,Assumptions!$J$4:$J$8,$C82))*Assumptions!$S$10</f>
        <v/>
      </c>
      <c r="K82" s="23" t="n"/>
      <c r="L82" s="25">
        <f>IF(AND(IF($H87&lt;&gt;"",$H87,$H82)="override",$K82&lt;&gt;""),$K82,SUMIFS(Assumptions!$P$4:$P$103,Assumptions!$M$4:$M$103,$C82,Assumptions!$N$4:$N$103,$E82,Assumptions!$O$4:$O$103,"LVN"))</f>
        <v/>
      </c>
      <c r="M82" s="23" t="n"/>
      <c r="N82" s="25">
        <f>IF(AND(IF($H87&lt;&gt;"",$H87,$H82)="override",$M82&lt;&gt;""),$M82,SUMIFS(Assumptions!$P$4:$P$103,Assumptions!$M$4:$M$103,$C82,Assumptions!$N$4:$N$103,$E82,Assumptions!$O$4:$O$103,"HVN"))</f>
        <v/>
      </c>
      <c r="O82" s="25">
        <f>(L82+N82)*Assumptions!$S$11</f>
        <v/>
      </c>
      <c r="P82" s="26">
        <f>$F82*$J82*$O82</f>
        <v/>
      </c>
    </row>
    <row r="83">
      <c r="A83" s="11" t="inlineStr">
        <is>
          <t>UNIT</t>
        </is>
      </c>
      <c r="B83" s="18" t="inlineStr">
        <is>
          <t>CENOVUS_WOOD_RIVER</t>
        </is>
      </c>
      <c r="C83" s="18" t="n">
        <v>2</v>
      </c>
      <c r="D83" s="18" t="inlineStr">
        <is>
          <t>COKER</t>
        </is>
      </c>
      <c r="E83" s="18" t="inlineStr">
        <is>
          <t>COKER</t>
        </is>
      </c>
      <c r="F83" s="19" t="n">
        <v>83.7</v>
      </c>
      <c r="G83" s="21">
        <f>IFERROR(IF(INDEX(Effective!$E$3:$R$125,MATCH($B83,Effective!$A$3:$A$125,0),MATCH($D83,Effective!$E$2:$R$2,0))=0,"",INDEX(Effective!$E$3:$R$125,MATCH($B83,Effective!$A$3:$A$125,0),MATCH($D83,Effective!$E$2:$R$2,0))),"")</f>
        <v/>
      </c>
      <c r="H83" s="22" t="inlineStr">
        <is>
          <t>override</t>
        </is>
      </c>
      <c r="I83" s="23" t="n">
        <v>0.665</v>
      </c>
      <c r="J83" s="24">
        <f>IF(AND(IF($H87&lt;&gt;"",$H87,$H83)="override",$I83&lt;&gt;""),$I83,SUMIFS(Assumptions!$K$4:$K$8,Assumptions!$J$4:$J$8,$C83))*Assumptions!$S$10</f>
        <v/>
      </c>
      <c r="K83" s="23" t="n"/>
      <c r="L83" s="25">
        <f>IF(AND(IF($H87&lt;&gt;"",$H87,$H83)="override",$K83&lt;&gt;""),$K83,SUMIFS(Assumptions!$P$4:$P$103,Assumptions!$M$4:$M$103,$C83,Assumptions!$N$4:$N$103,$E83,Assumptions!$O$4:$O$103,"LVN"))</f>
        <v/>
      </c>
      <c r="M83" s="23" t="n"/>
      <c r="N83" s="25">
        <f>IF(AND(IF($H87&lt;&gt;"",$H87,$H83)="override",$M83&lt;&gt;""),$M83,SUMIFS(Assumptions!$P$4:$P$103,Assumptions!$M$4:$M$103,$C83,Assumptions!$N$4:$N$103,$E83,Assumptions!$O$4:$O$103,"HVN"))</f>
        <v/>
      </c>
      <c r="O83" s="25">
        <f>(L83+N83)*Assumptions!$S$11</f>
        <v/>
      </c>
      <c r="P83" s="26">
        <f>$F83*$J83*$O83</f>
        <v/>
      </c>
    </row>
    <row r="84">
      <c r="A84" s="11" t="inlineStr">
        <is>
          <t>UNIT</t>
        </is>
      </c>
      <c r="B84" s="18" t="inlineStr">
        <is>
          <t>CENOVUS_WOOD_RIVER</t>
        </is>
      </c>
      <c r="C84" s="18" t="n">
        <v>2</v>
      </c>
      <c r="D84" s="18" t="inlineStr">
        <is>
          <t>CCR</t>
        </is>
      </c>
      <c r="E84" s="18" t="inlineStr">
        <is>
          <t>REFORMER</t>
        </is>
      </c>
      <c r="F84" s="19" t="n">
        <v>79.7</v>
      </c>
      <c r="G84" s="21">
        <f>IFERROR(IF(INDEX(Effective!$E$3:$R$125,MATCH($B84,Effective!$A$3:$A$125,0),MATCH($D84,Effective!$E$2:$R$2,0))=0,"",INDEX(Effective!$E$3:$R$125,MATCH($B84,Effective!$A$3:$A$125,0),MATCH($D84,Effective!$E$2:$R$2,0))),"")</f>
        <v/>
      </c>
      <c r="H84" s="22" t="inlineStr">
        <is>
          <t>override</t>
        </is>
      </c>
      <c r="I84" s="23" t="n">
        <v>0.6870000000000001</v>
      </c>
      <c r="J84" s="24">
        <f>IF(AND(IF($H87&lt;&gt;"",$H87,$H84)="override",$I84&lt;&gt;""),$I84,SUMIFS(Assumptions!$K$4:$K$8,Assumptions!$J$4:$J$8,$C84))*Assumptions!$S$10</f>
        <v/>
      </c>
      <c r="K84" s="23" t="n"/>
      <c r="L84" s="25">
        <f>IF(AND(IF($H87&lt;&gt;"",$H87,$H84)="override",$K84&lt;&gt;""),$K84,SUMIFS(Assumptions!$P$4:$P$103,Assumptions!$M$4:$M$103,$C84,Assumptions!$N$4:$N$103,$E84,Assumptions!$O$4:$O$103,"LVN"))</f>
        <v/>
      </c>
      <c r="M84" s="23" t="n"/>
      <c r="N84" s="25">
        <f>IF(AND(IF($H87&lt;&gt;"",$H87,$H84)="override",$M84&lt;&gt;""),$M84,SUMIFS(Assumptions!$P$4:$P$103,Assumptions!$M$4:$M$103,$C84,Assumptions!$N$4:$N$103,$E84,Assumptions!$O$4:$O$103,"HVN"))</f>
        <v/>
      </c>
      <c r="O84" s="25">
        <f>(L84+N84)*Assumptions!$S$11</f>
        <v/>
      </c>
      <c r="P84" s="26">
        <f>$F84*$J84*$O84</f>
        <v/>
      </c>
    </row>
    <row r="85">
      <c r="A85" s="11" t="inlineStr">
        <is>
          <t>UNIT</t>
        </is>
      </c>
      <c r="B85" s="18" t="inlineStr">
        <is>
          <t>CENOVUS_WOOD_RIVER</t>
        </is>
      </c>
      <c r="C85" s="18" t="n">
        <v>2</v>
      </c>
      <c r="D85" s="18" t="inlineStr">
        <is>
          <t>ALKY</t>
        </is>
      </c>
      <c r="E85" s="18" t="inlineStr">
        <is>
          <t>ALKY</t>
        </is>
      </c>
      <c r="F85" s="19" t="n">
        <v>21.8</v>
      </c>
      <c r="G85" s="21">
        <f>IFERROR(IF(INDEX(Effective!$E$3:$R$125,MATCH($B85,Effective!$A$3:$A$125,0),MATCH($D85,Effective!$E$2:$R$2,0))=0,"",INDEX(Effective!$E$3:$R$125,MATCH($B85,Effective!$A$3:$A$125,0),MATCH($D85,Effective!$E$2:$R$2,0))),"")</f>
        <v/>
      </c>
      <c r="H85" s="22" t="inlineStr">
        <is>
          <t>override</t>
        </is>
      </c>
      <c r="I85" s="23" t="n">
        <v>0.961</v>
      </c>
      <c r="J85" s="24">
        <f>IF(AND(IF($H87&lt;&gt;"",$H87,$H85)="override",$I85&lt;&gt;""),$I85,SUMIFS(Assumptions!$K$4:$K$8,Assumptions!$J$4:$J$8,$C85))*Assumptions!$S$10</f>
        <v/>
      </c>
      <c r="K85" s="23" t="n"/>
      <c r="L85" s="25">
        <f>IF(AND(IF($H87&lt;&gt;"",$H87,$H85)="override",$K85&lt;&gt;""),$K85,SUMIFS(Assumptions!$P$4:$P$103,Assumptions!$M$4:$M$103,$C85,Assumptions!$N$4:$N$103,$E85,Assumptions!$O$4:$O$103,"LVN"))</f>
        <v/>
      </c>
      <c r="M85" s="23" t="n"/>
      <c r="N85" s="25">
        <f>IF(AND(IF($H87&lt;&gt;"",$H87,$H85)="override",$M85&lt;&gt;""),$M85,SUMIFS(Assumptions!$P$4:$P$103,Assumptions!$M$4:$M$103,$C85,Assumptions!$N$4:$N$103,$E85,Assumptions!$O$4:$O$103,"HVN"))</f>
        <v/>
      </c>
      <c r="O85" s="25">
        <f>(L85+N85)*Assumptions!$S$11</f>
        <v/>
      </c>
      <c r="P85" s="26">
        <f>$F85*$J85*$O85</f>
        <v/>
      </c>
    </row>
    <row r="86">
      <c r="A86" s="11" t="inlineStr">
        <is>
          <t>UNIT</t>
        </is>
      </c>
      <c r="B86" s="18" t="inlineStr">
        <is>
          <t>CENOVUS_WOOD_RIVER</t>
        </is>
      </c>
      <c r="C86" s="18" t="n">
        <v>2</v>
      </c>
      <c r="D86" s="18" t="inlineStr">
        <is>
          <t>NHT</t>
        </is>
      </c>
      <c r="E86" s="18" t="inlineStr">
        <is>
          <t>NHT</t>
        </is>
      </c>
      <c r="F86" s="19" t="n">
        <v>84.3</v>
      </c>
      <c r="G86" s="21">
        <f>IFERROR(IF(INDEX(Effective!$E$3:$R$125,MATCH($B86,Effective!$A$3:$A$125,0),MATCH($D86,Effective!$E$2:$R$2,0))=0,"",INDEX(Effective!$E$3:$R$125,MATCH($B86,Effective!$A$3:$A$125,0),MATCH($D86,Effective!$E$2:$R$2,0))),"")</f>
        <v/>
      </c>
      <c r="H86" s="22" t="inlineStr">
        <is>
          <t>override</t>
        </is>
      </c>
      <c r="I86" s="23" t="n">
        <v>0.949</v>
      </c>
      <c r="J86" s="24">
        <f>IF(AND(IF($H87&lt;&gt;"",$H87,$H86)="override",$I86&lt;&gt;""),$I86,SUMIFS(Assumptions!$K$4:$K$8,Assumptions!$J$4:$J$8,$C86))*Assumptions!$S$10</f>
        <v/>
      </c>
      <c r="K86" s="23" t="n"/>
      <c r="L86" s="25">
        <f>IF(AND(IF($H87&lt;&gt;"",$H87,$H86)="override",$K86&lt;&gt;""),$K86,SUMIFS(Assumptions!$P$4:$P$103,Assumptions!$M$4:$M$103,$C86,Assumptions!$N$4:$N$103,$E86,Assumptions!$O$4:$O$103,"LVN"))</f>
        <v/>
      </c>
      <c r="M86" s="23" t="n"/>
      <c r="N86" s="25">
        <f>IF(AND(IF($H87&lt;&gt;"",$H87,$H86)="override",$M86&lt;&gt;""),$M86,SUMIFS(Assumptions!$P$4:$P$103,Assumptions!$M$4:$M$103,$C86,Assumptions!$N$4:$N$103,$E86,Assumptions!$O$4:$O$103,"HVN"))</f>
        <v/>
      </c>
      <c r="O86" s="25">
        <f>(L86+N86)*Assumptions!$S$11</f>
        <v/>
      </c>
      <c r="P86" s="26">
        <f>$F86*$J86*$O86</f>
        <v/>
      </c>
    </row>
    <row r="87">
      <c r="A87" s="27" t="inlineStr">
        <is>
          <t>TOTAL</t>
        </is>
      </c>
      <c r="B87" s="28" t="inlineStr">
        <is>
          <t>CENOVUS_WOOD_RIVER</t>
        </is>
      </c>
      <c r="C87" s="28" t="n">
        <v>2</v>
      </c>
      <c r="D87" s="28" t="inlineStr">
        <is>
          <t>NET NAPHTHA</t>
        </is>
      </c>
      <c r="H87" s="22" t="n"/>
      <c r="P87" s="29">
        <f>SUM(P79:P86)</f>
        <v/>
      </c>
    </row>
    <row r="89" ht="20" customHeight="1">
      <c r="A89" s="8">
        <f>"  Marathon Petroleum Catlettsburg  [MARATHON_CATLETTSBURG]   —   Marathon Petroleum   —   PADD 2   —   crude "&amp;TEXT(SUMIFS(Data!$G$3:$G$125,Data!$A$3:$A$125,"MARATHON_CATLETTSBURG"),"#,##0")&amp;" kbd"</f>
        <v/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</row>
    <row r="90">
      <c r="A90" s="11" t="inlineStr">
        <is>
          <t>UNIT</t>
        </is>
      </c>
      <c r="B90" s="18" t="inlineStr">
        <is>
          <t>MARATHON_CATLETTSBURG</t>
        </is>
      </c>
      <c r="C90" s="18" t="n">
        <v>2</v>
      </c>
      <c r="D90" s="18" t="inlineStr">
        <is>
          <t>CDU</t>
        </is>
      </c>
      <c r="E90" s="18" t="inlineStr">
        <is>
          <t>CDU</t>
        </is>
      </c>
      <c r="F90" s="19" t="n">
        <v>306</v>
      </c>
      <c r="G90" s="21">
        <f>IFERROR(IF(INDEX(Effective!$E$3:$R$125,MATCH($B90,Effective!$A$3:$A$125,0),MATCH($D90,Effective!$E$2:$R$2,0))=0,"",INDEX(Effective!$E$3:$R$125,MATCH($B90,Effective!$A$3:$A$125,0),MATCH($D90,Effective!$E$2:$R$2,0))),"")</f>
        <v/>
      </c>
      <c r="H90" s="22" t="inlineStr">
        <is>
          <t>override</t>
        </is>
      </c>
      <c r="I90" s="23" t="n">
        <v>0.97</v>
      </c>
      <c r="J90" s="24">
        <f>IF(AND(IF($H98&lt;&gt;"",$H98,$H90)="override",$I90&lt;&gt;""),$I90,SUMIFS(Assumptions!$K$4:$K$8,Assumptions!$J$4:$J$8,$C90))*Assumptions!$S$10</f>
        <v/>
      </c>
      <c r="K90" s="23" t="n"/>
      <c r="L90" s="25">
        <f>IF(AND(IF($H98&lt;&gt;"",$H98,$H90)="override",$K90&lt;&gt;""),$K90,SUMIFS(Assumptions!$P$4:$P$103,Assumptions!$M$4:$M$103,$C90,Assumptions!$N$4:$N$103,$E90,Assumptions!$O$4:$O$103,"LVN"))</f>
        <v/>
      </c>
      <c r="M90" s="23" t="n"/>
      <c r="N90" s="25">
        <f>IF(AND(IF($H98&lt;&gt;"",$H98,$H90)="override",$M90&lt;&gt;""),$M90,SUMIFS(Assumptions!$P$4:$P$103,Assumptions!$M$4:$M$103,$C90,Assumptions!$N$4:$N$103,$E90,Assumptions!$O$4:$O$103,"HVN"))</f>
        <v/>
      </c>
      <c r="O90" s="25">
        <f>(L90+N90)*Assumptions!$S$11</f>
        <v/>
      </c>
      <c r="P90" s="26">
        <f>$F90*$J90*$O90</f>
        <v/>
      </c>
    </row>
    <row r="91">
      <c r="A91" s="11" t="inlineStr">
        <is>
          <t>UNIT</t>
        </is>
      </c>
      <c r="B91" s="18" t="inlineStr">
        <is>
          <t>MARATHON_CATLETTSBURG</t>
        </is>
      </c>
      <c r="C91" s="18" t="n">
        <v>2</v>
      </c>
      <c r="D91" s="18" t="inlineStr">
        <is>
          <t>VDU</t>
        </is>
      </c>
      <c r="E91" s="18" t="inlineStr">
        <is>
          <t>VDU</t>
        </is>
      </c>
      <c r="F91" s="19" t="n">
        <v>134</v>
      </c>
      <c r="G91" s="21">
        <f>IFERROR(IF(INDEX(Effective!$E$3:$R$125,MATCH($B91,Effective!$A$3:$A$125,0),MATCH($D91,Effective!$E$2:$R$2,0))=0,"",INDEX(Effective!$E$3:$R$125,MATCH($B91,Effective!$A$3:$A$125,0),MATCH($D91,Effective!$E$2:$R$2,0))),"")</f>
        <v/>
      </c>
      <c r="H91" s="22" t="inlineStr">
        <is>
          <t>override</t>
        </is>
      </c>
      <c r="I91" s="23" t="n">
        <v>0.694</v>
      </c>
      <c r="J91" s="24">
        <f>IF(AND(IF($H98&lt;&gt;"",$H98,$H91)="override",$I91&lt;&gt;""),$I91,SUMIFS(Assumptions!$K$4:$K$8,Assumptions!$J$4:$J$8,$C91))*Assumptions!$S$10</f>
        <v/>
      </c>
      <c r="K91" s="23" t="n"/>
      <c r="L91" s="25">
        <f>IF(AND(IF($H98&lt;&gt;"",$H98,$H91)="override",$K91&lt;&gt;""),$K91,SUMIFS(Assumptions!$P$4:$P$103,Assumptions!$M$4:$M$103,$C91,Assumptions!$N$4:$N$103,$E91,Assumptions!$O$4:$O$103,"LVN"))</f>
        <v/>
      </c>
      <c r="M91" s="23" t="n"/>
      <c r="N91" s="25">
        <f>IF(AND(IF($H98&lt;&gt;"",$H98,$H91)="override",$M91&lt;&gt;""),$M91,SUMIFS(Assumptions!$P$4:$P$103,Assumptions!$M$4:$M$103,$C91,Assumptions!$N$4:$N$103,$E91,Assumptions!$O$4:$O$103,"HVN"))</f>
        <v/>
      </c>
      <c r="O91" s="25">
        <f>(L91+N91)*Assumptions!$S$11</f>
        <v/>
      </c>
      <c r="P91" s="26">
        <f>$F91*$J91*$O91</f>
        <v/>
      </c>
    </row>
    <row r="92">
      <c r="A92" s="11" t="inlineStr">
        <is>
          <t>UNIT</t>
        </is>
      </c>
      <c r="B92" s="18" t="inlineStr">
        <is>
          <t>MARATHON_CATLETTSBURG</t>
        </is>
      </c>
      <c r="C92" s="18" t="n">
        <v>2</v>
      </c>
      <c r="D92" s="18" t="inlineStr">
        <is>
          <t>FCC</t>
        </is>
      </c>
      <c r="E92" s="18" t="inlineStr">
        <is>
          <t>FCC</t>
        </is>
      </c>
      <c r="F92" s="19" t="n">
        <v>104</v>
      </c>
      <c r="G92" s="21">
        <f>IFERROR(IF(INDEX(Effective!$E$3:$R$125,MATCH($B92,Effective!$A$3:$A$125,0),MATCH($D92,Effective!$E$2:$R$2,0))=0,"",INDEX(Effective!$E$3:$R$125,MATCH($B92,Effective!$A$3:$A$125,0),MATCH($D92,Effective!$E$2:$R$2,0))),"")</f>
        <v/>
      </c>
      <c r="H92" s="22" t="inlineStr">
        <is>
          <t>override</t>
        </is>
      </c>
      <c r="I92" s="23" t="n">
        <v>0.796</v>
      </c>
      <c r="J92" s="24">
        <f>IF(AND(IF($H98&lt;&gt;"",$H98,$H92)="override",$I92&lt;&gt;""),$I92,SUMIFS(Assumptions!$K$4:$K$8,Assumptions!$J$4:$J$8,$C92))*Assumptions!$S$10</f>
        <v/>
      </c>
      <c r="K92" s="23" t="n"/>
      <c r="L92" s="25">
        <f>IF(AND(IF($H98&lt;&gt;"",$H98,$H92)="override",$K92&lt;&gt;""),$K92,SUMIFS(Assumptions!$P$4:$P$103,Assumptions!$M$4:$M$103,$C92,Assumptions!$N$4:$N$103,$E92,Assumptions!$O$4:$O$103,"LVN"))</f>
        <v/>
      </c>
      <c r="M92" s="23" t="n"/>
      <c r="N92" s="25">
        <f>IF(AND(IF($H98&lt;&gt;"",$H98,$H92)="override",$M92&lt;&gt;""),$M92,SUMIFS(Assumptions!$P$4:$P$103,Assumptions!$M$4:$M$103,$C92,Assumptions!$N$4:$N$103,$E92,Assumptions!$O$4:$O$103,"HVN"))</f>
        <v/>
      </c>
      <c r="O92" s="25">
        <f>(L92+N92)*Assumptions!$S$11</f>
        <v/>
      </c>
      <c r="P92" s="26">
        <f>$F92*$J92*$O92</f>
        <v/>
      </c>
    </row>
    <row r="93">
      <c r="A93" s="11" t="inlineStr">
        <is>
          <t>UNIT</t>
        </is>
      </c>
      <c r="B93" s="18" t="inlineStr">
        <is>
          <t>MARATHON_CATLETTSBURG</t>
        </is>
      </c>
      <c r="C93" s="18" t="n">
        <v>2</v>
      </c>
      <c r="D93" s="18" t="inlineStr">
        <is>
          <t>CCR</t>
        </is>
      </c>
      <c r="E93" s="18" t="inlineStr">
        <is>
          <t>REFORMER</t>
        </is>
      </c>
      <c r="F93" s="19" t="n">
        <v>24.5</v>
      </c>
      <c r="G93" s="21">
        <f>IFERROR(IF(INDEX(Effective!$E$3:$R$125,MATCH($B93,Effective!$A$3:$A$125,0),MATCH($D93,Effective!$E$2:$R$2,0))=0,"",INDEX(Effective!$E$3:$R$125,MATCH($B93,Effective!$A$3:$A$125,0),MATCH($D93,Effective!$E$2:$R$2,0))),"")</f>
        <v/>
      </c>
      <c r="H93" s="22" t="inlineStr">
        <is>
          <t>override</t>
        </is>
      </c>
      <c r="I93" s="23" t="n">
        <v>1</v>
      </c>
      <c r="J93" s="24">
        <f>IF(AND(IF($H98&lt;&gt;"",$H98,$H93)="override",$I93&lt;&gt;""),$I93,SUMIFS(Assumptions!$K$4:$K$8,Assumptions!$J$4:$J$8,$C93))*Assumptions!$S$10</f>
        <v/>
      </c>
      <c r="K93" s="23" t="n"/>
      <c r="L93" s="25">
        <f>IF(AND(IF($H98&lt;&gt;"",$H98,$H93)="override",$K93&lt;&gt;""),$K93,SUMIFS(Assumptions!$P$4:$P$103,Assumptions!$M$4:$M$103,$C93,Assumptions!$N$4:$N$103,$E93,Assumptions!$O$4:$O$103,"LVN"))</f>
        <v/>
      </c>
      <c r="M93" s="23" t="n"/>
      <c r="N93" s="25">
        <f>IF(AND(IF($H98&lt;&gt;"",$H98,$H93)="override",$M93&lt;&gt;""),$M93,SUMIFS(Assumptions!$P$4:$P$103,Assumptions!$M$4:$M$103,$C93,Assumptions!$N$4:$N$103,$E93,Assumptions!$O$4:$O$103,"HVN"))</f>
        <v/>
      </c>
      <c r="O93" s="25">
        <f>(L93+N93)*Assumptions!$S$11</f>
        <v/>
      </c>
      <c r="P93" s="26">
        <f>$F93*$J93*$O93</f>
        <v/>
      </c>
    </row>
    <row r="94">
      <c r="A94" s="11" t="inlineStr">
        <is>
          <t>UNIT</t>
        </is>
      </c>
      <c r="B94" s="18" t="inlineStr">
        <is>
          <t>MARATHON_CATLETTSBURG</t>
        </is>
      </c>
      <c r="C94" s="18" t="n">
        <v>2</v>
      </c>
      <c r="D94" s="18" t="inlineStr">
        <is>
          <t>REF</t>
        </is>
      </c>
      <c r="E94" s="18" t="inlineStr">
        <is>
          <t>REFORMER</t>
        </is>
      </c>
      <c r="F94" s="19" t="n">
        <v>33.5</v>
      </c>
      <c r="G94" s="21">
        <f>IFERROR(IF(INDEX(Effective!$E$3:$R$125,MATCH($B94,Effective!$A$3:$A$125,0),MATCH($D94,Effective!$E$2:$R$2,0))=0,"",INDEX(Effective!$E$3:$R$125,MATCH($B94,Effective!$A$3:$A$125,0),MATCH($D94,Effective!$E$2:$R$2,0))),"")</f>
        <v/>
      </c>
      <c r="H94" s="22" t="inlineStr">
        <is>
          <t>override</t>
        </is>
      </c>
      <c r="I94" s="23" t="n">
        <v>1.1</v>
      </c>
      <c r="J94" s="24">
        <f>IF(AND(IF($H98&lt;&gt;"",$H98,$H94)="override",$I94&lt;&gt;""),$I94,SUMIFS(Assumptions!$K$4:$K$8,Assumptions!$J$4:$J$8,$C94))*Assumptions!$S$10</f>
        <v/>
      </c>
      <c r="K94" s="23" t="n"/>
      <c r="L94" s="25">
        <f>IF(AND(IF($H98&lt;&gt;"",$H98,$H94)="override",$K94&lt;&gt;""),$K94,SUMIFS(Assumptions!$P$4:$P$103,Assumptions!$M$4:$M$103,$C94,Assumptions!$N$4:$N$103,$E94,Assumptions!$O$4:$O$103,"LVN"))</f>
        <v/>
      </c>
      <c r="M94" s="23" t="n"/>
      <c r="N94" s="25">
        <f>IF(AND(IF($H98&lt;&gt;"",$H98,$H94)="override",$M94&lt;&gt;""),$M94,SUMIFS(Assumptions!$P$4:$P$103,Assumptions!$M$4:$M$103,$C94,Assumptions!$N$4:$N$103,$E94,Assumptions!$O$4:$O$103,"HVN"))</f>
        <v/>
      </c>
      <c r="O94" s="25">
        <f>(L94+N94)*Assumptions!$S$11</f>
        <v/>
      </c>
      <c r="P94" s="26">
        <f>$F94*$J94*$O94</f>
        <v/>
      </c>
    </row>
    <row r="95">
      <c r="A95" s="11" t="inlineStr">
        <is>
          <t>UNIT</t>
        </is>
      </c>
      <c r="B95" s="18" t="inlineStr">
        <is>
          <t>MARATHON_CATLETTSBURG</t>
        </is>
      </c>
      <c r="C95" s="18" t="n">
        <v>2</v>
      </c>
      <c r="D95" s="18" t="inlineStr">
        <is>
          <t>ISOM</t>
        </is>
      </c>
      <c r="E95" s="18" t="inlineStr">
        <is>
          <t>ISOM</t>
        </is>
      </c>
      <c r="F95" s="19" t="n">
        <v>17</v>
      </c>
      <c r="G95" s="21">
        <f>IFERROR(IF(INDEX(Effective!$E$3:$R$125,MATCH($B95,Effective!$A$3:$A$125,0),MATCH($D95,Effective!$E$2:$R$2,0))=0,"",INDEX(Effective!$E$3:$R$125,MATCH($B95,Effective!$A$3:$A$125,0),MATCH($D95,Effective!$E$2:$R$2,0))),"")</f>
        <v/>
      </c>
      <c r="H95" s="22" t="inlineStr">
        <is>
          <t>override</t>
        </is>
      </c>
      <c r="I95" s="23" t="n">
        <v>0.833</v>
      </c>
      <c r="J95" s="24">
        <f>IF(AND(IF($H98&lt;&gt;"",$H98,$H95)="override",$I95&lt;&gt;""),$I95,SUMIFS(Assumptions!$K$4:$K$8,Assumptions!$J$4:$J$8,$C95))*Assumptions!$S$10</f>
        <v/>
      </c>
      <c r="K95" s="23" t="n"/>
      <c r="L95" s="25">
        <f>IF(AND(IF($H98&lt;&gt;"",$H98,$H95)="override",$K95&lt;&gt;""),$K95,SUMIFS(Assumptions!$P$4:$P$103,Assumptions!$M$4:$M$103,$C95,Assumptions!$N$4:$N$103,$E95,Assumptions!$O$4:$O$103,"LVN"))</f>
        <v/>
      </c>
      <c r="M95" s="23" t="n"/>
      <c r="N95" s="25">
        <f>IF(AND(IF($H98&lt;&gt;"",$H98,$H95)="override",$M95&lt;&gt;""),$M95,SUMIFS(Assumptions!$P$4:$P$103,Assumptions!$M$4:$M$103,$C95,Assumptions!$N$4:$N$103,$E95,Assumptions!$O$4:$O$103,"HVN"))</f>
        <v/>
      </c>
      <c r="O95" s="25">
        <f>(L95+N95)*Assumptions!$S$11</f>
        <v/>
      </c>
      <c r="P95" s="26">
        <f>$F95*$J95*$O95</f>
        <v/>
      </c>
    </row>
    <row r="96">
      <c r="A96" s="11" t="inlineStr">
        <is>
          <t>UNIT</t>
        </is>
      </c>
      <c r="B96" s="18" t="inlineStr">
        <is>
          <t>MARATHON_CATLETTSBURG</t>
        </is>
      </c>
      <c r="C96" s="18" t="n">
        <v>2</v>
      </c>
      <c r="D96" s="18" t="inlineStr">
        <is>
          <t>ALKY</t>
        </is>
      </c>
      <c r="E96" s="18" t="inlineStr">
        <is>
          <t>ALKY</t>
        </is>
      </c>
      <c r="F96" s="19" t="n">
        <v>21.5</v>
      </c>
      <c r="G96" s="21">
        <f>IFERROR(IF(INDEX(Effective!$E$3:$R$125,MATCH($B96,Effective!$A$3:$A$125,0),MATCH($D96,Effective!$E$2:$R$2,0))=0,"",INDEX(Effective!$E$3:$R$125,MATCH($B96,Effective!$A$3:$A$125,0),MATCH($D96,Effective!$E$2:$R$2,0))),"")</f>
        <v/>
      </c>
      <c r="H96" s="22" t="inlineStr">
        <is>
          <t>override</t>
        </is>
      </c>
      <c r="I96" s="23" t="n">
        <v>1.1</v>
      </c>
      <c r="J96" s="24">
        <f>IF(AND(IF($H98&lt;&gt;"",$H98,$H96)="override",$I96&lt;&gt;""),$I96,SUMIFS(Assumptions!$K$4:$K$8,Assumptions!$J$4:$J$8,$C96))*Assumptions!$S$10</f>
        <v/>
      </c>
      <c r="K96" s="23" t="n"/>
      <c r="L96" s="25">
        <f>IF(AND(IF($H98&lt;&gt;"",$H98,$H96)="override",$K96&lt;&gt;""),$K96,SUMIFS(Assumptions!$P$4:$P$103,Assumptions!$M$4:$M$103,$C96,Assumptions!$N$4:$N$103,$E96,Assumptions!$O$4:$O$103,"LVN"))</f>
        <v/>
      </c>
      <c r="M96" s="23" t="n"/>
      <c r="N96" s="25">
        <f>IF(AND(IF($H98&lt;&gt;"",$H98,$H96)="override",$M96&lt;&gt;""),$M96,SUMIFS(Assumptions!$P$4:$P$103,Assumptions!$M$4:$M$103,$C96,Assumptions!$N$4:$N$103,$E96,Assumptions!$O$4:$O$103,"HVN"))</f>
        <v/>
      </c>
      <c r="O96" s="25">
        <f>(L96+N96)*Assumptions!$S$11</f>
        <v/>
      </c>
      <c r="P96" s="26">
        <f>$F96*$J96*$O96</f>
        <v/>
      </c>
    </row>
    <row r="97">
      <c r="A97" s="11" t="inlineStr">
        <is>
          <t>UNIT</t>
        </is>
      </c>
      <c r="B97" s="18" t="inlineStr">
        <is>
          <t>MARATHON_CATLETTSBURG</t>
        </is>
      </c>
      <c r="C97" s="18" t="n">
        <v>2</v>
      </c>
      <c r="D97" s="18" t="inlineStr">
        <is>
          <t>NHT</t>
        </is>
      </c>
      <c r="E97" s="18" t="inlineStr">
        <is>
          <t>NHT</t>
        </is>
      </c>
      <c r="F97" s="19" t="n">
        <v>59</v>
      </c>
      <c r="G97" s="21">
        <f>IFERROR(IF(INDEX(Effective!$E$3:$R$125,MATCH($B97,Effective!$A$3:$A$125,0),MATCH($D97,Effective!$E$2:$R$2,0))=0,"",INDEX(Effective!$E$3:$R$125,MATCH($B97,Effective!$A$3:$A$125,0),MATCH($D97,Effective!$E$2:$R$2,0))),"")</f>
        <v/>
      </c>
      <c r="H97" s="22" t="inlineStr">
        <is>
          <t>override</t>
        </is>
      </c>
      <c r="I97" s="23" t="n">
        <v>1</v>
      </c>
      <c r="J97" s="24">
        <f>IF(AND(IF($H98&lt;&gt;"",$H98,$H97)="override",$I97&lt;&gt;""),$I97,SUMIFS(Assumptions!$K$4:$K$8,Assumptions!$J$4:$J$8,$C97))*Assumptions!$S$10</f>
        <v/>
      </c>
      <c r="K97" s="23" t="n"/>
      <c r="L97" s="25">
        <f>IF(AND(IF($H98&lt;&gt;"",$H98,$H97)="override",$K97&lt;&gt;""),$K97,SUMIFS(Assumptions!$P$4:$P$103,Assumptions!$M$4:$M$103,$C97,Assumptions!$N$4:$N$103,$E97,Assumptions!$O$4:$O$103,"LVN"))</f>
        <v/>
      </c>
      <c r="M97" s="23" t="n"/>
      <c r="N97" s="25">
        <f>IF(AND(IF($H98&lt;&gt;"",$H98,$H97)="override",$M97&lt;&gt;""),$M97,SUMIFS(Assumptions!$P$4:$P$103,Assumptions!$M$4:$M$103,$C97,Assumptions!$N$4:$N$103,$E97,Assumptions!$O$4:$O$103,"HVN"))</f>
        <v/>
      </c>
      <c r="O97" s="25">
        <f>(L97+N97)*Assumptions!$S$11</f>
        <v/>
      </c>
      <c r="P97" s="26">
        <f>$F97*$J97*$O97</f>
        <v/>
      </c>
    </row>
    <row r="98">
      <c r="A98" s="27" t="inlineStr">
        <is>
          <t>TOTAL</t>
        </is>
      </c>
      <c r="B98" s="28" t="inlineStr">
        <is>
          <t>MARATHON_CATLETTSBURG</t>
        </is>
      </c>
      <c r="C98" s="28" t="n">
        <v>2</v>
      </c>
      <c r="D98" s="28" t="inlineStr">
        <is>
          <t>NET NAPHTHA</t>
        </is>
      </c>
      <c r="H98" s="22" t="n"/>
      <c r="P98" s="29">
        <f>SUM(P90:P97)</f>
        <v/>
      </c>
    </row>
    <row r="100" ht="20" customHeight="1">
      <c r="A100" s="8">
        <f>"  Marathon Petroleum Robinson  [MARATHON_ROBINSON]   —   Marathon Petroleum   —   PADD 2   —   crude "&amp;TEXT(SUMIFS(Data!$G$3:$G$125,Data!$A$3:$A$125,"MARATHON_ROBINSON"),"#,##0")&amp;" kbd"</f>
        <v/>
      </c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</row>
    <row r="101">
      <c r="A101" s="11" t="inlineStr">
        <is>
          <t>UNIT</t>
        </is>
      </c>
      <c r="B101" s="18" t="inlineStr">
        <is>
          <t>MARATHON_ROBINSON</t>
        </is>
      </c>
      <c r="C101" s="18" t="n">
        <v>2</v>
      </c>
      <c r="D101" s="18" t="inlineStr">
        <is>
          <t>CDU</t>
        </is>
      </c>
      <c r="E101" s="18" t="inlineStr">
        <is>
          <t>CDU</t>
        </is>
      </c>
      <c r="F101" s="19" t="n">
        <v>266</v>
      </c>
      <c r="G101" s="21">
        <f>IFERROR(IF(INDEX(Effective!$E$3:$R$125,MATCH($B101,Effective!$A$3:$A$125,0),MATCH($D101,Effective!$E$2:$R$2,0))=0,"",INDEX(Effective!$E$3:$R$125,MATCH($B101,Effective!$A$3:$A$125,0),MATCH($D101,Effective!$E$2:$R$2,0))),"")</f>
        <v/>
      </c>
      <c r="H101" s="22" t="inlineStr">
        <is>
          <t>override</t>
        </is>
      </c>
      <c r="I101" s="23" t="n">
        <v>0.924</v>
      </c>
      <c r="J101" s="24">
        <f>IF(AND(IF($H110&lt;&gt;"",$H110,$H101)="override",$I101&lt;&gt;""),$I101,SUMIFS(Assumptions!$K$4:$K$8,Assumptions!$J$4:$J$8,$C101))*Assumptions!$S$10</f>
        <v/>
      </c>
      <c r="K101" s="23" t="n"/>
      <c r="L101" s="25">
        <f>IF(AND(IF($H110&lt;&gt;"",$H110,$H101)="override",$K101&lt;&gt;""),$K101,SUMIFS(Assumptions!$P$4:$P$103,Assumptions!$M$4:$M$103,$C101,Assumptions!$N$4:$N$103,$E101,Assumptions!$O$4:$O$103,"LVN"))</f>
        <v/>
      </c>
      <c r="M101" s="23" t="n"/>
      <c r="N101" s="25">
        <f>IF(AND(IF($H110&lt;&gt;"",$H110,$H101)="override",$M101&lt;&gt;""),$M101,SUMIFS(Assumptions!$P$4:$P$103,Assumptions!$M$4:$M$103,$C101,Assumptions!$N$4:$N$103,$E101,Assumptions!$O$4:$O$103,"HVN"))</f>
        <v/>
      </c>
      <c r="O101" s="25">
        <f>(L101+N101)*Assumptions!$S$11</f>
        <v/>
      </c>
      <c r="P101" s="26">
        <f>$F101*$J101*$O101</f>
        <v/>
      </c>
    </row>
    <row r="102">
      <c r="A102" s="11" t="inlineStr">
        <is>
          <t>UNIT</t>
        </is>
      </c>
      <c r="B102" s="18" t="inlineStr">
        <is>
          <t>MARATHON_ROBINSON</t>
        </is>
      </c>
      <c r="C102" s="18" t="n">
        <v>2</v>
      </c>
      <c r="D102" s="18" t="inlineStr">
        <is>
          <t>VDU</t>
        </is>
      </c>
      <c r="E102" s="18" t="inlineStr">
        <is>
          <t>VDU</t>
        </is>
      </c>
      <c r="F102" s="19" t="n">
        <v>76</v>
      </c>
      <c r="G102" s="21">
        <f>IFERROR(IF(INDEX(Effective!$E$3:$R$125,MATCH($B102,Effective!$A$3:$A$125,0),MATCH($D102,Effective!$E$2:$R$2,0))=0,"",INDEX(Effective!$E$3:$R$125,MATCH($B102,Effective!$A$3:$A$125,0),MATCH($D102,Effective!$E$2:$R$2,0))),"")</f>
        <v/>
      </c>
      <c r="H102" s="22" t="inlineStr">
        <is>
          <t>override</t>
        </is>
      </c>
      <c r="I102" s="23" t="n">
        <v>1</v>
      </c>
      <c r="J102" s="24">
        <f>IF(AND(IF($H110&lt;&gt;"",$H110,$H102)="override",$I102&lt;&gt;""),$I102,SUMIFS(Assumptions!$K$4:$K$8,Assumptions!$J$4:$J$8,$C102))*Assumptions!$S$10</f>
        <v/>
      </c>
      <c r="K102" s="23" t="n"/>
      <c r="L102" s="25">
        <f>IF(AND(IF($H110&lt;&gt;"",$H110,$H102)="override",$K102&lt;&gt;""),$K102,SUMIFS(Assumptions!$P$4:$P$103,Assumptions!$M$4:$M$103,$C102,Assumptions!$N$4:$N$103,$E102,Assumptions!$O$4:$O$103,"LVN"))</f>
        <v/>
      </c>
      <c r="M102" s="23" t="n"/>
      <c r="N102" s="25">
        <f>IF(AND(IF($H110&lt;&gt;"",$H110,$H102)="override",$M102&lt;&gt;""),$M102,SUMIFS(Assumptions!$P$4:$P$103,Assumptions!$M$4:$M$103,$C102,Assumptions!$N$4:$N$103,$E102,Assumptions!$O$4:$O$103,"HVN"))</f>
        <v/>
      </c>
      <c r="O102" s="25">
        <f>(L102+N102)*Assumptions!$S$11</f>
        <v/>
      </c>
      <c r="P102" s="26">
        <f>$F102*$J102*$O102</f>
        <v/>
      </c>
    </row>
    <row r="103">
      <c r="A103" s="11" t="inlineStr">
        <is>
          <t>UNIT</t>
        </is>
      </c>
      <c r="B103" s="18" t="inlineStr">
        <is>
          <t>MARATHON_ROBINSON</t>
        </is>
      </c>
      <c r="C103" s="18" t="n">
        <v>2</v>
      </c>
      <c r="D103" s="18" t="inlineStr">
        <is>
          <t>FCC</t>
        </is>
      </c>
      <c r="E103" s="18" t="inlineStr">
        <is>
          <t>FCC</t>
        </is>
      </c>
      <c r="F103" s="19" t="n">
        <v>54.5</v>
      </c>
      <c r="G103" s="21">
        <f>IFERROR(IF(INDEX(Effective!$E$3:$R$125,MATCH($B103,Effective!$A$3:$A$125,0),MATCH($D103,Effective!$E$2:$R$2,0))=0,"",INDEX(Effective!$E$3:$R$125,MATCH($B103,Effective!$A$3:$A$125,0),MATCH($D103,Effective!$E$2:$R$2,0))),"")</f>
        <v/>
      </c>
      <c r="H103" s="22" t="inlineStr">
        <is>
          <t>override</t>
        </is>
      </c>
      <c r="I103" s="23" t="n">
        <v>0.973</v>
      </c>
      <c r="J103" s="24">
        <f>IF(AND(IF($H110&lt;&gt;"",$H110,$H103)="override",$I103&lt;&gt;""),$I103,SUMIFS(Assumptions!$K$4:$K$8,Assumptions!$J$4:$J$8,$C103))*Assumptions!$S$10</f>
        <v/>
      </c>
      <c r="K103" s="23" t="n"/>
      <c r="L103" s="25">
        <f>IF(AND(IF($H110&lt;&gt;"",$H110,$H103)="override",$K103&lt;&gt;""),$K103,SUMIFS(Assumptions!$P$4:$P$103,Assumptions!$M$4:$M$103,$C103,Assumptions!$N$4:$N$103,$E103,Assumptions!$O$4:$O$103,"LVN"))</f>
        <v/>
      </c>
      <c r="M103" s="23" t="n"/>
      <c r="N103" s="25">
        <f>IF(AND(IF($H110&lt;&gt;"",$H110,$H103)="override",$M103&lt;&gt;""),$M103,SUMIFS(Assumptions!$P$4:$P$103,Assumptions!$M$4:$M$103,$C103,Assumptions!$N$4:$N$103,$E103,Assumptions!$O$4:$O$103,"HVN"))</f>
        <v/>
      </c>
      <c r="O103" s="25">
        <f>(L103+N103)*Assumptions!$S$11</f>
        <v/>
      </c>
      <c r="P103" s="26">
        <f>$F103*$J103*$O103</f>
        <v/>
      </c>
    </row>
    <row r="104">
      <c r="A104" s="11" t="inlineStr">
        <is>
          <t>UNIT</t>
        </is>
      </c>
      <c r="B104" s="18" t="inlineStr">
        <is>
          <t>MARATHON_ROBINSON</t>
        </is>
      </c>
      <c r="C104" s="18" t="n">
        <v>2</v>
      </c>
      <c r="D104" s="18" t="inlineStr">
        <is>
          <t>DHCU</t>
        </is>
      </c>
      <c r="E104" s="18" t="inlineStr">
        <is>
          <t>HYDROCRACKER</t>
        </is>
      </c>
      <c r="F104" s="19" t="n">
        <v>44</v>
      </c>
      <c r="G104" s="21">
        <f>IFERROR(IF(INDEX(Effective!$E$3:$R$125,MATCH($B104,Effective!$A$3:$A$125,0),MATCH($D104,Effective!$E$2:$R$2,0))=0,"",INDEX(Effective!$E$3:$R$125,MATCH($B104,Effective!$A$3:$A$125,0),MATCH($D104,Effective!$E$2:$R$2,0))),"")</f>
        <v/>
      </c>
      <c r="H104" s="22" t="inlineStr">
        <is>
          <t>override</t>
        </is>
      </c>
      <c r="I104" s="23" t="n">
        <v>0.995</v>
      </c>
      <c r="J104" s="24">
        <f>IF(AND(IF($H110&lt;&gt;"",$H110,$H104)="override",$I104&lt;&gt;""),$I104,SUMIFS(Assumptions!$K$4:$K$8,Assumptions!$J$4:$J$8,$C104))*Assumptions!$S$10</f>
        <v/>
      </c>
      <c r="K104" s="23" t="n"/>
      <c r="L104" s="25">
        <f>IF(AND(IF($H110&lt;&gt;"",$H110,$H104)="override",$K104&lt;&gt;""),$K104,SUMIFS(Assumptions!$P$4:$P$103,Assumptions!$M$4:$M$103,$C104,Assumptions!$N$4:$N$103,$E104,Assumptions!$O$4:$O$103,"LVN"))</f>
        <v/>
      </c>
      <c r="M104" s="23" t="n"/>
      <c r="N104" s="25">
        <f>IF(AND(IF($H110&lt;&gt;"",$H110,$H104)="override",$M104&lt;&gt;""),$M104,SUMIFS(Assumptions!$P$4:$P$103,Assumptions!$M$4:$M$103,$C104,Assumptions!$N$4:$N$103,$E104,Assumptions!$O$4:$O$103,"HVN"))</f>
        <v/>
      </c>
      <c r="O104" s="25">
        <f>(L104+N104)*Assumptions!$S$11</f>
        <v/>
      </c>
      <c r="P104" s="26">
        <f>$F104*$J104*$O104</f>
        <v/>
      </c>
    </row>
    <row r="105">
      <c r="A105" s="11" t="inlineStr">
        <is>
          <t>UNIT</t>
        </is>
      </c>
      <c r="B105" s="18" t="inlineStr">
        <is>
          <t>MARATHON_ROBINSON</t>
        </is>
      </c>
      <c r="C105" s="18" t="n">
        <v>2</v>
      </c>
      <c r="D105" s="18" t="inlineStr">
        <is>
          <t>COKER</t>
        </is>
      </c>
      <c r="E105" s="18" t="inlineStr">
        <is>
          <t>COKER</t>
        </is>
      </c>
      <c r="F105" s="19" t="n">
        <v>30.5</v>
      </c>
      <c r="G105" s="21">
        <f>IFERROR(IF(INDEX(Effective!$E$3:$R$125,MATCH($B105,Effective!$A$3:$A$125,0),MATCH($D105,Effective!$E$2:$R$2,0))=0,"",INDEX(Effective!$E$3:$R$125,MATCH($B105,Effective!$A$3:$A$125,0),MATCH($D105,Effective!$E$2:$R$2,0))),"")</f>
        <v/>
      </c>
      <c r="H105" s="22" t="inlineStr">
        <is>
          <t>override</t>
        </is>
      </c>
      <c r="I105" s="23" t="n">
        <v>1.1</v>
      </c>
      <c r="J105" s="24">
        <f>IF(AND(IF($H110&lt;&gt;"",$H110,$H105)="override",$I105&lt;&gt;""),$I105,SUMIFS(Assumptions!$K$4:$K$8,Assumptions!$J$4:$J$8,$C105))*Assumptions!$S$10</f>
        <v/>
      </c>
      <c r="K105" s="23" t="n"/>
      <c r="L105" s="25">
        <f>IF(AND(IF($H110&lt;&gt;"",$H110,$H105)="override",$K105&lt;&gt;""),$K105,SUMIFS(Assumptions!$P$4:$P$103,Assumptions!$M$4:$M$103,$C105,Assumptions!$N$4:$N$103,$E105,Assumptions!$O$4:$O$103,"LVN"))</f>
        <v/>
      </c>
      <c r="M105" s="23" t="n"/>
      <c r="N105" s="25">
        <f>IF(AND(IF($H110&lt;&gt;"",$H110,$H105)="override",$M105&lt;&gt;""),$M105,SUMIFS(Assumptions!$P$4:$P$103,Assumptions!$M$4:$M$103,$C105,Assumptions!$N$4:$N$103,$E105,Assumptions!$O$4:$O$103,"HVN"))</f>
        <v/>
      </c>
      <c r="O105" s="25">
        <f>(L105+N105)*Assumptions!$S$11</f>
        <v/>
      </c>
      <c r="P105" s="26">
        <f>$F105*$J105*$O105</f>
        <v/>
      </c>
    </row>
    <row r="106">
      <c r="A106" s="11" t="inlineStr">
        <is>
          <t>UNIT</t>
        </is>
      </c>
      <c r="B106" s="18" t="inlineStr">
        <is>
          <t>MARATHON_ROBINSON</t>
        </is>
      </c>
      <c r="C106" s="18" t="n">
        <v>2</v>
      </c>
      <c r="D106" s="18" t="inlineStr">
        <is>
          <t>CCR</t>
        </is>
      </c>
      <c r="E106" s="18" t="inlineStr">
        <is>
          <t>REFORMER</t>
        </is>
      </c>
      <c r="F106" s="19" t="n">
        <v>82</v>
      </c>
      <c r="G106" s="21">
        <f>IFERROR(IF(INDEX(Effective!$E$3:$R$125,MATCH($B106,Effective!$A$3:$A$125,0),MATCH($D106,Effective!$E$2:$R$2,0))=0,"",INDEX(Effective!$E$3:$R$125,MATCH($B106,Effective!$A$3:$A$125,0),MATCH($D106,Effective!$E$2:$R$2,0))),"")</f>
        <v/>
      </c>
      <c r="H106" s="22" t="inlineStr">
        <is>
          <t>override</t>
        </is>
      </c>
      <c r="I106" s="23" t="n">
        <v>0.399</v>
      </c>
      <c r="J106" s="24">
        <f>IF(AND(IF($H110&lt;&gt;"",$H110,$H106)="override",$I106&lt;&gt;""),$I106,SUMIFS(Assumptions!$K$4:$K$8,Assumptions!$J$4:$J$8,$C106))*Assumptions!$S$10</f>
        <v/>
      </c>
      <c r="K106" s="23" t="n"/>
      <c r="L106" s="25">
        <f>IF(AND(IF($H110&lt;&gt;"",$H110,$H106)="override",$K106&lt;&gt;""),$K106,SUMIFS(Assumptions!$P$4:$P$103,Assumptions!$M$4:$M$103,$C106,Assumptions!$N$4:$N$103,$E106,Assumptions!$O$4:$O$103,"LVN"))</f>
        <v/>
      </c>
      <c r="M106" s="23" t="n"/>
      <c r="N106" s="25">
        <f>IF(AND(IF($H110&lt;&gt;"",$H110,$H106)="override",$M106&lt;&gt;""),$M106,SUMIFS(Assumptions!$P$4:$P$103,Assumptions!$M$4:$M$103,$C106,Assumptions!$N$4:$N$103,$E106,Assumptions!$O$4:$O$103,"HVN"))</f>
        <v/>
      </c>
      <c r="O106" s="25">
        <f>(L106+N106)*Assumptions!$S$11</f>
        <v/>
      </c>
      <c r="P106" s="26">
        <f>$F106*$J106*$O106</f>
        <v/>
      </c>
    </row>
    <row r="107">
      <c r="A107" s="11" t="inlineStr">
        <is>
          <t>UNIT</t>
        </is>
      </c>
      <c r="B107" s="18" t="inlineStr">
        <is>
          <t>MARATHON_ROBINSON</t>
        </is>
      </c>
      <c r="C107" s="18" t="n">
        <v>2</v>
      </c>
      <c r="D107" s="18" t="inlineStr">
        <is>
          <t>ISOM</t>
        </is>
      </c>
      <c r="E107" s="18" t="inlineStr">
        <is>
          <t>ISOM</t>
        </is>
      </c>
      <c r="F107" s="19" t="n">
        <v>16</v>
      </c>
      <c r="G107" s="21">
        <f>IFERROR(IF(INDEX(Effective!$E$3:$R$125,MATCH($B107,Effective!$A$3:$A$125,0),MATCH($D107,Effective!$E$2:$R$2,0))=0,"",INDEX(Effective!$E$3:$R$125,MATCH($B107,Effective!$A$3:$A$125,0),MATCH($D107,Effective!$E$2:$R$2,0))),"")</f>
        <v/>
      </c>
      <c r="H107" s="22" t="inlineStr">
        <is>
          <t>override</t>
        </is>
      </c>
      <c r="I107" s="23" t="n">
        <v>0.851</v>
      </c>
      <c r="J107" s="24">
        <f>IF(AND(IF($H110&lt;&gt;"",$H110,$H107)="override",$I107&lt;&gt;""),$I107,SUMIFS(Assumptions!$K$4:$K$8,Assumptions!$J$4:$J$8,$C107))*Assumptions!$S$10</f>
        <v/>
      </c>
      <c r="K107" s="23" t="n"/>
      <c r="L107" s="25">
        <f>IF(AND(IF($H110&lt;&gt;"",$H110,$H107)="override",$K107&lt;&gt;""),$K107,SUMIFS(Assumptions!$P$4:$P$103,Assumptions!$M$4:$M$103,$C107,Assumptions!$N$4:$N$103,$E107,Assumptions!$O$4:$O$103,"LVN"))</f>
        <v/>
      </c>
      <c r="M107" s="23" t="n"/>
      <c r="N107" s="25">
        <f>IF(AND(IF($H110&lt;&gt;"",$H110,$H107)="override",$M107&lt;&gt;""),$M107,SUMIFS(Assumptions!$P$4:$P$103,Assumptions!$M$4:$M$103,$C107,Assumptions!$N$4:$N$103,$E107,Assumptions!$O$4:$O$103,"HVN"))</f>
        <v/>
      </c>
      <c r="O107" s="25">
        <f>(L107+N107)*Assumptions!$S$11</f>
        <v/>
      </c>
      <c r="P107" s="26">
        <f>$F107*$J107*$O107</f>
        <v/>
      </c>
    </row>
    <row r="108">
      <c r="A108" s="11" t="inlineStr">
        <is>
          <t>UNIT</t>
        </is>
      </c>
      <c r="B108" s="18" t="inlineStr">
        <is>
          <t>MARATHON_ROBINSON</t>
        </is>
      </c>
      <c r="C108" s="18" t="n">
        <v>2</v>
      </c>
      <c r="D108" s="18" t="inlineStr">
        <is>
          <t>ALKY</t>
        </is>
      </c>
      <c r="E108" s="18" t="inlineStr">
        <is>
          <t>ALKY</t>
        </is>
      </c>
      <c r="F108" s="19" t="n">
        <v>12.5</v>
      </c>
      <c r="G108" s="21">
        <f>IFERROR(IF(INDEX(Effective!$E$3:$R$125,MATCH($B108,Effective!$A$3:$A$125,0),MATCH($D108,Effective!$E$2:$R$2,0))=0,"",INDEX(Effective!$E$3:$R$125,MATCH($B108,Effective!$A$3:$A$125,0),MATCH($D108,Effective!$E$2:$R$2,0))),"")</f>
        <v/>
      </c>
      <c r="H108" s="22" t="inlineStr">
        <is>
          <t>override</t>
        </is>
      </c>
      <c r="I108" s="23" t="n">
        <v>1.1</v>
      </c>
      <c r="J108" s="24">
        <f>IF(AND(IF($H110&lt;&gt;"",$H110,$H108)="override",$I108&lt;&gt;""),$I108,SUMIFS(Assumptions!$K$4:$K$8,Assumptions!$J$4:$J$8,$C108))*Assumptions!$S$10</f>
        <v/>
      </c>
      <c r="K108" s="23" t="n"/>
      <c r="L108" s="25">
        <f>IF(AND(IF($H110&lt;&gt;"",$H110,$H108)="override",$K108&lt;&gt;""),$K108,SUMIFS(Assumptions!$P$4:$P$103,Assumptions!$M$4:$M$103,$C108,Assumptions!$N$4:$N$103,$E108,Assumptions!$O$4:$O$103,"LVN"))</f>
        <v/>
      </c>
      <c r="M108" s="23" t="n"/>
      <c r="N108" s="25">
        <f>IF(AND(IF($H110&lt;&gt;"",$H110,$H108)="override",$M108&lt;&gt;""),$M108,SUMIFS(Assumptions!$P$4:$P$103,Assumptions!$M$4:$M$103,$C108,Assumptions!$N$4:$N$103,$E108,Assumptions!$O$4:$O$103,"HVN"))</f>
        <v/>
      </c>
      <c r="O108" s="25">
        <f>(L108+N108)*Assumptions!$S$11</f>
        <v/>
      </c>
      <c r="P108" s="26">
        <f>$F108*$J108*$O108</f>
        <v/>
      </c>
    </row>
    <row r="109">
      <c r="A109" s="11" t="inlineStr">
        <is>
          <t>UNIT</t>
        </is>
      </c>
      <c r="B109" s="18" t="inlineStr">
        <is>
          <t>MARATHON_ROBINSON</t>
        </is>
      </c>
      <c r="C109" s="18" t="n">
        <v>2</v>
      </c>
      <c r="D109" s="18" t="inlineStr">
        <is>
          <t>NHT</t>
        </is>
      </c>
      <c r="E109" s="18" t="inlineStr">
        <is>
          <t>NHT</t>
        </is>
      </c>
      <c r="F109" s="19" t="n">
        <v>70.5</v>
      </c>
      <c r="G109" s="21">
        <f>IFERROR(IF(INDEX(Effective!$E$3:$R$125,MATCH($B109,Effective!$A$3:$A$125,0),MATCH($D109,Effective!$E$2:$R$2,0))=0,"",INDEX(Effective!$E$3:$R$125,MATCH($B109,Effective!$A$3:$A$125,0),MATCH($D109,Effective!$E$2:$R$2,0))),"")</f>
        <v/>
      </c>
      <c r="H109" s="22" t="inlineStr">
        <is>
          <t>override</t>
        </is>
      </c>
      <c r="I109" s="23" t="n">
        <v>1.1</v>
      </c>
      <c r="J109" s="24">
        <f>IF(AND(IF($H110&lt;&gt;"",$H110,$H109)="override",$I109&lt;&gt;""),$I109,SUMIFS(Assumptions!$K$4:$K$8,Assumptions!$J$4:$J$8,$C109))*Assumptions!$S$10</f>
        <v/>
      </c>
      <c r="K109" s="23" t="n"/>
      <c r="L109" s="25">
        <f>IF(AND(IF($H110&lt;&gt;"",$H110,$H109)="override",$K109&lt;&gt;""),$K109,SUMIFS(Assumptions!$P$4:$P$103,Assumptions!$M$4:$M$103,$C109,Assumptions!$N$4:$N$103,$E109,Assumptions!$O$4:$O$103,"LVN"))</f>
        <v/>
      </c>
      <c r="M109" s="23" t="n"/>
      <c r="N109" s="25">
        <f>IF(AND(IF($H110&lt;&gt;"",$H110,$H109)="override",$M109&lt;&gt;""),$M109,SUMIFS(Assumptions!$P$4:$P$103,Assumptions!$M$4:$M$103,$C109,Assumptions!$N$4:$N$103,$E109,Assumptions!$O$4:$O$103,"HVN"))</f>
        <v/>
      </c>
      <c r="O109" s="25">
        <f>(L109+N109)*Assumptions!$S$11</f>
        <v/>
      </c>
      <c r="P109" s="26">
        <f>$F109*$J109*$O109</f>
        <v/>
      </c>
    </row>
    <row r="110">
      <c r="A110" s="27" t="inlineStr">
        <is>
          <t>TOTAL</t>
        </is>
      </c>
      <c r="B110" s="28" t="inlineStr">
        <is>
          <t>MARATHON_ROBINSON</t>
        </is>
      </c>
      <c r="C110" s="28" t="n">
        <v>2</v>
      </c>
      <c r="D110" s="28" t="inlineStr">
        <is>
          <t>NET NAPHTHA</t>
        </is>
      </c>
      <c r="H110" s="22" t="n"/>
      <c r="P110" s="29">
        <f>SUM(P101:P109)</f>
        <v/>
      </c>
    </row>
    <row r="112" ht="20" customHeight="1">
      <c r="A112" s="8">
        <f>"  ExxonMobil Joliet  [EXXONMOBIL_JOLIET]   —   ExxonMobil   —   PADD 2   —   crude "&amp;TEXT(SUMIFS(Data!$G$3:$G$125,Data!$A$3:$A$125,"EXXONMOBIL_JOLIET"),"#,##0")&amp;" kbd"</f>
        <v/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</row>
    <row r="113">
      <c r="A113" s="11" t="inlineStr">
        <is>
          <t>UNIT</t>
        </is>
      </c>
      <c r="B113" s="18" t="inlineStr">
        <is>
          <t>EXXONMOBIL_JOLIET</t>
        </is>
      </c>
      <c r="C113" s="18" t="n">
        <v>2</v>
      </c>
      <c r="D113" s="18" t="inlineStr">
        <is>
          <t>CDU</t>
        </is>
      </c>
      <c r="E113" s="18" t="inlineStr">
        <is>
          <t>CDU</t>
        </is>
      </c>
      <c r="F113" s="19" t="n">
        <v>275</v>
      </c>
      <c r="G113" s="21">
        <f>IFERROR(IF(INDEX(Effective!$E$3:$R$125,MATCH($B113,Effective!$A$3:$A$125,0),MATCH($D113,Effective!$E$2:$R$2,0))=0,"",INDEX(Effective!$E$3:$R$125,MATCH($B113,Effective!$A$3:$A$125,0),MATCH($D113,Effective!$E$2:$R$2,0))),"")</f>
        <v/>
      </c>
      <c r="H113" s="22" t="inlineStr">
        <is>
          <t>override</t>
        </is>
      </c>
      <c r="I113" s="23" t="n">
        <v>0.989</v>
      </c>
      <c r="J113" s="24">
        <f>IF(AND(IF($H120&lt;&gt;"",$H120,$H113)="override",$I113&lt;&gt;""),$I113,SUMIFS(Assumptions!$K$4:$K$8,Assumptions!$J$4:$J$8,$C113))*Assumptions!$S$10</f>
        <v/>
      </c>
      <c r="K113" s="23" t="n"/>
      <c r="L113" s="25">
        <f>IF(AND(IF($H120&lt;&gt;"",$H120,$H113)="override",$K113&lt;&gt;""),$K113,SUMIFS(Assumptions!$P$4:$P$103,Assumptions!$M$4:$M$103,$C113,Assumptions!$N$4:$N$103,$E113,Assumptions!$O$4:$O$103,"LVN"))</f>
        <v/>
      </c>
      <c r="M113" s="23" t="n"/>
      <c r="N113" s="25">
        <f>IF(AND(IF($H120&lt;&gt;"",$H120,$H113)="override",$M113&lt;&gt;""),$M113,SUMIFS(Assumptions!$P$4:$P$103,Assumptions!$M$4:$M$103,$C113,Assumptions!$N$4:$N$103,$E113,Assumptions!$O$4:$O$103,"HVN"))</f>
        <v/>
      </c>
      <c r="O113" s="25">
        <f>(L113+N113)*Assumptions!$S$11</f>
        <v/>
      </c>
      <c r="P113" s="26">
        <f>$F113*$J113*$O113</f>
        <v/>
      </c>
    </row>
    <row r="114">
      <c r="A114" s="11" t="inlineStr">
        <is>
          <t>UNIT</t>
        </is>
      </c>
      <c r="B114" s="18" t="inlineStr">
        <is>
          <t>EXXONMOBIL_JOLIET</t>
        </is>
      </c>
      <c r="C114" s="18" t="n">
        <v>2</v>
      </c>
      <c r="D114" s="18" t="inlineStr">
        <is>
          <t>VDU</t>
        </is>
      </c>
      <c r="E114" s="18" t="inlineStr">
        <is>
          <t>VDU</t>
        </is>
      </c>
      <c r="F114" s="19" t="n">
        <v>126.7</v>
      </c>
      <c r="G114" s="21">
        <f>IFERROR(IF(INDEX(Effective!$E$3:$R$125,MATCH($B114,Effective!$A$3:$A$125,0),MATCH($D114,Effective!$E$2:$R$2,0))=0,"",INDEX(Effective!$E$3:$R$125,MATCH($B114,Effective!$A$3:$A$125,0),MATCH($D114,Effective!$E$2:$R$2,0))),"")</f>
        <v/>
      </c>
      <c r="H114" s="22" t="inlineStr">
        <is>
          <t>override</t>
        </is>
      </c>
      <c r="I114" s="23" t="n">
        <v>0.999</v>
      </c>
      <c r="J114" s="24">
        <f>IF(AND(IF($H120&lt;&gt;"",$H120,$H114)="override",$I114&lt;&gt;""),$I114,SUMIFS(Assumptions!$K$4:$K$8,Assumptions!$J$4:$J$8,$C114))*Assumptions!$S$10</f>
        <v/>
      </c>
      <c r="K114" s="23" t="n"/>
      <c r="L114" s="25">
        <f>IF(AND(IF($H120&lt;&gt;"",$H120,$H114)="override",$K114&lt;&gt;""),$K114,SUMIFS(Assumptions!$P$4:$P$103,Assumptions!$M$4:$M$103,$C114,Assumptions!$N$4:$N$103,$E114,Assumptions!$O$4:$O$103,"LVN"))</f>
        <v/>
      </c>
      <c r="M114" s="23" t="n"/>
      <c r="N114" s="25">
        <f>IF(AND(IF($H120&lt;&gt;"",$H120,$H114)="override",$M114&lt;&gt;""),$M114,SUMIFS(Assumptions!$P$4:$P$103,Assumptions!$M$4:$M$103,$C114,Assumptions!$N$4:$N$103,$E114,Assumptions!$O$4:$O$103,"HVN"))</f>
        <v/>
      </c>
      <c r="O114" s="25">
        <f>(L114+N114)*Assumptions!$S$11</f>
        <v/>
      </c>
      <c r="P114" s="26">
        <f>$F114*$J114*$O114</f>
        <v/>
      </c>
    </row>
    <row r="115">
      <c r="A115" s="11" t="inlineStr">
        <is>
          <t>UNIT</t>
        </is>
      </c>
      <c r="B115" s="18" t="inlineStr">
        <is>
          <t>EXXONMOBIL_JOLIET</t>
        </is>
      </c>
      <c r="C115" s="18" t="n">
        <v>2</v>
      </c>
      <c r="D115" s="18" t="inlineStr">
        <is>
          <t>FCC</t>
        </is>
      </c>
      <c r="E115" s="18" t="inlineStr">
        <is>
          <t>FCC</t>
        </is>
      </c>
      <c r="F115" s="19" t="n">
        <v>99.3</v>
      </c>
      <c r="G115" s="21">
        <f>IFERROR(IF(INDEX(Effective!$E$3:$R$125,MATCH($B115,Effective!$A$3:$A$125,0),MATCH($D115,Effective!$E$2:$R$2,0))=0,"",INDEX(Effective!$E$3:$R$125,MATCH($B115,Effective!$A$3:$A$125,0),MATCH($D115,Effective!$E$2:$R$2,0))),"")</f>
        <v/>
      </c>
      <c r="H115" s="22" t="inlineStr">
        <is>
          <t>override</t>
        </is>
      </c>
      <c r="I115" s="23" t="n">
        <v>1</v>
      </c>
      <c r="J115" s="24">
        <f>IF(AND(IF($H120&lt;&gt;"",$H120,$H115)="override",$I115&lt;&gt;""),$I115,SUMIFS(Assumptions!$K$4:$K$8,Assumptions!$J$4:$J$8,$C115))*Assumptions!$S$10</f>
        <v/>
      </c>
      <c r="K115" s="23" t="n"/>
      <c r="L115" s="25">
        <f>IF(AND(IF($H120&lt;&gt;"",$H120,$H115)="override",$K115&lt;&gt;""),$K115,SUMIFS(Assumptions!$P$4:$P$103,Assumptions!$M$4:$M$103,$C115,Assumptions!$N$4:$N$103,$E115,Assumptions!$O$4:$O$103,"LVN"))</f>
        <v/>
      </c>
      <c r="M115" s="23" t="n"/>
      <c r="N115" s="25">
        <f>IF(AND(IF($H120&lt;&gt;"",$H120,$H115)="override",$M115&lt;&gt;""),$M115,SUMIFS(Assumptions!$P$4:$P$103,Assumptions!$M$4:$M$103,$C115,Assumptions!$N$4:$N$103,$E115,Assumptions!$O$4:$O$103,"HVN"))</f>
        <v/>
      </c>
      <c r="O115" s="25">
        <f>(L115+N115)*Assumptions!$S$11</f>
        <v/>
      </c>
      <c r="P115" s="26">
        <f>$F115*$J115*$O115</f>
        <v/>
      </c>
    </row>
    <row r="116">
      <c r="A116" s="11" t="inlineStr">
        <is>
          <t>UNIT</t>
        </is>
      </c>
      <c r="B116" s="18" t="inlineStr">
        <is>
          <t>EXXONMOBIL_JOLIET</t>
        </is>
      </c>
      <c r="C116" s="18" t="n">
        <v>2</v>
      </c>
      <c r="D116" s="18" t="inlineStr">
        <is>
          <t>COKER</t>
        </is>
      </c>
      <c r="E116" s="18" t="inlineStr">
        <is>
          <t>COKER</t>
        </is>
      </c>
      <c r="F116" s="19" t="n">
        <v>57.5</v>
      </c>
      <c r="G116" s="21">
        <f>IFERROR(IF(INDEX(Effective!$E$3:$R$125,MATCH($B116,Effective!$A$3:$A$125,0),MATCH($D116,Effective!$E$2:$R$2,0))=0,"",INDEX(Effective!$E$3:$R$125,MATCH($B116,Effective!$A$3:$A$125,0),MATCH($D116,Effective!$E$2:$R$2,0))),"")</f>
        <v/>
      </c>
      <c r="H116" s="22" t="inlineStr">
        <is>
          <t>override</t>
        </is>
      </c>
      <c r="I116" s="23" t="n">
        <v>0.899</v>
      </c>
      <c r="J116" s="24">
        <f>IF(AND(IF($H120&lt;&gt;"",$H120,$H116)="override",$I116&lt;&gt;""),$I116,SUMIFS(Assumptions!$K$4:$K$8,Assumptions!$J$4:$J$8,$C116))*Assumptions!$S$10</f>
        <v/>
      </c>
      <c r="K116" s="23" t="n"/>
      <c r="L116" s="25">
        <f>IF(AND(IF($H120&lt;&gt;"",$H120,$H116)="override",$K116&lt;&gt;""),$K116,SUMIFS(Assumptions!$P$4:$P$103,Assumptions!$M$4:$M$103,$C116,Assumptions!$N$4:$N$103,$E116,Assumptions!$O$4:$O$103,"LVN"))</f>
        <v/>
      </c>
      <c r="M116" s="23" t="n"/>
      <c r="N116" s="25">
        <f>IF(AND(IF($H120&lt;&gt;"",$H120,$H116)="override",$M116&lt;&gt;""),$M116,SUMIFS(Assumptions!$P$4:$P$103,Assumptions!$M$4:$M$103,$C116,Assumptions!$N$4:$N$103,$E116,Assumptions!$O$4:$O$103,"HVN"))</f>
        <v/>
      </c>
      <c r="O116" s="25">
        <f>(L116+N116)*Assumptions!$S$11</f>
        <v/>
      </c>
      <c r="P116" s="26">
        <f>$F116*$J116*$O116</f>
        <v/>
      </c>
    </row>
    <row r="117">
      <c r="A117" s="11" t="inlineStr">
        <is>
          <t>UNIT</t>
        </is>
      </c>
      <c r="B117" s="18" t="inlineStr">
        <is>
          <t>EXXONMOBIL_JOLIET</t>
        </is>
      </c>
      <c r="C117" s="18" t="n">
        <v>2</v>
      </c>
      <c r="D117" s="18" t="inlineStr">
        <is>
          <t>CCR</t>
        </is>
      </c>
      <c r="E117" s="18" t="inlineStr">
        <is>
          <t>REFORMER</t>
        </is>
      </c>
      <c r="F117" s="19" t="n">
        <v>52.6</v>
      </c>
      <c r="G117" s="21">
        <f>IFERROR(IF(INDEX(Effective!$E$3:$R$125,MATCH($B117,Effective!$A$3:$A$125,0),MATCH($D117,Effective!$E$2:$R$2,0))=0,"",INDEX(Effective!$E$3:$R$125,MATCH($B117,Effective!$A$3:$A$125,0),MATCH($D117,Effective!$E$2:$R$2,0))),"")</f>
        <v/>
      </c>
      <c r="H117" s="22" t="inlineStr">
        <is>
          <t>override</t>
        </is>
      </c>
      <c r="I117" s="23" t="n">
        <v>0.957</v>
      </c>
      <c r="J117" s="24">
        <f>IF(AND(IF($H120&lt;&gt;"",$H120,$H117)="override",$I117&lt;&gt;""),$I117,SUMIFS(Assumptions!$K$4:$K$8,Assumptions!$J$4:$J$8,$C117))*Assumptions!$S$10</f>
        <v/>
      </c>
      <c r="K117" s="23" t="n"/>
      <c r="L117" s="25">
        <f>IF(AND(IF($H120&lt;&gt;"",$H120,$H117)="override",$K117&lt;&gt;""),$K117,SUMIFS(Assumptions!$P$4:$P$103,Assumptions!$M$4:$M$103,$C117,Assumptions!$N$4:$N$103,$E117,Assumptions!$O$4:$O$103,"LVN"))</f>
        <v/>
      </c>
      <c r="M117" s="23" t="n"/>
      <c r="N117" s="25">
        <f>IF(AND(IF($H120&lt;&gt;"",$H120,$H117)="override",$M117&lt;&gt;""),$M117,SUMIFS(Assumptions!$P$4:$P$103,Assumptions!$M$4:$M$103,$C117,Assumptions!$N$4:$N$103,$E117,Assumptions!$O$4:$O$103,"HVN"))</f>
        <v/>
      </c>
      <c r="O117" s="25">
        <f>(L117+N117)*Assumptions!$S$11</f>
        <v/>
      </c>
      <c r="P117" s="26">
        <f>$F117*$J117*$O117</f>
        <v/>
      </c>
    </row>
    <row r="118">
      <c r="A118" s="11" t="inlineStr">
        <is>
          <t>UNIT</t>
        </is>
      </c>
      <c r="B118" s="18" t="inlineStr">
        <is>
          <t>EXXONMOBIL_JOLIET</t>
        </is>
      </c>
      <c r="C118" s="18" t="n">
        <v>2</v>
      </c>
      <c r="D118" s="18" t="inlineStr">
        <is>
          <t>ALKY</t>
        </is>
      </c>
      <c r="E118" s="18" t="inlineStr">
        <is>
          <t>ALKY</t>
        </is>
      </c>
      <c r="F118" s="19" t="n">
        <v>29.1</v>
      </c>
      <c r="G118" s="21">
        <f>IFERROR(IF(INDEX(Effective!$E$3:$R$125,MATCH($B118,Effective!$A$3:$A$125,0),MATCH($D118,Effective!$E$2:$R$2,0))=0,"",INDEX(Effective!$E$3:$R$125,MATCH($B118,Effective!$A$3:$A$125,0),MATCH($D118,Effective!$E$2:$R$2,0))),"")</f>
        <v/>
      </c>
      <c r="H118" s="22" t="inlineStr">
        <is>
          <t>override</t>
        </is>
      </c>
      <c r="I118" s="23" t="n">
        <v>1.034</v>
      </c>
      <c r="J118" s="24">
        <f>IF(AND(IF($H120&lt;&gt;"",$H120,$H118)="override",$I118&lt;&gt;""),$I118,SUMIFS(Assumptions!$K$4:$K$8,Assumptions!$J$4:$J$8,$C118))*Assumptions!$S$10</f>
        <v/>
      </c>
      <c r="K118" s="23" t="n"/>
      <c r="L118" s="25">
        <f>IF(AND(IF($H120&lt;&gt;"",$H120,$H118)="override",$K118&lt;&gt;""),$K118,SUMIFS(Assumptions!$P$4:$P$103,Assumptions!$M$4:$M$103,$C118,Assumptions!$N$4:$N$103,$E118,Assumptions!$O$4:$O$103,"LVN"))</f>
        <v/>
      </c>
      <c r="M118" s="23" t="n"/>
      <c r="N118" s="25">
        <f>IF(AND(IF($H120&lt;&gt;"",$H120,$H118)="override",$M118&lt;&gt;""),$M118,SUMIFS(Assumptions!$P$4:$P$103,Assumptions!$M$4:$M$103,$C118,Assumptions!$N$4:$N$103,$E118,Assumptions!$O$4:$O$103,"HVN"))</f>
        <v/>
      </c>
      <c r="O118" s="25">
        <f>(L118+N118)*Assumptions!$S$11</f>
        <v/>
      </c>
      <c r="P118" s="26">
        <f>$F118*$J118*$O118</f>
        <v/>
      </c>
    </row>
    <row r="119">
      <c r="A119" s="11" t="inlineStr">
        <is>
          <t>UNIT</t>
        </is>
      </c>
      <c r="B119" s="18" t="inlineStr">
        <is>
          <t>EXXONMOBIL_JOLIET</t>
        </is>
      </c>
      <c r="C119" s="18" t="n">
        <v>2</v>
      </c>
      <c r="D119" s="18" t="inlineStr">
        <is>
          <t>NHT</t>
        </is>
      </c>
      <c r="E119" s="18" t="inlineStr">
        <is>
          <t>NHT</t>
        </is>
      </c>
      <c r="F119" s="19" t="n">
        <v>177.8</v>
      </c>
      <c r="G119" s="21">
        <f>IFERROR(IF(INDEX(Effective!$E$3:$R$125,MATCH($B119,Effective!$A$3:$A$125,0),MATCH($D119,Effective!$E$2:$R$2,0))=0,"",INDEX(Effective!$E$3:$R$125,MATCH($B119,Effective!$A$3:$A$125,0),MATCH($D119,Effective!$E$2:$R$2,0))),"")</f>
        <v/>
      </c>
      <c r="H119" s="22" t="inlineStr">
        <is>
          <t>override</t>
        </is>
      </c>
      <c r="I119" s="23" t="n">
        <v>0.75</v>
      </c>
      <c r="J119" s="24">
        <f>IF(AND(IF($H120&lt;&gt;"",$H120,$H119)="override",$I119&lt;&gt;""),$I119,SUMIFS(Assumptions!$K$4:$K$8,Assumptions!$J$4:$J$8,$C119))*Assumptions!$S$10</f>
        <v/>
      </c>
      <c r="K119" s="23" t="n"/>
      <c r="L119" s="25">
        <f>IF(AND(IF($H120&lt;&gt;"",$H120,$H119)="override",$K119&lt;&gt;""),$K119,SUMIFS(Assumptions!$P$4:$P$103,Assumptions!$M$4:$M$103,$C119,Assumptions!$N$4:$N$103,$E119,Assumptions!$O$4:$O$103,"LVN"))</f>
        <v/>
      </c>
      <c r="M119" s="23" t="n"/>
      <c r="N119" s="25">
        <f>IF(AND(IF($H120&lt;&gt;"",$H120,$H119)="override",$M119&lt;&gt;""),$M119,SUMIFS(Assumptions!$P$4:$P$103,Assumptions!$M$4:$M$103,$C119,Assumptions!$N$4:$N$103,$E119,Assumptions!$O$4:$O$103,"HVN"))</f>
        <v/>
      </c>
      <c r="O119" s="25">
        <f>(L119+N119)*Assumptions!$S$11</f>
        <v/>
      </c>
      <c r="P119" s="26">
        <f>$F119*$J119*$O119</f>
        <v/>
      </c>
    </row>
    <row r="120">
      <c r="A120" s="27" t="inlineStr">
        <is>
          <t>TOTAL</t>
        </is>
      </c>
      <c r="B120" s="28" t="inlineStr">
        <is>
          <t>EXXONMOBIL_JOLIET</t>
        </is>
      </c>
      <c r="C120" s="28" t="n">
        <v>2</v>
      </c>
      <c r="D120" s="28" t="inlineStr">
        <is>
          <t>NET NAPHTHA</t>
        </is>
      </c>
      <c r="H120" s="22" t="n"/>
      <c r="P120" s="29">
        <f>SUM(P113:P119)</f>
        <v/>
      </c>
    </row>
    <row r="122" ht="20" customHeight="1">
      <c r="A122" s="8">
        <f>"  Phillips 66 Co. Ponca City  [PHILLIPS_PONCA_CITY]   —   Phillips 66 Co.   —   PADD 2   —   crude "&amp;TEXT(SUMIFS(Data!$G$3:$G$125,Data!$A$3:$A$125,"PHILLIPS_PONCA_CITY"),"#,##0")&amp;" kbd"</f>
        <v/>
      </c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</row>
    <row r="123">
      <c r="A123" s="11" t="inlineStr">
        <is>
          <t>UNIT</t>
        </is>
      </c>
      <c r="B123" s="18" t="inlineStr">
        <is>
          <t>PHILLIPS_PONCA_CITY</t>
        </is>
      </c>
      <c r="C123" s="18" t="n">
        <v>2</v>
      </c>
      <c r="D123" s="18" t="inlineStr">
        <is>
          <t>CDU</t>
        </is>
      </c>
      <c r="E123" s="18" t="inlineStr">
        <is>
          <t>CDU</t>
        </is>
      </c>
      <c r="F123" s="19" t="n">
        <v>226.67</v>
      </c>
      <c r="G123" s="21">
        <f>IFERROR(IF(INDEX(Effective!$E$3:$R$125,MATCH($B123,Effective!$A$3:$A$125,0),MATCH($D123,Effective!$E$2:$R$2,0))=0,"",INDEX(Effective!$E$3:$R$125,MATCH($B123,Effective!$A$3:$A$125,0),MATCH($D123,Effective!$E$2:$R$2,0))),"")</f>
        <v/>
      </c>
      <c r="H123" s="22" t="inlineStr">
        <is>
          <t>override</t>
        </is>
      </c>
      <c r="I123" s="23" t="n">
        <v>0.87</v>
      </c>
      <c r="J123" s="24">
        <f>IF(AND(IF($H130&lt;&gt;"",$H130,$H123)="override",$I123&lt;&gt;""),$I123,SUMIFS(Assumptions!$K$4:$K$8,Assumptions!$J$4:$J$8,$C123))*Assumptions!$S$10</f>
        <v/>
      </c>
      <c r="K123" s="23" t="n"/>
      <c r="L123" s="25">
        <f>IF(AND(IF($H130&lt;&gt;"",$H130,$H123)="override",$K123&lt;&gt;""),$K123,SUMIFS(Assumptions!$P$4:$P$103,Assumptions!$M$4:$M$103,$C123,Assumptions!$N$4:$N$103,$E123,Assumptions!$O$4:$O$103,"LVN"))</f>
        <v/>
      </c>
      <c r="M123" s="23" t="n"/>
      <c r="N123" s="25">
        <f>IF(AND(IF($H130&lt;&gt;"",$H130,$H123)="override",$M123&lt;&gt;""),$M123,SUMIFS(Assumptions!$P$4:$P$103,Assumptions!$M$4:$M$103,$C123,Assumptions!$N$4:$N$103,$E123,Assumptions!$O$4:$O$103,"HVN"))</f>
        <v/>
      </c>
      <c r="O123" s="25">
        <f>(L123+N123)*Assumptions!$S$11</f>
        <v/>
      </c>
      <c r="P123" s="26">
        <f>$F123*$J123*$O123</f>
        <v/>
      </c>
    </row>
    <row r="124">
      <c r="A124" s="11" t="inlineStr">
        <is>
          <t>UNIT</t>
        </is>
      </c>
      <c r="B124" s="18" t="inlineStr">
        <is>
          <t>PHILLIPS_PONCA_CITY</t>
        </is>
      </c>
      <c r="C124" s="18" t="n">
        <v>2</v>
      </c>
      <c r="D124" s="18" t="inlineStr">
        <is>
          <t>VDU</t>
        </is>
      </c>
      <c r="E124" s="18" t="inlineStr">
        <is>
          <t>VDU</t>
        </is>
      </c>
      <c r="F124" s="19" t="n">
        <v>89.04000000000001</v>
      </c>
      <c r="G124" s="21">
        <f>IFERROR(IF(INDEX(Effective!$E$3:$R$125,MATCH($B124,Effective!$A$3:$A$125,0),MATCH($D124,Effective!$E$2:$R$2,0))=0,"",INDEX(Effective!$E$3:$R$125,MATCH($B124,Effective!$A$3:$A$125,0),MATCH($D124,Effective!$E$2:$R$2,0))),"")</f>
        <v/>
      </c>
      <c r="H124" s="22" t="inlineStr">
        <is>
          <t>override</t>
        </is>
      </c>
      <c r="I124" s="23" t="n">
        <v>0.65</v>
      </c>
      <c r="J124" s="24">
        <f>IF(AND(IF($H130&lt;&gt;"",$H130,$H124)="override",$I124&lt;&gt;""),$I124,SUMIFS(Assumptions!$K$4:$K$8,Assumptions!$J$4:$J$8,$C124))*Assumptions!$S$10</f>
        <v/>
      </c>
      <c r="K124" s="23" t="n"/>
      <c r="L124" s="25">
        <f>IF(AND(IF($H130&lt;&gt;"",$H130,$H124)="override",$K124&lt;&gt;""),$K124,SUMIFS(Assumptions!$P$4:$P$103,Assumptions!$M$4:$M$103,$C124,Assumptions!$N$4:$N$103,$E124,Assumptions!$O$4:$O$103,"LVN"))</f>
        <v/>
      </c>
      <c r="M124" s="23" t="n"/>
      <c r="N124" s="25">
        <f>IF(AND(IF($H130&lt;&gt;"",$H130,$H124)="override",$M124&lt;&gt;""),$M124,SUMIFS(Assumptions!$P$4:$P$103,Assumptions!$M$4:$M$103,$C124,Assumptions!$N$4:$N$103,$E124,Assumptions!$O$4:$O$103,"HVN"))</f>
        <v/>
      </c>
      <c r="O124" s="25">
        <f>(L124+N124)*Assumptions!$S$11</f>
        <v/>
      </c>
      <c r="P124" s="26">
        <f>$F124*$J124*$O124</f>
        <v/>
      </c>
    </row>
    <row r="125">
      <c r="A125" s="11" t="inlineStr">
        <is>
          <t>UNIT</t>
        </is>
      </c>
      <c r="B125" s="18" t="inlineStr">
        <is>
          <t>PHILLIPS_PONCA_CITY</t>
        </is>
      </c>
      <c r="C125" s="18" t="n">
        <v>2</v>
      </c>
      <c r="D125" s="18" t="inlineStr">
        <is>
          <t>FCC</t>
        </is>
      </c>
      <c r="E125" s="18" t="inlineStr">
        <is>
          <t>FCC</t>
        </is>
      </c>
      <c r="F125" s="19" t="n">
        <v>76.91</v>
      </c>
      <c r="G125" s="21">
        <f>IFERROR(IF(INDEX(Effective!$E$3:$R$125,MATCH($B125,Effective!$A$3:$A$125,0),MATCH($D125,Effective!$E$2:$R$2,0))=0,"",INDEX(Effective!$E$3:$R$125,MATCH($B125,Effective!$A$3:$A$125,0),MATCH($D125,Effective!$E$2:$R$2,0))),"")</f>
        <v/>
      </c>
      <c r="H125" s="22" t="inlineStr">
        <is>
          <t>override</t>
        </is>
      </c>
      <c r="I125" s="23" t="n">
        <v>0.731</v>
      </c>
      <c r="J125" s="24">
        <f>IF(AND(IF($H130&lt;&gt;"",$H130,$H125)="override",$I125&lt;&gt;""),$I125,SUMIFS(Assumptions!$K$4:$K$8,Assumptions!$J$4:$J$8,$C125))*Assumptions!$S$10</f>
        <v/>
      </c>
      <c r="K125" s="23" t="n"/>
      <c r="L125" s="25">
        <f>IF(AND(IF($H130&lt;&gt;"",$H130,$H125)="override",$K125&lt;&gt;""),$K125,SUMIFS(Assumptions!$P$4:$P$103,Assumptions!$M$4:$M$103,$C125,Assumptions!$N$4:$N$103,$E125,Assumptions!$O$4:$O$103,"LVN"))</f>
        <v/>
      </c>
      <c r="M125" s="23" t="n"/>
      <c r="N125" s="25">
        <f>IF(AND(IF($H130&lt;&gt;"",$H130,$H125)="override",$M125&lt;&gt;""),$M125,SUMIFS(Assumptions!$P$4:$P$103,Assumptions!$M$4:$M$103,$C125,Assumptions!$N$4:$N$103,$E125,Assumptions!$O$4:$O$103,"HVN"))</f>
        <v/>
      </c>
      <c r="O125" s="25">
        <f>(L125+N125)*Assumptions!$S$11</f>
        <v/>
      </c>
      <c r="P125" s="26">
        <f>$F125*$J125*$O125</f>
        <v/>
      </c>
    </row>
    <row r="126">
      <c r="A126" s="11" t="inlineStr">
        <is>
          <t>UNIT</t>
        </is>
      </c>
      <c r="B126" s="18" t="inlineStr">
        <is>
          <t>PHILLIPS_PONCA_CITY</t>
        </is>
      </c>
      <c r="C126" s="18" t="n">
        <v>2</v>
      </c>
      <c r="D126" s="18" t="inlineStr">
        <is>
          <t>COKER</t>
        </is>
      </c>
      <c r="E126" s="18" t="inlineStr">
        <is>
          <t>COKER</t>
        </is>
      </c>
      <c r="F126" s="19" t="n">
        <v>27.39</v>
      </c>
      <c r="G126" s="21">
        <f>IFERROR(IF(INDEX(Effective!$E$3:$R$125,MATCH($B126,Effective!$A$3:$A$125,0),MATCH($D126,Effective!$E$2:$R$2,0))=0,"",INDEX(Effective!$E$3:$R$125,MATCH($B126,Effective!$A$3:$A$125,0),MATCH($D126,Effective!$E$2:$R$2,0))),"")</f>
        <v/>
      </c>
      <c r="H126" s="22" t="inlineStr">
        <is>
          <t>override</t>
        </is>
      </c>
      <c r="I126" s="23" t="n">
        <v>0.672</v>
      </c>
      <c r="J126" s="24">
        <f>IF(AND(IF($H130&lt;&gt;"",$H130,$H126)="override",$I126&lt;&gt;""),$I126,SUMIFS(Assumptions!$K$4:$K$8,Assumptions!$J$4:$J$8,$C126))*Assumptions!$S$10</f>
        <v/>
      </c>
      <c r="K126" s="23" t="n"/>
      <c r="L126" s="25">
        <f>IF(AND(IF($H130&lt;&gt;"",$H130,$H126)="override",$K126&lt;&gt;""),$K126,SUMIFS(Assumptions!$P$4:$P$103,Assumptions!$M$4:$M$103,$C126,Assumptions!$N$4:$N$103,$E126,Assumptions!$O$4:$O$103,"LVN"))</f>
        <v/>
      </c>
      <c r="M126" s="23" t="n"/>
      <c r="N126" s="25">
        <f>IF(AND(IF($H130&lt;&gt;"",$H130,$H126)="override",$M126&lt;&gt;""),$M126,SUMIFS(Assumptions!$P$4:$P$103,Assumptions!$M$4:$M$103,$C126,Assumptions!$N$4:$N$103,$E126,Assumptions!$O$4:$O$103,"HVN"))</f>
        <v/>
      </c>
      <c r="O126" s="25">
        <f>(L126+N126)*Assumptions!$S$11</f>
        <v/>
      </c>
      <c r="P126" s="26">
        <f>$F126*$J126*$O126</f>
        <v/>
      </c>
    </row>
    <row r="127">
      <c r="A127" s="11" t="inlineStr">
        <is>
          <t>UNIT</t>
        </is>
      </c>
      <c r="B127" s="18" t="inlineStr">
        <is>
          <t>PHILLIPS_PONCA_CITY</t>
        </is>
      </c>
      <c r="C127" s="18" t="n">
        <v>2</v>
      </c>
      <c r="D127" s="18" t="inlineStr">
        <is>
          <t>REF</t>
        </is>
      </c>
      <c r="E127" s="18" t="inlineStr">
        <is>
          <t>REFORMER</t>
        </is>
      </c>
      <c r="F127" s="19" t="n">
        <v>49.26</v>
      </c>
      <c r="G127" s="21">
        <f>IFERROR(IF(INDEX(Effective!$E$3:$R$125,MATCH($B127,Effective!$A$3:$A$125,0),MATCH($D127,Effective!$E$2:$R$2,0))=0,"",INDEX(Effective!$E$3:$R$125,MATCH($B127,Effective!$A$3:$A$125,0),MATCH($D127,Effective!$E$2:$R$2,0))),"")</f>
        <v/>
      </c>
      <c r="H127" s="22" t="inlineStr">
        <is>
          <t>override</t>
        </is>
      </c>
      <c r="I127" s="23" t="n">
        <v>0.696</v>
      </c>
      <c r="J127" s="24">
        <f>IF(AND(IF($H130&lt;&gt;"",$H130,$H127)="override",$I127&lt;&gt;""),$I127,SUMIFS(Assumptions!$K$4:$K$8,Assumptions!$J$4:$J$8,$C127))*Assumptions!$S$10</f>
        <v/>
      </c>
      <c r="K127" s="23" t="n"/>
      <c r="L127" s="25">
        <f>IF(AND(IF($H130&lt;&gt;"",$H130,$H127)="override",$K127&lt;&gt;""),$K127,SUMIFS(Assumptions!$P$4:$P$103,Assumptions!$M$4:$M$103,$C127,Assumptions!$N$4:$N$103,$E127,Assumptions!$O$4:$O$103,"LVN"))</f>
        <v/>
      </c>
      <c r="M127" s="23" t="n"/>
      <c r="N127" s="25">
        <f>IF(AND(IF($H130&lt;&gt;"",$H130,$H127)="override",$M127&lt;&gt;""),$M127,SUMIFS(Assumptions!$P$4:$P$103,Assumptions!$M$4:$M$103,$C127,Assumptions!$N$4:$N$103,$E127,Assumptions!$O$4:$O$103,"HVN"))</f>
        <v/>
      </c>
      <c r="O127" s="25">
        <f>(L127+N127)*Assumptions!$S$11</f>
        <v/>
      </c>
      <c r="P127" s="26">
        <f>$F127*$J127*$O127</f>
        <v/>
      </c>
    </row>
    <row r="128">
      <c r="A128" s="11" t="inlineStr">
        <is>
          <t>UNIT</t>
        </is>
      </c>
      <c r="B128" s="18" t="inlineStr">
        <is>
          <t>PHILLIPS_PONCA_CITY</t>
        </is>
      </c>
      <c r="C128" s="18" t="n">
        <v>2</v>
      </c>
      <c r="D128" s="18" t="inlineStr">
        <is>
          <t>ALKY</t>
        </is>
      </c>
      <c r="E128" s="18" t="inlineStr">
        <is>
          <t>ALKY</t>
        </is>
      </c>
      <c r="F128" s="19" t="n">
        <v>17.57</v>
      </c>
      <c r="G128" s="21">
        <f>IFERROR(IF(INDEX(Effective!$E$3:$R$125,MATCH($B128,Effective!$A$3:$A$125,0),MATCH($D128,Effective!$E$2:$R$2,0))=0,"",INDEX(Effective!$E$3:$R$125,MATCH($B128,Effective!$A$3:$A$125,0),MATCH($D128,Effective!$E$2:$R$2,0))),"")</f>
        <v/>
      </c>
      <c r="H128" s="22" t="inlineStr">
        <is>
          <t>override</t>
        </is>
      </c>
      <c r="I128" s="23" t="n">
        <v>0.722</v>
      </c>
      <c r="J128" s="24">
        <f>IF(AND(IF($H130&lt;&gt;"",$H130,$H128)="override",$I128&lt;&gt;""),$I128,SUMIFS(Assumptions!$K$4:$K$8,Assumptions!$J$4:$J$8,$C128))*Assumptions!$S$10</f>
        <v/>
      </c>
      <c r="K128" s="23" t="n"/>
      <c r="L128" s="25">
        <f>IF(AND(IF($H130&lt;&gt;"",$H130,$H128)="override",$K128&lt;&gt;""),$K128,SUMIFS(Assumptions!$P$4:$P$103,Assumptions!$M$4:$M$103,$C128,Assumptions!$N$4:$N$103,$E128,Assumptions!$O$4:$O$103,"LVN"))</f>
        <v/>
      </c>
      <c r="M128" s="23" t="n"/>
      <c r="N128" s="25">
        <f>IF(AND(IF($H130&lt;&gt;"",$H130,$H128)="override",$M128&lt;&gt;""),$M128,SUMIFS(Assumptions!$P$4:$P$103,Assumptions!$M$4:$M$103,$C128,Assumptions!$N$4:$N$103,$E128,Assumptions!$O$4:$O$103,"HVN"))</f>
        <v/>
      </c>
      <c r="O128" s="25">
        <f>(L128+N128)*Assumptions!$S$11</f>
        <v/>
      </c>
      <c r="P128" s="26">
        <f>$F128*$J128*$O128</f>
        <v/>
      </c>
    </row>
    <row r="129">
      <c r="A129" s="11" t="inlineStr">
        <is>
          <t>UNIT</t>
        </is>
      </c>
      <c r="B129" s="18" t="inlineStr">
        <is>
          <t>PHILLIPS_PONCA_CITY</t>
        </is>
      </c>
      <c r="C129" s="18" t="n">
        <v>2</v>
      </c>
      <c r="D129" s="18" t="inlineStr">
        <is>
          <t>NHT</t>
        </is>
      </c>
      <c r="E129" s="18" t="inlineStr">
        <is>
          <t>NHT</t>
        </is>
      </c>
      <c r="F129" s="19" t="n">
        <v>51.51</v>
      </c>
      <c r="G129" s="21">
        <f>IFERROR(IF(INDEX(Effective!$E$3:$R$125,MATCH($B129,Effective!$A$3:$A$125,0),MATCH($D129,Effective!$E$2:$R$2,0))=0,"",INDEX(Effective!$E$3:$R$125,MATCH($B129,Effective!$A$3:$A$125,0),MATCH($D129,Effective!$E$2:$R$2,0))),"")</f>
        <v/>
      </c>
      <c r="H129" s="22" t="inlineStr">
        <is>
          <t>override</t>
        </is>
      </c>
      <c r="I129" s="23" t="n">
        <v>0.994</v>
      </c>
      <c r="J129" s="24">
        <f>IF(AND(IF($H130&lt;&gt;"",$H130,$H129)="override",$I129&lt;&gt;""),$I129,SUMIFS(Assumptions!$K$4:$K$8,Assumptions!$J$4:$J$8,$C129))*Assumptions!$S$10</f>
        <v/>
      </c>
      <c r="K129" s="23" t="n"/>
      <c r="L129" s="25">
        <f>IF(AND(IF($H130&lt;&gt;"",$H130,$H129)="override",$K129&lt;&gt;""),$K129,SUMIFS(Assumptions!$P$4:$P$103,Assumptions!$M$4:$M$103,$C129,Assumptions!$N$4:$N$103,$E129,Assumptions!$O$4:$O$103,"LVN"))</f>
        <v/>
      </c>
      <c r="M129" s="23" t="n"/>
      <c r="N129" s="25">
        <f>IF(AND(IF($H130&lt;&gt;"",$H130,$H129)="override",$M129&lt;&gt;""),$M129,SUMIFS(Assumptions!$P$4:$P$103,Assumptions!$M$4:$M$103,$C129,Assumptions!$N$4:$N$103,$E129,Assumptions!$O$4:$O$103,"HVN"))</f>
        <v/>
      </c>
      <c r="O129" s="25">
        <f>(L129+N129)*Assumptions!$S$11</f>
        <v/>
      </c>
      <c r="P129" s="26">
        <f>$F129*$J129*$O129</f>
        <v/>
      </c>
    </row>
    <row r="130">
      <c r="A130" s="27" t="inlineStr">
        <is>
          <t>TOTAL</t>
        </is>
      </c>
      <c r="B130" s="28" t="inlineStr">
        <is>
          <t>PHILLIPS_PONCA_CITY</t>
        </is>
      </c>
      <c r="C130" s="28" t="n">
        <v>2</v>
      </c>
      <c r="D130" s="28" t="inlineStr">
        <is>
          <t>NET NAPHTHA</t>
        </is>
      </c>
      <c r="H130" s="22" t="n"/>
      <c r="P130" s="29">
        <f>SUM(P123:P129)</f>
        <v/>
      </c>
    </row>
    <row r="132" ht="20" customHeight="1">
      <c r="A132" s="8">
        <f>"  Citgo Lemont  [CITGO_LEMONT]   —   PDVSA   —   PADD 2   —   crude "&amp;TEXT(SUMIFS(Data!$G$3:$G$125,Data!$A$3:$A$125,"CITGO_LEMONT"),"#,##0")&amp;" kbd"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</row>
    <row r="133">
      <c r="A133" s="11" t="inlineStr">
        <is>
          <t>UNIT</t>
        </is>
      </c>
      <c r="B133" s="18" t="inlineStr">
        <is>
          <t>CITGO_LEMONT</t>
        </is>
      </c>
      <c r="C133" s="18" t="n">
        <v>2</v>
      </c>
      <c r="D133" s="18" t="inlineStr">
        <is>
          <t>CDU</t>
        </is>
      </c>
      <c r="E133" s="18" t="inlineStr">
        <is>
          <t>CDU</t>
        </is>
      </c>
      <c r="F133" s="19" t="n">
        <v>188.7</v>
      </c>
      <c r="G133" s="21">
        <f>IFERROR(IF(INDEX(Effective!$E$3:$R$125,MATCH($B133,Effective!$A$3:$A$125,0),MATCH($D133,Effective!$E$2:$R$2,0))=0,"",INDEX(Effective!$E$3:$R$125,MATCH($B133,Effective!$A$3:$A$125,0),MATCH($D133,Effective!$E$2:$R$2,0))),"")</f>
        <v/>
      </c>
      <c r="H133" s="22" t="inlineStr">
        <is>
          <t>override</t>
        </is>
      </c>
      <c r="I133" s="23" t="n">
        <v>0.918</v>
      </c>
      <c r="J133" s="24">
        <f>IF(AND(IF($H140&lt;&gt;"",$H140,$H133)="override",$I133&lt;&gt;""),$I133,SUMIFS(Assumptions!$K$4:$K$8,Assumptions!$J$4:$J$8,$C133))*Assumptions!$S$10</f>
        <v/>
      </c>
      <c r="K133" s="23" t="n"/>
      <c r="L133" s="25">
        <f>IF(AND(IF($H140&lt;&gt;"",$H140,$H133)="override",$K133&lt;&gt;""),$K133,SUMIFS(Assumptions!$P$4:$P$103,Assumptions!$M$4:$M$103,$C133,Assumptions!$N$4:$N$103,$E133,Assumptions!$O$4:$O$103,"LVN"))</f>
        <v/>
      </c>
      <c r="M133" s="23" t="n"/>
      <c r="N133" s="25">
        <f>IF(AND(IF($H140&lt;&gt;"",$H140,$H133)="override",$M133&lt;&gt;""),$M133,SUMIFS(Assumptions!$P$4:$P$103,Assumptions!$M$4:$M$103,$C133,Assumptions!$N$4:$N$103,$E133,Assumptions!$O$4:$O$103,"HVN"))</f>
        <v/>
      </c>
      <c r="O133" s="25">
        <f>(L133+N133)*Assumptions!$S$11</f>
        <v/>
      </c>
      <c r="P133" s="26">
        <f>$F133*$J133*$O133</f>
        <v/>
      </c>
    </row>
    <row r="134">
      <c r="A134" s="11" t="inlineStr">
        <is>
          <t>UNIT</t>
        </is>
      </c>
      <c r="B134" s="18" t="inlineStr">
        <is>
          <t>CITGO_LEMONT</t>
        </is>
      </c>
      <c r="C134" s="18" t="n">
        <v>2</v>
      </c>
      <c r="D134" s="18" t="inlineStr">
        <is>
          <t>VDU</t>
        </is>
      </c>
      <c r="E134" s="18" t="inlineStr">
        <is>
          <t>VDU</t>
        </is>
      </c>
      <c r="F134" s="19" t="n">
        <v>77.2</v>
      </c>
      <c r="G134" s="21">
        <f>IFERROR(IF(INDEX(Effective!$E$3:$R$125,MATCH($B134,Effective!$A$3:$A$125,0),MATCH($D134,Effective!$E$2:$R$2,0))=0,"",INDEX(Effective!$E$3:$R$125,MATCH($B134,Effective!$A$3:$A$125,0),MATCH($D134,Effective!$E$2:$R$2,0))),"")</f>
        <v/>
      </c>
      <c r="H134" s="22" t="inlineStr">
        <is>
          <t>override</t>
        </is>
      </c>
      <c r="I134" s="23" t="n">
        <v>0.995</v>
      </c>
      <c r="J134" s="24">
        <f>IF(AND(IF($H140&lt;&gt;"",$H140,$H134)="override",$I134&lt;&gt;""),$I134,SUMIFS(Assumptions!$K$4:$K$8,Assumptions!$J$4:$J$8,$C134))*Assumptions!$S$10</f>
        <v/>
      </c>
      <c r="K134" s="23" t="n"/>
      <c r="L134" s="25">
        <f>IF(AND(IF($H140&lt;&gt;"",$H140,$H134)="override",$K134&lt;&gt;""),$K134,SUMIFS(Assumptions!$P$4:$P$103,Assumptions!$M$4:$M$103,$C134,Assumptions!$N$4:$N$103,$E134,Assumptions!$O$4:$O$103,"LVN"))</f>
        <v/>
      </c>
      <c r="M134" s="23" t="n"/>
      <c r="N134" s="25">
        <f>IF(AND(IF($H140&lt;&gt;"",$H140,$H134)="override",$M134&lt;&gt;""),$M134,SUMIFS(Assumptions!$P$4:$P$103,Assumptions!$M$4:$M$103,$C134,Assumptions!$N$4:$N$103,$E134,Assumptions!$O$4:$O$103,"HVN"))</f>
        <v/>
      </c>
      <c r="O134" s="25">
        <f>(L134+N134)*Assumptions!$S$11</f>
        <v/>
      </c>
      <c r="P134" s="26">
        <f>$F134*$J134*$O134</f>
        <v/>
      </c>
    </row>
    <row r="135">
      <c r="A135" s="11" t="inlineStr">
        <is>
          <t>UNIT</t>
        </is>
      </c>
      <c r="B135" s="18" t="inlineStr">
        <is>
          <t>CITGO_LEMONT</t>
        </is>
      </c>
      <c r="C135" s="18" t="n">
        <v>2</v>
      </c>
      <c r="D135" s="18" t="inlineStr">
        <is>
          <t>FCC</t>
        </is>
      </c>
      <c r="E135" s="18" t="inlineStr">
        <is>
          <t>FCC</t>
        </is>
      </c>
      <c r="F135" s="19" t="n">
        <v>69.5</v>
      </c>
      <c r="G135" s="21">
        <f>IFERROR(IF(INDEX(Effective!$E$3:$R$125,MATCH($B135,Effective!$A$3:$A$125,0),MATCH($D135,Effective!$E$2:$R$2,0))=0,"",INDEX(Effective!$E$3:$R$125,MATCH($B135,Effective!$A$3:$A$125,0),MATCH($D135,Effective!$E$2:$R$2,0))),"")</f>
        <v/>
      </c>
      <c r="H135" s="22" t="inlineStr">
        <is>
          <t>override</t>
        </is>
      </c>
      <c r="I135" s="23" t="n">
        <v>1</v>
      </c>
      <c r="J135" s="24">
        <f>IF(AND(IF($H140&lt;&gt;"",$H140,$H135)="override",$I135&lt;&gt;""),$I135,SUMIFS(Assumptions!$K$4:$K$8,Assumptions!$J$4:$J$8,$C135))*Assumptions!$S$10</f>
        <v/>
      </c>
      <c r="K135" s="23" t="n"/>
      <c r="L135" s="25">
        <f>IF(AND(IF($H140&lt;&gt;"",$H140,$H135)="override",$K135&lt;&gt;""),$K135,SUMIFS(Assumptions!$P$4:$P$103,Assumptions!$M$4:$M$103,$C135,Assumptions!$N$4:$N$103,$E135,Assumptions!$O$4:$O$103,"LVN"))</f>
        <v/>
      </c>
      <c r="M135" s="23" t="n"/>
      <c r="N135" s="25">
        <f>IF(AND(IF($H140&lt;&gt;"",$H140,$H135)="override",$M135&lt;&gt;""),$M135,SUMIFS(Assumptions!$P$4:$P$103,Assumptions!$M$4:$M$103,$C135,Assumptions!$N$4:$N$103,$E135,Assumptions!$O$4:$O$103,"HVN"))</f>
        <v/>
      </c>
      <c r="O135" s="25">
        <f>(L135+N135)*Assumptions!$S$11</f>
        <v/>
      </c>
      <c r="P135" s="26">
        <f>$F135*$J135*$O135</f>
        <v/>
      </c>
    </row>
    <row r="136">
      <c r="A136" s="11" t="inlineStr">
        <is>
          <t>UNIT</t>
        </is>
      </c>
      <c r="B136" s="18" t="inlineStr">
        <is>
          <t>CITGO_LEMONT</t>
        </is>
      </c>
      <c r="C136" s="18" t="n">
        <v>2</v>
      </c>
      <c r="D136" s="18" t="inlineStr">
        <is>
          <t>COKER</t>
        </is>
      </c>
      <c r="E136" s="18" t="inlineStr">
        <is>
          <t>COKER</t>
        </is>
      </c>
      <c r="F136" s="19" t="n">
        <v>41.15</v>
      </c>
      <c r="G136" s="21">
        <f>IFERROR(IF(INDEX(Effective!$E$3:$R$125,MATCH($B136,Effective!$A$3:$A$125,0),MATCH($D136,Effective!$E$2:$R$2,0))=0,"",INDEX(Effective!$E$3:$R$125,MATCH($B136,Effective!$A$3:$A$125,0),MATCH($D136,Effective!$E$2:$R$2,0))),"")</f>
        <v/>
      </c>
      <c r="H136" s="22" t="inlineStr">
        <is>
          <t>override</t>
        </is>
      </c>
      <c r="I136" s="23" t="n">
        <v>0.99</v>
      </c>
      <c r="J136" s="24">
        <f>IF(AND(IF($H140&lt;&gt;"",$H140,$H136)="override",$I136&lt;&gt;""),$I136,SUMIFS(Assumptions!$K$4:$K$8,Assumptions!$J$4:$J$8,$C136))*Assumptions!$S$10</f>
        <v/>
      </c>
      <c r="K136" s="23" t="n"/>
      <c r="L136" s="25">
        <f>IF(AND(IF($H140&lt;&gt;"",$H140,$H136)="override",$K136&lt;&gt;""),$K136,SUMIFS(Assumptions!$P$4:$P$103,Assumptions!$M$4:$M$103,$C136,Assumptions!$N$4:$N$103,$E136,Assumptions!$O$4:$O$103,"LVN"))</f>
        <v/>
      </c>
      <c r="M136" s="23" t="n"/>
      <c r="N136" s="25">
        <f>IF(AND(IF($H140&lt;&gt;"",$H140,$H136)="override",$M136&lt;&gt;""),$M136,SUMIFS(Assumptions!$P$4:$P$103,Assumptions!$M$4:$M$103,$C136,Assumptions!$N$4:$N$103,$E136,Assumptions!$O$4:$O$103,"HVN"))</f>
        <v/>
      </c>
      <c r="O136" s="25">
        <f>(L136+N136)*Assumptions!$S$11</f>
        <v/>
      </c>
      <c r="P136" s="26">
        <f>$F136*$J136*$O136</f>
        <v/>
      </c>
    </row>
    <row r="137">
      <c r="A137" s="11" t="inlineStr">
        <is>
          <t>UNIT</t>
        </is>
      </c>
      <c r="B137" s="18" t="inlineStr">
        <is>
          <t>CITGO_LEMONT</t>
        </is>
      </c>
      <c r="C137" s="18" t="n">
        <v>2</v>
      </c>
      <c r="D137" s="18" t="inlineStr">
        <is>
          <t>REF</t>
        </is>
      </c>
      <c r="E137" s="18" t="inlineStr">
        <is>
          <t>REFORMER</t>
        </is>
      </c>
      <c r="F137" s="19" t="n">
        <v>35.8</v>
      </c>
      <c r="G137" s="21">
        <f>IFERROR(IF(INDEX(Effective!$E$3:$R$125,MATCH($B137,Effective!$A$3:$A$125,0),MATCH($D137,Effective!$E$2:$R$2,0))=0,"",INDEX(Effective!$E$3:$R$125,MATCH($B137,Effective!$A$3:$A$125,0),MATCH($D137,Effective!$E$2:$R$2,0))),"")</f>
        <v/>
      </c>
      <c r="H137" s="22" t="inlineStr">
        <is>
          <t>override</t>
        </is>
      </c>
      <c r="I137" s="23" t="n"/>
      <c r="J137" s="24">
        <f>IF(AND(IF($H140&lt;&gt;"",$H140,$H137)="override",$I137&lt;&gt;""),$I137,SUMIFS(Assumptions!$K$4:$K$8,Assumptions!$J$4:$J$8,$C137))*Assumptions!$S$10</f>
        <v/>
      </c>
      <c r="K137" s="23" t="n"/>
      <c r="L137" s="25">
        <f>IF(AND(IF($H140&lt;&gt;"",$H140,$H137)="override",$K137&lt;&gt;""),$K137,SUMIFS(Assumptions!$P$4:$P$103,Assumptions!$M$4:$M$103,$C137,Assumptions!$N$4:$N$103,$E137,Assumptions!$O$4:$O$103,"LVN"))</f>
        <v/>
      </c>
      <c r="M137" s="23" t="n"/>
      <c r="N137" s="25">
        <f>IF(AND(IF($H140&lt;&gt;"",$H140,$H137)="override",$M137&lt;&gt;""),$M137,SUMIFS(Assumptions!$P$4:$P$103,Assumptions!$M$4:$M$103,$C137,Assumptions!$N$4:$N$103,$E137,Assumptions!$O$4:$O$103,"HVN"))</f>
        <v/>
      </c>
      <c r="O137" s="25">
        <f>(L137+N137)*Assumptions!$S$11</f>
        <v/>
      </c>
      <c r="P137" s="26">
        <f>$F137*$J137*$O137</f>
        <v/>
      </c>
    </row>
    <row r="138">
      <c r="A138" s="11" t="inlineStr">
        <is>
          <t>UNIT</t>
        </is>
      </c>
      <c r="B138" s="18" t="inlineStr">
        <is>
          <t>CITGO_LEMONT</t>
        </is>
      </c>
      <c r="C138" s="18" t="n">
        <v>2</v>
      </c>
      <c r="D138" s="18" t="inlineStr">
        <is>
          <t>ALKY</t>
        </is>
      </c>
      <c r="E138" s="18" t="inlineStr">
        <is>
          <t>ALKY</t>
        </is>
      </c>
      <c r="F138" s="19" t="n">
        <v>23</v>
      </c>
      <c r="G138" s="21">
        <f>IFERROR(IF(INDEX(Effective!$E$3:$R$125,MATCH($B138,Effective!$A$3:$A$125,0),MATCH($D138,Effective!$E$2:$R$2,0))=0,"",INDEX(Effective!$E$3:$R$125,MATCH($B138,Effective!$A$3:$A$125,0),MATCH($D138,Effective!$E$2:$R$2,0))),"")</f>
        <v/>
      </c>
      <c r="H138" s="22" t="inlineStr">
        <is>
          <t>override</t>
        </is>
      </c>
      <c r="I138" s="23" t="n">
        <v>1.099</v>
      </c>
      <c r="J138" s="24">
        <f>IF(AND(IF($H140&lt;&gt;"",$H140,$H138)="override",$I138&lt;&gt;""),$I138,SUMIFS(Assumptions!$K$4:$K$8,Assumptions!$J$4:$J$8,$C138))*Assumptions!$S$10</f>
        <v/>
      </c>
      <c r="K138" s="23" t="n"/>
      <c r="L138" s="25">
        <f>IF(AND(IF($H140&lt;&gt;"",$H140,$H138)="override",$K138&lt;&gt;""),$K138,SUMIFS(Assumptions!$P$4:$P$103,Assumptions!$M$4:$M$103,$C138,Assumptions!$N$4:$N$103,$E138,Assumptions!$O$4:$O$103,"LVN"))</f>
        <v/>
      </c>
      <c r="M138" s="23" t="n"/>
      <c r="N138" s="25">
        <f>IF(AND(IF($H140&lt;&gt;"",$H140,$H138)="override",$M138&lt;&gt;""),$M138,SUMIFS(Assumptions!$P$4:$P$103,Assumptions!$M$4:$M$103,$C138,Assumptions!$N$4:$N$103,$E138,Assumptions!$O$4:$O$103,"HVN"))</f>
        <v/>
      </c>
      <c r="O138" s="25">
        <f>(L138+N138)*Assumptions!$S$11</f>
        <v/>
      </c>
      <c r="P138" s="26">
        <f>$F138*$J138*$O138</f>
        <v/>
      </c>
    </row>
    <row r="139">
      <c r="A139" s="11" t="inlineStr">
        <is>
          <t>UNIT</t>
        </is>
      </c>
      <c r="B139" s="18" t="inlineStr">
        <is>
          <t>CITGO_LEMONT</t>
        </is>
      </c>
      <c r="C139" s="18" t="n">
        <v>2</v>
      </c>
      <c r="D139" s="18" t="inlineStr">
        <is>
          <t>NHT</t>
        </is>
      </c>
      <c r="E139" s="18" t="inlineStr">
        <is>
          <t>NHT</t>
        </is>
      </c>
      <c r="F139" s="19" t="n">
        <v>111.3</v>
      </c>
      <c r="G139" s="21">
        <f>IFERROR(IF(INDEX(Effective!$E$3:$R$125,MATCH($B139,Effective!$A$3:$A$125,0),MATCH($D139,Effective!$E$2:$R$2,0))=0,"",INDEX(Effective!$E$3:$R$125,MATCH($B139,Effective!$A$3:$A$125,0),MATCH($D139,Effective!$E$2:$R$2,0))),"")</f>
        <v/>
      </c>
      <c r="H139" s="22" t="inlineStr">
        <is>
          <t>override</t>
        </is>
      </c>
      <c r="I139" s="23" t="n">
        <v>0.855</v>
      </c>
      <c r="J139" s="24">
        <f>IF(AND(IF($H140&lt;&gt;"",$H140,$H139)="override",$I139&lt;&gt;""),$I139,SUMIFS(Assumptions!$K$4:$K$8,Assumptions!$J$4:$J$8,$C139))*Assumptions!$S$10</f>
        <v/>
      </c>
      <c r="K139" s="23" t="n"/>
      <c r="L139" s="25">
        <f>IF(AND(IF($H140&lt;&gt;"",$H140,$H139)="override",$K139&lt;&gt;""),$K139,SUMIFS(Assumptions!$P$4:$P$103,Assumptions!$M$4:$M$103,$C139,Assumptions!$N$4:$N$103,$E139,Assumptions!$O$4:$O$103,"LVN"))</f>
        <v/>
      </c>
      <c r="M139" s="23" t="n"/>
      <c r="N139" s="25">
        <f>IF(AND(IF($H140&lt;&gt;"",$H140,$H139)="override",$M139&lt;&gt;""),$M139,SUMIFS(Assumptions!$P$4:$P$103,Assumptions!$M$4:$M$103,$C139,Assumptions!$N$4:$N$103,$E139,Assumptions!$O$4:$O$103,"HVN"))</f>
        <v/>
      </c>
      <c r="O139" s="25">
        <f>(L139+N139)*Assumptions!$S$11</f>
        <v/>
      </c>
      <c r="P139" s="26">
        <f>$F139*$J139*$O139</f>
        <v/>
      </c>
    </row>
    <row r="140">
      <c r="A140" s="27" t="inlineStr">
        <is>
          <t>TOTAL</t>
        </is>
      </c>
      <c r="B140" s="28" t="inlineStr">
        <is>
          <t>CITGO_LEMONT</t>
        </is>
      </c>
      <c r="C140" s="28" t="n">
        <v>2</v>
      </c>
      <c r="D140" s="28" t="inlineStr">
        <is>
          <t>NET NAPHTHA</t>
        </is>
      </c>
      <c r="H140" s="22" t="n"/>
      <c r="P140" s="29">
        <f>SUM(P133:P139)</f>
        <v/>
      </c>
    </row>
    <row r="142" ht="20" customHeight="1">
      <c r="A142" s="8">
        <f>"  Cenovus Lima  [CENOVUS_LIMA]   —   Cenovus   —   PADD 2   —   crude "&amp;TEXT(SUMIFS(Data!$G$3:$G$125,Data!$A$3:$A$125,"CENOVUS_LIMA"),"#,##0")&amp;" kbd"</f>
        <v/>
      </c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</row>
    <row r="143">
      <c r="A143" s="11" t="inlineStr">
        <is>
          <t>UNIT</t>
        </is>
      </c>
      <c r="B143" s="18" t="inlineStr">
        <is>
          <t>CENOVUS_LIMA</t>
        </is>
      </c>
      <c r="C143" s="18" t="n">
        <v>2</v>
      </c>
      <c r="D143" s="18" t="inlineStr">
        <is>
          <t>CDU</t>
        </is>
      </c>
      <c r="E143" s="18" t="inlineStr">
        <is>
          <t>CDU</t>
        </is>
      </c>
      <c r="F143" s="19" t="n">
        <v>185</v>
      </c>
      <c r="G143" s="21">
        <f>IFERROR(IF(INDEX(Effective!$E$3:$R$125,MATCH($B143,Effective!$A$3:$A$125,0),MATCH($D143,Effective!$E$2:$R$2,0))=0,"",INDEX(Effective!$E$3:$R$125,MATCH($B143,Effective!$A$3:$A$125,0),MATCH($D143,Effective!$E$2:$R$2,0))),"")</f>
        <v/>
      </c>
      <c r="H143" s="22" t="inlineStr">
        <is>
          <t>override</t>
        </is>
      </c>
      <c r="I143" s="23" t="n">
        <v>0.824</v>
      </c>
      <c r="J143" s="24">
        <f>IF(AND(IF($H151&lt;&gt;"",$H151,$H143)="override",$I143&lt;&gt;""),$I143,SUMIFS(Assumptions!$K$4:$K$8,Assumptions!$J$4:$J$8,$C143))*Assumptions!$S$10</f>
        <v/>
      </c>
      <c r="K143" s="23" t="n"/>
      <c r="L143" s="25">
        <f>IF(AND(IF($H151&lt;&gt;"",$H151,$H143)="override",$K143&lt;&gt;""),$K143,SUMIFS(Assumptions!$P$4:$P$103,Assumptions!$M$4:$M$103,$C143,Assumptions!$N$4:$N$103,$E143,Assumptions!$O$4:$O$103,"LVN"))</f>
        <v/>
      </c>
      <c r="M143" s="23" t="n"/>
      <c r="N143" s="25">
        <f>IF(AND(IF($H151&lt;&gt;"",$H151,$H143)="override",$M143&lt;&gt;""),$M143,SUMIFS(Assumptions!$P$4:$P$103,Assumptions!$M$4:$M$103,$C143,Assumptions!$N$4:$N$103,$E143,Assumptions!$O$4:$O$103,"HVN"))</f>
        <v/>
      </c>
      <c r="O143" s="25">
        <f>(L143+N143)*Assumptions!$S$11</f>
        <v/>
      </c>
      <c r="P143" s="26">
        <f>$F143*$J143*$O143</f>
        <v/>
      </c>
    </row>
    <row r="144">
      <c r="A144" s="11" t="inlineStr">
        <is>
          <t>UNIT</t>
        </is>
      </c>
      <c r="B144" s="18" t="inlineStr">
        <is>
          <t>CENOVUS_LIMA</t>
        </is>
      </c>
      <c r="C144" s="18" t="n">
        <v>2</v>
      </c>
      <c r="D144" s="18" t="inlineStr">
        <is>
          <t>VDU</t>
        </is>
      </c>
      <c r="E144" s="18" t="inlineStr">
        <is>
          <t>VDU</t>
        </is>
      </c>
      <c r="F144" s="19" t="n">
        <v>57</v>
      </c>
      <c r="G144" s="21">
        <f>IFERROR(IF(INDEX(Effective!$E$3:$R$125,MATCH($B144,Effective!$A$3:$A$125,0),MATCH($D144,Effective!$E$2:$R$2,0))=0,"",INDEX(Effective!$E$3:$R$125,MATCH($B144,Effective!$A$3:$A$125,0),MATCH($D144,Effective!$E$2:$R$2,0))),"")</f>
        <v/>
      </c>
      <c r="H144" s="22" t="inlineStr">
        <is>
          <t>override</t>
        </is>
      </c>
      <c r="I144" s="23" t="n">
        <v>0.984</v>
      </c>
      <c r="J144" s="24">
        <f>IF(AND(IF($H151&lt;&gt;"",$H151,$H144)="override",$I144&lt;&gt;""),$I144,SUMIFS(Assumptions!$K$4:$K$8,Assumptions!$J$4:$J$8,$C144))*Assumptions!$S$10</f>
        <v/>
      </c>
      <c r="K144" s="23" t="n"/>
      <c r="L144" s="25">
        <f>IF(AND(IF($H151&lt;&gt;"",$H151,$H144)="override",$K144&lt;&gt;""),$K144,SUMIFS(Assumptions!$P$4:$P$103,Assumptions!$M$4:$M$103,$C144,Assumptions!$N$4:$N$103,$E144,Assumptions!$O$4:$O$103,"LVN"))</f>
        <v/>
      </c>
      <c r="M144" s="23" t="n"/>
      <c r="N144" s="25">
        <f>IF(AND(IF($H151&lt;&gt;"",$H151,$H144)="override",$M144&lt;&gt;""),$M144,SUMIFS(Assumptions!$P$4:$P$103,Assumptions!$M$4:$M$103,$C144,Assumptions!$N$4:$N$103,$E144,Assumptions!$O$4:$O$103,"HVN"))</f>
        <v/>
      </c>
      <c r="O144" s="25">
        <f>(L144+N144)*Assumptions!$S$11</f>
        <v/>
      </c>
      <c r="P144" s="26">
        <f>$F144*$J144*$O144</f>
        <v/>
      </c>
    </row>
    <row r="145">
      <c r="A145" s="11" t="inlineStr">
        <is>
          <t>UNIT</t>
        </is>
      </c>
      <c r="B145" s="18" t="inlineStr">
        <is>
          <t>CENOVUS_LIMA</t>
        </is>
      </c>
      <c r="C145" s="18" t="n">
        <v>2</v>
      </c>
      <c r="D145" s="18" t="inlineStr">
        <is>
          <t>FCC</t>
        </is>
      </c>
      <c r="E145" s="18" t="inlineStr">
        <is>
          <t>FCC</t>
        </is>
      </c>
      <c r="F145" s="19" t="n">
        <v>45.3</v>
      </c>
      <c r="G145" s="21">
        <f>IFERROR(IF(INDEX(Effective!$E$3:$R$125,MATCH($B145,Effective!$A$3:$A$125,0),MATCH($D145,Effective!$E$2:$R$2,0))=0,"",INDEX(Effective!$E$3:$R$125,MATCH($B145,Effective!$A$3:$A$125,0),MATCH($D145,Effective!$E$2:$R$2,0))),"")</f>
        <v/>
      </c>
      <c r="H145" s="22" t="inlineStr">
        <is>
          <t>override</t>
        </is>
      </c>
      <c r="I145" s="23" t="n">
        <v>0.726</v>
      </c>
      <c r="J145" s="24">
        <f>IF(AND(IF($H151&lt;&gt;"",$H151,$H145)="override",$I145&lt;&gt;""),$I145,SUMIFS(Assumptions!$K$4:$K$8,Assumptions!$J$4:$J$8,$C145))*Assumptions!$S$10</f>
        <v/>
      </c>
      <c r="K145" s="23" t="n"/>
      <c r="L145" s="25">
        <f>IF(AND(IF($H151&lt;&gt;"",$H151,$H145)="override",$K145&lt;&gt;""),$K145,SUMIFS(Assumptions!$P$4:$P$103,Assumptions!$M$4:$M$103,$C145,Assumptions!$N$4:$N$103,$E145,Assumptions!$O$4:$O$103,"LVN"))</f>
        <v/>
      </c>
      <c r="M145" s="23" t="n"/>
      <c r="N145" s="25">
        <f>IF(AND(IF($H151&lt;&gt;"",$H151,$H145)="override",$M145&lt;&gt;""),$M145,SUMIFS(Assumptions!$P$4:$P$103,Assumptions!$M$4:$M$103,$C145,Assumptions!$N$4:$N$103,$E145,Assumptions!$O$4:$O$103,"HVN"))</f>
        <v/>
      </c>
      <c r="O145" s="25">
        <f>(L145+N145)*Assumptions!$S$11</f>
        <v/>
      </c>
      <c r="P145" s="26">
        <f>$F145*$J145*$O145</f>
        <v/>
      </c>
    </row>
    <row r="146">
      <c r="A146" s="11" t="inlineStr">
        <is>
          <t>UNIT</t>
        </is>
      </c>
      <c r="B146" s="18" t="inlineStr">
        <is>
          <t>CENOVUS_LIMA</t>
        </is>
      </c>
      <c r="C146" s="18" t="n">
        <v>2</v>
      </c>
      <c r="D146" s="18" t="inlineStr">
        <is>
          <t>DHCU</t>
        </is>
      </c>
      <c r="E146" s="18" t="inlineStr">
        <is>
          <t>HYDROCRACKER</t>
        </is>
      </c>
      <c r="F146" s="19" t="n">
        <v>26</v>
      </c>
      <c r="G146" s="21">
        <f>IFERROR(IF(INDEX(Effective!$E$3:$R$125,MATCH($B146,Effective!$A$3:$A$125,0),MATCH($D146,Effective!$E$2:$R$2,0))=0,"",INDEX(Effective!$E$3:$R$125,MATCH($B146,Effective!$A$3:$A$125,0),MATCH($D146,Effective!$E$2:$R$2,0))),"")</f>
        <v/>
      </c>
      <c r="H146" s="22" t="inlineStr">
        <is>
          <t>override</t>
        </is>
      </c>
      <c r="I146" s="23" t="n">
        <v>1</v>
      </c>
      <c r="J146" s="24">
        <f>IF(AND(IF($H151&lt;&gt;"",$H151,$H146)="override",$I146&lt;&gt;""),$I146,SUMIFS(Assumptions!$K$4:$K$8,Assumptions!$J$4:$J$8,$C146))*Assumptions!$S$10</f>
        <v/>
      </c>
      <c r="K146" s="23" t="n"/>
      <c r="L146" s="25">
        <f>IF(AND(IF($H151&lt;&gt;"",$H151,$H146)="override",$K146&lt;&gt;""),$K146,SUMIFS(Assumptions!$P$4:$P$103,Assumptions!$M$4:$M$103,$C146,Assumptions!$N$4:$N$103,$E146,Assumptions!$O$4:$O$103,"LVN"))</f>
        <v/>
      </c>
      <c r="M146" s="23" t="n"/>
      <c r="N146" s="25">
        <f>IF(AND(IF($H151&lt;&gt;"",$H151,$H146)="override",$M146&lt;&gt;""),$M146,SUMIFS(Assumptions!$P$4:$P$103,Assumptions!$M$4:$M$103,$C146,Assumptions!$N$4:$N$103,$E146,Assumptions!$O$4:$O$103,"HVN"))</f>
        <v/>
      </c>
      <c r="O146" s="25">
        <f>(L146+N146)*Assumptions!$S$11</f>
        <v/>
      </c>
      <c r="P146" s="26">
        <f>$F146*$J146*$O146</f>
        <v/>
      </c>
    </row>
    <row r="147">
      <c r="A147" s="11" t="inlineStr">
        <is>
          <t>UNIT</t>
        </is>
      </c>
      <c r="B147" s="18" t="inlineStr">
        <is>
          <t>CENOVUS_LIMA</t>
        </is>
      </c>
      <c r="C147" s="18" t="n">
        <v>2</v>
      </c>
      <c r="D147" s="18" t="inlineStr">
        <is>
          <t>COKER</t>
        </is>
      </c>
      <c r="E147" s="18" t="inlineStr">
        <is>
          <t>COKER</t>
        </is>
      </c>
      <c r="F147" s="19" t="n">
        <v>23</v>
      </c>
      <c r="G147" s="21">
        <f>IFERROR(IF(INDEX(Effective!$E$3:$R$125,MATCH($B147,Effective!$A$3:$A$125,0),MATCH($D147,Effective!$E$2:$R$2,0))=0,"",INDEX(Effective!$E$3:$R$125,MATCH($B147,Effective!$A$3:$A$125,0),MATCH($D147,Effective!$E$2:$R$2,0))),"")</f>
        <v/>
      </c>
      <c r="H147" s="22" t="inlineStr">
        <is>
          <t>override</t>
        </is>
      </c>
      <c r="I147" s="23" t="n">
        <v>0.6850000000000001</v>
      </c>
      <c r="J147" s="24">
        <f>IF(AND(IF($H151&lt;&gt;"",$H151,$H147)="override",$I147&lt;&gt;""),$I147,SUMIFS(Assumptions!$K$4:$K$8,Assumptions!$J$4:$J$8,$C147))*Assumptions!$S$10</f>
        <v/>
      </c>
      <c r="K147" s="23" t="n"/>
      <c r="L147" s="25">
        <f>IF(AND(IF($H151&lt;&gt;"",$H151,$H147)="override",$K147&lt;&gt;""),$K147,SUMIFS(Assumptions!$P$4:$P$103,Assumptions!$M$4:$M$103,$C147,Assumptions!$N$4:$N$103,$E147,Assumptions!$O$4:$O$103,"LVN"))</f>
        <v/>
      </c>
      <c r="M147" s="23" t="n"/>
      <c r="N147" s="25">
        <f>IF(AND(IF($H151&lt;&gt;"",$H151,$H147)="override",$M147&lt;&gt;""),$M147,SUMIFS(Assumptions!$P$4:$P$103,Assumptions!$M$4:$M$103,$C147,Assumptions!$N$4:$N$103,$E147,Assumptions!$O$4:$O$103,"HVN"))</f>
        <v/>
      </c>
      <c r="O147" s="25">
        <f>(L147+N147)*Assumptions!$S$11</f>
        <v/>
      </c>
      <c r="P147" s="26">
        <f>$F147*$J147*$O147</f>
        <v/>
      </c>
    </row>
    <row r="148">
      <c r="A148" s="11" t="inlineStr">
        <is>
          <t>UNIT</t>
        </is>
      </c>
      <c r="B148" s="18" t="inlineStr">
        <is>
          <t>CENOVUS_LIMA</t>
        </is>
      </c>
      <c r="C148" s="18" t="n">
        <v>2</v>
      </c>
      <c r="D148" s="18" t="inlineStr">
        <is>
          <t>REF</t>
        </is>
      </c>
      <c r="E148" s="18" t="inlineStr">
        <is>
          <t>REFORMER</t>
        </is>
      </c>
      <c r="F148" s="19" t="n">
        <v>55</v>
      </c>
      <c r="G148" s="21">
        <f>IFERROR(IF(INDEX(Effective!$E$3:$R$125,MATCH($B148,Effective!$A$3:$A$125,0),MATCH($D148,Effective!$E$2:$R$2,0))=0,"",INDEX(Effective!$E$3:$R$125,MATCH($B148,Effective!$A$3:$A$125,0),MATCH($D148,Effective!$E$2:$R$2,0))),"")</f>
        <v/>
      </c>
      <c r="H148" s="22" t="inlineStr">
        <is>
          <t>override</t>
        </is>
      </c>
      <c r="I148" s="23" t="n"/>
      <c r="J148" s="24">
        <f>IF(AND(IF($H151&lt;&gt;"",$H151,$H148)="override",$I148&lt;&gt;""),$I148,SUMIFS(Assumptions!$K$4:$K$8,Assumptions!$J$4:$J$8,$C148))*Assumptions!$S$10</f>
        <v/>
      </c>
      <c r="K148" s="23" t="n"/>
      <c r="L148" s="25">
        <f>IF(AND(IF($H151&lt;&gt;"",$H151,$H148)="override",$K148&lt;&gt;""),$K148,SUMIFS(Assumptions!$P$4:$P$103,Assumptions!$M$4:$M$103,$C148,Assumptions!$N$4:$N$103,$E148,Assumptions!$O$4:$O$103,"LVN"))</f>
        <v/>
      </c>
      <c r="M148" s="23" t="n"/>
      <c r="N148" s="25">
        <f>IF(AND(IF($H151&lt;&gt;"",$H151,$H148)="override",$M148&lt;&gt;""),$M148,SUMIFS(Assumptions!$P$4:$P$103,Assumptions!$M$4:$M$103,$C148,Assumptions!$N$4:$N$103,$E148,Assumptions!$O$4:$O$103,"HVN"))</f>
        <v/>
      </c>
      <c r="O148" s="25">
        <f>(L148+N148)*Assumptions!$S$11</f>
        <v/>
      </c>
      <c r="P148" s="26">
        <f>$F148*$J148*$O148</f>
        <v/>
      </c>
    </row>
    <row r="149">
      <c r="A149" s="11" t="inlineStr">
        <is>
          <t>UNIT</t>
        </is>
      </c>
      <c r="B149" s="18" t="inlineStr">
        <is>
          <t>CENOVUS_LIMA</t>
        </is>
      </c>
      <c r="C149" s="18" t="n">
        <v>2</v>
      </c>
      <c r="D149" s="18" t="inlineStr">
        <is>
          <t>ISOM</t>
        </is>
      </c>
      <c r="E149" s="18" t="inlineStr">
        <is>
          <t>ISOM</t>
        </is>
      </c>
      <c r="F149" s="19" t="n">
        <v>18.7</v>
      </c>
      <c r="G149" s="21">
        <f>IFERROR(IF(INDEX(Effective!$E$3:$R$125,MATCH($B149,Effective!$A$3:$A$125,0),MATCH($D149,Effective!$E$2:$R$2,0))=0,"",INDEX(Effective!$E$3:$R$125,MATCH($B149,Effective!$A$3:$A$125,0),MATCH($D149,Effective!$E$2:$R$2,0))),"")</f>
        <v/>
      </c>
      <c r="H149" s="22" t="inlineStr">
        <is>
          <t>override</t>
        </is>
      </c>
      <c r="I149" s="23" t="n">
        <v>0.888</v>
      </c>
      <c r="J149" s="24">
        <f>IF(AND(IF($H151&lt;&gt;"",$H151,$H149)="override",$I149&lt;&gt;""),$I149,SUMIFS(Assumptions!$K$4:$K$8,Assumptions!$J$4:$J$8,$C149))*Assumptions!$S$10</f>
        <v/>
      </c>
      <c r="K149" s="23" t="n"/>
      <c r="L149" s="25">
        <f>IF(AND(IF($H151&lt;&gt;"",$H151,$H149)="override",$K149&lt;&gt;""),$K149,SUMIFS(Assumptions!$P$4:$P$103,Assumptions!$M$4:$M$103,$C149,Assumptions!$N$4:$N$103,$E149,Assumptions!$O$4:$O$103,"LVN"))</f>
        <v/>
      </c>
      <c r="M149" s="23" t="n"/>
      <c r="N149" s="25">
        <f>IF(AND(IF($H151&lt;&gt;"",$H151,$H149)="override",$M149&lt;&gt;""),$M149,SUMIFS(Assumptions!$P$4:$P$103,Assumptions!$M$4:$M$103,$C149,Assumptions!$N$4:$N$103,$E149,Assumptions!$O$4:$O$103,"HVN"))</f>
        <v/>
      </c>
      <c r="O149" s="25">
        <f>(L149+N149)*Assumptions!$S$11</f>
        <v/>
      </c>
      <c r="P149" s="26">
        <f>$F149*$J149*$O149</f>
        <v/>
      </c>
    </row>
    <row r="150">
      <c r="A150" s="11" t="inlineStr">
        <is>
          <t>UNIT</t>
        </is>
      </c>
      <c r="B150" s="18" t="inlineStr">
        <is>
          <t>CENOVUS_LIMA</t>
        </is>
      </c>
      <c r="C150" s="18" t="n">
        <v>2</v>
      </c>
      <c r="D150" s="18" t="inlineStr">
        <is>
          <t>NHT</t>
        </is>
      </c>
      <c r="E150" s="18" t="inlineStr">
        <is>
          <t>NHT</t>
        </is>
      </c>
      <c r="F150" s="19" t="n">
        <v>63</v>
      </c>
      <c r="G150" s="21">
        <f>IFERROR(IF(INDEX(Effective!$E$3:$R$125,MATCH($B150,Effective!$A$3:$A$125,0),MATCH($D150,Effective!$E$2:$R$2,0))=0,"",INDEX(Effective!$E$3:$R$125,MATCH($B150,Effective!$A$3:$A$125,0),MATCH($D150,Effective!$E$2:$R$2,0))),"")</f>
        <v/>
      </c>
      <c r="H150" s="22" t="inlineStr">
        <is>
          <t>override</t>
        </is>
      </c>
      <c r="I150" s="23" t="n">
        <v>0.772</v>
      </c>
      <c r="J150" s="24">
        <f>IF(AND(IF($H151&lt;&gt;"",$H151,$H150)="override",$I150&lt;&gt;""),$I150,SUMIFS(Assumptions!$K$4:$K$8,Assumptions!$J$4:$J$8,$C150))*Assumptions!$S$10</f>
        <v/>
      </c>
      <c r="K150" s="23" t="n"/>
      <c r="L150" s="25">
        <f>IF(AND(IF($H151&lt;&gt;"",$H151,$H150)="override",$K150&lt;&gt;""),$K150,SUMIFS(Assumptions!$P$4:$P$103,Assumptions!$M$4:$M$103,$C150,Assumptions!$N$4:$N$103,$E150,Assumptions!$O$4:$O$103,"LVN"))</f>
        <v/>
      </c>
      <c r="M150" s="23" t="n"/>
      <c r="N150" s="25">
        <f>IF(AND(IF($H151&lt;&gt;"",$H151,$H150)="override",$M150&lt;&gt;""),$M150,SUMIFS(Assumptions!$P$4:$P$103,Assumptions!$M$4:$M$103,$C150,Assumptions!$N$4:$N$103,$E150,Assumptions!$O$4:$O$103,"HVN"))</f>
        <v/>
      </c>
      <c r="O150" s="25">
        <f>(L150+N150)*Assumptions!$S$11</f>
        <v/>
      </c>
      <c r="P150" s="26">
        <f>$F150*$J150*$O150</f>
        <v/>
      </c>
    </row>
    <row r="151">
      <c r="A151" s="27" t="inlineStr">
        <is>
          <t>TOTAL</t>
        </is>
      </c>
      <c r="B151" s="28" t="inlineStr">
        <is>
          <t>CENOVUS_LIMA</t>
        </is>
      </c>
      <c r="C151" s="28" t="n">
        <v>2</v>
      </c>
      <c r="D151" s="28" t="inlineStr">
        <is>
          <t>NET NAPHTHA</t>
        </is>
      </c>
      <c r="H151" s="22" t="n"/>
      <c r="P151" s="29">
        <f>SUM(P143:P150)</f>
        <v/>
      </c>
    </row>
    <row r="153" ht="20" customHeight="1">
      <c r="A153" s="8">
        <f>"  PBF Energy Company LLC Toledo  [PBF_TOLEDO]   —   PBF Energy Company LLC   —   PADD 2   —   crude "&amp;TEXT(SUMIFS(Data!$G$3:$G$125,Data!$A$3:$A$125,"PBF_TOLEDO"),"#,##0")&amp;" kbd"</f>
        <v/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</row>
    <row r="154">
      <c r="A154" s="11" t="inlineStr">
        <is>
          <t>UNIT</t>
        </is>
      </c>
      <c r="B154" s="18" t="inlineStr">
        <is>
          <t>PBF_TOLEDO</t>
        </is>
      </c>
      <c r="C154" s="18" t="n">
        <v>2</v>
      </c>
      <c r="D154" s="18" t="inlineStr">
        <is>
          <t>CDU</t>
        </is>
      </c>
      <c r="E154" s="18" t="inlineStr">
        <is>
          <t>CDU</t>
        </is>
      </c>
      <c r="F154" s="19" t="n">
        <v>180</v>
      </c>
      <c r="G154" s="21">
        <f>IFERROR(IF(INDEX(Effective!$E$3:$R$125,MATCH($B154,Effective!$A$3:$A$125,0),MATCH($D154,Effective!$E$2:$R$2,0))=0,"",INDEX(Effective!$E$3:$R$125,MATCH($B154,Effective!$A$3:$A$125,0),MATCH($D154,Effective!$E$2:$R$2,0))),"")</f>
        <v/>
      </c>
      <c r="H154" s="22" t="inlineStr">
        <is>
          <t>override</t>
        </is>
      </c>
      <c r="I154" s="23" t="n">
        <v>0.782</v>
      </c>
      <c r="J154" s="24">
        <f>IF(AND(IF($H160&lt;&gt;"",$H160,$H154)="override",$I154&lt;&gt;""),$I154,SUMIFS(Assumptions!$K$4:$K$8,Assumptions!$J$4:$J$8,$C154))*Assumptions!$S$10</f>
        <v/>
      </c>
      <c r="K154" s="23" t="n"/>
      <c r="L154" s="25">
        <f>IF(AND(IF($H160&lt;&gt;"",$H160,$H154)="override",$K154&lt;&gt;""),$K154,SUMIFS(Assumptions!$P$4:$P$103,Assumptions!$M$4:$M$103,$C154,Assumptions!$N$4:$N$103,$E154,Assumptions!$O$4:$O$103,"LVN"))</f>
        <v/>
      </c>
      <c r="M154" s="23" t="n"/>
      <c r="N154" s="25">
        <f>IF(AND(IF($H160&lt;&gt;"",$H160,$H154)="override",$M154&lt;&gt;""),$M154,SUMIFS(Assumptions!$P$4:$P$103,Assumptions!$M$4:$M$103,$C154,Assumptions!$N$4:$N$103,$E154,Assumptions!$O$4:$O$103,"HVN"))</f>
        <v/>
      </c>
      <c r="O154" s="25">
        <f>(L154+N154)*Assumptions!$S$11</f>
        <v/>
      </c>
      <c r="P154" s="26">
        <f>$F154*$J154*$O154</f>
        <v/>
      </c>
    </row>
    <row r="155">
      <c r="A155" s="11" t="inlineStr">
        <is>
          <t>UNIT</t>
        </is>
      </c>
      <c r="B155" s="18" t="inlineStr">
        <is>
          <t>PBF_TOLEDO</t>
        </is>
      </c>
      <c r="C155" s="18" t="n">
        <v>2</v>
      </c>
      <c r="D155" s="18" t="inlineStr">
        <is>
          <t>RCC</t>
        </is>
      </c>
      <c r="E155" s="18" t="inlineStr">
        <is>
          <t>FCC</t>
        </is>
      </c>
      <c r="F155" s="19" t="n">
        <v>82</v>
      </c>
      <c r="G155" s="21">
        <f>IFERROR(IF(INDEX(Effective!$E$3:$R$125,MATCH($B155,Effective!$A$3:$A$125,0),MATCH($D155,Effective!$E$2:$R$2,0))=0,"",INDEX(Effective!$E$3:$R$125,MATCH($B155,Effective!$A$3:$A$125,0),MATCH($D155,Effective!$E$2:$R$2,0))),"")</f>
        <v/>
      </c>
      <c r="H155" s="22" t="inlineStr">
        <is>
          <t>override</t>
        </is>
      </c>
      <c r="I155" s="23" t="n">
        <v>0.717</v>
      </c>
      <c r="J155" s="24">
        <f>IF(AND(IF($H160&lt;&gt;"",$H160,$H155)="override",$I155&lt;&gt;""),$I155,SUMIFS(Assumptions!$K$4:$K$8,Assumptions!$J$4:$J$8,$C155))*Assumptions!$S$10</f>
        <v/>
      </c>
      <c r="K155" s="23" t="n"/>
      <c r="L155" s="25">
        <f>IF(AND(IF($H160&lt;&gt;"",$H160,$H155)="override",$K155&lt;&gt;""),$K155,SUMIFS(Assumptions!$P$4:$P$103,Assumptions!$M$4:$M$103,$C155,Assumptions!$N$4:$N$103,$E155,Assumptions!$O$4:$O$103,"LVN"))</f>
        <v/>
      </c>
      <c r="M155" s="23" t="n"/>
      <c r="N155" s="25">
        <f>IF(AND(IF($H160&lt;&gt;"",$H160,$H155)="override",$M155&lt;&gt;""),$M155,SUMIFS(Assumptions!$P$4:$P$103,Assumptions!$M$4:$M$103,$C155,Assumptions!$N$4:$N$103,$E155,Assumptions!$O$4:$O$103,"HVN"))</f>
        <v/>
      </c>
      <c r="O155" s="25">
        <f>(L155+N155)*Assumptions!$S$11</f>
        <v/>
      </c>
      <c r="P155" s="26">
        <f>$F155*$J155*$O155</f>
        <v/>
      </c>
    </row>
    <row r="156">
      <c r="A156" s="11" t="inlineStr">
        <is>
          <t>UNIT</t>
        </is>
      </c>
      <c r="B156" s="18" t="inlineStr">
        <is>
          <t>PBF_TOLEDO</t>
        </is>
      </c>
      <c r="C156" s="18" t="n">
        <v>2</v>
      </c>
      <c r="D156" s="18" t="inlineStr">
        <is>
          <t>DHCU</t>
        </is>
      </c>
      <c r="E156" s="18" t="inlineStr">
        <is>
          <t>HYDROCRACKER</t>
        </is>
      </c>
      <c r="F156" s="19" t="n">
        <v>52</v>
      </c>
      <c r="G156" s="21">
        <f>IFERROR(IF(INDEX(Effective!$E$3:$R$125,MATCH($B156,Effective!$A$3:$A$125,0),MATCH($D156,Effective!$E$2:$R$2,0))=0,"",INDEX(Effective!$E$3:$R$125,MATCH($B156,Effective!$A$3:$A$125,0),MATCH($D156,Effective!$E$2:$R$2,0))),"")</f>
        <v/>
      </c>
      <c r="H156" s="22" t="inlineStr">
        <is>
          <t>override</t>
        </is>
      </c>
      <c r="I156" s="23" t="n">
        <v>0.864</v>
      </c>
      <c r="J156" s="24">
        <f>IF(AND(IF($H160&lt;&gt;"",$H160,$H156)="override",$I156&lt;&gt;""),$I156,SUMIFS(Assumptions!$K$4:$K$8,Assumptions!$J$4:$J$8,$C156))*Assumptions!$S$10</f>
        <v/>
      </c>
      <c r="K156" s="23" t="n"/>
      <c r="L156" s="25">
        <f>IF(AND(IF($H160&lt;&gt;"",$H160,$H156)="override",$K156&lt;&gt;""),$K156,SUMIFS(Assumptions!$P$4:$P$103,Assumptions!$M$4:$M$103,$C156,Assumptions!$N$4:$N$103,$E156,Assumptions!$O$4:$O$103,"LVN"))</f>
        <v/>
      </c>
      <c r="M156" s="23" t="n"/>
      <c r="N156" s="25">
        <f>IF(AND(IF($H160&lt;&gt;"",$H160,$H156)="override",$M156&lt;&gt;""),$M156,SUMIFS(Assumptions!$P$4:$P$103,Assumptions!$M$4:$M$103,$C156,Assumptions!$N$4:$N$103,$E156,Assumptions!$O$4:$O$103,"HVN"))</f>
        <v/>
      </c>
      <c r="O156" s="25">
        <f>(L156+N156)*Assumptions!$S$11</f>
        <v/>
      </c>
      <c r="P156" s="26">
        <f>$F156*$J156*$O156</f>
        <v/>
      </c>
    </row>
    <row r="157">
      <c r="A157" s="11" t="inlineStr">
        <is>
          <t>UNIT</t>
        </is>
      </c>
      <c r="B157" s="18" t="inlineStr">
        <is>
          <t>PBF_TOLEDO</t>
        </is>
      </c>
      <c r="C157" s="18" t="n">
        <v>2</v>
      </c>
      <c r="D157" s="18" t="inlineStr">
        <is>
          <t>REF</t>
        </is>
      </c>
      <c r="E157" s="18" t="inlineStr">
        <is>
          <t>REFORMER</t>
        </is>
      </c>
      <c r="F157" s="19" t="n">
        <v>51.8</v>
      </c>
      <c r="G157" s="21">
        <f>IFERROR(IF(INDEX(Effective!$E$3:$R$125,MATCH($B157,Effective!$A$3:$A$125,0),MATCH($D157,Effective!$E$2:$R$2,0))=0,"",INDEX(Effective!$E$3:$R$125,MATCH($B157,Effective!$A$3:$A$125,0),MATCH($D157,Effective!$E$2:$R$2,0))),"")</f>
        <v/>
      </c>
      <c r="H157" s="22" t="inlineStr">
        <is>
          <t>override</t>
        </is>
      </c>
      <c r="I157" s="23" t="n"/>
      <c r="J157" s="24">
        <f>IF(AND(IF($H160&lt;&gt;"",$H160,$H157)="override",$I157&lt;&gt;""),$I157,SUMIFS(Assumptions!$K$4:$K$8,Assumptions!$J$4:$J$8,$C157))*Assumptions!$S$10</f>
        <v/>
      </c>
      <c r="K157" s="23" t="n"/>
      <c r="L157" s="25">
        <f>IF(AND(IF($H160&lt;&gt;"",$H160,$H157)="override",$K157&lt;&gt;""),$K157,SUMIFS(Assumptions!$P$4:$P$103,Assumptions!$M$4:$M$103,$C157,Assumptions!$N$4:$N$103,$E157,Assumptions!$O$4:$O$103,"LVN"))</f>
        <v/>
      </c>
      <c r="M157" s="23" t="n"/>
      <c r="N157" s="25">
        <f>IF(AND(IF($H160&lt;&gt;"",$H160,$H157)="override",$M157&lt;&gt;""),$M157,SUMIFS(Assumptions!$P$4:$P$103,Assumptions!$M$4:$M$103,$C157,Assumptions!$N$4:$N$103,$E157,Assumptions!$O$4:$O$103,"HVN"))</f>
        <v/>
      </c>
      <c r="O157" s="25">
        <f>(L157+N157)*Assumptions!$S$11</f>
        <v/>
      </c>
      <c r="P157" s="26">
        <f>$F157*$J157*$O157</f>
        <v/>
      </c>
    </row>
    <row r="158">
      <c r="A158" s="11" t="inlineStr">
        <is>
          <t>UNIT</t>
        </is>
      </c>
      <c r="B158" s="18" t="inlineStr">
        <is>
          <t>PBF_TOLEDO</t>
        </is>
      </c>
      <c r="C158" s="18" t="n">
        <v>2</v>
      </c>
      <c r="D158" s="18" t="inlineStr">
        <is>
          <t>ALKY</t>
        </is>
      </c>
      <c r="E158" s="18" t="inlineStr">
        <is>
          <t>ALKY</t>
        </is>
      </c>
      <c r="F158" s="19" t="n">
        <v>9.949999999999999</v>
      </c>
      <c r="G158" s="21">
        <f>IFERROR(IF(INDEX(Effective!$E$3:$R$125,MATCH($B158,Effective!$A$3:$A$125,0),MATCH($D158,Effective!$E$2:$R$2,0))=0,"",INDEX(Effective!$E$3:$R$125,MATCH($B158,Effective!$A$3:$A$125,0),MATCH($D158,Effective!$E$2:$R$2,0))),"")</f>
        <v/>
      </c>
      <c r="H158" s="22" t="inlineStr">
        <is>
          <t>override</t>
        </is>
      </c>
      <c r="I158" s="23" t="n">
        <v>1.067</v>
      </c>
      <c r="J158" s="24">
        <f>IF(AND(IF($H160&lt;&gt;"",$H160,$H158)="override",$I158&lt;&gt;""),$I158,SUMIFS(Assumptions!$K$4:$K$8,Assumptions!$J$4:$J$8,$C158))*Assumptions!$S$10</f>
        <v/>
      </c>
      <c r="K158" s="23" t="n"/>
      <c r="L158" s="25">
        <f>IF(AND(IF($H160&lt;&gt;"",$H160,$H158)="override",$K158&lt;&gt;""),$K158,SUMIFS(Assumptions!$P$4:$P$103,Assumptions!$M$4:$M$103,$C158,Assumptions!$N$4:$N$103,$E158,Assumptions!$O$4:$O$103,"LVN"))</f>
        <v/>
      </c>
      <c r="M158" s="23" t="n"/>
      <c r="N158" s="25">
        <f>IF(AND(IF($H160&lt;&gt;"",$H160,$H158)="override",$M158&lt;&gt;""),$M158,SUMIFS(Assumptions!$P$4:$P$103,Assumptions!$M$4:$M$103,$C158,Assumptions!$N$4:$N$103,$E158,Assumptions!$O$4:$O$103,"HVN"))</f>
        <v/>
      </c>
      <c r="O158" s="25">
        <f>(L158+N158)*Assumptions!$S$11</f>
        <v/>
      </c>
      <c r="P158" s="26">
        <f>$F158*$J158*$O158</f>
        <v/>
      </c>
    </row>
    <row r="159">
      <c r="A159" s="11" t="inlineStr">
        <is>
          <t>UNIT</t>
        </is>
      </c>
      <c r="B159" s="18" t="inlineStr">
        <is>
          <t>PBF_TOLEDO</t>
        </is>
      </c>
      <c r="C159" s="18" t="n">
        <v>2</v>
      </c>
      <c r="D159" s="18" t="inlineStr">
        <is>
          <t>NHT</t>
        </is>
      </c>
      <c r="E159" s="18" t="inlineStr">
        <is>
          <t>NHT</t>
        </is>
      </c>
      <c r="F159" s="19" t="n">
        <v>45.9</v>
      </c>
      <c r="G159" s="21">
        <f>IFERROR(IF(INDEX(Effective!$E$3:$R$125,MATCH($B159,Effective!$A$3:$A$125,0),MATCH($D159,Effective!$E$2:$R$2,0))=0,"",INDEX(Effective!$E$3:$R$125,MATCH($B159,Effective!$A$3:$A$125,0),MATCH($D159,Effective!$E$2:$R$2,0))),"")</f>
        <v/>
      </c>
      <c r="H159" s="22" t="inlineStr">
        <is>
          <t>override</t>
        </is>
      </c>
      <c r="I159" s="23" t="n">
        <v>0.8070000000000001</v>
      </c>
      <c r="J159" s="24">
        <f>IF(AND(IF($H160&lt;&gt;"",$H160,$H159)="override",$I159&lt;&gt;""),$I159,SUMIFS(Assumptions!$K$4:$K$8,Assumptions!$J$4:$J$8,$C159))*Assumptions!$S$10</f>
        <v/>
      </c>
      <c r="K159" s="23" t="n"/>
      <c r="L159" s="25">
        <f>IF(AND(IF($H160&lt;&gt;"",$H160,$H159)="override",$K159&lt;&gt;""),$K159,SUMIFS(Assumptions!$P$4:$P$103,Assumptions!$M$4:$M$103,$C159,Assumptions!$N$4:$N$103,$E159,Assumptions!$O$4:$O$103,"LVN"))</f>
        <v/>
      </c>
      <c r="M159" s="23" t="n"/>
      <c r="N159" s="25">
        <f>IF(AND(IF($H160&lt;&gt;"",$H160,$H159)="override",$M159&lt;&gt;""),$M159,SUMIFS(Assumptions!$P$4:$P$103,Assumptions!$M$4:$M$103,$C159,Assumptions!$N$4:$N$103,$E159,Assumptions!$O$4:$O$103,"HVN"))</f>
        <v/>
      </c>
      <c r="O159" s="25">
        <f>(L159+N159)*Assumptions!$S$11</f>
        <v/>
      </c>
      <c r="P159" s="26">
        <f>$F159*$J159*$O159</f>
        <v/>
      </c>
    </row>
    <row r="160">
      <c r="A160" s="27" t="inlineStr">
        <is>
          <t>TOTAL</t>
        </is>
      </c>
      <c r="B160" s="28" t="inlineStr">
        <is>
          <t>PBF_TOLEDO</t>
        </is>
      </c>
      <c r="C160" s="28" t="n">
        <v>2</v>
      </c>
      <c r="D160" s="28" t="inlineStr">
        <is>
          <t>NET NAPHTHA</t>
        </is>
      </c>
      <c r="H160" s="22" t="n"/>
      <c r="P160" s="29">
        <f>SUM(P154:P159)</f>
        <v/>
      </c>
    </row>
    <row r="162" ht="20" customHeight="1">
      <c r="A162" s="8">
        <f>"  Valero Memphis  [VALERO_MEMPHIS]   —   Valero   —   PADD 2   —   crude "&amp;TEXT(SUMIFS(Data!$G$3:$G$125,Data!$A$3:$A$125,"VALERO_MEMPHIS"),"#,##0")&amp;" kbd"</f>
        <v/>
      </c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</row>
    <row r="163">
      <c r="A163" s="11" t="inlineStr">
        <is>
          <t>UNIT</t>
        </is>
      </c>
      <c r="B163" s="18" t="inlineStr">
        <is>
          <t>VALERO_MEMPHIS</t>
        </is>
      </c>
      <c r="C163" s="18" t="n">
        <v>2</v>
      </c>
      <c r="D163" s="18" t="inlineStr">
        <is>
          <t>CDU</t>
        </is>
      </c>
      <c r="E163" s="18" t="inlineStr">
        <is>
          <t>CDU</t>
        </is>
      </c>
      <c r="F163" s="19" t="n">
        <v>185</v>
      </c>
      <c r="G163" s="21">
        <f>IFERROR(IF(INDEX(Effective!$E$3:$R$125,MATCH($B163,Effective!$A$3:$A$125,0),MATCH($D163,Effective!$E$2:$R$2,0))=0,"",INDEX(Effective!$E$3:$R$125,MATCH($B163,Effective!$A$3:$A$125,0),MATCH($D163,Effective!$E$2:$R$2,0))),"")</f>
        <v/>
      </c>
      <c r="H163" s="22" t="inlineStr">
        <is>
          <t>override</t>
        </is>
      </c>
      <c r="I163" s="23" t="n">
        <v>0.9</v>
      </c>
      <c r="J163" s="24">
        <f>IF(AND(IF($H169&lt;&gt;"",$H169,$H163)="override",$I163&lt;&gt;""),$I163,SUMIFS(Assumptions!$K$4:$K$8,Assumptions!$J$4:$J$8,$C163))*Assumptions!$S$10</f>
        <v/>
      </c>
      <c r="K163" s="23" t="n"/>
      <c r="L163" s="25">
        <f>IF(AND(IF($H169&lt;&gt;"",$H169,$H163)="override",$K163&lt;&gt;""),$K163,SUMIFS(Assumptions!$P$4:$P$103,Assumptions!$M$4:$M$103,$C163,Assumptions!$N$4:$N$103,$E163,Assumptions!$O$4:$O$103,"LVN"))</f>
        <v/>
      </c>
      <c r="M163" s="23" t="n"/>
      <c r="N163" s="25">
        <f>IF(AND(IF($H169&lt;&gt;"",$H169,$H163)="override",$M163&lt;&gt;""),$M163,SUMIFS(Assumptions!$P$4:$P$103,Assumptions!$M$4:$M$103,$C163,Assumptions!$N$4:$N$103,$E163,Assumptions!$O$4:$O$103,"HVN"))</f>
        <v/>
      </c>
      <c r="O163" s="25">
        <f>(L163+N163)*Assumptions!$S$11</f>
        <v/>
      </c>
      <c r="P163" s="26">
        <f>$F163*$J163*$O163</f>
        <v/>
      </c>
    </row>
    <row r="164">
      <c r="A164" s="11" t="inlineStr">
        <is>
          <t>UNIT</t>
        </is>
      </c>
      <c r="B164" s="18" t="inlineStr">
        <is>
          <t>VALERO_MEMPHIS</t>
        </is>
      </c>
      <c r="C164" s="18" t="n">
        <v>2</v>
      </c>
      <c r="D164" s="18" t="inlineStr">
        <is>
          <t>RCC</t>
        </is>
      </c>
      <c r="E164" s="18" t="inlineStr">
        <is>
          <t>FCC</t>
        </is>
      </c>
      <c r="F164" s="19" t="n">
        <v>70</v>
      </c>
      <c r="G164" s="21">
        <f>IFERROR(IF(INDEX(Effective!$E$3:$R$125,MATCH($B164,Effective!$A$3:$A$125,0),MATCH($D164,Effective!$E$2:$R$2,0))=0,"",INDEX(Effective!$E$3:$R$125,MATCH($B164,Effective!$A$3:$A$125,0),MATCH($D164,Effective!$E$2:$R$2,0))),"")</f>
        <v/>
      </c>
      <c r="H164" s="22" t="inlineStr">
        <is>
          <t>override</t>
        </is>
      </c>
      <c r="I164" s="23" t="n">
        <v>0.677</v>
      </c>
      <c r="J164" s="24">
        <f>IF(AND(IF($H169&lt;&gt;"",$H169,$H164)="override",$I164&lt;&gt;""),$I164,SUMIFS(Assumptions!$K$4:$K$8,Assumptions!$J$4:$J$8,$C164))*Assumptions!$S$10</f>
        <v/>
      </c>
      <c r="K164" s="23" t="n"/>
      <c r="L164" s="25">
        <f>IF(AND(IF($H169&lt;&gt;"",$H169,$H164)="override",$K164&lt;&gt;""),$K164,SUMIFS(Assumptions!$P$4:$P$103,Assumptions!$M$4:$M$103,$C164,Assumptions!$N$4:$N$103,$E164,Assumptions!$O$4:$O$103,"LVN"))</f>
        <v/>
      </c>
      <c r="M164" s="23" t="n"/>
      <c r="N164" s="25">
        <f>IF(AND(IF($H169&lt;&gt;"",$H169,$H164)="override",$M164&lt;&gt;""),$M164,SUMIFS(Assumptions!$P$4:$P$103,Assumptions!$M$4:$M$103,$C164,Assumptions!$N$4:$N$103,$E164,Assumptions!$O$4:$O$103,"HVN"))</f>
        <v/>
      </c>
      <c r="O164" s="25">
        <f>(L164+N164)*Assumptions!$S$11</f>
        <v/>
      </c>
      <c r="P164" s="26">
        <f>$F164*$J164*$O164</f>
        <v/>
      </c>
    </row>
    <row r="165">
      <c r="A165" s="11" t="inlineStr">
        <is>
          <t>UNIT</t>
        </is>
      </c>
      <c r="B165" s="18" t="inlineStr">
        <is>
          <t>VALERO_MEMPHIS</t>
        </is>
      </c>
      <c r="C165" s="18" t="n">
        <v>2</v>
      </c>
      <c r="D165" s="18" t="inlineStr">
        <is>
          <t>DHCU</t>
        </is>
      </c>
      <c r="E165" s="18" t="inlineStr">
        <is>
          <t>HYDROCRACKER</t>
        </is>
      </c>
      <c r="F165" s="19" t="n">
        <v>26.5</v>
      </c>
      <c r="G165" s="21">
        <f>IFERROR(IF(INDEX(Effective!$E$3:$R$125,MATCH($B165,Effective!$A$3:$A$125,0),MATCH($D165,Effective!$E$2:$R$2,0))=0,"",INDEX(Effective!$E$3:$R$125,MATCH($B165,Effective!$A$3:$A$125,0),MATCH($D165,Effective!$E$2:$R$2,0))),"")</f>
        <v/>
      </c>
      <c r="H165" s="22" t="inlineStr">
        <is>
          <t>override</t>
        </is>
      </c>
      <c r="I165" s="23" t="n">
        <v>0.757</v>
      </c>
      <c r="J165" s="24">
        <f>IF(AND(IF($H169&lt;&gt;"",$H169,$H165)="override",$I165&lt;&gt;""),$I165,SUMIFS(Assumptions!$K$4:$K$8,Assumptions!$J$4:$J$8,$C165))*Assumptions!$S$10</f>
        <v/>
      </c>
      <c r="K165" s="23" t="n"/>
      <c r="L165" s="25">
        <f>IF(AND(IF($H169&lt;&gt;"",$H169,$H165)="override",$K165&lt;&gt;""),$K165,SUMIFS(Assumptions!$P$4:$P$103,Assumptions!$M$4:$M$103,$C165,Assumptions!$N$4:$N$103,$E165,Assumptions!$O$4:$O$103,"LVN"))</f>
        <v/>
      </c>
      <c r="M165" s="23" t="n"/>
      <c r="N165" s="25">
        <f>IF(AND(IF($H169&lt;&gt;"",$H169,$H165)="override",$M165&lt;&gt;""),$M165,SUMIFS(Assumptions!$P$4:$P$103,Assumptions!$M$4:$M$103,$C165,Assumptions!$N$4:$N$103,$E165,Assumptions!$O$4:$O$103,"HVN"))</f>
        <v/>
      </c>
      <c r="O165" s="25">
        <f>(L165+N165)*Assumptions!$S$11</f>
        <v/>
      </c>
      <c r="P165" s="26">
        <f>$F165*$J165*$O165</f>
        <v/>
      </c>
    </row>
    <row r="166">
      <c r="A166" s="11" t="inlineStr">
        <is>
          <t>UNIT</t>
        </is>
      </c>
      <c r="B166" s="18" t="inlineStr">
        <is>
          <t>VALERO_MEMPHIS</t>
        </is>
      </c>
      <c r="C166" s="18" t="n">
        <v>2</v>
      </c>
      <c r="D166" s="18" t="inlineStr">
        <is>
          <t>CCR</t>
        </is>
      </c>
      <c r="E166" s="18" t="inlineStr">
        <is>
          <t>REFORMER</t>
        </is>
      </c>
      <c r="F166" s="19" t="n">
        <v>36</v>
      </c>
      <c r="G166" s="21">
        <f>IFERROR(IF(INDEX(Effective!$E$3:$R$125,MATCH($B166,Effective!$A$3:$A$125,0),MATCH($D166,Effective!$E$2:$R$2,0))=0,"",INDEX(Effective!$E$3:$R$125,MATCH($B166,Effective!$A$3:$A$125,0),MATCH($D166,Effective!$E$2:$R$2,0))),"")</f>
        <v/>
      </c>
      <c r="H166" s="22" t="inlineStr">
        <is>
          <t>override</t>
        </is>
      </c>
      <c r="I166" s="23" t="n">
        <v>0.972</v>
      </c>
      <c r="J166" s="24">
        <f>IF(AND(IF($H169&lt;&gt;"",$H169,$H166)="override",$I166&lt;&gt;""),$I166,SUMIFS(Assumptions!$K$4:$K$8,Assumptions!$J$4:$J$8,$C166))*Assumptions!$S$10</f>
        <v/>
      </c>
      <c r="K166" s="23" t="n"/>
      <c r="L166" s="25">
        <f>IF(AND(IF($H169&lt;&gt;"",$H169,$H166)="override",$K166&lt;&gt;""),$K166,SUMIFS(Assumptions!$P$4:$P$103,Assumptions!$M$4:$M$103,$C166,Assumptions!$N$4:$N$103,$E166,Assumptions!$O$4:$O$103,"LVN"))</f>
        <v/>
      </c>
      <c r="M166" s="23" t="n"/>
      <c r="N166" s="25">
        <f>IF(AND(IF($H169&lt;&gt;"",$H169,$H166)="override",$M166&lt;&gt;""),$M166,SUMIFS(Assumptions!$P$4:$P$103,Assumptions!$M$4:$M$103,$C166,Assumptions!$N$4:$N$103,$E166,Assumptions!$O$4:$O$103,"HVN"))</f>
        <v/>
      </c>
      <c r="O166" s="25">
        <f>(L166+N166)*Assumptions!$S$11</f>
        <v/>
      </c>
      <c r="P166" s="26">
        <f>$F166*$J166*$O166</f>
        <v/>
      </c>
    </row>
    <row r="167">
      <c r="A167" s="11" t="inlineStr">
        <is>
          <t>UNIT</t>
        </is>
      </c>
      <c r="B167" s="18" t="inlineStr">
        <is>
          <t>VALERO_MEMPHIS</t>
        </is>
      </c>
      <c r="C167" s="18" t="n">
        <v>2</v>
      </c>
      <c r="D167" s="18" t="inlineStr">
        <is>
          <t>ALKY</t>
        </is>
      </c>
      <c r="E167" s="18" t="inlineStr">
        <is>
          <t>ALKY</t>
        </is>
      </c>
      <c r="F167" s="19" t="n">
        <v>12.7</v>
      </c>
      <c r="G167" s="21">
        <f>IFERROR(IF(INDEX(Effective!$E$3:$R$125,MATCH($B167,Effective!$A$3:$A$125,0),MATCH($D167,Effective!$E$2:$R$2,0))=0,"",INDEX(Effective!$E$3:$R$125,MATCH($B167,Effective!$A$3:$A$125,0),MATCH($D167,Effective!$E$2:$R$2,0))),"")</f>
        <v/>
      </c>
      <c r="H167" s="22" t="inlineStr">
        <is>
          <t>override</t>
        </is>
      </c>
      <c r="I167" s="23" t="n">
        <v>0.661</v>
      </c>
      <c r="J167" s="24">
        <f>IF(AND(IF($H169&lt;&gt;"",$H169,$H167)="override",$I167&lt;&gt;""),$I167,SUMIFS(Assumptions!$K$4:$K$8,Assumptions!$J$4:$J$8,$C167))*Assumptions!$S$10</f>
        <v/>
      </c>
      <c r="K167" s="23" t="n"/>
      <c r="L167" s="25">
        <f>IF(AND(IF($H169&lt;&gt;"",$H169,$H167)="override",$K167&lt;&gt;""),$K167,SUMIFS(Assumptions!$P$4:$P$103,Assumptions!$M$4:$M$103,$C167,Assumptions!$N$4:$N$103,$E167,Assumptions!$O$4:$O$103,"LVN"))</f>
        <v/>
      </c>
      <c r="M167" s="23" t="n"/>
      <c r="N167" s="25">
        <f>IF(AND(IF($H169&lt;&gt;"",$H169,$H167)="override",$M167&lt;&gt;""),$M167,SUMIFS(Assumptions!$P$4:$P$103,Assumptions!$M$4:$M$103,$C167,Assumptions!$N$4:$N$103,$E167,Assumptions!$O$4:$O$103,"HVN"))</f>
        <v/>
      </c>
      <c r="O167" s="25">
        <f>(L167+N167)*Assumptions!$S$11</f>
        <v/>
      </c>
      <c r="P167" s="26">
        <f>$F167*$J167*$O167</f>
        <v/>
      </c>
    </row>
    <row r="168">
      <c r="A168" s="11" t="inlineStr">
        <is>
          <t>UNIT</t>
        </is>
      </c>
      <c r="B168" s="18" t="inlineStr">
        <is>
          <t>VALERO_MEMPHIS</t>
        </is>
      </c>
      <c r="C168" s="18" t="n">
        <v>2</v>
      </c>
      <c r="D168" s="18" t="inlineStr">
        <is>
          <t>NHT</t>
        </is>
      </c>
      <c r="E168" s="18" t="inlineStr">
        <is>
          <t>NHT</t>
        </is>
      </c>
      <c r="F168" s="19" t="n">
        <v>52</v>
      </c>
      <c r="G168" s="21">
        <f>IFERROR(IF(INDEX(Effective!$E$3:$R$125,MATCH($B168,Effective!$A$3:$A$125,0),MATCH($D168,Effective!$E$2:$R$2,0))=0,"",INDEX(Effective!$E$3:$R$125,MATCH($B168,Effective!$A$3:$A$125,0),MATCH($D168,Effective!$E$2:$R$2,0))),"")</f>
        <v/>
      </c>
      <c r="H168" s="22" t="inlineStr">
        <is>
          <t>override</t>
        </is>
      </c>
      <c r="I168" s="23" t="n">
        <v>1.1</v>
      </c>
      <c r="J168" s="24">
        <f>IF(AND(IF($H169&lt;&gt;"",$H169,$H168)="override",$I168&lt;&gt;""),$I168,SUMIFS(Assumptions!$K$4:$K$8,Assumptions!$J$4:$J$8,$C168))*Assumptions!$S$10</f>
        <v/>
      </c>
      <c r="K168" s="23" t="n"/>
      <c r="L168" s="25">
        <f>IF(AND(IF($H169&lt;&gt;"",$H169,$H168)="override",$K168&lt;&gt;""),$K168,SUMIFS(Assumptions!$P$4:$P$103,Assumptions!$M$4:$M$103,$C168,Assumptions!$N$4:$N$103,$E168,Assumptions!$O$4:$O$103,"LVN"))</f>
        <v/>
      </c>
      <c r="M168" s="23" t="n"/>
      <c r="N168" s="25">
        <f>IF(AND(IF($H169&lt;&gt;"",$H169,$H168)="override",$M168&lt;&gt;""),$M168,SUMIFS(Assumptions!$P$4:$P$103,Assumptions!$M$4:$M$103,$C168,Assumptions!$N$4:$N$103,$E168,Assumptions!$O$4:$O$103,"HVN"))</f>
        <v/>
      </c>
      <c r="O168" s="25">
        <f>(L168+N168)*Assumptions!$S$11</f>
        <v/>
      </c>
      <c r="P168" s="26">
        <f>$F168*$J168*$O168</f>
        <v/>
      </c>
    </row>
    <row r="169">
      <c r="A169" s="27" t="inlineStr">
        <is>
          <t>TOTAL</t>
        </is>
      </c>
      <c r="B169" s="28" t="inlineStr">
        <is>
          <t>VALERO_MEMPHIS</t>
        </is>
      </c>
      <c r="C169" s="28" t="n">
        <v>2</v>
      </c>
      <c r="D169" s="28" t="inlineStr">
        <is>
          <t>NET NAPHTHA</t>
        </is>
      </c>
      <c r="H169" s="22" t="n"/>
      <c r="P169" s="29">
        <f>SUM(P163:P168)</f>
        <v/>
      </c>
    </row>
    <row r="171" ht="20" customHeight="1">
      <c r="A171" s="8">
        <f>"  Cenovus Toledo  [CENOVUS_TOLEDO]   —   Cenovus   —   PADD 2   —   crude "&amp;TEXT(SUMIFS(Data!$G$3:$G$125,Data!$A$3:$A$125,"CENOVUS_TOLEDO"),"#,##0")&amp;" kbd"</f>
        <v/>
      </c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</row>
    <row r="172">
      <c r="A172" s="11" t="inlineStr">
        <is>
          <t>UNIT</t>
        </is>
      </c>
      <c r="B172" s="18" t="inlineStr">
        <is>
          <t>CENOVUS_TOLEDO</t>
        </is>
      </c>
      <c r="C172" s="18" t="n">
        <v>2</v>
      </c>
      <c r="D172" s="18" t="inlineStr">
        <is>
          <t>CDU</t>
        </is>
      </c>
      <c r="E172" s="18" t="inlineStr">
        <is>
          <t>CDU</t>
        </is>
      </c>
      <c r="F172" s="19" t="n">
        <v>160</v>
      </c>
      <c r="G172" s="21">
        <f>IFERROR(IF(INDEX(Effective!$E$3:$R$125,MATCH($B172,Effective!$A$3:$A$125,0),MATCH($D172,Effective!$E$2:$R$2,0))=0,"",INDEX(Effective!$E$3:$R$125,MATCH($B172,Effective!$A$3:$A$125,0),MATCH($D172,Effective!$E$2:$R$2,0))),"")</f>
        <v/>
      </c>
      <c r="H172" s="22" t="inlineStr">
        <is>
          <t>override</t>
        </is>
      </c>
      <c r="I172" s="23" t="n">
        <v>0.831</v>
      </c>
      <c r="J172" s="24">
        <f>IF(AND(IF($H180&lt;&gt;"",$H180,$H172)="override",$I172&lt;&gt;""),$I172,SUMIFS(Assumptions!$K$4:$K$8,Assumptions!$J$4:$J$8,$C172))*Assumptions!$S$10</f>
        <v/>
      </c>
      <c r="K172" s="23" t="n"/>
      <c r="L172" s="25">
        <f>IF(AND(IF($H180&lt;&gt;"",$H180,$H172)="override",$K172&lt;&gt;""),$K172,SUMIFS(Assumptions!$P$4:$P$103,Assumptions!$M$4:$M$103,$C172,Assumptions!$N$4:$N$103,$E172,Assumptions!$O$4:$O$103,"LVN"))</f>
        <v/>
      </c>
      <c r="M172" s="23" t="n"/>
      <c r="N172" s="25">
        <f>IF(AND(IF($H180&lt;&gt;"",$H180,$H172)="override",$M172&lt;&gt;""),$M172,SUMIFS(Assumptions!$P$4:$P$103,Assumptions!$M$4:$M$103,$C172,Assumptions!$N$4:$N$103,$E172,Assumptions!$O$4:$O$103,"HVN"))</f>
        <v/>
      </c>
      <c r="O172" s="25">
        <f>(L172+N172)*Assumptions!$S$11</f>
        <v/>
      </c>
      <c r="P172" s="26">
        <f>$F172*$J172*$O172</f>
        <v/>
      </c>
    </row>
    <row r="173">
      <c r="A173" s="11" t="inlineStr">
        <is>
          <t>UNIT</t>
        </is>
      </c>
      <c r="B173" s="18" t="inlineStr">
        <is>
          <t>CENOVUS_TOLEDO</t>
        </is>
      </c>
      <c r="C173" s="18" t="n">
        <v>2</v>
      </c>
      <c r="D173" s="18" t="inlineStr">
        <is>
          <t>VDU</t>
        </is>
      </c>
      <c r="E173" s="18" t="inlineStr">
        <is>
          <t>VDU</t>
        </is>
      </c>
      <c r="F173" s="19" t="n">
        <v>72.5</v>
      </c>
      <c r="G173" s="21">
        <f>IFERROR(IF(INDEX(Effective!$E$3:$R$125,MATCH($B173,Effective!$A$3:$A$125,0),MATCH($D173,Effective!$E$2:$R$2,0))=0,"",INDEX(Effective!$E$3:$R$125,MATCH($B173,Effective!$A$3:$A$125,0),MATCH($D173,Effective!$E$2:$R$2,0))),"")</f>
        <v/>
      </c>
      <c r="H173" s="22" t="inlineStr">
        <is>
          <t>override</t>
        </is>
      </c>
      <c r="I173" s="23" t="n">
        <v>0.701</v>
      </c>
      <c r="J173" s="24">
        <f>IF(AND(IF($H180&lt;&gt;"",$H180,$H173)="override",$I173&lt;&gt;""),$I173,SUMIFS(Assumptions!$K$4:$K$8,Assumptions!$J$4:$J$8,$C173))*Assumptions!$S$10</f>
        <v/>
      </c>
      <c r="K173" s="23" t="n"/>
      <c r="L173" s="25">
        <f>IF(AND(IF($H180&lt;&gt;"",$H180,$H173)="override",$K173&lt;&gt;""),$K173,SUMIFS(Assumptions!$P$4:$P$103,Assumptions!$M$4:$M$103,$C173,Assumptions!$N$4:$N$103,$E173,Assumptions!$O$4:$O$103,"LVN"))</f>
        <v/>
      </c>
      <c r="M173" s="23" t="n"/>
      <c r="N173" s="25">
        <f>IF(AND(IF($H180&lt;&gt;"",$H180,$H173)="override",$M173&lt;&gt;""),$M173,SUMIFS(Assumptions!$P$4:$P$103,Assumptions!$M$4:$M$103,$C173,Assumptions!$N$4:$N$103,$E173,Assumptions!$O$4:$O$103,"HVN"))</f>
        <v/>
      </c>
      <c r="O173" s="25">
        <f>(L173+N173)*Assumptions!$S$11</f>
        <v/>
      </c>
      <c r="P173" s="26">
        <f>$F173*$J173*$O173</f>
        <v/>
      </c>
    </row>
    <row r="174">
      <c r="A174" s="11" t="inlineStr">
        <is>
          <t>UNIT</t>
        </is>
      </c>
      <c r="B174" s="18" t="inlineStr">
        <is>
          <t>CENOVUS_TOLEDO</t>
        </is>
      </c>
      <c r="C174" s="18" t="n">
        <v>2</v>
      </c>
      <c r="D174" s="18" t="inlineStr">
        <is>
          <t>FCC</t>
        </is>
      </c>
      <c r="E174" s="18" t="inlineStr">
        <is>
          <t>FCC</t>
        </is>
      </c>
      <c r="F174" s="19" t="n">
        <v>55</v>
      </c>
      <c r="G174" s="21">
        <f>IFERROR(IF(INDEX(Effective!$E$3:$R$125,MATCH($B174,Effective!$A$3:$A$125,0),MATCH($D174,Effective!$E$2:$R$2,0))=0,"",INDEX(Effective!$E$3:$R$125,MATCH($B174,Effective!$A$3:$A$125,0),MATCH($D174,Effective!$E$2:$R$2,0))),"")</f>
        <v/>
      </c>
      <c r="H174" s="22" t="inlineStr">
        <is>
          <t>override</t>
        </is>
      </c>
      <c r="I174" s="23" t="n">
        <v>0.507</v>
      </c>
      <c r="J174" s="24">
        <f>IF(AND(IF($H180&lt;&gt;"",$H180,$H174)="override",$I174&lt;&gt;""),$I174,SUMIFS(Assumptions!$K$4:$K$8,Assumptions!$J$4:$J$8,$C174))*Assumptions!$S$10</f>
        <v/>
      </c>
      <c r="K174" s="23" t="n"/>
      <c r="L174" s="25">
        <f>IF(AND(IF($H180&lt;&gt;"",$H180,$H174)="override",$K174&lt;&gt;""),$K174,SUMIFS(Assumptions!$P$4:$P$103,Assumptions!$M$4:$M$103,$C174,Assumptions!$N$4:$N$103,$E174,Assumptions!$O$4:$O$103,"LVN"))</f>
        <v/>
      </c>
      <c r="M174" s="23" t="n"/>
      <c r="N174" s="25">
        <f>IF(AND(IF($H180&lt;&gt;"",$H180,$H174)="override",$M174&lt;&gt;""),$M174,SUMIFS(Assumptions!$P$4:$P$103,Assumptions!$M$4:$M$103,$C174,Assumptions!$N$4:$N$103,$E174,Assumptions!$O$4:$O$103,"HVN"))</f>
        <v/>
      </c>
      <c r="O174" s="25">
        <f>(L174+N174)*Assumptions!$S$11</f>
        <v/>
      </c>
      <c r="P174" s="26">
        <f>$F174*$J174*$O174</f>
        <v/>
      </c>
    </row>
    <row r="175">
      <c r="A175" s="11" t="inlineStr">
        <is>
          <t>UNIT</t>
        </is>
      </c>
      <c r="B175" s="18" t="inlineStr">
        <is>
          <t>CENOVUS_TOLEDO</t>
        </is>
      </c>
      <c r="C175" s="18" t="n">
        <v>2</v>
      </c>
      <c r="D175" s="18" t="inlineStr">
        <is>
          <t>DHCU</t>
        </is>
      </c>
      <c r="E175" s="18" t="inlineStr">
        <is>
          <t>HYDROCRACKER</t>
        </is>
      </c>
      <c r="F175" s="19" t="n">
        <v>31.8</v>
      </c>
      <c r="G175" s="21">
        <f>IFERROR(IF(INDEX(Effective!$E$3:$R$125,MATCH($B175,Effective!$A$3:$A$125,0),MATCH($D175,Effective!$E$2:$R$2,0))=0,"",INDEX(Effective!$E$3:$R$125,MATCH($B175,Effective!$A$3:$A$125,0),MATCH($D175,Effective!$E$2:$R$2,0))),"")</f>
        <v/>
      </c>
      <c r="H175" s="22" t="inlineStr">
        <is>
          <t>override</t>
        </is>
      </c>
      <c r="I175" s="23" t="n">
        <v>0.615</v>
      </c>
      <c r="J175" s="24">
        <f>IF(AND(IF($H180&lt;&gt;"",$H180,$H175)="override",$I175&lt;&gt;""),$I175,SUMIFS(Assumptions!$K$4:$K$8,Assumptions!$J$4:$J$8,$C175))*Assumptions!$S$10</f>
        <v/>
      </c>
      <c r="K175" s="23" t="n"/>
      <c r="L175" s="25">
        <f>IF(AND(IF($H180&lt;&gt;"",$H180,$H175)="override",$K175&lt;&gt;""),$K175,SUMIFS(Assumptions!$P$4:$P$103,Assumptions!$M$4:$M$103,$C175,Assumptions!$N$4:$N$103,$E175,Assumptions!$O$4:$O$103,"LVN"))</f>
        <v/>
      </c>
      <c r="M175" s="23" t="n"/>
      <c r="N175" s="25">
        <f>IF(AND(IF($H180&lt;&gt;"",$H180,$H175)="override",$M175&lt;&gt;""),$M175,SUMIFS(Assumptions!$P$4:$P$103,Assumptions!$M$4:$M$103,$C175,Assumptions!$N$4:$N$103,$E175,Assumptions!$O$4:$O$103,"HVN"))</f>
        <v/>
      </c>
      <c r="O175" s="25">
        <f>(L175+N175)*Assumptions!$S$11</f>
        <v/>
      </c>
      <c r="P175" s="26">
        <f>$F175*$J175*$O175</f>
        <v/>
      </c>
    </row>
    <row r="176">
      <c r="A176" s="11" t="inlineStr">
        <is>
          <t>UNIT</t>
        </is>
      </c>
      <c r="B176" s="18" t="inlineStr">
        <is>
          <t>CENOVUS_TOLEDO</t>
        </is>
      </c>
      <c r="C176" s="18" t="n">
        <v>2</v>
      </c>
      <c r="D176" s="18" t="inlineStr">
        <is>
          <t>COKER</t>
        </is>
      </c>
      <c r="E176" s="18" t="inlineStr">
        <is>
          <t>COKER</t>
        </is>
      </c>
      <c r="F176" s="19" t="n">
        <v>36</v>
      </c>
      <c r="G176" s="21">
        <f>IFERROR(IF(INDEX(Effective!$E$3:$R$125,MATCH($B176,Effective!$A$3:$A$125,0),MATCH($D176,Effective!$E$2:$R$2,0))=0,"",INDEX(Effective!$E$3:$R$125,MATCH($B176,Effective!$A$3:$A$125,0),MATCH($D176,Effective!$E$2:$R$2,0))),"")</f>
        <v/>
      </c>
      <c r="H176" s="22" t="inlineStr">
        <is>
          <t>override</t>
        </is>
      </c>
      <c r="I176" s="23" t="n">
        <v>0.533</v>
      </c>
      <c r="J176" s="24">
        <f>IF(AND(IF($H180&lt;&gt;"",$H180,$H176)="override",$I176&lt;&gt;""),$I176,SUMIFS(Assumptions!$K$4:$K$8,Assumptions!$J$4:$J$8,$C176))*Assumptions!$S$10</f>
        <v/>
      </c>
      <c r="K176" s="23" t="n"/>
      <c r="L176" s="25">
        <f>IF(AND(IF($H180&lt;&gt;"",$H180,$H176)="override",$K176&lt;&gt;""),$K176,SUMIFS(Assumptions!$P$4:$P$103,Assumptions!$M$4:$M$103,$C176,Assumptions!$N$4:$N$103,$E176,Assumptions!$O$4:$O$103,"LVN"))</f>
        <v/>
      </c>
      <c r="M176" s="23" t="n"/>
      <c r="N176" s="25">
        <f>IF(AND(IF($H180&lt;&gt;"",$H180,$H176)="override",$M176&lt;&gt;""),$M176,SUMIFS(Assumptions!$P$4:$P$103,Assumptions!$M$4:$M$103,$C176,Assumptions!$N$4:$N$103,$E176,Assumptions!$O$4:$O$103,"HVN"))</f>
        <v/>
      </c>
      <c r="O176" s="25">
        <f>(L176+N176)*Assumptions!$S$11</f>
        <v/>
      </c>
      <c r="P176" s="26">
        <f>$F176*$J176*$O176</f>
        <v/>
      </c>
    </row>
    <row r="177">
      <c r="A177" s="11" t="inlineStr">
        <is>
          <t>UNIT</t>
        </is>
      </c>
      <c r="B177" s="18" t="inlineStr">
        <is>
          <t>CENOVUS_TOLEDO</t>
        </is>
      </c>
      <c r="C177" s="18" t="n">
        <v>2</v>
      </c>
      <c r="D177" s="18" t="inlineStr">
        <is>
          <t>CCR</t>
        </is>
      </c>
      <c r="E177" s="18" t="inlineStr">
        <is>
          <t>REFORMER</t>
        </is>
      </c>
      <c r="F177" s="19" t="n">
        <v>42</v>
      </c>
      <c r="G177" s="21">
        <f>IFERROR(IF(INDEX(Effective!$E$3:$R$125,MATCH($B177,Effective!$A$3:$A$125,0),MATCH($D177,Effective!$E$2:$R$2,0))=0,"",INDEX(Effective!$E$3:$R$125,MATCH($B177,Effective!$A$3:$A$125,0),MATCH($D177,Effective!$E$2:$R$2,0))),"")</f>
        <v/>
      </c>
      <c r="H177" s="22" t="inlineStr">
        <is>
          <t>override</t>
        </is>
      </c>
      <c r="I177" s="23" t="n">
        <v>0.756</v>
      </c>
      <c r="J177" s="24">
        <f>IF(AND(IF($H180&lt;&gt;"",$H180,$H177)="override",$I177&lt;&gt;""),$I177,SUMIFS(Assumptions!$K$4:$K$8,Assumptions!$J$4:$J$8,$C177))*Assumptions!$S$10</f>
        <v/>
      </c>
      <c r="K177" s="23" t="n"/>
      <c r="L177" s="25">
        <f>IF(AND(IF($H180&lt;&gt;"",$H180,$H177)="override",$K177&lt;&gt;""),$K177,SUMIFS(Assumptions!$P$4:$P$103,Assumptions!$M$4:$M$103,$C177,Assumptions!$N$4:$N$103,$E177,Assumptions!$O$4:$O$103,"LVN"))</f>
        <v/>
      </c>
      <c r="M177" s="23" t="n"/>
      <c r="N177" s="25">
        <f>IF(AND(IF($H180&lt;&gt;"",$H180,$H177)="override",$M177&lt;&gt;""),$M177,SUMIFS(Assumptions!$P$4:$P$103,Assumptions!$M$4:$M$103,$C177,Assumptions!$N$4:$N$103,$E177,Assumptions!$O$4:$O$103,"HVN"))</f>
        <v/>
      </c>
      <c r="O177" s="25">
        <f>(L177+N177)*Assumptions!$S$11</f>
        <v/>
      </c>
      <c r="P177" s="26">
        <f>$F177*$J177*$O177</f>
        <v/>
      </c>
    </row>
    <row r="178">
      <c r="A178" s="11" t="inlineStr">
        <is>
          <t>UNIT</t>
        </is>
      </c>
      <c r="B178" s="18" t="inlineStr">
        <is>
          <t>CENOVUS_TOLEDO</t>
        </is>
      </c>
      <c r="C178" s="18" t="n">
        <v>2</v>
      </c>
      <c r="D178" s="18" t="inlineStr">
        <is>
          <t>ALKY</t>
        </is>
      </c>
      <c r="E178" s="18" t="inlineStr">
        <is>
          <t>ALKY</t>
        </is>
      </c>
      <c r="F178" s="19" t="n">
        <v>11.5</v>
      </c>
      <c r="G178" s="21">
        <f>IFERROR(IF(INDEX(Effective!$E$3:$R$125,MATCH($B178,Effective!$A$3:$A$125,0),MATCH($D178,Effective!$E$2:$R$2,0))=0,"",INDEX(Effective!$E$3:$R$125,MATCH($B178,Effective!$A$3:$A$125,0),MATCH($D178,Effective!$E$2:$R$2,0))),"")</f>
        <v/>
      </c>
      <c r="H178" s="22" t="inlineStr">
        <is>
          <t>override</t>
        </is>
      </c>
      <c r="I178" s="23" t="n">
        <v>1.014</v>
      </c>
      <c r="J178" s="24">
        <f>IF(AND(IF($H180&lt;&gt;"",$H180,$H178)="override",$I178&lt;&gt;""),$I178,SUMIFS(Assumptions!$K$4:$K$8,Assumptions!$J$4:$J$8,$C178))*Assumptions!$S$10</f>
        <v/>
      </c>
      <c r="K178" s="23" t="n"/>
      <c r="L178" s="25">
        <f>IF(AND(IF($H180&lt;&gt;"",$H180,$H178)="override",$K178&lt;&gt;""),$K178,SUMIFS(Assumptions!$P$4:$P$103,Assumptions!$M$4:$M$103,$C178,Assumptions!$N$4:$N$103,$E178,Assumptions!$O$4:$O$103,"LVN"))</f>
        <v/>
      </c>
      <c r="M178" s="23" t="n"/>
      <c r="N178" s="25">
        <f>IF(AND(IF($H180&lt;&gt;"",$H180,$H178)="override",$M178&lt;&gt;""),$M178,SUMIFS(Assumptions!$P$4:$P$103,Assumptions!$M$4:$M$103,$C178,Assumptions!$N$4:$N$103,$E178,Assumptions!$O$4:$O$103,"HVN"))</f>
        <v/>
      </c>
      <c r="O178" s="25">
        <f>(L178+N178)*Assumptions!$S$11</f>
        <v/>
      </c>
      <c r="P178" s="26">
        <f>$F178*$J178*$O178</f>
        <v/>
      </c>
    </row>
    <row r="179">
      <c r="A179" s="11" t="inlineStr">
        <is>
          <t>UNIT</t>
        </is>
      </c>
      <c r="B179" s="18" t="inlineStr">
        <is>
          <t>CENOVUS_TOLEDO</t>
        </is>
      </c>
      <c r="C179" s="18" t="n">
        <v>2</v>
      </c>
      <c r="D179" s="18" t="inlineStr">
        <is>
          <t>NHT</t>
        </is>
      </c>
      <c r="E179" s="18" t="inlineStr">
        <is>
          <t>NHT</t>
        </is>
      </c>
      <c r="F179" s="19" t="n">
        <v>42</v>
      </c>
      <c r="G179" s="21">
        <f>IFERROR(IF(INDEX(Effective!$E$3:$R$125,MATCH($B179,Effective!$A$3:$A$125,0),MATCH($D179,Effective!$E$2:$R$2,0))=0,"",INDEX(Effective!$E$3:$R$125,MATCH($B179,Effective!$A$3:$A$125,0),MATCH($D179,Effective!$E$2:$R$2,0))),"")</f>
        <v/>
      </c>
      <c r="H179" s="22" t="inlineStr">
        <is>
          <t>override</t>
        </is>
      </c>
      <c r="I179" s="23" t="n">
        <v>1.098</v>
      </c>
      <c r="J179" s="24">
        <f>IF(AND(IF($H180&lt;&gt;"",$H180,$H179)="override",$I179&lt;&gt;""),$I179,SUMIFS(Assumptions!$K$4:$K$8,Assumptions!$J$4:$J$8,$C179))*Assumptions!$S$10</f>
        <v/>
      </c>
      <c r="K179" s="23" t="n"/>
      <c r="L179" s="25">
        <f>IF(AND(IF($H180&lt;&gt;"",$H180,$H179)="override",$K179&lt;&gt;""),$K179,SUMIFS(Assumptions!$P$4:$P$103,Assumptions!$M$4:$M$103,$C179,Assumptions!$N$4:$N$103,$E179,Assumptions!$O$4:$O$103,"LVN"))</f>
        <v/>
      </c>
      <c r="M179" s="23" t="n"/>
      <c r="N179" s="25">
        <f>IF(AND(IF($H180&lt;&gt;"",$H180,$H179)="override",$M179&lt;&gt;""),$M179,SUMIFS(Assumptions!$P$4:$P$103,Assumptions!$M$4:$M$103,$C179,Assumptions!$N$4:$N$103,$E179,Assumptions!$O$4:$O$103,"HVN"))</f>
        <v/>
      </c>
      <c r="O179" s="25">
        <f>(L179+N179)*Assumptions!$S$11</f>
        <v/>
      </c>
      <c r="P179" s="26">
        <f>$F179*$J179*$O179</f>
        <v/>
      </c>
    </row>
    <row r="180">
      <c r="A180" s="27" t="inlineStr">
        <is>
          <t>TOTAL</t>
        </is>
      </c>
      <c r="B180" s="28" t="inlineStr">
        <is>
          <t>CENOVUS_TOLEDO</t>
        </is>
      </c>
      <c r="C180" s="28" t="n">
        <v>2</v>
      </c>
      <c r="D180" s="28" t="inlineStr">
        <is>
          <t>NET NAPHTHA</t>
        </is>
      </c>
      <c r="H180" s="22" t="n"/>
      <c r="P180" s="29">
        <f>SUM(P172:P179)</f>
        <v/>
      </c>
    </row>
    <row r="182" ht="20" customHeight="1">
      <c r="A182" s="8">
        <f>"  Marathon Petroleum Detroit  [MARATHON_DETROIT]   —   Marathon Petroleum   —   PADD 2   —   crude "&amp;TEXT(SUMIFS(Data!$G$3:$G$125,Data!$A$3:$A$125,"MARATHON_DETROIT"),"#,##0")&amp;" kbd"</f>
        <v/>
      </c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</row>
    <row r="183">
      <c r="A183" s="11" t="inlineStr">
        <is>
          <t>UNIT</t>
        </is>
      </c>
      <c r="B183" s="18" t="inlineStr">
        <is>
          <t>MARATHON_DETROIT</t>
        </is>
      </c>
      <c r="C183" s="18" t="n">
        <v>2</v>
      </c>
      <c r="D183" s="18" t="inlineStr">
        <is>
          <t>CDU</t>
        </is>
      </c>
      <c r="E183" s="18" t="inlineStr">
        <is>
          <t>CDU</t>
        </is>
      </c>
      <c r="F183" s="19" t="n">
        <v>147</v>
      </c>
      <c r="G183" s="21">
        <f>IFERROR(IF(INDEX(Effective!$E$3:$R$125,MATCH($B183,Effective!$A$3:$A$125,0),MATCH($D183,Effective!$E$2:$R$2,0))=0,"",INDEX(Effective!$E$3:$R$125,MATCH($B183,Effective!$A$3:$A$125,0),MATCH($D183,Effective!$E$2:$R$2,0))),"")</f>
        <v/>
      </c>
      <c r="H183" s="22" t="inlineStr">
        <is>
          <t>override</t>
        </is>
      </c>
      <c r="I183" s="23" t="n">
        <v>0.846</v>
      </c>
      <c r="J183" s="24">
        <f>IF(AND(IF($H190&lt;&gt;"",$H190,$H183)="override",$I183&lt;&gt;""),$I183,SUMIFS(Assumptions!$K$4:$K$8,Assumptions!$J$4:$J$8,$C183))*Assumptions!$S$10</f>
        <v/>
      </c>
      <c r="K183" s="23" t="n"/>
      <c r="L183" s="25">
        <f>IF(AND(IF($H190&lt;&gt;"",$H190,$H183)="override",$K183&lt;&gt;""),$K183,SUMIFS(Assumptions!$P$4:$P$103,Assumptions!$M$4:$M$103,$C183,Assumptions!$N$4:$N$103,$E183,Assumptions!$O$4:$O$103,"LVN"))</f>
        <v/>
      </c>
      <c r="M183" s="23" t="n"/>
      <c r="N183" s="25">
        <f>IF(AND(IF($H190&lt;&gt;"",$H190,$H183)="override",$M183&lt;&gt;""),$M183,SUMIFS(Assumptions!$P$4:$P$103,Assumptions!$M$4:$M$103,$C183,Assumptions!$N$4:$N$103,$E183,Assumptions!$O$4:$O$103,"HVN"))</f>
        <v/>
      </c>
      <c r="O183" s="25">
        <f>(L183+N183)*Assumptions!$S$11</f>
        <v/>
      </c>
      <c r="P183" s="26">
        <f>$F183*$J183*$O183</f>
        <v/>
      </c>
    </row>
    <row r="184">
      <c r="A184" s="11" t="inlineStr">
        <is>
          <t>UNIT</t>
        </is>
      </c>
      <c r="B184" s="18" t="inlineStr">
        <is>
          <t>MARATHON_DETROIT</t>
        </is>
      </c>
      <c r="C184" s="18" t="n">
        <v>2</v>
      </c>
      <c r="D184" s="18" t="inlineStr">
        <is>
          <t>VDU</t>
        </is>
      </c>
      <c r="E184" s="18" t="inlineStr">
        <is>
          <t>VDU</t>
        </is>
      </c>
      <c r="F184" s="19" t="n">
        <v>89</v>
      </c>
      <c r="G184" s="21">
        <f>IFERROR(IF(INDEX(Effective!$E$3:$R$125,MATCH($B184,Effective!$A$3:$A$125,0),MATCH($D184,Effective!$E$2:$R$2,0))=0,"",INDEX(Effective!$E$3:$R$125,MATCH($B184,Effective!$A$3:$A$125,0),MATCH($D184,Effective!$E$2:$R$2,0))),"")</f>
        <v/>
      </c>
      <c r="H184" s="22" t="inlineStr">
        <is>
          <t>override</t>
        </is>
      </c>
      <c r="I184" s="23" t="n">
        <v>0.595</v>
      </c>
      <c r="J184" s="24">
        <f>IF(AND(IF($H190&lt;&gt;"",$H190,$H184)="override",$I184&lt;&gt;""),$I184,SUMIFS(Assumptions!$K$4:$K$8,Assumptions!$J$4:$J$8,$C184))*Assumptions!$S$10</f>
        <v/>
      </c>
      <c r="K184" s="23" t="n"/>
      <c r="L184" s="25">
        <f>IF(AND(IF($H190&lt;&gt;"",$H190,$H184)="override",$K184&lt;&gt;""),$K184,SUMIFS(Assumptions!$P$4:$P$103,Assumptions!$M$4:$M$103,$C184,Assumptions!$N$4:$N$103,$E184,Assumptions!$O$4:$O$103,"LVN"))</f>
        <v/>
      </c>
      <c r="M184" s="23" t="n"/>
      <c r="N184" s="25">
        <f>IF(AND(IF($H190&lt;&gt;"",$H190,$H184)="override",$M184&lt;&gt;""),$M184,SUMIFS(Assumptions!$P$4:$P$103,Assumptions!$M$4:$M$103,$C184,Assumptions!$N$4:$N$103,$E184,Assumptions!$O$4:$O$103,"HVN"))</f>
        <v/>
      </c>
      <c r="O184" s="25">
        <f>(L184+N184)*Assumptions!$S$11</f>
        <v/>
      </c>
      <c r="P184" s="26">
        <f>$F184*$J184*$O184</f>
        <v/>
      </c>
    </row>
    <row r="185">
      <c r="A185" s="11" t="inlineStr">
        <is>
          <t>UNIT</t>
        </is>
      </c>
      <c r="B185" s="18" t="inlineStr">
        <is>
          <t>MARATHON_DETROIT</t>
        </is>
      </c>
      <c r="C185" s="18" t="n">
        <v>2</v>
      </c>
      <c r="D185" s="18" t="inlineStr">
        <is>
          <t>FCC</t>
        </is>
      </c>
      <c r="E185" s="18" t="inlineStr">
        <is>
          <t>FCC</t>
        </is>
      </c>
      <c r="F185" s="19" t="n">
        <v>44</v>
      </c>
      <c r="G185" s="21">
        <f>IFERROR(IF(INDEX(Effective!$E$3:$R$125,MATCH($B185,Effective!$A$3:$A$125,0),MATCH($D185,Effective!$E$2:$R$2,0))=0,"",INDEX(Effective!$E$3:$R$125,MATCH($B185,Effective!$A$3:$A$125,0),MATCH($D185,Effective!$E$2:$R$2,0))),"")</f>
        <v/>
      </c>
      <c r="H185" s="22" t="inlineStr">
        <is>
          <t>override</t>
        </is>
      </c>
      <c r="I185" s="23" t="n">
        <v>0.619</v>
      </c>
      <c r="J185" s="24">
        <f>IF(AND(IF($H190&lt;&gt;"",$H190,$H185)="override",$I185&lt;&gt;""),$I185,SUMIFS(Assumptions!$K$4:$K$8,Assumptions!$J$4:$J$8,$C185))*Assumptions!$S$10</f>
        <v/>
      </c>
      <c r="K185" s="23" t="n"/>
      <c r="L185" s="25">
        <f>IF(AND(IF($H190&lt;&gt;"",$H190,$H185)="override",$K185&lt;&gt;""),$K185,SUMIFS(Assumptions!$P$4:$P$103,Assumptions!$M$4:$M$103,$C185,Assumptions!$N$4:$N$103,$E185,Assumptions!$O$4:$O$103,"LVN"))</f>
        <v/>
      </c>
      <c r="M185" s="23" t="n"/>
      <c r="N185" s="25">
        <f>IF(AND(IF($H190&lt;&gt;"",$H190,$H185)="override",$M185&lt;&gt;""),$M185,SUMIFS(Assumptions!$P$4:$P$103,Assumptions!$M$4:$M$103,$C185,Assumptions!$N$4:$N$103,$E185,Assumptions!$O$4:$O$103,"HVN"))</f>
        <v/>
      </c>
      <c r="O185" s="25">
        <f>(L185+N185)*Assumptions!$S$11</f>
        <v/>
      </c>
      <c r="P185" s="26">
        <f>$F185*$J185*$O185</f>
        <v/>
      </c>
    </row>
    <row r="186">
      <c r="A186" s="11" t="inlineStr">
        <is>
          <t>UNIT</t>
        </is>
      </c>
      <c r="B186" s="18" t="inlineStr">
        <is>
          <t>MARATHON_DETROIT</t>
        </is>
      </c>
      <c r="C186" s="18" t="n">
        <v>2</v>
      </c>
      <c r="D186" s="18" t="inlineStr">
        <is>
          <t>COKER</t>
        </is>
      </c>
      <c r="E186" s="18" t="inlineStr">
        <is>
          <t>COKER</t>
        </is>
      </c>
      <c r="F186" s="19" t="n">
        <v>36.5</v>
      </c>
      <c r="G186" s="21">
        <f>IFERROR(IF(INDEX(Effective!$E$3:$R$125,MATCH($B186,Effective!$A$3:$A$125,0),MATCH($D186,Effective!$E$2:$R$2,0))=0,"",INDEX(Effective!$E$3:$R$125,MATCH($B186,Effective!$A$3:$A$125,0),MATCH($D186,Effective!$E$2:$R$2,0))),"")</f>
        <v/>
      </c>
      <c r="H186" s="22" t="inlineStr">
        <is>
          <t>override</t>
        </is>
      </c>
      <c r="I186" s="23" t="n">
        <v>0.292</v>
      </c>
      <c r="J186" s="24">
        <f>IF(AND(IF($H190&lt;&gt;"",$H190,$H186)="override",$I186&lt;&gt;""),$I186,SUMIFS(Assumptions!$K$4:$K$8,Assumptions!$J$4:$J$8,$C186))*Assumptions!$S$10</f>
        <v/>
      </c>
      <c r="K186" s="23" t="n"/>
      <c r="L186" s="25">
        <f>IF(AND(IF($H190&lt;&gt;"",$H190,$H186)="override",$K186&lt;&gt;""),$K186,SUMIFS(Assumptions!$P$4:$P$103,Assumptions!$M$4:$M$103,$C186,Assumptions!$N$4:$N$103,$E186,Assumptions!$O$4:$O$103,"LVN"))</f>
        <v/>
      </c>
      <c r="M186" s="23" t="n"/>
      <c r="N186" s="25">
        <f>IF(AND(IF($H190&lt;&gt;"",$H190,$H186)="override",$M186&lt;&gt;""),$M186,SUMIFS(Assumptions!$P$4:$P$103,Assumptions!$M$4:$M$103,$C186,Assumptions!$N$4:$N$103,$E186,Assumptions!$O$4:$O$103,"HVN"))</f>
        <v/>
      </c>
      <c r="O186" s="25">
        <f>(L186+N186)*Assumptions!$S$11</f>
        <v/>
      </c>
      <c r="P186" s="26">
        <f>$F186*$J186*$O186</f>
        <v/>
      </c>
    </row>
    <row r="187">
      <c r="A187" s="11" t="inlineStr">
        <is>
          <t>UNIT</t>
        </is>
      </c>
      <c r="B187" s="18" t="inlineStr">
        <is>
          <t>MARATHON_DETROIT</t>
        </is>
      </c>
      <c r="C187" s="18" t="n">
        <v>2</v>
      </c>
      <c r="D187" s="18" t="inlineStr">
        <is>
          <t>CCR</t>
        </is>
      </c>
      <c r="E187" s="18" t="inlineStr">
        <is>
          <t>REFORMER</t>
        </is>
      </c>
      <c r="F187" s="19" t="n">
        <v>21.5</v>
      </c>
      <c r="G187" s="21">
        <f>IFERROR(IF(INDEX(Effective!$E$3:$R$125,MATCH($B187,Effective!$A$3:$A$125,0),MATCH($D187,Effective!$E$2:$R$2,0))=0,"",INDEX(Effective!$E$3:$R$125,MATCH($B187,Effective!$A$3:$A$125,0),MATCH($D187,Effective!$E$2:$R$2,0))),"")</f>
        <v/>
      </c>
      <c r="H187" s="22" t="inlineStr">
        <is>
          <t>override</t>
        </is>
      </c>
      <c r="I187" s="23" t="n">
        <v>1.1</v>
      </c>
      <c r="J187" s="24">
        <f>IF(AND(IF($H190&lt;&gt;"",$H190,$H187)="override",$I187&lt;&gt;""),$I187,SUMIFS(Assumptions!$K$4:$K$8,Assumptions!$J$4:$J$8,$C187))*Assumptions!$S$10</f>
        <v/>
      </c>
      <c r="K187" s="23" t="n"/>
      <c r="L187" s="25">
        <f>IF(AND(IF($H190&lt;&gt;"",$H190,$H187)="override",$K187&lt;&gt;""),$K187,SUMIFS(Assumptions!$P$4:$P$103,Assumptions!$M$4:$M$103,$C187,Assumptions!$N$4:$N$103,$E187,Assumptions!$O$4:$O$103,"LVN"))</f>
        <v/>
      </c>
      <c r="M187" s="23" t="n"/>
      <c r="N187" s="25">
        <f>IF(AND(IF($H190&lt;&gt;"",$H190,$H187)="override",$M187&lt;&gt;""),$M187,SUMIFS(Assumptions!$P$4:$P$103,Assumptions!$M$4:$M$103,$C187,Assumptions!$N$4:$N$103,$E187,Assumptions!$O$4:$O$103,"HVN"))</f>
        <v/>
      </c>
      <c r="O187" s="25">
        <f>(L187+N187)*Assumptions!$S$11</f>
        <v/>
      </c>
      <c r="P187" s="26">
        <f>$F187*$J187*$O187</f>
        <v/>
      </c>
    </row>
    <row r="188">
      <c r="A188" s="11" t="inlineStr">
        <is>
          <t>UNIT</t>
        </is>
      </c>
      <c r="B188" s="18" t="inlineStr">
        <is>
          <t>MARATHON_DETROIT</t>
        </is>
      </c>
      <c r="C188" s="18" t="n">
        <v>2</v>
      </c>
      <c r="D188" s="18" t="inlineStr">
        <is>
          <t>ALKY</t>
        </is>
      </c>
      <c r="E188" s="18" t="inlineStr">
        <is>
          <t>ALKY</t>
        </is>
      </c>
      <c r="F188" s="19" t="n">
        <v>7.5</v>
      </c>
      <c r="G188" s="21">
        <f>IFERROR(IF(INDEX(Effective!$E$3:$R$125,MATCH($B188,Effective!$A$3:$A$125,0),MATCH($D188,Effective!$E$2:$R$2,0))=0,"",INDEX(Effective!$E$3:$R$125,MATCH($B188,Effective!$A$3:$A$125,0),MATCH($D188,Effective!$E$2:$R$2,0))),"")</f>
        <v/>
      </c>
      <c r="H188" s="22" t="inlineStr">
        <is>
          <t>override</t>
        </is>
      </c>
      <c r="I188" s="23" t="n">
        <v>0.663</v>
      </c>
      <c r="J188" s="24">
        <f>IF(AND(IF($H190&lt;&gt;"",$H190,$H188)="override",$I188&lt;&gt;""),$I188,SUMIFS(Assumptions!$K$4:$K$8,Assumptions!$J$4:$J$8,$C188))*Assumptions!$S$10</f>
        <v/>
      </c>
      <c r="K188" s="23" t="n"/>
      <c r="L188" s="25">
        <f>IF(AND(IF($H190&lt;&gt;"",$H190,$H188)="override",$K188&lt;&gt;""),$K188,SUMIFS(Assumptions!$P$4:$P$103,Assumptions!$M$4:$M$103,$C188,Assumptions!$N$4:$N$103,$E188,Assumptions!$O$4:$O$103,"LVN"))</f>
        <v/>
      </c>
      <c r="M188" s="23" t="n"/>
      <c r="N188" s="25">
        <f>IF(AND(IF($H190&lt;&gt;"",$H190,$H188)="override",$M188&lt;&gt;""),$M188,SUMIFS(Assumptions!$P$4:$P$103,Assumptions!$M$4:$M$103,$C188,Assumptions!$N$4:$N$103,$E188,Assumptions!$O$4:$O$103,"HVN"))</f>
        <v/>
      </c>
      <c r="O188" s="25">
        <f>(L188+N188)*Assumptions!$S$11</f>
        <v/>
      </c>
      <c r="P188" s="26">
        <f>$F188*$J188*$O188</f>
        <v/>
      </c>
    </row>
    <row r="189">
      <c r="A189" s="11" t="inlineStr">
        <is>
          <t>UNIT</t>
        </is>
      </c>
      <c r="B189" s="18" t="inlineStr">
        <is>
          <t>MARATHON_DETROIT</t>
        </is>
      </c>
      <c r="C189" s="18" t="n">
        <v>2</v>
      </c>
      <c r="D189" s="18" t="inlineStr">
        <is>
          <t>NHT</t>
        </is>
      </c>
      <c r="E189" s="18" t="inlineStr">
        <is>
          <t>NHT</t>
        </is>
      </c>
      <c r="F189" s="19" t="n">
        <v>35.5</v>
      </c>
      <c r="G189" s="21">
        <f>IFERROR(IF(INDEX(Effective!$E$3:$R$125,MATCH($B189,Effective!$A$3:$A$125,0),MATCH($D189,Effective!$E$2:$R$2,0))=0,"",INDEX(Effective!$E$3:$R$125,MATCH($B189,Effective!$A$3:$A$125,0),MATCH($D189,Effective!$E$2:$R$2,0))),"")</f>
        <v/>
      </c>
      <c r="H189" s="22" t="inlineStr">
        <is>
          <t>override</t>
        </is>
      </c>
      <c r="I189" s="23" t="n">
        <v>1</v>
      </c>
      <c r="J189" s="24">
        <f>IF(AND(IF($H190&lt;&gt;"",$H190,$H189)="override",$I189&lt;&gt;""),$I189,SUMIFS(Assumptions!$K$4:$K$8,Assumptions!$J$4:$J$8,$C189))*Assumptions!$S$10</f>
        <v/>
      </c>
      <c r="K189" s="23" t="n"/>
      <c r="L189" s="25">
        <f>IF(AND(IF($H190&lt;&gt;"",$H190,$H189)="override",$K189&lt;&gt;""),$K189,SUMIFS(Assumptions!$P$4:$P$103,Assumptions!$M$4:$M$103,$C189,Assumptions!$N$4:$N$103,$E189,Assumptions!$O$4:$O$103,"LVN"))</f>
        <v/>
      </c>
      <c r="M189" s="23" t="n"/>
      <c r="N189" s="25">
        <f>IF(AND(IF($H190&lt;&gt;"",$H190,$H189)="override",$M189&lt;&gt;""),$M189,SUMIFS(Assumptions!$P$4:$P$103,Assumptions!$M$4:$M$103,$C189,Assumptions!$N$4:$N$103,$E189,Assumptions!$O$4:$O$103,"HVN"))</f>
        <v/>
      </c>
      <c r="O189" s="25">
        <f>(L189+N189)*Assumptions!$S$11</f>
        <v/>
      </c>
      <c r="P189" s="26">
        <f>$F189*$J189*$O189</f>
        <v/>
      </c>
    </row>
    <row r="190">
      <c r="A190" s="27" t="inlineStr">
        <is>
          <t>TOTAL</t>
        </is>
      </c>
      <c r="B190" s="28" t="inlineStr">
        <is>
          <t>MARATHON_DETROIT</t>
        </is>
      </c>
      <c r="C190" s="28" t="n">
        <v>2</v>
      </c>
      <c r="D190" s="28" t="inlineStr">
        <is>
          <t>NET NAPHTHA</t>
        </is>
      </c>
      <c r="H190" s="22" t="n"/>
      <c r="P190" s="29">
        <f>SUM(P183:P189)</f>
        <v/>
      </c>
    </row>
    <row r="192" ht="20" customHeight="1">
      <c r="A192" s="8">
        <f>"  HF Sinclair El Dorado (KS)  [HF_EL_DORADO_KS]   —   HF Sinclair   —   PADD 2   —   crude "&amp;TEXT(SUMIFS(Data!$G$3:$G$125,Data!$A$3:$A$125,"HF_EL_DORADO_KS"),"#,##0")&amp;" kbd"</f>
        <v/>
      </c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</row>
    <row r="193">
      <c r="A193" s="11" t="inlineStr">
        <is>
          <t>UNIT</t>
        </is>
      </c>
      <c r="B193" s="18" t="inlineStr">
        <is>
          <t>HF_EL_DORADO_KS</t>
        </is>
      </c>
      <c r="C193" s="18" t="n">
        <v>2</v>
      </c>
      <c r="D193" s="18" t="inlineStr">
        <is>
          <t>CDU</t>
        </is>
      </c>
      <c r="E193" s="18" t="inlineStr">
        <is>
          <t>CDU</t>
        </is>
      </c>
      <c r="F193" s="19" t="n">
        <v>165</v>
      </c>
      <c r="G193" s="21">
        <f>IFERROR(IF(INDEX(Effective!$E$3:$R$125,MATCH($B193,Effective!$A$3:$A$125,0),MATCH($D193,Effective!$E$2:$R$2,0))=0,"",INDEX(Effective!$E$3:$R$125,MATCH($B193,Effective!$A$3:$A$125,0),MATCH($D193,Effective!$E$2:$R$2,0))),"")</f>
        <v/>
      </c>
      <c r="H193" s="22" t="inlineStr">
        <is>
          <t>override</t>
        </is>
      </c>
      <c r="I193" s="23" t="n">
        <v>0.87</v>
      </c>
      <c r="J193" s="24">
        <f>IF(AND(IF($H203&lt;&gt;"",$H203,$H193)="override",$I193&lt;&gt;""),$I193,SUMIFS(Assumptions!$K$4:$K$8,Assumptions!$J$4:$J$8,$C193))*Assumptions!$S$10</f>
        <v/>
      </c>
      <c r="K193" s="23" t="n"/>
      <c r="L193" s="25">
        <f>IF(AND(IF($H203&lt;&gt;"",$H203,$H193)="override",$K193&lt;&gt;""),$K193,SUMIFS(Assumptions!$P$4:$P$103,Assumptions!$M$4:$M$103,$C193,Assumptions!$N$4:$N$103,$E193,Assumptions!$O$4:$O$103,"LVN"))</f>
        <v/>
      </c>
      <c r="M193" s="23" t="n"/>
      <c r="N193" s="25">
        <f>IF(AND(IF($H203&lt;&gt;"",$H203,$H193)="override",$M193&lt;&gt;""),$M193,SUMIFS(Assumptions!$P$4:$P$103,Assumptions!$M$4:$M$103,$C193,Assumptions!$N$4:$N$103,$E193,Assumptions!$O$4:$O$103,"HVN"))</f>
        <v/>
      </c>
      <c r="O193" s="25">
        <f>(L193+N193)*Assumptions!$S$11</f>
        <v/>
      </c>
      <c r="P193" s="26">
        <f>$F193*$J193*$O193</f>
        <v/>
      </c>
    </row>
    <row r="194">
      <c r="A194" s="11" t="inlineStr">
        <is>
          <t>UNIT</t>
        </is>
      </c>
      <c r="B194" s="18" t="inlineStr">
        <is>
          <t>HF_EL_DORADO_KS</t>
        </is>
      </c>
      <c r="C194" s="18" t="n">
        <v>2</v>
      </c>
      <c r="D194" s="18" t="inlineStr">
        <is>
          <t>VDU</t>
        </is>
      </c>
      <c r="E194" s="18" t="inlineStr">
        <is>
          <t>VDU</t>
        </is>
      </c>
      <c r="F194" s="19" t="n">
        <v>65</v>
      </c>
      <c r="G194" s="21">
        <f>IFERROR(IF(INDEX(Effective!$E$3:$R$125,MATCH($B194,Effective!$A$3:$A$125,0),MATCH($D194,Effective!$E$2:$R$2,0))=0,"",INDEX(Effective!$E$3:$R$125,MATCH($B194,Effective!$A$3:$A$125,0),MATCH($D194,Effective!$E$2:$R$2,0))),"")</f>
        <v/>
      </c>
      <c r="H194" s="22" t="inlineStr">
        <is>
          <t>override</t>
        </is>
      </c>
      <c r="I194" s="23" t="n">
        <v>0.99</v>
      </c>
      <c r="J194" s="24">
        <f>IF(AND(IF($H203&lt;&gt;"",$H203,$H194)="override",$I194&lt;&gt;""),$I194,SUMIFS(Assumptions!$K$4:$K$8,Assumptions!$J$4:$J$8,$C194))*Assumptions!$S$10</f>
        <v/>
      </c>
      <c r="K194" s="23" t="n"/>
      <c r="L194" s="25">
        <f>IF(AND(IF($H203&lt;&gt;"",$H203,$H194)="override",$K194&lt;&gt;""),$K194,SUMIFS(Assumptions!$P$4:$P$103,Assumptions!$M$4:$M$103,$C194,Assumptions!$N$4:$N$103,$E194,Assumptions!$O$4:$O$103,"LVN"))</f>
        <v/>
      </c>
      <c r="M194" s="23" t="n"/>
      <c r="N194" s="25">
        <f>IF(AND(IF($H203&lt;&gt;"",$H203,$H194)="override",$M194&lt;&gt;""),$M194,SUMIFS(Assumptions!$P$4:$P$103,Assumptions!$M$4:$M$103,$C194,Assumptions!$N$4:$N$103,$E194,Assumptions!$O$4:$O$103,"HVN"))</f>
        <v/>
      </c>
      <c r="O194" s="25">
        <f>(L194+N194)*Assumptions!$S$11</f>
        <v/>
      </c>
      <c r="P194" s="26">
        <f>$F194*$J194*$O194</f>
        <v/>
      </c>
    </row>
    <row r="195">
      <c r="A195" s="11" t="inlineStr">
        <is>
          <t>UNIT</t>
        </is>
      </c>
      <c r="B195" s="18" t="inlineStr">
        <is>
          <t>HF_EL_DORADO_KS</t>
        </is>
      </c>
      <c r="C195" s="18" t="n">
        <v>2</v>
      </c>
      <c r="D195" s="18" t="inlineStr">
        <is>
          <t>FCC</t>
        </is>
      </c>
      <c r="E195" s="18" t="inlineStr">
        <is>
          <t>FCC</t>
        </is>
      </c>
      <c r="F195" s="19" t="n">
        <v>44</v>
      </c>
      <c r="G195" s="21">
        <f>IFERROR(IF(INDEX(Effective!$E$3:$R$125,MATCH($B195,Effective!$A$3:$A$125,0),MATCH($D195,Effective!$E$2:$R$2,0))=0,"",INDEX(Effective!$E$3:$R$125,MATCH($B195,Effective!$A$3:$A$125,0),MATCH($D195,Effective!$E$2:$R$2,0))),"")</f>
        <v/>
      </c>
      <c r="H195" s="22" t="inlineStr">
        <is>
          <t>override</t>
        </is>
      </c>
      <c r="I195" s="23" t="n">
        <v>0.984</v>
      </c>
      <c r="J195" s="24">
        <f>IF(AND(IF($H203&lt;&gt;"",$H203,$H195)="override",$I195&lt;&gt;""),$I195,SUMIFS(Assumptions!$K$4:$K$8,Assumptions!$J$4:$J$8,$C195))*Assumptions!$S$10</f>
        <v/>
      </c>
      <c r="K195" s="23" t="n"/>
      <c r="L195" s="25">
        <f>IF(AND(IF($H203&lt;&gt;"",$H203,$H195)="override",$K195&lt;&gt;""),$K195,SUMIFS(Assumptions!$P$4:$P$103,Assumptions!$M$4:$M$103,$C195,Assumptions!$N$4:$N$103,$E195,Assumptions!$O$4:$O$103,"LVN"))</f>
        <v/>
      </c>
      <c r="M195" s="23" t="n"/>
      <c r="N195" s="25">
        <f>IF(AND(IF($H203&lt;&gt;"",$H203,$H195)="override",$M195&lt;&gt;""),$M195,SUMIFS(Assumptions!$P$4:$P$103,Assumptions!$M$4:$M$103,$C195,Assumptions!$N$4:$N$103,$E195,Assumptions!$O$4:$O$103,"HVN"))</f>
        <v/>
      </c>
      <c r="O195" s="25">
        <f>(L195+N195)*Assumptions!$S$11</f>
        <v/>
      </c>
      <c r="P195" s="26">
        <f>$F195*$J195*$O195</f>
        <v/>
      </c>
    </row>
    <row r="196">
      <c r="A196" s="11" t="inlineStr">
        <is>
          <t>UNIT</t>
        </is>
      </c>
      <c r="B196" s="18" t="inlineStr">
        <is>
          <t>HF_EL_DORADO_KS</t>
        </is>
      </c>
      <c r="C196" s="18" t="n">
        <v>2</v>
      </c>
      <c r="D196" s="18" t="inlineStr">
        <is>
          <t>COKER</t>
        </is>
      </c>
      <c r="E196" s="18" t="inlineStr">
        <is>
          <t>COKER</t>
        </is>
      </c>
      <c r="F196" s="19" t="n">
        <v>22.5</v>
      </c>
      <c r="G196" s="21">
        <f>IFERROR(IF(INDEX(Effective!$E$3:$R$125,MATCH($B196,Effective!$A$3:$A$125,0),MATCH($D196,Effective!$E$2:$R$2,0))=0,"",INDEX(Effective!$E$3:$R$125,MATCH($B196,Effective!$A$3:$A$125,0),MATCH($D196,Effective!$E$2:$R$2,0))),"")</f>
        <v/>
      </c>
      <c r="H196" s="22" t="inlineStr">
        <is>
          <t>override</t>
        </is>
      </c>
      <c r="I196" s="23" t="n">
        <v>1</v>
      </c>
      <c r="J196" s="24">
        <f>IF(AND(IF($H203&lt;&gt;"",$H203,$H196)="override",$I196&lt;&gt;""),$I196,SUMIFS(Assumptions!$K$4:$K$8,Assumptions!$J$4:$J$8,$C196))*Assumptions!$S$10</f>
        <v/>
      </c>
      <c r="K196" s="23" t="n"/>
      <c r="L196" s="25">
        <f>IF(AND(IF($H203&lt;&gt;"",$H203,$H196)="override",$K196&lt;&gt;""),$K196,SUMIFS(Assumptions!$P$4:$P$103,Assumptions!$M$4:$M$103,$C196,Assumptions!$N$4:$N$103,$E196,Assumptions!$O$4:$O$103,"LVN"))</f>
        <v/>
      </c>
      <c r="M196" s="23" t="n"/>
      <c r="N196" s="25">
        <f>IF(AND(IF($H203&lt;&gt;"",$H203,$H196)="override",$M196&lt;&gt;""),$M196,SUMIFS(Assumptions!$P$4:$P$103,Assumptions!$M$4:$M$103,$C196,Assumptions!$N$4:$N$103,$E196,Assumptions!$O$4:$O$103,"HVN"))</f>
        <v/>
      </c>
      <c r="O196" s="25">
        <f>(L196+N196)*Assumptions!$S$11</f>
        <v/>
      </c>
      <c r="P196" s="26">
        <f>$F196*$J196*$O196</f>
        <v/>
      </c>
    </row>
    <row r="197">
      <c r="A197" s="11" t="inlineStr">
        <is>
          <t>UNIT</t>
        </is>
      </c>
      <c r="B197" s="18" t="inlineStr">
        <is>
          <t>HF_EL_DORADO_KS</t>
        </is>
      </c>
      <c r="C197" s="18" t="n">
        <v>2</v>
      </c>
      <c r="D197" s="18" t="inlineStr">
        <is>
          <t>CCR</t>
        </is>
      </c>
      <c r="E197" s="18" t="inlineStr">
        <is>
          <t>REFORMER</t>
        </is>
      </c>
      <c r="F197" s="19" t="n">
        <v>7.5</v>
      </c>
      <c r="G197" s="21">
        <f>IFERROR(IF(INDEX(Effective!$E$3:$R$125,MATCH($B197,Effective!$A$3:$A$125,0),MATCH($D197,Effective!$E$2:$R$2,0))=0,"",INDEX(Effective!$E$3:$R$125,MATCH($B197,Effective!$A$3:$A$125,0),MATCH($D197,Effective!$E$2:$R$2,0))),"")</f>
        <v/>
      </c>
      <c r="H197" s="22" t="inlineStr">
        <is>
          <t>override</t>
        </is>
      </c>
      <c r="I197" s="23" t="n">
        <v>1.1</v>
      </c>
      <c r="J197" s="24">
        <f>IF(AND(IF($H203&lt;&gt;"",$H203,$H197)="override",$I197&lt;&gt;""),$I197,SUMIFS(Assumptions!$K$4:$K$8,Assumptions!$J$4:$J$8,$C197))*Assumptions!$S$10</f>
        <v/>
      </c>
      <c r="K197" s="23" t="n"/>
      <c r="L197" s="25">
        <f>IF(AND(IF($H203&lt;&gt;"",$H203,$H197)="override",$K197&lt;&gt;""),$K197,SUMIFS(Assumptions!$P$4:$P$103,Assumptions!$M$4:$M$103,$C197,Assumptions!$N$4:$N$103,$E197,Assumptions!$O$4:$O$103,"LVN"))</f>
        <v/>
      </c>
      <c r="M197" s="23" t="n"/>
      <c r="N197" s="25">
        <f>IF(AND(IF($H203&lt;&gt;"",$H203,$H197)="override",$M197&lt;&gt;""),$M197,SUMIFS(Assumptions!$P$4:$P$103,Assumptions!$M$4:$M$103,$C197,Assumptions!$N$4:$N$103,$E197,Assumptions!$O$4:$O$103,"HVN"))</f>
        <v/>
      </c>
      <c r="O197" s="25">
        <f>(L197+N197)*Assumptions!$S$11</f>
        <v/>
      </c>
      <c r="P197" s="26">
        <f>$F197*$J197*$O197</f>
        <v/>
      </c>
    </row>
    <row r="198">
      <c r="A198" s="11" t="inlineStr">
        <is>
          <t>UNIT</t>
        </is>
      </c>
      <c r="B198" s="18" t="inlineStr">
        <is>
          <t>HF_EL_DORADO_KS</t>
        </is>
      </c>
      <c r="C198" s="18" t="n">
        <v>2</v>
      </c>
      <c r="D198" s="18" t="inlineStr">
        <is>
          <t>REF</t>
        </is>
      </c>
      <c r="E198" s="18" t="inlineStr">
        <is>
          <t>REFORMER</t>
        </is>
      </c>
      <c r="F198" s="19" t="n">
        <v>23.5</v>
      </c>
      <c r="G198" s="21">
        <f>IFERROR(IF(INDEX(Effective!$E$3:$R$125,MATCH($B198,Effective!$A$3:$A$125,0),MATCH($D198,Effective!$E$2:$R$2,0))=0,"",INDEX(Effective!$E$3:$R$125,MATCH($B198,Effective!$A$3:$A$125,0),MATCH($D198,Effective!$E$2:$R$2,0))),"")</f>
        <v/>
      </c>
      <c r="H198" s="22" t="inlineStr">
        <is>
          <t>override</t>
        </is>
      </c>
      <c r="I198" s="23" t="n"/>
      <c r="J198" s="24">
        <f>IF(AND(IF($H203&lt;&gt;"",$H203,$H198)="override",$I198&lt;&gt;""),$I198,SUMIFS(Assumptions!$K$4:$K$8,Assumptions!$J$4:$J$8,$C198))*Assumptions!$S$10</f>
        <v/>
      </c>
      <c r="K198" s="23" t="n"/>
      <c r="L198" s="25">
        <f>IF(AND(IF($H203&lt;&gt;"",$H203,$H198)="override",$K198&lt;&gt;""),$K198,SUMIFS(Assumptions!$P$4:$P$103,Assumptions!$M$4:$M$103,$C198,Assumptions!$N$4:$N$103,$E198,Assumptions!$O$4:$O$103,"LVN"))</f>
        <v/>
      </c>
      <c r="M198" s="23" t="n"/>
      <c r="N198" s="25">
        <f>IF(AND(IF($H203&lt;&gt;"",$H203,$H198)="override",$M198&lt;&gt;""),$M198,SUMIFS(Assumptions!$P$4:$P$103,Assumptions!$M$4:$M$103,$C198,Assumptions!$N$4:$N$103,$E198,Assumptions!$O$4:$O$103,"HVN"))</f>
        <v/>
      </c>
      <c r="O198" s="25">
        <f>(L198+N198)*Assumptions!$S$11</f>
        <v/>
      </c>
      <c r="P198" s="26">
        <f>$F198*$J198*$O198</f>
        <v/>
      </c>
    </row>
    <row r="199">
      <c r="A199" s="11" t="inlineStr">
        <is>
          <t>UNIT</t>
        </is>
      </c>
      <c r="B199" s="18" t="inlineStr">
        <is>
          <t>HF_EL_DORADO_KS</t>
        </is>
      </c>
      <c r="C199" s="18" t="n">
        <v>2</v>
      </c>
      <c r="D199" s="18" t="inlineStr">
        <is>
          <t>ISOM</t>
        </is>
      </c>
      <c r="E199" s="18" t="inlineStr">
        <is>
          <t>ISOM</t>
        </is>
      </c>
      <c r="F199" s="19" t="n">
        <v>15</v>
      </c>
      <c r="G199" s="21">
        <f>IFERROR(IF(INDEX(Effective!$E$3:$R$125,MATCH($B199,Effective!$A$3:$A$125,0),MATCH($D199,Effective!$E$2:$R$2,0))=0,"",INDEX(Effective!$E$3:$R$125,MATCH($B199,Effective!$A$3:$A$125,0),MATCH($D199,Effective!$E$2:$R$2,0))),"")</f>
        <v/>
      </c>
      <c r="H199" s="22" t="inlineStr">
        <is>
          <t>override</t>
        </is>
      </c>
      <c r="I199" s="23" t="n">
        <v>0.119</v>
      </c>
      <c r="J199" s="24">
        <f>IF(AND(IF($H203&lt;&gt;"",$H203,$H199)="override",$I199&lt;&gt;""),$I199,SUMIFS(Assumptions!$K$4:$K$8,Assumptions!$J$4:$J$8,$C199))*Assumptions!$S$10</f>
        <v/>
      </c>
      <c r="K199" s="23" t="n"/>
      <c r="L199" s="25">
        <f>IF(AND(IF($H203&lt;&gt;"",$H203,$H199)="override",$K199&lt;&gt;""),$K199,SUMIFS(Assumptions!$P$4:$P$103,Assumptions!$M$4:$M$103,$C199,Assumptions!$N$4:$N$103,$E199,Assumptions!$O$4:$O$103,"LVN"))</f>
        <v/>
      </c>
      <c r="M199" s="23" t="n"/>
      <c r="N199" s="25">
        <f>IF(AND(IF($H203&lt;&gt;"",$H203,$H199)="override",$M199&lt;&gt;""),$M199,SUMIFS(Assumptions!$P$4:$P$103,Assumptions!$M$4:$M$103,$C199,Assumptions!$N$4:$N$103,$E199,Assumptions!$O$4:$O$103,"HVN"))</f>
        <v/>
      </c>
      <c r="O199" s="25">
        <f>(L199+N199)*Assumptions!$S$11</f>
        <v/>
      </c>
      <c r="P199" s="26">
        <f>$F199*$J199*$O199</f>
        <v/>
      </c>
    </row>
    <row r="200">
      <c r="A200" s="11" t="inlineStr">
        <is>
          <t>UNIT</t>
        </is>
      </c>
      <c r="B200" s="18" t="inlineStr">
        <is>
          <t>HF_EL_DORADO_KS</t>
        </is>
      </c>
      <c r="C200" s="18" t="n">
        <v>2</v>
      </c>
      <c r="D200" s="18" t="inlineStr">
        <is>
          <t>ALKY</t>
        </is>
      </c>
      <c r="E200" s="18" t="inlineStr">
        <is>
          <t>ALKY</t>
        </is>
      </c>
      <c r="F200" s="19" t="n">
        <v>14</v>
      </c>
      <c r="G200" s="21">
        <f>IFERROR(IF(INDEX(Effective!$E$3:$R$125,MATCH($B200,Effective!$A$3:$A$125,0),MATCH($D200,Effective!$E$2:$R$2,0))=0,"",INDEX(Effective!$E$3:$R$125,MATCH($B200,Effective!$A$3:$A$125,0),MATCH($D200,Effective!$E$2:$R$2,0))),"")</f>
        <v/>
      </c>
      <c r="H200" s="22" t="inlineStr">
        <is>
          <t>override</t>
        </is>
      </c>
      <c r="I200" s="23" t="n">
        <v>1.1</v>
      </c>
      <c r="J200" s="24">
        <f>IF(AND(IF($H203&lt;&gt;"",$H203,$H200)="override",$I200&lt;&gt;""),$I200,SUMIFS(Assumptions!$K$4:$K$8,Assumptions!$J$4:$J$8,$C200))*Assumptions!$S$10</f>
        <v/>
      </c>
      <c r="K200" s="23" t="n"/>
      <c r="L200" s="25">
        <f>IF(AND(IF($H203&lt;&gt;"",$H203,$H200)="override",$K200&lt;&gt;""),$K200,SUMIFS(Assumptions!$P$4:$P$103,Assumptions!$M$4:$M$103,$C200,Assumptions!$N$4:$N$103,$E200,Assumptions!$O$4:$O$103,"LVN"))</f>
        <v/>
      </c>
      <c r="M200" s="23" t="n"/>
      <c r="N200" s="25">
        <f>IF(AND(IF($H203&lt;&gt;"",$H203,$H200)="override",$M200&lt;&gt;""),$M200,SUMIFS(Assumptions!$P$4:$P$103,Assumptions!$M$4:$M$103,$C200,Assumptions!$N$4:$N$103,$E200,Assumptions!$O$4:$O$103,"HVN"))</f>
        <v/>
      </c>
      <c r="O200" s="25">
        <f>(L200+N200)*Assumptions!$S$11</f>
        <v/>
      </c>
      <c r="P200" s="26">
        <f>$F200*$J200*$O200</f>
        <v/>
      </c>
    </row>
    <row r="201">
      <c r="A201" s="11" t="inlineStr">
        <is>
          <t>UNIT</t>
        </is>
      </c>
      <c r="B201" s="18" t="inlineStr">
        <is>
          <t>HF_EL_DORADO_KS</t>
        </is>
      </c>
      <c r="C201" s="18" t="n">
        <v>2</v>
      </c>
      <c r="D201" s="18" t="inlineStr">
        <is>
          <t>NHT</t>
        </is>
      </c>
      <c r="E201" s="18" t="inlineStr">
        <is>
          <t>NHT</t>
        </is>
      </c>
      <c r="F201" s="19" t="n">
        <v>50</v>
      </c>
      <c r="G201" s="21">
        <f>IFERROR(IF(INDEX(Effective!$E$3:$R$125,MATCH($B201,Effective!$A$3:$A$125,0),MATCH($D201,Effective!$E$2:$R$2,0))=0,"",INDEX(Effective!$E$3:$R$125,MATCH($B201,Effective!$A$3:$A$125,0),MATCH($D201,Effective!$E$2:$R$2,0))),"")</f>
        <v/>
      </c>
      <c r="H201" s="22" t="inlineStr">
        <is>
          <t>override</t>
        </is>
      </c>
      <c r="I201" s="23" t="n">
        <v>0.8169999999999999</v>
      </c>
      <c r="J201" s="24">
        <f>IF(AND(IF($H203&lt;&gt;"",$H203,$H201)="override",$I201&lt;&gt;""),$I201,SUMIFS(Assumptions!$K$4:$K$8,Assumptions!$J$4:$J$8,$C201))*Assumptions!$S$10</f>
        <v/>
      </c>
      <c r="K201" s="23" t="n"/>
      <c r="L201" s="25">
        <f>IF(AND(IF($H203&lt;&gt;"",$H203,$H201)="override",$K201&lt;&gt;""),$K201,SUMIFS(Assumptions!$P$4:$P$103,Assumptions!$M$4:$M$103,$C201,Assumptions!$N$4:$N$103,$E201,Assumptions!$O$4:$O$103,"LVN"))</f>
        <v/>
      </c>
      <c r="M201" s="23" t="n"/>
      <c r="N201" s="25">
        <f>IF(AND(IF($H203&lt;&gt;"",$H203,$H201)="override",$M201&lt;&gt;""),$M201,SUMIFS(Assumptions!$P$4:$P$103,Assumptions!$M$4:$M$103,$C201,Assumptions!$N$4:$N$103,$E201,Assumptions!$O$4:$O$103,"HVN"))</f>
        <v/>
      </c>
      <c r="O201" s="25">
        <f>(L201+N201)*Assumptions!$S$11</f>
        <v/>
      </c>
      <c r="P201" s="26">
        <f>$F201*$J201*$O201</f>
        <v/>
      </c>
    </row>
    <row r="202">
      <c r="A202" s="11" t="inlineStr">
        <is>
          <t>UNIT</t>
        </is>
      </c>
      <c r="B202" s="18" t="inlineStr">
        <is>
          <t>HF_EL_DORADO_KS</t>
        </is>
      </c>
      <c r="C202" s="18" t="n">
        <v>2</v>
      </c>
      <c r="D202" s="18" t="inlineStr">
        <is>
          <t>NSPL</t>
        </is>
      </c>
      <c r="E202" s="18" t="inlineStr">
        <is>
          <t>SPLITTER</t>
        </is>
      </c>
      <c r="F202" s="19" t="n">
        <v>50</v>
      </c>
      <c r="G202" s="21">
        <f>IFERROR(IF(INDEX(Effective!$E$3:$R$125,MATCH($B202,Effective!$A$3:$A$125,0),MATCH($D202,Effective!$E$2:$R$2,0))=0,"",INDEX(Effective!$E$3:$R$125,MATCH($B202,Effective!$A$3:$A$125,0),MATCH($D202,Effective!$E$2:$R$2,0))),"")</f>
        <v/>
      </c>
      <c r="H202" s="22" t="inlineStr">
        <is>
          <t>override</t>
        </is>
      </c>
      <c r="I202" s="23" t="n"/>
      <c r="J202" s="24">
        <f>IF(AND(IF($H203&lt;&gt;"",$H203,$H202)="override",$I202&lt;&gt;""),$I202,SUMIFS(Assumptions!$K$4:$K$8,Assumptions!$J$4:$J$8,$C202))*Assumptions!$S$10</f>
        <v/>
      </c>
      <c r="K202" s="23" t="n"/>
      <c r="L202" s="25">
        <f>IF(AND(IF($H203&lt;&gt;"",$H203,$H202)="override",$K202&lt;&gt;""),$K202,SUMIFS(Assumptions!$P$4:$P$103,Assumptions!$M$4:$M$103,$C202,Assumptions!$N$4:$N$103,$E202,Assumptions!$O$4:$O$103,"LVN"))</f>
        <v/>
      </c>
      <c r="M202" s="23" t="n"/>
      <c r="N202" s="25">
        <f>IF(AND(IF($H203&lt;&gt;"",$H203,$H202)="override",$M202&lt;&gt;""),$M202,SUMIFS(Assumptions!$P$4:$P$103,Assumptions!$M$4:$M$103,$C202,Assumptions!$N$4:$N$103,$E202,Assumptions!$O$4:$O$103,"HVN"))</f>
        <v/>
      </c>
      <c r="O202" s="25">
        <f>(L202+N202)*Assumptions!$S$11</f>
        <v/>
      </c>
      <c r="P202" s="26">
        <f>$F202*$J202*$O202</f>
        <v/>
      </c>
    </row>
    <row r="203">
      <c r="A203" s="27" t="inlineStr">
        <is>
          <t>TOTAL</t>
        </is>
      </c>
      <c r="B203" s="28" t="inlineStr">
        <is>
          <t>HF_EL_DORADO_KS</t>
        </is>
      </c>
      <c r="C203" s="28" t="n">
        <v>2</v>
      </c>
      <c r="D203" s="28" t="inlineStr">
        <is>
          <t>NET NAPHTHA</t>
        </is>
      </c>
      <c r="H203" s="22" t="n"/>
      <c r="P203" s="29">
        <f>SUM(P193:P202)</f>
        <v/>
      </c>
    </row>
    <row r="205" ht="20" customHeight="1">
      <c r="A205" s="8">
        <f>"  CVR Energy Coffeyville  [CVR_COFFEYVILLE]   —   Icahn Enterprises (80%) / Other Investors (20%)   —   PADD 2   —   crude "&amp;TEXT(SUMIFS(Data!$G$3:$G$125,Data!$A$3:$A$125,"CVR_COFFEYVILLE"),"#,##0")&amp;" kbd"</f>
        <v/>
      </c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</row>
    <row r="206">
      <c r="A206" s="11" t="inlineStr">
        <is>
          <t>UNIT</t>
        </is>
      </c>
      <c r="B206" s="18" t="inlineStr">
        <is>
          <t>CVR_COFFEYVILLE</t>
        </is>
      </c>
      <c r="C206" s="18" t="n">
        <v>2</v>
      </c>
      <c r="D206" s="18" t="inlineStr">
        <is>
          <t>CDU</t>
        </is>
      </c>
      <c r="E206" s="18" t="inlineStr">
        <is>
          <t>CDU</t>
        </is>
      </c>
      <c r="F206" s="19" t="n">
        <v>136</v>
      </c>
      <c r="G206" s="21">
        <f>IFERROR(IF(INDEX(Effective!$E$3:$R$125,MATCH($B206,Effective!$A$3:$A$125,0),MATCH($D206,Effective!$E$2:$R$2,0))=0,"",INDEX(Effective!$E$3:$R$125,MATCH($B206,Effective!$A$3:$A$125,0),MATCH($D206,Effective!$E$2:$R$2,0))),"")</f>
        <v/>
      </c>
      <c r="H206" s="22" t="inlineStr">
        <is>
          <t>override</t>
        </is>
      </c>
      <c r="I206" s="23" t="n">
        <v>0.91</v>
      </c>
      <c r="J206" s="24">
        <f>IF(AND(IF($H213&lt;&gt;"",$H213,$H206)="override",$I206&lt;&gt;""),$I206,SUMIFS(Assumptions!$K$4:$K$8,Assumptions!$J$4:$J$8,$C206))*Assumptions!$S$10</f>
        <v/>
      </c>
      <c r="K206" s="23" t="n"/>
      <c r="L206" s="25">
        <f>IF(AND(IF($H213&lt;&gt;"",$H213,$H206)="override",$K206&lt;&gt;""),$K206,SUMIFS(Assumptions!$P$4:$P$103,Assumptions!$M$4:$M$103,$C206,Assumptions!$N$4:$N$103,$E206,Assumptions!$O$4:$O$103,"LVN"))</f>
        <v/>
      </c>
      <c r="M206" s="23" t="n"/>
      <c r="N206" s="25">
        <f>IF(AND(IF($H213&lt;&gt;"",$H213,$H206)="override",$M206&lt;&gt;""),$M206,SUMIFS(Assumptions!$P$4:$P$103,Assumptions!$M$4:$M$103,$C206,Assumptions!$N$4:$N$103,$E206,Assumptions!$O$4:$O$103,"HVN"))</f>
        <v/>
      </c>
      <c r="O206" s="25">
        <f>(L206+N206)*Assumptions!$S$11</f>
        <v/>
      </c>
      <c r="P206" s="26">
        <f>$F206*$J206*$O206</f>
        <v/>
      </c>
    </row>
    <row r="207">
      <c r="A207" s="11" t="inlineStr">
        <is>
          <t>UNIT</t>
        </is>
      </c>
      <c r="B207" s="18" t="inlineStr">
        <is>
          <t>CVR_COFFEYVILLE</t>
        </is>
      </c>
      <c r="C207" s="18" t="n">
        <v>2</v>
      </c>
      <c r="D207" s="18" t="inlineStr">
        <is>
          <t>VDU</t>
        </is>
      </c>
      <c r="E207" s="18" t="inlineStr">
        <is>
          <t>VDU</t>
        </is>
      </c>
      <c r="F207" s="19" t="n">
        <v>46</v>
      </c>
      <c r="G207" s="21">
        <f>IFERROR(IF(INDEX(Effective!$E$3:$R$125,MATCH($B207,Effective!$A$3:$A$125,0),MATCH($D207,Effective!$E$2:$R$2,0))=0,"",INDEX(Effective!$E$3:$R$125,MATCH($B207,Effective!$A$3:$A$125,0),MATCH($D207,Effective!$E$2:$R$2,0))),"")</f>
        <v/>
      </c>
      <c r="H207" s="22" t="inlineStr">
        <is>
          <t>override</t>
        </is>
      </c>
      <c r="I207" s="23" t="n">
        <v>0.993</v>
      </c>
      <c r="J207" s="24">
        <f>IF(AND(IF($H213&lt;&gt;"",$H213,$H207)="override",$I207&lt;&gt;""),$I207,SUMIFS(Assumptions!$K$4:$K$8,Assumptions!$J$4:$J$8,$C207))*Assumptions!$S$10</f>
        <v/>
      </c>
      <c r="K207" s="23" t="n"/>
      <c r="L207" s="25">
        <f>IF(AND(IF($H213&lt;&gt;"",$H213,$H207)="override",$K207&lt;&gt;""),$K207,SUMIFS(Assumptions!$P$4:$P$103,Assumptions!$M$4:$M$103,$C207,Assumptions!$N$4:$N$103,$E207,Assumptions!$O$4:$O$103,"LVN"))</f>
        <v/>
      </c>
      <c r="M207" s="23" t="n"/>
      <c r="N207" s="25">
        <f>IF(AND(IF($H213&lt;&gt;"",$H213,$H207)="override",$M207&lt;&gt;""),$M207,SUMIFS(Assumptions!$P$4:$P$103,Assumptions!$M$4:$M$103,$C207,Assumptions!$N$4:$N$103,$E207,Assumptions!$O$4:$O$103,"HVN"))</f>
        <v/>
      </c>
      <c r="O207" s="25">
        <f>(L207+N207)*Assumptions!$S$11</f>
        <v/>
      </c>
      <c r="P207" s="26">
        <f>$F207*$J207*$O207</f>
        <v/>
      </c>
    </row>
    <row r="208">
      <c r="A208" s="11" t="inlineStr">
        <is>
          <t>UNIT</t>
        </is>
      </c>
      <c r="B208" s="18" t="inlineStr">
        <is>
          <t>CVR_COFFEYVILLE</t>
        </is>
      </c>
      <c r="C208" s="18" t="n">
        <v>2</v>
      </c>
      <c r="D208" s="18" t="inlineStr">
        <is>
          <t>FCC</t>
        </is>
      </c>
      <c r="E208" s="18" t="inlineStr">
        <is>
          <t>FCC</t>
        </is>
      </c>
      <c r="F208" s="19" t="n">
        <v>36</v>
      </c>
      <c r="G208" s="21">
        <f>IFERROR(IF(INDEX(Effective!$E$3:$R$125,MATCH($B208,Effective!$A$3:$A$125,0),MATCH($D208,Effective!$E$2:$R$2,0))=0,"",INDEX(Effective!$E$3:$R$125,MATCH($B208,Effective!$A$3:$A$125,0),MATCH($D208,Effective!$E$2:$R$2,0))),"")</f>
        <v/>
      </c>
      <c r="H208" s="22" t="inlineStr">
        <is>
          <t>override</t>
        </is>
      </c>
      <c r="I208" s="23" t="n">
        <v>1</v>
      </c>
      <c r="J208" s="24">
        <f>IF(AND(IF($H213&lt;&gt;"",$H213,$H208)="override",$I208&lt;&gt;""),$I208,SUMIFS(Assumptions!$K$4:$K$8,Assumptions!$J$4:$J$8,$C208))*Assumptions!$S$10</f>
        <v/>
      </c>
      <c r="K208" s="23" t="n"/>
      <c r="L208" s="25">
        <f>IF(AND(IF($H213&lt;&gt;"",$H213,$H208)="override",$K208&lt;&gt;""),$K208,SUMIFS(Assumptions!$P$4:$P$103,Assumptions!$M$4:$M$103,$C208,Assumptions!$N$4:$N$103,$E208,Assumptions!$O$4:$O$103,"LVN"))</f>
        <v/>
      </c>
      <c r="M208" s="23" t="n"/>
      <c r="N208" s="25">
        <f>IF(AND(IF($H213&lt;&gt;"",$H213,$H208)="override",$M208&lt;&gt;""),$M208,SUMIFS(Assumptions!$P$4:$P$103,Assumptions!$M$4:$M$103,$C208,Assumptions!$N$4:$N$103,$E208,Assumptions!$O$4:$O$103,"HVN"))</f>
        <v/>
      </c>
      <c r="O208" s="25">
        <f>(L208+N208)*Assumptions!$S$11</f>
        <v/>
      </c>
      <c r="P208" s="26">
        <f>$F208*$J208*$O208</f>
        <v/>
      </c>
    </row>
    <row r="209">
      <c r="A209" s="11" t="inlineStr">
        <is>
          <t>UNIT</t>
        </is>
      </c>
      <c r="B209" s="18" t="inlineStr">
        <is>
          <t>CVR_COFFEYVILLE</t>
        </is>
      </c>
      <c r="C209" s="18" t="n">
        <v>2</v>
      </c>
      <c r="D209" s="18" t="inlineStr">
        <is>
          <t>COKER</t>
        </is>
      </c>
      <c r="E209" s="18" t="inlineStr">
        <is>
          <t>COKER</t>
        </is>
      </c>
      <c r="F209" s="19" t="n">
        <v>25</v>
      </c>
      <c r="G209" s="21">
        <f>IFERROR(IF(INDEX(Effective!$E$3:$R$125,MATCH($B209,Effective!$A$3:$A$125,0),MATCH($D209,Effective!$E$2:$R$2,0))=0,"",INDEX(Effective!$E$3:$R$125,MATCH($B209,Effective!$A$3:$A$125,0),MATCH($D209,Effective!$E$2:$R$2,0))),"")</f>
        <v/>
      </c>
      <c r="H209" s="22" t="inlineStr">
        <is>
          <t>override</t>
        </is>
      </c>
      <c r="I209" s="23" t="n">
        <v>0.919</v>
      </c>
      <c r="J209" s="24">
        <f>IF(AND(IF($H213&lt;&gt;"",$H213,$H209)="override",$I209&lt;&gt;""),$I209,SUMIFS(Assumptions!$K$4:$K$8,Assumptions!$J$4:$J$8,$C209))*Assumptions!$S$10</f>
        <v/>
      </c>
      <c r="K209" s="23" t="n"/>
      <c r="L209" s="25">
        <f>IF(AND(IF($H213&lt;&gt;"",$H213,$H209)="override",$K209&lt;&gt;""),$K209,SUMIFS(Assumptions!$P$4:$P$103,Assumptions!$M$4:$M$103,$C209,Assumptions!$N$4:$N$103,$E209,Assumptions!$O$4:$O$103,"LVN"))</f>
        <v/>
      </c>
      <c r="M209" s="23" t="n"/>
      <c r="N209" s="25">
        <f>IF(AND(IF($H213&lt;&gt;"",$H213,$H209)="override",$M209&lt;&gt;""),$M209,SUMIFS(Assumptions!$P$4:$P$103,Assumptions!$M$4:$M$103,$C209,Assumptions!$N$4:$N$103,$E209,Assumptions!$O$4:$O$103,"HVN"))</f>
        <v/>
      </c>
      <c r="O209" s="25">
        <f>(L209+N209)*Assumptions!$S$11</f>
        <v/>
      </c>
      <c r="P209" s="26">
        <f>$F209*$J209*$O209</f>
        <v/>
      </c>
    </row>
    <row r="210">
      <c r="A210" s="11" t="inlineStr">
        <is>
          <t>UNIT</t>
        </is>
      </c>
      <c r="B210" s="18" t="inlineStr">
        <is>
          <t>CVR_COFFEYVILLE</t>
        </is>
      </c>
      <c r="C210" s="18" t="n">
        <v>2</v>
      </c>
      <c r="D210" s="18" t="inlineStr">
        <is>
          <t>CCR</t>
        </is>
      </c>
      <c r="E210" s="18" t="inlineStr">
        <is>
          <t>REFORMER</t>
        </is>
      </c>
      <c r="F210" s="19" t="n">
        <v>26</v>
      </c>
      <c r="G210" s="21">
        <f>IFERROR(IF(INDEX(Effective!$E$3:$R$125,MATCH($B210,Effective!$A$3:$A$125,0),MATCH($D210,Effective!$E$2:$R$2,0))=0,"",INDEX(Effective!$E$3:$R$125,MATCH($B210,Effective!$A$3:$A$125,0),MATCH($D210,Effective!$E$2:$R$2,0))),"")</f>
        <v/>
      </c>
      <c r="H210" s="22" t="inlineStr">
        <is>
          <t>override</t>
        </is>
      </c>
      <c r="I210" s="23" t="n">
        <v>0.913</v>
      </c>
      <c r="J210" s="24">
        <f>IF(AND(IF($H213&lt;&gt;"",$H213,$H210)="override",$I210&lt;&gt;""),$I210,SUMIFS(Assumptions!$K$4:$K$8,Assumptions!$J$4:$J$8,$C210))*Assumptions!$S$10</f>
        <v/>
      </c>
      <c r="K210" s="23" t="n"/>
      <c r="L210" s="25">
        <f>IF(AND(IF($H213&lt;&gt;"",$H213,$H210)="override",$K210&lt;&gt;""),$K210,SUMIFS(Assumptions!$P$4:$P$103,Assumptions!$M$4:$M$103,$C210,Assumptions!$N$4:$N$103,$E210,Assumptions!$O$4:$O$103,"LVN"))</f>
        <v/>
      </c>
      <c r="M210" s="23" t="n"/>
      <c r="N210" s="25">
        <f>IF(AND(IF($H213&lt;&gt;"",$H213,$H210)="override",$M210&lt;&gt;""),$M210,SUMIFS(Assumptions!$P$4:$P$103,Assumptions!$M$4:$M$103,$C210,Assumptions!$N$4:$N$103,$E210,Assumptions!$O$4:$O$103,"HVN"))</f>
        <v/>
      </c>
      <c r="O210" s="25">
        <f>(L210+N210)*Assumptions!$S$11</f>
        <v/>
      </c>
      <c r="P210" s="26">
        <f>$F210*$J210*$O210</f>
        <v/>
      </c>
    </row>
    <row r="211">
      <c r="A211" s="11" t="inlineStr">
        <is>
          <t>UNIT</t>
        </is>
      </c>
      <c r="B211" s="18" t="inlineStr">
        <is>
          <t>CVR_COFFEYVILLE</t>
        </is>
      </c>
      <c r="C211" s="18" t="n">
        <v>2</v>
      </c>
      <c r="D211" s="18" t="inlineStr">
        <is>
          <t>ALKY</t>
        </is>
      </c>
      <c r="E211" s="18" t="inlineStr">
        <is>
          <t>ALKY</t>
        </is>
      </c>
      <c r="F211" s="19" t="n">
        <v>10</v>
      </c>
      <c r="G211" s="21">
        <f>IFERROR(IF(INDEX(Effective!$E$3:$R$125,MATCH($B211,Effective!$A$3:$A$125,0),MATCH($D211,Effective!$E$2:$R$2,0))=0,"",INDEX(Effective!$E$3:$R$125,MATCH($B211,Effective!$A$3:$A$125,0),MATCH($D211,Effective!$E$2:$R$2,0))),"")</f>
        <v/>
      </c>
      <c r="H211" s="22" t="inlineStr">
        <is>
          <t>override</t>
        </is>
      </c>
      <c r="I211" s="23" t="n">
        <v>1.1</v>
      </c>
      <c r="J211" s="24">
        <f>IF(AND(IF($H213&lt;&gt;"",$H213,$H211)="override",$I211&lt;&gt;""),$I211,SUMIFS(Assumptions!$K$4:$K$8,Assumptions!$J$4:$J$8,$C211))*Assumptions!$S$10</f>
        <v/>
      </c>
      <c r="K211" s="23" t="n"/>
      <c r="L211" s="25">
        <f>IF(AND(IF($H213&lt;&gt;"",$H213,$H211)="override",$K211&lt;&gt;""),$K211,SUMIFS(Assumptions!$P$4:$P$103,Assumptions!$M$4:$M$103,$C211,Assumptions!$N$4:$N$103,$E211,Assumptions!$O$4:$O$103,"LVN"))</f>
        <v/>
      </c>
      <c r="M211" s="23" t="n"/>
      <c r="N211" s="25">
        <f>IF(AND(IF($H213&lt;&gt;"",$H213,$H211)="override",$M211&lt;&gt;""),$M211,SUMIFS(Assumptions!$P$4:$P$103,Assumptions!$M$4:$M$103,$C211,Assumptions!$N$4:$N$103,$E211,Assumptions!$O$4:$O$103,"HVN"))</f>
        <v/>
      </c>
      <c r="O211" s="25">
        <f>(L211+N211)*Assumptions!$S$11</f>
        <v/>
      </c>
      <c r="P211" s="26">
        <f>$F211*$J211*$O211</f>
        <v/>
      </c>
    </row>
    <row r="212">
      <c r="A212" s="11" t="inlineStr">
        <is>
          <t>UNIT</t>
        </is>
      </c>
      <c r="B212" s="18" t="inlineStr">
        <is>
          <t>CVR_COFFEYVILLE</t>
        </is>
      </c>
      <c r="C212" s="18" t="n">
        <v>2</v>
      </c>
      <c r="D212" s="18" t="inlineStr">
        <is>
          <t>NHT</t>
        </is>
      </c>
      <c r="E212" s="18" t="inlineStr">
        <is>
          <t>NHT</t>
        </is>
      </c>
      <c r="F212" s="19" t="n">
        <v>36</v>
      </c>
      <c r="G212" s="21">
        <f>IFERROR(IF(INDEX(Effective!$E$3:$R$125,MATCH($B212,Effective!$A$3:$A$125,0),MATCH($D212,Effective!$E$2:$R$2,0))=0,"",INDEX(Effective!$E$3:$R$125,MATCH($B212,Effective!$A$3:$A$125,0),MATCH($D212,Effective!$E$2:$R$2,0))),"")</f>
        <v/>
      </c>
      <c r="H212" s="22" t="inlineStr">
        <is>
          <t>override</t>
        </is>
      </c>
      <c r="I212" s="23" t="n">
        <v>0.982</v>
      </c>
      <c r="J212" s="24">
        <f>IF(AND(IF($H213&lt;&gt;"",$H213,$H212)="override",$I212&lt;&gt;""),$I212,SUMIFS(Assumptions!$K$4:$K$8,Assumptions!$J$4:$J$8,$C212))*Assumptions!$S$10</f>
        <v/>
      </c>
      <c r="K212" s="23" t="n"/>
      <c r="L212" s="25">
        <f>IF(AND(IF($H213&lt;&gt;"",$H213,$H212)="override",$K212&lt;&gt;""),$K212,SUMIFS(Assumptions!$P$4:$P$103,Assumptions!$M$4:$M$103,$C212,Assumptions!$N$4:$N$103,$E212,Assumptions!$O$4:$O$103,"LVN"))</f>
        <v/>
      </c>
      <c r="M212" s="23" t="n"/>
      <c r="N212" s="25">
        <f>IF(AND(IF($H213&lt;&gt;"",$H213,$H212)="override",$M212&lt;&gt;""),$M212,SUMIFS(Assumptions!$P$4:$P$103,Assumptions!$M$4:$M$103,$C212,Assumptions!$N$4:$N$103,$E212,Assumptions!$O$4:$O$103,"HVN"))</f>
        <v/>
      </c>
      <c r="O212" s="25">
        <f>(L212+N212)*Assumptions!$S$11</f>
        <v/>
      </c>
      <c r="P212" s="26">
        <f>$F212*$J212*$O212</f>
        <v/>
      </c>
    </row>
    <row r="213">
      <c r="A213" s="27" t="inlineStr">
        <is>
          <t>TOTAL</t>
        </is>
      </c>
      <c r="B213" s="28" t="inlineStr">
        <is>
          <t>CVR_COFFEYVILLE</t>
        </is>
      </c>
      <c r="C213" s="28" t="n">
        <v>2</v>
      </c>
      <c r="D213" s="28" t="inlineStr">
        <is>
          <t>NET NAPHTHA</t>
        </is>
      </c>
      <c r="H213" s="22" t="n"/>
      <c r="P213" s="29">
        <f>SUM(P206:P212)</f>
        <v/>
      </c>
    </row>
    <row r="215" ht="20" customHeight="1">
      <c r="A215" s="8">
        <f>"  HF Sinclair Tulsa  [HF_TULSA]   —   HF Sinclair   —   PADD 2   —   crude "&amp;TEXT(SUMIFS(Data!$G$3:$G$125,Data!$A$3:$A$125,"HF_TULSA"),"#,##0")&amp;" kbd"</f>
        <v/>
      </c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</row>
    <row r="216">
      <c r="A216" s="11" t="inlineStr">
        <is>
          <t>UNIT</t>
        </is>
      </c>
      <c r="B216" s="18" t="inlineStr">
        <is>
          <t>HF_TULSA</t>
        </is>
      </c>
      <c r="C216" s="18" t="n">
        <v>2</v>
      </c>
      <c r="D216" s="18" t="inlineStr">
        <is>
          <t>CDU</t>
        </is>
      </c>
      <c r="E216" s="18" t="inlineStr">
        <is>
          <t>CDU</t>
        </is>
      </c>
      <c r="F216" s="19" t="n">
        <v>166.52</v>
      </c>
      <c r="G216" s="21">
        <f>IFERROR(IF(INDEX(Effective!$E$3:$R$125,MATCH($B216,Effective!$A$3:$A$125,0),MATCH($D216,Effective!$E$2:$R$2,0))=0,"",INDEX(Effective!$E$3:$R$125,MATCH($B216,Effective!$A$3:$A$125,0),MATCH($D216,Effective!$E$2:$R$2,0))),"")</f>
        <v/>
      </c>
      <c r="H216" s="22" t="inlineStr">
        <is>
          <t>override</t>
        </is>
      </c>
      <c r="I216" s="23" t="n">
        <v>0.649</v>
      </c>
      <c r="J216" s="24">
        <f>IF(AND(IF($H224&lt;&gt;"",$H224,$H216)="override",$I216&lt;&gt;""),$I216,SUMIFS(Assumptions!$K$4:$K$8,Assumptions!$J$4:$J$8,$C216))*Assumptions!$S$10</f>
        <v/>
      </c>
      <c r="K216" s="23" t="n"/>
      <c r="L216" s="25">
        <f>IF(AND(IF($H224&lt;&gt;"",$H224,$H216)="override",$K216&lt;&gt;""),$K216,SUMIFS(Assumptions!$P$4:$P$103,Assumptions!$M$4:$M$103,$C216,Assumptions!$N$4:$N$103,$E216,Assumptions!$O$4:$O$103,"LVN"))</f>
        <v/>
      </c>
      <c r="M216" s="23" t="n"/>
      <c r="N216" s="25">
        <f>IF(AND(IF($H224&lt;&gt;"",$H224,$H216)="override",$M216&lt;&gt;""),$M216,SUMIFS(Assumptions!$P$4:$P$103,Assumptions!$M$4:$M$103,$C216,Assumptions!$N$4:$N$103,$E216,Assumptions!$O$4:$O$103,"HVN"))</f>
        <v/>
      </c>
      <c r="O216" s="25">
        <f>(L216+N216)*Assumptions!$S$11</f>
        <v/>
      </c>
      <c r="P216" s="26">
        <f>$F216*$J216*$O216</f>
        <v/>
      </c>
    </row>
    <row r="217">
      <c r="A217" s="11" t="inlineStr">
        <is>
          <t>UNIT</t>
        </is>
      </c>
      <c r="B217" s="18" t="inlineStr">
        <is>
          <t>HF_TULSA</t>
        </is>
      </c>
      <c r="C217" s="18" t="n">
        <v>2</v>
      </c>
      <c r="D217" s="18" t="inlineStr">
        <is>
          <t>VDU</t>
        </is>
      </c>
      <c r="E217" s="18" t="inlineStr">
        <is>
          <t>VDU</t>
        </is>
      </c>
      <c r="F217" s="19" t="n">
        <v>59</v>
      </c>
      <c r="G217" s="21">
        <f>IFERROR(IF(INDEX(Effective!$E$3:$R$125,MATCH($B217,Effective!$A$3:$A$125,0),MATCH($D217,Effective!$E$2:$R$2,0))=0,"",INDEX(Effective!$E$3:$R$125,MATCH($B217,Effective!$A$3:$A$125,0),MATCH($D217,Effective!$E$2:$R$2,0))),"")</f>
        <v/>
      </c>
      <c r="H217" s="22" t="inlineStr">
        <is>
          <t>override</t>
        </is>
      </c>
      <c r="I217" s="23" t="n">
        <v>0.59</v>
      </c>
      <c r="J217" s="24">
        <f>IF(AND(IF($H224&lt;&gt;"",$H224,$H217)="override",$I217&lt;&gt;""),$I217,SUMIFS(Assumptions!$K$4:$K$8,Assumptions!$J$4:$J$8,$C217))*Assumptions!$S$10</f>
        <v/>
      </c>
      <c r="K217" s="23" t="n"/>
      <c r="L217" s="25">
        <f>IF(AND(IF($H224&lt;&gt;"",$H224,$H217)="override",$K217&lt;&gt;""),$K217,SUMIFS(Assumptions!$P$4:$P$103,Assumptions!$M$4:$M$103,$C217,Assumptions!$N$4:$N$103,$E217,Assumptions!$O$4:$O$103,"LVN"))</f>
        <v/>
      </c>
      <c r="M217" s="23" t="n"/>
      <c r="N217" s="25">
        <f>IF(AND(IF($H224&lt;&gt;"",$H224,$H217)="override",$M217&lt;&gt;""),$M217,SUMIFS(Assumptions!$P$4:$P$103,Assumptions!$M$4:$M$103,$C217,Assumptions!$N$4:$N$103,$E217,Assumptions!$O$4:$O$103,"HVN"))</f>
        <v/>
      </c>
      <c r="O217" s="25">
        <f>(L217+N217)*Assumptions!$S$11</f>
        <v/>
      </c>
      <c r="P217" s="26">
        <f>$F217*$J217*$O217</f>
        <v/>
      </c>
    </row>
    <row r="218">
      <c r="A218" s="11" t="inlineStr">
        <is>
          <t>UNIT</t>
        </is>
      </c>
      <c r="B218" s="18" t="inlineStr">
        <is>
          <t>HF_TULSA</t>
        </is>
      </c>
      <c r="C218" s="18" t="n">
        <v>2</v>
      </c>
      <c r="D218" s="18" t="inlineStr">
        <is>
          <t>FCC</t>
        </is>
      </c>
      <c r="E218" s="18" t="inlineStr">
        <is>
          <t>FCC</t>
        </is>
      </c>
      <c r="F218" s="19" t="n">
        <v>25</v>
      </c>
      <c r="G218" s="21">
        <f>IFERROR(IF(INDEX(Effective!$E$3:$R$125,MATCH($B218,Effective!$A$3:$A$125,0),MATCH($D218,Effective!$E$2:$R$2,0))=0,"",INDEX(Effective!$E$3:$R$125,MATCH($B218,Effective!$A$3:$A$125,0),MATCH($D218,Effective!$E$2:$R$2,0))),"")</f>
        <v/>
      </c>
      <c r="H218" s="22" t="inlineStr">
        <is>
          <t>override</t>
        </is>
      </c>
      <c r="I218" s="23" t="n">
        <v>0.971</v>
      </c>
      <c r="J218" s="24">
        <f>IF(AND(IF($H224&lt;&gt;"",$H224,$H218)="override",$I218&lt;&gt;""),$I218,SUMIFS(Assumptions!$K$4:$K$8,Assumptions!$J$4:$J$8,$C218))*Assumptions!$S$10</f>
        <v/>
      </c>
      <c r="K218" s="23" t="n"/>
      <c r="L218" s="25">
        <f>IF(AND(IF($H224&lt;&gt;"",$H224,$H218)="override",$K218&lt;&gt;""),$K218,SUMIFS(Assumptions!$P$4:$P$103,Assumptions!$M$4:$M$103,$C218,Assumptions!$N$4:$N$103,$E218,Assumptions!$O$4:$O$103,"LVN"))</f>
        <v/>
      </c>
      <c r="M218" s="23" t="n"/>
      <c r="N218" s="25">
        <f>IF(AND(IF($H224&lt;&gt;"",$H224,$H218)="override",$M218&lt;&gt;""),$M218,SUMIFS(Assumptions!$P$4:$P$103,Assumptions!$M$4:$M$103,$C218,Assumptions!$N$4:$N$103,$E218,Assumptions!$O$4:$O$103,"HVN"))</f>
        <v/>
      </c>
      <c r="O218" s="25">
        <f>(L218+N218)*Assumptions!$S$11</f>
        <v/>
      </c>
      <c r="P218" s="26">
        <f>$F218*$J218*$O218</f>
        <v/>
      </c>
    </row>
    <row r="219">
      <c r="A219" s="11" t="inlineStr">
        <is>
          <t>UNIT</t>
        </is>
      </c>
      <c r="B219" s="18" t="inlineStr">
        <is>
          <t>HF_TULSA</t>
        </is>
      </c>
      <c r="C219" s="18" t="n">
        <v>2</v>
      </c>
      <c r="D219" s="18" t="inlineStr">
        <is>
          <t>COKER</t>
        </is>
      </c>
      <c r="E219" s="18" t="inlineStr">
        <is>
          <t>COKER</t>
        </is>
      </c>
      <c r="F219" s="19" t="n">
        <v>11</v>
      </c>
      <c r="G219" s="21">
        <f>IFERROR(IF(INDEX(Effective!$E$3:$R$125,MATCH($B219,Effective!$A$3:$A$125,0),MATCH($D219,Effective!$E$2:$R$2,0))=0,"",INDEX(Effective!$E$3:$R$125,MATCH($B219,Effective!$A$3:$A$125,0),MATCH($D219,Effective!$E$2:$R$2,0))),"")</f>
        <v/>
      </c>
      <c r="H219" s="22" t="inlineStr">
        <is>
          <t>override</t>
        </is>
      </c>
      <c r="I219" s="23" t="n">
        <v>0.367</v>
      </c>
      <c r="J219" s="24">
        <f>IF(AND(IF($H224&lt;&gt;"",$H224,$H219)="override",$I219&lt;&gt;""),$I219,SUMIFS(Assumptions!$K$4:$K$8,Assumptions!$J$4:$J$8,$C219))*Assumptions!$S$10</f>
        <v/>
      </c>
      <c r="K219" s="23" t="n"/>
      <c r="L219" s="25">
        <f>IF(AND(IF($H224&lt;&gt;"",$H224,$H219)="override",$K219&lt;&gt;""),$K219,SUMIFS(Assumptions!$P$4:$P$103,Assumptions!$M$4:$M$103,$C219,Assumptions!$N$4:$N$103,$E219,Assumptions!$O$4:$O$103,"LVN"))</f>
        <v/>
      </c>
      <c r="M219" s="23" t="n"/>
      <c r="N219" s="25">
        <f>IF(AND(IF($H224&lt;&gt;"",$H224,$H219)="override",$M219&lt;&gt;""),$M219,SUMIFS(Assumptions!$P$4:$P$103,Assumptions!$M$4:$M$103,$C219,Assumptions!$N$4:$N$103,$E219,Assumptions!$O$4:$O$103,"HVN"))</f>
        <v/>
      </c>
      <c r="O219" s="25">
        <f>(L219+N219)*Assumptions!$S$11</f>
        <v/>
      </c>
      <c r="P219" s="26">
        <f>$F219*$J219*$O219</f>
        <v/>
      </c>
    </row>
    <row r="220">
      <c r="A220" s="11" t="inlineStr">
        <is>
          <t>UNIT</t>
        </is>
      </c>
      <c r="B220" s="18" t="inlineStr">
        <is>
          <t>HF_TULSA</t>
        </is>
      </c>
      <c r="C220" s="18" t="n">
        <v>2</v>
      </c>
      <c r="D220" s="18" t="inlineStr">
        <is>
          <t>CCR</t>
        </is>
      </c>
      <c r="E220" s="18" t="inlineStr">
        <is>
          <t>REFORMER</t>
        </is>
      </c>
      <c r="F220" s="19" t="n">
        <v>25</v>
      </c>
      <c r="G220" s="21">
        <f>IFERROR(IF(INDEX(Effective!$E$3:$R$125,MATCH($B220,Effective!$A$3:$A$125,0),MATCH($D220,Effective!$E$2:$R$2,0))=0,"",INDEX(Effective!$E$3:$R$125,MATCH($B220,Effective!$A$3:$A$125,0),MATCH($D220,Effective!$E$2:$R$2,0))),"")</f>
        <v/>
      </c>
      <c r="H220" s="22" t="inlineStr">
        <is>
          <t>override</t>
        </is>
      </c>
      <c r="I220" s="23" t="n">
        <v>0.88</v>
      </c>
      <c r="J220" s="24">
        <f>IF(AND(IF($H224&lt;&gt;"",$H224,$H220)="override",$I220&lt;&gt;""),$I220,SUMIFS(Assumptions!$K$4:$K$8,Assumptions!$J$4:$J$8,$C220))*Assumptions!$S$10</f>
        <v/>
      </c>
      <c r="K220" s="23" t="n"/>
      <c r="L220" s="25">
        <f>IF(AND(IF($H224&lt;&gt;"",$H224,$H220)="override",$K220&lt;&gt;""),$K220,SUMIFS(Assumptions!$P$4:$P$103,Assumptions!$M$4:$M$103,$C220,Assumptions!$N$4:$N$103,$E220,Assumptions!$O$4:$O$103,"LVN"))</f>
        <v/>
      </c>
      <c r="M220" s="23" t="n"/>
      <c r="N220" s="25">
        <f>IF(AND(IF($H224&lt;&gt;"",$H224,$H220)="override",$M220&lt;&gt;""),$M220,SUMIFS(Assumptions!$P$4:$P$103,Assumptions!$M$4:$M$103,$C220,Assumptions!$N$4:$N$103,$E220,Assumptions!$O$4:$O$103,"HVN"))</f>
        <v/>
      </c>
      <c r="O220" s="25">
        <f>(L220+N220)*Assumptions!$S$11</f>
        <v/>
      </c>
      <c r="P220" s="26">
        <f>$F220*$J220*$O220</f>
        <v/>
      </c>
    </row>
    <row r="221">
      <c r="A221" s="11" t="inlineStr">
        <is>
          <t>UNIT</t>
        </is>
      </c>
      <c r="B221" s="18" t="inlineStr">
        <is>
          <t>HF_TULSA</t>
        </is>
      </c>
      <c r="C221" s="18" t="n">
        <v>2</v>
      </c>
      <c r="D221" s="18" t="inlineStr">
        <is>
          <t>ISOM</t>
        </is>
      </c>
      <c r="E221" s="18" t="inlineStr">
        <is>
          <t>ISOM</t>
        </is>
      </c>
      <c r="F221" s="19" t="n">
        <v>13</v>
      </c>
      <c r="G221" s="21">
        <f>IFERROR(IF(INDEX(Effective!$E$3:$R$125,MATCH($B221,Effective!$A$3:$A$125,0),MATCH($D221,Effective!$E$2:$R$2,0))=0,"",INDEX(Effective!$E$3:$R$125,MATCH($B221,Effective!$A$3:$A$125,0),MATCH($D221,Effective!$E$2:$R$2,0))),"")</f>
        <v/>
      </c>
      <c r="H221" s="22" t="inlineStr">
        <is>
          <t>override</t>
        </is>
      </c>
      <c r="I221" s="23" t="n">
        <v>0.51</v>
      </c>
      <c r="J221" s="24">
        <f>IF(AND(IF($H224&lt;&gt;"",$H224,$H221)="override",$I221&lt;&gt;""),$I221,SUMIFS(Assumptions!$K$4:$K$8,Assumptions!$J$4:$J$8,$C221))*Assumptions!$S$10</f>
        <v/>
      </c>
      <c r="K221" s="23" t="n"/>
      <c r="L221" s="25">
        <f>IF(AND(IF($H224&lt;&gt;"",$H224,$H221)="override",$K221&lt;&gt;""),$K221,SUMIFS(Assumptions!$P$4:$P$103,Assumptions!$M$4:$M$103,$C221,Assumptions!$N$4:$N$103,$E221,Assumptions!$O$4:$O$103,"LVN"))</f>
        <v/>
      </c>
      <c r="M221" s="23" t="n"/>
      <c r="N221" s="25">
        <f>IF(AND(IF($H224&lt;&gt;"",$H224,$H221)="override",$M221&lt;&gt;""),$M221,SUMIFS(Assumptions!$P$4:$P$103,Assumptions!$M$4:$M$103,$C221,Assumptions!$N$4:$N$103,$E221,Assumptions!$O$4:$O$103,"HVN"))</f>
        <v/>
      </c>
      <c r="O221" s="25">
        <f>(L221+N221)*Assumptions!$S$11</f>
        <v/>
      </c>
      <c r="P221" s="26">
        <f>$F221*$J221*$O221</f>
        <v/>
      </c>
    </row>
    <row r="222">
      <c r="A222" s="11" t="inlineStr">
        <is>
          <t>UNIT</t>
        </is>
      </c>
      <c r="B222" s="18" t="inlineStr">
        <is>
          <t>HF_TULSA</t>
        </is>
      </c>
      <c r="C222" s="18" t="n">
        <v>2</v>
      </c>
      <c r="D222" s="18" t="inlineStr">
        <is>
          <t>ALKY</t>
        </is>
      </c>
      <c r="E222" s="18" t="inlineStr">
        <is>
          <t>ALKY</t>
        </is>
      </c>
      <c r="F222" s="19" t="n">
        <v>5.5</v>
      </c>
      <c r="G222" s="21">
        <f>IFERROR(IF(INDEX(Effective!$E$3:$R$125,MATCH($B222,Effective!$A$3:$A$125,0),MATCH($D222,Effective!$E$2:$R$2,0))=0,"",INDEX(Effective!$E$3:$R$125,MATCH($B222,Effective!$A$3:$A$125,0),MATCH($D222,Effective!$E$2:$R$2,0))),"")</f>
        <v/>
      </c>
      <c r="H222" s="22" t="inlineStr">
        <is>
          <t>override</t>
        </is>
      </c>
      <c r="I222" s="23" t="n">
        <v>1.011</v>
      </c>
      <c r="J222" s="24">
        <f>IF(AND(IF($H224&lt;&gt;"",$H224,$H222)="override",$I222&lt;&gt;""),$I222,SUMIFS(Assumptions!$K$4:$K$8,Assumptions!$J$4:$J$8,$C222))*Assumptions!$S$10</f>
        <v/>
      </c>
      <c r="K222" s="23" t="n"/>
      <c r="L222" s="25">
        <f>IF(AND(IF($H224&lt;&gt;"",$H224,$H222)="override",$K222&lt;&gt;""),$K222,SUMIFS(Assumptions!$P$4:$P$103,Assumptions!$M$4:$M$103,$C222,Assumptions!$N$4:$N$103,$E222,Assumptions!$O$4:$O$103,"LVN"))</f>
        <v/>
      </c>
      <c r="M222" s="23" t="n"/>
      <c r="N222" s="25">
        <f>IF(AND(IF($H224&lt;&gt;"",$H224,$H222)="override",$M222&lt;&gt;""),$M222,SUMIFS(Assumptions!$P$4:$P$103,Assumptions!$M$4:$M$103,$C222,Assumptions!$N$4:$N$103,$E222,Assumptions!$O$4:$O$103,"HVN"))</f>
        <v/>
      </c>
      <c r="O222" s="25">
        <f>(L222+N222)*Assumptions!$S$11</f>
        <v/>
      </c>
      <c r="P222" s="26">
        <f>$F222*$J222*$O222</f>
        <v/>
      </c>
    </row>
    <row r="223">
      <c r="A223" s="11" t="inlineStr">
        <is>
          <t>UNIT</t>
        </is>
      </c>
      <c r="B223" s="18" t="inlineStr">
        <is>
          <t>HF_TULSA</t>
        </is>
      </c>
      <c r="C223" s="18" t="n">
        <v>2</v>
      </c>
      <c r="D223" s="18" t="inlineStr">
        <is>
          <t>NHT</t>
        </is>
      </c>
      <c r="E223" s="18" t="inlineStr">
        <is>
          <t>NHT</t>
        </is>
      </c>
      <c r="F223" s="19" t="n">
        <v>53</v>
      </c>
      <c r="G223" s="21">
        <f>IFERROR(IF(INDEX(Effective!$E$3:$R$125,MATCH($B223,Effective!$A$3:$A$125,0),MATCH($D223,Effective!$E$2:$R$2,0))=0,"",INDEX(Effective!$E$3:$R$125,MATCH($B223,Effective!$A$3:$A$125,0),MATCH($D223,Effective!$E$2:$R$2,0))),"")</f>
        <v/>
      </c>
      <c r="H223" s="22" t="inlineStr">
        <is>
          <t>override</t>
        </is>
      </c>
      <c r="I223" s="23" t="n">
        <v>0.671</v>
      </c>
      <c r="J223" s="24">
        <f>IF(AND(IF($H224&lt;&gt;"",$H224,$H223)="override",$I223&lt;&gt;""),$I223,SUMIFS(Assumptions!$K$4:$K$8,Assumptions!$J$4:$J$8,$C223))*Assumptions!$S$10</f>
        <v/>
      </c>
      <c r="K223" s="23" t="n"/>
      <c r="L223" s="25">
        <f>IF(AND(IF($H224&lt;&gt;"",$H224,$H223)="override",$K223&lt;&gt;""),$K223,SUMIFS(Assumptions!$P$4:$P$103,Assumptions!$M$4:$M$103,$C223,Assumptions!$N$4:$N$103,$E223,Assumptions!$O$4:$O$103,"LVN"))</f>
        <v/>
      </c>
      <c r="M223" s="23" t="n"/>
      <c r="N223" s="25">
        <f>IF(AND(IF($H224&lt;&gt;"",$H224,$H223)="override",$M223&lt;&gt;""),$M223,SUMIFS(Assumptions!$P$4:$P$103,Assumptions!$M$4:$M$103,$C223,Assumptions!$N$4:$N$103,$E223,Assumptions!$O$4:$O$103,"HVN"))</f>
        <v/>
      </c>
      <c r="O223" s="25">
        <f>(L223+N223)*Assumptions!$S$11</f>
        <v/>
      </c>
      <c r="P223" s="26">
        <f>$F223*$J223*$O223</f>
        <v/>
      </c>
    </row>
    <row r="224">
      <c r="A224" s="27" t="inlineStr">
        <is>
          <t>TOTAL</t>
        </is>
      </c>
      <c r="B224" s="28" t="inlineStr">
        <is>
          <t>HF_TULSA</t>
        </is>
      </c>
      <c r="C224" s="28" t="n">
        <v>2</v>
      </c>
      <c r="D224" s="28" t="inlineStr">
        <is>
          <t>NET NAPHTHA</t>
        </is>
      </c>
      <c r="H224" s="22" t="n"/>
      <c r="P224" s="29">
        <f>SUM(P216:P223)</f>
        <v/>
      </c>
    </row>
    <row r="226" ht="20" customHeight="1">
      <c r="A226" s="8">
        <f>"  NCRA McPherson  [NCRA_MCPHERSON]   —   CHS   —   PADD 2   —   crude "&amp;TEXT(SUMIFS(Data!$G$3:$G$125,Data!$A$3:$A$125,"NCRA_MCPHERSON"),"#,##0")&amp;" kbd"</f>
        <v/>
      </c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</row>
    <row r="227">
      <c r="A227" s="11" t="inlineStr">
        <is>
          <t>UNIT</t>
        </is>
      </c>
      <c r="B227" s="18" t="inlineStr">
        <is>
          <t>NCRA_MCPHERSON</t>
        </is>
      </c>
      <c r="C227" s="18" t="n">
        <v>2</v>
      </c>
      <c r="D227" s="18" t="inlineStr">
        <is>
          <t>CDU</t>
        </is>
      </c>
      <c r="E227" s="18" t="inlineStr">
        <is>
          <t>CDU</t>
        </is>
      </c>
      <c r="F227" s="19" t="n">
        <v>114.93</v>
      </c>
      <c r="G227" s="21">
        <f>IFERROR(IF(INDEX(Effective!$E$3:$R$125,MATCH($B227,Effective!$A$3:$A$125,0),MATCH($D227,Effective!$E$2:$R$2,0))=0,"",INDEX(Effective!$E$3:$R$125,MATCH($B227,Effective!$A$3:$A$125,0),MATCH($D227,Effective!$E$2:$R$2,0))),"")</f>
        <v/>
      </c>
      <c r="H227" s="22" t="inlineStr">
        <is>
          <t>override</t>
        </is>
      </c>
      <c r="I227" s="23" t="n">
        <v>0.997</v>
      </c>
      <c r="J227" s="24">
        <f>IF(AND(IF($H236&lt;&gt;"",$H236,$H227)="override",$I227&lt;&gt;""),$I227,SUMIFS(Assumptions!$K$4:$K$8,Assumptions!$J$4:$J$8,$C227))*Assumptions!$S$10</f>
        <v/>
      </c>
      <c r="K227" s="23" t="n"/>
      <c r="L227" s="25">
        <f>IF(AND(IF($H236&lt;&gt;"",$H236,$H227)="override",$K227&lt;&gt;""),$K227,SUMIFS(Assumptions!$P$4:$P$103,Assumptions!$M$4:$M$103,$C227,Assumptions!$N$4:$N$103,$E227,Assumptions!$O$4:$O$103,"LVN"))</f>
        <v/>
      </c>
      <c r="M227" s="23" t="n"/>
      <c r="N227" s="25">
        <f>IF(AND(IF($H236&lt;&gt;"",$H236,$H227)="override",$M227&lt;&gt;""),$M227,SUMIFS(Assumptions!$P$4:$P$103,Assumptions!$M$4:$M$103,$C227,Assumptions!$N$4:$N$103,$E227,Assumptions!$O$4:$O$103,"HVN"))</f>
        <v/>
      </c>
      <c r="O227" s="25">
        <f>(L227+N227)*Assumptions!$S$11</f>
        <v/>
      </c>
      <c r="P227" s="26">
        <f>$F227*$J227*$O227</f>
        <v/>
      </c>
    </row>
    <row r="228">
      <c r="A228" s="11" t="inlineStr">
        <is>
          <t>UNIT</t>
        </is>
      </c>
      <c r="B228" s="18" t="inlineStr">
        <is>
          <t>NCRA_MCPHERSON</t>
        </is>
      </c>
      <c r="C228" s="18" t="n">
        <v>2</v>
      </c>
      <c r="D228" s="18" t="inlineStr">
        <is>
          <t>VDU</t>
        </is>
      </c>
      <c r="E228" s="18" t="inlineStr">
        <is>
          <t>VDU</t>
        </is>
      </c>
      <c r="F228" s="19" t="n">
        <v>50</v>
      </c>
      <c r="G228" s="21">
        <f>IFERROR(IF(INDEX(Effective!$E$3:$R$125,MATCH($B228,Effective!$A$3:$A$125,0),MATCH($D228,Effective!$E$2:$R$2,0))=0,"",INDEX(Effective!$E$3:$R$125,MATCH($B228,Effective!$A$3:$A$125,0),MATCH($D228,Effective!$E$2:$R$2,0))),"")</f>
        <v/>
      </c>
      <c r="H228" s="22" t="inlineStr">
        <is>
          <t>override</t>
        </is>
      </c>
      <c r="I228" s="23" t="n">
        <v>0.9330000000000001</v>
      </c>
      <c r="J228" s="24">
        <f>IF(AND(IF($H236&lt;&gt;"",$H236,$H228)="override",$I228&lt;&gt;""),$I228,SUMIFS(Assumptions!$K$4:$K$8,Assumptions!$J$4:$J$8,$C228))*Assumptions!$S$10</f>
        <v/>
      </c>
      <c r="K228" s="23" t="n"/>
      <c r="L228" s="25">
        <f>IF(AND(IF($H236&lt;&gt;"",$H236,$H228)="override",$K228&lt;&gt;""),$K228,SUMIFS(Assumptions!$P$4:$P$103,Assumptions!$M$4:$M$103,$C228,Assumptions!$N$4:$N$103,$E228,Assumptions!$O$4:$O$103,"LVN"))</f>
        <v/>
      </c>
      <c r="M228" s="23" t="n"/>
      <c r="N228" s="25">
        <f>IF(AND(IF($H236&lt;&gt;"",$H236,$H228)="override",$M228&lt;&gt;""),$M228,SUMIFS(Assumptions!$P$4:$P$103,Assumptions!$M$4:$M$103,$C228,Assumptions!$N$4:$N$103,$E228,Assumptions!$O$4:$O$103,"HVN"))</f>
        <v/>
      </c>
      <c r="O228" s="25">
        <f>(L228+N228)*Assumptions!$S$11</f>
        <v/>
      </c>
      <c r="P228" s="26">
        <f>$F228*$J228*$O228</f>
        <v/>
      </c>
    </row>
    <row r="229">
      <c r="A229" s="11" t="inlineStr">
        <is>
          <t>UNIT</t>
        </is>
      </c>
      <c r="B229" s="18" t="inlineStr">
        <is>
          <t>NCRA_MCPHERSON</t>
        </is>
      </c>
      <c r="C229" s="18" t="n">
        <v>2</v>
      </c>
      <c r="D229" s="18" t="inlineStr">
        <is>
          <t>FCC</t>
        </is>
      </c>
      <c r="E229" s="18" t="inlineStr">
        <is>
          <t>FCC</t>
        </is>
      </c>
      <c r="F229" s="19" t="n">
        <v>24</v>
      </c>
      <c r="G229" s="21">
        <f>IFERROR(IF(INDEX(Effective!$E$3:$R$125,MATCH($B229,Effective!$A$3:$A$125,0),MATCH($D229,Effective!$E$2:$R$2,0))=0,"",INDEX(Effective!$E$3:$R$125,MATCH($B229,Effective!$A$3:$A$125,0),MATCH($D229,Effective!$E$2:$R$2,0))),"")</f>
        <v/>
      </c>
      <c r="H229" s="22" t="inlineStr">
        <is>
          <t>override</t>
        </is>
      </c>
      <c r="I229" s="23" t="n">
        <v>0.729</v>
      </c>
      <c r="J229" s="24">
        <f>IF(AND(IF($H236&lt;&gt;"",$H236,$H229)="override",$I229&lt;&gt;""),$I229,SUMIFS(Assumptions!$K$4:$K$8,Assumptions!$J$4:$J$8,$C229))*Assumptions!$S$10</f>
        <v/>
      </c>
      <c r="K229" s="23" t="n"/>
      <c r="L229" s="25">
        <f>IF(AND(IF($H236&lt;&gt;"",$H236,$H229)="override",$K229&lt;&gt;""),$K229,SUMIFS(Assumptions!$P$4:$P$103,Assumptions!$M$4:$M$103,$C229,Assumptions!$N$4:$N$103,$E229,Assumptions!$O$4:$O$103,"LVN"))</f>
        <v/>
      </c>
      <c r="M229" s="23" t="n"/>
      <c r="N229" s="25">
        <f>IF(AND(IF($H236&lt;&gt;"",$H236,$H229)="override",$M229&lt;&gt;""),$M229,SUMIFS(Assumptions!$P$4:$P$103,Assumptions!$M$4:$M$103,$C229,Assumptions!$N$4:$N$103,$E229,Assumptions!$O$4:$O$103,"HVN"))</f>
        <v/>
      </c>
      <c r="O229" s="25">
        <f>(L229+N229)*Assumptions!$S$11</f>
        <v/>
      </c>
      <c r="P229" s="26">
        <f>$F229*$J229*$O229</f>
        <v/>
      </c>
    </row>
    <row r="230">
      <c r="A230" s="11" t="inlineStr">
        <is>
          <t>UNIT</t>
        </is>
      </c>
      <c r="B230" s="18" t="inlineStr">
        <is>
          <t>NCRA_MCPHERSON</t>
        </is>
      </c>
      <c r="C230" s="18" t="n">
        <v>2</v>
      </c>
      <c r="D230" s="18" t="inlineStr">
        <is>
          <t>DHCU</t>
        </is>
      </c>
      <c r="E230" s="18" t="inlineStr">
        <is>
          <t>HYDROCRACKER</t>
        </is>
      </c>
      <c r="F230" s="19" t="n">
        <v>43</v>
      </c>
      <c r="G230" s="21">
        <f>IFERROR(IF(INDEX(Effective!$E$3:$R$125,MATCH($B230,Effective!$A$3:$A$125,0),MATCH($D230,Effective!$E$2:$R$2,0))=0,"",INDEX(Effective!$E$3:$R$125,MATCH($B230,Effective!$A$3:$A$125,0),MATCH($D230,Effective!$E$2:$R$2,0))),"")</f>
        <v/>
      </c>
      <c r="H230" s="22" t="inlineStr">
        <is>
          <t>override</t>
        </is>
      </c>
      <c r="I230" s="23" t="n">
        <v>0.792</v>
      </c>
      <c r="J230" s="24">
        <f>IF(AND(IF($H236&lt;&gt;"",$H236,$H230)="override",$I230&lt;&gt;""),$I230,SUMIFS(Assumptions!$K$4:$K$8,Assumptions!$J$4:$J$8,$C230))*Assumptions!$S$10</f>
        <v/>
      </c>
      <c r="K230" s="23" t="n"/>
      <c r="L230" s="25">
        <f>IF(AND(IF($H236&lt;&gt;"",$H236,$H230)="override",$K230&lt;&gt;""),$K230,SUMIFS(Assumptions!$P$4:$P$103,Assumptions!$M$4:$M$103,$C230,Assumptions!$N$4:$N$103,$E230,Assumptions!$O$4:$O$103,"LVN"))</f>
        <v/>
      </c>
      <c r="M230" s="23" t="n"/>
      <c r="N230" s="25">
        <f>IF(AND(IF($H236&lt;&gt;"",$H236,$H230)="override",$M230&lt;&gt;""),$M230,SUMIFS(Assumptions!$P$4:$P$103,Assumptions!$M$4:$M$103,$C230,Assumptions!$N$4:$N$103,$E230,Assumptions!$O$4:$O$103,"HVN"))</f>
        <v/>
      </c>
      <c r="O230" s="25">
        <f>(L230+N230)*Assumptions!$S$11</f>
        <v/>
      </c>
      <c r="P230" s="26">
        <f>$F230*$J230*$O230</f>
        <v/>
      </c>
    </row>
    <row r="231">
      <c r="A231" s="11" t="inlineStr">
        <is>
          <t>UNIT</t>
        </is>
      </c>
      <c r="B231" s="18" t="inlineStr">
        <is>
          <t>NCRA_MCPHERSON</t>
        </is>
      </c>
      <c r="C231" s="18" t="n">
        <v>2</v>
      </c>
      <c r="D231" s="18" t="inlineStr">
        <is>
          <t>COKER</t>
        </is>
      </c>
      <c r="E231" s="18" t="inlineStr">
        <is>
          <t>COKER</t>
        </is>
      </c>
      <c r="F231" s="19" t="n">
        <v>30.55</v>
      </c>
      <c r="G231" s="21">
        <f>IFERROR(IF(INDEX(Effective!$E$3:$R$125,MATCH($B231,Effective!$A$3:$A$125,0),MATCH($D231,Effective!$E$2:$R$2,0))=0,"",INDEX(Effective!$E$3:$R$125,MATCH($B231,Effective!$A$3:$A$125,0),MATCH($D231,Effective!$E$2:$R$2,0))),"")</f>
        <v/>
      </c>
      <c r="H231" s="22" t="inlineStr">
        <is>
          <t>override</t>
        </is>
      </c>
      <c r="I231" s="23" t="n">
        <v>0.5649999999999999</v>
      </c>
      <c r="J231" s="24">
        <f>IF(AND(IF($H236&lt;&gt;"",$H236,$H231)="override",$I231&lt;&gt;""),$I231,SUMIFS(Assumptions!$K$4:$K$8,Assumptions!$J$4:$J$8,$C231))*Assumptions!$S$10</f>
        <v/>
      </c>
      <c r="K231" s="23" t="n"/>
      <c r="L231" s="25">
        <f>IF(AND(IF($H236&lt;&gt;"",$H236,$H231)="override",$K231&lt;&gt;""),$K231,SUMIFS(Assumptions!$P$4:$P$103,Assumptions!$M$4:$M$103,$C231,Assumptions!$N$4:$N$103,$E231,Assumptions!$O$4:$O$103,"LVN"))</f>
        <v/>
      </c>
      <c r="M231" s="23" t="n"/>
      <c r="N231" s="25">
        <f>IF(AND(IF($H236&lt;&gt;"",$H236,$H231)="override",$M231&lt;&gt;""),$M231,SUMIFS(Assumptions!$P$4:$P$103,Assumptions!$M$4:$M$103,$C231,Assumptions!$N$4:$N$103,$E231,Assumptions!$O$4:$O$103,"HVN"))</f>
        <v/>
      </c>
      <c r="O231" s="25">
        <f>(L231+N231)*Assumptions!$S$11</f>
        <v/>
      </c>
      <c r="P231" s="26">
        <f>$F231*$J231*$O231</f>
        <v/>
      </c>
    </row>
    <row r="232">
      <c r="A232" s="11" t="inlineStr">
        <is>
          <t>UNIT</t>
        </is>
      </c>
      <c r="B232" s="18" t="inlineStr">
        <is>
          <t>NCRA_MCPHERSON</t>
        </is>
      </c>
      <c r="C232" s="18" t="n">
        <v>2</v>
      </c>
      <c r="D232" s="18" t="inlineStr">
        <is>
          <t>CCR</t>
        </is>
      </c>
      <c r="E232" s="18" t="inlineStr">
        <is>
          <t>REFORMER</t>
        </is>
      </c>
      <c r="F232" s="19" t="n">
        <v>27</v>
      </c>
      <c r="G232" s="21">
        <f>IFERROR(IF(INDEX(Effective!$E$3:$R$125,MATCH($B232,Effective!$A$3:$A$125,0),MATCH($D232,Effective!$E$2:$R$2,0))=0,"",INDEX(Effective!$E$3:$R$125,MATCH($B232,Effective!$A$3:$A$125,0),MATCH($D232,Effective!$E$2:$R$2,0))),"")</f>
        <v/>
      </c>
      <c r="H232" s="22" t="inlineStr">
        <is>
          <t>override</t>
        </is>
      </c>
      <c r="I232" s="23" t="n">
        <v>1</v>
      </c>
      <c r="J232" s="24">
        <f>IF(AND(IF($H236&lt;&gt;"",$H236,$H232)="override",$I232&lt;&gt;""),$I232,SUMIFS(Assumptions!$K$4:$K$8,Assumptions!$J$4:$J$8,$C232))*Assumptions!$S$10</f>
        <v/>
      </c>
      <c r="K232" s="23" t="n"/>
      <c r="L232" s="25">
        <f>IF(AND(IF($H236&lt;&gt;"",$H236,$H232)="override",$K232&lt;&gt;""),$K232,SUMIFS(Assumptions!$P$4:$P$103,Assumptions!$M$4:$M$103,$C232,Assumptions!$N$4:$N$103,$E232,Assumptions!$O$4:$O$103,"LVN"))</f>
        <v/>
      </c>
      <c r="M232" s="23" t="n"/>
      <c r="N232" s="25">
        <f>IF(AND(IF($H236&lt;&gt;"",$H236,$H232)="override",$M232&lt;&gt;""),$M232,SUMIFS(Assumptions!$P$4:$P$103,Assumptions!$M$4:$M$103,$C232,Assumptions!$N$4:$N$103,$E232,Assumptions!$O$4:$O$103,"HVN"))</f>
        <v/>
      </c>
      <c r="O232" s="25">
        <f>(L232+N232)*Assumptions!$S$11</f>
        <v/>
      </c>
      <c r="P232" s="26">
        <f>$F232*$J232*$O232</f>
        <v/>
      </c>
    </row>
    <row r="233">
      <c r="A233" s="11" t="inlineStr">
        <is>
          <t>UNIT</t>
        </is>
      </c>
      <c r="B233" s="18" t="inlineStr">
        <is>
          <t>NCRA_MCPHERSON</t>
        </is>
      </c>
      <c r="C233" s="18" t="n">
        <v>2</v>
      </c>
      <c r="D233" s="18" t="inlineStr">
        <is>
          <t>ISOM</t>
        </is>
      </c>
      <c r="E233" s="18" t="inlineStr">
        <is>
          <t>ISOM</t>
        </is>
      </c>
      <c r="F233" s="19" t="n">
        <v>12</v>
      </c>
      <c r="G233" s="21">
        <f>IFERROR(IF(INDEX(Effective!$E$3:$R$125,MATCH($B233,Effective!$A$3:$A$125,0),MATCH($D233,Effective!$E$2:$R$2,0))=0,"",INDEX(Effective!$E$3:$R$125,MATCH($B233,Effective!$A$3:$A$125,0),MATCH($D233,Effective!$E$2:$R$2,0))),"")</f>
        <v/>
      </c>
      <c r="H233" s="22" t="inlineStr">
        <is>
          <t>override</t>
        </is>
      </c>
      <c r="I233" s="23" t="n">
        <v>0.854</v>
      </c>
      <c r="J233" s="24">
        <f>IF(AND(IF($H236&lt;&gt;"",$H236,$H233)="override",$I233&lt;&gt;""),$I233,SUMIFS(Assumptions!$K$4:$K$8,Assumptions!$J$4:$J$8,$C233))*Assumptions!$S$10</f>
        <v/>
      </c>
      <c r="K233" s="23" t="n"/>
      <c r="L233" s="25">
        <f>IF(AND(IF($H236&lt;&gt;"",$H236,$H233)="override",$K233&lt;&gt;""),$K233,SUMIFS(Assumptions!$P$4:$P$103,Assumptions!$M$4:$M$103,$C233,Assumptions!$N$4:$N$103,$E233,Assumptions!$O$4:$O$103,"LVN"))</f>
        <v/>
      </c>
      <c r="M233" s="23" t="n"/>
      <c r="N233" s="25">
        <f>IF(AND(IF($H236&lt;&gt;"",$H236,$H233)="override",$M233&lt;&gt;""),$M233,SUMIFS(Assumptions!$P$4:$P$103,Assumptions!$M$4:$M$103,$C233,Assumptions!$N$4:$N$103,$E233,Assumptions!$O$4:$O$103,"HVN"))</f>
        <v/>
      </c>
      <c r="O233" s="25">
        <f>(L233+N233)*Assumptions!$S$11</f>
        <v/>
      </c>
      <c r="P233" s="26">
        <f>$F233*$J233*$O233</f>
        <v/>
      </c>
    </row>
    <row r="234">
      <c r="A234" s="11" t="inlineStr">
        <is>
          <t>UNIT</t>
        </is>
      </c>
      <c r="B234" s="18" t="inlineStr">
        <is>
          <t>NCRA_MCPHERSON</t>
        </is>
      </c>
      <c r="C234" s="18" t="n">
        <v>2</v>
      </c>
      <c r="D234" s="18" t="inlineStr">
        <is>
          <t>ALKY</t>
        </is>
      </c>
      <c r="E234" s="18" t="inlineStr">
        <is>
          <t>ALKY</t>
        </is>
      </c>
      <c r="F234" s="19" t="n">
        <v>9.5</v>
      </c>
      <c r="G234" s="21">
        <f>IFERROR(IF(INDEX(Effective!$E$3:$R$125,MATCH($B234,Effective!$A$3:$A$125,0),MATCH($D234,Effective!$E$2:$R$2,0))=0,"",INDEX(Effective!$E$3:$R$125,MATCH($B234,Effective!$A$3:$A$125,0),MATCH($D234,Effective!$E$2:$R$2,0))),"")</f>
        <v/>
      </c>
      <c r="H234" s="22" t="inlineStr">
        <is>
          <t>override</t>
        </is>
      </c>
      <c r="I234" s="23" t="n">
        <v>0.804</v>
      </c>
      <c r="J234" s="24">
        <f>IF(AND(IF($H236&lt;&gt;"",$H236,$H234)="override",$I234&lt;&gt;""),$I234,SUMIFS(Assumptions!$K$4:$K$8,Assumptions!$J$4:$J$8,$C234))*Assumptions!$S$10</f>
        <v/>
      </c>
      <c r="K234" s="23" t="n"/>
      <c r="L234" s="25">
        <f>IF(AND(IF($H236&lt;&gt;"",$H236,$H234)="override",$K234&lt;&gt;""),$K234,SUMIFS(Assumptions!$P$4:$P$103,Assumptions!$M$4:$M$103,$C234,Assumptions!$N$4:$N$103,$E234,Assumptions!$O$4:$O$103,"LVN"))</f>
        <v/>
      </c>
      <c r="M234" s="23" t="n"/>
      <c r="N234" s="25">
        <f>IF(AND(IF($H236&lt;&gt;"",$H236,$H234)="override",$M234&lt;&gt;""),$M234,SUMIFS(Assumptions!$P$4:$P$103,Assumptions!$M$4:$M$103,$C234,Assumptions!$N$4:$N$103,$E234,Assumptions!$O$4:$O$103,"HVN"))</f>
        <v/>
      </c>
      <c r="O234" s="25">
        <f>(L234+N234)*Assumptions!$S$11</f>
        <v/>
      </c>
      <c r="P234" s="26">
        <f>$F234*$J234*$O234</f>
        <v/>
      </c>
    </row>
    <row r="235">
      <c r="A235" s="11" t="inlineStr">
        <is>
          <t>UNIT</t>
        </is>
      </c>
      <c r="B235" s="18" t="inlineStr">
        <is>
          <t>NCRA_MCPHERSON</t>
        </is>
      </c>
      <c r="C235" s="18" t="n">
        <v>2</v>
      </c>
      <c r="D235" s="18" t="inlineStr">
        <is>
          <t>NHT</t>
        </is>
      </c>
      <c r="E235" s="18" t="inlineStr">
        <is>
          <t>NHT</t>
        </is>
      </c>
      <c r="F235" s="19" t="n">
        <v>42.4</v>
      </c>
      <c r="G235" s="21">
        <f>IFERROR(IF(INDEX(Effective!$E$3:$R$125,MATCH($B235,Effective!$A$3:$A$125,0),MATCH($D235,Effective!$E$2:$R$2,0))=0,"",INDEX(Effective!$E$3:$R$125,MATCH($B235,Effective!$A$3:$A$125,0),MATCH($D235,Effective!$E$2:$R$2,0))),"")</f>
        <v/>
      </c>
      <c r="H235" s="22" t="inlineStr">
        <is>
          <t>override</t>
        </is>
      </c>
      <c r="I235" s="23" t="n">
        <v>0.697</v>
      </c>
      <c r="J235" s="24">
        <f>IF(AND(IF($H236&lt;&gt;"",$H236,$H235)="override",$I235&lt;&gt;""),$I235,SUMIFS(Assumptions!$K$4:$K$8,Assumptions!$J$4:$J$8,$C235))*Assumptions!$S$10</f>
        <v/>
      </c>
      <c r="K235" s="23" t="n"/>
      <c r="L235" s="25">
        <f>IF(AND(IF($H236&lt;&gt;"",$H236,$H235)="override",$K235&lt;&gt;""),$K235,SUMIFS(Assumptions!$P$4:$P$103,Assumptions!$M$4:$M$103,$C235,Assumptions!$N$4:$N$103,$E235,Assumptions!$O$4:$O$103,"LVN"))</f>
        <v/>
      </c>
      <c r="M235" s="23" t="n"/>
      <c r="N235" s="25">
        <f>IF(AND(IF($H236&lt;&gt;"",$H236,$H235)="override",$M235&lt;&gt;""),$M235,SUMIFS(Assumptions!$P$4:$P$103,Assumptions!$M$4:$M$103,$C235,Assumptions!$N$4:$N$103,$E235,Assumptions!$O$4:$O$103,"HVN"))</f>
        <v/>
      </c>
      <c r="O235" s="25">
        <f>(L235+N235)*Assumptions!$S$11</f>
        <v/>
      </c>
      <c r="P235" s="26">
        <f>$F235*$J235*$O235</f>
        <v/>
      </c>
    </row>
    <row r="236">
      <c r="A236" s="27" t="inlineStr">
        <is>
          <t>TOTAL</t>
        </is>
      </c>
      <c r="B236" s="28" t="inlineStr">
        <is>
          <t>NCRA_MCPHERSON</t>
        </is>
      </c>
      <c r="C236" s="28" t="n">
        <v>2</v>
      </c>
      <c r="D236" s="28" t="inlineStr">
        <is>
          <t>NET NAPHTHA</t>
        </is>
      </c>
      <c r="H236" s="22" t="n"/>
      <c r="P236" s="29">
        <f>SUM(P227:P235)</f>
        <v/>
      </c>
    </row>
    <row r="238" ht="20" customHeight="1">
      <c r="A238" s="8">
        <f>"  Marathon Petroleum Saint Paul Park  [MARATHON_SAINT_PAUL_PARK]   —   Marathon Petroleum   —   PADD 2   —   crude "&amp;TEXT(SUMIFS(Data!$G$3:$G$125,Data!$A$3:$A$125,"MARATHON_SAINT_PAUL_PARK"),"#,##0")&amp;" kbd"</f>
        <v/>
      </c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</row>
    <row r="239">
      <c r="A239" s="11" t="inlineStr">
        <is>
          <t>UNIT</t>
        </is>
      </c>
      <c r="B239" s="18" t="inlineStr">
        <is>
          <t>MARATHON_SAINT_PAUL_PARK</t>
        </is>
      </c>
      <c r="C239" s="18" t="n">
        <v>2</v>
      </c>
      <c r="D239" s="18" t="inlineStr">
        <is>
          <t>CDU</t>
        </is>
      </c>
      <c r="E239" s="18" t="inlineStr">
        <is>
          <t>CDU</t>
        </is>
      </c>
      <c r="F239" s="19" t="n">
        <v>108</v>
      </c>
      <c r="G239" s="21">
        <f>IFERROR(IF(INDEX(Effective!$E$3:$R$125,MATCH($B239,Effective!$A$3:$A$125,0),MATCH($D239,Effective!$E$2:$R$2,0))=0,"",INDEX(Effective!$E$3:$R$125,MATCH($B239,Effective!$A$3:$A$125,0),MATCH($D239,Effective!$E$2:$R$2,0))),"")</f>
        <v/>
      </c>
      <c r="H239" s="22" t="inlineStr">
        <is>
          <t>override</t>
        </is>
      </c>
      <c r="I239" s="23" t="n">
        <v>0.986</v>
      </c>
      <c r="J239" s="24">
        <f>IF(AND(IF($H246&lt;&gt;"",$H246,$H239)="override",$I239&lt;&gt;""),$I239,SUMIFS(Assumptions!$K$4:$K$8,Assumptions!$J$4:$J$8,$C239))*Assumptions!$S$10</f>
        <v/>
      </c>
      <c r="K239" s="23" t="n"/>
      <c r="L239" s="25">
        <f>IF(AND(IF($H246&lt;&gt;"",$H246,$H239)="override",$K239&lt;&gt;""),$K239,SUMIFS(Assumptions!$P$4:$P$103,Assumptions!$M$4:$M$103,$C239,Assumptions!$N$4:$N$103,$E239,Assumptions!$O$4:$O$103,"LVN"))</f>
        <v/>
      </c>
      <c r="M239" s="23" t="n"/>
      <c r="N239" s="25">
        <f>IF(AND(IF($H246&lt;&gt;"",$H246,$H239)="override",$M239&lt;&gt;""),$M239,SUMIFS(Assumptions!$P$4:$P$103,Assumptions!$M$4:$M$103,$C239,Assumptions!$N$4:$N$103,$E239,Assumptions!$O$4:$O$103,"HVN"))</f>
        <v/>
      </c>
      <c r="O239" s="25">
        <f>(L239+N239)*Assumptions!$S$11</f>
        <v/>
      </c>
      <c r="P239" s="26">
        <f>$F239*$J239*$O239</f>
        <v/>
      </c>
    </row>
    <row r="240">
      <c r="A240" s="11" t="inlineStr">
        <is>
          <t>UNIT</t>
        </is>
      </c>
      <c r="B240" s="18" t="inlineStr">
        <is>
          <t>MARATHON_SAINT_PAUL_PARK</t>
        </is>
      </c>
      <c r="C240" s="18" t="n">
        <v>2</v>
      </c>
      <c r="D240" s="18" t="inlineStr">
        <is>
          <t>VDU</t>
        </is>
      </c>
      <c r="E240" s="18" t="inlineStr">
        <is>
          <t>VDU</t>
        </is>
      </c>
      <c r="F240" s="19" t="n">
        <v>50</v>
      </c>
      <c r="G240" s="21">
        <f>IFERROR(IF(INDEX(Effective!$E$3:$R$125,MATCH($B240,Effective!$A$3:$A$125,0),MATCH($D240,Effective!$E$2:$R$2,0))=0,"",INDEX(Effective!$E$3:$R$125,MATCH($B240,Effective!$A$3:$A$125,0),MATCH($D240,Effective!$E$2:$R$2,0))),"")</f>
        <v/>
      </c>
      <c r="H240" s="22" t="inlineStr">
        <is>
          <t>override</t>
        </is>
      </c>
      <c r="I240" s="23" t="n">
        <v>0.699</v>
      </c>
      <c r="J240" s="24">
        <f>IF(AND(IF($H246&lt;&gt;"",$H246,$H240)="override",$I240&lt;&gt;""),$I240,SUMIFS(Assumptions!$K$4:$K$8,Assumptions!$J$4:$J$8,$C240))*Assumptions!$S$10</f>
        <v/>
      </c>
      <c r="K240" s="23" t="n"/>
      <c r="L240" s="25">
        <f>IF(AND(IF($H246&lt;&gt;"",$H246,$H240)="override",$K240&lt;&gt;""),$K240,SUMIFS(Assumptions!$P$4:$P$103,Assumptions!$M$4:$M$103,$C240,Assumptions!$N$4:$N$103,$E240,Assumptions!$O$4:$O$103,"LVN"))</f>
        <v/>
      </c>
      <c r="M240" s="23" t="n"/>
      <c r="N240" s="25">
        <f>IF(AND(IF($H246&lt;&gt;"",$H246,$H240)="override",$M240&lt;&gt;""),$M240,SUMIFS(Assumptions!$P$4:$P$103,Assumptions!$M$4:$M$103,$C240,Assumptions!$N$4:$N$103,$E240,Assumptions!$O$4:$O$103,"HVN"))</f>
        <v/>
      </c>
      <c r="O240" s="25">
        <f>(L240+N240)*Assumptions!$S$11</f>
        <v/>
      </c>
      <c r="P240" s="26">
        <f>$F240*$J240*$O240</f>
        <v/>
      </c>
    </row>
    <row r="241">
      <c r="A241" s="11" t="inlineStr">
        <is>
          <t>UNIT</t>
        </is>
      </c>
      <c r="B241" s="18" t="inlineStr">
        <is>
          <t>MARATHON_SAINT_PAUL_PARK</t>
        </is>
      </c>
      <c r="C241" s="18" t="n">
        <v>2</v>
      </c>
      <c r="D241" s="18" t="inlineStr">
        <is>
          <t>FCC</t>
        </is>
      </c>
      <c r="E241" s="18" t="inlineStr">
        <is>
          <t>FCC</t>
        </is>
      </c>
      <c r="F241" s="19" t="n">
        <v>30.5</v>
      </c>
      <c r="G241" s="21">
        <f>IFERROR(IF(INDEX(Effective!$E$3:$R$125,MATCH($B241,Effective!$A$3:$A$125,0),MATCH($D241,Effective!$E$2:$R$2,0))=0,"",INDEX(Effective!$E$3:$R$125,MATCH($B241,Effective!$A$3:$A$125,0),MATCH($D241,Effective!$E$2:$R$2,0))),"")</f>
        <v/>
      </c>
      <c r="H241" s="22" t="inlineStr">
        <is>
          <t>override</t>
        </is>
      </c>
      <c r="I241" s="23" t="n">
        <v>0.608</v>
      </c>
      <c r="J241" s="24">
        <f>IF(AND(IF($H246&lt;&gt;"",$H246,$H241)="override",$I241&lt;&gt;""),$I241,SUMIFS(Assumptions!$K$4:$K$8,Assumptions!$J$4:$J$8,$C241))*Assumptions!$S$10</f>
        <v/>
      </c>
      <c r="K241" s="23" t="n"/>
      <c r="L241" s="25">
        <f>IF(AND(IF($H246&lt;&gt;"",$H246,$H241)="override",$K241&lt;&gt;""),$K241,SUMIFS(Assumptions!$P$4:$P$103,Assumptions!$M$4:$M$103,$C241,Assumptions!$N$4:$N$103,$E241,Assumptions!$O$4:$O$103,"LVN"))</f>
        <v/>
      </c>
      <c r="M241" s="23" t="n"/>
      <c r="N241" s="25">
        <f>IF(AND(IF($H246&lt;&gt;"",$H246,$H241)="override",$M241&lt;&gt;""),$M241,SUMIFS(Assumptions!$P$4:$P$103,Assumptions!$M$4:$M$103,$C241,Assumptions!$N$4:$N$103,$E241,Assumptions!$O$4:$O$103,"HVN"))</f>
        <v/>
      </c>
      <c r="O241" s="25">
        <f>(L241+N241)*Assumptions!$S$11</f>
        <v/>
      </c>
      <c r="P241" s="26">
        <f>$F241*$J241*$O241</f>
        <v/>
      </c>
    </row>
    <row r="242">
      <c r="A242" s="11" t="inlineStr">
        <is>
          <t>UNIT</t>
        </is>
      </c>
      <c r="B242" s="18" t="inlineStr">
        <is>
          <t>MARATHON_SAINT_PAUL_PARK</t>
        </is>
      </c>
      <c r="C242" s="18" t="n">
        <v>2</v>
      </c>
      <c r="D242" s="18" t="inlineStr">
        <is>
          <t>REF</t>
        </is>
      </c>
      <c r="E242" s="18" t="inlineStr">
        <is>
          <t>REFORMER</t>
        </is>
      </c>
      <c r="F242" s="19" t="n">
        <v>23</v>
      </c>
      <c r="G242" s="21">
        <f>IFERROR(IF(INDEX(Effective!$E$3:$R$125,MATCH($B242,Effective!$A$3:$A$125,0),MATCH($D242,Effective!$E$2:$R$2,0))=0,"",INDEX(Effective!$E$3:$R$125,MATCH($B242,Effective!$A$3:$A$125,0),MATCH($D242,Effective!$E$2:$R$2,0))),"")</f>
        <v/>
      </c>
      <c r="H242" s="22" t="inlineStr">
        <is>
          <t>override</t>
        </is>
      </c>
      <c r="I242" s="23" t="n">
        <v>0.929</v>
      </c>
      <c r="J242" s="24">
        <f>IF(AND(IF($H246&lt;&gt;"",$H246,$H242)="override",$I242&lt;&gt;""),$I242,SUMIFS(Assumptions!$K$4:$K$8,Assumptions!$J$4:$J$8,$C242))*Assumptions!$S$10</f>
        <v/>
      </c>
      <c r="K242" s="23" t="n"/>
      <c r="L242" s="25">
        <f>IF(AND(IF($H246&lt;&gt;"",$H246,$H242)="override",$K242&lt;&gt;""),$K242,SUMIFS(Assumptions!$P$4:$P$103,Assumptions!$M$4:$M$103,$C242,Assumptions!$N$4:$N$103,$E242,Assumptions!$O$4:$O$103,"LVN"))</f>
        <v/>
      </c>
      <c r="M242" s="23" t="n"/>
      <c r="N242" s="25">
        <f>IF(AND(IF($H246&lt;&gt;"",$H246,$H242)="override",$M242&lt;&gt;""),$M242,SUMIFS(Assumptions!$P$4:$P$103,Assumptions!$M$4:$M$103,$C242,Assumptions!$N$4:$N$103,$E242,Assumptions!$O$4:$O$103,"HVN"))</f>
        <v/>
      </c>
      <c r="O242" s="25">
        <f>(L242+N242)*Assumptions!$S$11</f>
        <v/>
      </c>
      <c r="P242" s="26">
        <f>$F242*$J242*$O242</f>
        <v/>
      </c>
    </row>
    <row r="243">
      <c r="A243" s="11" t="inlineStr">
        <is>
          <t>UNIT</t>
        </is>
      </c>
      <c r="B243" s="18" t="inlineStr">
        <is>
          <t>MARATHON_SAINT_PAUL_PARK</t>
        </is>
      </c>
      <c r="C243" s="18" t="n">
        <v>2</v>
      </c>
      <c r="D243" s="18" t="inlineStr">
        <is>
          <t>ISOM</t>
        </is>
      </c>
      <c r="E243" s="18" t="inlineStr">
        <is>
          <t>ISOM</t>
        </is>
      </c>
      <c r="F243" s="19" t="n">
        <v>15.5</v>
      </c>
      <c r="G243" s="21">
        <f>IFERROR(IF(INDEX(Effective!$E$3:$R$125,MATCH($B243,Effective!$A$3:$A$125,0),MATCH($D243,Effective!$E$2:$R$2,0))=0,"",INDEX(Effective!$E$3:$R$125,MATCH($B243,Effective!$A$3:$A$125,0),MATCH($D243,Effective!$E$2:$R$2,0))),"")</f>
        <v/>
      </c>
      <c r="H243" s="22" t="inlineStr">
        <is>
          <t>override</t>
        </is>
      </c>
      <c r="I243" s="23" t="n">
        <v>0.914</v>
      </c>
      <c r="J243" s="24">
        <f>IF(AND(IF($H246&lt;&gt;"",$H246,$H243)="override",$I243&lt;&gt;""),$I243,SUMIFS(Assumptions!$K$4:$K$8,Assumptions!$J$4:$J$8,$C243))*Assumptions!$S$10</f>
        <v/>
      </c>
      <c r="K243" s="23" t="n"/>
      <c r="L243" s="25">
        <f>IF(AND(IF($H246&lt;&gt;"",$H246,$H243)="override",$K243&lt;&gt;""),$K243,SUMIFS(Assumptions!$P$4:$P$103,Assumptions!$M$4:$M$103,$C243,Assumptions!$N$4:$N$103,$E243,Assumptions!$O$4:$O$103,"LVN"))</f>
        <v/>
      </c>
      <c r="M243" s="23" t="n"/>
      <c r="N243" s="25">
        <f>IF(AND(IF($H246&lt;&gt;"",$H246,$H243)="override",$M243&lt;&gt;""),$M243,SUMIFS(Assumptions!$P$4:$P$103,Assumptions!$M$4:$M$103,$C243,Assumptions!$N$4:$N$103,$E243,Assumptions!$O$4:$O$103,"HVN"))</f>
        <v/>
      </c>
      <c r="O243" s="25">
        <f>(L243+N243)*Assumptions!$S$11</f>
        <v/>
      </c>
      <c r="P243" s="26">
        <f>$F243*$J243*$O243</f>
        <v/>
      </c>
    </row>
    <row r="244">
      <c r="A244" s="11" t="inlineStr">
        <is>
          <t>UNIT</t>
        </is>
      </c>
      <c r="B244" s="18" t="inlineStr">
        <is>
          <t>MARATHON_SAINT_PAUL_PARK</t>
        </is>
      </c>
      <c r="C244" s="18" t="n">
        <v>2</v>
      </c>
      <c r="D244" s="18" t="inlineStr">
        <is>
          <t>ALKY</t>
        </is>
      </c>
      <c r="E244" s="18" t="inlineStr">
        <is>
          <t>ALKY</t>
        </is>
      </c>
      <c r="F244" s="19" t="n">
        <v>6.5</v>
      </c>
      <c r="G244" s="21">
        <f>IFERROR(IF(INDEX(Effective!$E$3:$R$125,MATCH($B244,Effective!$A$3:$A$125,0),MATCH($D244,Effective!$E$2:$R$2,0))=0,"",INDEX(Effective!$E$3:$R$125,MATCH($B244,Effective!$A$3:$A$125,0),MATCH($D244,Effective!$E$2:$R$2,0))),"")</f>
        <v/>
      </c>
      <c r="H244" s="22" t="inlineStr">
        <is>
          <t>override</t>
        </is>
      </c>
      <c r="I244" s="23" t="n">
        <v>1.1</v>
      </c>
      <c r="J244" s="24">
        <f>IF(AND(IF($H246&lt;&gt;"",$H246,$H244)="override",$I244&lt;&gt;""),$I244,SUMIFS(Assumptions!$K$4:$K$8,Assumptions!$J$4:$J$8,$C244))*Assumptions!$S$10</f>
        <v/>
      </c>
      <c r="K244" s="23" t="n"/>
      <c r="L244" s="25">
        <f>IF(AND(IF($H246&lt;&gt;"",$H246,$H244)="override",$K244&lt;&gt;""),$K244,SUMIFS(Assumptions!$P$4:$P$103,Assumptions!$M$4:$M$103,$C244,Assumptions!$N$4:$N$103,$E244,Assumptions!$O$4:$O$103,"LVN"))</f>
        <v/>
      </c>
      <c r="M244" s="23" t="n"/>
      <c r="N244" s="25">
        <f>IF(AND(IF($H246&lt;&gt;"",$H246,$H244)="override",$M244&lt;&gt;""),$M244,SUMIFS(Assumptions!$P$4:$P$103,Assumptions!$M$4:$M$103,$C244,Assumptions!$N$4:$N$103,$E244,Assumptions!$O$4:$O$103,"HVN"))</f>
        <v/>
      </c>
      <c r="O244" s="25">
        <f>(L244+N244)*Assumptions!$S$11</f>
        <v/>
      </c>
      <c r="P244" s="26">
        <f>$F244*$J244*$O244</f>
        <v/>
      </c>
    </row>
    <row r="245">
      <c r="A245" s="11" t="inlineStr">
        <is>
          <t>UNIT</t>
        </is>
      </c>
      <c r="B245" s="18" t="inlineStr">
        <is>
          <t>MARATHON_SAINT_PAUL_PARK</t>
        </is>
      </c>
      <c r="C245" s="18" t="n">
        <v>2</v>
      </c>
      <c r="D245" s="18" t="inlineStr">
        <is>
          <t>NHT</t>
        </is>
      </c>
      <c r="E245" s="18" t="inlineStr">
        <is>
          <t>NHT</t>
        </is>
      </c>
      <c r="F245" s="19" t="n">
        <v>38</v>
      </c>
      <c r="G245" s="21">
        <f>IFERROR(IF(INDEX(Effective!$E$3:$R$125,MATCH($B245,Effective!$A$3:$A$125,0),MATCH($D245,Effective!$E$2:$R$2,0))=0,"",INDEX(Effective!$E$3:$R$125,MATCH($B245,Effective!$A$3:$A$125,0),MATCH($D245,Effective!$E$2:$R$2,0))),"")</f>
        <v/>
      </c>
      <c r="H245" s="22" t="inlineStr">
        <is>
          <t>override</t>
        </is>
      </c>
      <c r="I245" s="23" t="n">
        <v>1</v>
      </c>
      <c r="J245" s="24">
        <f>IF(AND(IF($H246&lt;&gt;"",$H246,$H245)="override",$I245&lt;&gt;""),$I245,SUMIFS(Assumptions!$K$4:$K$8,Assumptions!$J$4:$J$8,$C245))*Assumptions!$S$10</f>
        <v/>
      </c>
      <c r="K245" s="23" t="n"/>
      <c r="L245" s="25">
        <f>IF(AND(IF($H246&lt;&gt;"",$H246,$H245)="override",$K245&lt;&gt;""),$K245,SUMIFS(Assumptions!$P$4:$P$103,Assumptions!$M$4:$M$103,$C245,Assumptions!$N$4:$N$103,$E245,Assumptions!$O$4:$O$103,"LVN"))</f>
        <v/>
      </c>
      <c r="M245" s="23" t="n"/>
      <c r="N245" s="25">
        <f>IF(AND(IF($H246&lt;&gt;"",$H246,$H245)="override",$M245&lt;&gt;""),$M245,SUMIFS(Assumptions!$P$4:$P$103,Assumptions!$M$4:$M$103,$C245,Assumptions!$N$4:$N$103,$E245,Assumptions!$O$4:$O$103,"HVN"))</f>
        <v/>
      </c>
      <c r="O245" s="25">
        <f>(L245+N245)*Assumptions!$S$11</f>
        <v/>
      </c>
      <c r="P245" s="26">
        <f>$F245*$J245*$O245</f>
        <v/>
      </c>
    </row>
    <row r="246">
      <c r="A246" s="27" t="inlineStr">
        <is>
          <t>TOTAL</t>
        </is>
      </c>
      <c r="B246" s="28" t="inlineStr">
        <is>
          <t>MARATHON_SAINT_PAUL_PARK</t>
        </is>
      </c>
      <c r="C246" s="28" t="n">
        <v>2</v>
      </c>
      <c r="D246" s="28" t="inlineStr">
        <is>
          <t>NET NAPHTHA</t>
        </is>
      </c>
      <c r="H246" s="22" t="n"/>
      <c r="P246" s="29">
        <f>SUM(P239:P245)</f>
        <v/>
      </c>
    </row>
    <row r="248" ht="20" customHeight="1">
      <c r="A248" s="8">
        <f>"  Marathon Petroleum Canton  [MARATHON_CANTON]   —   Marathon Petroleum   —   PADD 2   —   crude "&amp;TEXT(SUMIFS(Data!$G$3:$G$125,Data!$A$3:$A$125,"MARATHON_CANTON"),"#,##0")&amp;" kbd"</f>
        <v/>
      </c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</row>
    <row r="249">
      <c r="A249" s="11" t="inlineStr">
        <is>
          <t>UNIT</t>
        </is>
      </c>
      <c r="B249" s="18" t="inlineStr">
        <is>
          <t>MARATHON_CANTON</t>
        </is>
      </c>
      <c r="C249" s="18" t="n">
        <v>2</v>
      </c>
      <c r="D249" s="18" t="inlineStr">
        <is>
          <t>CDU</t>
        </is>
      </c>
      <c r="E249" s="18" t="inlineStr">
        <is>
          <t>CDU</t>
        </is>
      </c>
      <c r="F249" s="19" t="n">
        <v>102</v>
      </c>
      <c r="G249" s="21">
        <f>IFERROR(IF(INDEX(Effective!$E$3:$R$125,MATCH($B249,Effective!$A$3:$A$125,0),MATCH($D249,Effective!$E$2:$R$2,0))=0,"",INDEX(Effective!$E$3:$R$125,MATCH($B249,Effective!$A$3:$A$125,0),MATCH($D249,Effective!$E$2:$R$2,0))),"")</f>
        <v/>
      </c>
      <c r="H249" s="22" t="inlineStr">
        <is>
          <t>override</t>
        </is>
      </c>
      <c r="I249" s="23" t="n">
        <v>0.988</v>
      </c>
      <c r="J249" s="24">
        <f>IF(AND(IF($H255&lt;&gt;"",$H255,$H249)="override",$I249&lt;&gt;""),$I249,SUMIFS(Assumptions!$K$4:$K$8,Assumptions!$J$4:$J$8,$C249))*Assumptions!$S$10</f>
        <v/>
      </c>
      <c r="K249" s="23" t="n"/>
      <c r="L249" s="25">
        <f>IF(AND(IF($H255&lt;&gt;"",$H255,$H249)="override",$K249&lt;&gt;""),$K249,SUMIFS(Assumptions!$P$4:$P$103,Assumptions!$M$4:$M$103,$C249,Assumptions!$N$4:$N$103,$E249,Assumptions!$O$4:$O$103,"LVN"))</f>
        <v/>
      </c>
      <c r="M249" s="23" t="n"/>
      <c r="N249" s="25">
        <f>IF(AND(IF($H255&lt;&gt;"",$H255,$H249)="override",$M249&lt;&gt;""),$M249,SUMIFS(Assumptions!$P$4:$P$103,Assumptions!$M$4:$M$103,$C249,Assumptions!$N$4:$N$103,$E249,Assumptions!$O$4:$O$103,"HVN"))</f>
        <v/>
      </c>
      <c r="O249" s="25">
        <f>(L249+N249)*Assumptions!$S$11</f>
        <v/>
      </c>
      <c r="P249" s="26">
        <f>$F249*$J249*$O249</f>
        <v/>
      </c>
    </row>
    <row r="250">
      <c r="A250" s="11" t="inlineStr">
        <is>
          <t>UNIT</t>
        </is>
      </c>
      <c r="B250" s="18" t="inlineStr">
        <is>
          <t>MARATHON_CANTON</t>
        </is>
      </c>
      <c r="C250" s="18" t="n">
        <v>2</v>
      </c>
      <c r="D250" s="18" t="inlineStr">
        <is>
          <t>VDU</t>
        </is>
      </c>
      <c r="E250" s="18" t="inlineStr">
        <is>
          <t>VDU</t>
        </is>
      </c>
      <c r="F250" s="19" t="n">
        <v>35</v>
      </c>
      <c r="G250" s="21">
        <f>IFERROR(IF(INDEX(Effective!$E$3:$R$125,MATCH($B250,Effective!$A$3:$A$125,0),MATCH($D250,Effective!$E$2:$R$2,0))=0,"",INDEX(Effective!$E$3:$R$125,MATCH($B250,Effective!$A$3:$A$125,0),MATCH($D250,Effective!$E$2:$R$2,0))),"")</f>
        <v/>
      </c>
      <c r="H250" s="22" t="inlineStr">
        <is>
          <t>override</t>
        </is>
      </c>
      <c r="I250" s="23" t="n">
        <v>0.827</v>
      </c>
      <c r="J250" s="24">
        <f>IF(AND(IF($H255&lt;&gt;"",$H255,$H250)="override",$I250&lt;&gt;""),$I250,SUMIFS(Assumptions!$K$4:$K$8,Assumptions!$J$4:$J$8,$C250))*Assumptions!$S$10</f>
        <v/>
      </c>
      <c r="K250" s="23" t="n"/>
      <c r="L250" s="25">
        <f>IF(AND(IF($H255&lt;&gt;"",$H255,$H250)="override",$K250&lt;&gt;""),$K250,SUMIFS(Assumptions!$P$4:$P$103,Assumptions!$M$4:$M$103,$C250,Assumptions!$N$4:$N$103,$E250,Assumptions!$O$4:$O$103,"LVN"))</f>
        <v/>
      </c>
      <c r="M250" s="23" t="n"/>
      <c r="N250" s="25">
        <f>IF(AND(IF($H255&lt;&gt;"",$H255,$H250)="override",$M250&lt;&gt;""),$M250,SUMIFS(Assumptions!$P$4:$P$103,Assumptions!$M$4:$M$103,$C250,Assumptions!$N$4:$N$103,$E250,Assumptions!$O$4:$O$103,"HVN"))</f>
        <v/>
      </c>
      <c r="O250" s="25">
        <f>(L250+N250)*Assumptions!$S$11</f>
        <v/>
      </c>
      <c r="P250" s="26">
        <f>$F250*$J250*$O250</f>
        <v/>
      </c>
    </row>
    <row r="251">
      <c r="A251" s="11" t="inlineStr">
        <is>
          <t>UNIT</t>
        </is>
      </c>
      <c r="B251" s="18" t="inlineStr">
        <is>
          <t>MARATHON_CANTON</t>
        </is>
      </c>
      <c r="C251" s="18" t="n">
        <v>2</v>
      </c>
      <c r="D251" s="18" t="inlineStr">
        <is>
          <t>FCC</t>
        </is>
      </c>
      <c r="E251" s="18" t="inlineStr">
        <is>
          <t>FCC</t>
        </is>
      </c>
      <c r="F251" s="19" t="n">
        <v>26</v>
      </c>
      <c r="G251" s="21">
        <f>IFERROR(IF(INDEX(Effective!$E$3:$R$125,MATCH($B251,Effective!$A$3:$A$125,0),MATCH($D251,Effective!$E$2:$R$2,0))=0,"",INDEX(Effective!$E$3:$R$125,MATCH($B251,Effective!$A$3:$A$125,0),MATCH($D251,Effective!$E$2:$R$2,0))),"")</f>
        <v/>
      </c>
      <c r="H251" s="22" t="inlineStr">
        <is>
          <t>override</t>
        </is>
      </c>
      <c r="I251" s="23" t="n">
        <v>0.779</v>
      </c>
      <c r="J251" s="24">
        <f>IF(AND(IF($H255&lt;&gt;"",$H255,$H251)="override",$I251&lt;&gt;""),$I251,SUMIFS(Assumptions!$K$4:$K$8,Assumptions!$J$4:$J$8,$C251))*Assumptions!$S$10</f>
        <v/>
      </c>
      <c r="K251" s="23" t="n"/>
      <c r="L251" s="25">
        <f>IF(AND(IF($H255&lt;&gt;"",$H255,$H251)="override",$K251&lt;&gt;""),$K251,SUMIFS(Assumptions!$P$4:$P$103,Assumptions!$M$4:$M$103,$C251,Assumptions!$N$4:$N$103,$E251,Assumptions!$O$4:$O$103,"LVN"))</f>
        <v/>
      </c>
      <c r="M251" s="23" t="n"/>
      <c r="N251" s="25">
        <f>IF(AND(IF($H255&lt;&gt;"",$H255,$H251)="override",$M251&lt;&gt;""),$M251,SUMIFS(Assumptions!$P$4:$P$103,Assumptions!$M$4:$M$103,$C251,Assumptions!$N$4:$N$103,$E251,Assumptions!$O$4:$O$103,"HVN"))</f>
        <v/>
      </c>
      <c r="O251" s="25">
        <f>(L251+N251)*Assumptions!$S$11</f>
        <v/>
      </c>
      <c r="P251" s="26">
        <f>$F251*$J251*$O251</f>
        <v/>
      </c>
    </row>
    <row r="252">
      <c r="A252" s="11" t="inlineStr">
        <is>
          <t>UNIT</t>
        </is>
      </c>
      <c r="B252" s="18" t="inlineStr">
        <is>
          <t>MARATHON_CANTON</t>
        </is>
      </c>
      <c r="C252" s="18" t="n">
        <v>2</v>
      </c>
      <c r="D252" s="18" t="inlineStr">
        <is>
          <t>CCR</t>
        </is>
      </c>
      <c r="E252" s="18" t="inlineStr">
        <is>
          <t>REFORMER</t>
        </is>
      </c>
      <c r="F252" s="19" t="n">
        <v>22</v>
      </c>
      <c r="G252" s="21">
        <f>IFERROR(IF(INDEX(Effective!$E$3:$R$125,MATCH($B252,Effective!$A$3:$A$125,0),MATCH($D252,Effective!$E$2:$R$2,0))=0,"",INDEX(Effective!$E$3:$R$125,MATCH($B252,Effective!$A$3:$A$125,0),MATCH($D252,Effective!$E$2:$R$2,0))),"")</f>
        <v/>
      </c>
      <c r="H252" s="22" t="inlineStr">
        <is>
          <t>override</t>
        </is>
      </c>
      <c r="I252" s="23" t="n">
        <v>1.1</v>
      </c>
      <c r="J252" s="24">
        <f>IF(AND(IF($H255&lt;&gt;"",$H255,$H252)="override",$I252&lt;&gt;""),$I252,SUMIFS(Assumptions!$K$4:$K$8,Assumptions!$J$4:$J$8,$C252))*Assumptions!$S$10</f>
        <v/>
      </c>
      <c r="K252" s="23" t="n"/>
      <c r="L252" s="25">
        <f>IF(AND(IF($H255&lt;&gt;"",$H255,$H252)="override",$K252&lt;&gt;""),$K252,SUMIFS(Assumptions!$P$4:$P$103,Assumptions!$M$4:$M$103,$C252,Assumptions!$N$4:$N$103,$E252,Assumptions!$O$4:$O$103,"LVN"))</f>
        <v/>
      </c>
      <c r="M252" s="23" t="n"/>
      <c r="N252" s="25">
        <f>IF(AND(IF($H255&lt;&gt;"",$H255,$H252)="override",$M252&lt;&gt;""),$M252,SUMIFS(Assumptions!$P$4:$P$103,Assumptions!$M$4:$M$103,$C252,Assumptions!$N$4:$N$103,$E252,Assumptions!$O$4:$O$103,"HVN"))</f>
        <v/>
      </c>
      <c r="O252" s="25">
        <f>(L252+N252)*Assumptions!$S$11</f>
        <v/>
      </c>
      <c r="P252" s="26">
        <f>$F252*$J252*$O252</f>
        <v/>
      </c>
    </row>
    <row r="253">
      <c r="A253" s="11" t="inlineStr">
        <is>
          <t>UNIT</t>
        </is>
      </c>
      <c r="B253" s="18" t="inlineStr">
        <is>
          <t>MARATHON_CANTON</t>
        </is>
      </c>
      <c r="C253" s="18" t="n">
        <v>2</v>
      </c>
      <c r="D253" s="18" t="inlineStr">
        <is>
          <t>ALKY</t>
        </is>
      </c>
      <c r="E253" s="18" t="inlineStr">
        <is>
          <t>ALKY</t>
        </is>
      </c>
      <c r="F253" s="19" t="n">
        <v>8.5</v>
      </c>
      <c r="G253" s="21">
        <f>IFERROR(IF(INDEX(Effective!$E$3:$R$125,MATCH($B253,Effective!$A$3:$A$125,0),MATCH($D253,Effective!$E$2:$R$2,0))=0,"",INDEX(Effective!$E$3:$R$125,MATCH($B253,Effective!$A$3:$A$125,0),MATCH($D253,Effective!$E$2:$R$2,0))),"")</f>
        <v/>
      </c>
      <c r="H253" s="22" t="inlineStr">
        <is>
          <t>override</t>
        </is>
      </c>
      <c r="I253" s="23" t="n">
        <v>0.67</v>
      </c>
      <c r="J253" s="24">
        <f>IF(AND(IF($H255&lt;&gt;"",$H255,$H253)="override",$I253&lt;&gt;""),$I253,SUMIFS(Assumptions!$K$4:$K$8,Assumptions!$J$4:$J$8,$C253))*Assumptions!$S$10</f>
        <v/>
      </c>
      <c r="K253" s="23" t="n"/>
      <c r="L253" s="25">
        <f>IF(AND(IF($H255&lt;&gt;"",$H255,$H253)="override",$K253&lt;&gt;""),$K253,SUMIFS(Assumptions!$P$4:$P$103,Assumptions!$M$4:$M$103,$C253,Assumptions!$N$4:$N$103,$E253,Assumptions!$O$4:$O$103,"LVN"))</f>
        <v/>
      </c>
      <c r="M253" s="23" t="n"/>
      <c r="N253" s="25">
        <f>IF(AND(IF($H255&lt;&gt;"",$H255,$H253)="override",$M253&lt;&gt;""),$M253,SUMIFS(Assumptions!$P$4:$P$103,Assumptions!$M$4:$M$103,$C253,Assumptions!$N$4:$N$103,$E253,Assumptions!$O$4:$O$103,"HVN"))</f>
        <v/>
      </c>
      <c r="O253" s="25">
        <f>(L253+N253)*Assumptions!$S$11</f>
        <v/>
      </c>
      <c r="P253" s="26">
        <f>$F253*$J253*$O253</f>
        <v/>
      </c>
    </row>
    <row r="254">
      <c r="A254" s="11" t="inlineStr">
        <is>
          <t>UNIT</t>
        </is>
      </c>
      <c r="B254" s="18" t="inlineStr">
        <is>
          <t>MARATHON_CANTON</t>
        </is>
      </c>
      <c r="C254" s="18" t="n">
        <v>2</v>
      </c>
      <c r="D254" s="18" t="inlineStr">
        <is>
          <t>NHT</t>
        </is>
      </c>
      <c r="E254" s="18" t="inlineStr">
        <is>
          <t>NHT</t>
        </is>
      </c>
      <c r="F254" s="19" t="n">
        <v>34.5</v>
      </c>
      <c r="G254" s="21">
        <f>IFERROR(IF(INDEX(Effective!$E$3:$R$125,MATCH($B254,Effective!$A$3:$A$125,0),MATCH($D254,Effective!$E$2:$R$2,0))=0,"",INDEX(Effective!$E$3:$R$125,MATCH($B254,Effective!$A$3:$A$125,0),MATCH($D254,Effective!$E$2:$R$2,0))),"")</f>
        <v/>
      </c>
      <c r="H254" s="22" t="inlineStr">
        <is>
          <t>override</t>
        </is>
      </c>
      <c r="I254" s="23" t="n">
        <v>1.1</v>
      </c>
      <c r="J254" s="24">
        <f>IF(AND(IF($H255&lt;&gt;"",$H255,$H254)="override",$I254&lt;&gt;""),$I254,SUMIFS(Assumptions!$K$4:$K$8,Assumptions!$J$4:$J$8,$C254))*Assumptions!$S$10</f>
        <v/>
      </c>
      <c r="K254" s="23" t="n"/>
      <c r="L254" s="25">
        <f>IF(AND(IF($H255&lt;&gt;"",$H255,$H254)="override",$K254&lt;&gt;""),$K254,SUMIFS(Assumptions!$P$4:$P$103,Assumptions!$M$4:$M$103,$C254,Assumptions!$N$4:$N$103,$E254,Assumptions!$O$4:$O$103,"LVN"))</f>
        <v/>
      </c>
      <c r="M254" s="23" t="n"/>
      <c r="N254" s="25">
        <f>IF(AND(IF($H255&lt;&gt;"",$H255,$H254)="override",$M254&lt;&gt;""),$M254,SUMIFS(Assumptions!$P$4:$P$103,Assumptions!$M$4:$M$103,$C254,Assumptions!$N$4:$N$103,$E254,Assumptions!$O$4:$O$103,"HVN"))</f>
        <v/>
      </c>
      <c r="O254" s="25">
        <f>(L254+N254)*Assumptions!$S$11</f>
        <v/>
      </c>
      <c r="P254" s="26">
        <f>$F254*$J254*$O254</f>
        <v/>
      </c>
    </row>
    <row r="255">
      <c r="A255" s="27" t="inlineStr">
        <is>
          <t>TOTAL</t>
        </is>
      </c>
      <c r="B255" s="28" t="inlineStr">
        <is>
          <t>MARATHON_CANTON</t>
        </is>
      </c>
      <c r="C255" s="28" t="n">
        <v>2</v>
      </c>
      <c r="D255" s="28" t="inlineStr">
        <is>
          <t>NET NAPHTHA</t>
        </is>
      </c>
      <c r="H255" s="22" t="n"/>
      <c r="P255" s="29">
        <f>SUM(P249:P254)</f>
        <v/>
      </c>
    </row>
    <row r="257" ht="20" customHeight="1">
      <c r="A257" s="8">
        <f>"  Valero Ardmore  [VALERO_ARDMORE]   —   Valero   —   PADD 2   —   crude "&amp;TEXT(SUMIFS(Data!$G$3:$G$125,Data!$A$3:$A$125,"VALERO_ARDMORE"),"#,##0")&amp;" kbd"</f>
        <v/>
      </c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</row>
    <row r="258">
      <c r="A258" s="11" t="inlineStr">
        <is>
          <t>UNIT</t>
        </is>
      </c>
      <c r="B258" s="18" t="inlineStr">
        <is>
          <t>VALERO_ARDMORE</t>
        </is>
      </c>
      <c r="C258" s="18" t="n">
        <v>2</v>
      </c>
      <c r="D258" s="18" t="inlineStr">
        <is>
          <t>CDU</t>
        </is>
      </c>
      <c r="E258" s="18" t="inlineStr">
        <is>
          <t>CDU</t>
        </is>
      </c>
      <c r="F258" s="19" t="n">
        <v>88</v>
      </c>
      <c r="G258" s="21">
        <f>IFERROR(IF(INDEX(Effective!$E$3:$R$125,MATCH($B258,Effective!$A$3:$A$125,0),MATCH($D258,Effective!$E$2:$R$2,0))=0,"",INDEX(Effective!$E$3:$R$125,MATCH($B258,Effective!$A$3:$A$125,0),MATCH($D258,Effective!$E$2:$R$2,0))),"")</f>
        <v/>
      </c>
      <c r="H258" s="22" t="inlineStr">
        <is>
          <t>override</t>
        </is>
      </c>
      <c r="I258" s="23" t="n">
        <v>0.86</v>
      </c>
      <c r="J258" s="24">
        <f>IF(AND(IF($H265&lt;&gt;"",$H265,$H258)="override",$I258&lt;&gt;""),$I258,SUMIFS(Assumptions!$K$4:$K$8,Assumptions!$J$4:$J$8,$C258))*Assumptions!$S$10</f>
        <v/>
      </c>
      <c r="K258" s="23" t="n"/>
      <c r="L258" s="25">
        <f>IF(AND(IF($H265&lt;&gt;"",$H265,$H258)="override",$K258&lt;&gt;""),$K258,SUMIFS(Assumptions!$P$4:$P$103,Assumptions!$M$4:$M$103,$C258,Assumptions!$N$4:$N$103,$E258,Assumptions!$O$4:$O$103,"LVN"))</f>
        <v/>
      </c>
      <c r="M258" s="23" t="n"/>
      <c r="N258" s="25">
        <f>IF(AND(IF($H265&lt;&gt;"",$H265,$H258)="override",$M258&lt;&gt;""),$M258,SUMIFS(Assumptions!$P$4:$P$103,Assumptions!$M$4:$M$103,$C258,Assumptions!$N$4:$N$103,$E258,Assumptions!$O$4:$O$103,"HVN"))</f>
        <v/>
      </c>
      <c r="O258" s="25">
        <f>(L258+N258)*Assumptions!$S$11</f>
        <v/>
      </c>
      <c r="P258" s="26">
        <f>$F258*$J258*$O258</f>
        <v/>
      </c>
    </row>
    <row r="259">
      <c r="A259" s="11" t="inlineStr">
        <is>
          <t>UNIT</t>
        </is>
      </c>
      <c r="B259" s="18" t="inlineStr">
        <is>
          <t>VALERO_ARDMORE</t>
        </is>
      </c>
      <c r="C259" s="18" t="n">
        <v>2</v>
      </c>
      <c r="D259" s="18" t="inlineStr">
        <is>
          <t>VDU</t>
        </is>
      </c>
      <c r="E259" s="18" t="inlineStr">
        <is>
          <t>VDU</t>
        </is>
      </c>
      <c r="F259" s="19" t="n">
        <v>32</v>
      </c>
      <c r="G259" s="21">
        <f>IFERROR(IF(INDEX(Effective!$E$3:$R$125,MATCH($B259,Effective!$A$3:$A$125,0),MATCH($D259,Effective!$E$2:$R$2,0))=0,"",INDEX(Effective!$E$3:$R$125,MATCH($B259,Effective!$A$3:$A$125,0),MATCH($D259,Effective!$E$2:$R$2,0))),"")</f>
        <v/>
      </c>
      <c r="H259" s="22" t="inlineStr">
        <is>
          <t>override</t>
        </is>
      </c>
      <c r="I259" s="23" t="n">
        <v>0.763</v>
      </c>
      <c r="J259" s="24">
        <f>IF(AND(IF($H265&lt;&gt;"",$H265,$H259)="override",$I259&lt;&gt;""),$I259,SUMIFS(Assumptions!$K$4:$K$8,Assumptions!$J$4:$J$8,$C259))*Assumptions!$S$10</f>
        <v/>
      </c>
      <c r="K259" s="23" t="n"/>
      <c r="L259" s="25">
        <f>IF(AND(IF($H265&lt;&gt;"",$H265,$H259)="override",$K259&lt;&gt;""),$K259,SUMIFS(Assumptions!$P$4:$P$103,Assumptions!$M$4:$M$103,$C259,Assumptions!$N$4:$N$103,$E259,Assumptions!$O$4:$O$103,"LVN"))</f>
        <v/>
      </c>
      <c r="M259" s="23" t="n"/>
      <c r="N259" s="25">
        <f>IF(AND(IF($H265&lt;&gt;"",$H265,$H259)="override",$M259&lt;&gt;""),$M259,SUMIFS(Assumptions!$P$4:$P$103,Assumptions!$M$4:$M$103,$C259,Assumptions!$N$4:$N$103,$E259,Assumptions!$O$4:$O$103,"HVN"))</f>
        <v/>
      </c>
      <c r="O259" s="25">
        <f>(L259+N259)*Assumptions!$S$11</f>
        <v/>
      </c>
      <c r="P259" s="26">
        <f>$F259*$J259*$O259</f>
        <v/>
      </c>
    </row>
    <row r="260">
      <c r="A260" s="11" t="inlineStr">
        <is>
          <t>UNIT</t>
        </is>
      </c>
      <c r="B260" s="18" t="inlineStr">
        <is>
          <t>VALERO_ARDMORE</t>
        </is>
      </c>
      <c r="C260" s="18" t="n">
        <v>2</v>
      </c>
      <c r="D260" s="18" t="inlineStr">
        <is>
          <t>FCC</t>
        </is>
      </c>
      <c r="E260" s="18" t="inlineStr">
        <is>
          <t>FCC</t>
        </is>
      </c>
      <c r="F260" s="19" t="n">
        <v>30</v>
      </c>
      <c r="G260" s="21">
        <f>IFERROR(IF(INDEX(Effective!$E$3:$R$125,MATCH($B260,Effective!$A$3:$A$125,0),MATCH($D260,Effective!$E$2:$R$2,0))=0,"",INDEX(Effective!$E$3:$R$125,MATCH($B260,Effective!$A$3:$A$125,0),MATCH($D260,Effective!$E$2:$R$2,0))),"")</f>
        <v/>
      </c>
      <c r="H260" s="22" t="inlineStr">
        <is>
          <t>override</t>
        </is>
      </c>
      <c r="I260" s="23" t="n">
        <v>0.439</v>
      </c>
      <c r="J260" s="24">
        <f>IF(AND(IF($H265&lt;&gt;"",$H265,$H260)="override",$I260&lt;&gt;""),$I260,SUMIFS(Assumptions!$K$4:$K$8,Assumptions!$J$4:$J$8,$C260))*Assumptions!$S$10</f>
        <v/>
      </c>
      <c r="K260" s="23" t="n"/>
      <c r="L260" s="25">
        <f>IF(AND(IF($H265&lt;&gt;"",$H265,$H260)="override",$K260&lt;&gt;""),$K260,SUMIFS(Assumptions!$P$4:$P$103,Assumptions!$M$4:$M$103,$C260,Assumptions!$N$4:$N$103,$E260,Assumptions!$O$4:$O$103,"LVN"))</f>
        <v/>
      </c>
      <c r="M260" s="23" t="n"/>
      <c r="N260" s="25">
        <f>IF(AND(IF($H265&lt;&gt;"",$H265,$H260)="override",$M260&lt;&gt;""),$M260,SUMIFS(Assumptions!$P$4:$P$103,Assumptions!$M$4:$M$103,$C260,Assumptions!$N$4:$N$103,$E260,Assumptions!$O$4:$O$103,"HVN"))</f>
        <v/>
      </c>
      <c r="O260" s="25">
        <f>(L260+N260)*Assumptions!$S$11</f>
        <v/>
      </c>
      <c r="P260" s="26">
        <f>$F260*$J260*$O260</f>
        <v/>
      </c>
    </row>
    <row r="261">
      <c r="A261" s="11" t="inlineStr">
        <is>
          <t>UNIT</t>
        </is>
      </c>
      <c r="B261" s="18" t="inlineStr">
        <is>
          <t>VALERO_ARDMORE</t>
        </is>
      </c>
      <c r="C261" s="18" t="n">
        <v>2</v>
      </c>
      <c r="D261" s="18" t="inlineStr">
        <is>
          <t>DHCU</t>
        </is>
      </c>
      <c r="E261" s="18" t="inlineStr">
        <is>
          <t>HYDROCRACKER</t>
        </is>
      </c>
      <c r="F261" s="19" t="n">
        <v>14</v>
      </c>
      <c r="G261" s="21">
        <f>IFERROR(IF(INDEX(Effective!$E$3:$R$125,MATCH($B261,Effective!$A$3:$A$125,0),MATCH($D261,Effective!$E$2:$R$2,0))=0,"",INDEX(Effective!$E$3:$R$125,MATCH($B261,Effective!$A$3:$A$125,0),MATCH($D261,Effective!$E$2:$R$2,0))),"")</f>
        <v/>
      </c>
      <c r="H261" s="22" t="inlineStr">
        <is>
          <t>override</t>
        </is>
      </c>
      <c r="I261" s="23" t="n">
        <v>0.461</v>
      </c>
      <c r="J261" s="24">
        <f>IF(AND(IF($H265&lt;&gt;"",$H265,$H261)="override",$I261&lt;&gt;""),$I261,SUMIFS(Assumptions!$K$4:$K$8,Assumptions!$J$4:$J$8,$C261))*Assumptions!$S$10</f>
        <v/>
      </c>
      <c r="K261" s="23" t="n"/>
      <c r="L261" s="25">
        <f>IF(AND(IF($H265&lt;&gt;"",$H265,$H261)="override",$K261&lt;&gt;""),$K261,SUMIFS(Assumptions!$P$4:$P$103,Assumptions!$M$4:$M$103,$C261,Assumptions!$N$4:$N$103,$E261,Assumptions!$O$4:$O$103,"LVN"))</f>
        <v/>
      </c>
      <c r="M261" s="23" t="n"/>
      <c r="N261" s="25">
        <f>IF(AND(IF($H265&lt;&gt;"",$H265,$H261)="override",$M261&lt;&gt;""),$M261,SUMIFS(Assumptions!$P$4:$P$103,Assumptions!$M$4:$M$103,$C261,Assumptions!$N$4:$N$103,$E261,Assumptions!$O$4:$O$103,"HVN"))</f>
        <v/>
      </c>
      <c r="O261" s="25">
        <f>(L261+N261)*Assumptions!$S$11</f>
        <v/>
      </c>
      <c r="P261" s="26">
        <f>$F261*$J261*$O261</f>
        <v/>
      </c>
    </row>
    <row r="262">
      <c r="A262" s="11" t="inlineStr">
        <is>
          <t>UNIT</t>
        </is>
      </c>
      <c r="B262" s="18" t="inlineStr">
        <is>
          <t>VALERO_ARDMORE</t>
        </is>
      </c>
      <c r="C262" s="18" t="n">
        <v>2</v>
      </c>
      <c r="D262" s="18" t="inlineStr">
        <is>
          <t>CCR</t>
        </is>
      </c>
      <c r="E262" s="18" t="inlineStr">
        <is>
          <t>REFORMER</t>
        </is>
      </c>
      <c r="F262" s="19" t="n">
        <v>20.5</v>
      </c>
      <c r="G262" s="21">
        <f>IFERROR(IF(INDEX(Effective!$E$3:$R$125,MATCH($B262,Effective!$A$3:$A$125,0),MATCH($D262,Effective!$E$2:$R$2,0))=0,"",INDEX(Effective!$E$3:$R$125,MATCH($B262,Effective!$A$3:$A$125,0),MATCH($D262,Effective!$E$2:$R$2,0))),"")</f>
        <v/>
      </c>
      <c r="H262" s="22" t="inlineStr">
        <is>
          <t>override</t>
        </is>
      </c>
      <c r="I262" s="23" t="n">
        <v>0.907</v>
      </c>
      <c r="J262" s="24">
        <f>IF(AND(IF($H265&lt;&gt;"",$H265,$H262)="override",$I262&lt;&gt;""),$I262,SUMIFS(Assumptions!$K$4:$K$8,Assumptions!$J$4:$J$8,$C262))*Assumptions!$S$10</f>
        <v/>
      </c>
      <c r="K262" s="23" t="n"/>
      <c r="L262" s="25">
        <f>IF(AND(IF($H265&lt;&gt;"",$H265,$H262)="override",$K262&lt;&gt;""),$K262,SUMIFS(Assumptions!$P$4:$P$103,Assumptions!$M$4:$M$103,$C262,Assumptions!$N$4:$N$103,$E262,Assumptions!$O$4:$O$103,"LVN"))</f>
        <v/>
      </c>
      <c r="M262" s="23" t="n"/>
      <c r="N262" s="25">
        <f>IF(AND(IF($H265&lt;&gt;"",$H265,$H262)="override",$M262&lt;&gt;""),$M262,SUMIFS(Assumptions!$P$4:$P$103,Assumptions!$M$4:$M$103,$C262,Assumptions!$N$4:$N$103,$E262,Assumptions!$O$4:$O$103,"HVN"))</f>
        <v/>
      </c>
      <c r="O262" s="25">
        <f>(L262+N262)*Assumptions!$S$11</f>
        <v/>
      </c>
      <c r="P262" s="26">
        <f>$F262*$J262*$O262</f>
        <v/>
      </c>
    </row>
    <row r="263">
      <c r="A263" s="11" t="inlineStr">
        <is>
          <t>UNIT</t>
        </is>
      </c>
      <c r="B263" s="18" t="inlineStr">
        <is>
          <t>VALERO_ARDMORE</t>
        </is>
      </c>
      <c r="C263" s="18" t="n">
        <v>2</v>
      </c>
      <c r="D263" s="18" t="inlineStr">
        <is>
          <t>ALKY</t>
        </is>
      </c>
      <c r="E263" s="18" t="inlineStr">
        <is>
          <t>ALKY</t>
        </is>
      </c>
      <c r="F263" s="19" t="n">
        <v>7.01</v>
      </c>
      <c r="G263" s="21">
        <f>IFERROR(IF(INDEX(Effective!$E$3:$R$125,MATCH($B263,Effective!$A$3:$A$125,0),MATCH($D263,Effective!$E$2:$R$2,0))=0,"",INDEX(Effective!$E$3:$R$125,MATCH($B263,Effective!$A$3:$A$125,0),MATCH($D263,Effective!$E$2:$R$2,0))),"")</f>
        <v/>
      </c>
      <c r="H263" s="22" t="inlineStr">
        <is>
          <t>override</t>
        </is>
      </c>
      <c r="I263" s="23" t="n">
        <v>0.382</v>
      </c>
      <c r="J263" s="24">
        <f>IF(AND(IF($H265&lt;&gt;"",$H265,$H263)="override",$I263&lt;&gt;""),$I263,SUMIFS(Assumptions!$K$4:$K$8,Assumptions!$J$4:$J$8,$C263))*Assumptions!$S$10</f>
        <v/>
      </c>
      <c r="K263" s="23" t="n"/>
      <c r="L263" s="25">
        <f>IF(AND(IF($H265&lt;&gt;"",$H265,$H263)="override",$K263&lt;&gt;""),$K263,SUMIFS(Assumptions!$P$4:$P$103,Assumptions!$M$4:$M$103,$C263,Assumptions!$N$4:$N$103,$E263,Assumptions!$O$4:$O$103,"LVN"))</f>
        <v/>
      </c>
      <c r="M263" s="23" t="n"/>
      <c r="N263" s="25">
        <f>IF(AND(IF($H265&lt;&gt;"",$H265,$H263)="override",$M263&lt;&gt;""),$M263,SUMIFS(Assumptions!$P$4:$P$103,Assumptions!$M$4:$M$103,$C263,Assumptions!$N$4:$N$103,$E263,Assumptions!$O$4:$O$103,"HVN"))</f>
        <v/>
      </c>
      <c r="O263" s="25">
        <f>(L263+N263)*Assumptions!$S$11</f>
        <v/>
      </c>
      <c r="P263" s="26">
        <f>$F263*$J263*$O263</f>
        <v/>
      </c>
    </row>
    <row r="264">
      <c r="A264" s="11" t="inlineStr">
        <is>
          <t>UNIT</t>
        </is>
      </c>
      <c r="B264" s="18" t="inlineStr">
        <is>
          <t>VALERO_ARDMORE</t>
        </is>
      </c>
      <c r="C264" s="18" t="n">
        <v>2</v>
      </c>
      <c r="D264" s="18" t="inlineStr">
        <is>
          <t>NHT</t>
        </is>
      </c>
      <c r="E264" s="18" t="inlineStr">
        <is>
          <t>NHT</t>
        </is>
      </c>
      <c r="F264" s="19" t="n">
        <v>27</v>
      </c>
      <c r="G264" s="21">
        <f>IFERROR(IF(INDEX(Effective!$E$3:$R$125,MATCH($B264,Effective!$A$3:$A$125,0),MATCH($D264,Effective!$E$2:$R$2,0))=0,"",INDEX(Effective!$E$3:$R$125,MATCH($B264,Effective!$A$3:$A$125,0),MATCH($D264,Effective!$E$2:$R$2,0))),"")</f>
        <v/>
      </c>
      <c r="H264" s="22" t="inlineStr">
        <is>
          <t>override</t>
        </is>
      </c>
      <c r="I264" s="23" t="n">
        <v>0.986</v>
      </c>
      <c r="J264" s="24">
        <f>IF(AND(IF($H265&lt;&gt;"",$H265,$H264)="override",$I264&lt;&gt;""),$I264,SUMIFS(Assumptions!$K$4:$K$8,Assumptions!$J$4:$J$8,$C264))*Assumptions!$S$10</f>
        <v/>
      </c>
      <c r="K264" s="23" t="n"/>
      <c r="L264" s="25">
        <f>IF(AND(IF($H265&lt;&gt;"",$H265,$H264)="override",$K264&lt;&gt;""),$K264,SUMIFS(Assumptions!$P$4:$P$103,Assumptions!$M$4:$M$103,$C264,Assumptions!$N$4:$N$103,$E264,Assumptions!$O$4:$O$103,"LVN"))</f>
        <v/>
      </c>
      <c r="M264" s="23" t="n"/>
      <c r="N264" s="25">
        <f>IF(AND(IF($H265&lt;&gt;"",$H265,$H264)="override",$M264&lt;&gt;""),$M264,SUMIFS(Assumptions!$P$4:$P$103,Assumptions!$M$4:$M$103,$C264,Assumptions!$N$4:$N$103,$E264,Assumptions!$O$4:$O$103,"HVN"))</f>
        <v/>
      </c>
      <c r="O264" s="25">
        <f>(L264+N264)*Assumptions!$S$11</f>
        <v/>
      </c>
      <c r="P264" s="26">
        <f>$F264*$J264*$O264</f>
        <v/>
      </c>
    </row>
    <row r="265">
      <c r="A265" s="27" t="inlineStr">
        <is>
          <t>TOTAL</t>
        </is>
      </c>
      <c r="B265" s="28" t="inlineStr">
        <is>
          <t>VALERO_ARDMORE</t>
        </is>
      </c>
      <c r="C265" s="28" t="n">
        <v>2</v>
      </c>
      <c r="D265" s="28" t="inlineStr">
        <is>
          <t>NET NAPHTHA</t>
        </is>
      </c>
      <c r="H265" s="22" t="n"/>
      <c r="P265" s="29">
        <f>SUM(P258:P264)</f>
        <v/>
      </c>
    </row>
    <row r="267" ht="20" customHeight="1">
      <c r="A267" s="8">
        <f>"  Marathon Petroleum Mandan  [MARATHON_MANDAN]   —   Marathon Petroleum   —   PADD 2   —   crude "&amp;TEXT(SUMIFS(Data!$G$3:$G$125,Data!$A$3:$A$125,"MARATHON_MANDAN"),"#,##0")&amp;" kbd"</f>
        <v/>
      </c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</row>
    <row r="268">
      <c r="A268" s="11" t="inlineStr">
        <is>
          <t>UNIT</t>
        </is>
      </c>
      <c r="B268" s="18" t="inlineStr">
        <is>
          <t>MARATHON_MANDAN</t>
        </is>
      </c>
      <c r="C268" s="18" t="n">
        <v>2</v>
      </c>
      <c r="D268" s="18" t="inlineStr">
        <is>
          <t>CDU</t>
        </is>
      </c>
      <c r="E268" s="18" t="inlineStr">
        <is>
          <t>CDU</t>
        </is>
      </c>
      <c r="F268" s="19" t="n">
        <v>74</v>
      </c>
      <c r="G268" s="21">
        <f>IFERROR(IF(INDEX(Effective!$E$3:$R$125,MATCH($B268,Effective!$A$3:$A$125,0),MATCH($D268,Effective!$E$2:$R$2,0))=0,"",INDEX(Effective!$E$3:$R$125,MATCH($B268,Effective!$A$3:$A$125,0),MATCH($D268,Effective!$E$2:$R$2,0))),"")</f>
        <v/>
      </c>
      <c r="H268" s="22" t="inlineStr">
        <is>
          <t>override</t>
        </is>
      </c>
      <c r="I268" s="23" t="n">
        <v>0.92</v>
      </c>
      <c r="J268" s="24">
        <f>IF(AND(IF($H273&lt;&gt;"",$H273,$H268)="override",$I268&lt;&gt;""),$I268,SUMIFS(Assumptions!$K$4:$K$8,Assumptions!$J$4:$J$8,$C268))*Assumptions!$S$10</f>
        <v/>
      </c>
      <c r="K268" s="23" t="n"/>
      <c r="L268" s="25">
        <f>IF(AND(IF($H273&lt;&gt;"",$H273,$H268)="override",$K268&lt;&gt;""),$K268,SUMIFS(Assumptions!$P$4:$P$103,Assumptions!$M$4:$M$103,$C268,Assumptions!$N$4:$N$103,$E268,Assumptions!$O$4:$O$103,"LVN"))</f>
        <v/>
      </c>
      <c r="M268" s="23" t="n"/>
      <c r="N268" s="25">
        <f>IF(AND(IF($H273&lt;&gt;"",$H273,$H268)="override",$M268&lt;&gt;""),$M268,SUMIFS(Assumptions!$P$4:$P$103,Assumptions!$M$4:$M$103,$C268,Assumptions!$N$4:$N$103,$E268,Assumptions!$O$4:$O$103,"HVN"))</f>
        <v/>
      </c>
      <c r="O268" s="25">
        <f>(L268+N268)*Assumptions!$S$11</f>
        <v/>
      </c>
      <c r="P268" s="26">
        <f>$F268*$J268*$O268</f>
        <v/>
      </c>
    </row>
    <row r="269">
      <c r="A269" s="11" t="inlineStr">
        <is>
          <t>UNIT</t>
        </is>
      </c>
      <c r="B269" s="18" t="inlineStr">
        <is>
          <t>MARATHON_MANDAN</t>
        </is>
      </c>
      <c r="C269" s="18" t="n">
        <v>2</v>
      </c>
      <c r="D269" s="18" t="inlineStr">
        <is>
          <t>RCC</t>
        </is>
      </c>
      <c r="E269" s="18" t="inlineStr">
        <is>
          <t>FCC</t>
        </is>
      </c>
      <c r="F269" s="19" t="n">
        <v>27</v>
      </c>
      <c r="G269" s="21">
        <f>IFERROR(IF(INDEX(Effective!$E$3:$R$125,MATCH($B269,Effective!$A$3:$A$125,0),MATCH($D269,Effective!$E$2:$R$2,0))=0,"",INDEX(Effective!$E$3:$R$125,MATCH($B269,Effective!$A$3:$A$125,0),MATCH($D269,Effective!$E$2:$R$2,0))),"")</f>
        <v/>
      </c>
      <c r="H269" s="22" t="inlineStr">
        <is>
          <t>override</t>
        </is>
      </c>
      <c r="I269" s="23" t="n">
        <v>0.717</v>
      </c>
      <c r="J269" s="24">
        <f>IF(AND(IF($H273&lt;&gt;"",$H273,$H269)="override",$I269&lt;&gt;""),$I269,SUMIFS(Assumptions!$K$4:$K$8,Assumptions!$J$4:$J$8,$C269))*Assumptions!$S$10</f>
        <v/>
      </c>
      <c r="K269" s="23" t="n"/>
      <c r="L269" s="25">
        <f>IF(AND(IF($H273&lt;&gt;"",$H273,$H269)="override",$K269&lt;&gt;""),$K269,SUMIFS(Assumptions!$P$4:$P$103,Assumptions!$M$4:$M$103,$C269,Assumptions!$N$4:$N$103,$E269,Assumptions!$O$4:$O$103,"LVN"))</f>
        <v/>
      </c>
      <c r="M269" s="23" t="n"/>
      <c r="N269" s="25">
        <f>IF(AND(IF($H273&lt;&gt;"",$H273,$H269)="override",$M269&lt;&gt;""),$M269,SUMIFS(Assumptions!$P$4:$P$103,Assumptions!$M$4:$M$103,$C269,Assumptions!$N$4:$N$103,$E269,Assumptions!$O$4:$O$103,"HVN"))</f>
        <v/>
      </c>
      <c r="O269" s="25">
        <f>(L269+N269)*Assumptions!$S$11</f>
        <v/>
      </c>
      <c r="P269" s="26">
        <f>$F269*$J269*$O269</f>
        <v/>
      </c>
    </row>
    <row r="270">
      <c r="A270" s="11" t="inlineStr">
        <is>
          <t>UNIT</t>
        </is>
      </c>
      <c r="B270" s="18" t="inlineStr">
        <is>
          <t>MARATHON_MANDAN</t>
        </is>
      </c>
      <c r="C270" s="18" t="n">
        <v>2</v>
      </c>
      <c r="D270" s="18" t="inlineStr">
        <is>
          <t>REF</t>
        </is>
      </c>
      <c r="E270" s="18" t="inlineStr">
        <is>
          <t>REFORMER</t>
        </is>
      </c>
      <c r="F270" s="19" t="n">
        <v>12.5</v>
      </c>
      <c r="G270" s="21">
        <f>IFERROR(IF(INDEX(Effective!$E$3:$R$125,MATCH($B270,Effective!$A$3:$A$125,0),MATCH($D270,Effective!$E$2:$R$2,0))=0,"",INDEX(Effective!$E$3:$R$125,MATCH($B270,Effective!$A$3:$A$125,0),MATCH($D270,Effective!$E$2:$R$2,0))),"")</f>
        <v/>
      </c>
      <c r="H270" s="22" t="inlineStr">
        <is>
          <t>override</t>
        </is>
      </c>
      <c r="I270" s="23" t="n">
        <v>1</v>
      </c>
      <c r="J270" s="24">
        <f>IF(AND(IF($H273&lt;&gt;"",$H273,$H270)="override",$I270&lt;&gt;""),$I270,SUMIFS(Assumptions!$K$4:$K$8,Assumptions!$J$4:$J$8,$C270))*Assumptions!$S$10</f>
        <v/>
      </c>
      <c r="K270" s="23" t="n"/>
      <c r="L270" s="25">
        <f>IF(AND(IF($H273&lt;&gt;"",$H273,$H270)="override",$K270&lt;&gt;""),$K270,SUMIFS(Assumptions!$P$4:$P$103,Assumptions!$M$4:$M$103,$C270,Assumptions!$N$4:$N$103,$E270,Assumptions!$O$4:$O$103,"LVN"))</f>
        <v/>
      </c>
      <c r="M270" s="23" t="n"/>
      <c r="N270" s="25">
        <f>IF(AND(IF($H273&lt;&gt;"",$H273,$H270)="override",$M270&lt;&gt;""),$M270,SUMIFS(Assumptions!$P$4:$P$103,Assumptions!$M$4:$M$103,$C270,Assumptions!$N$4:$N$103,$E270,Assumptions!$O$4:$O$103,"HVN"))</f>
        <v/>
      </c>
      <c r="O270" s="25">
        <f>(L270+N270)*Assumptions!$S$11</f>
        <v/>
      </c>
      <c r="P270" s="26">
        <f>$F270*$J270*$O270</f>
        <v/>
      </c>
    </row>
    <row r="271">
      <c r="A271" s="11" t="inlineStr">
        <is>
          <t>UNIT</t>
        </is>
      </c>
      <c r="B271" s="18" t="inlineStr">
        <is>
          <t>MARATHON_MANDAN</t>
        </is>
      </c>
      <c r="C271" s="18" t="n">
        <v>2</v>
      </c>
      <c r="D271" s="18" t="inlineStr">
        <is>
          <t>ALKY</t>
        </is>
      </c>
      <c r="E271" s="18" t="inlineStr">
        <is>
          <t>ALKY</t>
        </is>
      </c>
      <c r="F271" s="19" t="n">
        <v>4.8</v>
      </c>
      <c r="G271" s="21">
        <f>IFERROR(IF(INDEX(Effective!$E$3:$R$125,MATCH($B271,Effective!$A$3:$A$125,0),MATCH($D271,Effective!$E$2:$R$2,0))=0,"",INDEX(Effective!$E$3:$R$125,MATCH($B271,Effective!$A$3:$A$125,0),MATCH($D271,Effective!$E$2:$R$2,0))),"")</f>
        <v/>
      </c>
      <c r="H271" s="22" t="inlineStr">
        <is>
          <t>override</t>
        </is>
      </c>
      <c r="I271" s="23" t="n">
        <v>1.021</v>
      </c>
      <c r="J271" s="24">
        <f>IF(AND(IF($H273&lt;&gt;"",$H273,$H271)="override",$I271&lt;&gt;""),$I271,SUMIFS(Assumptions!$K$4:$K$8,Assumptions!$J$4:$J$8,$C271))*Assumptions!$S$10</f>
        <v/>
      </c>
      <c r="K271" s="23" t="n"/>
      <c r="L271" s="25">
        <f>IF(AND(IF($H273&lt;&gt;"",$H273,$H271)="override",$K271&lt;&gt;""),$K271,SUMIFS(Assumptions!$P$4:$P$103,Assumptions!$M$4:$M$103,$C271,Assumptions!$N$4:$N$103,$E271,Assumptions!$O$4:$O$103,"LVN"))</f>
        <v/>
      </c>
      <c r="M271" s="23" t="n"/>
      <c r="N271" s="25">
        <f>IF(AND(IF($H273&lt;&gt;"",$H273,$H271)="override",$M271&lt;&gt;""),$M271,SUMIFS(Assumptions!$P$4:$P$103,Assumptions!$M$4:$M$103,$C271,Assumptions!$N$4:$N$103,$E271,Assumptions!$O$4:$O$103,"HVN"))</f>
        <v/>
      </c>
      <c r="O271" s="25">
        <f>(L271+N271)*Assumptions!$S$11</f>
        <v/>
      </c>
      <c r="P271" s="26">
        <f>$F271*$J271*$O271</f>
        <v/>
      </c>
    </row>
    <row r="272">
      <c r="A272" s="11" t="inlineStr">
        <is>
          <t>UNIT</t>
        </is>
      </c>
      <c r="B272" s="18" t="inlineStr">
        <is>
          <t>MARATHON_MANDAN</t>
        </is>
      </c>
      <c r="C272" s="18" t="n">
        <v>2</v>
      </c>
      <c r="D272" s="18" t="inlineStr">
        <is>
          <t>NHT</t>
        </is>
      </c>
      <c r="E272" s="18" t="inlineStr">
        <is>
          <t>NHT</t>
        </is>
      </c>
      <c r="F272" s="19" t="n">
        <v>29.6</v>
      </c>
      <c r="G272" s="21">
        <f>IFERROR(IF(INDEX(Effective!$E$3:$R$125,MATCH($B272,Effective!$A$3:$A$125,0),MATCH($D272,Effective!$E$2:$R$2,0))=0,"",INDEX(Effective!$E$3:$R$125,MATCH($B272,Effective!$A$3:$A$125,0),MATCH($D272,Effective!$E$2:$R$2,0))),"")</f>
        <v/>
      </c>
      <c r="H272" s="22" t="inlineStr">
        <is>
          <t>override</t>
        </is>
      </c>
      <c r="I272" s="23" t="n">
        <v>1.1</v>
      </c>
      <c r="J272" s="24">
        <f>IF(AND(IF($H273&lt;&gt;"",$H273,$H272)="override",$I272&lt;&gt;""),$I272,SUMIFS(Assumptions!$K$4:$K$8,Assumptions!$J$4:$J$8,$C272))*Assumptions!$S$10</f>
        <v/>
      </c>
      <c r="K272" s="23" t="n"/>
      <c r="L272" s="25">
        <f>IF(AND(IF($H273&lt;&gt;"",$H273,$H272)="override",$K272&lt;&gt;""),$K272,SUMIFS(Assumptions!$P$4:$P$103,Assumptions!$M$4:$M$103,$C272,Assumptions!$N$4:$N$103,$E272,Assumptions!$O$4:$O$103,"LVN"))</f>
        <v/>
      </c>
      <c r="M272" s="23" t="n"/>
      <c r="N272" s="25">
        <f>IF(AND(IF($H273&lt;&gt;"",$H273,$H272)="override",$M272&lt;&gt;""),$M272,SUMIFS(Assumptions!$P$4:$P$103,Assumptions!$M$4:$M$103,$C272,Assumptions!$N$4:$N$103,$E272,Assumptions!$O$4:$O$103,"HVN"))</f>
        <v/>
      </c>
      <c r="O272" s="25">
        <f>(L272+N272)*Assumptions!$S$11</f>
        <v/>
      </c>
      <c r="P272" s="26">
        <f>$F272*$J272*$O272</f>
        <v/>
      </c>
    </row>
    <row r="273">
      <c r="A273" s="27" t="inlineStr">
        <is>
          <t>TOTAL</t>
        </is>
      </c>
      <c r="B273" s="28" t="inlineStr">
        <is>
          <t>MARATHON_MANDAN</t>
        </is>
      </c>
      <c r="C273" s="28" t="n">
        <v>2</v>
      </c>
      <c r="D273" s="28" t="inlineStr">
        <is>
          <t>NET NAPHTHA</t>
        </is>
      </c>
      <c r="H273" s="22" t="n"/>
      <c r="P273" s="29">
        <f>SUM(P268:P272)</f>
        <v/>
      </c>
    </row>
    <row r="275" ht="20" customHeight="1">
      <c r="A275" s="8">
        <f>"  CVR Energy Wynnewood  [CVR_WYNNEWOOD]   —   Icahn Enterprises (80%) / Other Investors (20%)   —   PADD 2   —   crude "&amp;TEXT(SUMIFS(Data!$G$3:$G$125,Data!$A$3:$A$125,"CVR_WYNNEWOOD"),"#,##0")&amp;" kbd"</f>
        <v/>
      </c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</row>
    <row r="276">
      <c r="A276" s="11" t="inlineStr">
        <is>
          <t>UNIT</t>
        </is>
      </c>
      <c r="B276" s="18" t="inlineStr">
        <is>
          <t>CVR_WYNNEWOOD</t>
        </is>
      </c>
      <c r="C276" s="18" t="n">
        <v>2</v>
      </c>
      <c r="D276" s="18" t="inlineStr">
        <is>
          <t>CDU</t>
        </is>
      </c>
      <c r="E276" s="18" t="inlineStr">
        <is>
          <t>CDU</t>
        </is>
      </c>
      <c r="F276" s="19" t="n">
        <v>78</v>
      </c>
      <c r="G276" s="21">
        <f>IFERROR(IF(INDEX(Effective!$E$3:$R$125,MATCH($B276,Effective!$A$3:$A$125,0),MATCH($D276,Effective!$E$2:$R$2,0))=0,"",INDEX(Effective!$E$3:$R$125,MATCH($B276,Effective!$A$3:$A$125,0),MATCH($D276,Effective!$E$2:$R$2,0))),"")</f>
        <v/>
      </c>
      <c r="H276" s="22" t="inlineStr">
        <is>
          <t>override</t>
        </is>
      </c>
      <c r="I276" s="23" t="n">
        <v>0.722</v>
      </c>
      <c r="J276" s="24">
        <f>IF(AND(IF($H283&lt;&gt;"",$H283,$H276)="override",$I276&lt;&gt;""),$I276,SUMIFS(Assumptions!$K$4:$K$8,Assumptions!$J$4:$J$8,$C276))*Assumptions!$S$10</f>
        <v/>
      </c>
      <c r="K276" s="23" t="n"/>
      <c r="L276" s="25">
        <f>IF(AND(IF($H283&lt;&gt;"",$H283,$H276)="override",$K276&lt;&gt;""),$K276,SUMIFS(Assumptions!$P$4:$P$103,Assumptions!$M$4:$M$103,$C276,Assumptions!$N$4:$N$103,$E276,Assumptions!$O$4:$O$103,"LVN"))</f>
        <v/>
      </c>
      <c r="M276" s="23" t="n"/>
      <c r="N276" s="25">
        <f>IF(AND(IF($H283&lt;&gt;"",$H283,$H276)="override",$M276&lt;&gt;""),$M276,SUMIFS(Assumptions!$P$4:$P$103,Assumptions!$M$4:$M$103,$C276,Assumptions!$N$4:$N$103,$E276,Assumptions!$O$4:$O$103,"HVN"))</f>
        <v/>
      </c>
      <c r="O276" s="25">
        <f>(L276+N276)*Assumptions!$S$11</f>
        <v/>
      </c>
      <c r="P276" s="26">
        <f>$F276*$J276*$O276</f>
        <v/>
      </c>
    </row>
    <row r="277">
      <c r="A277" s="11" t="inlineStr">
        <is>
          <t>UNIT</t>
        </is>
      </c>
      <c r="B277" s="18" t="inlineStr">
        <is>
          <t>CVR_WYNNEWOOD</t>
        </is>
      </c>
      <c r="C277" s="18" t="n">
        <v>2</v>
      </c>
      <c r="D277" s="18" t="inlineStr">
        <is>
          <t>VDU</t>
        </is>
      </c>
      <c r="E277" s="18" t="inlineStr">
        <is>
          <t>VDU</t>
        </is>
      </c>
      <c r="F277" s="19" t="n">
        <v>40.3</v>
      </c>
      <c r="G277" s="21">
        <f>IFERROR(IF(INDEX(Effective!$E$3:$R$125,MATCH($B277,Effective!$A$3:$A$125,0),MATCH($D277,Effective!$E$2:$R$2,0))=0,"",INDEX(Effective!$E$3:$R$125,MATCH($B277,Effective!$A$3:$A$125,0),MATCH($D277,Effective!$E$2:$R$2,0))),"")</f>
        <v/>
      </c>
      <c r="H277" s="22" t="inlineStr">
        <is>
          <t>override</t>
        </is>
      </c>
      <c r="I277" s="23" t="n">
        <v>0.346</v>
      </c>
      <c r="J277" s="24">
        <f>IF(AND(IF($H283&lt;&gt;"",$H283,$H277)="override",$I277&lt;&gt;""),$I277,SUMIFS(Assumptions!$K$4:$K$8,Assumptions!$J$4:$J$8,$C277))*Assumptions!$S$10</f>
        <v/>
      </c>
      <c r="K277" s="23" t="n"/>
      <c r="L277" s="25">
        <f>IF(AND(IF($H283&lt;&gt;"",$H283,$H277)="override",$K277&lt;&gt;""),$K277,SUMIFS(Assumptions!$P$4:$P$103,Assumptions!$M$4:$M$103,$C277,Assumptions!$N$4:$N$103,$E277,Assumptions!$O$4:$O$103,"LVN"))</f>
        <v/>
      </c>
      <c r="M277" s="23" t="n"/>
      <c r="N277" s="25">
        <f>IF(AND(IF($H283&lt;&gt;"",$H283,$H277)="override",$M277&lt;&gt;""),$M277,SUMIFS(Assumptions!$P$4:$P$103,Assumptions!$M$4:$M$103,$C277,Assumptions!$N$4:$N$103,$E277,Assumptions!$O$4:$O$103,"HVN"))</f>
        <v/>
      </c>
      <c r="O277" s="25">
        <f>(L277+N277)*Assumptions!$S$11</f>
        <v/>
      </c>
      <c r="P277" s="26">
        <f>$F277*$J277*$O277</f>
        <v/>
      </c>
    </row>
    <row r="278">
      <c r="A278" s="11" t="inlineStr">
        <is>
          <t>UNIT</t>
        </is>
      </c>
      <c r="B278" s="18" t="inlineStr">
        <is>
          <t>CVR_WYNNEWOOD</t>
        </is>
      </c>
      <c r="C278" s="18" t="n">
        <v>2</v>
      </c>
      <c r="D278" s="18" t="inlineStr">
        <is>
          <t>FCC</t>
        </is>
      </c>
      <c r="E278" s="18" t="inlineStr">
        <is>
          <t>FCC</t>
        </is>
      </c>
      <c r="F278" s="19" t="n">
        <v>22</v>
      </c>
      <c r="G278" s="21">
        <f>IFERROR(IF(INDEX(Effective!$E$3:$R$125,MATCH($B278,Effective!$A$3:$A$125,0),MATCH($D278,Effective!$E$2:$R$2,0))=0,"",INDEX(Effective!$E$3:$R$125,MATCH($B278,Effective!$A$3:$A$125,0),MATCH($D278,Effective!$E$2:$R$2,0))),"")</f>
        <v/>
      </c>
      <c r="H278" s="22" t="inlineStr">
        <is>
          <t>override</t>
        </is>
      </c>
      <c r="I278" s="23" t="n">
        <v>0.625</v>
      </c>
      <c r="J278" s="24">
        <f>IF(AND(IF($H283&lt;&gt;"",$H283,$H278)="override",$I278&lt;&gt;""),$I278,SUMIFS(Assumptions!$K$4:$K$8,Assumptions!$J$4:$J$8,$C278))*Assumptions!$S$10</f>
        <v/>
      </c>
      <c r="K278" s="23" t="n"/>
      <c r="L278" s="25">
        <f>IF(AND(IF($H283&lt;&gt;"",$H283,$H278)="override",$K278&lt;&gt;""),$K278,SUMIFS(Assumptions!$P$4:$P$103,Assumptions!$M$4:$M$103,$C278,Assumptions!$N$4:$N$103,$E278,Assumptions!$O$4:$O$103,"LVN"))</f>
        <v/>
      </c>
      <c r="M278" s="23" t="n"/>
      <c r="N278" s="25">
        <f>IF(AND(IF($H283&lt;&gt;"",$H283,$H278)="override",$M278&lt;&gt;""),$M278,SUMIFS(Assumptions!$P$4:$P$103,Assumptions!$M$4:$M$103,$C278,Assumptions!$N$4:$N$103,$E278,Assumptions!$O$4:$O$103,"HVN"))</f>
        <v/>
      </c>
      <c r="O278" s="25">
        <f>(L278+N278)*Assumptions!$S$11</f>
        <v/>
      </c>
      <c r="P278" s="26">
        <f>$F278*$J278*$O278</f>
        <v/>
      </c>
    </row>
    <row r="279">
      <c r="A279" s="11" t="inlineStr">
        <is>
          <t>UNIT</t>
        </is>
      </c>
      <c r="B279" s="18" t="inlineStr">
        <is>
          <t>CVR_WYNNEWOOD</t>
        </is>
      </c>
      <c r="C279" s="18" t="n">
        <v>2</v>
      </c>
      <c r="D279" s="18" t="inlineStr">
        <is>
          <t>CCR</t>
        </is>
      </c>
      <c r="E279" s="18" t="inlineStr">
        <is>
          <t>REFORMER</t>
        </is>
      </c>
      <c r="F279" s="19" t="n">
        <v>18.7</v>
      </c>
      <c r="G279" s="21">
        <f>IFERROR(IF(INDEX(Effective!$E$3:$R$125,MATCH($B279,Effective!$A$3:$A$125,0),MATCH($D279,Effective!$E$2:$R$2,0))=0,"",INDEX(Effective!$E$3:$R$125,MATCH($B279,Effective!$A$3:$A$125,0),MATCH($D279,Effective!$E$2:$R$2,0))),"")</f>
        <v/>
      </c>
      <c r="H279" s="22" t="inlineStr">
        <is>
          <t>override</t>
        </is>
      </c>
      <c r="I279" s="23" t="n">
        <v>0.802</v>
      </c>
      <c r="J279" s="24">
        <f>IF(AND(IF($H283&lt;&gt;"",$H283,$H279)="override",$I279&lt;&gt;""),$I279,SUMIFS(Assumptions!$K$4:$K$8,Assumptions!$J$4:$J$8,$C279))*Assumptions!$S$10</f>
        <v/>
      </c>
      <c r="K279" s="23" t="n"/>
      <c r="L279" s="25">
        <f>IF(AND(IF($H283&lt;&gt;"",$H283,$H279)="override",$K279&lt;&gt;""),$K279,SUMIFS(Assumptions!$P$4:$P$103,Assumptions!$M$4:$M$103,$C279,Assumptions!$N$4:$N$103,$E279,Assumptions!$O$4:$O$103,"LVN"))</f>
        <v/>
      </c>
      <c r="M279" s="23" t="n"/>
      <c r="N279" s="25">
        <f>IF(AND(IF($H283&lt;&gt;"",$H283,$H279)="override",$M279&lt;&gt;""),$M279,SUMIFS(Assumptions!$P$4:$P$103,Assumptions!$M$4:$M$103,$C279,Assumptions!$N$4:$N$103,$E279,Assumptions!$O$4:$O$103,"HVN"))</f>
        <v/>
      </c>
      <c r="O279" s="25">
        <f>(L279+N279)*Assumptions!$S$11</f>
        <v/>
      </c>
      <c r="P279" s="26">
        <f>$F279*$J279*$O279</f>
        <v/>
      </c>
    </row>
    <row r="280">
      <c r="A280" s="11" t="inlineStr">
        <is>
          <t>UNIT</t>
        </is>
      </c>
      <c r="B280" s="18" t="inlineStr">
        <is>
          <t>CVR_WYNNEWOOD</t>
        </is>
      </c>
      <c r="C280" s="18" t="n">
        <v>2</v>
      </c>
      <c r="D280" s="18" t="inlineStr">
        <is>
          <t>ISOM</t>
        </is>
      </c>
      <c r="E280" s="18" t="inlineStr">
        <is>
          <t>ISOM</t>
        </is>
      </c>
      <c r="F280" s="19" t="n">
        <v>5</v>
      </c>
      <c r="G280" s="21">
        <f>IFERROR(IF(INDEX(Effective!$E$3:$R$125,MATCH($B280,Effective!$A$3:$A$125,0),MATCH($D280,Effective!$E$2:$R$2,0))=0,"",INDEX(Effective!$E$3:$R$125,MATCH($B280,Effective!$A$3:$A$125,0),MATCH($D280,Effective!$E$2:$R$2,0))),"")</f>
        <v/>
      </c>
      <c r="H280" s="22" t="inlineStr">
        <is>
          <t>override</t>
        </is>
      </c>
      <c r="I280" s="23" t="n">
        <v>0.827</v>
      </c>
      <c r="J280" s="24">
        <f>IF(AND(IF($H283&lt;&gt;"",$H283,$H280)="override",$I280&lt;&gt;""),$I280,SUMIFS(Assumptions!$K$4:$K$8,Assumptions!$J$4:$J$8,$C280))*Assumptions!$S$10</f>
        <v/>
      </c>
      <c r="K280" s="23" t="n"/>
      <c r="L280" s="25">
        <f>IF(AND(IF($H283&lt;&gt;"",$H283,$H280)="override",$K280&lt;&gt;""),$K280,SUMIFS(Assumptions!$P$4:$P$103,Assumptions!$M$4:$M$103,$C280,Assumptions!$N$4:$N$103,$E280,Assumptions!$O$4:$O$103,"LVN"))</f>
        <v/>
      </c>
      <c r="M280" s="23" t="n"/>
      <c r="N280" s="25">
        <f>IF(AND(IF($H283&lt;&gt;"",$H283,$H280)="override",$M280&lt;&gt;""),$M280,SUMIFS(Assumptions!$P$4:$P$103,Assumptions!$M$4:$M$103,$C280,Assumptions!$N$4:$N$103,$E280,Assumptions!$O$4:$O$103,"HVN"))</f>
        <v/>
      </c>
      <c r="O280" s="25">
        <f>(L280+N280)*Assumptions!$S$11</f>
        <v/>
      </c>
      <c r="P280" s="26">
        <f>$F280*$J280*$O280</f>
        <v/>
      </c>
    </row>
    <row r="281">
      <c r="A281" s="11" t="inlineStr">
        <is>
          <t>UNIT</t>
        </is>
      </c>
      <c r="B281" s="18" t="inlineStr">
        <is>
          <t>CVR_WYNNEWOOD</t>
        </is>
      </c>
      <c r="C281" s="18" t="n">
        <v>2</v>
      </c>
      <c r="D281" s="18" t="inlineStr">
        <is>
          <t>ALKY</t>
        </is>
      </c>
      <c r="E281" s="18" t="inlineStr">
        <is>
          <t>ALKY</t>
        </is>
      </c>
      <c r="F281" s="19" t="n">
        <v>5.5</v>
      </c>
      <c r="G281" s="21">
        <f>IFERROR(IF(INDEX(Effective!$E$3:$R$125,MATCH($B281,Effective!$A$3:$A$125,0),MATCH($D281,Effective!$E$2:$R$2,0))=0,"",INDEX(Effective!$E$3:$R$125,MATCH($B281,Effective!$A$3:$A$125,0),MATCH($D281,Effective!$E$2:$R$2,0))),"")</f>
        <v/>
      </c>
      <c r="H281" s="22" t="inlineStr">
        <is>
          <t>override</t>
        </is>
      </c>
      <c r="I281" s="23" t="n">
        <v>0.68</v>
      </c>
      <c r="J281" s="24">
        <f>IF(AND(IF($H283&lt;&gt;"",$H283,$H281)="override",$I281&lt;&gt;""),$I281,SUMIFS(Assumptions!$K$4:$K$8,Assumptions!$J$4:$J$8,$C281))*Assumptions!$S$10</f>
        <v/>
      </c>
      <c r="K281" s="23" t="n"/>
      <c r="L281" s="25">
        <f>IF(AND(IF($H283&lt;&gt;"",$H283,$H281)="override",$K281&lt;&gt;""),$K281,SUMIFS(Assumptions!$P$4:$P$103,Assumptions!$M$4:$M$103,$C281,Assumptions!$N$4:$N$103,$E281,Assumptions!$O$4:$O$103,"LVN"))</f>
        <v/>
      </c>
      <c r="M281" s="23" t="n"/>
      <c r="N281" s="25">
        <f>IF(AND(IF($H283&lt;&gt;"",$H283,$H281)="override",$M281&lt;&gt;""),$M281,SUMIFS(Assumptions!$P$4:$P$103,Assumptions!$M$4:$M$103,$C281,Assumptions!$N$4:$N$103,$E281,Assumptions!$O$4:$O$103,"HVN"))</f>
        <v/>
      </c>
      <c r="O281" s="25">
        <f>(L281+N281)*Assumptions!$S$11</f>
        <v/>
      </c>
      <c r="P281" s="26">
        <f>$F281*$J281*$O281</f>
        <v/>
      </c>
    </row>
    <row r="282">
      <c r="A282" s="11" t="inlineStr">
        <is>
          <t>UNIT</t>
        </is>
      </c>
      <c r="B282" s="18" t="inlineStr">
        <is>
          <t>CVR_WYNNEWOOD</t>
        </is>
      </c>
      <c r="C282" s="18" t="n">
        <v>2</v>
      </c>
      <c r="D282" s="18" t="inlineStr">
        <is>
          <t>NHT</t>
        </is>
      </c>
      <c r="E282" s="18" t="inlineStr">
        <is>
          <t>NHT</t>
        </is>
      </c>
      <c r="F282" s="19" t="n">
        <v>26.9</v>
      </c>
      <c r="G282" s="21">
        <f>IFERROR(IF(INDEX(Effective!$E$3:$R$125,MATCH($B282,Effective!$A$3:$A$125,0),MATCH($D282,Effective!$E$2:$R$2,0))=0,"",INDEX(Effective!$E$3:$R$125,MATCH($B282,Effective!$A$3:$A$125,0),MATCH($D282,Effective!$E$2:$R$2,0))),"")</f>
        <v/>
      </c>
      <c r="H282" s="22" t="inlineStr">
        <is>
          <t>override</t>
        </is>
      </c>
      <c r="I282" s="23" t="n">
        <v>0.731</v>
      </c>
      <c r="J282" s="24">
        <f>IF(AND(IF($H283&lt;&gt;"",$H283,$H282)="override",$I282&lt;&gt;""),$I282,SUMIFS(Assumptions!$K$4:$K$8,Assumptions!$J$4:$J$8,$C282))*Assumptions!$S$10</f>
        <v/>
      </c>
      <c r="K282" s="23" t="n"/>
      <c r="L282" s="25">
        <f>IF(AND(IF($H283&lt;&gt;"",$H283,$H282)="override",$K282&lt;&gt;""),$K282,SUMIFS(Assumptions!$P$4:$P$103,Assumptions!$M$4:$M$103,$C282,Assumptions!$N$4:$N$103,$E282,Assumptions!$O$4:$O$103,"LVN"))</f>
        <v/>
      </c>
      <c r="M282" s="23" t="n"/>
      <c r="N282" s="25">
        <f>IF(AND(IF($H283&lt;&gt;"",$H283,$H282)="override",$M282&lt;&gt;""),$M282,SUMIFS(Assumptions!$P$4:$P$103,Assumptions!$M$4:$M$103,$C282,Assumptions!$N$4:$N$103,$E282,Assumptions!$O$4:$O$103,"HVN"))</f>
        <v/>
      </c>
      <c r="O282" s="25">
        <f>(L282+N282)*Assumptions!$S$11</f>
        <v/>
      </c>
      <c r="P282" s="26">
        <f>$F282*$J282*$O282</f>
        <v/>
      </c>
    </row>
    <row r="283">
      <c r="A283" s="27" t="inlineStr">
        <is>
          <t>TOTAL</t>
        </is>
      </c>
      <c r="B283" s="28" t="inlineStr">
        <is>
          <t>CVR_WYNNEWOOD</t>
        </is>
      </c>
      <c r="C283" s="28" t="n">
        <v>2</v>
      </c>
      <c r="D283" s="28" t="inlineStr">
        <is>
          <t>NET NAPHTHA</t>
        </is>
      </c>
      <c r="H283" s="22" t="n"/>
      <c r="P283" s="29">
        <f>SUM(P276:P282)</f>
        <v/>
      </c>
    </row>
    <row r="285" ht="20" customHeight="1">
      <c r="A285" s="8">
        <f>"  Cenovus Superior  [CENOVUS_SUPERIOR]   —   Cenovus   —   PADD 2   —   crude "&amp;TEXT(SUMIFS(Data!$G$3:$G$125,Data!$A$3:$A$125,"CENOVUS_SUPERIOR"),"#,##0")&amp;" kbd"</f>
        <v/>
      </c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</row>
    <row r="286">
      <c r="A286" s="11" t="inlineStr">
        <is>
          <t>UNIT</t>
        </is>
      </c>
      <c r="B286" s="18" t="inlineStr">
        <is>
          <t>CENOVUS_SUPERIOR</t>
        </is>
      </c>
      <c r="C286" s="18" t="n">
        <v>2</v>
      </c>
      <c r="D286" s="18" t="inlineStr">
        <is>
          <t>CDU</t>
        </is>
      </c>
      <c r="E286" s="18" t="inlineStr">
        <is>
          <t>CDU</t>
        </is>
      </c>
      <c r="F286" s="19" t="n">
        <v>50</v>
      </c>
      <c r="G286" s="21">
        <f>IFERROR(IF(INDEX(Effective!$E$3:$R$125,MATCH($B286,Effective!$A$3:$A$125,0),MATCH($D286,Effective!$E$2:$R$2,0))=0,"",INDEX(Effective!$E$3:$R$125,MATCH($B286,Effective!$A$3:$A$125,0),MATCH($D286,Effective!$E$2:$R$2,0))),"")</f>
        <v/>
      </c>
      <c r="H286" s="22" t="inlineStr">
        <is>
          <t>override</t>
        </is>
      </c>
      <c r="I286" s="23" t="n"/>
      <c r="J286" s="24">
        <f>IF(AND(IF($H292&lt;&gt;"",$H292,$H286)="override",$I286&lt;&gt;""),$I286,SUMIFS(Assumptions!$K$4:$K$8,Assumptions!$J$4:$J$8,$C286))*Assumptions!$S$10</f>
        <v/>
      </c>
      <c r="K286" s="23" t="n"/>
      <c r="L286" s="25">
        <f>IF(AND(IF($H292&lt;&gt;"",$H292,$H286)="override",$K286&lt;&gt;""),$K286,SUMIFS(Assumptions!$P$4:$P$103,Assumptions!$M$4:$M$103,$C286,Assumptions!$N$4:$N$103,$E286,Assumptions!$O$4:$O$103,"LVN"))</f>
        <v/>
      </c>
      <c r="M286" s="23" t="n"/>
      <c r="N286" s="25">
        <f>IF(AND(IF($H292&lt;&gt;"",$H292,$H286)="override",$M286&lt;&gt;""),$M286,SUMIFS(Assumptions!$P$4:$P$103,Assumptions!$M$4:$M$103,$C286,Assumptions!$N$4:$N$103,$E286,Assumptions!$O$4:$O$103,"HVN"))</f>
        <v/>
      </c>
      <c r="O286" s="25">
        <f>(L286+N286)*Assumptions!$S$11</f>
        <v/>
      </c>
      <c r="P286" s="26">
        <f>$F286*$J286*$O286</f>
        <v/>
      </c>
    </row>
    <row r="287">
      <c r="A287" s="11" t="inlineStr">
        <is>
          <t>UNIT</t>
        </is>
      </c>
      <c r="B287" s="18" t="inlineStr">
        <is>
          <t>CENOVUS_SUPERIOR</t>
        </is>
      </c>
      <c r="C287" s="18" t="n">
        <v>2</v>
      </c>
      <c r="D287" s="18" t="inlineStr">
        <is>
          <t>VDU</t>
        </is>
      </c>
      <c r="E287" s="18" t="inlineStr">
        <is>
          <t>VDU</t>
        </is>
      </c>
      <c r="F287" s="19" t="n">
        <v>23.5</v>
      </c>
      <c r="G287" s="21">
        <f>IFERROR(IF(INDEX(Effective!$E$3:$R$125,MATCH($B287,Effective!$A$3:$A$125,0),MATCH($D287,Effective!$E$2:$R$2,0))=0,"",INDEX(Effective!$E$3:$R$125,MATCH($B287,Effective!$A$3:$A$125,0),MATCH($D287,Effective!$E$2:$R$2,0))),"")</f>
        <v/>
      </c>
      <c r="H287" s="22" t="inlineStr">
        <is>
          <t>override</t>
        </is>
      </c>
      <c r="I287" s="23" t="n"/>
      <c r="J287" s="24">
        <f>IF(AND(IF($H292&lt;&gt;"",$H292,$H287)="override",$I287&lt;&gt;""),$I287,SUMIFS(Assumptions!$K$4:$K$8,Assumptions!$J$4:$J$8,$C287))*Assumptions!$S$10</f>
        <v/>
      </c>
      <c r="K287" s="23" t="n"/>
      <c r="L287" s="25">
        <f>IF(AND(IF($H292&lt;&gt;"",$H292,$H287)="override",$K287&lt;&gt;""),$K287,SUMIFS(Assumptions!$P$4:$P$103,Assumptions!$M$4:$M$103,$C287,Assumptions!$N$4:$N$103,$E287,Assumptions!$O$4:$O$103,"LVN"))</f>
        <v/>
      </c>
      <c r="M287" s="23" t="n"/>
      <c r="N287" s="25">
        <f>IF(AND(IF($H292&lt;&gt;"",$H292,$H287)="override",$M287&lt;&gt;""),$M287,SUMIFS(Assumptions!$P$4:$P$103,Assumptions!$M$4:$M$103,$C287,Assumptions!$N$4:$N$103,$E287,Assumptions!$O$4:$O$103,"HVN"))</f>
        <v/>
      </c>
      <c r="O287" s="25">
        <f>(L287+N287)*Assumptions!$S$11</f>
        <v/>
      </c>
      <c r="P287" s="26">
        <f>$F287*$J287*$O287</f>
        <v/>
      </c>
    </row>
    <row r="288">
      <c r="A288" s="11" t="inlineStr">
        <is>
          <t>UNIT</t>
        </is>
      </c>
      <c r="B288" s="18" t="inlineStr">
        <is>
          <t>CENOVUS_SUPERIOR</t>
        </is>
      </c>
      <c r="C288" s="18" t="n">
        <v>2</v>
      </c>
      <c r="D288" s="18" t="inlineStr">
        <is>
          <t>FCC</t>
        </is>
      </c>
      <c r="E288" s="18" t="inlineStr">
        <is>
          <t>FCC</t>
        </is>
      </c>
      <c r="F288" s="19" t="n">
        <v>11.32</v>
      </c>
      <c r="G288" s="21">
        <f>IFERROR(IF(INDEX(Effective!$E$3:$R$125,MATCH($B288,Effective!$A$3:$A$125,0),MATCH($D288,Effective!$E$2:$R$2,0))=0,"",INDEX(Effective!$E$3:$R$125,MATCH($B288,Effective!$A$3:$A$125,0),MATCH($D288,Effective!$E$2:$R$2,0))),"")</f>
        <v/>
      </c>
      <c r="H288" s="22" t="inlineStr">
        <is>
          <t>override</t>
        </is>
      </c>
      <c r="I288" s="23" t="n"/>
      <c r="J288" s="24">
        <f>IF(AND(IF($H292&lt;&gt;"",$H292,$H288)="override",$I288&lt;&gt;""),$I288,SUMIFS(Assumptions!$K$4:$K$8,Assumptions!$J$4:$J$8,$C288))*Assumptions!$S$10</f>
        <v/>
      </c>
      <c r="K288" s="23" t="n"/>
      <c r="L288" s="25">
        <f>IF(AND(IF($H292&lt;&gt;"",$H292,$H288)="override",$K288&lt;&gt;""),$K288,SUMIFS(Assumptions!$P$4:$P$103,Assumptions!$M$4:$M$103,$C288,Assumptions!$N$4:$N$103,$E288,Assumptions!$O$4:$O$103,"LVN"))</f>
        <v/>
      </c>
      <c r="M288" s="23" t="n"/>
      <c r="N288" s="25">
        <f>IF(AND(IF($H292&lt;&gt;"",$H292,$H288)="override",$M288&lt;&gt;""),$M288,SUMIFS(Assumptions!$P$4:$P$103,Assumptions!$M$4:$M$103,$C288,Assumptions!$N$4:$N$103,$E288,Assumptions!$O$4:$O$103,"HVN"))</f>
        <v/>
      </c>
      <c r="O288" s="25">
        <f>(L288+N288)*Assumptions!$S$11</f>
        <v/>
      </c>
      <c r="P288" s="26">
        <f>$F288*$J288*$O288</f>
        <v/>
      </c>
    </row>
    <row r="289">
      <c r="A289" s="11" t="inlineStr">
        <is>
          <t>UNIT</t>
        </is>
      </c>
      <c r="B289" s="18" t="inlineStr">
        <is>
          <t>CENOVUS_SUPERIOR</t>
        </is>
      </c>
      <c r="C289" s="18" t="n">
        <v>2</v>
      </c>
      <c r="D289" s="18" t="inlineStr">
        <is>
          <t>REF</t>
        </is>
      </c>
      <c r="E289" s="18" t="inlineStr">
        <is>
          <t>REFORMER</t>
        </is>
      </c>
      <c r="F289" s="19" t="n">
        <v>9.300000000000001</v>
      </c>
      <c r="G289" s="21">
        <f>IFERROR(IF(INDEX(Effective!$E$3:$R$125,MATCH($B289,Effective!$A$3:$A$125,0),MATCH($D289,Effective!$E$2:$R$2,0))=0,"",INDEX(Effective!$E$3:$R$125,MATCH($B289,Effective!$A$3:$A$125,0),MATCH($D289,Effective!$E$2:$R$2,0))),"")</f>
        <v/>
      </c>
      <c r="H289" s="22" t="inlineStr">
        <is>
          <t>override</t>
        </is>
      </c>
      <c r="I289" s="23" t="n"/>
      <c r="J289" s="24">
        <f>IF(AND(IF($H292&lt;&gt;"",$H292,$H289)="override",$I289&lt;&gt;""),$I289,SUMIFS(Assumptions!$K$4:$K$8,Assumptions!$J$4:$J$8,$C289))*Assumptions!$S$10</f>
        <v/>
      </c>
      <c r="K289" s="23" t="n"/>
      <c r="L289" s="25">
        <f>IF(AND(IF($H292&lt;&gt;"",$H292,$H289)="override",$K289&lt;&gt;""),$K289,SUMIFS(Assumptions!$P$4:$P$103,Assumptions!$M$4:$M$103,$C289,Assumptions!$N$4:$N$103,$E289,Assumptions!$O$4:$O$103,"LVN"))</f>
        <v/>
      </c>
      <c r="M289" s="23" t="n"/>
      <c r="N289" s="25">
        <f>IF(AND(IF($H292&lt;&gt;"",$H292,$H289)="override",$M289&lt;&gt;""),$M289,SUMIFS(Assumptions!$P$4:$P$103,Assumptions!$M$4:$M$103,$C289,Assumptions!$N$4:$N$103,$E289,Assumptions!$O$4:$O$103,"HVN"))</f>
        <v/>
      </c>
      <c r="O289" s="25">
        <f>(L289+N289)*Assumptions!$S$11</f>
        <v/>
      </c>
      <c r="P289" s="26">
        <f>$F289*$J289*$O289</f>
        <v/>
      </c>
    </row>
    <row r="290">
      <c r="A290" s="11" t="inlineStr">
        <is>
          <t>UNIT</t>
        </is>
      </c>
      <c r="B290" s="18" t="inlineStr">
        <is>
          <t>CENOVUS_SUPERIOR</t>
        </is>
      </c>
      <c r="C290" s="18" t="n">
        <v>2</v>
      </c>
      <c r="D290" s="18" t="inlineStr">
        <is>
          <t>ALKY</t>
        </is>
      </c>
      <c r="E290" s="18" t="inlineStr">
        <is>
          <t>ALKY</t>
        </is>
      </c>
      <c r="F290" s="19" t="n">
        <v>1.7</v>
      </c>
      <c r="G290" s="21">
        <f>IFERROR(IF(INDEX(Effective!$E$3:$R$125,MATCH($B290,Effective!$A$3:$A$125,0),MATCH($D290,Effective!$E$2:$R$2,0))=0,"",INDEX(Effective!$E$3:$R$125,MATCH($B290,Effective!$A$3:$A$125,0),MATCH($D290,Effective!$E$2:$R$2,0))),"")</f>
        <v/>
      </c>
      <c r="H290" s="22" t="inlineStr">
        <is>
          <t>override</t>
        </is>
      </c>
      <c r="I290" s="23" t="n"/>
      <c r="J290" s="24">
        <f>IF(AND(IF($H292&lt;&gt;"",$H292,$H290)="override",$I290&lt;&gt;""),$I290,SUMIFS(Assumptions!$K$4:$K$8,Assumptions!$J$4:$J$8,$C290))*Assumptions!$S$10</f>
        <v/>
      </c>
      <c r="K290" s="23" t="n"/>
      <c r="L290" s="25">
        <f>IF(AND(IF($H292&lt;&gt;"",$H292,$H290)="override",$K290&lt;&gt;""),$K290,SUMIFS(Assumptions!$P$4:$P$103,Assumptions!$M$4:$M$103,$C290,Assumptions!$N$4:$N$103,$E290,Assumptions!$O$4:$O$103,"LVN"))</f>
        <v/>
      </c>
      <c r="M290" s="23" t="n"/>
      <c r="N290" s="25">
        <f>IF(AND(IF($H292&lt;&gt;"",$H292,$H290)="override",$M290&lt;&gt;""),$M290,SUMIFS(Assumptions!$P$4:$P$103,Assumptions!$M$4:$M$103,$C290,Assumptions!$N$4:$N$103,$E290,Assumptions!$O$4:$O$103,"HVN"))</f>
        <v/>
      </c>
      <c r="O290" s="25">
        <f>(L290+N290)*Assumptions!$S$11</f>
        <v/>
      </c>
      <c r="P290" s="26">
        <f>$F290*$J290*$O290</f>
        <v/>
      </c>
    </row>
    <row r="291">
      <c r="A291" s="11" t="inlineStr">
        <is>
          <t>UNIT</t>
        </is>
      </c>
      <c r="B291" s="18" t="inlineStr">
        <is>
          <t>CENOVUS_SUPERIOR</t>
        </is>
      </c>
      <c r="C291" s="18" t="n">
        <v>2</v>
      </c>
      <c r="D291" s="18" t="inlineStr">
        <is>
          <t>NHT</t>
        </is>
      </c>
      <c r="E291" s="18" t="inlineStr">
        <is>
          <t>NHT</t>
        </is>
      </c>
      <c r="F291" s="19" t="n">
        <v>12.5</v>
      </c>
      <c r="G291" s="21">
        <f>IFERROR(IF(INDEX(Effective!$E$3:$R$125,MATCH($B291,Effective!$A$3:$A$125,0),MATCH($D291,Effective!$E$2:$R$2,0))=0,"",INDEX(Effective!$E$3:$R$125,MATCH($B291,Effective!$A$3:$A$125,0),MATCH($D291,Effective!$E$2:$R$2,0))),"")</f>
        <v/>
      </c>
      <c r="H291" s="22" t="inlineStr">
        <is>
          <t>override</t>
        </is>
      </c>
      <c r="I291" s="23" t="n"/>
      <c r="J291" s="24">
        <f>IF(AND(IF($H292&lt;&gt;"",$H292,$H291)="override",$I291&lt;&gt;""),$I291,SUMIFS(Assumptions!$K$4:$K$8,Assumptions!$J$4:$J$8,$C291))*Assumptions!$S$10</f>
        <v/>
      </c>
      <c r="K291" s="23" t="n"/>
      <c r="L291" s="25">
        <f>IF(AND(IF($H292&lt;&gt;"",$H292,$H291)="override",$K291&lt;&gt;""),$K291,SUMIFS(Assumptions!$P$4:$P$103,Assumptions!$M$4:$M$103,$C291,Assumptions!$N$4:$N$103,$E291,Assumptions!$O$4:$O$103,"LVN"))</f>
        <v/>
      </c>
      <c r="M291" s="23" t="n"/>
      <c r="N291" s="25">
        <f>IF(AND(IF($H292&lt;&gt;"",$H292,$H291)="override",$M291&lt;&gt;""),$M291,SUMIFS(Assumptions!$P$4:$P$103,Assumptions!$M$4:$M$103,$C291,Assumptions!$N$4:$N$103,$E291,Assumptions!$O$4:$O$103,"HVN"))</f>
        <v/>
      </c>
      <c r="O291" s="25">
        <f>(L291+N291)*Assumptions!$S$11</f>
        <v/>
      </c>
      <c r="P291" s="26">
        <f>$F291*$J291*$O291</f>
        <v/>
      </c>
    </row>
    <row r="292">
      <c r="A292" s="27" t="inlineStr">
        <is>
          <t>TOTAL</t>
        </is>
      </c>
      <c r="B292" s="28" t="inlineStr">
        <is>
          <t>CENOVUS_SUPERIOR</t>
        </is>
      </c>
      <c r="C292" s="28" t="n">
        <v>2</v>
      </c>
      <c r="D292" s="28" t="inlineStr">
        <is>
          <t>NET NAPHTHA</t>
        </is>
      </c>
      <c r="H292" s="22" t="n"/>
      <c r="P292" s="29">
        <f>SUM(P286:P291)</f>
        <v/>
      </c>
    </row>
    <row r="294" ht="20" customHeight="1">
      <c r="A294" s="8">
        <f>"  Countrymark Cooperative Inc. Mount Vernon  [COUNTRYMARK_MOUNT_VERNON]   —   Countrymark Cooperative Inc.   —   PADD 2   —   crude "&amp;TEXT(SUMIFS(Data!$G$3:$G$125,Data!$A$3:$A$125,"COUNTRYMARK_MOUNT_VERNON"),"#,##0")&amp;" kbd"</f>
        <v/>
      </c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</row>
    <row r="295">
      <c r="A295" s="11" t="inlineStr">
        <is>
          <t>UNIT</t>
        </is>
      </c>
      <c r="B295" s="18" t="inlineStr">
        <is>
          <t>COUNTRYMARK_MOUNT_VERNON</t>
        </is>
      </c>
      <c r="C295" s="18" t="n">
        <v>2</v>
      </c>
      <c r="D295" s="18" t="inlineStr">
        <is>
          <t>CDU</t>
        </is>
      </c>
      <c r="E295" s="18" t="inlineStr">
        <is>
          <t>CDU</t>
        </is>
      </c>
      <c r="F295" s="19" t="n">
        <v>30.8</v>
      </c>
      <c r="G295" s="21">
        <f>IFERROR(IF(INDEX(Effective!$E$3:$R$125,MATCH($B295,Effective!$A$3:$A$125,0),MATCH($D295,Effective!$E$2:$R$2,0))=0,"",INDEX(Effective!$E$3:$R$125,MATCH($B295,Effective!$A$3:$A$125,0),MATCH($D295,Effective!$E$2:$R$2,0))),"")</f>
        <v/>
      </c>
      <c r="H295" s="22" t="inlineStr">
        <is>
          <t>override</t>
        </is>
      </c>
      <c r="I295" s="23" t="n"/>
      <c r="J295" s="24">
        <f>IF(AND(IF($H302&lt;&gt;"",$H302,$H295)="override",$I295&lt;&gt;""),$I295,SUMIFS(Assumptions!$K$4:$K$8,Assumptions!$J$4:$J$8,$C295))*Assumptions!$S$10</f>
        <v/>
      </c>
      <c r="K295" s="23" t="n"/>
      <c r="L295" s="25">
        <f>IF(AND(IF($H302&lt;&gt;"",$H302,$H295)="override",$K295&lt;&gt;""),$K295,SUMIFS(Assumptions!$P$4:$P$103,Assumptions!$M$4:$M$103,$C295,Assumptions!$N$4:$N$103,$E295,Assumptions!$O$4:$O$103,"LVN"))</f>
        <v/>
      </c>
      <c r="M295" s="23" t="n"/>
      <c r="N295" s="25">
        <f>IF(AND(IF($H302&lt;&gt;"",$H302,$H295)="override",$M295&lt;&gt;""),$M295,SUMIFS(Assumptions!$P$4:$P$103,Assumptions!$M$4:$M$103,$C295,Assumptions!$N$4:$N$103,$E295,Assumptions!$O$4:$O$103,"HVN"))</f>
        <v/>
      </c>
      <c r="O295" s="25">
        <f>(L295+N295)*Assumptions!$S$11</f>
        <v/>
      </c>
      <c r="P295" s="26">
        <f>$F295*$J295*$O295</f>
        <v/>
      </c>
    </row>
    <row r="296">
      <c r="A296" s="11" t="inlineStr">
        <is>
          <t>UNIT</t>
        </is>
      </c>
      <c r="B296" s="18" t="inlineStr">
        <is>
          <t>COUNTRYMARK_MOUNT_VERNON</t>
        </is>
      </c>
      <c r="C296" s="18" t="n">
        <v>2</v>
      </c>
      <c r="D296" s="18" t="inlineStr">
        <is>
          <t>VDU</t>
        </is>
      </c>
      <c r="E296" s="18" t="inlineStr">
        <is>
          <t>VDU</t>
        </is>
      </c>
      <c r="F296" s="19" t="n">
        <v>14.5</v>
      </c>
      <c r="G296" s="21">
        <f>IFERROR(IF(INDEX(Effective!$E$3:$R$125,MATCH($B296,Effective!$A$3:$A$125,0),MATCH($D296,Effective!$E$2:$R$2,0))=0,"",INDEX(Effective!$E$3:$R$125,MATCH($B296,Effective!$A$3:$A$125,0),MATCH($D296,Effective!$E$2:$R$2,0))),"")</f>
        <v/>
      </c>
      <c r="H296" s="22" t="inlineStr">
        <is>
          <t>override</t>
        </is>
      </c>
      <c r="I296" s="23" t="n"/>
      <c r="J296" s="24">
        <f>IF(AND(IF($H302&lt;&gt;"",$H302,$H296)="override",$I296&lt;&gt;""),$I296,SUMIFS(Assumptions!$K$4:$K$8,Assumptions!$J$4:$J$8,$C296))*Assumptions!$S$10</f>
        <v/>
      </c>
      <c r="K296" s="23" t="n"/>
      <c r="L296" s="25">
        <f>IF(AND(IF($H302&lt;&gt;"",$H302,$H296)="override",$K296&lt;&gt;""),$K296,SUMIFS(Assumptions!$P$4:$P$103,Assumptions!$M$4:$M$103,$C296,Assumptions!$N$4:$N$103,$E296,Assumptions!$O$4:$O$103,"LVN"))</f>
        <v/>
      </c>
      <c r="M296" s="23" t="n"/>
      <c r="N296" s="25">
        <f>IF(AND(IF($H302&lt;&gt;"",$H302,$H296)="override",$M296&lt;&gt;""),$M296,SUMIFS(Assumptions!$P$4:$P$103,Assumptions!$M$4:$M$103,$C296,Assumptions!$N$4:$N$103,$E296,Assumptions!$O$4:$O$103,"HVN"))</f>
        <v/>
      </c>
      <c r="O296" s="25">
        <f>(L296+N296)*Assumptions!$S$11</f>
        <v/>
      </c>
      <c r="P296" s="26">
        <f>$F296*$J296*$O296</f>
        <v/>
      </c>
    </row>
    <row r="297">
      <c r="A297" s="11" t="inlineStr">
        <is>
          <t>UNIT</t>
        </is>
      </c>
      <c r="B297" s="18" t="inlineStr">
        <is>
          <t>COUNTRYMARK_MOUNT_VERNON</t>
        </is>
      </c>
      <c r="C297" s="18" t="n">
        <v>2</v>
      </c>
      <c r="D297" s="18" t="inlineStr">
        <is>
          <t>FCC</t>
        </is>
      </c>
      <c r="E297" s="18" t="inlineStr">
        <is>
          <t>FCC</t>
        </is>
      </c>
      <c r="F297" s="19" t="n">
        <v>8.6</v>
      </c>
      <c r="G297" s="21">
        <f>IFERROR(IF(INDEX(Effective!$E$3:$R$125,MATCH($B297,Effective!$A$3:$A$125,0),MATCH($D297,Effective!$E$2:$R$2,0))=0,"",INDEX(Effective!$E$3:$R$125,MATCH($B297,Effective!$A$3:$A$125,0),MATCH($D297,Effective!$E$2:$R$2,0))),"")</f>
        <v/>
      </c>
      <c r="H297" s="22" t="inlineStr">
        <is>
          <t>override</t>
        </is>
      </c>
      <c r="I297" s="23" t="n"/>
      <c r="J297" s="24">
        <f>IF(AND(IF($H302&lt;&gt;"",$H302,$H297)="override",$I297&lt;&gt;""),$I297,SUMIFS(Assumptions!$K$4:$K$8,Assumptions!$J$4:$J$8,$C297))*Assumptions!$S$10</f>
        <v/>
      </c>
      <c r="K297" s="23" t="n"/>
      <c r="L297" s="25">
        <f>IF(AND(IF($H302&lt;&gt;"",$H302,$H297)="override",$K297&lt;&gt;""),$K297,SUMIFS(Assumptions!$P$4:$P$103,Assumptions!$M$4:$M$103,$C297,Assumptions!$N$4:$N$103,$E297,Assumptions!$O$4:$O$103,"LVN"))</f>
        <v/>
      </c>
      <c r="M297" s="23" t="n"/>
      <c r="N297" s="25">
        <f>IF(AND(IF($H302&lt;&gt;"",$H302,$H297)="override",$M297&lt;&gt;""),$M297,SUMIFS(Assumptions!$P$4:$P$103,Assumptions!$M$4:$M$103,$C297,Assumptions!$N$4:$N$103,$E297,Assumptions!$O$4:$O$103,"HVN"))</f>
        <v/>
      </c>
      <c r="O297" s="25">
        <f>(L297+N297)*Assumptions!$S$11</f>
        <v/>
      </c>
      <c r="P297" s="26">
        <f>$F297*$J297*$O297</f>
        <v/>
      </c>
    </row>
    <row r="298">
      <c r="A298" s="11" t="inlineStr">
        <is>
          <t>UNIT</t>
        </is>
      </c>
      <c r="B298" s="18" t="inlineStr">
        <is>
          <t>COUNTRYMARK_MOUNT_VERNON</t>
        </is>
      </c>
      <c r="C298" s="18" t="n">
        <v>2</v>
      </c>
      <c r="D298" s="18" t="inlineStr">
        <is>
          <t>CCR</t>
        </is>
      </c>
      <c r="E298" s="18" t="inlineStr">
        <is>
          <t>REFORMER</t>
        </is>
      </c>
      <c r="F298" s="19" t="n">
        <v>6.5</v>
      </c>
      <c r="G298" s="21">
        <f>IFERROR(IF(INDEX(Effective!$E$3:$R$125,MATCH($B298,Effective!$A$3:$A$125,0),MATCH($D298,Effective!$E$2:$R$2,0))=0,"",INDEX(Effective!$E$3:$R$125,MATCH($B298,Effective!$A$3:$A$125,0),MATCH($D298,Effective!$E$2:$R$2,0))),"")</f>
        <v/>
      </c>
      <c r="H298" s="22" t="inlineStr">
        <is>
          <t>override</t>
        </is>
      </c>
      <c r="I298" s="23" t="n"/>
      <c r="J298" s="24">
        <f>IF(AND(IF($H302&lt;&gt;"",$H302,$H298)="override",$I298&lt;&gt;""),$I298,SUMIFS(Assumptions!$K$4:$K$8,Assumptions!$J$4:$J$8,$C298))*Assumptions!$S$10</f>
        <v/>
      </c>
      <c r="K298" s="23" t="n"/>
      <c r="L298" s="25">
        <f>IF(AND(IF($H302&lt;&gt;"",$H302,$H298)="override",$K298&lt;&gt;""),$K298,SUMIFS(Assumptions!$P$4:$P$103,Assumptions!$M$4:$M$103,$C298,Assumptions!$N$4:$N$103,$E298,Assumptions!$O$4:$O$103,"LVN"))</f>
        <v/>
      </c>
      <c r="M298" s="23" t="n"/>
      <c r="N298" s="25">
        <f>IF(AND(IF($H302&lt;&gt;"",$H302,$H298)="override",$M298&lt;&gt;""),$M298,SUMIFS(Assumptions!$P$4:$P$103,Assumptions!$M$4:$M$103,$C298,Assumptions!$N$4:$N$103,$E298,Assumptions!$O$4:$O$103,"HVN"))</f>
        <v/>
      </c>
      <c r="O298" s="25">
        <f>(L298+N298)*Assumptions!$S$11</f>
        <v/>
      </c>
      <c r="P298" s="26">
        <f>$F298*$J298*$O298</f>
        <v/>
      </c>
    </row>
    <row r="299">
      <c r="A299" s="11" t="inlineStr">
        <is>
          <t>UNIT</t>
        </is>
      </c>
      <c r="B299" s="18" t="inlineStr">
        <is>
          <t>COUNTRYMARK_MOUNT_VERNON</t>
        </is>
      </c>
      <c r="C299" s="18" t="n">
        <v>2</v>
      </c>
      <c r="D299" s="18" t="inlineStr">
        <is>
          <t>ISOM</t>
        </is>
      </c>
      <c r="E299" s="18" t="inlineStr">
        <is>
          <t>ISOM</t>
        </is>
      </c>
      <c r="F299" s="19" t="n">
        <v>3.2</v>
      </c>
      <c r="G299" s="21">
        <f>IFERROR(IF(INDEX(Effective!$E$3:$R$125,MATCH($B299,Effective!$A$3:$A$125,0),MATCH($D299,Effective!$E$2:$R$2,0))=0,"",INDEX(Effective!$E$3:$R$125,MATCH($B299,Effective!$A$3:$A$125,0),MATCH($D299,Effective!$E$2:$R$2,0))),"")</f>
        <v/>
      </c>
      <c r="H299" s="22" t="inlineStr">
        <is>
          <t>override</t>
        </is>
      </c>
      <c r="I299" s="23" t="n"/>
      <c r="J299" s="24">
        <f>IF(AND(IF($H302&lt;&gt;"",$H302,$H299)="override",$I299&lt;&gt;""),$I299,SUMIFS(Assumptions!$K$4:$K$8,Assumptions!$J$4:$J$8,$C299))*Assumptions!$S$10</f>
        <v/>
      </c>
      <c r="K299" s="23" t="n"/>
      <c r="L299" s="25">
        <f>IF(AND(IF($H302&lt;&gt;"",$H302,$H299)="override",$K299&lt;&gt;""),$K299,SUMIFS(Assumptions!$P$4:$P$103,Assumptions!$M$4:$M$103,$C299,Assumptions!$N$4:$N$103,$E299,Assumptions!$O$4:$O$103,"LVN"))</f>
        <v/>
      </c>
      <c r="M299" s="23" t="n"/>
      <c r="N299" s="25">
        <f>IF(AND(IF($H302&lt;&gt;"",$H302,$H299)="override",$M299&lt;&gt;""),$M299,SUMIFS(Assumptions!$P$4:$P$103,Assumptions!$M$4:$M$103,$C299,Assumptions!$N$4:$N$103,$E299,Assumptions!$O$4:$O$103,"HVN"))</f>
        <v/>
      </c>
      <c r="O299" s="25">
        <f>(L299+N299)*Assumptions!$S$11</f>
        <v/>
      </c>
      <c r="P299" s="26">
        <f>$F299*$J299*$O299</f>
        <v/>
      </c>
    </row>
    <row r="300">
      <c r="A300" s="11" t="inlineStr">
        <is>
          <t>UNIT</t>
        </is>
      </c>
      <c r="B300" s="18" t="inlineStr">
        <is>
          <t>COUNTRYMARK_MOUNT_VERNON</t>
        </is>
      </c>
      <c r="C300" s="18" t="n">
        <v>2</v>
      </c>
      <c r="D300" s="18" t="inlineStr">
        <is>
          <t>ALKY</t>
        </is>
      </c>
      <c r="E300" s="18" t="inlineStr">
        <is>
          <t>ALKY</t>
        </is>
      </c>
      <c r="F300" s="19" t="n">
        <v>2.2</v>
      </c>
      <c r="G300" s="21">
        <f>IFERROR(IF(INDEX(Effective!$E$3:$R$125,MATCH($B300,Effective!$A$3:$A$125,0),MATCH($D300,Effective!$E$2:$R$2,0))=0,"",INDEX(Effective!$E$3:$R$125,MATCH($B300,Effective!$A$3:$A$125,0),MATCH($D300,Effective!$E$2:$R$2,0))),"")</f>
        <v/>
      </c>
      <c r="H300" s="22" t="inlineStr">
        <is>
          <t>override</t>
        </is>
      </c>
      <c r="I300" s="23" t="n"/>
      <c r="J300" s="24">
        <f>IF(AND(IF($H302&lt;&gt;"",$H302,$H300)="override",$I300&lt;&gt;""),$I300,SUMIFS(Assumptions!$K$4:$K$8,Assumptions!$J$4:$J$8,$C300))*Assumptions!$S$10</f>
        <v/>
      </c>
      <c r="K300" s="23" t="n"/>
      <c r="L300" s="25">
        <f>IF(AND(IF($H302&lt;&gt;"",$H302,$H300)="override",$K300&lt;&gt;""),$K300,SUMIFS(Assumptions!$P$4:$P$103,Assumptions!$M$4:$M$103,$C300,Assumptions!$N$4:$N$103,$E300,Assumptions!$O$4:$O$103,"LVN"))</f>
        <v/>
      </c>
      <c r="M300" s="23" t="n"/>
      <c r="N300" s="25">
        <f>IF(AND(IF($H302&lt;&gt;"",$H302,$H300)="override",$M300&lt;&gt;""),$M300,SUMIFS(Assumptions!$P$4:$P$103,Assumptions!$M$4:$M$103,$C300,Assumptions!$N$4:$N$103,$E300,Assumptions!$O$4:$O$103,"HVN"))</f>
        <v/>
      </c>
      <c r="O300" s="25">
        <f>(L300+N300)*Assumptions!$S$11</f>
        <v/>
      </c>
      <c r="P300" s="26">
        <f>$F300*$J300*$O300</f>
        <v/>
      </c>
    </row>
    <row r="301">
      <c r="A301" s="11" t="inlineStr">
        <is>
          <t>UNIT</t>
        </is>
      </c>
      <c r="B301" s="18" t="inlineStr">
        <is>
          <t>COUNTRYMARK_MOUNT_VERNON</t>
        </is>
      </c>
      <c r="C301" s="18" t="n">
        <v>2</v>
      </c>
      <c r="D301" s="18" t="inlineStr">
        <is>
          <t>NHT</t>
        </is>
      </c>
      <c r="E301" s="18" t="inlineStr">
        <is>
          <t>NHT</t>
        </is>
      </c>
      <c r="F301" s="19" t="n">
        <v>11</v>
      </c>
      <c r="G301" s="21">
        <f>IFERROR(IF(INDEX(Effective!$E$3:$R$125,MATCH($B301,Effective!$A$3:$A$125,0),MATCH($D301,Effective!$E$2:$R$2,0))=0,"",INDEX(Effective!$E$3:$R$125,MATCH($B301,Effective!$A$3:$A$125,0),MATCH($D301,Effective!$E$2:$R$2,0))),"")</f>
        <v/>
      </c>
      <c r="H301" s="22" t="inlineStr">
        <is>
          <t>override</t>
        </is>
      </c>
      <c r="I301" s="23" t="n"/>
      <c r="J301" s="24">
        <f>IF(AND(IF($H302&lt;&gt;"",$H302,$H301)="override",$I301&lt;&gt;""),$I301,SUMIFS(Assumptions!$K$4:$K$8,Assumptions!$J$4:$J$8,$C301))*Assumptions!$S$10</f>
        <v/>
      </c>
      <c r="K301" s="23" t="n"/>
      <c r="L301" s="25">
        <f>IF(AND(IF($H302&lt;&gt;"",$H302,$H301)="override",$K301&lt;&gt;""),$K301,SUMIFS(Assumptions!$P$4:$P$103,Assumptions!$M$4:$M$103,$C301,Assumptions!$N$4:$N$103,$E301,Assumptions!$O$4:$O$103,"LVN"))</f>
        <v/>
      </c>
      <c r="M301" s="23" t="n"/>
      <c r="N301" s="25">
        <f>IF(AND(IF($H302&lt;&gt;"",$H302,$H301)="override",$M301&lt;&gt;""),$M301,SUMIFS(Assumptions!$P$4:$P$103,Assumptions!$M$4:$M$103,$C301,Assumptions!$N$4:$N$103,$E301,Assumptions!$O$4:$O$103,"HVN"))</f>
        <v/>
      </c>
      <c r="O301" s="25">
        <f>(L301+N301)*Assumptions!$S$11</f>
        <v/>
      </c>
      <c r="P301" s="26">
        <f>$F301*$J301*$O301</f>
        <v/>
      </c>
    </row>
    <row r="302">
      <c r="A302" s="27" t="inlineStr">
        <is>
          <t>TOTAL</t>
        </is>
      </c>
      <c r="B302" s="28" t="inlineStr">
        <is>
          <t>COUNTRYMARK_MOUNT_VERNON</t>
        </is>
      </c>
      <c r="C302" s="28" t="n">
        <v>2</v>
      </c>
      <c r="D302" s="28" t="inlineStr">
        <is>
          <t>NET NAPHTHA</t>
        </is>
      </c>
      <c r="H302" s="22" t="n"/>
      <c r="P302" s="29">
        <f>SUM(P295:P301)</f>
        <v/>
      </c>
    </row>
    <row r="304" ht="20" customHeight="1">
      <c r="A304" s="8">
        <f>"  Somerset Refinery Somerset  [SOMERSET_SOMERSET]   —   Continental Refining Company   —   PADD 2   —   crude "&amp;TEXT(SUMIFS(Data!$G$3:$G$125,Data!$A$3:$A$125,"SOMERSET_SOMERSET"),"#,##0")&amp;" kbd"</f>
        <v/>
      </c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</row>
    <row r="305">
      <c r="A305" s="11" t="inlineStr">
        <is>
          <t>UNIT</t>
        </is>
      </c>
      <c r="B305" s="18" t="inlineStr">
        <is>
          <t>SOMERSET_SOMERSET</t>
        </is>
      </c>
      <c r="C305" s="18" t="n">
        <v>2</v>
      </c>
      <c r="D305" s="18" t="inlineStr">
        <is>
          <t>CRUDE-EST</t>
        </is>
      </c>
      <c r="E305" s="18" t="inlineStr">
        <is>
          <t>est. yield</t>
        </is>
      </c>
      <c r="F305" s="21">
        <f>SUMIFS(Data!$G$3:$G$125,Data!$A$3:$A$125,$B305)</f>
        <v/>
      </c>
      <c r="G305" s="21">
        <f>IFERROR(IF(INDEX(Effective!$E$3:$R$125,MATCH($B305,Effective!$A$3:$A$125,0),MATCH($D305,Effective!$E$2:$R$2,0))=0,"",INDEX(Effective!$E$3:$R$125,MATCH($B305,Effective!$A$3:$A$125,0),MATCH($D305,Effective!$E$2:$R$2,0))),"")</f>
        <v/>
      </c>
      <c r="H305" s="22" t="inlineStr">
        <is>
          <t>override</t>
        </is>
      </c>
      <c r="I305" s="23" t="n"/>
      <c r="J305" s="24">
        <f>IF(AND(IF($H306&lt;&gt;"",$H306,$H305)="override",$I305&lt;&gt;""),$I305,SUMIFS(Assumptions!$K$4:$K$8,Assumptions!$J$4:$J$8,$C305))*Assumptions!$S$10</f>
        <v/>
      </c>
      <c r="K305" s="23" t="n"/>
      <c r="L305" s="25">
        <f>IF(AND(IF($H306&lt;&gt;"",$H306,$H305)="override",$K305&lt;&gt;""),$K305,SUMIFS(Data!$N$3:$N$125,Data!$A$3:$A$125,$B305)*Assumptions!$S$4)</f>
        <v/>
      </c>
      <c r="M305" s="23" t="n"/>
      <c r="N305" s="25">
        <f>IF(AND(IF($H306&lt;&gt;"",$H306,$H305)="override",$M305&lt;&gt;""),$M305,SUMIFS(Data!$N$3:$N$125,Data!$A$3:$A$125,$B305)*Assumptions!$S$5)</f>
        <v/>
      </c>
      <c r="O305" s="25">
        <f>(L305+N305)*Assumptions!$S$11</f>
        <v/>
      </c>
      <c r="P305" s="26">
        <f>$F305*$J305*$O305</f>
        <v/>
      </c>
    </row>
    <row r="306">
      <c r="A306" s="27" t="inlineStr">
        <is>
          <t>TOTAL</t>
        </is>
      </c>
      <c r="B306" s="28" t="inlineStr">
        <is>
          <t>SOMERSET_SOMERSET</t>
        </is>
      </c>
      <c r="C306" s="28" t="n">
        <v>2</v>
      </c>
      <c r="D306" s="28" t="inlineStr">
        <is>
          <t>NET NAPHTHA</t>
        </is>
      </c>
      <c r="H306" s="22" t="n"/>
      <c r="P306" s="29">
        <f>SUM(P305:P305)</f>
        <v/>
      </c>
    </row>
    <row r="308" ht="20" customHeight="1">
      <c r="A308" s="8">
        <f>"  Galveston Bay Refinery  [MPC_GALV_BAY]   —   Marathon Petroleum   —   PADD 3   —   crude "&amp;TEXT(SUMIFS(Data!$G$3:$G$125,Data!$A$3:$A$125,"MPC_GALV_BAY"),"#,##0")&amp;" kbd"</f>
        <v/>
      </c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</row>
    <row r="309">
      <c r="A309" s="11" t="inlineStr">
        <is>
          <t>UNIT</t>
        </is>
      </c>
      <c r="B309" s="18" t="inlineStr">
        <is>
          <t>MPC_GALV_BAY</t>
        </is>
      </c>
      <c r="C309" s="18" t="n">
        <v>3</v>
      </c>
      <c r="D309" s="18" t="inlineStr">
        <is>
          <t>CDU</t>
        </is>
      </c>
      <c r="E309" s="18" t="inlineStr">
        <is>
          <t>CDU</t>
        </is>
      </c>
      <c r="F309" s="19" t="n">
        <v>665</v>
      </c>
      <c r="G309" s="21">
        <f>IFERROR(IF(INDEX(Effective!$E$3:$R$125,MATCH($B309,Effective!$A$3:$A$125,0),MATCH($D309,Effective!$E$2:$R$2,0))=0,"",INDEX(Effective!$E$3:$R$125,MATCH($B309,Effective!$A$3:$A$125,0),MATCH($D309,Effective!$E$2:$R$2,0))),"")</f>
        <v/>
      </c>
      <c r="H309" s="22" t="inlineStr">
        <is>
          <t>override</t>
        </is>
      </c>
      <c r="I309" s="23" t="n">
        <v>0.885</v>
      </c>
      <c r="J309" s="24">
        <f>IF(AND(IF($H318&lt;&gt;"",$H318,$H309)="override",$I309&lt;&gt;""),$I309,SUMIFS(Assumptions!$K$4:$K$8,Assumptions!$J$4:$J$8,$C309))*Assumptions!$S$10</f>
        <v/>
      </c>
      <c r="K309" s="23" t="n"/>
      <c r="L309" s="25">
        <f>IF(AND(IF($H318&lt;&gt;"",$H318,$H309)="override",$K309&lt;&gt;""),$K309,SUMIFS(Assumptions!$P$4:$P$103,Assumptions!$M$4:$M$103,$C309,Assumptions!$N$4:$N$103,$E309,Assumptions!$O$4:$O$103,"LVN"))</f>
        <v/>
      </c>
      <c r="M309" s="23" t="n"/>
      <c r="N309" s="25">
        <f>IF(AND(IF($H318&lt;&gt;"",$H318,$H309)="override",$M309&lt;&gt;""),$M309,SUMIFS(Assumptions!$P$4:$P$103,Assumptions!$M$4:$M$103,$C309,Assumptions!$N$4:$N$103,$E309,Assumptions!$O$4:$O$103,"HVN"))</f>
        <v/>
      </c>
      <c r="O309" s="25">
        <f>(L309+N309)*Assumptions!$S$11</f>
        <v/>
      </c>
      <c r="P309" s="26">
        <f>$F309*$J309*$O309</f>
        <v/>
      </c>
    </row>
    <row r="310">
      <c r="A310" s="11" t="inlineStr">
        <is>
          <t>UNIT</t>
        </is>
      </c>
      <c r="B310" s="18" t="inlineStr">
        <is>
          <t>MPC_GALV_BAY</t>
        </is>
      </c>
      <c r="C310" s="18" t="n">
        <v>3</v>
      </c>
      <c r="D310" s="18" t="inlineStr">
        <is>
          <t>VDU</t>
        </is>
      </c>
      <c r="E310" s="18" t="inlineStr">
        <is>
          <t>VDU</t>
        </is>
      </c>
      <c r="F310" s="19" t="n">
        <v>259.5</v>
      </c>
      <c r="G310" s="21">
        <f>IFERROR(IF(INDEX(Effective!$E$3:$R$125,MATCH($B310,Effective!$A$3:$A$125,0),MATCH($D310,Effective!$E$2:$R$2,0))=0,"",INDEX(Effective!$E$3:$R$125,MATCH($B310,Effective!$A$3:$A$125,0),MATCH($D310,Effective!$E$2:$R$2,0))),"")</f>
        <v/>
      </c>
      <c r="H310" s="22" t="inlineStr">
        <is>
          <t>override</t>
        </is>
      </c>
      <c r="I310" s="23" t="n">
        <v>0.758</v>
      </c>
      <c r="J310" s="24">
        <f>IF(AND(IF($H318&lt;&gt;"",$H318,$H310)="override",$I310&lt;&gt;""),$I310,SUMIFS(Assumptions!$K$4:$K$8,Assumptions!$J$4:$J$8,$C310))*Assumptions!$S$10</f>
        <v/>
      </c>
      <c r="K310" s="23" t="n"/>
      <c r="L310" s="25">
        <f>IF(AND(IF($H318&lt;&gt;"",$H318,$H310)="override",$K310&lt;&gt;""),$K310,SUMIFS(Assumptions!$P$4:$P$103,Assumptions!$M$4:$M$103,$C310,Assumptions!$N$4:$N$103,$E310,Assumptions!$O$4:$O$103,"LVN"))</f>
        <v/>
      </c>
      <c r="M310" s="23" t="n"/>
      <c r="N310" s="25">
        <f>IF(AND(IF($H318&lt;&gt;"",$H318,$H310)="override",$M310&lt;&gt;""),$M310,SUMIFS(Assumptions!$P$4:$P$103,Assumptions!$M$4:$M$103,$C310,Assumptions!$N$4:$N$103,$E310,Assumptions!$O$4:$O$103,"HVN"))</f>
        <v/>
      </c>
      <c r="O310" s="25">
        <f>(L310+N310)*Assumptions!$S$11</f>
        <v/>
      </c>
      <c r="P310" s="26">
        <f>$F310*$J310*$O310</f>
        <v/>
      </c>
    </row>
    <row r="311">
      <c r="A311" s="11" t="inlineStr">
        <is>
          <t>UNIT</t>
        </is>
      </c>
      <c r="B311" s="18" t="inlineStr">
        <is>
          <t>MPC_GALV_BAY</t>
        </is>
      </c>
      <c r="C311" s="18" t="n">
        <v>3</v>
      </c>
      <c r="D311" s="18" t="inlineStr">
        <is>
          <t>FCC</t>
        </is>
      </c>
      <c r="E311" s="18" t="inlineStr">
        <is>
          <t>FCC</t>
        </is>
      </c>
      <c r="F311" s="19" t="n">
        <v>205.5</v>
      </c>
      <c r="G311" s="21">
        <f>IFERROR(IF(INDEX(Effective!$E$3:$R$125,MATCH($B311,Effective!$A$3:$A$125,0),MATCH($D311,Effective!$E$2:$R$2,0))=0,"",INDEX(Effective!$E$3:$R$125,MATCH($B311,Effective!$A$3:$A$125,0),MATCH($D311,Effective!$E$2:$R$2,0))),"")</f>
        <v/>
      </c>
      <c r="H311" s="22" t="inlineStr">
        <is>
          <t>override</t>
        </is>
      </c>
      <c r="I311" s="23" t="n">
        <v>0.783</v>
      </c>
      <c r="J311" s="24">
        <f>IF(AND(IF($H318&lt;&gt;"",$H318,$H311)="override",$I311&lt;&gt;""),$I311,SUMIFS(Assumptions!$K$4:$K$8,Assumptions!$J$4:$J$8,$C311))*Assumptions!$S$10</f>
        <v/>
      </c>
      <c r="K311" s="23" t="n"/>
      <c r="L311" s="25">
        <f>IF(AND(IF($H318&lt;&gt;"",$H318,$H311)="override",$K311&lt;&gt;""),$K311,SUMIFS(Assumptions!$P$4:$P$103,Assumptions!$M$4:$M$103,$C311,Assumptions!$N$4:$N$103,$E311,Assumptions!$O$4:$O$103,"LVN"))</f>
        <v/>
      </c>
      <c r="M311" s="23" t="n"/>
      <c r="N311" s="25">
        <f>IF(AND(IF($H318&lt;&gt;"",$H318,$H311)="override",$M311&lt;&gt;""),$M311,SUMIFS(Assumptions!$P$4:$P$103,Assumptions!$M$4:$M$103,$C311,Assumptions!$N$4:$N$103,$E311,Assumptions!$O$4:$O$103,"HVN"))</f>
        <v/>
      </c>
      <c r="O311" s="25">
        <f>(L311+N311)*Assumptions!$S$11</f>
        <v/>
      </c>
      <c r="P311" s="26">
        <f>$F311*$J311*$O311</f>
        <v/>
      </c>
    </row>
    <row r="312">
      <c r="A312" s="11" t="inlineStr">
        <is>
          <t>UNIT</t>
        </is>
      </c>
      <c r="B312" s="18" t="inlineStr">
        <is>
          <t>MPC_GALV_BAY</t>
        </is>
      </c>
      <c r="C312" s="18" t="n">
        <v>3</v>
      </c>
      <c r="D312" s="18" t="inlineStr">
        <is>
          <t>RHCU</t>
        </is>
      </c>
      <c r="E312" s="18" t="inlineStr">
        <is>
          <t>HYDROCRACKER</t>
        </is>
      </c>
      <c r="F312" s="19" t="n">
        <v>84.5</v>
      </c>
      <c r="G312" s="21">
        <f>IFERROR(IF(INDEX(Effective!$E$3:$R$125,MATCH($B312,Effective!$A$3:$A$125,0),MATCH($D312,Effective!$E$2:$R$2,0))=0,"",INDEX(Effective!$E$3:$R$125,MATCH($B312,Effective!$A$3:$A$125,0),MATCH($D312,Effective!$E$2:$R$2,0))),"")</f>
        <v/>
      </c>
      <c r="H312" s="22" t="inlineStr">
        <is>
          <t>override</t>
        </is>
      </c>
      <c r="I312" s="23" t="n">
        <v>0.592</v>
      </c>
      <c r="J312" s="24">
        <f>IF(AND(IF($H318&lt;&gt;"",$H318,$H312)="override",$I312&lt;&gt;""),$I312,SUMIFS(Assumptions!$K$4:$K$8,Assumptions!$J$4:$J$8,$C312))*Assumptions!$S$10</f>
        <v/>
      </c>
      <c r="K312" s="23" t="n"/>
      <c r="L312" s="25">
        <f>IF(AND(IF($H318&lt;&gt;"",$H318,$H312)="override",$K312&lt;&gt;""),$K312,SUMIFS(Assumptions!$P$4:$P$103,Assumptions!$M$4:$M$103,$C312,Assumptions!$N$4:$N$103,$E312,Assumptions!$O$4:$O$103,"LVN"))</f>
        <v/>
      </c>
      <c r="M312" s="23" t="n"/>
      <c r="N312" s="25">
        <f>IF(AND(IF($H318&lt;&gt;"",$H318,$H312)="override",$M312&lt;&gt;""),$M312,SUMIFS(Assumptions!$P$4:$P$103,Assumptions!$M$4:$M$103,$C312,Assumptions!$N$4:$N$103,$E312,Assumptions!$O$4:$O$103,"HVN"))</f>
        <v/>
      </c>
      <c r="O312" s="25">
        <f>(L312+N312)*Assumptions!$S$11</f>
        <v/>
      </c>
      <c r="P312" s="26">
        <f>$F312*$J312*$O312</f>
        <v/>
      </c>
    </row>
    <row r="313">
      <c r="A313" s="11" t="inlineStr">
        <is>
          <t>UNIT</t>
        </is>
      </c>
      <c r="B313" s="18" t="inlineStr">
        <is>
          <t>MPC_GALV_BAY</t>
        </is>
      </c>
      <c r="C313" s="18" t="n">
        <v>3</v>
      </c>
      <c r="D313" s="18" t="inlineStr">
        <is>
          <t>DHCU</t>
        </is>
      </c>
      <c r="E313" s="18" t="inlineStr">
        <is>
          <t>HYDROCRACKER</t>
        </is>
      </c>
      <c r="F313" s="19" t="n">
        <v>78.5</v>
      </c>
      <c r="G313" s="21">
        <f>IFERROR(IF(INDEX(Effective!$E$3:$R$125,MATCH($B313,Effective!$A$3:$A$125,0),MATCH($D313,Effective!$E$2:$R$2,0))=0,"",INDEX(Effective!$E$3:$R$125,MATCH($B313,Effective!$A$3:$A$125,0),MATCH($D313,Effective!$E$2:$R$2,0))),"")</f>
        <v/>
      </c>
      <c r="H313" s="22" t="inlineStr">
        <is>
          <t>override</t>
        </is>
      </c>
      <c r="I313" s="23" t="n">
        <v>0.9379999999999999</v>
      </c>
      <c r="J313" s="24">
        <f>IF(AND(IF($H318&lt;&gt;"",$H318,$H313)="override",$I313&lt;&gt;""),$I313,SUMIFS(Assumptions!$K$4:$K$8,Assumptions!$J$4:$J$8,$C313))*Assumptions!$S$10</f>
        <v/>
      </c>
      <c r="K313" s="23" t="n"/>
      <c r="L313" s="25">
        <f>IF(AND(IF($H318&lt;&gt;"",$H318,$H313)="override",$K313&lt;&gt;""),$K313,SUMIFS(Assumptions!$P$4:$P$103,Assumptions!$M$4:$M$103,$C313,Assumptions!$N$4:$N$103,$E313,Assumptions!$O$4:$O$103,"LVN"))</f>
        <v/>
      </c>
      <c r="M313" s="23" t="n"/>
      <c r="N313" s="25">
        <f>IF(AND(IF($H318&lt;&gt;"",$H318,$H313)="override",$M313&lt;&gt;""),$M313,SUMIFS(Assumptions!$P$4:$P$103,Assumptions!$M$4:$M$103,$C313,Assumptions!$N$4:$N$103,$E313,Assumptions!$O$4:$O$103,"HVN"))</f>
        <v/>
      </c>
      <c r="O313" s="25">
        <f>(L313+N313)*Assumptions!$S$11</f>
        <v/>
      </c>
      <c r="P313" s="26">
        <f>$F313*$J313*$O313</f>
        <v/>
      </c>
    </row>
    <row r="314">
      <c r="A314" s="11" t="inlineStr">
        <is>
          <t>UNIT</t>
        </is>
      </c>
      <c r="B314" s="18" t="inlineStr">
        <is>
          <t>MPC_GALV_BAY</t>
        </is>
      </c>
      <c r="C314" s="18" t="n">
        <v>3</v>
      </c>
      <c r="D314" s="18" t="inlineStr">
        <is>
          <t>COKER</t>
        </is>
      </c>
      <c r="E314" s="18" t="inlineStr">
        <is>
          <t>COKER</t>
        </is>
      </c>
      <c r="F314" s="19" t="n">
        <v>33</v>
      </c>
      <c r="G314" s="21">
        <f>IFERROR(IF(INDEX(Effective!$E$3:$R$125,MATCH($B314,Effective!$A$3:$A$125,0),MATCH($D314,Effective!$E$2:$R$2,0))=0,"",INDEX(Effective!$E$3:$R$125,MATCH($B314,Effective!$A$3:$A$125,0),MATCH($D314,Effective!$E$2:$R$2,0))),"")</f>
        <v/>
      </c>
      <c r="H314" s="22" t="inlineStr">
        <is>
          <t>override</t>
        </is>
      </c>
      <c r="I314" s="23" t="n">
        <v>0.505</v>
      </c>
      <c r="J314" s="24">
        <f>IF(AND(IF($H318&lt;&gt;"",$H318,$H314)="override",$I314&lt;&gt;""),$I314,SUMIFS(Assumptions!$K$4:$K$8,Assumptions!$J$4:$J$8,$C314))*Assumptions!$S$10</f>
        <v/>
      </c>
      <c r="K314" s="23" t="n"/>
      <c r="L314" s="25">
        <f>IF(AND(IF($H318&lt;&gt;"",$H318,$H314)="override",$K314&lt;&gt;""),$K314,SUMIFS(Assumptions!$P$4:$P$103,Assumptions!$M$4:$M$103,$C314,Assumptions!$N$4:$N$103,$E314,Assumptions!$O$4:$O$103,"LVN"))</f>
        <v/>
      </c>
      <c r="M314" s="23" t="n"/>
      <c r="N314" s="25">
        <f>IF(AND(IF($H318&lt;&gt;"",$H318,$H314)="override",$M314&lt;&gt;""),$M314,SUMIFS(Assumptions!$P$4:$P$103,Assumptions!$M$4:$M$103,$C314,Assumptions!$N$4:$N$103,$E314,Assumptions!$O$4:$O$103,"HVN"))</f>
        <v/>
      </c>
      <c r="O314" s="25">
        <f>(L314+N314)*Assumptions!$S$11</f>
        <v/>
      </c>
      <c r="P314" s="26">
        <f>$F314*$J314*$O314</f>
        <v/>
      </c>
    </row>
    <row r="315">
      <c r="A315" s="11" t="inlineStr">
        <is>
          <t>UNIT</t>
        </is>
      </c>
      <c r="B315" s="18" t="inlineStr">
        <is>
          <t>MPC_GALV_BAY</t>
        </is>
      </c>
      <c r="C315" s="18" t="n">
        <v>3</v>
      </c>
      <c r="D315" s="18" t="inlineStr">
        <is>
          <t>CCR</t>
        </is>
      </c>
      <c r="E315" s="18" t="inlineStr">
        <is>
          <t>REFORMER</t>
        </is>
      </c>
      <c r="F315" s="19" t="n">
        <v>144.5</v>
      </c>
      <c r="G315" s="21">
        <f>IFERROR(IF(INDEX(Effective!$E$3:$R$125,MATCH($B315,Effective!$A$3:$A$125,0),MATCH($D315,Effective!$E$2:$R$2,0))=0,"",INDEX(Effective!$E$3:$R$125,MATCH($B315,Effective!$A$3:$A$125,0),MATCH($D315,Effective!$E$2:$R$2,0))),"")</f>
        <v/>
      </c>
      <c r="H315" s="22" t="inlineStr">
        <is>
          <t>override</t>
        </is>
      </c>
      <c r="I315" s="23" t="n">
        <v>0.891</v>
      </c>
      <c r="J315" s="24">
        <f>IF(AND(IF($H318&lt;&gt;"",$H318,$H315)="override",$I315&lt;&gt;""),$I315,SUMIFS(Assumptions!$K$4:$K$8,Assumptions!$J$4:$J$8,$C315))*Assumptions!$S$10</f>
        <v/>
      </c>
      <c r="K315" s="23" t="n"/>
      <c r="L315" s="25">
        <f>IF(AND(IF($H318&lt;&gt;"",$H318,$H315)="override",$K315&lt;&gt;""),$K315,SUMIFS(Assumptions!$P$4:$P$103,Assumptions!$M$4:$M$103,$C315,Assumptions!$N$4:$N$103,$E315,Assumptions!$O$4:$O$103,"LVN"))</f>
        <v/>
      </c>
      <c r="M315" s="23" t="n"/>
      <c r="N315" s="25">
        <f>IF(AND(IF($H318&lt;&gt;"",$H318,$H315)="override",$M315&lt;&gt;""),$M315,SUMIFS(Assumptions!$P$4:$P$103,Assumptions!$M$4:$M$103,$C315,Assumptions!$N$4:$N$103,$E315,Assumptions!$O$4:$O$103,"HVN"))</f>
        <v/>
      </c>
      <c r="O315" s="25">
        <f>(L315+N315)*Assumptions!$S$11</f>
        <v/>
      </c>
      <c r="P315" s="26">
        <f>$F315*$J315*$O315</f>
        <v/>
      </c>
    </row>
    <row r="316">
      <c r="A316" s="11" t="inlineStr">
        <is>
          <t>UNIT</t>
        </is>
      </c>
      <c r="B316" s="18" t="inlineStr">
        <is>
          <t>MPC_GALV_BAY</t>
        </is>
      </c>
      <c r="C316" s="18" t="n">
        <v>3</v>
      </c>
      <c r="D316" s="18" t="inlineStr">
        <is>
          <t>ALKY</t>
        </is>
      </c>
      <c r="E316" s="18" t="inlineStr">
        <is>
          <t>ALKY</t>
        </is>
      </c>
      <c r="F316" s="19" t="n">
        <v>61</v>
      </c>
      <c r="G316" s="21">
        <f>IFERROR(IF(INDEX(Effective!$E$3:$R$125,MATCH($B316,Effective!$A$3:$A$125,0),MATCH($D316,Effective!$E$2:$R$2,0))=0,"",INDEX(Effective!$E$3:$R$125,MATCH($B316,Effective!$A$3:$A$125,0),MATCH($D316,Effective!$E$2:$R$2,0))),"")</f>
        <v/>
      </c>
      <c r="H316" s="22" t="inlineStr">
        <is>
          <t>override</t>
        </is>
      </c>
      <c r="I316" s="23" t="n">
        <v>1.1</v>
      </c>
      <c r="J316" s="24">
        <f>IF(AND(IF($H318&lt;&gt;"",$H318,$H316)="override",$I316&lt;&gt;""),$I316,SUMIFS(Assumptions!$K$4:$K$8,Assumptions!$J$4:$J$8,$C316))*Assumptions!$S$10</f>
        <v/>
      </c>
      <c r="K316" s="23" t="n"/>
      <c r="L316" s="25">
        <f>IF(AND(IF($H318&lt;&gt;"",$H318,$H316)="override",$K316&lt;&gt;""),$K316,SUMIFS(Assumptions!$P$4:$P$103,Assumptions!$M$4:$M$103,$C316,Assumptions!$N$4:$N$103,$E316,Assumptions!$O$4:$O$103,"LVN"))</f>
        <v/>
      </c>
      <c r="M316" s="23" t="n"/>
      <c r="N316" s="25">
        <f>IF(AND(IF($H318&lt;&gt;"",$H318,$H316)="override",$M316&lt;&gt;""),$M316,SUMIFS(Assumptions!$P$4:$P$103,Assumptions!$M$4:$M$103,$C316,Assumptions!$N$4:$N$103,$E316,Assumptions!$O$4:$O$103,"HVN"))</f>
        <v/>
      </c>
      <c r="O316" s="25">
        <f>(L316+N316)*Assumptions!$S$11</f>
        <v/>
      </c>
      <c r="P316" s="26">
        <f>$F316*$J316*$O316</f>
        <v/>
      </c>
    </row>
    <row r="317">
      <c r="A317" s="11" t="inlineStr">
        <is>
          <t>UNIT</t>
        </is>
      </c>
      <c r="B317" s="18" t="inlineStr">
        <is>
          <t>MPC_GALV_BAY</t>
        </is>
      </c>
      <c r="C317" s="18" t="n">
        <v>3</v>
      </c>
      <c r="D317" s="18" t="inlineStr">
        <is>
          <t>NHT</t>
        </is>
      </c>
      <c r="E317" s="18" t="inlineStr">
        <is>
          <t>NHT</t>
        </is>
      </c>
      <c r="F317" s="19" t="n">
        <v>126.5</v>
      </c>
      <c r="G317" s="21">
        <f>IFERROR(IF(INDEX(Effective!$E$3:$R$125,MATCH($B317,Effective!$A$3:$A$125,0),MATCH($D317,Effective!$E$2:$R$2,0))=0,"",INDEX(Effective!$E$3:$R$125,MATCH($B317,Effective!$A$3:$A$125,0),MATCH($D317,Effective!$E$2:$R$2,0))),"")</f>
        <v/>
      </c>
      <c r="H317" s="22" t="inlineStr">
        <is>
          <t>override</t>
        </is>
      </c>
      <c r="I317" s="23" t="n">
        <v>0.992</v>
      </c>
      <c r="J317" s="24">
        <f>IF(AND(IF($H318&lt;&gt;"",$H318,$H317)="override",$I317&lt;&gt;""),$I317,SUMIFS(Assumptions!$K$4:$K$8,Assumptions!$J$4:$J$8,$C317))*Assumptions!$S$10</f>
        <v/>
      </c>
      <c r="K317" s="23" t="n"/>
      <c r="L317" s="25">
        <f>IF(AND(IF($H318&lt;&gt;"",$H318,$H317)="override",$K317&lt;&gt;""),$K317,SUMIFS(Assumptions!$P$4:$P$103,Assumptions!$M$4:$M$103,$C317,Assumptions!$N$4:$N$103,$E317,Assumptions!$O$4:$O$103,"LVN"))</f>
        <v/>
      </c>
      <c r="M317" s="23" t="n"/>
      <c r="N317" s="25">
        <f>IF(AND(IF($H318&lt;&gt;"",$H318,$H317)="override",$M317&lt;&gt;""),$M317,SUMIFS(Assumptions!$P$4:$P$103,Assumptions!$M$4:$M$103,$C317,Assumptions!$N$4:$N$103,$E317,Assumptions!$O$4:$O$103,"HVN"))</f>
        <v/>
      </c>
      <c r="O317" s="25">
        <f>(L317+N317)*Assumptions!$S$11</f>
        <v/>
      </c>
      <c r="P317" s="26">
        <f>$F317*$J317*$O317</f>
        <v/>
      </c>
    </row>
    <row r="318">
      <c r="A318" s="27" t="inlineStr">
        <is>
          <t>TOTAL</t>
        </is>
      </c>
      <c r="B318" s="28" t="inlineStr">
        <is>
          <t>MPC_GALV_BAY</t>
        </is>
      </c>
      <c r="C318" s="28" t="n">
        <v>3</v>
      </c>
      <c r="D318" s="28" t="inlineStr">
        <is>
          <t>NET NAPHTHA</t>
        </is>
      </c>
      <c r="H318" s="22" t="n"/>
      <c r="P318" s="29">
        <f>SUM(P309:P317)</f>
        <v/>
      </c>
    </row>
    <row r="320" ht="20" customHeight="1">
      <c r="A320" s="8">
        <f>"  Motiva Port Arthur  [MOTIVA_PAR]   —   Saudi Aramco   —   PADD 3   —   crude "&amp;TEXT(SUMIFS(Data!$G$3:$G$125,Data!$A$3:$A$125,"MOTIVA_PAR"),"#,##0")&amp;" kbd"</f>
        <v/>
      </c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</row>
    <row r="321">
      <c r="A321" s="11" t="inlineStr">
        <is>
          <t>UNIT</t>
        </is>
      </c>
      <c r="B321" s="18" t="inlineStr">
        <is>
          <t>MOTIVA_PAR</t>
        </is>
      </c>
      <c r="C321" s="18" t="n">
        <v>3</v>
      </c>
      <c r="D321" s="18" t="inlineStr">
        <is>
          <t>CDU</t>
        </is>
      </c>
      <c r="E321" s="18" t="inlineStr">
        <is>
          <t>CDU</t>
        </is>
      </c>
      <c r="F321" s="19" t="n">
        <v>654</v>
      </c>
      <c r="G321" s="21">
        <f>IFERROR(IF(INDEX(Effective!$E$3:$R$125,MATCH($B321,Effective!$A$3:$A$125,0),MATCH($D321,Effective!$E$2:$R$2,0))=0,"",INDEX(Effective!$E$3:$R$125,MATCH($B321,Effective!$A$3:$A$125,0),MATCH($D321,Effective!$E$2:$R$2,0))),"")</f>
        <v/>
      </c>
      <c r="H321" s="22" t="inlineStr">
        <is>
          <t>override</t>
        </is>
      </c>
      <c r="I321" s="23" t="n">
        <v>0.944</v>
      </c>
      <c r="J321" s="24">
        <f>IF(AND(IF($H330&lt;&gt;"",$H330,$H321)="override",$I321&lt;&gt;""),$I321,SUMIFS(Assumptions!$K$4:$K$8,Assumptions!$J$4:$J$8,$C321))*Assumptions!$S$10</f>
        <v/>
      </c>
      <c r="K321" s="23" t="n"/>
      <c r="L321" s="25">
        <f>IF(AND(IF($H330&lt;&gt;"",$H330,$H321)="override",$K321&lt;&gt;""),$K321,SUMIFS(Assumptions!$P$4:$P$103,Assumptions!$M$4:$M$103,$C321,Assumptions!$N$4:$N$103,$E321,Assumptions!$O$4:$O$103,"LVN"))</f>
        <v/>
      </c>
      <c r="M321" s="23" t="n"/>
      <c r="N321" s="25">
        <f>IF(AND(IF($H330&lt;&gt;"",$H330,$H321)="override",$M321&lt;&gt;""),$M321,SUMIFS(Assumptions!$P$4:$P$103,Assumptions!$M$4:$M$103,$C321,Assumptions!$N$4:$N$103,$E321,Assumptions!$O$4:$O$103,"HVN"))</f>
        <v/>
      </c>
      <c r="O321" s="25">
        <f>(L321+N321)*Assumptions!$S$11</f>
        <v/>
      </c>
      <c r="P321" s="26">
        <f>$F321*$J321*$O321</f>
        <v/>
      </c>
    </row>
    <row r="322">
      <c r="A322" s="11" t="inlineStr">
        <is>
          <t>UNIT</t>
        </is>
      </c>
      <c r="B322" s="18" t="inlineStr">
        <is>
          <t>MOTIVA_PAR</t>
        </is>
      </c>
      <c r="C322" s="18" t="n">
        <v>3</v>
      </c>
      <c r="D322" s="18" t="inlineStr">
        <is>
          <t>VDU</t>
        </is>
      </c>
      <c r="E322" s="18" t="inlineStr">
        <is>
          <t>VDU</t>
        </is>
      </c>
      <c r="F322" s="19" t="n">
        <v>331.8</v>
      </c>
      <c r="G322" s="21">
        <f>IFERROR(IF(INDEX(Effective!$E$3:$R$125,MATCH($B322,Effective!$A$3:$A$125,0),MATCH($D322,Effective!$E$2:$R$2,0))=0,"",INDEX(Effective!$E$3:$R$125,MATCH($B322,Effective!$A$3:$A$125,0),MATCH($D322,Effective!$E$2:$R$2,0))),"")</f>
        <v/>
      </c>
      <c r="H322" s="22" t="inlineStr">
        <is>
          <t>override</t>
        </is>
      </c>
      <c r="I322" s="23" t="n">
        <v>0.739</v>
      </c>
      <c r="J322" s="24">
        <f>IF(AND(IF($H330&lt;&gt;"",$H330,$H322)="override",$I322&lt;&gt;""),$I322,SUMIFS(Assumptions!$K$4:$K$8,Assumptions!$J$4:$J$8,$C322))*Assumptions!$S$10</f>
        <v/>
      </c>
      <c r="K322" s="23" t="n"/>
      <c r="L322" s="25">
        <f>IF(AND(IF($H330&lt;&gt;"",$H330,$H322)="override",$K322&lt;&gt;""),$K322,SUMIFS(Assumptions!$P$4:$P$103,Assumptions!$M$4:$M$103,$C322,Assumptions!$N$4:$N$103,$E322,Assumptions!$O$4:$O$103,"LVN"))</f>
        <v/>
      </c>
      <c r="M322" s="23" t="n"/>
      <c r="N322" s="25">
        <f>IF(AND(IF($H330&lt;&gt;"",$H330,$H322)="override",$M322&lt;&gt;""),$M322,SUMIFS(Assumptions!$P$4:$P$103,Assumptions!$M$4:$M$103,$C322,Assumptions!$N$4:$N$103,$E322,Assumptions!$O$4:$O$103,"HVN"))</f>
        <v/>
      </c>
      <c r="O322" s="25">
        <f>(L322+N322)*Assumptions!$S$11</f>
        <v/>
      </c>
      <c r="P322" s="26">
        <f>$F322*$J322*$O322</f>
        <v/>
      </c>
    </row>
    <row r="323">
      <c r="A323" s="11" t="inlineStr">
        <is>
          <t>UNIT</t>
        </is>
      </c>
      <c r="B323" s="18" t="inlineStr">
        <is>
          <t>MOTIVA_PAR</t>
        </is>
      </c>
      <c r="C323" s="18" t="n">
        <v>3</v>
      </c>
      <c r="D323" s="18" t="inlineStr">
        <is>
          <t>FCC</t>
        </is>
      </c>
      <c r="E323" s="18" t="inlineStr">
        <is>
          <t>FCC</t>
        </is>
      </c>
      <c r="F323" s="19" t="n">
        <v>92.59999999999999</v>
      </c>
      <c r="G323" s="21">
        <f>IFERROR(IF(INDEX(Effective!$E$3:$R$125,MATCH($B323,Effective!$A$3:$A$125,0),MATCH($D323,Effective!$E$2:$R$2,0))=0,"",INDEX(Effective!$E$3:$R$125,MATCH($B323,Effective!$A$3:$A$125,0),MATCH($D323,Effective!$E$2:$R$2,0))),"")</f>
        <v/>
      </c>
      <c r="H323" s="22" t="inlineStr">
        <is>
          <t>override</t>
        </is>
      </c>
      <c r="I323" s="23" t="n">
        <v>0.746</v>
      </c>
      <c r="J323" s="24">
        <f>IF(AND(IF($H330&lt;&gt;"",$H330,$H323)="override",$I323&lt;&gt;""),$I323,SUMIFS(Assumptions!$K$4:$K$8,Assumptions!$J$4:$J$8,$C323))*Assumptions!$S$10</f>
        <v/>
      </c>
      <c r="K323" s="23" t="n"/>
      <c r="L323" s="25">
        <f>IF(AND(IF($H330&lt;&gt;"",$H330,$H323)="override",$K323&lt;&gt;""),$K323,SUMIFS(Assumptions!$P$4:$P$103,Assumptions!$M$4:$M$103,$C323,Assumptions!$N$4:$N$103,$E323,Assumptions!$O$4:$O$103,"LVN"))</f>
        <v/>
      </c>
      <c r="M323" s="23" t="n"/>
      <c r="N323" s="25">
        <f>IF(AND(IF($H330&lt;&gt;"",$H330,$H323)="override",$M323&lt;&gt;""),$M323,SUMIFS(Assumptions!$P$4:$P$103,Assumptions!$M$4:$M$103,$C323,Assumptions!$N$4:$N$103,$E323,Assumptions!$O$4:$O$103,"HVN"))</f>
        <v/>
      </c>
      <c r="O323" s="25">
        <f>(L323+N323)*Assumptions!$S$11</f>
        <v/>
      </c>
      <c r="P323" s="26">
        <f>$F323*$J323*$O323</f>
        <v/>
      </c>
    </row>
    <row r="324">
      <c r="A324" s="11" t="inlineStr">
        <is>
          <t>UNIT</t>
        </is>
      </c>
      <c r="B324" s="18" t="inlineStr">
        <is>
          <t>MOTIVA_PAR</t>
        </is>
      </c>
      <c r="C324" s="18" t="n">
        <v>3</v>
      </c>
      <c r="D324" s="18" t="inlineStr">
        <is>
          <t>DHCU</t>
        </is>
      </c>
      <c r="E324" s="18" t="inlineStr">
        <is>
          <t>HYDROCRACKER</t>
        </is>
      </c>
      <c r="F324" s="19" t="n">
        <v>112</v>
      </c>
      <c r="G324" s="21">
        <f>IFERROR(IF(INDEX(Effective!$E$3:$R$125,MATCH($B324,Effective!$A$3:$A$125,0),MATCH($D324,Effective!$E$2:$R$2,0))=0,"",INDEX(Effective!$E$3:$R$125,MATCH($B324,Effective!$A$3:$A$125,0),MATCH($D324,Effective!$E$2:$R$2,0))),"")</f>
        <v/>
      </c>
      <c r="H324" s="22" t="inlineStr">
        <is>
          <t>override</t>
        </is>
      </c>
      <c r="I324" s="23" t="n">
        <v>0.766</v>
      </c>
      <c r="J324" s="24">
        <f>IF(AND(IF($H330&lt;&gt;"",$H330,$H324)="override",$I324&lt;&gt;""),$I324,SUMIFS(Assumptions!$K$4:$K$8,Assumptions!$J$4:$J$8,$C324))*Assumptions!$S$10</f>
        <v/>
      </c>
      <c r="K324" s="23" t="n"/>
      <c r="L324" s="25">
        <f>IF(AND(IF($H330&lt;&gt;"",$H330,$H324)="override",$K324&lt;&gt;""),$K324,SUMIFS(Assumptions!$P$4:$P$103,Assumptions!$M$4:$M$103,$C324,Assumptions!$N$4:$N$103,$E324,Assumptions!$O$4:$O$103,"LVN"))</f>
        <v/>
      </c>
      <c r="M324" s="23" t="n"/>
      <c r="N324" s="25">
        <f>IF(AND(IF($H330&lt;&gt;"",$H330,$H324)="override",$M324&lt;&gt;""),$M324,SUMIFS(Assumptions!$P$4:$P$103,Assumptions!$M$4:$M$103,$C324,Assumptions!$N$4:$N$103,$E324,Assumptions!$O$4:$O$103,"HVN"))</f>
        <v/>
      </c>
      <c r="O324" s="25">
        <f>(L324+N324)*Assumptions!$S$11</f>
        <v/>
      </c>
      <c r="P324" s="26">
        <f>$F324*$J324*$O324</f>
        <v/>
      </c>
    </row>
    <row r="325">
      <c r="A325" s="11" t="inlineStr">
        <is>
          <t>UNIT</t>
        </is>
      </c>
      <c r="B325" s="18" t="inlineStr">
        <is>
          <t>MOTIVA_PAR</t>
        </is>
      </c>
      <c r="C325" s="18" t="n">
        <v>3</v>
      </c>
      <c r="D325" s="18" t="inlineStr">
        <is>
          <t>COKER</t>
        </is>
      </c>
      <c r="E325" s="18" t="inlineStr">
        <is>
          <t>COKER</t>
        </is>
      </c>
      <c r="F325" s="19" t="n">
        <v>178</v>
      </c>
      <c r="G325" s="21">
        <f>IFERROR(IF(INDEX(Effective!$E$3:$R$125,MATCH($B325,Effective!$A$3:$A$125,0),MATCH($D325,Effective!$E$2:$R$2,0))=0,"",INDEX(Effective!$E$3:$R$125,MATCH($B325,Effective!$A$3:$A$125,0),MATCH($D325,Effective!$E$2:$R$2,0))),"")</f>
        <v/>
      </c>
      <c r="H325" s="22" t="inlineStr">
        <is>
          <t>override</t>
        </is>
      </c>
      <c r="I325" s="23" t="n">
        <v>0.613</v>
      </c>
      <c r="J325" s="24">
        <f>IF(AND(IF($H330&lt;&gt;"",$H330,$H325)="override",$I325&lt;&gt;""),$I325,SUMIFS(Assumptions!$K$4:$K$8,Assumptions!$J$4:$J$8,$C325))*Assumptions!$S$10</f>
        <v/>
      </c>
      <c r="K325" s="23" t="n"/>
      <c r="L325" s="25">
        <f>IF(AND(IF($H330&lt;&gt;"",$H330,$H325)="override",$K325&lt;&gt;""),$K325,SUMIFS(Assumptions!$P$4:$P$103,Assumptions!$M$4:$M$103,$C325,Assumptions!$N$4:$N$103,$E325,Assumptions!$O$4:$O$103,"LVN"))</f>
        <v/>
      </c>
      <c r="M325" s="23" t="n"/>
      <c r="N325" s="25">
        <f>IF(AND(IF($H330&lt;&gt;"",$H330,$H325)="override",$M325&lt;&gt;""),$M325,SUMIFS(Assumptions!$P$4:$P$103,Assumptions!$M$4:$M$103,$C325,Assumptions!$N$4:$N$103,$E325,Assumptions!$O$4:$O$103,"HVN"))</f>
        <v/>
      </c>
      <c r="O325" s="25">
        <f>(L325+N325)*Assumptions!$S$11</f>
        <v/>
      </c>
      <c r="P325" s="26">
        <f>$F325*$J325*$O325</f>
        <v/>
      </c>
    </row>
    <row r="326">
      <c r="A326" s="11" t="inlineStr">
        <is>
          <t>UNIT</t>
        </is>
      </c>
      <c r="B326" s="18" t="inlineStr">
        <is>
          <t>MOTIVA_PAR</t>
        </is>
      </c>
      <c r="C326" s="18" t="n">
        <v>3</v>
      </c>
      <c r="D326" s="18" t="inlineStr">
        <is>
          <t>CCR</t>
        </is>
      </c>
      <c r="E326" s="18" t="inlineStr">
        <is>
          <t>REFORMER</t>
        </is>
      </c>
      <c r="F326" s="19" t="n">
        <v>129.5</v>
      </c>
      <c r="G326" s="21">
        <f>IFERROR(IF(INDEX(Effective!$E$3:$R$125,MATCH($B326,Effective!$A$3:$A$125,0),MATCH($D326,Effective!$E$2:$R$2,0))=0,"",INDEX(Effective!$E$3:$R$125,MATCH($B326,Effective!$A$3:$A$125,0),MATCH($D326,Effective!$E$2:$R$2,0))),"")</f>
        <v/>
      </c>
      <c r="H326" s="22" t="inlineStr">
        <is>
          <t>override</t>
        </is>
      </c>
      <c r="I326" s="23" t="n">
        <v>0.971</v>
      </c>
      <c r="J326" s="24">
        <f>IF(AND(IF($H330&lt;&gt;"",$H330,$H326)="override",$I326&lt;&gt;""),$I326,SUMIFS(Assumptions!$K$4:$K$8,Assumptions!$J$4:$J$8,$C326))*Assumptions!$S$10</f>
        <v/>
      </c>
      <c r="K326" s="23" t="n"/>
      <c r="L326" s="25">
        <f>IF(AND(IF($H330&lt;&gt;"",$H330,$H326)="override",$K326&lt;&gt;""),$K326,SUMIFS(Assumptions!$P$4:$P$103,Assumptions!$M$4:$M$103,$C326,Assumptions!$N$4:$N$103,$E326,Assumptions!$O$4:$O$103,"LVN"))</f>
        <v/>
      </c>
      <c r="M326" s="23" t="n"/>
      <c r="N326" s="25">
        <f>IF(AND(IF($H330&lt;&gt;"",$H330,$H326)="override",$M326&lt;&gt;""),$M326,SUMIFS(Assumptions!$P$4:$P$103,Assumptions!$M$4:$M$103,$C326,Assumptions!$N$4:$N$103,$E326,Assumptions!$O$4:$O$103,"HVN"))</f>
        <v/>
      </c>
      <c r="O326" s="25">
        <f>(L326+N326)*Assumptions!$S$11</f>
        <v/>
      </c>
      <c r="P326" s="26">
        <f>$F326*$J326*$O326</f>
        <v/>
      </c>
    </row>
    <row r="327">
      <c r="A327" s="11" t="inlineStr">
        <is>
          <t>UNIT</t>
        </is>
      </c>
      <c r="B327" s="18" t="inlineStr">
        <is>
          <t>MOTIVA_PAR</t>
        </is>
      </c>
      <c r="C327" s="18" t="n">
        <v>3</v>
      </c>
      <c r="D327" s="18" t="inlineStr">
        <is>
          <t>ISOM</t>
        </is>
      </c>
      <c r="E327" s="18" t="inlineStr">
        <is>
          <t>ISOM</t>
        </is>
      </c>
      <c r="F327" s="19" t="n">
        <v>49.14</v>
      </c>
      <c r="G327" s="21">
        <f>IFERROR(IF(INDEX(Effective!$E$3:$R$125,MATCH($B327,Effective!$A$3:$A$125,0),MATCH($D327,Effective!$E$2:$R$2,0))=0,"",INDEX(Effective!$E$3:$R$125,MATCH($B327,Effective!$A$3:$A$125,0),MATCH($D327,Effective!$E$2:$R$2,0))),"")</f>
        <v/>
      </c>
      <c r="H327" s="22" t="inlineStr">
        <is>
          <t>override</t>
        </is>
      </c>
      <c r="I327" s="23" t="n">
        <v>0.859</v>
      </c>
      <c r="J327" s="24">
        <f>IF(AND(IF($H330&lt;&gt;"",$H330,$H327)="override",$I327&lt;&gt;""),$I327,SUMIFS(Assumptions!$K$4:$K$8,Assumptions!$J$4:$J$8,$C327))*Assumptions!$S$10</f>
        <v/>
      </c>
      <c r="K327" s="23" t="n"/>
      <c r="L327" s="25">
        <f>IF(AND(IF($H330&lt;&gt;"",$H330,$H327)="override",$K327&lt;&gt;""),$K327,SUMIFS(Assumptions!$P$4:$P$103,Assumptions!$M$4:$M$103,$C327,Assumptions!$N$4:$N$103,$E327,Assumptions!$O$4:$O$103,"LVN"))</f>
        <v/>
      </c>
      <c r="M327" s="23" t="n"/>
      <c r="N327" s="25">
        <f>IF(AND(IF($H330&lt;&gt;"",$H330,$H327)="override",$M327&lt;&gt;""),$M327,SUMIFS(Assumptions!$P$4:$P$103,Assumptions!$M$4:$M$103,$C327,Assumptions!$N$4:$N$103,$E327,Assumptions!$O$4:$O$103,"HVN"))</f>
        <v/>
      </c>
      <c r="O327" s="25">
        <f>(L327+N327)*Assumptions!$S$11</f>
        <v/>
      </c>
      <c r="P327" s="26">
        <f>$F327*$J327*$O327</f>
        <v/>
      </c>
    </row>
    <row r="328">
      <c r="A328" s="11" t="inlineStr">
        <is>
          <t>UNIT</t>
        </is>
      </c>
      <c r="B328" s="18" t="inlineStr">
        <is>
          <t>MOTIVA_PAR</t>
        </is>
      </c>
      <c r="C328" s="18" t="n">
        <v>3</v>
      </c>
      <c r="D328" s="18" t="inlineStr">
        <is>
          <t>ALKY</t>
        </is>
      </c>
      <c r="E328" s="18" t="inlineStr">
        <is>
          <t>ALKY</t>
        </is>
      </c>
      <c r="F328" s="19" t="n">
        <v>20.5</v>
      </c>
      <c r="G328" s="21">
        <f>IFERROR(IF(INDEX(Effective!$E$3:$R$125,MATCH($B328,Effective!$A$3:$A$125,0),MATCH($D328,Effective!$E$2:$R$2,0))=0,"",INDEX(Effective!$E$3:$R$125,MATCH($B328,Effective!$A$3:$A$125,0),MATCH($D328,Effective!$E$2:$R$2,0))),"")</f>
        <v/>
      </c>
      <c r="H328" s="22" t="inlineStr">
        <is>
          <t>override</t>
        </is>
      </c>
      <c r="I328" s="23" t="n">
        <v>1.001</v>
      </c>
      <c r="J328" s="24">
        <f>IF(AND(IF($H330&lt;&gt;"",$H330,$H328)="override",$I328&lt;&gt;""),$I328,SUMIFS(Assumptions!$K$4:$K$8,Assumptions!$J$4:$J$8,$C328))*Assumptions!$S$10</f>
        <v/>
      </c>
      <c r="K328" s="23" t="n"/>
      <c r="L328" s="25">
        <f>IF(AND(IF($H330&lt;&gt;"",$H330,$H328)="override",$K328&lt;&gt;""),$K328,SUMIFS(Assumptions!$P$4:$P$103,Assumptions!$M$4:$M$103,$C328,Assumptions!$N$4:$N$103,$E328,Assumptions!$O$4:$O$103,"LVN"))</f>
        <v/>
      </c>
      <c r="M328" s="23" t="n"/>
      <c r="N328" s="25">
        <f>IF(AND(IF($H330&lt;&gt;"",$H330,$H328)="override",$M328&lt;&gt;""),$M328,SUMIFS(Assumptions!$P$4:$P$103,Assumptions!$M$4:$M$103,$C328,Assumptions!$N$4:$N$103,$E328,Assumptions!$O$4:$O$103,"HVN"))</f>
        <v/>
      </c>
      <c r="O328" s="25">
        <f>(L328+N328)*Assumptions!$S$11</f>
        <v/>
      </c>
      <c r="P328" s="26">
        <f>$F328*$J328*$O328</f>
        <v/>
      </c>
    </row>
    <row r="329">
      <c r="A329" s="11" t="inlineStr">
        <is>
          <t>UNIT</t>
        </is>
      </c>
      <c r="B329" s="18" t="inlineStr">
        <is>
          <t>MOTIVA_PAR</t>
        </is>
      </c>
      <c r="C329" s="18" t="n">
        <v>3</v>
      </c>
      <c r="D329" s="18" t="inlineStr">
        <is>
          <t>NHT</t>
        </is>
      </c>
      <c r="E329" s="18" t="inlineStr">
        <is>
          <t>NHT</t>
        </is>
      </c>
      <c r="F329" s="19" t="n">
        <v>165.4</v>
      </c>
      <c r="G329" s="21">
        <f>IFERROR(IF(INDEX(Effective!$E$3:$R$125,MATCH($B329,Effective!$A$3:$A$125,0),MATCH($D329,Effective!$E$2:$R$2,0))=0,"",INDEX(Effective!$E$3:$R$125,MATCH($B329,Effective!$A$3:$A$125,0),MATCH($D329,Effective!$E$2:$R$2,0))),"")</f>
        <v/>
      </c>
      <c r="H329" s="22" t="inlineStr">
        <is>
          <t>override</t>
        </is>
      </c>
      <c r="I329" s="23" t="n">
        <v>0.9409999999999999</v>
      </c>
      <c r="J329" s="24">
        <f>IF(AND(IF($H330&lt;&gt;"",$H330,$H329)="override",$I329&lt;&gt;""),$I329,SUMIFS(Assumptions!$K$4:$K$8,Assumptions!$J$4:$J$8,$C329))*Assumptions!$S$10</f>
        <v/>
      </c>
      <c r="K329" s="23" t="n"/>
      <c r="L329" s="25">
        <f>IF(AND(IF($H330&lt;&gt;"",$H330,$H329)="override",$K329&lt;&gt;""),$K329,SUMIFS(Assumptions!$P$4:$P$103,Assumptions!$M$4:$M$103,$C329,Assumptions!$N$4:$N$103,$E329,Assumptions!$O$4:$O$103,"LVN"))</f>
        <v/>
      </c>
      <c r="M329" s="23" t="n"/>
      <c r="N329" s="25">
        <f>IF(AND(IF($H330&lt;&gt;"",$H330,$H329)="override",$M329&lt;&gt;""),$M329,SUMIFS(Assumptions!$P$4:$P$103,Assumptions!$M$4:$M$103,$C329,Assumptions!$N$4:$N$103,$E329,Assumptions!$O$4:$O$103,"HVN"))</f>
        <v/>
      </c>
      <c r="O329" s="25">
        <f>(L329+N329)*Assumptions!$S$11</f>
        <v/>
      </c>
      <c r="P329" s="26">
        <f>$F329*$J329*$O329</f>
        <v/>
      </c>
    </row>
    <row r="330">
      <c r="A330" s="27" t="inlineStr">
        <is>
          <t>TOTAL</t>
        </is>
      </c>
      <c r="B330" s="28" t="inlineStr">
        <is>
          <t>MOTIVA_PAR</t>
        </is>
      </c>
      <c r="C330" s="28" t="n">
        <v>3</v>
      </c>
      <c r="D330" s="28" t="inlineStr">
        <is>
          <t>NET NAPHTHA</t>
        </is>
      </c>
      <c r="H330" s="22" t="n"/>
      <c r="P330" s="29">
        <f>SUM(P321:P329)</f>
        <v/>
      </c>
    </row>
    <row r="332" ht="20" customHeight="1">
      <c r="A332" s="8">
        <f>"  ExxonMobil Beaumont  [EXXONMOBIL_BEAUMONT]   —   ExxonMobil   —   PADD 3   —   crude "&amp;TEXT(SUMIFS(Data!$G$3:$G$125,Data!$A$3:$A$125,"EXXONMOBIL_BEAUMONT"),"#,##0")&amp;" kbd"</f>
        <v/>
      </c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</row>
    <row r="333">
      <c r="A333" s="11" t="inlineStr">
        <is>
          <t>UNIT</t>
        </is>
      </c>
      <c r="B333" s="18" t="inlineStr">
        <is>
          <t>EXXONMOBIL_BEAUMONT</t>
        </is>
      </c>
      <c r="C333" s="18" t="n">
        <v>3</v>
      </c>
      <c r="D333" s="18" t="inlineStr">
        <is>
          <t>CDU</t>
        </is>
      </c>
      <c r="E333" s="18" t="inlineStr">
        <is>
          <t>CDU</t>
        </is>
      </c>
      <c r="F333" s="19" t="n">
        <v>634.4</v>
      </c>
      <c r="G333" s="21">
        <f>IFERROR(IF(INDEX(Effective!$E$3:$R$125,MATCH($B333,Effective!$A$3:$A$125,0),MATCH($D333,Effective!$E$2:$R$2,0))=0,"",INDEX(Effective!$E$3:$R$125,MATCH($B333,Effective!$A$3:$A$125,0),MATCH($D333,Effective!$E$2:$R$2,0))),"")</f>
        <v/>
      </c>
      <c r="H333" s="22" t="inlineStr">
        <is>
          <t>override</t>
        </is>
      </c>
      <c r="I333" s="23" t="n">
        <v>1.1</v>
      </c>
      <c r="J333" s="24">
        <f>IF(AND(IF($H342&lt;&gt;"",$H342,$H333)="override",$I333&lt;&gt;""),$I333,SUMIFS(Assumptions!$K$4:$K$8,Assumptions!$J$4:$J$8,$C333))*Assumptions!$S$10</f>
        <v/>
      </c>
      <c r="K333" s="23" t="n"/>
      <c r="L333" s="25">
        <f>IF(AND(IF($H342&lt;&gt;"",$H342,$H333)="override",$K333&lt;&gt;""),$K333,SUMIFS(Assumptions!$P$4:$P$103,Assumptions!$M$4:$M$103,$C333,Assumptions!$N$4:$N$103,$E333,Assumptions!$O$4:$O$103,"LVN"))</f>
        <v/>
      </c>
      <c r="M333" s="23" t="n"/>
      <c r="N333" s="25">
        <f>IF(AND(IF($H342&lt;&gt;"",$H342,$H333)="override",$M333&lt;&gt;""),$M333,SUMIFS(Assumptions!$P$4:$P$103,Assumptions!$M$4:$M$103,$C333,Assumptions!$N$4:$N$103,$E333,Assumptions!$O$4:$O$103,"HVN"))</f>
        <v/>
      </c>
      <c r="O333" s="25">
        <f>(L333+N333)*Assumptions!$S$11</f>
        <v/>
      </c>
      <c r="P333" s="26">
        <f>$F333*$J333*$O333</f>
        <v/>
      </c>
    </row>
    <row r="334">
      <c r="A334" s="11" t="inlineStr">
        <is>
          <t>UNIT</t>
        </is>
      </c>
      <c r="B334" s="18" t="inlineStr">
        <is>
          <t>EXXONMOBIL_BEAUMONT</t>
        </is>
      </c>
      <c r="C334" s="18" t="n">
        <v>3</v>
      </c>
      <c r="D334" s="18" t="inlineStr">
        <is>
          <t>VDU</t>
        </is>
      </c>
      <c r="E334" s="18" t="inlineStr">
        <is>
          <t>VDU</t>
        </is>
      </c>
      <c r="F334" s="19" t="n">
        <v>148.8</v>
      </c>
      <c r="G334" s="21">
        <f>IFERROR(IF(INDEX(Effective!$E$3:$R$125,MATCH($B334,Effective!$A$3:$A$125,0),MATCH($D334,Effective!$E$2:$R$2,0))=0,"",INDEX(Effective!$E$3:$R$125,MATCH($B334,Effective!$A$3:$A$125,0),MATCH($D334,Effective!$E$2:$R$2,0))),"")</f>
        <v/>
      </c>
      <c r="H334" s="22" t="inlineStr">
        <is>
          <t>override</t>
        </is>
      </c>
      <c r="I334" s="23" t="n">
        <v>0.922</v>
      </c>
      <c r="J334" s="24">
        <f>IF(AND(IF($H342&lt;&gt;"",$H342,$H334)="override",$I334&lt;&gt;""),$I334,SUMIFS(Assumptions!$K$4:$K$8,Assumptions!$J$4:$J$8,$C334))*Assumptions!$S$10</f>
        <v/>
      </c>
      <c r="K334" s="23" t="n"/>
      <c r="L334" s="25">
        <f>IF(AND(IF($H342&lt;&gt;"",$H342,$H334)="override",$K334&lt;&gt;""),$K334,SUMIFS(Assumptions!$P$4:$P$103,Assumptions!$M$4:$M$103,$C334,Assumptions!$N$4:$N$103,$E334,Assumptions!$O$4:$O$103,"LVN"))</f>
        <v/>
      </c>
      <c r="M334" s="23" t="n"/>
      <c r="N334" s="25">
        <f>IF(AND(IF($H342&lt;&gt;"",$H342,$H334)="override",$M334&lt;&gt;""),$M334,SUMIFS(Assumptions!$P$4:$P$103,Assumptions!$M$4:$M$103,$C334,Assumptions!$N$4:$N$103,$E334,Assumptions!$O$4:$O$103,"HVN"))</f>
        <v/>
      </c>
      <c r="O334" s="25">
        <f>(L334+N334)*Assumptions!$S$11</f>
        <v/>
      </c>
      <c r="P334" s="26">
        <f>$F334*$J334*$O334</f>
        <v/>
      </c>
    </row>
    <row r="335">
      <c r="A335" s="11" t="inlineStr">
        <is>
          <t>UNIT</t>
        </is>
      </c>
      <c r="B335" s="18" t="inlineStr">
        <is>
          <t>EXXONMOBIL_BEAUMONT</t>
        </is>
      </c>
      <c r="C335" s="18" t="n">
        <v>3</v>
      </c>
      <c r="D335" s="18" t="inlineStr">
        <is>
          <t>FCC</t>
        </is>
      </c>
      <c r="E335" s="18" t="inlineStr">
        <is>
          <t>FCC</t>
        </is>
      </c>
      <c r="F335" s="19" t="n">
        <v>115</v>
      </c>
      <c r="G335" s="21">
        <f>IFERROR(IF(INDEX(Effective!$E$3:$R$125,MATCH($B335,Effective!$A$3:$A$125,0),MATCH($D335,Effective!$E$2:$R$2,0))=0,"",INDEX(Effective!$E$3:$R$125,MATCH($B335,Effective!$A$3:$A$125,0),MATCH($D335,Effective!$E$2:$R$2,0))),"")</f>
        <v/>
      </c>
      <c r="H335" s="22" t="inlineStr">
        <is>
          <t>override</t>
        </is>
      </c>
      <c r="I335" s="23" t="n"/>
      <c r="J335" s="24">
        <f>IF(AND(IF($H342&lt;&gt;"",$H342,$H335)="override",$I335&lt;&gt;""),$I335,SUMIFS(Assumptions!$K$4:$K$8,Assumptions!$J$4:$J$8,$C335))*Assumptions!$S$10</f>
        <v/>
      </c>
      <c r="K335" s="23" t="n"/>
      <c r="L335" s="25">
        <f>IF(AND(IF($H342&lt;&gt;"",$H342,$H335)="override",$K335&lt;&gt;""),$K335,SUMIFS(Assumptions!$P$4:$P$103,Assumptions!$M$4:$M$103,$C335,Assumptions!$N$4:$N$103,$E335,Assumptions!$O$4:$O$103,"LVN"))</f>
        <v/>
      </c>
      <c r="M335" s="23" t="n"/>
      <c r="N335" s="25">
        <f>IF(AND(IF($H342&lt;&gt;"",$H342,$H335)="override",$M335&lt;&gt;""),$M335,SUMIFS(Assumptions!$P$4:$P$103,Assumptions!$M$4:$M$103,$C335,Assumptions!$N$4:$N$103,$E335,Assumptions!$O$4:$O$103,"HVN"))</f>
        <v/>
      </c>
      <c r="O335" s="25">
        <f>(L335+N335)*Assumptions!$S$11</f>
        <v/>
      </c>
      <c r="P335" s="26">
        <f>$F335*$J335*$O335</f>
        <v/>
      </c>
    </row>
    <row r="336">
      <c r="A336" s="11" t="inlineStr">
        <is>
          <t>UNIT</t>
        </is>
      </c>
      <c r="B336" s="18" t="inlineStr">
        <is>
          <t>EXXONMOBIL_BEAUMONT</t>
        </is>
      </c>
      <c r="C336" s="18" t="n">
        <v>3</v>
      </c>
      <c r="D336" s="18" t="inlineStr">
        <is>
          <t>DHCU</t>
        </is>
      </c>
      <c r="E336" s="18" t="inlineStr">
        <is>
          <t>HYDROCRACKER</t>
        </is>
      </c>
      <c r="F336" s="19" t="n">
        <v>70</v>
      </c>
      <c r="G336" s="21">
        <f>IFERROR(IF(INDEX(Effective!$E$3:$R$125,MATCH($B336,Effective!$A$3:$A$125,0),MATCH($D336,Effective!$E$2:$R$2,0))=0,"",INDEX(Effective!$E$3:$R$125,MATCH($B336,Effective!$A$3:$A$125,0),MATCH($D336,Effective!$E$2:$R$2,0))),"")</f>
        <v/>
      </c>
      <c r="H336" s="22" t="inlineStr">
        <is>
          <t>override</t>
        </is>
      </c>
      <c r="I336" s="23" t="n">
        <v>0.957</v>
      </c>
      <c r="J336" s="24">
        <f>IF(AND(IF($H342&lt;&gt;"",$H342,$H336)="override",$I336&lt;&gt;""),$I336,SUMIFS(Assumptions!$K$4:$K$8,Assumptions!$J$4:$J$8,$C336))*Assumptions!$S$10</f>
        <v/>
      </c>
      <c r="K336" s="23" t="n"/>
      <c r="L336" s="25">
        <f>IF(AND(IF($H342&lt;&gt;"",$H342,$H336)="override",$K336&lt;&gt;""),$K336,SUMIFS(Assumptions!$P$4:$P$103,Assumptions!$M$4:$M$103,$C336,Assumptions!$N$4:$N$103,$E336,Assumptions!$O$4:$O$103,"LVN"))</f>
        <v/>
      </c>
      <c r="M336" s="23" t="n"/>
      <c r="N336" s="25">
        <f>IF(AND(IF($H342&lt;&gt;"",$H342,$H336)="override",$M336&lt;&gt;""),$M336,SUMIFS(Assumptions!$P$4:$P$103,Assumptions!$M$4:$M$103,$C336,Assumptions!$N$4:$N$103,$E336,Assumptions!$O$4:$O$103,"HVN"))</f>
        <v/>
      </c>
      <c r="O336" s="25">
        <f>(L336+N336)*Assumptions!$S$11</f>
        <v/>
      </c>
      <c r="P336" s="26">
        <f>$F336*$J336*$O336</f>
        <v/>
      </c>
    </row>
    <row r="337">
      <c r="A337" s="11" t="inlineStr">
        <is>
          <t>UNIT</t>
        </is>
      </c>
      <c r="B337" s="18" t="inlineStr">
        <is>
          <t>EXXONMOBIL_BEAUMONT</t>
        </is>
      </c>
      <c r="C337" s="18" t="n">
        <v>3</v>
      </c>
      <c r="D337" s="18" t="inlineStr">
        <is>
          <t>COKER</t>
        </is>
      </c>
      <c r="E337" s="18" t="inlineStr">
        <is>
          <t>COKER</t>
        </is>
      </c>
      <c r="F337" s="19" t="n">
        <v>46.5</v>
      </c>
      <c r="G337" s="21">
        <f>IFERROR(IF(INDEX(Effective!$E$3:$R$125,MATCH($B337,Effective!$A$3:$A$125,0),MATCH($D337,Effective!$E$2:$R$2,0))=0,"",INDEX(Effective!$E$3:$R$125,MATCH($B337,Effective!$A$3:$A$125,0),MATCH($D337,Effective!$E$2:$R$2,0))),"")</f>
        <v/>
      </c>
      <c r="H337" s="22" t="inlineStr">
        <is>
          <t>override</t>
        </is>
      </c>
      <c r="I337" s="23" t="n">
        <v>0.981</v>
      </c>
      <c r="J337" s="24">
        <f>IF(AND(IF($H342&lt;&gt;"",$H342,$H337)="override",$I337&lt;&gt;""),$I337,SUMIFS(Assumptions!$K$4:$K$8,Assumptions!$J$4:$J$8,$C337))*Assumptions!$S$10</f>
        <v/>
      </c>
      <c r="K337" s="23" t="n"/>
      <c r="L337" s="25">
        <f>IF(AND(IF($H342&lt;&gt;"",$H342,$H337)="override",$K337&lt;&gt;""),$K337,SUMIFS(Assumptions!$P$4:$P$103,Assumptions!$M$4:$M$103,$C337,Assumptions!$N$4:$N$103,$E337,Assumptions!$O$4:$O$103,"LVN"))</f>
        <v/>
      </c>
      <c r="M337" s="23" t="n"/>
      <c r="N337" s="25">
        <f>IF(AND(IF($H342&lt;&gt;"",$H342,$H337)="override",$M337&lt;&gt;""),$M337,SUMIFS(Assumptions!$P$4:$P$103,Assumptions!$M$4:$M$103,$C337,Assumptions!$N$4:$N$103,$E337,Assumptions!$O$4:$O$103,"HVN"))</f>
        <v/>
      </c>
      <c r="O337" s="25">
        <f>(L337+N337)*Assumptions!$S$11</f>
        <v/>
      </c>
      <c r="P337" s="26">
        <f>$F337*$J337*$O337</f>
        <v/>
      </c>
    </row>
    <row r="338">
      <c r="A338" s="11" t="inlineStr">
        <is>
          <t>UNIT</t>
        </is>
      </c>
      <c r="B338" s="18" t="inlineStr">
        <is>
          <t>EXXONMOBIL_BEAUMONT</t>
        </is>
      </c>
      <c r="C338" s="18" t="n">
        <v>3</v>
      </c>
      <c r="D338" s="18" t="inlineStr">
        <is>
          <t>CCR</t>
        </is>
      </c>
      <c r="E338" s="18" t="inlineStr">
        <is>
          <t>REFORMER</t>
        </is>
      </c>
      <c r="F338" s="19" t="n">
        <v>143.5</v>
      </c>
      <c r="G338" s="21">
        <f>IFERROR(IF(INDEX(Effective!$E$3:$R$125,MATCH($B338,Effective!$A$3:$A$125,0),MATCH($D338,Effective!$E$2:$R$2,0))=0,"",INDEX(Effective!$E$3:$R$125,MATCH($B338,Effective!$A$3:$A$125,0),MATCH($D338,Effective!$E$2:$R$2,0))),"")</f>
        <v/>
      </c>
      <c r="H338" s="22" t="inlineStr">
        <is>
          <t>override</t>
        </is>
      </c>
      <c r="I338" s="23" t="n">
        <v>0.974</v>
      </c>
      <c r="J338" s="24">
        <f>IF(AND(IF($H342&lt;&gt;"",$H342,$H338)="override",$I338&lt;&gt;""),$I338,SUMIFS(Assumptions!$K$4:$K$8,Assumptions!$J$4:$J$8,$C338))*Assumptions!$S$10</f>
        <v/>
      </c>
      <c r="K338" s="23" t="n"/>
      <c r="L338" s="25">
        <f>IF(AND(IF($H342&lt;&gt;"",$H342,$H338)="override",$K338&lt;&gt;""),$K338,SUMIFS(Assumptions!$P$4:$P$103,Assumptions!$M$4:$M$103,$C338,Assumptions!$N$4:$N$103,$E338,Assumptions!$O$4:$O$103,"LVN"))</f>
        <v/>
      </c>
      <c r="M338" s="23" t="n"/>
      <c r="N338" s="25">
        <f>IF(AND(IF($H342&lt;&gt;"",$H342,$H338)="override",$M338&lt;&gt;""),$M338,SUMIFS(Assumptions!$P$4:$P$103,Assumptions!$M$4:$M$103,$C338,Assumptions!$N$4:$N$103,$E338,Assumptions!$O$4:$O$103,"HVN"))</f>
        <v/>
      </c>
      <c r="O338" s="25">
        <f>(L338+N338)*Assumptions!$S$11</f>
        <v/>
      </c>
      <c r="P338" s="26">
        <f>$F338*$J338*$O338</f>
        <v/>
      </c>
    </row>
    <row r="339">
      <c r="A339" s="11" t="inlineStr">
        <is>
          <t>UNIT</t>
        </is>
      </c>
      <c r="B339" s="18" t="inlineStr">
        <is>
          <t>EXXONMOBIL_BEAUMONT</t>
        </is>
      </c>
      <c r="C339" s="18" t="n">
        <v>3</v>
      </c>
      <c r="D339" s="18" t="inlineStr">
        <is>
          <t>ISOM</t>
        </is>
      </c>
      <c r="E339" s="18" t="inlineStr">
        <is>
          <t>ISOM</t>
        </is>
      </c>
      <c r="F339" s="19" t="n">
        <v>33.8</v>
      </c>
      <c r="G339" s="21">
        <f>IFERROR(IF(INDEX(Effective!$E$3:$R$125,MATCH($B339,Effective!$A$3:$A$125,0),MATCH($D339,Effective!$E$2:$R$2,0))=0,"",INDEX(Effective!$E$3:$R$125,MATCH($B339,Effective!$A$3:$A$125,0),MATCH($D339,Effective!$E$2:$R$2,0))),"")</f>
        <v/>
      </c>
      <c r="H339" s="22" t="inlineStr">
        <is>
          <t>override</t>
        </is>
      </c>
      <c r="I339" s="23" t="n">
        <v>1</v>
      </c>
      <c r="J339" s="24">
        <f>IF(AND(IF($H342&lt;&gt;"",$H342,$H339)="override",$I339&lt;&gt;""),$I339,SUMIFS(Assumptions!$K$4:$K$8,Assumptions!$J$4:$J$8,$C339))*Assumptions!$S$10</f>
        <v/>
      </c>
      <c r="K339" s="23" t="n"/>
      <c r="L339" s="25">
        <f>IF(AND(IF($H342&lt;&gt;"",$H342,$H339)="override",$K339&lt;&gt;""),$K339,SUMIFS(Assumptions!$P$4:$P$103,Assumptions!$M$4:$M$103,$C339,Assumptions!$N$4:$N$103,$E339,Assumptions!$O$4:$O$103,"LVN"))</f>
        <v/>
      </c>
      <c r="M339" s="23" t="n"/>
      <c r="N339" s="25">
        <f>IF(AND(IF($H342&lt;&gt;"",$H342,$H339)="override",$M339&lt;&gt;""),$M339,SUMIFS(Assumptions!$P$4:$P$103,Assumptions!$M$4:$M$103,$C339,Assumptions!$N$4:$N$103,$E339,Assumptions!$O$4:$O$103,"HVN"))</f>
        <v/>
      </c>
      <c r="O339" s="25">
        <f>(L339+N339)*Assumptions!$S$11</f>
        <v/>
      </c>
      <c r="P339" s="26">
        <f>$F339*$J339*$O339</f>
        <v/>
      </c>
    </row>
    <row r="340">
      <c r="A340" s="11" t="inlineStr">
        <is>
          <t>UNIT</t>
        </is>
      </c>
      <c r="B340" s="18" t="inlineStr">
        <is>
          <t>EXXONMOBIL_BEAUMONT</t>
        </is>
      </c>
      <c r="C340" s="18" t="n">
        <v>3</v>
      </c>
      <c r="D340" s="18" t="inlineStr">
        <is>
          <t>ALKY</t>
        </is>
      </c>
      <c r="E340" s="18" t="inlineStr">
        <is>
          <t>ALKY</t>
        </is>
      </c>
      <c r="F340" s="19" t="n">
        <v>14.9</v>
      </c>
      <c r="G340" s="21">
        <f>IFERROR(IF(INDEX(Effective!$E$3:$R$125,MATCH($B340,Effective!$A$3:$A$125,0),MATCH($D340,Effective!$E$2:$R$2,0))=0,"",INDEX(Effective!$E$3:$R$125,MATCH($B340,Effective!$A$3:$A$125,0),MATCH($D340,Effective!$E$2:$R$2,0))),"")</f>
        <v/>
      </c>
      <c r="H340" s="22" t="inlineStr">
        <is>
          <t>override</t>
        </is>
      </c>
      <c r="I340" s="23" t="n">
        <v>1.1</v>
      </c>
      <c r="J340" s="24">
        <f>IF(AND(IF($H342&lt;&gt;"",$H342,$H340)="override",$I340&lt;&gt;""),$I340,SUMIFS(Assumptions!$K$4:$K$8,Assumptions!$J$4:$J$8,$C340))*Assumptions!$S$10</f>
        <v/>
      </c>
      <c r="K340" s="23" t="n"/>
      <c r="L340" s="25">
        <f>IF(AND(IF($H342&lt;&gt;"",$H342,$H340)="override",$K340&lt;&gt;""),$K340,SUMIFS(Assumptions!$P$4:$P$103,Assumptions!$M$4:$M$103,$C340,Assumptions!$N$4:$N$103,$E340,Assumptions!$O$4:$O$103,"LVN"))</f>
        <v/>
      </c>
      <c r="M340" s="23" t="n"/>
      <c r="N340" s="25">
        <f>IF(AND(IF($H342&lt;&gt;"",$H342,$H340)="override",$M340&lt;&gt;""),$M340,SUMIFS(Assumptions!$P$4:$P$103,Assumptions!$M$4:$M$103,$C340,Assumptions!$N$4:$N$103,$E340,Assumptions!$O$4:$O$103,"HVN"))</f>
        <v/>
      </c>
      <c r="O340" s="25">
        <f>(L340+N340)*Assumptions!$S$11</f>
        <v/>
      </c>
      <c r="P340" s="26">
        <f>$F340*$J340*$O340</f>
        <v/>
      </c>
    </row>
    <row r="341">
      <c r="A341" s="11" t="inlineStr">
        <is>
          <t>UNIT</t>
        </is>
      </c>
      <c r="B341" s="18" t="inlineStr">
        <is>
          <t>EXXONMOBIL_BEAUMONT</t>
        </is>
      </c>
      <c r="C341" s="18" t="n">
        <v>3</v>
      </c>
      <c r="D341" s="18" t="inlineStr">
        <is>
          <t>NHT</t>
        </is>
      </c>
      <c r="E341" s="18" t="inlineStr">
        <is>
          <t>NHT</t>
        </is>
      </c>
      <c r="F341" s="19" t="n">
        <v>163.1</v>
      </c>
      <c r="G341" s="21">
        <f>IFERROR(IF(INDEX(Effective!$E$3:$R$125,MATCH($B341,Effective!$A$3:$A$125,0),MATCH($D341,Effective!$E$2:$R$2,0))=0,"",INDEX(Effective!$E$3:$R$125,MATCH($B341,Effective!$A$3:$A$125,0),MATCH($D341,Effective!$E$2:$R$2,0))),"")</f>
        <v/>
      </c>
      <c r="H341" s="22" t="inlineStr">
        <is>
          <t>override</t>
        </is>
      </c>
      <c r="I341" s="23" t="n">
        <v>0.986</v>
      </c>
      <c r="J341" s="24">
        <f>IF(AND(IF($H342&lt;&gt;"",$H342,$H341)="override",$I341&lt;&gt;""),$I341,SUMIFS(Assumptions!$K$4:$K$8,Assumptions!$J$4:$J$8,$C341))*Assumptions!$S$10</f>
        <v/>
      </c>
      <c r="K341" s="23" t="n"/>
      <c r="L341" s="25">
        <f>IF(AND(IF($H342&lt;&gt;"",$H342,$H341)="override",$K341&lt;&gt;""),$K341,SUMIFS(Assumptions!$P$4:$P$103,Assumptions!$M$4:$M$103,$C341,Assumptions!$N$4:$N$103,$E341,Assumptions!$O$4:$O$103,"LVN"))</f>
        <v/>
      </c>
      <c r="M341" s="23" t="n"/>
      <c r="N341" s="25">
        <f>IF(AND(IF($H342&lt;&gt;"",$H342,$H341)="override",$M341&lt;&gt;""),$M341,SUMIFS(Assumptions!$P$4:$P$103,Assumptions!$M$4:$M$103,$C341,Assumptions!$N$4:$N$103,$E341,Assumptions!$O$4:$O$103,"HVN"))</f>
        <v/>
      </c>
      <c r="O341" s="25">
        <f>(L341+N341)*Assumptions!$S$11</f>
        <v/>
      </c>
      <c r="P341" s="26">
        <f>$F341*$J341*$O341</f>
        <v/>
      </c>
    </row>
    <row r="342">
      <c r="A342" s="27" t="inlineStr">
        <is>
          <t>TOTAL</t>
        </is>
      </c>
      <c r="B342" s="28" t="inlineStr">
        <is>
          <t>EXXONMOBIL_BEAUMONT</t>
        </is>
      </c>
      <c r="C342" s="28" t="n">
        <v>3</v>
      </c>
      <c r="D342" s="28" t="inlineStr">
        <is>
          <t>NET NAPHTHA</t>
        </is>
      </c>
      <c r="H342" s="22" t="n"/>
      <c r="P342" s="29">
        <f>SUM(P333:P341)</f>
        <v/>
      </c>
    </row>
    <row r="344" ht="20" customHeight="1">
      <c r="A344" s="8">
        <f>"  Marathon Petroleum Garyville  [MARATHON_GARYVILLE]   —   Marathon Petroleum   —   PADD 3   —   crude "&amp;TEXT(SUMIFS(Data!$G$3:$G$125,Data!$A$3:$A$125,"MARATHON_GARYVILLE"),"#,##0")&amp;" kbd"</f>
        <v/>
      </c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</row>
    <row r="345">
      <c r="A345" s="11" t="inlineStr">
        <is>
          <t>UNIT</t>
        </is>
      </c>
      <c r="B345" s="18" t="inlineStr">
        <is>
          <t>MARATHON_GARYVILLE</t>
        </is>
      </c>
      <c r="C345" s="18" t="n">
        <v>3</v>
      </c>
      <c r="D345" s="18" t="inlineStr">
        <is>
          <t>CDU</t>
        </is>
      </c>
      <c r="E345" s="18" t="inlineStr">
        <is>
          <t>CDU</t>
        </is>
      </c>
      <c r="F345" s="19" t="n">
        <v>608</v>
      </c>
      <c r="G345" s="21">
        <f>IFERROR(IF(INDEX(Effective!$E$3:$R$125,MATCH($B345,Effective!$A$3:$A$125,0),MATCH($D345,Effective!$E$2:$R$2,0))=0,"",INDEX(Effective!$E$3:$R$125,MATCH($B345,Effective!$A$3:$A$125,0),MATCH($D345,Effective!$E$2:$R$2,0))),"")</f>
        <v/>
      </c>
      <c r="H345" s="22" t="inlineStr">
        <is>
          <t>override</t>
        </is>
      </c>
      <c r="I345" s="23" t="n">
        <v>0.9340000000000001</v>
      </c>
      <c r="J345" s="24">
        <f>IF(AND(IF($H354&lt;&gt;"",$H354,$H345)="override",$I345&lt;&gt;""),$I345,SUMIFS(Assumptions!$K$4:$K$8,Assumptions!$J$4:$J$8,$C345))*Assumptions!$S$10</f>
        <v/>
      </c>
      <c r="K345" s="23" t="n"/>
      <c r="L345" s="25">
        <f>IF(AND(IF($H354&lt;&gt;"",$H354,$H345)="override",$K345&lt;&gt;""),$K345,SUMIFS(Assumptions!$P$4:$P$103,Assumptions!$M$4:$M$103,$C345,Assumptions!$N$4:$N$103,$E345,Assumptions!$O$4:$O$103,"LVN"))</f>
        <v/>
      </c>
      <c r="M345" s="23" t="n"/>
      <c r="N345" s="25">
        <f>IF(AND(IF($H354&lt;&gt;"",$H354,$H345)="override",$M345&lt;&gt;""),$M345,SUMIFS(Assumptions!$P$4:$P$103,Assumptions!$M$4:$M$103,$C345,Assumptions!$N$4:$N$103,$E345,Assumptions!$O$4:$O$103,"HVN"))</f>
        <v/>
      </c>
      <c r="O345" s="25">
        <f>(L345+N345)*Assumptions!$S$11</f>
        <v/>
      </c>
      <c r="P345" s="26">
        <f>$F345*$J345*$O345</f>
        <v/>
      </c>
    </row>
    <row r="346">
      <c r="A346" s="11" t="inlineStr">
        <is>
          <t>UNIT</t>
        </is>
      </c>
      <c r="B346" s="18" t="inlineStr">
        <is>
          <t>MARATHON_GARYVILLE</t>
        </is>
      </c>
      <c r="C346" s="18" t="n">
        <v>3</v>
      </c>
      <c r="D346" s="18" t="inlineStr">
        <is>
          <t>VDU</t>
        </is>
      </c>
      <c r="E346" s="18" t="inlineStr">
        <is>
          <t>VDU</t>
        </is>
      </c>
      <c r="F346" s="19" t="n">
        <v>297.5</v>
      </c>
      <c r="G346" s="21">
        <f>IFERROR(IF(INDEX(Effective!$E$3:$R$125,MATCH($B346,Effective!$A$3:$A$125,0),MATCH($D346,Effective!$E$2:$R$2,0))=0,"",INDEX(Effective!$E$3:$R$125,MATCH($B346,Effective!$A$3:$A$125,0),MATCH($D346,Effective!$E$2:$R$2,0))),"")</f>
        <v/>
      </c>
      <c r="H346" s="22" t="inlineStr">
        <is>
          <t>override</t>
        </is>
      </c>
      <c r="I346" s="23" t="n">
        <v>0.703</v>
      </c>
      <c r="J346" s="24">
        <f>IF(AND(IF($H354&lt;&gt;"",$H354,$H346)="override",$I346&lt;&gt;""),$I346,SUMIFS(Assumptions!$K$4:$K$8,Assumptions!$J$4:$J$8,$C346))*Assumptions!$S$10</f>
        <v/>
      </c>
      <c r="K346" s="23" t="n"/>
      <c r="L346" s="25">
        <f>IF(AND(IF($H354&lt;&gt;"",$H354,$H346)="override",$K346&lt;&gt;""),$K346,SUMIFS(Assumptions!$P$4:$P$103,Assumptions!$M$4:$M$103,$C346,Assumptions!$N$4:$N$103,$E346,Assumptions!$O$4:$O$103,"LVN"))</f>
        <v/>
      </c>
      <c r="M346" s="23" t="n"/>
      <c r="N346" s="25">
        <f>IF(AND(IF($H354&lt;&gt;"",$H354,$H346)="override",$M346&lt;&gt;""),$M346,SUMIFS(Assumptions!$P$4:$P$103,Assumptions!$M$4:$M$103,$C346,Assumptions!$N$4:$N$103,$E346,Assumptions!$O$4:$O$103,"HVN"))</f>
        <v/>
      </c>
      <c r="O346" s="25">
        <f>(L346+N346)*Assumptions!$S$11</f>
        <v/>
      </c>
      <c r="P346" s="26">
        <f>$F346*$J346*$O346</f>
        <v/>
      </c>
    </row>
    <row r="347">
      <c r="A347" s="11" t="inlineStr">
        <is>
          <t>UNIT</t>
        </is>
      </c>
      <c r="B347" s="18" t="inlineStr">
        <is>
          <t>MARATHON_GARYVILLE</t>
        </is>
      </c>
      <c r="C347" s="18" t="n">
        <v>3</v>
      </c>
      <c r="D347" s="18" t="inlineStr">
        <is>
          <t>FCC</t>
        </is>
      </c>
      <c r="E347" s="18" t="inlineStr">
        <is>
          <t>FCC</t>
        </is>
      </c>
      <c r="F347" s="19" t="n">
        <v>146</v>
      </c>
      <c r="G347" s="21">
        <f>IFERROR(IF(INDEX(Effective!$E$3:$R$125,MATCH($B347,Effective!$A$3:$A$125,0),MATCH($D347,Effective!$E$2:$R$2,0))=0,"",INDEX(Effective!$E$3:$R$125,MATCH($B347,Effective!$A$3:$A$125,0),MATCH($D347,Effective!$E$2:$R$2,0))),"")</f>
        <v/>
      </c>
      <c r="H347" s="22" t="inlineStr">
        <is>
          <t>override</t>
        </is>
      </c>
      <c r="I347" s="23" t="n">
        <v>0.951</v>
      </c>
      <c r="J347" s="24">
        <f>IF(AND(IF($H354&lt;&gt;"",$H354,$H347)="override",$I347&lt;&gt;""),$I347,SUMIFS(Assumptions!$K$4:$K$8,Assumptions!$J$4:$J$8,$C347))*Assumptions!$S$10</f>
        <v/>
      </c>
      <c r="K347" s="23" t="n"/>
      <c r="L347" s="25">
        <f>IF(AND(IF($H354&lt;&gt;"",$H354,$H347)="override",$K347&lt;&gt;""),$K347,SUMIFS(Assumptions!$P$4:$P$103,Assumptions!$M$4:$M$103,$C347,Assumptions!$N$4:$N$103,$E347,Assumptions!$O$4:$O$103,"LVN"))</f>
        <v/>
      </c>
      <c r="M347" s="23" t="n"/>
      <c r="N347" s="25">
        <f>IF(AND(IF($H354&lt;&gt;"",$H354,$H347)="override",$M347&lt;&gt;""),$M347,SUMIFS(Assumptions!$P$4:$P$103,Assumptions!$M$4:$M$103,$C347,Assumptions!$N$4:$N$103,$E347,Assumptions!$O$4:$O$103,"HVN"))</f>
        <v/>
      </c>
      <c r="O347" s="25">
        <f>(L347+N347)*Assumptions!$S$11</f>
        <v/>
      </c>
      <c r="P347" s="26">
        <f>$F347*$J347*$O347</f>
        <v/>
      </c>
    </row>
    <row r="348">
      <c r="A348" s="11" t="inlineStr">
        <is>
          <t>UNIT</t>
        </is>
      </c>
      <c r="B348" s="18" t="inlineStr">
        <is>
          <t>MARATHON_GARYVILLE</t>
        </is>
      </c>
      <c r="C348" s="18" t="n">
        <v>3</v>
      </c>
      <c r="D348" s="18" t="inlineStr">
        <is>
          <t>DHCU</t>
        </is>
      </c>
      <c r="E348" s="18" t="inlineStr">
        <is>
          <t>HYDROCRACKER</t>
        </is>
      </c>
      <c r="F348" s="19" t="n">
        <v>130</v>
      </c>
      <c r="G348" s="21">
        <f>IFERROR(IF(INDEX(Effective!$E$3:$R$125,MATCH($B348,Effective!$A$3:$A$125,0),MATCH($D348,Effective!$E$2:$R$2,0))=0,"",INDEX(Effective!$E$3:$R$125,MATCH($B348,Effective!$A$3:$A$125,0),MATCH($D348,Effective!$E$2:$R$2,0))),"")</f>
        <v/>
      </c>
      <c r="H348" s="22" t="inlineStr">
        <is>
          <t>override</t>
        </is>
      </c>
      <c r="I348" s="23" t="n">
        <v>0.765</v>
      </c>
      <c r="J348" s="24">
        <f>IF(AND(IF($H354&lt;&gt;"",$H354,$H348)="override",$I348&lt;&gt;""),$I348,SUMIFS(Assumptions!$K$4:$K$8,Assumptions!$J$4:$J$8,$C348))*Assumptions!$S$10</f>
        <v/>
      </c>
      <c r="K348" s="23" t="n"/>
      <c r="L348" s="25">
        <f>IF(AND(IF($H354&lt;&gt;"",$H354,$H348)="override",$K348&lt;&gt;""),$K348,SUMIFS(Assumptions!$P$4:$P$103,Assumptions!$M$4:$M$103,$C348,Assumptions!$N$4:$N$103,$E348,Assumptions!$O$4:$O$103,"LVN"))</f>
        <v/>
      </c>
      <c r="M348" s="23" t="n"/>
      <c r="N348" s="25">
        <f>IF(AND(IF($H354&lt;&gt;"",$H354,$H348)="override",$M348&lt;&gt;""),$M348,SUMIFS(Assumptions!$P$4:$P$103,Assumptions!$M$4:$M$103,$C348,Assumptions!$N$4:$N$103,$E348,Assumptions!$O$4:$O$103,"HVN"))</f>
        <v/>
      </c>
      <c r="O348" s="25">
        <f>(L348+N348)*Assumptions!$S$11</f>
        <v/>
      </c>
      <c r="P348" s="26">
        <f>$F348*$J348*$O348</f>
        <v/>
      </c>
    </row>
    <row r="349">
      <c r="A349" s="11" t="inlineStr">
        <is>
          <t>UNIT</t>
        </is>
      </c>
      <c r="B349" s="18" t="inlineStr">
        <is>
          <t>MARATHON_GARYVILLE</t>
        </is>
      </c>
      <c r="C349" s="18" t="n">
        <v>3</v>
      </c>
      <c r="D349" s="18" t="inlineStr">
        <is>
          <t>COKER</t>
        </is>
      </c>
      <c r="E349" s="18" t="inlineStr">
        <is>
          <t>COKER</t>
        </is>
      </c>
      <c r="F349" s="19" t="n">
        <v>103</v>
      </c>
      <c r="G349" s="21">
        <f>IFERROR(IF(INDEX(Effective!$E$3:$R$125,MATCH($B349,Effective!$A$3:$A$125,0),MATCH($D349,Effective!$E$2:$R$2,0))=0,"",INDEX(Effective!$E$3:$R$125,MATCH($B349,Effective!$A$3:$A$125,0),MATCH($D349,Effective!$E$2:$R$2,0))),"")</f>
        <v/>
      </c>
      <c r="H349" s="22" t="inlineStr">
        <is>
          <t>override</t>
        </is>
      </c>
      <c r="I349" s="23" t="n">
        <v>0.636</v>
      </c>
      <c r="J349" s="24">
        <f>IF(AND(IF($H354&lt;&gt;"",$H354,$H349)="override",$I349&lt;&gt;""),$I349,SUMIFS(Assumptions!$K$4:$K$8,Assumptions!$J$4:$J$8,$C349))*Assumptions!$S$10</f>
        <v/>
      </c>
      <c r="K349" s="23" t="n"/>
      <c r="L349" s="25">
        <f>IF(AND(IF($H354&lt;&gt;"",$H354,$H349)="override",$K349&lt;&gt;""),$K349,SUMIFS(Assumptions!$P$4:$P$103,Assumptions!$M$4:$M$103,$C349,Assumptions!$N$4:$N$103,$E349,Assumptions!$O$4:$O$103,"LVN"))</f>
        <v/>
      </c>
      <c r="M349" s="23" t="n"/>
      <c r="N349" s="25">
        <f>IF(AND(IF($H354&lt;&gt;"",$H354,$H349)="override",$M349&lt;&gt;""),$M349,SUMIFS(Assumptions!$P$4:$P$103,Assumptions!$M$4:$M$103,$C349,Assumptions!$N$4:$N$103,$E349,Assumptions!$O$4:$O$103,"HVN"))</f>
        <v/>
      </c>
      <c r="O349" s="25">
        <f>(L349+N349)*Assumptions!$S$11</f>
        <v/>
      </c>
      <c r="P349" s="26">
        <f>$F349*$J349*$O349</f>
        <v/>
      </c>
    </row>
    <row r="350">
      <c r="A350" s="11" t="inlineStr">
        <is>
          <t>UNIT</t>
        </is>
      </c>
      <c r="B350" s="18" t="inlineStr">
        <is>
          <t>MARATHON_GARYVILLE</t>
        </is>
      </c>
      <c r="C350" s="18" t="n">
        <v>3</v>
      </c>
      <c r="D350" s="18" t="inlineStr">
        <is>
          <t>CCR</t>
        </is>
      </c>
      <c r="E350" s="18" t="inlineStr">
        <is>
          <t>REFORMER</t>
        </is>
      </c>
      <c r="F350" s="19" t="n">
        <v>137</v>
      </c>
      <c r="G350" s="21">
        <f>IFERROR(IF(INDEX(Effective!$E$3:$R$125,MATCH($B350,Effective!$A$3:$A$125,0),MATCH($D350,Effective!$E$2:$R$2,0))=0,"",INDEX(Effective!$E$3:$R$125,MATCH($B350,Effective!$A$3:$A$125,0),MATCH($D350,Effective!$E$2:$R$2,0))),"")</f>
        <v/>
      </c>
      <c r="H350" s="22" t="inlineStr">
        <is>
          <t>override</t>
        </is>
      </c>
      <c r="I350" s="23" t="n">
        <v>0.984</v>
      </c>
      <c r="J350" s="24">
        <f>IF(AND(IF($H354&lt;&gt;"",$H354,$H350)="override",$I350&lt;&gt;""),$I350,SUMIFS(Assumptions!$K$4:$K$8,Assumptions!$J$4:$J$8,$C350))*Assumptions!$S$10</f>
        <v/>
      </c>
      <c r="K350" s="23" t="n"/>
      <c r="L350" s="25">
        <f>IF(AND(IF($H354&lt;&gt;"",$H354,$H350)="override",$K350&lt;&gt;""),$K350,SUMIFS(Assumptions!$P$4:$P$103,Assumptions!$M$4:$M$103,$C350,Assumptions!$N$4:$N$103,$E350,Assumptions!$O$4:$O$103,"LVN"))</f>
        <v/>
      </c>
      <c r="M350" s="23" t="n"/>
      <c r="N350" s="25">
        <f>IF(AND(IF($H354&lt;&gt;"",$H354,$H350)="override",$M350&lt;&gt;""),$M350,SUMIFS(Assumptions!$P$4:$P$103,Assumptions!$M$4:$M$103,$C350,Assumptions!$N$4:$N$103,$E350,Assumptions!$O$4:$O$103,"HVN"))</f>
        <v/>
      </c>
      <c r="O350" s="25">
        <f>(L350+N350)*Assumptions!$S$11</f>
        <v/>
      </c>
      <c r="P350" s="26">
        <f>$F350*$J350*$O350</f>
        <v/>
      </c>
    </row>
    <row r="351">
      <c r="A351" s="11" t="inlineStr">
        <is>
          <t>UNIT</t>
        </is>
      </c>
      <c r="B351" s="18" t="inlineStr">
        <is>
          <t>MARATHON_GARYVILLE</t>
        </is>
      </c>
      <c r="C351" s="18" t="n">
        <v>3</v>
      </c>
      <c r="D351" s="18" t="inlineStr">
        <is>
          <t>ISOM</t>
        </is>
      </c>
      <c r="E351" s="18" t="inlineStr">
        <is>
          <t>ISOM</t>
        </is>
      </c>
      <c r="F351" s="19" t="n">
        <v>26.5</v>
      </c>
      <c r="G351" s="21">
        <f>IFERROR(IF(INDEX(Effective!$E$3:$R$125,MATCH($B351,Effective!$A$3:$A$125,0),MATCH($D351,Effective!$E$2:$R$2,0))=0,"",INDEX(Effective!$E$3:$R$125,MATCH($B351,Effective!$A$3:$A$125,0),MATCH($D351,Effective!$E$2:$R$2,0))),"")</f>
        <v/>
      </c>
      <c r="H351" s="22" t="inlineStr">
        <is>
          <t>override</t>
        </is>
      </c>
      <c r="I351" s="23" t="n">
        <v>0.767</v>
      </c>
      <c r="J351" s="24">
        <f>IF(AND(IF($H354&lt;&gt;"",$H354,$H351)="override",$I351&lt;&gt;""),$I351,SUMIFS(Assumptions!$K$4:$K$8,Assumptions!$J$4:$J$8,$C351))*Assumptions!$S$10</f>
        <v/>
      </c>
      <c r="K351" s="23" t="n"/>
      <c r="L351" s="25">
        <f>IF(AND(IF($H354&lt;&gt;"",$H354,$H351)="override",$K351&lt;&gt;""),$K351,SUMIFS(Assumptions!$P$4:$P$103,Assumptions!$M$4:$M$103,$C351,Assumptions!$N$4:$N$103,$E351,Assumptions!$O$4:$O$103,"LVN"))</f>
        <v/>
      </c>
      <c r="M351" s="23" t="n"/>
      <c r="N351" s="25">
        <f>IF(AND(IF($H354&lt;&gt;"",$H354,$H351)="override",$M351&lt;&gt;""),$M351,SUMIFS(Assumptions!$P$4:$P$103,Assumptions!$M$4:$M$103,$C351,Assumptions!$N$4:$N$103,$E351,Assumptions!$O$4:$O$103,"HVN"))</f>
        <v/>
      </c>
      <c r="O351" s="25">
        <f>(L351+N351)*Assumptions!$S$11</f>
        <v/>
      </c>
      <c r="P351" s="26">
        <f>$F351*$J351*$O351</f>
        <v/>
      </c>
    </row>
    <row r="352">
      <c r="A352" s="11" t="inlineStr">
        <is>
          <t>UNIT</t>
        </is>
      </c>
      <c r="B352" s="18" t="inlineStr">
        <is>
          <t>MARATHON_GARYVILLE</t>
        </is>
      </c>
      <c r="C352" s="18" t="n">
        <v>3</v>
      </c>
      <c r="D352" s="18" t="inlineStr">
        <is>
          <t>ALKY</t>
        </is>
      </c>
      <c r="E352" s="18" t="inlineStr">
        <is>
          <t>ALKY</t>
        </is>
      </c>
      <c r="F352" s="19" t="n">
        <v>38</v>
      </c>
      <c r="G352" s="21">
        <f>IFERROR(IF(INDEX(Effective!$E$3:$R$125,MATCH($B352,Effective!$A$3:$A$125,0),MATCH($D352,Effective!$E$2:$R$2,0))=0,"",INDEX(Effective!$E$3:$R$125,MATCH($B352,Effective!$A$3:$A$125,0),MATCH($D352,Effective!$E$2:$R$2,0))),"")</f>
        <v/>
      </c>
      <c r="H352" s="22" t="inlineStr">
        <is>
          <t>override</t>
        </is>
      </c>
      <c r="I352" s="23" t="n">
        <v>1.1</v>
      </c>
      <c r="J352" s="24">
        <f>IF(AND(IF($H354&lt;&gt;"",$H354,$H352)="override",$I352&lt;&gt;""),$I352,SUMIFS(Assumptions!$K$4:$K$8,Assumptions!$J$4:$J$8,$C352))*Assumptions!$S$10</f>
        <v/>
      </c>
      <c r="K352" s="23" t="n"/>
      <c r="L352" s="25">
        <f>IF(AND(IF($H354&lt;&gt;"",$H354,$H352)="override",$K352&lt;&gt;""),$K352,SUMIFS(Assumptions!$P$4:$P$103,Assumptions!$M$4:$M$103,$C352,Assumptions!$N$4:$N$103,$E352,Assumptions!$O$4:$O$103,"LVN"))</f>
        <v/>
      </c>
      <c r="M352" s="23" t="n"/>
      <c r="N352" s="25">
        <f>IF(AND(IF($H354&lt;&gt;"",$H354,$H352)="override",$M352&lt;&gt;""),$M352,SUMIFS(Assumptions!$P$4:$P$103,Assumptions!$M$4:$M$103,$C352,Assumptions!$N$4:$N$103,$E352,Assumptions!$O$4:$O$103,"HVN"))</f>
        <v/>
      </c>
      <c r="O352" s="25">
        <f>(L352+N352)*Assumptions!$S$11</f>
        <v/>
      </c>
      <c r="P352" s="26">
        <f>$F352*$J352*$O352</f>
        <v/>
      </c>
    </row>
    <row r="353">
      <c r="A353" s="11" t="inlineStr">
        <is>
          <t>UNIT</t>
        </is>
      </c>
      <c r="B353" s="18" t="inlineStr">
        <is>
          <t>MARATHON_GARYVILLE</t>
        </is>
      </c>
      <c r="C353" s="18" t="n">
        <v>3</v>
      </c>
      <c r="D353" s="18" t="inlineStr">
        <is>
          <t>NHT</t>
        </is>
      </c>
      <c r="E353" s="18" t="inlineStr">
        <is>
          <t>NHT</t>
        </is>
      </c>
      <c r="F353" s="19" t="n">
        <v>118.5</v>
      </c>
      <c r="G353" s="21">
        <f>IFERROR(IF(INDEX(Effective!$E$3:$R$125,MATCH($B353,Effective!$A$3:$A$125,0),MATCH($D353,Effective!$E$2:$R$2,0))=0,"",INDEX(Effective!$E$3:$R$125,MATCH($B353,Effective!$A$3:$A$125,0),MATCH($D353,Effective!$E$2:$R$2,0))),"")</f>
        <v/>
      </c>
      <c r="H353" s="22" t="inlineStr">
        <is>
          <t>override</t>
        </is>
      </c>
      <c r="I353" s="23" t="n">
        <v>0.995</v>
      </c>
      <c r="J353" s="24">
        <f>IF(AND(IF($H354&lt;&gt;"",$H354,$H353)="override",$I353&lt;&gt;""),$I353,SUMIFS(Assumptions!$K$4:$K$8,Assumptions!$J$4:$J$8,$C353))*Assumptions!$S$10</f>
        <v/>
      </c>
      <c r="K353" s="23" t="n"/>
      <c r="L353" s="25">
        <f>IF(AND(IF($H354&lt;&gt;"",$H354,$H353)="override",$K353&lt;&gt;""),$K353,SUMIFS(Assumptions!$P$4:$P$103,Assumptions!$M$4:$M$103,$C353,Assumptions!$N$4:$N$103,$E353,Assumptions!$O$4:$O$103,"LVN"))</f>
        <v/>
      </c>
      <c r="M353" s="23" t="n"/>
      <c r="N353" s="25">
        <f>IF(AND(IF($H354&lt;&gt;"",$H354,$H353)="override",$M353&lt;&gt;""),$M353,SUMIFS(Assumptions!$P$4:$P$103,Assumptions!$M$4:$M$103,$C353,Assumptions!$N$4:$N$103,$E353,Assumptions!$O$4:$O$103,"HVN"))</f>
        <v/>
      </c>
      <c r="O353" s="25">
        <f>(L353+N353)*Assumptions!$S$11</f>
        <v/>
      </c>
      <c r="P353" s="26">
        <f>$F353*$J353*$O353</f>
        <v/>
      </c>
    </row>
    <row r="354">
      <c r="A354" s="27" t="inlineStr">
        <is>
          <t>TOTAL</t>
        </is>
      </c>
      <c r="B354" s="28" t="inlineStr">
        <is>
          <t>MARATHON_GARYVILLE</t>
        </is>
      </c>
      <c r="C354" s="28" t="n">
        <v>3</v>
      </c>
      <c r="D354" s="28" t="inlineStr">
        <is>
          <t>NET NAPHTHA</t>
        </is>
      </c>
      <c r="H354" s="22" t="n"/>
      <c r="P354" s="29">
        <f>SUM(P345:P353)</f>
        <v/>
      </c>
    </row>
    <row r="356" ht="20" customHeight="1">
      <c r="A356" s="8">
        <f>"  ExxonMobil Baytown  [XOM_BAYTOWN]   —   ExxonMobil   —   PADD 3   —   crude "&amp;TEXT(SUMIFS(Data!$G$3:$G$125,Data!$A$3:$A$125,"XOM_BAYTOWN"),"#,##0")&amp;" kbd"</f>
        <v/>
      </c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</row>
    <row r="357">
      <c r="A357" s="11" t="inlineStr">
        <is>
          <t>UNIT</t>
        </is>
      </c>
      <c r="B357" s="18" t="inlineStr">
        <is>
          <t>XOM_BAYTOWN</t>
        </is>
      </c>
      <c r="C357" s="18" t="n">
        <v>3</v>
      </c>
      <c r="D357" s="18" t="inlineStr">
        <is>
          <t>CDU</t>
        </is>
      </c>
      <c r="E357" s="18" t="inlineStr">
        <is>
          <t>CDU</t>
        </is>
      </c>
      <c r="F357" s="19" t="n">
        <v>584</v>
      </c>
      <c r="G357" s="21">
        <f>IFERROR(IF(INDEX(Effective!$E$3:$R$125,MATCH($B357,Effective!$A$3:$A$125,0),MATCH($D357,Effective!$E$2:$R$2,0))=0,"",INDEX(Effective!$E$3:$R$125,MATCH($B357,Effective!$A$3:$A$125,0),MATCH($D357,Effective!$E$2:$R$2,0))),"")</f>
        <v/>
      </c>
      <c r="H357" s="22" t="inlineStr">
        <is>
          <t>override</t>
        </is>
      </c>
      <c r="I357" s="23" t="n">
        <v>0.93</v>
      </c>
      <c r="J357" s="24">
        <f>IF(AND(IF($H366&lt;&gt;"",$H366,$H357)="override",$I357&lt;&gt;""),$I357,SUMIFS(Assumptions!$K$4:$K$8,Assumptions!$J$4:$J$8,$C357))*Assumptions!$S$10</f>
        <v/>
      </c>
      <c r="K357" s="23" t="n"/>
      <c r="L357" s="25">
        <f>IF(AND(IF($H366&lt;&gt;"",$H366,$H357)="override",$K357&lt;&gt;""),$K357,SUMIFS(Assumptions!$P$4:$P$103,Assumptions!$M$4:$M$103,$C357,Assumptions!$N$4:$N$103,$E357,Assumptions!$O$4:$O$103,"LVN"))</f>
        <v/>
      </c>
      <c r="M357" s="23" t="n"/>
      <c r="N357" s="25">
        <f>IF(AND(IF($H366&lt;&gt;"",$H366,$H357)="override",$M357&lt;&gt;""),$M357,SUMIFS(Assumptions!$P$4:$P$103,Assumptions!$M$4:$M$103,$C357,Assumptions!$N$4:$N$103,$E357,Assumptions!$O$4:$O$103,"HVN"))</f>
        <v/>
      </c>
      <c r="O357" s="25">
        <f>(L357+N357)*Assumptions!$S$11</f>
        <v/>
      </c>
      <c r="P357" s="26">
        <f>$F357*$J357*$O357</f>
        <v/>
      </c>
    </row>
    <row r="358">
      <c r="A358" s="11" t="inlineStr">
        <is>
          <t>UNIT</t>
        </is>
      </c>
      <c r="B358" s="18" t="inlineStr">
        <is>
          <t>XOM_BAYTOWN</t>
        </is>
      </c>
      <c r="C358" s="18" t="n">
        <v>3</v>
      </c>
      <c r="D358" s="18" t="inlineStr">
        <is>
          <t>VDU</t>
        </is>
      </c>
      <c r="E358" s="18" t="inlineStr">
        <is>
          <t>VDU</t>
        </is>
      </c>
      <c r="F358" s="19" t="n">
        <v>297</v>
      </c>
      <c r="G358" s="21">
        <f>IFERROR(IF(INDEX(Effective!$E$3:$R$125,MATCH($B358,Effective!$A$3:$A$125,0),MATCH($D358,Effective!$E$2:$R$2,0))=0,"",INDEX(Effective!$E$3:$R$125,MATCH($B358,Effective!$A$3:$A$125,0),MATCH($D358,Effective!$E$2:$R$2,0))),"")</f>
        <v/>
      </c>
      <c r="H358" s="22" t="inlineStr">
        <is>
          <t>override</t>
        </is>
      </c>
      <c r="I358" s="23" t="n">
        <v>0.638</v>
      </c>
      <c r="J358" s="24">
        <f>IF(AND(IF($H366&lt;&gt;"",$H366,$H358)="override",$I358&lt;&gt;""),$I358,SUMIFS(Assumptions!$K$4:$K$8,Assumptions!$J$4:$J$8,$C358))*Assumptions!$S$10</f>
        <v/>
      </c>
      <c r="K358" s="23" t="n"/>
      <c r="L358" s="25">
        <f>IF(AND(IF($H366&lt;&gt;"",$H366,$H358)="override",$K358&lt;&gt;""),$K358,SUMIFS(Assumptions!$P$4:$P$103,Assumptions!$M$4:$M$103,$C358,Assumptions!$N$4:$N$103,$E358,Assumptions!$O$4:$O$103,"LVN"))</f>
        <v/>
      </c>
      <c r="M358" s="23" t="n"/>
      <c r="N358" s="25">
        <f>IF(AND(IF($H366&lt;&gt;"",$H366,$H358)="override",$M358&lt;&gt;""),$M358,SUMIFS(Assumptions!$P$4:$P$103,Assumptions!$M$4:$M$103,$C358,Assumptions!$N$4:$N$103,$E358,Assumptions!$O$4:$O$103,"HVN"))</f>
        <v/>
      </c>
      <c r="O358" s="25">
        <f>(L358+N358)*Assumptions!$S$11</f>
        <v/>
      </c>
      <c r="P358" s="26">
        <f>$F358*$J358*$O358</f>
        <v/>
      </c>
    </row>
    <row r="359">
      <c r="A359" s="11" t="inlineStr">
        <is>
          <t>UNIT</t>
        </is>
      </c>
      <c r="B359" s="18" t="inlineStr">
        <is>
          <t>XOM_BAYTOWN</t>
        </is>
      </c>
      <c r="C359" s="18" t="n">
        <v>3</v>
      </c>
      <c r="D359" s="18" t="inlineStr">
        <is>
          <t>FCC</t>
        </is>
      </c>
      <c r="E359" s="18" t="inlineStr">
        <is>
          <t>FCC</t>
        </is>
      </c>
      <c r="F359" s="19" t="n">
        <v>220</v>
      </c>
      <c r="G359" s="21">
        <f>IFERROR(IF(INDEX(Effective!$E$3:$R$125,MATCH($B359,Effective!$A$3:$A$125,0),MATCH($D359,Effective!$E$2:$R$2,0))=0,"",INDEX(Effective!$E$3:$R$125,MATCH($B359,Effective!$A$3:$A$125,0),MATCH($D359,Effective!$E$2:$R$2,0))),"")</f>
        <v/>
      </c>
      <c r="H359" s="22" t="inlineStr">
        <is>
          <t>override</t>
        </is>
      </c>
      <c r="I359" s="23" t="n">
        <v>0.966</v>
      </c>
      <c r="J359" s="24">
        <f>IF(AND(IF($H366&lt;&gt;"",$H366,$H359)="override",$I359&lt;&gt;""),$I359,SUMIFS(Assumptions!$K$4:$K$8,Assumptions!$J$4:$J$8,$C359))*Assumptions!$S$10</f>
        <v/>
      </c>
      <c r="K359" s="23" t="n"/>
      <c r="L359" s="25">
        <f>IF(AND(IF($H366&lt;&gt;"",$H366,$H359)="override",$K359&lt;&gt;""),$K359,SUMIFS(Assumptions!$P$4:$P$103,Assumptions!$M$4:$M$103,$C359,Assumptions!$N$4:$N$103,$E359,Assumptions!$O$4:$O$103,"LVN"))</f>
        <v/>
      </c>
      <c r="M359" s="23" t="n"/>
      <c r="N359" s="25">
        <f>IF(AND(IF($H366&lt;&gt;"",$H366,$H359)="override",$M359&lt;&gt;""),$M359,SUMIFS(Assumptions!$P$4:$P$103,Assumptions!$M$4:$M$103,$C359,Assumptions!$N$4:$N$103,$E359,Assumptions!$O$4:$O$103,"HVN"))</f>
        <v/>
      </c>
      <c r="O359" s="25">
        <f>(L359+N359)*Assumptions!$S$11</f>
        <v/>
      </c>
      <c r="P359" s="26">
        <f>$F359*$J359*$O359</f>
        <v/>
      </c>
    </row>
    <row r="360">
      <c r="A360" s="11" t="inlineStr">
        <is>
          <t>UNIT</t>
        </is>
      </c>
      <c r="B360" s="18" t="inlineStr">
        <is>
          <t>XOM_BAYTOWN</t>
        </is>
      </c>
      <c r="C360" s="18" t="n">
        <v>3</v>
      </c>
      <c r="D360" s="18" t="inlineStr">
        <is>
          <t>DHCU</t>
        </is>
      </c>
      <c r="E360" s="18" t="inlineStr">
        <is>
          <t>HYDROCRACKER</t>
        </is>
      </c>
      <c r="F360" s="19" t="n">
        <v>29.9</v>
      </c>
      <c r="G360" s="21">
        <f>IFERROR(IF(INDEX(Effective!$E$3:$R$125,MATCH($B360,Effective!$A$3:$A$125,0),MATCH($D360,Effective!$E$2:$R$2,0))=0,"",INDEX(Effective!$E$3:$R$125,MATCH($B360,Effective!$A$3:$A$125,0),MATCH($D360,Effective!$E$2:$R$2,0))),"")</f>
        <v/>
      </c>
      <c r="H360" s="22" t="inlineStr">
        <is>
          <t>override</t>
        </is>
      </c>
      <c r="I360" s="23" t="n">
        <v>0.931</v>
      </c>
      <c r="J360" s="24">
        <f>IF(AND(IF($H366&lt;&gt;"",$H366,$H360)="override",$I360&lt;&gt;""),$I360,SUMIFS(Assumptions!$K$4:$K$8,Assumptions!$J$4:$J$8,$C360))*Assumptions!$S$10</f>
        <v/>
      </c>
      <c r="K360" s="23" t="n"/>
      <c r="L360" s="25">
        <f>IF(AND(IF($H366&lt;&gt;"",$H366,$H360)="override",$K360&lt;&gt;""),$K360,SUMIFS(Assumptions!$P$4:$P$103,Assumptions!$M$4:$M$103,$C360,Assumptions!$N$4:$N$103,$E360,Assumptions!$O$4:$O$103,"LVN"))</f>
        <v/>
      </c>
      <c r="M360" s="23" t="n"/>
      <c r="N360" s="25">
        <f>IF(AND(IF($H366&lt;&gt;"",$H366,$H360)="override",$M360&lt;&gt;""),$M360,SUMIFS(Assumptions!$P$4:$P$103,Assumptions!$M$4:$M$103,$C360,Assumptions!$N$4:$N$103,$E360,Assumptions!$O$4:$O$103,"HVN"))</f>
        <v/>
      </c>
      <c r="O360" s="25">
        <f>(L360+N360)*Assumptions!$S$11</f>
        <v/>
      </c>
      <c r="P360" s="26">
        <f>$F360*$J360*$O360</f>
        <v/>
      </c>
    </row>
    <row r="361">
      <c r="A361" s="11" t="inlineStr">
        <is>
          <t>UNIT</t>
        </is>
      </c>
      <c r="B361" s="18" t="inlineStr">
        <is>
          <t>XOM_BAYTOWN</t>
        </is>
      </c>
      <c r="C361" s="18" t="n">
        <v>3</v>
      </c>
      <c r="D361" s="18" t="inlineStr">
        <is>
          <t>COKER</t>
        </is>
      </c>
      <c r="E361" s="18" t="inlineStr">
        <is>
          <t>COKER</t>
        </is>
      </c>
      <c r="F361" s="19" t="n">
        <v>54</v>
      </c>
      <c r="G361" s="21">
        <f>IFERROR(IF(INDEX(Effective!$E$3:$R$125,MATCH($B361,Effective!$A$3:$A$125,0),MATCH($D361,Effective!$E$2:$R$2,0))=0,"",INDEX(Effective!$E$3:$R$125,MATCH($B361,Effective!$A$3:$A$125,0),MATCH($D361,Effective!$E$2:$R$2,0))),"")</f>
        <v/>
      </c>
      <c r="H361" s="22" t="inlineStr">
        <is>
          <t>override</t>
        </is>
      </c>
      <c r="I361" s="23" t="n">
        <v>0.641</v>
      </c>
      <c r="J361" s="24">
        <f>IF(AND(IF($H366&lt;&gt;"",$H366,$H361)="override",$I361&lt;&gt;""),$I361,SUMIFS(Assumptions!$K$4:$K$8,Assumptions!$J$4:$J$8,$C361))*Assumptions!$S$10</f>
        <v/>
      </c>
      <c r="K361" s="23" t="n"/>
      <c r="L361" s="25">
        <f>IF(AND(IF($H366&lt;&gt;"",$H366,$H361)="override",$K361&lt;&gt;""),$K361,SUMIFS(Assumptions!$P$4:$P$103,Assumptions!$M$4:$M$103,$C361,Assumptions!$N$4:$N$103,$E361,Assumptions!$O$4:$O$103,"LVN"))</f>
        <v/>
      </c>
      <c r="M361" s="23" t="n"/>
      <c r="N361" s="25">
        <f>IF(AND(IF($H366&lt;&gt;"",$H366,$H361)="override",$M361&lt;&gt;""),$M361,SUMIFS(Assumptions!$P$4:$P$103,Assumptions!$M$4:$M$103,$C361,Assumptions!$N$4:$N$103,$E361,Assumptions!$O$4:$O$103,"HVN"))</f>
        <v/>
      </c>
      <c r="O361" s="25">
        <f>(L361+N361)*Assumptions!$S$11</f>
        <v/>
      </c>
      <c r="P361" s="26">
        <f>$F361*$J361*$O361</f>
        <v/>
      </c>
    </row>
    <row r="362">
      <c r="A362" s="11" t="inlineStr">
        <is>
          <t>UNIT</t>
        </is>
      </c>
      <c r="B362" s="18" t="inlineStr">
        <is>
          <t>XOM_BAYTOWN</t>
        </is>
      </c>
      <c r="C362" s="18" t="n">
        <v>3</v>
      </c>
      <c r="D362" s="18" t="inlineStr">
        <is>
          <t>FCOKER</t>
        </is>
      </c>
      <c r="E362" s="18" t="inlineStr">
        <is>
          <t>COKER</t>
        </is>
      </c>
      <c r="F362" s="19" t="n">
        <v>42</v>
      </c>
      <c r="G362" s="21">
        <f>IFERROR(IF(INDEX(Effective!$E$3:$R$125,MATCH($B362,Effective!$A$3:$A$125,0),MATCH($D362,Effective!$E$2:$R$2,0))=0,"",INDEX(Effective!$E$3:$R$125,MATCH($B362,Effective!$A$3:$A$125,0),MATCH($D362,Effective!$E$2:$R$2,0))),"")</f>
        <v/>
      </c>
      <c r="H362" s="22" t="inlineStr">
        <is>
          <t>override</t>
        </is>
      </c>
      <c r="I362" s="23" t="n">
        <v>0.599</v>
      </c>
      <c r="J362" s="24">
        <f>IF(AND(IF($H366&lt;&gt;"",$H366,$H362)="override",$I362&lt;&gt;""),$I362,SUMIFS(Assumptions!$K$4:$K$8,Assumptions!$J$4:$J$8,$C362))*Assumptions!$S$10</f>
        <v/>
      </c>
      <c r="K362" s="23" t="n"/>
      <c r="L362" s="25">
        <f>IF(AND(IF($H366&lt;&gt;"",$H366,$H362)="override",$K362&lt;&gt;""),$K362,SUMIFS(Assumptions!$P$4:$P$103,Assumptions!$M$4:$M$103,$C362,Assumptions!$N$4:$N$103,$E362,Assumptions!$O$4:$O$103,"LVN"))</f>
        <v/>
      </c>
      <c r="M362" s="23" t="n"/>
      <c r="N362" s="25">
        <f>IF(AND(IF($H366&lt;&gt;"",$H366,$H362)="override",$M362&lt;&gt;""),$M362,SUMIFS(Assumptions!$P$4:$P$103,Assumptions!$M$4:$M$103,$C362,Assumptions!$N$4:$N$103,$E362,Assumptions!$O$4:$O$103,"HVN"))</f>
        <v/>
      </c>
      <c r="O362" s="25">
        <f>(L362+N362)*Assumptions!$S$11</f>
        <v/>
      </c>
      <c r="P362" s="26">
        <f>$F362*$J362*$O362</f>
        <v/>
      </c>
    </row>
    <row r="363">
      <c r="A363" s="11" t="inlineStr">
        <is>
          <t>UNIT</t>
        </is>
      </c>
      <c r="B363" s="18" t="inlineStr">
        <is>
          <t>XOM_BAYTOWN</t>
        </is>
      </c>
      <c r="C363" s="18" t="n">
        <v>3</v>
      </c>
      <c r="D363" s="18" t="inlineStr">
        <is>
          <t>CCR</t>
        </is>
      </c>
      <c r="E363" s="18" t="inlineStr">
        <is>
          <t>REFORMER</t>
        </is>
      </c>
      <c r="F363" s="19" t="n">
        <v>127.5</v>
      </c>
      <c r="G363" s="21">
        <f>IFERROR(IF(INDEX(Effective!$E$3:$R$125,MATCH($B363,Effective!$A$3:$A$125,0),MATCH($D363,Effective!$E$2:$R$2,0))=0,"",INDEX(Effective!$E$3:$R$125,MATCH($B363,Effective!$A$3:$A$125,0),MATCH($D363,Effective!$E$2:$R$2,0))),"")</f>
        <v/>
      </c>
      <c r="H363" s="22" t="inlineStr">
        <is>
          <t>override</t>
        </is>
      </c>
      <c r="I363" s="23" t="n">
        <v>0.9409999999999999</v>
      </c>
      <c r="J363" s="24">
        <f>IF(AND(IF($H366&lt;&gt;"",$H366,$H363)="override",$I363&lt;&gt;""),$I363,SUMIFS(Assumptions!$K$4:$K$8,Assumptions!$J$4:$J$8,$C363))*Assumptions!$S$10</f>
        <v/>
      </c>
      <c r="K363" s="23" t="n"/>
      <c r="L363" s="25">
        <f>IF(AND(IF($H366&lt;&gt;"",$H366,$H363)="override",$K363&lt;&gt;""),$K363,SUMIFS(Assumptions!$P$4:$P$103,Assumptions!$M$4:$M$103,$C363,Assumptions!$N$4:$N$103,$E363,Assumptions!$O$4:$O$103,"LVN"))</f>
        <v/>
      </c>
      <c r="M363" s="23" t="n"/>
      <c r="N363" s="25">
        <f>IF(AND(IF($H366&lt;&gt;"",$H366,$H363)="override",$M363&lt;&gt;""),$M363,SUMIFS(Assumptions!$P$4:$P$103,Assumptions!$M$4:$M$103,$C363,Assumptions!$N$4:$N$103,$E363,Assumptions!$O$4:$O$103,"HVN"))</f>
        <v/>
      </c>
      <c r="O363" s="25">
        <f>(L363+N363)*Assumptions!$S$11</f>
        <v/>
      </c>
      <c r="P363" s="26">
        <f>$F363*$J363*$O363</f>
        <v/>
      </c>
    </row>
    <row r="364">
      <c r="A364" s="11" t="inlineStr">
        <is>
          <t>UNIT</t>
        </is>
      </c>
      <c r="B364" s="18" t="inlineStr">
        <is>
          <t>XOM_BAYTOWN</t>
        </is>
      </c>
      <c r="C364" s="18" t="n">
        <v>3</v>
      </c>
      <c r="D364" s="18" t="inlineStr">
        <is>
          <t>ALKY</t>
        </is>
      </c>
      <c r="E364" s="18" t="inlineStr">
        <is>
          <t>ALKY</t>
        </is>
      </c>
      <c r="F364" s="19" t="n">
        <v>41</v>
      </c>
      <c r="G364" s="21">
        <f>IFERROR(IF(INDEX(Effective!$E$3:$R$125,MATCH($B364,Effective!$A$3:$A$125,0),MATCH($D364,Effective!$E$2:$R$2,0))=0,"",INDEX(Effective!$E$3:$R$125,MATCH($B364,Effective!$A$3:$A$125,0),MATCH($D364,Effective!$E$2:$R$2,0))),"")</f>
        <v/>
      </c>
      <c r="H364" s="22" t="inlineStr">
        <is>
          <t>override</t>
        </is>
      </c>
      <c r="I364" s="23" t="n">
        <v>1.1</v>
      </c>
      <c r="J364" s="24">
        <f>IF(AND(IF($H366&lt;&gt;"",$H366,$H364)="override",$I364&lt;&gt;""),$I364,SUMIFS(Assumptions!$K$4:$K$8,Assumptions!$J$4:$J$8,$C364))*Assumptions!$S$10</f>
        <v/>
      </c>
      <c r="K364" s="23" t="n"/>
      <c r="L364" s="25">
        <f>IF(AND(IF($H366&lt;&gt;"",$H366,$H364)="override",$K364&lt;&gt;""),$K364,SUMIFS(Assumptions!$P$4:$P$103,Assumptions!$M$4:$M$103,$C364,Assumptions!$N$4:$N$103,$E364,Assumptions!$O$4:$O$103,"LVN"))</f>
        <v/>
      </c>
      <c r="M364" s="23" t="n"/>
      <c r="N364" s="25">
        <f>IF(AND(IF($H366&lt;&gt;"",$H366,$H364)="override",$M364&lt;&gt;""),$M364,SUMIFS(Assumptions!$P$4:$P$103,Assumptions!$M$4:$M$103,$C364,Assumptions!$N$4:$N$103,$E364,Assumptions!$O$4:$O$103,"HVN"))</f>
        <v/>
      </c>
      <c r="O364" s="25">
        <f>(L364+N364)*Assumptions!$S$11</f>
        <v/>
      </c>
      <c r="P364" s="26">
        <f>$F364*$J364*$O364</f>
        <v/>
      </c>
    </row>
    <row r="365">
      <c r="A365" s="11" t="inlineStr">
        <is>
          <t>UNIT</t>
        </is>
      </c>
      <c r="B365" s="18" t="inlineStr">
        <is>
          <t>XOM_BAYTOWN</t>
        </is>
      </c>
      <c r="C365" s="18" t="n">
        <v>3</v>
      </c>
      <c r="D365" s="18" t="inlineStr">
        <is>
          <t>NHT</t>
        </is>
      </c>
      <c r="E365" s="18" t="inlineStr">
        <is>
          <t>NHT</t>
        </is>
      </c>
      <c r="F365" s="19" t="n">
        <v>155.5</v>
      </c>
      <c r="G365" s="21">
        <f>IFERROR(IF(INDEX(Effective!$E$3:$R$125,MATCH($B365,Effective!$A$3:$A$125,0),MATCH($D365,Effective!$E$2:$R$2,0))=0,"",INDEX(Effective!$E$3:$R$125,MATCH($B365,Effective!$A$3:$A$125,0),MATCH($D365,Effective!$E$2:$R$2,0))),"")</f>
        <v/>
      </c>
      <c r="H365" s="22" t="inlineStr">
        <is>
          <t>override</t>
        </is>
      </c>
      <c r="I365" s="23" t="n">
        <v>0.991</v>
      </c>
      <c r="J365" s="24">
        <f>IF(AND(IF($H366&lt;&gt;"",$H366,$H365)="override",$I365&lt;&gt;""),$I365,SUMIFS(Assumptions!$K$4:$K$8,Assumptions!$J$4:$J$8,$C365))*Assumptions!$S$10</f>
        <v/>
      </c>
      <c r="K365" s="23" t="n"/>
      <c r="L365" s="25">
        <f>IF(AND(IF($H366&lt;&gt;"",$H366,$H365)="override",$K365&lt;&gt;""),$K365,SUMIFS(Assumptions!$P$4:$P$103,Assumptions!$M$4:$M$103,$C365,Assumptions!$N$4:$N$103,$E365,Assumptions!$O$4:$O$103,"LVN"))</f>
        <v/>
      </c>
      <c r="M365" s="23" t="n"/>
      <c r="N365" s="25">
        <f>IF(AND(IF($H366&lt;&gt;"",$H366,$H365)="override",$M365&lt;&gt;""),$M365,SUMIFS(Assumptions!$P$4:$P$103,Assumptions!$M$4:$M$103,$C365,Assumptions!$N$4:$N$103,$E365,Assumptions!$O$4:$O$103,"HVN"))</f>
        <v/>
      </c>
      <c r="O365" s="25">
        <f>(L365+N365)*Assumptions!$S$11</f>
        <v/>
      </c>
      <c r="P365" s="26">
        <f>$F365*$J365*$O365</f>
        <v/>
      </c>
    </row>
    <row r="366">
      <c r="A366" s="27" t="inlineStr">
        <is>
          <t>TOTAL</t>
        </is>
      </c>
      <c r="B366" s="28" t="inlineStr">
        <is>
          <t>XOM_BAYTOWN</t>
        </is>
      </c>
      <c r="C366" s="28" t="n">
        <v>3</v>
      </c>
      <c r="D366" s="28" t="inlineStr">
        <is>
          <t>NET NAPHTHA</t>
        </is>
      </c>
      <c r="H366" s="22" t="n"/>
      <c r="P366" s="29">
        <f>SUM(P357:P365)</f>
        <v/>
      </c>
    </row>
    <row r="368" ht="20" customHeight="1">
      <c r="A368" s="8">
        <f>"  ExxonMobil Baton Rouge  [EXXONMOBIL_BATON_ROUGE]   —   ExxonMobil   —   PADD 3   —   crude "&amp;TEXT(SUMIFS(Data!$G$3:$G$125,Data!$A$3:$A$125,"EXXONMOBIL_BATON_ROUGE"),"#,##0")&amp;" kbd"</f>
        <v/>
      </c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</row>
    <row r="369">
      <c r="A369" s="11" t="inlineStr">
        <is>
          <t>UNIT</t>
        </is>
      </c>
      <c r="B369" s="18" t="inlineStr">
        <is>
          <t>EXXONMOBIL_BATON_ROUGE</t>
        </is>
      </c>
      <c r="C369" s="18" t="n">
        <v>3</v>
      </c>
      <c r="D369" s="18" t="inlineStr">
        <is>
          <t>CDU</t>
        </is>
      </c>
      <c r="E369" s="18" t="inlineStr">
        <is>
          <t>CDU</t>
        </is>
      </c>
      <c r="F369" s="19" t="n">
        <v>542</v>
      </c>
      <c r="G369" s="21">
        <f>IFERROR(IF(INDEX(Effective!$E$3:$R$125,MATCH($B369,Effective!$A$3:$A$125,0),MATCH($D369,Effective!$E$2:$R$2,0))=0,"",INDEX(Effective!$E$3:$R$125,MATCH($B369,Effective!$A$3:$A$125,0),MATCH($D369,Effective!$E$2:$R$2,0))),"")</f>
        <v/>
      </c>
      <c r="H369" s="22" t="inlineStr">
        <is>
          <t>override</t>
        </is>
      </c>
      <c r="I369" s="23" t="n">
        <v>0.963</v>
      </c>
      <c r="J369" s="24">
        <f>IF(AND(IF($H377&lt;&gt;"",$H377,$H369)="override",$I369&lt;&gt;""),$I369,SUMIFS(Assumptions!$K$4:$K$8,Assumptions!$J$4:$J$8,$C369))*Assumptions!$S$10</f>
        <v/>
      </c>
      <c r="K369" s="23" t="n"/>
      <c r="L369" s="25">
        <f>IF(AND(IF($H377&lt;&gt;"",$H377,$H369)="override",$K369&lt;&gt;""),$K369,SUMIFS(Assumptions!$P$4:$P$103,Assumptions!$M$4:$M$103,$C369,Assumptions!$N$4:$N$103,$E369,Assumptions!$O$4:$O$103,"LVN"))</f>
        <v/>
      </c>
      <c r="M369" s="23" t="n"/>
      <c r="N369" s="25">
        <f>IF(AND(IF($H377&lt;&gt;"",$H377,$H369)="override",$M369&lt;&gt;""),$M369,SUMIFS(Assumptions!$P$4:$P$103,Assumptions!$M$4:$M$103,$C369,Assumptions!$N$4:$N$103,$E369,Assumptions!$O$4:$O$103,"HVN"))</f>
        <v/>
      </c>
      <c r="O369" s="25">
        <f>(L369+N369)*Assumptions!$S$11</f>
        <v/>
      </c>
      <c r="P369" s="26">
        <f>$F369*$J369*$O369</f>
        <v/>
      </c>
    </row>
    <row r="370">
      <c r="A370" s="11" t="inlineStr">
        <is>
          <t>UNIT</t>
        </is>
      </c>
      <c r="B370" s="18" t="inlineStr">
        <is>
          <t>EXXONMOBIL_BATON_ROUGE</t>
        </is>
      </c>
      <c r="C370" s="18" t="n">
        <v>3</v>
      </c>
      <c r="D370" s="18" t="inlineStr">
        <is>
          <t>VDU</t>
        </is>
      </c>
      <c r="E370" s="18" t="inlineStr">
        <is>
          <t>VDU</t>
        </is>
      </c>
      <c r="F370" s="19" t="n">
        <v>254</v>
      </c>
      <c r="G370" s="21">
        <f>IFERROR(IF(INDEX(Effective!$E$3:$R$125,MATCH($B370,Effective!$A$3:$A$125,0),MATCH($D370,Effective!$E$2:$R$2,0))=0,"",INDEX(Effective!$E$3:$R$125,MATCH($B370,Effective!$A$3:$A$125,0),MATCH($D370,Effective!$E$2:$R$2,0))),"")</f>
        <v/>
      </c>
      <c r="H370" s="22" t="inlineStr">
        <is>
          <t>override</t>
        </is>
      </c>
      <c r="I370" s="23" t="n">
        <v>0.857</v>
      </c>
      <c r="J370" s="24">
        <f>IF(AND(IF($H377&lt;&gt;"",$H377,$H370)="override",$I370&lt;&gt;""),$I370,SUMIFS(Assumptions!$K$4:$K$8,Assumptions!$J$4:$J$8,$C370))*Assumptions!$S$10</f>
        <v/>
      </c>
      <c r="K370" s="23" t="n"/>
      <c r="L370" s="25">
        <f>IF(AND(IF($H377&lt;&gt;"",$H377,$H370)="override",$K370&lt;&gt;""),$K370,SUMIFS(Assumptions!$P$4:$P$103,Assumptions!$M$4:$M$103,$C370,Assumptions!$N$4:$N$103,$E370,Assumptions!$O$4:$O$103,"LVN"))</f>
        <v/>
      </c>
      <c r="M370" s="23" t="n"/>
      <c r="N370" s="25">
        <f>IF(AND(IF($H377&lt;&gt;"",$H377,$H370)="override",$M370&lt;&gt;""),$M370,SUMIFS(Assumptions!$P$4:$P$103,Assumptions!$M$4:$M$103,$C370,Assumptions!$N$4:$N$103,$E370,Assumptions!$O$4:$O$103,"HVN"))</f>
        <v/>
      </c>
      <c r="O370" s="25">
        <f>(L370+N370)*Assumptions!$S$11</f>
        <v/>
      </c>
      <c r="P370" s="26">
        <f>$F370*$J370*$O370</f>
        <v/>
      </c>
    </row>
    <row r="371">
      <c r="A371" s="11" t="inlineStr">
        <is>
          <t>UNIT</t>
        </is>
      </c>
      <c r="B371" s="18" t="inlineStr">
        <is>
          <t>EXXONMOBIL_BATON_ROUGE</t>
        </is>
      </c>
      <c r="C371" s="18" t="n">
        <v>3</v>
      </c>
      <c r="D371" s="18" t="inlineStr">
        <is>
          <t>FCC</t>
        </is>
      </c>
      <c r="E371" s="18" t="inlineStr">
        <is>
          <t>FCC</t>
        </is>
      </c>
      <c r="F371" s="19" t="n">
        <v>244.5</v>
      </c>
      <c r="G371" s="21">
        <f>IFERROR(IF(INDEX(Effective!$E$3:$R$125,MATCH($B371,Effective!$A$3:$A$125,0),MATCH($D371,Effective!$E$2:$R$2,0))=0,"",INDEX(Effective!$E$3:$R$125,MATCH($B371,Effective!$A$3:$A$125,0),MATCH($D371,Effective!$E$2:$R$2,0))),"")</f>
        <v/>
      </c>
      <c r="H371" s="22" t="inlineStr">
        <is>
          <t>override</t>
        </is>
      </c>
      <c r="I371" s="23" t="n">
        <v>0.862</v>
      </c>
      <c r="J371" s="24">
        <f>IF(AND(IF($H377&lt;&gt;"",$H377,$H371)="override",$I371&lt;&gt;""),$I371,SUMIFS(Assumptions!$K$4:$K$8,Assumptions!$J$4:$J$8,$C371))*Assumptions!$S$10</f>
        <v/>
      </c>
      <c r="K371" s="23" t="n"/>
      <c r="L371" s="25">
        <f>IF(AND(IF($H377&lt;&gt;"",$H377,$H371)="override",$K371&lt;&gt;""),$K371,SUMIFS(Assumptions!$P$4:$P$103,Assumptions!$M$4:$M$103,$C371,Assumptions!$N$4:$N$103,$E371,Assumptions!$O$4:$O$103,"LVN"))</f>
        <v/>
      </c>
      <c r="M371" s="23" t="n"/>
      <c r="N371" s="25">
        <f>IF(AND(IF($H377&lt;&gt;"",$H377,$H371)="override",$M371&lt;&gt;""),$M371,SUMIFS(Assumptions!$P$4:$P$103,Assumptions!$M$4:$M$103,$C371,Assumptions!$N$4:$N$103,$E371,Assumptions!$O$4:$O$103,"HVN"))</f>
        <v/>
      </c>
      <c r="O371" s="25">
        <f>(L371+N371)*Assumptions!$S$11</f>
        <v/>
      </c>
      <c r="P371" s="26">
        <f>$F371*$J371*$O371</f>
        <v/>
      </c>
    </row>
    <row r="372">
      <c r="A372" s="11" t="inlineStr">
        <is>
          <t>UNIT</t>
        </is>
      </c>
      <c r="B372" s="18" t="inlineStr">
        <is>
          <t>EXXONMOBIL_BATON_ROUGE</t>
        </is>
      </c>
      <c r="C372" s="18" t="n">
        <v>3</v>
      </c>
      <c r="D372" s="18" t="inlineStr">
        <is>
          <t>DHCU</t>
        </is>
      </c>
      <c r="E372" s="18" t="inlineStr">
        <is>
          <t>HYDROCRACKER</t>
        </is>
      </c>
      <c r="F372" s="19" t="n">
        <v>27</v>
      </c>
      <c r="G372" s="21">
        <f>IFERROR(IF(INDEX(Effective!$E$3:$R$125,MATCH($B372,Effective!$A$3:$A$125,0),MATCH($D372,Effective!$E$2:$R$2,0))=0,"",INDEX(Effective!$E$3:$R$125,MATCH($B372,Effective!$A$3:$A$125,0),MATCH($D372,Effective!$E$2:$R$2,0))),"")</f>
        <v/>
      </c>
      <c r="H372" s="22" t="inlineStr">
        <is>
          <t>override</t>
        </is>
      </c>
      <c r="I372" s="23" t="n">
        <v>0.963</v>
      </c>
      <c r="J372" s="24">
        <f>IF(AND(IF($H377&lt;&gt;"",$H377,$H372)="override",$I372&lt;&gt;""),$I372,SUMIFS(Assumptions!$K$4:$K$8,Assumptions!$J$4:$J$8,$C372))*Assumptions!$S$10</f>
        <v/>
      </c>
      <c r="K372" s="23" t="n"/>
      <c r="L372" s="25">
        <f>IF(AND(IF($H377&lt;&gt;"",$H377,$H372)="override",$K372&lt;&gt;""),$K372,SUMIFS(Assumptions!$P$4:$P$103,Assumptions!$M$4:$M$103,$C372,Assumptions!$N$4:$N$103,$E372,Assumptions!$O$4:$O$103,"LVN"))</f>
        <v/>
      </c>
      <c r="M372" s="23" t="n"/>
      <c r="N372" s="25">
        <f>IF(AND(IF($H377&lt;&gt;"",$H377,$H372)="override",$M372&lt;&gt;""),$M372,SUMIFS(Assumptions!$P$4:$P$103,Assumptions!$M$4:$M$103,$C372,Assumptions!$N$4:$N$103,$E372,Assumptions!$O$4:$O$103,"HVN"))</f>
        <v/>
      </c>
      <c r="O372" s="25">
        <f>(L372+N372)*Assumptions!$S$11</f>
        <v/>
      </c>
      <c r="P372" s="26">
        <f>$F372*$J372*$O372</f>
        <v/>
      </c>
    </row>
    <row r="373">
      <c r="A373" s="11" t="inlineStr">
        <is>
          <t>UNIT</t>
        </is>
      </c>
      <c r="B373" s="18" t="inlineStr">
        <is>
          <t>EXXONMOBIL_BATON_ROUGE</t>
        </is>
      </c>
      <c r="C373" s="18" t="n">
        <v>3</v>
      </c>
      <c r="D373" s="18" t="inlineStr">
        <is>
          <t>COKER</t>
        </is>
      </c>
      <c r="E373" s="18" t="inlineStr">
        <is>
          <t>COKER</t>
        </is>
      </c>
      <c r="F373" s="19" t="n">
        <v>123.5</v>
      </c>
      <c r="G373" s="21">
        <f>IFERROR(IF(INDEX(Effective!$E$3:$R$125,MATCH($B373,Effective!$A$3:$A$125,0),MATCH($D373,Effective!$E$2:$R$2,0))=0,"",INDEX(Effective!$E$3:$R$125,MATCH($B373,Effective!$A$3:$A$125,0),MATCH($D373,Effective!$E$2:$R$2,0))),"")</f>
        <v/>
      </c>
      <c r="H373" s="22" t="inlineStr">
        <is>
          <t>override</t>
        </is>
      </c>
      <c r="I373" s="23" t="n">
        <v>0.872</v>
      </c>
      <c r="J373" s="24">
        <f>IF(AND(IF($H377&lt;&gt;"",$H377,$H373)="override",$I373&lt;&gt;""),$I373,SUMIFS(Assumptions!$K$4:$K$8,Assumptions!$J$4:$J$8,$C373))*Assumptions!$S$10</f>
        <v/>
      </c>
      <c r="K373" s="23" t="n"/>
      <c r="L373" s="25">
        <f>IF(AND(IF($H377&lt;&gt;"",$H377,$H373)="override",$K373&lt;&gt;""),$K373,SUMIFS(Assumptions!$P$4:$P$103,Assumptions!$M$4:$M$103,$C373,Assumptions!$N$4:$N$103,$E373,Assumptions!$O$4:$O$103,"LVN"))</f>
        <v/>
      </c>
      <c r="M373" s="23" t="n"/>
      <c r="N373" s="25">
        <f>IF(AND(IF($H377&lt;&gt;"",$H377,$H373)="override",$M373&lt;&gt;""),$M373,SUMIFS(Assumptions!$P$4:$P$103,Assumptions!$M$4:$M$103,$C373,Assumptions!$N$4:$N$103,$E373,Assumptions!$O$4:$O$103,"HVN"))</f>
        <v/>
      </c>
      <c r="O373" s="25">
        <f>(L373+N373)*Assumptions!$S$11</f>
        <v/>
      </c>
      <c r="P373" s="26">
        <f>$F373*$J373*$O373</f>
        <v/>
      </c>
    </row>
    <row r="374">
      <c r="A374" s="11" t="inlineStr">
        <is>
          <t>UNIT</t>
        </is>
      </c>
      <c r="B374" s="18" t="inlineStr">
        <is>
          <t>EXXONMOBIL_BATON_ROUGE</t>
        </is>
      </c>
      <c r="C374" s="18" t="n">
        <v>3</v>
      </c>
      <c r="D374" s="18" t="inlineStr">
        <is>
          <t>CCR</t>
        </is>
      </c>
      <c r="E374" s="18" t="inlineStr">
        <is>
          <t>REFORMER</t>
        </is>
      </c>
      <c r="F374" s="19" t="n">
        <v>80</v>
      </c>
      <c r="G374" s="21">
        <f>IFERROR(IF(INDEX(Effective!$E$3:$R$125,MATCH($B374,Effective!$A$3:$A$125,0),MATCH($D374,Effective!$E$2:$R$2,0))=0,"",INDEX(Effective!$E$3:$R$125,MATCH($B374,Effective!$A$3:$A$125,0),MATCH($D374,Effective!$E$2:$R$2,0))),"")</f>
        <v/>
      </c>
      <c r="H374" s="22" t="inlineStr">
        <is>
          <t>override</t>
        </is>
      </c>
      <c r="I374" s="23" t="n">
        <v>0.977</v>
      </c>
      <c r="J374" s="24">
        <f>IF(AND(IF($H377&lt;&gt;"",$H377,$H374)="override",$I374&lt;&gt;""),$I374,SUMIFS(Assumptions!$K$4:$K$8,Assumptions!$J$4:$J$8,$C374))*Assumptions!$S$10</f>
        <v/>
      </c>
      <c r="K374" s="23" t="n"/>
      <c r="L374" s="25">
        <f>IF(AND(IF($H377&lt;&gt;"",$H377,$H374)="override",$K374&lt;&gt;""),$K374,SUMIFS(Assumptions!$P$4:$P$103,Assumptions!$M$4:$M$103,$C374,Assumptions!$N$4:$N$103,$E374,Assumptions!$O$4:$O$103,"LVN"))</f>
        <v/>
      </c>
      <c r="M374" s="23" t="n"/>
      <c r="N374" s="25">
        <f>IF(AND(IF($H377&lt;&gt;"",$H377,$H374)="override",$M374&lt;&gt;""),$M374,SUMIFS(Assumptions!$P$4:$P$103,Assumptions!$M$4:$M$103,$C374,Assumptions!$N$4:$N$103,$E374,Assumptions!$O$4:$O$103,"HVN"))</f>
        <v/>
      </c>
      <c r="O374" s="25">
        <f>(L374+N374)*Assumptions!$S$11</f>
        <v/>
      </c>
      <c r="P374" s="26">
        <f>$F374*$J374*$O374</f>
        <v/>
      </c>
    </row>
    <row r="375">
      <c r="A375" s="11" t="inlineStr">
        <is>
          <t>UNIT</t>
        </is>
      </c>
      <c r="B375" s="18" t="inlineStr">
        <is>
          <t>EXXONMOBIL_BATON_ROUGE</t>
        </is>
      </c>
      <c r="C375" s="18" t="n">
        <v>3</v>
      </c>
      <c r="D375" s="18" t="inlineStr">
        <is>
          <t>ALKY</t>
        </is>
      </c>
      <c r="E375" s="18" t="inlineStr">
        <is>
          <t>ALKY</t>
        </is>
      </c>
      <c r="F375" s="19" t="n">
        <v>41</v>
      </c>
      <c r="G375" s="21">
        <f>IFERROR(IF(INDEX(Effective!$E$3:$R$125,MATCH($B375,Effective!$A$3:$A$125,0),MATCH($D375,Effective!$E$2:$R$2,0))=0,"",INDEX(Effective!$E$3:$R$125,MATCH($B375,Effective!$A$3:$A$125,0),MATCH($D375,Effective!$E$2:$R$2,0))),"")</f>
        <v/>
      </c>
      <c r="H375" s="22" t="inlineStr">
        <is>
          <t>override</t>
        </is>
      </c>
      <c r="I375" s="23" t="n">
        <v>1.1</v>
      </c>
      <c r="J375" s="24">
        <f>IF(AND(IF($H377&lt;&gt;"",$H377,$H375)="override",$I375&lt;&gt;""),$I375,SUMIFS(Assumptions!$K$4:$K$8,Assumptions!$J$4:$J$8,$C375))*Assumptions!$S$10</f>
        <v/>
      </c>
      <c r="K375" s="23" t="n"/>
      <c r="L375" s="25">
        <f>IF(AND(IF($H377&lt;&gt;"",$H377,$H375)="override",$K375&lt;&gt;""),$K375,SUMIFS(Assumptions!$P$4:$P$103,Assumptions!$M$4:$M$103,$C375,Assumptions!$N$4:$N$103,$E375,Assumptions!$O$4:$O$103,"LVN"))</f>
        <v/>
      </c>
      <c r="M375" s="23" t="n"/>
      <c r="N375" s="25">
        <f>IF(AND(IF($H377&lt;&gt;"",$H377,$H375)="override",$M375&lt;&gt;""),$M375,SUMIFS(Assumptions!$P$4:$P$103,Assumptions!$M$4:$M$103,$C375,Assumptions!$N$4:$N$103,$E375,Assumptions!$O$4:$O$103,"HVN"))</f>
        <v/>
      </c>
      <c r="O375" s="25">
        <f>(L375+N375)*Assumptions!$S$11</f>
        <v/>
      </c>
      <c r="P375" s="26">
        <f>$F375*$J375*$O375</f>
        <v/>
      </c>
    </row>
    <row r="376">
      <c r="A376" s="11" t="inlineStr">
        <is>
          <t>UNIT</t>
        </is>
      </c>
      <c r="B376" s="18" t="inlineStr">
        <is>
          <t>EXXONMOBIL_BATON_ROUGE</t>
        </is>
      </c>
      <c r="C376" s="18" t="n">
        <v>3</v>
      </c>
      <c r="D376" s="18" t="inlineStr">
        <is>
          <t>NHT</t>
        </is>
      </c>
      <c r="E376" s="18" t="inlineStr">
        <is>
          <t>NHT</t>
        </is>
      </c>
      <c r="F376" s="19" t="n">
        <v>79</v>
      </c>
      <c r="G376" s="21">
        <f>IFERROR(IF(INDEX(Effective!$E$3:$R$125,MATCH($B376,Effective!$A$3:$A$125,0),MATCH($D376,Effective!$E$2:$R$2,0))=0,"",INDEX(Effective!$E$3:$R$125,MATCH($B376,Effective!$A$3:$A$125,0),MATCH($D376,Effective!$E$2:$R$2,0))),"")</f>
        <v/>
      </c>
      <c r="H376" s="22" t="inlineStr">
        <is>
          <t>override</t>
        </is>
      </c>
      <c r="I376" s="23" t="n">
        <v>0.978</v>
      </c>
      <c r="J376" s="24">
        <f>IF(AND(IF($H377&lt;&gt;"",$H377,$H376)="override",$I376&lt;&gt;""),$I376,SUMIFS(Assumptions!$K$4:$K$8,Assumptions!$J$4:$J$8,$C376))*Assumptions!$S$10</f>
        <v/>
      </c>
      <c r="K376" s="23" t="n"/>
      <c r="L376" s="25">
        <f>IF(AND(IF($H377&lt;&gt;"",$H377,$H376)="override",$K376&lt;&gt;""),$K376,SUMIFS(Assumptions!$P$4:$P$103,Assumptions!$M$4:$M$103,$C376,Assumptions!$N$4:$N$103,$E376,Assumptions!$O$4:$O$103,"LVN"))</f>
        <v/>
      </c>
      <c r="M376" s="23" t="n"/>
      <c r="N376" s="25">
        <f>IF(AND(IF($H377&lt;&gt;"",$H377,$H376)="override",$M376&lt;&gt;""),$M376,SUMIFS(Assumptions!$P$4:$P$103,Assumptions!$M$4:$M$103,$C376,Assumptions!$N$4:$N$103,$E376,Assumptions!$O$4:$O$103,"HVN"))</f>
        <v/>
      </c>
      <c r="O376" s="25">
        <f>(L376+N376)*Assumptions!$S$11</f>
        <v/>
      </c>
      <c r="P376" s="26">
        <f>$F376*$J376*$O376</f>
        <v/>
      </c>
    </row>
    <row r="377">
      <c r="A377" s="27" t="inlineStr">
        <is>
          <t>TOTAL</t>
        </is>
      </c>
      <c r="B377" s="28" t="inlineStr">
        <is>
          <t>EXXONMOBIL_BATON_ROUGE</t>
        </is>
      </c>
      <c r="C377" s="28" t="n">
        <v>3</v>
      </c>
      <c r="D377" s="28" t="inlineStr">
        <is>
          <t>NET NAPHTHA</t>
        </is>
      </c>
      <c r="H377" s="22" t="n"/>
      <c r="P377" s="29">
        <f>SUM(P369:P376)</f>
        <v/>
      </c>
    </row>
    <row r="379" ht="20" customHeight="1">
      <c r="A379" s="8">
        <f>"  Citgo Lake Charles  [CITGO_LAKE_CHARLES]   —   PDVSA   —   PADD 3   —   crude "&amp;TEXT(SUMIFS(Data!$G$3:$G$125,Data!$A$3:$A$125,"CITGO_LAKE_CHARLES"),"#,##0")&amp;" kbd"</f>
        <v/>
      </c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</row>
    <row r="380">
      <c r="A380" s="11" t="inlineStr">
        <is>
          <t>UNIT</t>
        </is>
      </c>
      <c r="B380" s="18" t="inlineStr">
        <is>
          <t>CITGO_LAKE_CHARLES</t>
        </is>
      </c>
      <c r="C380" s="18" t="n">
        <v>3</v>
      </c>
      <c r="D380" s="18" t="inlineStr">
        <is>
          <t>CDU</t>
        </is>
      </c>
      <c r="E380" s="18" t="inlineStr">
        <is>
          <t>CDU</t>
        </is>
      </c>
      <c r="F380" s="19" t="n">
        <v>440</v>
      </c>
      <c r="G380" s="21">
        <f>IFERROR(IF(INDEX(Effective!$E$3:$R$125,MATCH($B380,Effective!$A$3:$A$125,0),MATCH($D380,Effective!$E$2:$R$2,0))=0,"",INDEX(Effective!$E$3:$R$125,MATCH($B380,Effective!$A$3:$A$125,0),MATCH($D380,Effective!$E$2:$R$2,0))),"")</f>
        <v/>
      </c>
      <c r="H380" s="22" t="inlineStr">
        <is>
          <t>override</t>
        </is>
      </c>
      <c r="I380" s="23" t="n">
        <v>0.982</v>
      </c>
      <c r="J380" s="24">
        <f>IF(AND(IF($H390&lt;&gt;"",$H390,$H380)="override",$I380&lt;&gt;""),$I380,SUMIFS(Assumptions!$K$4:$K$8,Assumptions!$J$4:$J$8,$C380))*Assumptions!$S$10</f>
        <v/>
      </c>
      <c r="K380" s="23" t="n"/>
      <c r="L380" s="25">
        <f>IF(AND(IF($H390&lt;&gt;"",$H390,$H380)="override",$K380&lt;&gt;""),$K380,SUMIFS(Assumptions!$P$4:$P$103,Assumptions!$M$4:$M$103,$C380,Assumptions!$N$4:$N$103,$E380,Assumptions!$O$4:$O$103,"LVN"))</f>
        <v/>
      </c>
      <c r="M380" s="23" t="n"/>
      <c r="N380" s="25">
        <f>IF(AND(IF($H390&lt;&gt;"",$H390,$H380)="override",$M380&lt;&gt;""),$M380,SUMIFS(Assumptions!$P$4:$P$103,Assumptions!$M$4:$M$103,$C380,Assumptions!$N$4:$N$103,$E380,Assumptions!$O$4:$O$103,"HVN"))</f>
        <v/>
      </c>
      <c r="O380" s="25">
        <f>(L380+N380)*Assumptions!$S$11</f>
        <v/>
      </c>
      <c r="P380" s="26">
        <f>$F380*$J380*$O380</f>
        <v/>
      </c>
    </row>
    <row r="381">
      <c r="A381" s="11" t="inlineStr">
        <is>
          <t>UNIT</t>
        </is>
      </c>
      <c r="B381" s="18" t="inlineStr">
        <is>
          <t>CITGO_LAKE_CHARLES</t>
        </is>
      </c>
      <c r="C381" s="18" t="n">
        <v>3</v>
      </c>
      <c r="D381" s="18" t="inlineStr">
        <is>
          <t>VDU</t>
        </is>
      </c>
      <c r="E381" s="18" t="inlineStr">
        <is>
          <t>VDU</t>
        </is>
      </c>
      <c r="F381" s="19" t="n">
        <v>230</v>
      </c>
      <c r="G381" s="21">
        <f>IFERROR(IF(INDEX(Effective!$E$3:$R$125,MATCH($B381,Effective!$A$3:$A$125,0),MATCH($D381,Effective!$E$2:$R$2,0))=0,"",INDEX(Effective!$E$3:$R$125,MATCH($B381,Effective!$A$3:$A$125,0),MATCH($D381,Effective!$E$2:$R$2,0))),"")</f>
        <v/>
      </c>
      <c r="H381" s="22" t="inlineStr">
        <is>
          <t>override</t>
        </is>
      </c>
      <c r="I381" s="23" t="n">
        <v>0.617</v>
      </c>
      <c r="J381" s="24">
        <f>IF(AND(IF($H390&lt;&gt;"",$H390,$H381)="override",$I381&lt;&gt;""),$I381,SUMIFS(Assumptions!$K$4:$K$8,Assumptions!$J$4:$J$8,$C381))*Assumptions!$S$10</f>
        <v/>
      </c>
      <c r="K381" s="23" t="n"/>
      <c r="L381" s="25">
        <f>IF(AND(IF($H390&lt;&gt;"",$H390,$H381)="override",$K381&lt;&gt;""),$K381,SUMIFS(Assumptions!$P$4:$P$103,Assumptions!$M$4:$M$103,$C381,Assumptions!$N$4:$N$103,$E381,Assumptions!$O$4:$O$103,"LVN"))</f>
        <v/>
      </c>
      <c r="M381" s="23" t="n"/>
      <c r="N381" s="25">
        <f>IF(AND(IF($H390&lt;&gt;"",$H390,$H381)="override",$M381&lt;&gt;""),$M381,SUMIFS(Assumptions!$P$4:$P$103,Assumptions!$M$4:$M$103,$C381,Assumptions!$N$4:$N$103,$E381,Assumptions!$O$4:$O$103,"HVN"))</f>
        <v/>
      </c>
      <c r="O381" s="25">
        <f>(L381+N381)*Assumptions!$S$11</f>
        <v/>
      </c>
      <c r="P381" s="26">
        <f>$F381*$J381*$O381</f>
        <v/>
      </c>
    </row>
    <row r="382">
      <c r="A382" s="11" t="inlineStr">
        <is>
          <t>UNIT</t>
        </is>
      </c>
      <c r="B382" s="18" t="inlineStr">
        <is>
          <t>CITGO_LAKE_CHARLES</t>
        </is>
      </c>
      <c r="C382" s="18" t="n">
        <v>3</v>
      </c>
      <c r="D382" s="18" t="inlineStr">
        <is>
          <t>FCC</t>
        </is>
      </c>
      <c r="E382" s="18" t="inlineStr">
        <is>
          <t>FCC</t>
        </is>
      </c>
      <c r="F382" s="19" t="n">
        <v>148</v>
      </c>
      <c r="G382" s="21">
        <f>IFERROR(IF(INDEX(Effective!$E$3:$R$125,MATCH($B382,Effective!$A$3:$A$125,0),MATCH($D382,Effective!$E$2:$R$2,0))=0,"",INDEX(Effective!$E$3:$R$125,MATCH($B382,Effective!$A$3:$A$125,0),MATCH($D382,Effective!$E$2:$R$2,0))),"")</f>
        <v/>
      </c>
      <c r="H382" s="22" t="inlineStr">
        <is>
          <t>override</t>
        </is>
      </c>
      <c r="I382" s="23" t="n">
        <v>0.701</v>
      </c>
      <c r="J382" s="24">
        <f>IF(AND(IF($H390&lt;&gt;"",$H390,$H382)="override",$I382&lt;&gt;""),$I382,SUMIFS(Assumptions!$K$4:$K$8,Assumptions!$J$4:$J$8,$C382))*Assumptions!$S$10</f>
        <v/>
      </c>
      <c r="K382" s="23" t="n"/>
      <c r="L382" s="25">
        <f>IF(AND(IF($H390&lt;&gt;"",$H390,$H382)="override",$K382&lt;&gt;""),$K382,SUMIFS(Assumptions!$P$4:$P$103,Assumptions!$M$4:$M$103,$C382,Assumptions!$N$4:$N$103,$E382,Assumptions!$O$4:$O$103,"LVN"))</f>
        <v/>
      </c>
      <c r="M382" s="23" t="n"/>
      <c r="N382" s="25">
        <f>IF(AND(IF($H390&lt;&gt;"",$H390,$H382)="override",$M382&lt;&gt;""),$M382,SUMIFS(Assumptions!$P$4:$P$103,Assumptions!$M$4:$M$103,$C382,Assumptions!$N$4:$N$103,$E382,Assumptions!$O$4:$O$103,"HVN"))</f>
        <v/>
      </c>
      <c r="O382" s="25">
        <f>(L382+N382)*Assumptions!$S$11</f>
        <v/>
      </c>
      <c r="P382" s="26">
        <f>$F382*$J382*$O382</f>
        <v/>
      </c>
    </row>
    <row r="383">
      <c r="A383" s="11" t="inlineStr">
        <is>
          <t>UNIT</t>
        </is>
      </c>
      <c r="B383" s="18" t="inlineStr">
        <is>
          <t>CITGO_LAKE_CHARLES</t>
        </is>
      </c>
      <c r="C383" s="18" t="n">
        <v>3</v>
      </c>
      <c r="D383" s="18" t="inlineStr">
        <is>
          <t>DHCU</t>
        </is>
      </c>
      <c r="E383" s="18" t="inlineStr">
        <is>
          <t>HYDROCRACKER</t>
        </is>
      </c>
      <c r="F383" s="19" t="n">
        <v>51.2</v>
      </c>
      <c r="G383" s="21">
        <f>IFERROR(IF(INDEX(Effective!$E$3:$R$125,MATCH($B383,Effective!$A$3:$A$125,0),MATCH($D383,Effective!$E$2:$R$2,0))=0,"",INDEX(Effective!$E$3:$R$125,MATCH($B383,Effective!$A$3:$A$125,0),MATCH($D383,Effective!$E$2:$R$2,0))),"")</f>
        <v/>
      </c>
      <c r="H383" s="22" t="inlineStr">
        <is>
          <t>override</t>
        </is>
      </c>
      <c r="I383" s="23" t="n">
        <v>0.733</v>
      </c>
      <c r="J383" s="24">
        <f>IF(AND(IF($H390&lt;&gt;"",$H390,$H383)="override",$I383&lt;&gt;""),$I383,SUMIFS(Assumptions!$K$4:$K$8,Assumptions!$J$4:$J$8,$C383))*Assumptions!$S$10</f>
        <v/>
      </c>
      <c r="K383" s="23" t="n"/>
      <c r="L383" s="25">
        <f>IF(AND(IF($H390&lt;&gt;"",$H390,$H383)="override",$K383&lt;&gt;""),$K383,SUMIFS(Assumptions!$P$4:$P$103,Assumptions!$M$4:$M$103,$C383,Assumptions!$N$4:$N$103,$E383,Assumptions!$O$4:$O$103,"LVN"))</f>
        <v/>
      </c>
      <c r="M383" s="23" t="n"/>
      <c r="N383" s="25">
        <f>IF(AND(IF($H390&lt;&gt;"",$H390,$H383)="override",$M383&lt;&gt;""),$M383,SUMIFS(Assumptions!$P$4:$P$103,Assumptions!$M$4:$M$103,$C383,Assumptions!$N$4:$N$103,$E383,Assumptions!$O$4:$O$103,"HVN"))</f>
        <v/>
      </c>
      <c r="O383" s="25">
        <f>(L383+N383)*Assumptions!$S$11</f>
        <v/>
      </c>
      <c r="P383" s="26">
        <f>$F383*$J383*$O383</f>
        <v/>
      </c>
    </row>
    <row r="384">
      <c r="A384" s="11" t="inlineStr">
        <is>
          <t>UNIT</t>
        </is>
      </c>
      <c r="B384" s="18" t="inlineStr">
        <is>
          <t>CITGO_LAKE_CHARLES</t>
        </is>
      </c>
      <c r="C384" s="18" t="n">
        <v>3</v>
      </c>
      <c r="D384" s="18" t="inlineStr">
        <is>
          <t>COKER</t>
        </is>
      </c>
      <c r="E384" s="18" t="inlineStr">
        <is>
          <t>COKER</t>
        </is>
      </c>
      <c r="F384" s="19" t="n">
        <v>110</v>
      </c>
      <c r="G384" s="21">
        <f>IFERROR(IF(INDEX(Effective!$E$3:$R$125,MATCH($B384,Effective!$A$3:$A$125,0),MATCH($D384,Effective!$E$2:$R$2,0))=0,"",INDEX(Effective!$E$3:$R$125,MATCH($B384,Effective!$A$3:$A$125,0),MATCH($D384,Effective!$E$2:$R$2,0))),"")</f>
        <v/>
      </c>
      <c r="H384" s="22" t="inlineStr">
        <is>
          <t>override</t>
        </is>
      </c>
      <c r="I384" s="23" t="n">
        <v>0.596</v>
      </c>
      <c r="J384" s="24">
        <f>IF(AND(IF($H390&lt;&gt;"",$H390,$H384)="override",$I384&lt;&gt;""),$I384,SUMIFS(Assumptions!$K$4:$K$8,Assumptions!$J$4:$J$8,$C384))*Assumptions!$S$10</f>
        <v/>
      </c>
      <c r="K384" s="23" t="n"/>
      <c r="L384" s="25">
        <f>IF(AND(IF($H390&lt;&gt;"",$H390,$H384)="override",$K384&lt;&gt;""),$K384,SUMIFS(Assumptions!$P$4:$P$103,Assumptions!$M$4:$M$103,$C384,Assumptions!$N$4:$N$103,$E384,Assumptions!$O$4:$O$103,"LVN"))</f>
        <v/>
      </c>
      <c r="M384" s="23" t="n"/>
      <c r="N384" s="25">
        <f>IF(AND(IF($H390&lt;&gt;"",$H390,$H384)="override",$M384&lt;&gt;""),$M384,SUMIFS(Assumptions!$P$4:$P$103,Assumptions!$M$4:$M$103,$C384,Assumptions!$N$4:$N$103,$E384,Assumptions!$O$4:$O$103,"HVN"))</f>
        <v/>
      </c>
      <c r="O384" s="25">
        <f>(L384+N384)*Assumptions!$S$11</f>
        <v/>
      </c>
      <c r="P384" s="26">
        <f>$F384*$J384*$O384</f>
        <v/>
      </c>
    </row>
    <row r="385">
      <c r="A385" s="11" t="inlineStr">
        <is>
          <t>UNIT</t>
        </is>
      </c>
      <c r="B385" s="18" t="inlineStr">
        <is>
          <t>CITGO_LAKE_CHARLES</t>
        </is>
      </c>
      <c r="C385" s="18" t="n">
        <v>3</v>
      </c>
      <c r="D385" s="18" t="inlineStr">
        <is>
          <t>CCR</t>
        </is>
      </c>
      <c r="E385" s="18" t="inlineStr">
        <is>
          <t>REFORMER</t>
        </is>
      </c>
      <c r="F385" s="19" t="n">
        <v>65</v>
      </c>
      <c r="G385" s="21">
        <f>IFERROR(IF(INDEX(Effective!$E$3:$R$125,MATCH($B385,Effective!$A$3:$A$125,0),MATCH($D385,Effective!$E$2:$R$2,0))=0,"",INDEX(Effective!$E$3:$R$125,MATCH($B385,Effective!$A$3:$A$125,0),MATCH($D385,Effective!$E$2:$R$2,0))),"")</f>
        <v/>
      </c>
      <c r="H385" s="22" t="inlineStr">
        <is>
          <t>override</t>
        </is>
      </c>
      <c r="I385" s="23" t="n">
        <v>0.985</v>
      </c>
      <c r="J385" s="24">
        <f>IF(AND(IF($H390&lt;&gt;"",$H390,$H385)="override",$I385&lt;&gt;""),$I385,SUMIFS(Assumptions!$K$4:$K$8,Assumptions!$J$4:$J$8,$C385))*Assumptions!$S$10</f>
        <v/>
      </c>
      <c r="K385" s="23" t="n"/>
      <c r="L385" s="25">
        <f>IF(AND(IF($H390&lt;&gt;"",$H390,$H385)="override",$K385&lt;&gt;""),$K385,SUMIFS(Assumptions!$P$4:$P$103,Assumptions!$M$4:$M$103,$C385,Assumptions!$N$4:$N$103,$E385,Assumptions!$O$4:$O$103,"LVN"))</f>
        <v/>
      </c>
      <c r="M385" s="23" t="n"/>
      <c r="N385" s="25">
        <f>IF(AND(IF($H390&lt;&gt;"",$H390,$H385)="override",$M385&lt;&gt;""),$M385,SUMIFS(Assumptions!$P$4:$P$103,Assumptions!$M$4:$M$103,$C385,Assumptions!$N$4:$N$103,$E385,Assumptions!$O$4:$O$103,"HVN"))</f>
        <v/>
      </c>
      <c r="O385" s="25">
        <f>(L385+N385)*Assumptions!$S$11</f>
        <v/>
      </c>
      <c r="P385" s="26">
        <f>$F385*$J385*$O385</f>
        <v/>
      </c>
    </row>
    <row r="386">
      <c r="A386" s="11" t="inlineStr">
        <is>
          <t>UNIT</t>
        </is>
      </c>
      <c r="B386" s="18" t="inlineStr">
        <is>
          <t>CITGO_LAKE_CHARLES</t>
        </is>
      </c>
      <c r="C386" s="18" t="n">
        <v>3</v>
      </c>
      <c r="D386" s="18" t="inlineStr">
        <is>
          <t>REF</t>
        </is>
      </c>
      <c r="E386" s="18" t="inlineStr">
        <is>
          <t>REFORMER</t>
        </is>
      </c>
      <c r="F386" s="19" t="n">
        <v>53.2</v>
      </c>
      <c r="G386" s="21">
        <f>IFERROR(IF(INDEX(Effective!$E$3:$R$125,MATCH($B386,Effective!$A$3:$A$125,0),MATCH($D386,Effective!$E$2:$R$2,0))=0,"",INDEX(Effective!$E$3:$R$125,MATCH($B386,Effective!$A$3:$A$125,0),MATCH($D386,Effective!$E$2:$R$2,0))),"")</f>
        <v/>
      </c>
      <c r="H386" s="22" t="inlineStr">
        <is>
          <t>override</t>
        </is>
      </c>
      <c r="I386" s="23" t="n">
        <v>0.872</v>
      </c>
      <c r="J386" s="24">
        <f>IF(AND(IF($H390&lt;&gt;"",$H390,$H386)="override",$I386&lt;&gt;""),$I386,SUMIFS(Assumptions!$K$4:$K$8,Assumptions!$J$4:$J$8,$C386))*Assumptions!$S$10</f>
        <v/>
      </c>
      <c r="K386" s="23" t="n"/>
      <c r="L386" s="25">
        <f>IF(AND(IF($H390&lt;&gt;"",$H390,$H386)="override",$K386&lt;&gt;""),$K386,SUMIFS(Assumptions!$P$4:$P$103,Assumptions!$M$4:$M$103,$C386,Assumptions!$N$4:$N$103,$E386,Assumptions!$O$4:$O$103,"LVN"))</f>
        <v/>
      </c>
      <c r="M386" s="23" t="n"/>
      <c r="N386" s="25">
        <f>IF(AND(IF($H390&lt;&gt;"",$H390,$H386)="override",$M386&lt;&gt;""),$M386,SUMIFS(Assumptions!$P$4:$P$103,Assumptions!$M$4:$M$103,$C386,Assumptions!$N$4:$N$103,$E386,Assumptions!$O$4:$O$103,"HVN"))</f>
        <v/>
      </c>
      <c r="O386" s="25">
        <f>(L386+N386)*Assumptions!$S$11</f>
        <v/>
      </c>
      <c r="P386" s="26">
        <f>$F386*$J386*$O386</f>
        <v/>
      </c>
    </row>
    <row r="387">
      <c r="A387" s="11" t="inlineStr">
        <is>
          <t>UNIT</t>
        </is>
      </c>
      <c r="B387" s="18" t="inlineStr">
        <is>
          <t>CITGO_LAKE_CHARLES</t>
        </is>
      </c>
      <c r="C387" s="18" t="n">
        <v>3</v>
      </c>
      <c r="D387" s="18" t="inlineStr">
        <is>
          <t>ISOM</t>
        </is>
      </c>
      <c r="E387" s="18" t="inlineStr">
        <is>
          <t>ISOM</t>
        </is>
      </c>
      <c r="F387" s="19" t="n">
        <v>28</v>
      </c>
      <c r="G387" s="21">
        <f>IFERROR(IF(INDEX(Effective!$E$3:$R$125,MATCH($B387,Effective!$A$3:$A$125,0),MATCH($D387,Effective!$E$2:$R$2,0))=0,"",INDEX(Effective!$E$3:$R$125,MATCH($B387,Effective!$A$3:$A$125,0),MATCH($D387,Effective!$E$2:$R$2,0))),"")</f>
        <v/>
      </c>
      <c r="H387" s="22" t="inlineStr">
        <is>
          <t>override</t>
        </is>
      </c>
      <c r="I387" s="23" t="n">
        <v>0.464</v>
      </c>
      <c r="J387" s="24">
        <f>IF(AND(IF($H390&lt;&gt;"",$H390,$H387)="override",$I387&lt;&gt;""),$I387,SUMIFS(Assumptions!$K$4:$K$8,Assumptions!$J$4:$J$8,$C387))*Assumptions!$S$10</f>
        <v/>
      </c>
      <c r="K387" s="23" t="n"/>
      <c r="L387" s="25">
        <f>IF(AND(IF($H390&lt;&gt;"",$H390,$H387)="override",$K387&lt;&gt;""),$K387,SUMIFS(Assumptions!$P$4:$P$103,Assumptions!$M$4:$M$103,$C387,Assumptions!$N$4:$N$103,$E387,Assumptions!$O$4:$O$103,"LVN"))</f>
        <v/>
      </c>
      <c r="M387" s="23" t="n"/>
      <c r="N387" s="25">
        <f>IF(AND(IF($H390&lt;&gt;"",$H390,$H387)="override",$M387&lt;&gt;""),$M387,SUMIFS(Assumptions!$P$4:$P$103,Assumptions!$M$4:$M$103,$C387,Assumptions!$N$4:$N$103,$E387,Assumptions!$O$4:$O$103,"HVN"))</f>
        <v/>
      </c>
      <c r="O387" s="25">
        <f>(L387+N387)*Assumptions!$S$11</f>
        <v/>
      </c>
      <c r="P387" s="26">
        <f>$F387*$J387*$O387</f>
        <v/>
      </c>
    </row>
    <row r="388">
      <c r="A388" s="11" t="inlineStr">
        <is>
          <t>UNIT</t>
        </is>
      </c>
      <c r="B388" s="18" t="inlineStr">
        <is>
          <t>CITGO_LAKE_CHARLES</t>
        </is>
      </c>
      <c r="C388" s="18" t="n">
        <v>3</v>
      </c>
      <c r="D388" s="18" t="inlineStr">
        <is>
          <t>ALKY</t>
        </is>
      </c>
      <c r="E388" s="18" t="inlineStr">
        <is>
          <t>ALKY</t>
        </is>
      </c>
      <c r="F388" s="19" t="n">
        <v>28.1</v>
      </c>
      <c r="G388" s="21">
        <f>IFERROR(IF(INDEX(Effective!$E$3:$R$125,MATCH($B388,Effective!$A$3:$A$125,0),MATCH($D388,Effective!$E$2:$R$2,0))=0,"",INDEX(Effective!$E$3:$R$125,MATCH($B388,Effective!$A$3:$A$125,0),MATCH($D388,Effective!$E$2:$R$2,0))),"")</f>
        <v/>
      </c>
      <c r="H388" s="22" t="inlineStr">
        <is>
          <t>override</t>
        </is>
      </c>
      <c r="I388" s="23" t="n">
        <v>1.1</v>
      </c>
      <c r="J388" s="24">
        <f>IF(AND(IF($H390&lt;&gt;"",$H390,$H388)="override",$I388&lt;&gt;""),$I388,SUMIFS(Assumptions!$K$4:$K$8,Assumptions!$J$4:$J$8,$C388))*Assumptions!$S$10</f>
        <v/>
      </c>
      <c r="K388" s="23" t="n"/>
      <c r="L388" s="25">
        <f>IF(AND(IF($H390&lt;&gt;"",$H390,$H388)="override",$K388&lt;&gt;""),$K388,SUMIFS(Assumptions!$P$4:$P$103,Assumptions!$M$4:$M$103,$C388,Assumptions!$N$4:$N$103,$E388,Assumptions!$O$4:$O$103,"LVN"))</f>
        <v/>
      </c>
      <c r="M388" s="23" t="n"/>
      <c r="N388" s="25">
        <f>IF(AND(IF($H390&lt;&gt;"",$H390,$H388)="override",$M388&lt;&gt;""),$M388,SUMIFS(Assumptions!$P$4:$P$103,Assumptions!$M$4:$M$103,$C388,Assumptions!$N$4:$N$103,$E388,Assumptions!$O$4:$O$103,"HVN"))</f>
        <v/>
      </c>
      <c r="O388" s="25">
        <f>(L388+N388)*Assumptions!$S$11</f>
        <v/>
      </c>
      <c r="P388" s="26">
        <f>$F388*$J388*$O388</f>
        <v/>
      </c>
    </row>
    <row r="389">
      <c r="A389" s="11" t="inlineStr">
        <is>
          <t>UNIT</t>
        </is>
      </c>
      <c r="B389" s="18" t="inlineStr">
        <is>
          <t>CITGO_LAKE_CHARLES</t>
        </is>
      </c>
      <c r="C389" s="18" t="n">
        <v>3</v>
      </c>
      <c r="D389" s="18" t="inlineStr">
        <is>
          <t>NHT</t>
        </is>
      </c>
      <c r="E389" s="18" t="inlineStr">
        <is>
          <t>NHT</t>
        </is>
      </c>
      <c r="F389" s="19" t="n">
        <v>131.2</v>
      </c>
      <c r="G389" s="21">
        <f>IFERROR(IF(INDEX(Effective!$E$3:$R$125,MATCH($B389,Effective!$A$3:$A$125,0),MATCH($D389,Effective!$E$2:$R$2,0))=0,"",INDEX(Effective!$E$3:$R$125,MATCH($B389,Effective!$A$3:$A$125,0),MATCH($D389,Effective!$E$2:$R$2,0))),"")</f>
        <v/>
      </c>
      <c r="H389" s="22" t="inlineStr">
        <is>
          <t>override</t>
        </is>
      </c>
      <c r="I389" s="23" t="n">
        <v>0.9409999999999999</v>
      </c>
      <c r="J389" s="24">
        <f>IF(AND(IF($H390&lt;&gt;"",$H390,$H389)="override",$I389&lt;&gt;""),$I389,SUMIFS(Assumptions!$K$4:$K$8,Assumptions!$J$4:$J$8,$C389))*Assumptions!$S$10</f>
        <v/>
      </c>
      <c r="K389" s="23" t="n"/>
      <c r="L389" s="25">
        <f>IF(AND(IF($H390&lt;&gt;"",$H390,$H389)="override",$K389&lt;&gt;""),$K389,SUMIFS(Assumptions!$P$4:$P$103,Assumptions!$M$4:$M$103,$C389,Assumptions!$N$4:$N$103,$E389,Assumptions!$O$4:$O$103,"LVN"))</f>
        <v/>
      </c>
      <c r="M389" s="23" t="n"/>
      <c r="N389" s="25">
        <f>IF(AND(IF($H390&lt;&gt;"",$H390,$H389)="override",$M389&lt;&gt;""),$M389,SUMIFS(Assumptions!$P$4:$P$103,Assumptions!$M$4:$M$103,$C389,Assumptions!$N$4:$N$103,$E389,Assumptions!$O$4:$O$103,"HVN"))</f>
        <v/>
      </c>
      <c r="O389" s="25">
        <f>(L389+N389)*Assumptions!$S$11</f>
        <v/>
      </c>
      <c r="P389" s="26">
        <f>$F389*$J389*$O389</f>
        <v/>
      </c>
    </row>
    <row r="390">
      <c r="A390" s="27" t="inlineStr">
        <is>
          <t>TOTAL</t>
        </is>
      </c>
      <c r="B390" s="28" t="inlineStr">
        <is>
          <t>CITGO_LAKE_CHARLES</t>
        </is>
      </c>
      <c r="C390" s="28" t="n">
        <v>3</v>
      </c>
      <c r="D390" s="28" t="inlineStr">
        <is>
          <t>NET NAPHTHA</t>
        </is>
      </c>
      <c r="H390" s="22" t="n"/>
      <c r="P390" s="29">
        <f>SUM(P380:P389)</f>
        <v/>
      </c>
    </row>
    <row r="392" ht="20" customHeight="1">
      <c r="A392" s="8">
        <f>"  Valero Port Arthur  [VALERO_PORT_ARTHUR]   —   Valero   —   PADD 3   —   crude "&amp;TEXT(SUMIFS(Data!$G$3:$G$125,Data!$A$3:$A$125,"VALERO_PORT_ARTHUR"),"#,##0")&amp;" kbd"</f>
        <v/>
      </c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</row>
    <row r="393">
      <c r="A393" s="11" t="inlineStr">
        <is>
          <t>UNIT</t>
        </is>
      </c>
      <c r="B393" s="18" t="inlineStr">
        <is>
          <t>VALERO_PORT_ARTHUR</t>
        </is>
      </c>
      <c r="C393" s="18" t="n">
        <v>3</v>
      </c>
      <c r="D393" s="18" t="inlineStr">
        <is>
          <t>CDU</t>
        </is>
      </c>
      <c r="E393" s="18" t="inlineStr">
        <is>
          <t>CDU</t>
        </is>
      </c>
      <c r="F393" s="19" t="n">
        <v>415</v>
      </c>
      <c r="G393" s="21">
        <f>IFERROR(IF(INDEX(Effective!$E$3:$R$125,MATCH($B393,Effective!$A$3:$A$125,0),MATCH($D393,Effective!$E$2:$R$2,0))=0,"",INDEX(Effective!$E$3:$R$125,MATCH($B393,Effective!$A$3:$A$125,0),MATCH($D393,Effective!$E$2:$R$2,0))),"")</f>
        <v/>
      </c>
      <c r="H393" s="22" t="inlineStr">
        <is>
          <t>override</t>
        </is>
      </c>
      <c r="I393" s="23" t="n">
        <v>0.669</v>
      </c>
      <c r="J393" s="24">
        <f>IF(AND(IF($H401&lt;&gt;"",$H401,$H393)="override",$I393&lt;&gt;""),$I393,SUMIFS(Assumptions!$K$4:$K$8,Assumptions!$J$4:$J$8,$C393))*Assumptions!$S$10</f>
        <v/>
      </c>
      <c r="K393" s="23" t="n"/>
      <c r="L393" s="25">
        <f>IF(AND(IF($H401&lt;&gt;"",$H401,$H393)="override",$K393&lt;&gt;""),$K393,SUMIFS(Assumptions!$P$4:$P$103,Assumptions!$M$4:$M$103,$C393,Assumptions!$N$4:$N$103,$E393,Assumptions!$O$4:$O$103,"LVN"))</f>
        <v/>
      </c>
      <c r="M393" s="23" t="n"/>
      <c r="N393" s="25">
        <f>IF(AND(IF($H401&lt;&gt;"",$H401,$H393)="override",$M393&lt;&gt;""),$M393,SUMIFS(Assumptions!$P$4:$P$103,Assumptions!$M$4:$M$103,$C393,Assumptions!$N$4:$N$103,$E393,Assumptions!$O$4:$O$103,"HVN"))</f>
        <v/>
      </c>
      <c r="O393" s="25">
        <f>(L393+N393)*Assumptions!$S$11</f>
        <v/>
      </c>
      <c r="P393" s="26">
        <f>$F393*$J393*$O393</f>
        <v/>
      </c>
    </row>
    <row r="394">
      <c r="A394" s="11" t="inlineStr">
        <is>
          <t>UNIT</t>
        </is>
      </c>
      <c r="B394" s="18" t="inlineStr">
        <is>
          <t>VALERO_PORT_ARTHUR</t>
        </is>
      </c>
      <c r="C394" s="18" t="n">
        <v>3</v>
      </c>
      <c r="D394" s="18" t="inlineStr">
        <is>
          <t>VDU</t>
        </is>
      </c>
      <c r="E394" s="18" t="inlineStr">
        <is>
          <t>VDU</t>
        </is>
      </c>
      <c r="F394" s="19" t="n">
        <v>220</v>
      </c>
      <c r="G394" s="21">
        <f>IFERROR(IF(INDEX(Effective!$E$3:$R$125,MATCH($B394,Effective!$A$3:$A$125,0),MATCH($D394,Effective!$E$2:$R$2,0))=0,"",INDEX(Effective!$E$3:$R$125,MATCH($B394,Effective!$A$3:$A$125,0),MATCH($D394,Effective!$E$2:$R$2,0))),"")</f>
        <v/>
      </c>
      <c r="H394" s="22" t="inlineStr">
        <is>
          <t>override</t>
        </is>
      </c>
      <c r="I394" s="23" t="n">
        <v>0.735</v>
      </c>
      <c r="J394" s="24">
        <f>IF(AND(IF($H401&lt;&gt;"",$H401,$H394)="override",$I394&lt;&gt;""),$I394,SUMIFS(Assumptions!$K$4:$K$8,Assumptions!$J$4:$J$8,$C394))*Assumptions!$S$10</f>
        <v/>
      </c>
      <c r="K394" s="23" t="n"/>
      <c r="L394" s="25">
        <f>IF(AND(IF($H401&lt;&gt;"",$H401,$H394)="override",$K394&lt;&gt;""),$K394,SUMIFS(Assumptions!$P$4:$P$103,Assumptions!$M$4:$M$103,$C394,Assumptions!$N$4:$N$103,$E394,Assumptions!$O$4:$O$103,"LVN"))</f>
        <v/>
      </c>
      <c r="M394" s="23" t="n"/>
      <c r="N394" s="25">
        <f>IF(AND(IF($H401&lt;&gt;"",$H401,$H394)="override",$M394&lt;&gt;""),$M394,SUMIFS(Assumptions!$P$4:$P$103,Assumptions!$M$4:$M$103,$C394,Assumptions!$N$4:$N$103,$E394,Assumptions!$O$4:$O$103,"HVN"))</f>
        <v/>
      </c>
      <c r="O394" s="25">
        <f>(L394+N394)*Assumptions!$S$11</f>
        <v/>
      </c>
      <c r="P394" s="26">
        <f>$F394*$J394*$O394</f>
        <v/>
      </c>
    </row>
    <row r="395">
      <c r="A395" s="11" t="inlineStr">
        <is>
          <t>UNIT</t>
        </is>
      </c>
      <c r="B395" s="18" t="inlineStr">
        <is>
          <t>VALERO_PORT_ARTHUR</t>
        </is>
      </c>
      <c r="C395" s="18" t="n">
        <v>3</v>
      </c>
      <c r="D395" s="18" t="inlineStr">
        <is>
          <t>FCC</t>
        </is>
      </c>
      <c r="E395" s="18" t="inlineStr">
        <is>
          <t>FCC</t>
        </is>
      </c>
      <c r="F395" s="19" t="n">
        <v>75</v>
      </c>
      <c r="G395" s="21">
        <f>IFERROR(IF(INDEX(Effective!$E$3:$R$125,MATCH($B395,Effective!$A$3:$A$125,0),MATCH($D395,Effective!$E$2:$R$2,0))=0,"",INDEX(Effective!$E$3:$R$125,MATCH($B395,Effective!$A$3:$A$125,0),MATCH($D395,Effective!$E$2:$R$2,0))),"")</f>
        <v/>
      </c>
      <c r="H395" s="22" t="inlineStr">
        <is>
          <t>override</t>
        </is>
      </c>
      <c r="I395" s="23" t="n">
        <v>0.638</v>
      </c>
      <c r="J395" s="24">
        <f>IF(AND(IF($H401&lt;&gt;"",$H401,$H395)="override",$I395&lt;&gt;""),$I395,SUMIFS(Assumptions!$K$4:$K$8,Assumptions!$J$4:$J$8,$C395))*Assumptions!$S$10</f>
        <v/>
      </c>
      <c r="K395" s="23" t="n"/>
      <c r="L395" s="25">
        <f>IF(AND(IF($H401&lt;&gt;"",$H401,$H395)="override",$K395&lt;&gt;""),$K395,SUMIFS(Assumptions!$P$4:$P$103,Assumptions!$M$4:$M$103,$C395,Assumptions!$N$4:$N$103,$E395,Assumptions!$O$4:$O$103,"LVN"))</f>
        <v/>
      </c>
      <c r="M395" s="23" t="n"/>
      <c r="N395" s="25">
        <f>IF(AND(IF($H401&lt;&gt;"",$H401,$H395)="override",$M395&lt;&gt;""),$M395,SUMIFS(Assumptions!$P$4:$P$103,Assumptions!$M$4:$M$103,$C395,Assumptions!$N$4:$N$103,$E395,Assumptions!$O$4:$O$103,"HVN"))</f>
        <v/>
      </c>
      <c r="O395" s="25">
        <f>(L395+N395)*Assumptions!$S$11</f>
        <v/>
      </c>
      <c r="P395" s="26">
        <f>$F395*$J395*$O395</f>
        <v/>
      </c>
    </row>
    <row r="396">
      <c r="A396" s="11" t="inlineStr">
        <is>
          <t>UNIT</t>
        </is>
      </c>
      <c r="B396" s="18" t="inlineStr">
        <is>
          <t>VALERO_PORT_ARTHUR</t>
        </is>
      </c>
      <c r="C396" s="18" t="n">
        <v>3</v>
      </c>
      <c r="D396" s="18" t="inlineStr">
        <is>
          <t>DHCU</t>
        </is>
      </c>
      <c r="E396" s="18" t="inlineStr">
        <is>
          <t>HYDROCRACKER</t>
        </is>
      </c>
      <c r="F396" s="19" t="n">
        <v>134.8</v>
      </c>
      <c r="G396" s="21">
        <f>IFERROR(IF(INDEX(Effective!$E$3:$R$125,MATCH($B396,Effective!$A$3:$A$125,0),MATCH($D396,Effective!$E$2:$R$2,0))=0,"",INDEX(Effective!$E$3:$R$125,MATCH($B396,Effective!$A$3:$A$125,0),MATCH($D396,Effective!$E$2:$R$2,0))),"")</f>
        <v/>
      </c>
      <c r="H396" s="22" t="inlineStr">
        <is>
          <t>override</t>
        </is>
      </c>
      <c r="I396" s="23" t="n">
        <v>0.386</v>
      </c>
      <c r="J396" s="24">
        <f>IF(AND(IF($H401&lt;&gt;"",$H401,$H396)="override",$I396&lt;&gt;""),$I396,SUMIFS(Assumptions!$K$4:$K$8,Assumptions!$J$4:$J$8,$C396))*Assumptions!$S$10</f>
        <v/>
      </c>
      <c r="K396" s="23" t="n"/>
      <c r="L396" s="25">
        <f>IF(AND(IF($H401&lt;&gt;"",$H401,$H396)="override",$K396&lt;&gt;""),$K396,SUMIFS(Assumptions!$P$4:$P$103,Assumptions!$M$4:$M$103,$C396,Assumptions!$N$4:$N$103,$E396,Assumptions!$O$4:$O$103,"LVN"))</f>
        <v/>
      </c>
      <c r="M396" s="23" t="n"/>
      <c r="N396" s="25">
        <f>IF(AND(IF($H401&lt;&gt;"",$H401,$H396)="override",$M396&lt;&gt;""),$M396,SUMIFS(Assumptions!$P$4:$P$103,Assumptions!$M$4:$M$103,$C396,Assumptions!$N$4:$N$103,$E396,Assumptions!$O$4:$O$103,"HVN"))</f>
        <v/>
      </c>
      <c r="O396" s="25">
        <f>(L396+N396)*Assumptions!$S$11</f>
        <v/>
      </c>
      <c r="P396" s="26">
        <f>$F396*$J396*$O396</f>
        <v/>
      </c>
    </row>
    <row r="397">
      <c r="A397" s="11" t="inlineStr">
        <is>
          <t>UNIT</t>
        </is>
      </c>
      <c r="B397" s="18" t="inlineStr">
        <is>
          <t>VALERO_PORT_ARTHUR</t>
        </is>
      </c>
      <c r="C397" s="18" t="n">
        <v>3</v>
      </c>
      <c r="D397" s="18" t="inlineStr">
        <is>
          <t>COKER</t>
        </is>
      </c>
      <c r="E397" s="18" t="inlineStr">
        <is>
          <t>COKER</t>
        </is>
      </c>
      <c r="F397" s="19" t="n">
        <v>158</v>
      </c>
      <c r="G397" s="21">
        <f>IFERROR(IF(INDEX(Effective!$E$3:$R$125,MATCH($B397,Effective!$A$3:$A$125,0),MATCH($D397,Effective!$E$2:$R$2,0))=0,"",INDEX(Effective!$E$3:$R$125,MATCH($B397,Effective!$A$3:$A$125,0),MATCH($D397,Effective!$E$2:$R$2,0))),"")</f>
        <v/>
      </c>
      <c r="H397" s="22" t="inlineStr">
        <is>
          <t>override</t>
        </is>
      </c>
      <c r="I397" s="23" t="n">
        <v>0.621</v>
      </c>
      <c r="J397" s="24">
        <f>IF(AND(IF($H401&lt;&gt;"",$H401,$H397)="override",$I397&lt;&gt;""),$I397,SUMIFS(Assumptions!$K$4:$K$8,Assumptions!$J$4:$J$8,$C397))*Assumptions!$S$10</f>
        <v/>
      </c>
      <c r="K397" s="23" t="n"/>
      <c r="L397" s="25">
        <f>IF(AND(IF($H401&lt;&gt;"",$H401,$H397)="override",$K397&lt;&gt;""),$K397,SUMIFS(Assumptions!$P$4:$P$103,Assumptions!$M$4:$M$103,$C397,Assumptions!$N$4:$N$103,$E397,Assumptions!$O$4:$O$103,"LVN"))</f>
        <v/>
      </c>
      <c r="M397" s="23" t="n"/>
      <c r="N397" s="25">
        <f>IF(AND(IF($H401&lt;&gt;"",$H401,$H397)="override",$M397&lt;&gt;""),$M397,SUMIFS(Assumptions!$P$4:$P$103,Assumptions!$M$4:$M$103,$C397,Assumptions!$N$4:$N$103,$E397,Assumptions!$O$4:$O$103,"HVN"))</f>
        <v/>
      </c>
      <c r="O397" s="25">
        <f>(L397+N397)*Assumptions!$S$11</f>
        <v/>
      </c>
      <c r="P397" s="26">
        <f>$F397*$J397*$O397</f>
        <v/>
      </c>
    </row>
    <row r="398">
      <c r="A398" s="11" t="inlineStr">
        <is>
          <t>UNIT</t>
        </is>
      </c>
      <c r="B398" s="18" t="inlineStr">
        <is>
          <t>VALERO_PORT_ARTHUR</t>
        </is>
      </c>
      <c r="C398" s="18" t="n">
        <v>3</v>
      </c>
      <c r="D398" s="18" t="inlineStr">
        <is>
          <t>CCR</t>
        </is>
      </c>
      <c r="E398" s="18" t="inlineStr">
        <is>
          <t>REFORMER</t>
        </is>
      </c>
      <c r="F398" s="19" t="n">
        <v>55</v>
      </c>
      <c r="G398" s="21">
        <f>IFERROR(IF(INDEX(Effective!$E$3:$R$125,MATCH($B398,Effective!$A$3:$A$125,0),MATCH($D398,Effective!$E$2:$R$2,0))=0,"",INDEX(Effective!$E$3:$R$125,MATCH($B398,Effective!$A$3:$A$125,0),MATCH($D398,Effective!$E$2:$R$2,0))),"")</f>
        <v/>
      </c>
      <c r="H398" s="22" t="inlineStr">
        <is>
          <t>override</t>
        </is>
      </c>
      <c r="I398" s="23" t="n">
        <v>0.89</v>
      </c>
      <c r="J398" s="24">
        <f>IF(AND(IF($H401&lt;&gt;"",$H401,$H398)="override",$I398&lt;&gt;""),$I398,SUMIFS(Assumptions!$K$4:$K$8,Assumptions!$J$4:$J$8,$C398))*Assumptions!$S$10</f>
        <v/>
      </c>
      <c r="K398" s="23" t="n"/>
      <c r="L398" s="25">
        <f>IF(AND(IF($H401&lt;&gt;"",$H401,$H398)="override",$K398&lt;&gt;""),$K398,SUMIFS(Assumptions!$P$4:$P$103,Assumptions!$M$4:$M$103,$C398,Assumptions!$N$4:$N$103,$E398,Assumptions!$O$4:$O$103,"LVN"))</f>
        <v/>
      </c>
      <c r="M398" s="23" t="n"/>
      <c r="N398" s="25">
        <f>IF(AND(IF($H401&lt;&gt;"",$H401,$H398)="override",$M398&lt;&gt;""),$M398,SUMIFS(Assumptions!$P$4:$P$103,Assumptions!$M$4:$M$103,$C398,Assumptions!$N$4:$N$103,$E398,Assumptions!$O$4:$O$103,"HVN"))</f>
        <v/>
      </c>
      <c r="O398" s="25">
        <f>(L398+N398)*Assumptions!$S$11</f>
        <v/>
      </c>
      <c r="P398" s="26">
        <f>$F398*$J398*$O398</f>
        <v/>
      </c>
    </row>
    <row r="399">
      <c r="A399" s="11" t="inlineStr">
        <is>
          <t>UNIT</t>
        </is>
      </c>
      <c r="B399" s="18" t="inlineStr">
        <is>
          <t>VALERO_PORT_ARTHUR</t>
        </is>
      </c>
      <c r="C399" s="18" t="n">
        <v>3</v>
      </c>
      <c r="D399" s="18" t="inlineStr">
        <is>
          <t>ALKY</t>
        </is>
      </c>
      <c r="E399" s="18" t="inlineStr">
        <is>
          <t>ALKY</t>
        </is>
      </c>
      <c r="F399" s="19" t="n">
        <v>19.5</v>
      </c>
      <c r="G399" s="21">
        <f>IFERROR(IF(INDEX(Effective!$E$3:$R$125,MATCH($B399,Effective!$A$3:$A$125,0),MATCH($D399,Effective!$E$2:$R$2,0))=0,"",INDEX(Effective!$E$3:$R$125,MATCH($B399,Effective!$A$3:$A$125,0),MATCH($D399,Effective!$E$2:$R$2,0))),"")</f>
        <v/>
      </c>
      <c r="H399" s="22" t="inlineStr">
        <is>
          <t>override</t>
        </is>
      </c>
      <c r="I399" s="23" t="n">
        <v>1.1</v>
      </c>
      <c r="J399" s="24">
        <f>IF(AND(IF($H401&lt;&gt;"",$H401,$H399)="override",$I399&lt;&gt;""),$I399,SUMIFS(Assumptions!$K$4:$K$8,Assumptions!$J$4:$J$8,$C399))*Assumptions!$S$10</f>
        <v/>
      </c>
      <c r="K399" s="23" t="n"/>
      <c r="L399" s="25">
        <f>IF(AND(IF($H401&lt;&gt;"",$H401,$H399)="override",$K399&lt;&gt;""),$K399,SUMIFS(Assumptions!$P$4:$P$103,Assumptions!$M$4:$M$103,$C399,Assumptions!$N$4:$N$103,$E399,Assumptions!$O$4:$O$103,"LVN"))</f>
        <v/>
      </c>
      <c r="M399" s="23" t="n"/>
      <c r="N399" s="25">
        <f>IF(AND(IF($H401&lt;&gt;"",$H401,$H399)="override",$M399&lt;&gt;""),$M399,SUMIFS(Assumptions!$P$4:$P$103,Assumptions!$M$4:$M$103,$C399,Assumptions!$N$4:$N$103,$E399,Assumptions!$O$4:$O$103,"HVN"))</f>
        <v/>
      </c>
      <c r="O399" s="25">
        <f>(L399+N399)*Assumptions!$S$11</f>
        <v/>
      </c>
      <c r="P399" s="26">
        <f>$F399*$J399*$O399</f>
        <v/>
      </c>
    </row>
    <row r="400">
      <c r="A400" s="11" t="inlineStr">
        <is>
          <t>UNIT</t>
        </is>
      </c>
      <c r="B400" s="18" t="inlineStr">
        <is>
          <t>VALERO_PORT_ARTHUR</t>
        </is>
      </c>
      <c r="C400" s="18" t="n">
        <v>3</v>
      </c>
      <c r="D400" s="18" t="inlineStr">
        <is>
          <t>NHT</t>
        </is>
      </c>
      <c r="E400" s="18" t="inlineStr">
        <is>
          <t>NHT</t>
        </is>
      </c>
      <c r="F400" s="19" t="n">
        <v>48.7</v>
      </c>
      <c r="G400" s="21">
        <f>IFERROR(IF(INDEX(Effective!$E$3:$R$125,MATCH($B400,Effective!$A$3:$A$125,0),MATCH($D400,Effective!$E$2:$R$2,0))=0,"",INDEX(Effective!$E$3:$R$125,MATCH($B400,Effective!$A$3:$A$125,0),MATCH($D400,Effective!$E$2:$R$2,0))),"")</f>
        <v/>
      </c>
      <c r="H400" s="22" t="inlineStr">
        <is>
          <t>override</t>
        </is>
      </c>
      <c r="I400" s="23" t="n">
        <v>0.795</v>
      </c>
      <c r="J400" s="24">
        <f>IF(AND(IF($H401&lt;&gt;"",$H401,$H400)="override",$I400&lt;&gt;""),$I400,SUMIFS(Assumptions!$K$4:$K$8,Assumptions!$J$4:$J$8,$C400))*Assumptions!$S$10</f>
        <v/>
      </c>
      <c r="K400" s="23" t="n"/>
      <c r="L400" s="25">
        <f>IF(AND(IF($H401&lt;&gt;"",$H401,$H400)="override",$K400&lt;&gt;""),$K400,SUMIFS(Assumptions!$P$4:$P$103,Assumptions!$M$4:$M$103,$C400,Assumptions!$N$4:$N$103,$E400,Assumptions!$O$4:$O$103,"LVN"))</f>
        <v/>
      </c>
      <c r="M400" s="23" t="n"/>
      <c r="N400" s="25">
        <f>IF(AND(IF($H401&lt;&gt;"",$H401,$H400)="override",$M400&lt;&gt;""),$M400,SUMIFS(Assumptions!$P$4:$P$103,Assumptions!$M$4:$M$103,$C400,Assumptions!$N$4:$N$103,$E400,Assumptions!$O$4:$O$103,"HVN"))</f>
        <v/>
      </c>
      <c r="O400" s="25">
        <f>(L400+N400)*Assumptions!$S$11</f>
        <v/>
      </c>
      <c r="P400" s="26">
        <f>$F400*$J400*$O400</f>
        <v/>
      </c>
    </row>
    <row r="401">
      <c r="A401" s="27" t="inlineStr">
        <is>
          <t>TOTAL</t>
        </is>
      </c>
      <c r="B401" s="28" t="inlineStr">
        <is>
          <t>VALERO_PORT_ARTHUR</t>
        </is>
      </c>
      <c r="C401" s="28" t="n">
        <v>3</v>
      </c>
      <c r="D401" s="28" t="inlineStr">
        <is>
          <t>NET NAPHTHA</t>
        </is>
      </c>
      <c r="H401" s="22" t="n"/>
      <c r="P401" s="29">
        <f>SUM(P393:P400)</f>
        <v/>
      </c>
    </row>
    <row r="403" ht="20" customHeight="1">
      <c r="A403" s="8">
        <f>"  Chevron Pascagoula  [CHEVRON_PASCAGOULA]   —   Chevron   —   PADD 3   —   crude "&amp;TEXT(SUMIFS(Data!$G$3:$G$125,Data!$A$3:$A$125,"CHEVRON_PASCAGOULA"),"#,##0")&amp;" kbd"</f>
        <v/>
      </c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</row>
    <row r="404">
      <c r="A404" s="11" t="inlineStr">
        <is>
          <t>UNIT</t>
        </is>
      </c>
      <c r="B404" s="18" t="inlineStr">
        <is>
          <t>CHEVRON_PASCAGOULA</t>
        </is>
      </c>
      <c r="C404" s="18" t="n">
        <v>3</v>
      </c>
      <c r="D404" s="18" t="inlineStr">
        <is>
          <t>CDU</t>
        </is>
      </c>
      <c r="E404" s="18" t="inlineStr">
        <is>
          <t>CDU</t>
        </is>
      </c>
      <c r="F404" s="19" t="n">
        <v>375.2</v>
      </c>
      <c r="G404" s="21">
        <f>IFERROR(IF(INDEX(Effective!$E$3:$R$125,MATCH($B404,Effective!$A$3:$A$125,0),MATCH($D404,Effective!$E$2:$R$2,0))=0,"",INDEX(Effective!$E$3:$R$125,MATCH($B404,Effective!$A$3:$A$125,0),MATCH($D404,Effective!$E$2:$R$2,0))),"")</f>
        <v/>
      </c>
      <c r="H404" s="22" t="inlineStr">
        <is>
          <t>override</t>
        </is>
      </c>
      <c r="I404" s="23" t="n">
        <v>0.898</v>
      </c>
      <c r="J404" s="24">
        <f>IF(AND(IF($H413&lt;&gt;"",$H413,$H404)="override",$I404&lt;&gt;""),$I404,SUMIFS(Assumptions!$K$4:$K$8,Assumptions!$J$4:$J$8,$C404))*Assumptions!$S$10</f>
        <v/>
      </c>
      <c r="K404" s="23" t="n"/>
      <c r="L404" s="25">
        <f>IF(AND(IF($H413&lt;&gt;"",$H413,$H404)="override",$K404&lt;&gt;""),$K404,SUMIFS(Assumptions!$P$4:$P$103,Assumptions!$M$4:$M$103,$C404,Assumptions!$N$4:$N$103,$E404,Assumptions!$O$4:$O$103,"LVN"))</f>
        <v/>
      </c>
      <c r="M404" s="23" t="n"/>
      <c r="N404" s="25">
        <f>IF(AND(IF($H413&lt;&gt;"",$H413,$H404)="override",$M404&lt;&gt;""),$M404,SUMIFS(Assumptions!$P$4:$P$103,Assumptions!$M$4:$M$103,$C404,Assumptions!$N$4:$N$103,$E404,Assumptions!$O$4:$O$103,"HVN"))</f>
        <v/>
      </c>
      <c r="O404" s="25">
        <f>(L404+N404)*Assumptions!$S$11</f>
        <v/>
      </c>
      <c r="P404" s="26">
        <f>$F404*$J404*$O404</f>
        <v/>
      </c>
    </row>
    <row r="405">
      <c r="A405" s="11" t="inlineStr">
        <is>
          <t>UNIT</t>
        </is>
      </c>
      <c r="B405" s="18" t="inlineStr">
        <is>
          <t>CHEVRON_PASCAGOULA</t>
        </is>
      </c>
      <c r="C405" s="18" t="n">
        <v>3</v>
      </c>
      <c r="D405" s="18" t="inlineStr">
        <is>
          <t>VDU</t>
        </is>
      </c>
      <c r="E405" s="18" t="inlineStr">
        <is>
          <t>VDU</t>
        </is>
      </c>
      <c r="F405" s="19" t="n">
        <v>330</v>
      </c>
      <c r="G405" s="21">
        <f>IFERROR(IF(INDEX(Effective!$E$3:$R$125,MATCH($B405,Effective!$A$3:$A$125,0),MATCH($D405,Effective!$E$2:$R$2,0))=0,"",INDEX(Effective!$E$3:$R$125,MATCH($B405,Effective!$A$3:$A$125,0),MATCH($D405,Effective!$E$2:$R$2,0))),"")</f>
        <v/>
      </c>
      <c r="H405" s="22" t="inlineStr">
        <is>
          <t>override</t>
        </is>
      </c>
      <c r="I405" s="23" t="n">
        <v>0.51</v>
      </c>
      <c r="J405" s="24">
        <f>IF(AND(IF($H413&lt;&gt;"",$H413,$H405)="override",$I405&lt;&gt;""),$I405,SUMIFS(Assumptions!$K$4:$K$8,Assumptions!$J$4:$J$8,$C405))*Assumptions!$S$10</f>
        <v/>
      </c>
      <c r="K405" s="23" t="n"/>
      <c r="L405" s="25">
        <f>IF(AND(IF($H413&lt;&gt;"",$H413,$H405)="override",$K405&lt;&gt;""),$K405,SUMIFS(Assumptions!$P$4:$P$103,Assumptions!$M$4:$M$103,$C405,Assumptions!$N$4:$N$103,$E405,Assumptions!$O$4:$O$103,"LVN"))</f>
        <v/>
      </c>
      <c r="M405" s="23" t="n"/>
      <c r="N405" s="25">
        <f>IF(AND(IF($H413&lt;&gt;"",$H413,$H405)="override",$M405&lt;&gt;""),$M405,SUMIFS(Assumptions!$P$4:$P$103,Assumptions!$M$4:$M$103,$C405,Assumptions!$N$4:$N$103,$E405,Assumptions!$O$4:$O$103,"HVN"))</f>
        <v/>
      </c>
      <c r="O405" s="25">
        <f>(L405+N405)*Assumptions!$S$11</f>
        <v/>
      </c>
      <c r="P405" s="26">
        <f>$F405*$J405*$O405</f>
        <v/>
      </c>
    </row>
    <row r="406">
      <c r="A406" s="11" t="inlineStr">
        <is>
          <t>UNIT</t>
        </is>
      </c>
      <c r="B406" s="18" t="inlineStr">
        <is>
          <t>CHEVRON_PASCAGOULA</t>
        </is>
      </c>
      <c r="C406" s="18" t="n">
        <v>3</v>
      </c>
      <c r="D406" s="18" t="inlineStr">
        <is>
          <t>FCC</t>
        </is>
      </c>
      <c r="E406" s="18" t="inlineStr">
        <is>
          <t>FCC</t>
        </is>
      </c>
      <c r="F406" s="19" t="n">
        <v>88</v>
      </c>
      <c r="G406" s="21">
        <f>IFERROR(IF(INDEX(Effective!$E$3:$R$125,MATCH($B406,Effective!$A$3:$A$125,0),MATCH($D406,Effective!$E$2:$R$2,0))=0,"",INDEX(Effective!$E$3:$R$125,MATCH($B406,Effective!$A$3:$A$125,0),MATCH($D406,Effective!$E$2:$R$2,0))),"")</f>
        <v/>
      </c>
      <c r="H406" s="22" t="inlineStr">
        <is>
          <t>override</t>
        </is>
      </c>
      <c r="I406" s="23" t="n">
        <v>0.844</v>
      </c>
      <c r="J406" s="24">
        <f>IF(AND(IF($H413&lt;&gt;"",$H413,$H406)="override",$I406&lt;&gt;""),$I406,SUMIFS(Assumptions!$K$4:$K$8,Assumptions!$J$4:$J$8,$C406))*Assumptions!$S$10</f>
        <v/>
      </c>
      <c r="K406" s="23" t="n"/>
      <c r="L406" s="25">
        <f>IF(AND(IF($H413&lt;&gt;"",$H413,$H406)="override",$K406&lt;&gt;""),$K406,SUMIFS(Assumptions!$P$4:$P$103,Assumptions!$M$4:$M$103,$C406,Assumptions!$N$4:$N$103,$E406,Assumptions!$O$4:$O$103,"LVN"))</f>
        <v/>
      </c>
      <c r="M406" s="23" t="n"/>
      <c r="N406" s="25">
        <f>IF(AND(IF($H413&lt;&gt;"",$H413,$H406)="override",$M406&lt;&gt;""),$M406,SUMIFS(Assumptions!$P$4:$P$103,Assumptions!$M$4:$M$103,$C406,Assumptions!$N$4:$N$103,$E406,Assumptions!$O$4:$O$103,"HVN"))</f>
        <v/>
      </c>
      <c r="O406" s="25">
        <f>(L406+N406)*Assumptions!$S$11</f>
        <v/>
      </c>
      <c r="P406" s="26">
        <f>$F406*$J406*$O406</f>
        <v/>
      </c>
    </row>
    <row r="407">
      <c r="A407" s="11" t="inlineStr">
        <is>
          <t>UNIT</t>
        </is>
      </c>
      <c r="B407" s="18" t="inlineStr">
        <is>
          <t>CHEVRON_PASCAGOULA</t>
        </is>
      </c>
      <c r="C407" s="18" t="n">
        <v>3</v>
      </c>
      <c r="D407" s="18" t="inlineStr">
        <is>
          <t>DHCU</t>
        </is>
      </c>
      <c r="E407" s="18" t="inlineStr">
        <is>
          <t>HYDROCRACKER</t>
        </is>
      </c>
      <c r="F407" s="19" t="n">
        <v>119</v>
      </c>
      <c r="G407" s="21">
        <f>IFERROR(IF(INDEX(Effective!$E$3:$R$125,MATCH($B407,Effective!$A$3:$A$125,0),MATCH($D407,Effective!$E$2:$R$2,0))=0,"",INDEX(Effective!$E$3:$R$125,MATCH($B407,Effective!$A$3:$A$125,0),MATCH($D407,Effective!$E$2:$R$2,0))),"")</f>
        <v/>
      </c>
      <c r="H407" s="22" t="inlineStr">
        <is>
          <t>override</t>
        </is>
      </c>
      <c r="I407" s="23" t="n">
        <v>0.622</v>
      </c>
      <c r="J407" s="24">
        <f>IF(AND(IF($H413&lt;&gt;"",$H413,$H407)="override",$I407&lt;&gt;""),$I407,SUMIFS(Assumptions!$K$4:$K$8,Assumptions!$J$4:$J$8,$C407))*Assumptions!$S$10</f>
        <v/>
      </c>
      <c r="K407" s="23" t="n"/>
      <c r="L407" s="25">
        <f>IF(AND(IF($H413&lt;&gt;"",$H413,$H407)="override",$K407&lt;&gt;""),$K407,SUMIFS(Assumptions!$P$4:$P$103,Assumptions!$M$4:$M$103,$C407,Assumptions!$N$4:$N$103,$E407,Assumptions!$O$4:$O$103,"LVN"))</f>
        <v/>
      </c>
      <c r="M407" s="23" t="n"/>
      <c r="N407" s="25">
        <f>IF(AND(IF($H413&lt;&gt;"",$H413,$H407)="override",$M407&lt;&gt;""),$M407,SUMIFS(Assumptions!$P$4:$P$103,Assumptions!$M$4:$M$103,$C407,Assumptions!$N$4:$N$103,$E407,Assumptions!$O$4:$O$103,"HVN"))</f>
        <v/>
      </c>
      <c r="O407" s="25">
        <f>(L407+N407)*Assumptions!$S$11</f>
        <v/>
      </c>
      <c r="P407" s="26">
        <f>$F407*$J407*$O407</f>
        <v/>
      </c>
    </row>
    <row r="408">
      <c r="A408" s="11" t="inlineStr">
        <is>
          <t>UNIT</t>
        </is>
      </c>
      <c r="B408" s="18" t="inlineStr">
        <is>
          <t>CHEVRON_PASCAGOULA</t>
        </is>
      </c>
      <c r="C408" s="18" t="n">
        <v>3</v>
      </c>
      <c r="D408" s="18" t="inlineStr">
        <is>
          <t>COKER</t>
        </is>
      </c>
      <c r="E408" s="18" t="inlineStr">
        <is>
          <t>COKER</t>
        </is>
      </c>
      <c r="F408" s="19" t="n">
        <v>104</v>
      </c>
      <c r="G408" s="21">
        <f>IFERROR(IF(INDEX(Effective!$E$3:$R$125,MATCH($B408,Effective!$A$3:$A$125,0),MATCH($D408,Effective!$E$2:$R$2,0))=0,"",INDEX(Effective!$E$3:$R$125,MATCH($B408,Effective!$A$3:$A$125,0),MATCH($D408,Effective!$E$2:$R$2,0))),"")</f>
        <v/>
      </c>
      <c r="H408" s="22" t="inlineStr">
        <is>
          <t>override</t>
        </is>
      </c>
      <c r="I408" s="23" t="n">
        <v>0.846</v>
      </c>
      <c r="J408" s="24">
        <f>IF(AND(IF($H413&lt;&gt;"",$H413,$H408)="override",$I408&lt;&gt;""),$I408,SUMIFS(Assumptions!$K$4:$K$8,Assumptions!$J$4:$J$8,$C408))*Assumptions!$S$10</f>
        <v/>
      </c>
      <c r="K408" s="23" t="n"/>
      <c r="L408" s="25">
        <f>IF(AND(IF($H413&lt;&gt;"",$H413,$H408)="override",$K408&lt;&gt;""),$K408,SUMIFS(Assumptions!$P$4:$P$103,Assumptions!$M$4:$M$103,$C408,Assumptions!$N$4:$N$103,$E408,Assumptions!$O$4:$O$103,"LVN"))</f>
        <v/>
      </c>
      <c r="M408" s="23" t="n"/>
      <c r="N408" s="25">
        <f>IF(AND(IF($H413&lt;&gt;"",$H413,$H408)="override",$M408&lt;&gt;""),$M408,SUMIFS(Assumptions!$P$4:$P$103,Assumptions!$M$4:$M$103,$C408,Assumptions!$N$4:$N$103,$E408,Assumptions!$O$4:$O$103,"HVN"))</f>
        <v/>
      </c>
      <c r="O408" s="25">
        <f>(L408+N408)*Assumptions!$S$11</f>
        <v/>
      </c>
      <c r="P408" s="26">
        <f>$F408*$J408*$O408</f>
        <v/>
      </c>
    </row>
    <row r="409">
      <c r="A409" s="11" t="inlineStr">
        <is>
          <t>UNIT</t>
        </is>
      </c>
      <c r="B409" s="18" t="inlineStr">
        <is>
          <t>CHEVRON_PASCAGOULA</t>
        </is>
      </c>
      <c r="C409" s="18" t="n">
        <v>3</v>
      </c>
      <c r="D409" s="18" t="inlineStr">
        <is>
          <t>CCR</t>
        </is>
      </c>
      <c r="E409" s="18" t="inlineStr">
        <is>
          <t>REFORMER</t>
        </is>
      </c>
      <c r="F409" s="19" t="n">
        <v>61.6</v>
      </c>
      <c r="G409" s="21">
        <f>IFERROR(IF(INDEX(Effective!$E$3:$R$125,MATCH($B409,Effective!$A$3:$A$125,0),MATCH($D409,Effective!$E$2:$R$2,0))=0,"",INDEX(Effective!$E$3:$R$125,MATCH($B409,Effective!$A$3:$A$125,0),MATCH($D409,Effective!$E$2:$R$2,0))),"")</f>
        <v/>
      </c>
      <c r="H409" s="22" t="inlineStr">
        <is>
          <t>override</t>
        </is>
      </c>
      <c r="I409" s="23" t="n">
        <v>0.9330000000000001</v>
      </c>
      <c r="J409" s="24">
        <f>IF(AND(IF($H413&lt;&gt;"",$H413,$H409)="override",$I409&lt;&gt;""),$I409,SUMIFS(Assumptions!$K$4:$K$8,Assumptions!$J$4:$J$8,$C409))*Assumptions!$S$10</f>
        <v/>
      </c>
      <c r="K409" s="23" t="n"/>
      <c r="L409" s="25">
        <f>IF(AND(IF($H413&lt;&gt;"",$H413,$H409)="override",$K409&lt;&gt;""),$K409,SUMIFS(Assumptions!$P$4:$P$103,Assumptions!$M$4:$M$103,$C409,Assumptions!$N$4:$N$103,$E409,Assumptions!$O$4:$O$103,"LVN"))</f>
        <v/>
      </c>
      <c r="M409" s="23" t="n"/>
      <c r="N409" s="25">
        <f>IF(AND(IF($H413&lt;&gt;"",$H413,$H409)="override",$M409&lt;&gt;""),$M409,SUMIFS(Assumptions!$P$4:$P$103,Assumptions!$M$4:$M$103,$C409,Assumptions!$N$4:$N$103,$E409,Assumptions!$O$4:$O$103,"HVN"))</f>
        <v/>
      </c>
      <c r="O409" s="25">
        <f>(L409+N409)*Assumptions!$S$11</f>
        <v/>
      </c>
      <c r="P409" s="26">
        <f>$F409*$J409*$O409</f>
        <v/>
      </c>
    </row>
    <row r="410">
      <c r="A410" s="11" t="inlineStr">
        <is>
          <t>UNIT</t>
        </is>
      </c>
      <c r="B410" s="18" t="inlineStr">
        <is>
          <t>CHEVRON_PASCAGOULA</t>
        </is>
      </c>
      <c r="C410" s="18" t="n">
        <v>3</v>
      </c>
      <c r="D410" s="18" t="inlineStr">
        <is>
          <t>REF</t>
        </is>
      </c>
      <c r="E410" s="18" t="inlineStr">
        <is>
          <t>REFORMER</t>
        </is>
      </c>
      <c r="F410" s="19" t="n">
        <v>40</v>
      </c>
      <c r="G410" s="21">
        <f>IFERROR(IF(INDEX(Effective!$E$3:$R$125,MATCH($B410,Effective!$A$3:$A$125,0),MATCH($D410,Effective!$E$2:$R$2,0))=0,"",INDEX(Effective!$E$3:$R$125,MATCH($B410,Effective!$A$3:$A$125,0),MATCH($D410,Effective!$E$2:$R$2,0))),"")</f>
        <v/>
      </c>
      <c r="H410" s="22" t="inlineStr">
        <is>
          <t>override</t>
        </is>
      </c>
      <c r="I410" s="23" t="n">
        <v>0.317</v>
      </c>
      <c r="J410" s="24">
        <f>IF(AND(IF($H413&lt;&gt;"",$H413,$H410)="override",$I410&lt;&gt;""),$I410,SUMIFS(Assumptions!$K$4:$K$8,Assumptions!$J$4:$J$8,$C410))*Assumptions!$S$10</f>
        <v/>
      </c>
      <c r="K410" s="23" t="n"/>
      <c r="L410" s="25">
        <f>IF(AND(IF($H413&lt;&gt;"",$H413,$H410)="override",$K410&lt;&gt;""),$K410,SUMIFS(Assumptions!$P$4:$P$103,Assumptions!$M$4:$M$103,$C410,Assumptions!$N$4:$N$103,$E410,Assumptions!$O$4:$O$103,"LVN"))</f>
        <v/>
      </c>
      <c r="M410" s="23" t="n"/>
      <c r="N410" s="25">
        <f>IF(AND(IF($H413&lt;&gt;"",$H413,$H410)="override",$M410&lt;&gt;""),$M410,SUMIFS(Assumptions!$P$4:$P$103,Assumptions!$M$4:$M$103,$C410,Assumptions!$N$4:$N$103,$E410,Assumptions!$O$4:$O$103,"HVN"))</f>
        <v/>
      </c>
      <c r="O410" s="25">
        <f>(L410+N410)*Assumptions!$S$11</f>
        <v/>
      </c>
      <c r="P410" s="26">
        <f>$F410*$J410*$O410</f>
        <v/>
      </c>
    </row>
    <row r="411">
      <c r="A411" s="11" t="inlineStr">
        <is>
          <t>UNIT</t>
        </is>
      </c>
      <c r="B411" s="18" t="inlineStr">
        <is>
          <t>CHEVRON_PASCAGOULA</t>
        </is>
      </c>
      <c r="C411" s="18" t="n">
        <v>3</v>
      </c>
      <c r="D411" s="18" t="inlineStr">
        <is>
          <t>ALKY</t>
        </is>
      </c>
      <c r="E411" s="18" t="inlineStr">
        <is>
          <t>ALKY</t>
        </is>
      </c>
      <c r="F411" s="19" t="n">
        <v>21.5</v>
      </c>
      <c r="G411" s="21">
        <f>IFERROR(IF(INDEX(Effective!$E$3:$R$125,MATCH($B411,Effective!$A$3:$A$125,0),MATCH($D411,Effective!$E$2:$R$2,0))=0,"",INDEX(Effective!$E$3:$R$125,MATCH($B411,Effective!$A$3:$A$125,0),MATCH($D411,Effective!$E$2:$R$2,0))),"")</f>
        <v/>
      </c>
      <c r="H411" s="22" t="inlineStr">
        <is>
          <t>override</t>
        </is>
      </c>
      <c r="I411" s="23" t="n">
        <v>0.927</v>
      </c>
      <c r="J411" s="24">
        <f>IF(AND(IF($H413&lt;&gt;"",$H413,$H411)="override",$I411&lt;&gt;""),$I411,SUMIFS(Assumptions!$K$4:$K$8,Assumptions!$J$4:$J$8,$C411))*Assumptions!$S$10</f>
        <v/>
      </c>
      <c r="K411" s="23" t="n"/>
      <c r="L411" s="25">
        <f>IF(AND(IF($H413&lt;&gt;"",$H413,$H411)="override",$K411&lt;&gt;""),$K411,SUMIFS(Assumptions!$P$4:$P$103,Assumptions!$M$4:$M$103,$C411,Assumptions!$N$4:$N$103,$E411,Assumptions!$O$4:$O$103,"LVN"))</f>
        <v/>
      </c>
      <c r="M411" s="23" t="n"/>
      <c r="N411" s="25">
        <f>IF(AND(IF($H413&lt;&gt;"",$H413,$H411)="override",$M411&lt;&gt;""),$M411,SUMIFS(Assumptions!$P$4:$P$103,Assumptions!$M$4:$M$103,$C411,Assumptions!$N$4:$N$103,$E411,Assumptions!$O$4:$O$103,"HVN"))</f>
        <v/>
      </c>
      <c r="O411" s="25">
        <f>(L411+N411)*Assumptions!$S$11</f>
        <v/>
      </c>
      <c r="P411" s="26">
        <f>$F411*$J411*$O411</f>
        <v/>
      </c>
    </row>
    <row r="412">
      <c r="A412" s="11" t="inlineStr">
        <is>
          <t>UNIT</t>
        </is>
      </c>
      <c r="B412" s="18" t="inlineStr">
        <is>
          <t>CHEVRON_PASCAGOULA</t>
        </is>
      </c>
      <c r="C412" s="18" t="n">
        <v>3</v>
      </c>
      <c r="D412" s="18" t="inlineStr">
        <is>
          <t>NHT</t>
        </is>
      </c>
      <c r="E412" s="18" t="inlineStr">
        <is>
          <t>NHT</t>
        </is>
      </c>
      <c r="F412" s="19" t="n">
        <v>60.8</v>
      </c>
      <c r="G412" s="21">
        <f>IFERROR(IF(INDEX(Effective!$E$3:$R$125,MATCH($B412,Effective!$A$3:$A$125,0),MATCH($D412,Effective!$E$2:$R$2,0))=0,"",INDEX(Effective!$E$3:$R$125,MATCH($B412,Effective!$A$3:$A$125,0),MATCH($D412,Effective!$E$2:$R$2,0))),"")</f>
        <v/>
      </c>
      <c r="H412" s="22" t="inlineStr">
        <is>
          <t>override</t>
        </is>
      </c>
      <c r="I412" s="23" t="n">
        <v>1.034</v>
      </c>
      <c r="J412" s="24">
        <f>IF(AND(IF($H413&lt;&gt;"",$H413,$H412)="override",$I412&lt;&gt;""),$I412,SUMIFS(Assumptions!$K$4:$K$8,Assumptions!$J$4:$J$8,$C412))*Assumptions!$S$10</f>
        <v/>
      </c>
      <c r="K412" s="23" t="n"/>
      <c r="L412" s="25">
        <f>IF(AND(IF($H413&lt;&gt;"",$H413,$H412)="override",$K412&lt;&gt;""),$K412,SUMIFS(Assumptions!$P$4:$P$103,Assumptions!$M$4:$M$103,$C412,Assumptions!$N$4:$N$103,$E412,Assumptions!$O$4:$O$103,"LVN"))</f>
        <v/>
      </c>
      <c r="M412" s="23" t="n"/>
      <c r="N412" s="25">
        <f>IF(AND(IF($H413&lt;&gt;"",$H413,$H412)="override",$M412&lt;&gt;""),$M412,SUMIFS(Assumptions!$P$4:$P$103,Assumptions!$M$4:$M$103,$C412,Assumptions!$N$4:$N$103,$E412,Assumptions!$O$4:$O$103,"HVN"))</f>
        <v/>
      </c>
      <c r="O412" s="25">
        <f>(L412+N412)*Assumptions!$S$11</f>
        <v/>
      </c>
      <c r="P412" s="26">
        <f>$F412*$J412*$O412</f>
        <v/>
      </c>
    </row>
    <row r="413">
      <c r="A413" s="27" t="inlineStr">
        <is>
          <t>TOTAL</t>
        </is>
      </c>
      <c r="B413" s="28" t="inlineStr">
        <is>
          <t>CHEVRON_PASCAGOULA</t>
        </is>
      </c>
      <c r="C413" s="28" t="n">
        <v>3</v>
      </c>
      <c r="D413" s="28" t="inlineStr">
        <is>
          <t>NET NAPHTHA</t>
        </is>
      </c>
      <c r="H413" s="22" t="n"/>
      <c r="P413" s="29">
        <f>SUM(P404:P412)</f>
        <v/>
      </c>
    </row>
    <row r="415" ht="20" customHeight="1">
      <c r="A415" s="8">
        <f>"  PEMEX Deer Park  [PEMEX_DEER_PARK]   —   PEMEX   —   PADD 3   —   crude "&amp;TEXT(SUMIFS(Data!$G$3:$G$125,Data!$A$3:$A$125,"PEMEX_DEER_PARK"),"#,##0")&amp;" kbd"</f>
        <v/>
      </c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</row>
    <row r="416">
      <c r="A416" s="11" t="inlineStr">
        <is>
          <t>UNIT</t>
        </is>
      </c>
      <c r="B416" s="18" t="inlineStr">
        <is>
          <t>PEMEX_DEER_PARK</t>
        </is>
      </c>
      <c r="C416" s="18" t="n">
        <v>3</v>
      </c>
      <c r="D416" s="18" t="inlineStr">
        <is>
          <t>CDU</t>
        </is>
      </c>
      <c r="E416" s="18" t="inlineStr">
        <is>
          <t>CDU</t>
        </is>
      </c>
      <c r="F416" s="19" t="n">
        <v>340</v>
      </c>
      <c r="G416" s="21">
        <f>IFERROR(IF(INDEX(Effective!$E$3:$R$125,MATCH($B416,Effective!$A$3:$A$125,0),MATCH($D416,Effective!$E$2:$R$2,0))=0,"",INDEX(Effective!$E$3:$R$125,MATCH($B416,Effective!$A$3:$A$125,0),MATCH($D416,Effective!$E$2:$R$2,0))),"")</f>
        <v/>
      </c>
      <c r="H416" s="22" t="inlineStr">
        <is>
          <t>override</t>
        </is>
      </c>
      <c r="I416" s="23" t="n">
        <v>0.802</v>
      </c>
      <c r="J416" s="24">
        <f>IF(AND(IF($H425&lt;&gt;"",$H425,$H416)="override",$I416&lt;&gt;""),$I416,SUMIFS(Assumptions!$K$4:$K$8,Assumptions!$J$4:$J$8,$C416))*Assumptions!$S$10</f>
        <v/>
      </c>
      <c r="K416" s="23" t="n"/>
      <c r="L416" s="25">
        <f>IF(AND(IF($H425&lt;&gt;"",$H425,$H416)="override",$K416&lt;&gt;""),$K416,SUMIFS(Assumptions!$P$4:$P$103,Assumptions!$M$4:$M$103,$C416,Assumptions!$N$4:$N$103,$E416,Assumptions!$O$4:$O$103,"LVN"))</f>
        <v/>
      </c>
      <c r="M416" s="23" t="n"/>
      <c r="N416" s="25">
        <f>IF(AND(IF($H425&lt;&gt;"",$H425,$H416)="override",$M416&lt;&gt;""),$M416,SUMIFS(Assumptions!$P$4:$P$103,Assumptions!$M$4:$M$103,$C416,Assumptions!$N$4:$N$103,$E416,Assumptions!$O$4:$O$103,"HVN"))</f>
        <v/>
      </c>
      <c r="O416" s="25">
        <f>(L416+N416)*Assumptions!$S$11</f>
        <v/>
      </c>
      <c r="P416" s="26">
        <f>$F416*$J416*$O416</f>
        <v/>
      </c>
    </row>
    <row r="417">
      <c r="A417" s="11" t="inlineStr">
        <is>
          <t>UNIT</t>
        </is>
      </c>
      <c r="B417" s="18" t="inlineStr">
        <is>
          <t>PEMEX_DEER_PARK</t>
        </is>
      </c>
      <c r="C417" s="18" t="n">
        <v>3</v>
      </c>
      <c r="D417" s="18" t="inlineStr">
        <is>
          <t>VDU</t>
        </is>
      </c>
      <c r="E417" s="18" t="inlineStr">
        <is>
          <t>VDU</t>
        </is>
      </c>
      <c r="F417" s="19" t="n">
        <v>180</v>
      </c>
      <c r="G417" s="21">
        <f>IFERROR(IF(INDEX(Effective!$E$3:$R$125,MATCH($B417,Effective!$A$3:$A$125,0),MATCH($D417,Effective!$E$2:$R$2,0))=0,"",INDEX(Effective!$E$3:$R$125,MATCH($B417,Effective!$A$3:$A$125,0),MATCH($D417,Effective!$E$2:$R$2,0))),"")</f>
        <v/>
      </c>
      <c r="H417" s="22" t="inlineStr">
        <is>
          <t>override</t>
        </is>
      </c>
      <c r="I417" s="23" t="n">
        <v>0.608</v>
      </c>
      <c r="J417" s="24">
        <f>IF(AND(IF($H425&lt;&gt;"",$H425,$H417)="override",$I417&lt;&gt;""),$I417,SUMIFS(Assumptions!$K$4:$K$8,Assumptions!$J$4:$J$8,$C417))*Assumptions!$S$10</f>
        <v/>
      </c>
      <c r="K417" s="23" t="n"/>
      <c r="L417" s="25">
        <f>IF(AND(IF($H425&lt;&gt;"",$H425,$H417)="override",$K417&lt;&gt;""),$K417,SUMIFS(Assumptions!$P$4:$P$103,Assumptions!$M$4:$M$103,$C417,Assumptions!$N$4:$N$103,$E417,Assumptions!$O$4:$O$103,"LVN"))</f>
        <v/>
      </c>
      <c r="M417" s="23" t="n"/>
      <c r="N417" s="25">
        <f>IF(AND(IF($H425&lt;&gt;"",$H425,$H417)="override",$M417&lt;&gt;""),$M417,SUMIFS(Assumptions!$P$4:$P$103,Assumptions!$M$4:$M$103,$C417,Assumptions!$N$4:$N$103,$E417,Assumptions!$O$4:$O$103,"HVN"))</f>
        <v/>
      </c>
      <c r="O417" s="25">
        <f>(L417+N417)*Assumptions!$S$11</f>
        <v/>
      </c>
      <c r="P417" s="26">
        <f>$F417*$J417*$O417</f>
        <v/>
      </c>
    </row>
    <row r="418">
      <c r="A418" s="11" t="inlineStr">
        <is>
          <t>UNIT</t>
        </is>
      </c>
      <c r="B418" s="18" t="inlineStr">
        <is>
          <t>PEMEX_DEER_PARK</t>
        </is>
      </c>
      <c r="C418" s="18" t="n">
        <v>3</v>
      </c>
      <c r="D418" s="18" t="inlineStr">
        <is>
          <t>FCC</t>
        </is>
      </c>
      <c r="E418" s="18" t="inlineStr">
        <is>
          <t>FCC</t>
        </is>
      </c>
      <c r="F418" s="19" t="n">
        <v>75.09999999999999</v>
      </c>
      <c r="G418" s="21">
        <f>IFERROR(IF(INDEX(Effective!$E$3:$R$125,MATCH($B418,Effective!$A$3:$A$125,0),MATCH($D418,Effective!$E$2:$R$2,0))=0,"",INDEX(Effective!$E$3:$R$125,MATCH($B418,Effective!$A$3:$A$125,0),MATCH($D418,Effective!$E$2:$R$2,0))),"")</f>
        <v/>
      </c>
      <c r="H418" s="22" t="inlineStr">
        <is>
          <t>override</t>
        </is>
      </c>
      <c r="I418" s="23" t="n">
        <v>0.606</v>
      </c>
      <c r="J418" s="24">
        <f>IF(AND(IF($H425&lt;&gt;"",$H425,$H418)="override",$I418&lt;&gt;""),$I418,SUMIFS(Assumptions!$K$4:$K$8,Assumptions!$J$4:$J$8,$C418))*Assumptions!$S$10</f>
        <v/>
      </c>
      <c r="K418" s="23" t="n"/>
      <c r="L418" s="25">
        <f>IF(AND(IF($H425&lt;&gt;"",$H425,$H418)="override",$K418&lt;&gt;""),$K418,SUMIFS(Assumptions!$P$4:$P$103,Assumptions!$M$4:$M$103,$C418,Assumptions!$N$4:$N$103,$E418,Assumptions!$O$4:$O$103,"LVN"))</f>
        <v/>
      </c>
      <c r="M418" s="23" t="n"/>
      <c r="N418" s="25">
        <f>IF(AND(IF($H425&lt;&gt;"",$H425,$H418)="override",$M418&lt;&gt;""),$M418,SUMIFS(Assumptions!$P$4:$P$103,Assumptions!$M$4:$M$103,$C418,Assumptions!$N$4:$N$103,$E418,Assumptions!$O$4:$O$103,"HVN"))</f>
        <v/>
      </c>
      <c r="O418" s="25">
        <f>(L418+N418)*Assumptions!$S$11</f>
        <v/>
      </c>
      <c r="P418" s="26">
        <f>$F418*$J418*$O418</f>
        <v/>
      </c>
    </row>
    <row r="419">
      <c r="A419" s="11" t="inlineStr">
        <is>
          <t>UNIT</t>
        </is>
      </c>
      <c r="B419" s="18" t="inlineStr">
        <is>
          <t>PEMEX_DEER_PARK</t>
        </is>
      </c>
      <c r="C419" s="18" t="n">
        <v>3</v>
      </c>
      <c r="D419" s="18" t="inlineStr">
        <is>
          <t>DHCU</t>
        </is>
      </c>
      <c r="E419" s="18" t="inlineStr">
        <is>
          <t>HYDROCRACKER</t>
        </is>
      </c>
      <c r="F419" s="19" t="n">
        <v>60</v>
      </c>
      <c r="G419" s="21">
        <f>IFERROR(IF(INDEX(Effective!$E$3:$R$125,MATCH($B419,Effective!$A$3:$A$125,0),MATCH($D419,Effective!$E$2:$R$2,0))=0,"",INDEX(Effective!$E$3:$R$125,MATCH($B419,Effective!$A$3:$A$125,0),MATCH($D419,Effective!$E$2:$R$2,0))),"")</f>
        <v/>
      </c>
      <c r="H419" s="22" t="inlineStr">
        <is>
          <t>override</t>
        </is>
      </c>
      <c r="I419" s="23" t="n">
        <v>0</v>
      </c>
      <c r="J419" s="24">
        <f>IF(AND(IF($H425&lt;&gt;"",$H425,$H419)="override",$I419&lt;&gt;""),$I419,SUMIFS(Assumptions!$K$4:$K$8,Assumptions!$J$4:$J$8,$C419))*Assumptions!$S$10</f>
        <v/>
      </c>
      <c r="K419" s="23" t="n"/>
      <c r="L419" s="25">
        <f>IF(AND(IF($H425&lt;&gt;"",$H425,$H419)="override",$K419&lt;&gt;""),$K419,SUMIFS(Assumptions!$P$4:$P$103,Assumptions!$M$4:$M$103,$C419,Assumptions!$N$4:$N$103,$E419,Assumptions!$O$4:$O$103,"LVN"))</f>
        <v/>
      </c>
      <c r="M419" s="23" t="n"/>
      <c r="N419" s="25">
        <f>IF(AND(IF($H425&lt;&gt;"",$H425,$H419)="override",$M419&lt;&gt;""),$M419,SUMIFS(Assumptions!$P$4:$P$103,Assumptions!$M$4:$M$103,$C419,Assumptions!$N$4:$N$103,$E419,Assumptions!$O$4:$O$103,"HVN"))</f>
        <v/>
      </c>
      <c r="O419" s="25">
        <f>(L419+N419)*Assumptions!$S$11</f>
        <v/>
      </c>
      <c r="P419" s="26">
        <f>$F419*$J419*$O419</f>
        <v/>
      </c>
    </row>
    <row r="420">
      <c r="A420" s="11" t="inlineStr">
        <is>
          <t>UNIT</t>
        </is>
      </c>
      <c r="B420" s="18" t="inlineStr">
        <is>
          <t>PEMEX_DEER_PARK</t>
        </is>
      </c>
      <c r="C420" s="18" t="n">
        <v>3</v>
      </c>
      <c r="D420" s="18" t="inlineStr">
        <is>
          <t>COKER</t>
        </is>
      </c>
      <c r="E420" s="18" t="inlineStr">
        <is>
          <t>COKER</t>
        </is>
      </c>
      <c r="F420" s="19" t="n">
        <v>96</v>
      </c>
      <c r="G420" s="21">
        <f>IFERROR(IF(INDEX(Effective!$E$3:$R$125,MATCH($B420,Effective!$A$3:$A$125,0),MATCH($D420,Effective!$E$2:$R$2,0))=0,"",INDEX(Effective!$E$3:$R$125,MATCH($B420,Effective!$A$3:$A$125,0),MATCH($D420,Effective!$E$2:$R$2,0))),"")</f>
        <v/>
      </c>
      <c r="H420" s="22" t="inlineStr">
        <is>
          <t>override</t>
        </is>
      </c>
      <c r="I420" s="23" t="n">
        <v>0.6</v>
      </c>
      <c r="J420" s="24">
        <f>IF(AND(IF($H425&lt;&gt;"",$H425,$H420)="override",$I420&lt;&gt;""),$I420,SUMIFS(Assumptions!$K$4:$K$8,Assumptions!$J$4:$J$8,$C420))*Assumptions!$S$10</f>
        <v/>
      </c>
      <c r="K420" s="23" t="n"/>
      <c r="L420" s="25">
        <f>IF(AND(IF($H425&lt;&gt;"",$H425,$H420)="override",$K420&lt;&gt;""),$K420,SUMIFS(Assumptions!$P$4:$P$103,Assumptions!$M$4:$M$103,$C420,Assumptions!$N$4:$N$103,$E420,Assumptions!$O$4:$O$103,"LVN"))</f>
        <v/>
      </c>
      <c r="M420" s="23" t="n"/>
      <c r="N420" s="25">
        <f>IF(AND(IF($H425&lt;&gt;"",$H425,$H420)="override",$M420&lt;&gt;""),$M420,SUMIFS(Assumptions!$P$4:$P$103,Assumptions!$M$4:$M$103,$C420,Assumptions!$N$4:$N$103,$E420,Assumptions!$O$4:$O$103,"HVN"))</f>
        <v/>
      </c>
      <c r="O420" s="25">
        <f>(L420+N420)*Assumptions!$S$11</f>
        <v/>
      </c>
      <c r="P420" s="26">
        <f>$F420*$J420*$O420</f>
        <v/>
      </c>
    </row>
    <row r="421">
      <c r="A421" s="11" t="inlineStr">
        <is>
          <t>UNIT</t>
        </is>
      </c>
      <c r="B421" s="18" t="inlineStr">
        <is>
          <t>PEMEX_DEER_PARK</t>
        </is>
      </c>
      <c r="C421" s="18" t="n">
        <v>3</v>
      </c>
      <c r="D421" s="18" t="inlineStr">
        <is>
          <t>CCR</t>
        </is>
      </c>
      <c r="E421" s="18" t="inlineStr">
        <is>
          <t>REFORMER</t>
        </is>
      </c>
      <c r="F421" s="19" t="n">
        <v>44</v>
      </c>
      <c r="G421" s="21">
        <f>IFERROR(IF(INDEX(Effective!$E$3:$R$125,MATCH($B421,Effective!$A$3:$A$125,0),MATCH($D421,Effective!$E$2:$R$2,0))=0,"",INDEX(Effective!$E$3:$R$125,MATCH($B421,Effective!$A$3:$A$125,0),MATCH($D421,Effective!$E$2:$R$2,0))),"")</f>
        <v/>
      </c>
      <c r="H421" s="22" t="inlineStr">
        <is>
          <t>override</t>
        </is>
      </c>
      <c r="I421" s="23" t="n">
        <v>0.974</v>
      </c>
      <c r="J421" s="24">
        <f>IF(AND(IF($H425&lt;&gt;"",$H425,$H421)="override",$I421&lt;&gt;""),$I421,SUMIFS(Assumptions!$K$4:$K$8,Assumptions!$J$4:$J$8,$C421))*Assumptions!$S$10</f>
        <v/>
      </c>
      <c r="K421" s="23" t="n"/>
      <c r="L421" s="25">
        <f>IF(AND(IF($H425&lt;&gt;"",$H425,$H421)="override",$K421&lt;&gt;""),$K421,SUMIFS(Assumptions!$P$4:$P$103,Assumptions!$M$4:$M$103,$C421,Assumptions!$N$4:$N$103,$E421,Assumptions!$O$4:$O$103,"LVN"))</f>
        <v/>
      </c>
      <c r="M421" s="23" t="n"/>
      <c r="N421" s="25">
        <f>IF(AND(IF($H425&lt;&gt;"",$H425,$H421)="override",$M421&lt;&gt;""),$M421,SUMIFS(Assumptions!$P$4:$P$103,Assumptions!$M$4:$M$103,$C421,Assumptions!$N$4:$N$103,$E421,Assumptions!$O$4:$O$103,"HVN"))</f>
        <v/>
      </c>
      <c r="O421" s="25">
        <f>(L421+N421)*Assumptions!$S$11</f>
        <v/>
      </c>
      <c r="P421" s="26">
        <f>$F421*$J421*$O421</f>
        <v/>
      </c>
    </row>
    <row r="422">
      <c r="A422" s="11" t="inlineStr">
        <is>
          <t>UNIT</t>
        </is>
      </c>
      <c r="B422" s="18" t="inlineStr">
        <is>
          <t>PEMEX_DEER_PARK</t>
        </is>
      </c>
      <c r="C422" s="18" t="n">
        <v>3</v>
      </c>
      <c r="D422" s="18" t="inlineStr">
        <is>
          <t>REF</t>
        </is>
      </c>
      <c r="E422" s="18" t="inlineStr">
        <is>
          <t>REFORMER</t>
        </is>
      </c>
      <c r="F422" s="19" t="n">
        <v>24.5</v>
      </c>
      <c r="G422" s="21">
        <f>IFERROR(IF(INDEX(Effective!$E$3:$R$125,MATCH($B422,Effective!$A$3:$A$125,0),MATCH($D422,Effective!$E$2:$R$2,0))=0,"",INDEX(Effective!$E$3:$R$125,MATCH($B422,Effective!$A$3:$A$125,0),MATCH($D422,Effective!$E$2:$R$2,0))),"")</f>
        <v/>
      </c>
      <c r="H422" s="22" t="inlineStr">
        <is>
          <t>override</t>
        </is>
      </c>
      <c r="I422" s="23" t="n">
        <v>1</v>
      </c>
      <c r="J422" s="24">
        <f>IF(AND(IF($H425&lt;&gt;"",$H425,$H422)="override",$I422&lt;&gt;""),$I422,SUMIFS(Assumptions!$K$4:$K$8,Assumptions!$J$4:$J$8,$C422))*Assumptions!$S$10</f>
        <v/>
      </c>
      <c r="K422" s="23" t="n"/>
      <c r="L422" s="25">
        <f>IF(AND(IF($H425&lt;&gt;"",$H425,$H422)="override",$K422&lt;&gt;""),$K422,SUMIFS(Assumptions!$P$4:$P$103,Assumptions!$M$4:$M$103,$C422,Assumptions!$N$4:$N$103,$E422,Assumptions!$O$4:$O$103,"LVN"))</f>
        <v/>
      </c>
      <c r="M422" s="23" t="n"/>
      <c r="N422" s="25">
        <f>IF(AND(IF($H425&lt;&gt;"",$H425,$H422)="override",$M422&lt;&gt;""),$M422,SUMIFS(Assumptions!$P$4:$P$103,Assumptions!$M$4:$M$103,$C422,Assumptions!$N$4:$N$103,$E422,Assumptions!$O$4:$O$103,"HVN"))</f>
        <v/>
      </c>
      <c r="O422" s="25">
        <f>(L422+N422)*Assumptions!$S$11</f>
        <v/>
      </c>
      <c r="P422" s="26">
        <f>$F422*$J422*$O422</f>
        <v/>
      </c>
    </row>
    <row r="423">
      <c r="A423" s="11" t="inlineStr">
        <is>
          <t>UNIT</t>
        </is>
      </c>
      <c r="B423" s="18" t="inlineStr">
        <is>
          <t>PEMEX_DEER_PARK</t>
        </is>
      </c>
      <c r="C423" s="18" t="n">
        <v>3</v>
      </c>
      <c r="D423" s="18" t="inlineStr">
        <is>
          <t>ALKY</t>
        </is>
      </c>
      <c r="E423" s="18" t="inlineStr">
        <is>
          <t>ALKY</t>
        </is>
      </c>
      <c r="F423" s="19" t="n">
        <v>21</v>
      </c>
      <c r="G423" s="21">
        <f>IFERROR(IF(INDEX(Effective!$E$3:$R$125,MATCH($B423,Effective!$A$3:$A$125,0),MATCH($D423,Effective!$E$2:$R$2,0))=0,"",INDEX(Effective!$E$3:$R$125,MATCH($B423,Effective!$A$3:$A$125,0),MATCH($D423,Effective!$E$2:$R$2,0))),"")</f>
        <v/>
      </c>
      <c r="H423" s="22" t="inlineStr">
        <is>
          <t>override</t>
        </is>
      </c>
      <c r="I423" s="23" t="n">
        <v>0.917</v>
      </c>
      <c r="J423" s="24">
        <f>IF(AND(IF($H425&lt;&gt;"",$H425,$H423)="override",$I423&lt;&gt;""),$I423,SUMIFS(Assumptions!$K$4:$K$8,Assumptions!$J$4:$J$8,$C423))*Assumptions!$S$10</f>
        <v/>
      </c>
      <c r="K423" s="23" t="n"/>
      <c r="L423" s="25">
        <f>IF(AND(IF($H425&lt;&gt;"",$H425,$H423)="override",$K423&lt;&gt;""),$K423,SUMIFS(Assumptions!$P$4:$P$103,Assumptions!$M$4:$M$103,$C423,Assumptions!$N$4:$N$103,$E423,Assumptions!$O$4:$O$103,"LVN"))</f>
        <v/>
      </c>
      <c r="M423" s="23" t="n"/>
      <c r="N423" s="25">
        <f>IF(AND(IF($H425&lt;&gt;"",$H425,$H423)="override",$M423&lt;&gt;""),$M423,SUMIFS(Assumptions!$P$4:$P$103,Assumptions!$M$4:$M$103,$C423,Assumptions!$N$4:$N$103,$E423,Assumptions!$O$4:$O$103,"HVN"))</f>
        <v/>
      </c>
      <c r="O423" s="25">
        <f>(L423+N423)*Assumptions!$S$11</f>
        <v/>
      </c>
      <c r="P423" s="26">
        <f>$F423*$J423*$O423</f>
        <v/>
      </c>
    </row>
    <row r="424">
      <c r="A424" s="11" t="inlineStr">
        <is>
          <t>UNIT</t>
        </is>
      </c>
      <c r="B424" s="18" t="inlineStr">
        <is>
          <t>PEMEX_DEER_PARK</t>
        </is>
      </c>
      <c r="C424" s="18" t="n">
        <v>3</v>
      </c>
      <c r="D424" s="18" t="inlineStr">
        <is>
          <t>NHT</t>
        </is>
      </c>
      <c r="E424" s="18" t="inlineStr">
        <is>
          <t>NHT</t>
        </is>
      </c>
      <c r="F424" s="19" t="n">
        <v>80</v>
      </c>
      <c r="G424" s="21">
        <f>IFERROR(IF(INDEX(Effective!$E$3:$R$125,MATCH($B424,Effective!$A$3:$A$125,0),MATCH($D424,Effective!$E$2:$R$2,0))=0,"",INDEX(Effective!$E$3:$R$125,MATCH($B424,Effective!$A$3:$A$125,0),MATCH($D424,Effective!$E$2:$R$2,0))),"")</f>
        <v/>
      </c>
      <c r="H424" s="22" t="inlineStr">
        <is>
          <t>override</t>
        </is>
      </c>
      <c r="I424" s="23" t="n">
        <v>0.67</v>
      </c>
      <c r="J424" s="24">
        <f>IF(AND(IF($H425&lt;&gt;"",$H425,$H424)="override",$I424&lt;&gt;""),$I424,SUMIFS(Assumptions!$K$4:$K$8,Assumptions!$J$4:$J$8,$C424))*Assumptions!$S$10</f>
        <v/>
      </c>
      <c r="K424" s="23" t="n"/>
      <c r="L424" s="25">
        <f>IF(AND(IF($H425&lt;&gt;"",$H425,$H424)="override",$K424&lt;&gt;""),$K424,SUMIFS(Assumptions!$P$4:$P$103,Assumptions!$M$4:$M$103,$C424,Assumptions!$N$4:$N$103,$E424,Assumptions!$O$4:$O$103,"LVN"))</f>
        <v/>
      </c>
      <c r="M424" s="23" t="n"/>
      <c r="N424" s="25">
        <f>IF(AND(IF($H425&lt;&gt;"",$H425,$H424)="override",$M424&lt;&gt;""),$M424,SUMIFS(Assumptions!$P$4:$P$103,Assumptions!$M$4:$M$103,$C424,Assumptions!$N$4:$N$103,$E424,Assumptions!$O$4:$O$103,"HVN"))</f>
        <v/>
      </c>
      <c r="O424" s="25">
        <f>(L424+N424)*Assumptions!$S$11</f>
        <v/>
      </c>
      <c r="P424" s="26">
        <f>$F424*$J424*$O424</f>
        <v/>
      </c>
    </row>
    <row r="425">
      <c r="A425" s="27" t="inlineStr">
        <is>
          <t>TOTAL</t>
        </is>
      </c>
      <c r="B425" s="28" t="inlineStr">
        <is>
          <t>PEMEX_DEER_PARK</t>
        </is>
      </c>
      <c r="C425" s="28" t="n">
        <v>3</v>
      </c>
      <c r="D425" s="28" t="inlineStr">
        <is>
          <t>NET NAPHTHA</t>
        </is>
      </c>
      <c r="H425" s="22" t="n"/>
      <c r="P425" s="29">
        <f>SUM(P416:P424)</f>
        <v/>
      </c>
    </row>
    <row r="427" ht="20" customHeight="1">
      <c r="A427" s="8">
        <f>"  Flint Hills Resources Corpus Christi  [FLINT_CORPUS_CHRISTI]   —   Koch Industries   —   PADD 3   —   crude "&amp;TEXT(SUMIFS(Data!$G$3:$G$125,Data!$A$3:$A$125,"FLINT_CORPUS_CHRISTI"),"#,##0")&amp;" kbd"</f>
        <v/>
      </c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</row>
    <row r="428">
      <c r="A428" s="11" t="inlineStr">
        <is>
          <t>UNIT</t>
        </is>
      </c>
      <c r="B428" s="18" t="inlineStr">
        <is>
          <t>FLINT_CORPUS_CHRISTI</t>
        </is>
      </c>
      <c r="C428" s="18" t="n">
        <v>3</v>
      </c>
      <c r="D428" s="18" t="inlineStr">
        <is>
          <t>CDU</t>
        </is>
      </c>
      <c r="E428" s="18" t="inlineStr">
        <is>
          <t>CDU</t>
        </is>
      </c>
      <c r="F428" s="19" t="n">
        <v>350</v>
      </c>
      <c r="G428" s="21">
        <f>IFERROR(IF(INDEX(Effective!$E$3:$R$125,MATCH($B428,Effective!$A$3:$A$125,0),MATCH($D428,Effective!$E$2:$R$2,0))=0,"",INDEX(Effective!$E$3:$R$125,MATCH($B428,Effective!$A$3:$A$125,0),MATCH($D428,Effective!$E$2:$R$2,0))),"")</f>
        <v/>
      </c>
      <c r="H428" s="22" t="inlineStr">
        <is>
          <t>override</t>
        </is>
      </c>
      <c r="I428" s="23" t="n">
        <v>0.955</v>
      </c>
      <c r="J428" s="24">
        <f>IF(AND(IF($H438&lt;&gt;"",$H438,$H428)="override",$I428&lt;&gt;""),$I428,SUMIFS(Assumptions!$K$4:$K$8,Assumptions!$J$4:$J$8,$C428))*Assumptions!$S$10</f>
        <v/>
      </c>
      <c r="K428" s="23" t="n"/>
      <c r="L428" s="25">
        <f>IF(AND(IF($H438&lt;&gt;"",$H438,$H428)="override",$K428&lt;&gt;""),$K428,SUMIFS(Assumptions!$P$4:$P$103,Assumptions!$M$4:$M$103,$C428,Assumptions!$N$4:$N$103,$E428,Assumptions!$O$4:$O$103,"LVN"))</f>
        <v/>
      </c>
      <c r="M428" s="23" t="n"/>
      <c r="N428" s="25">
        <f>IF(AND(IF($H438&lt;&gt;"",$H438,$H428)="override",$M428&lt;&gt;""),$M428,SUMIFS(Assumptions!$P$4:$P$103,Assumptions!$M$4:$M$103,$C428,Assumptions!$N$4:$N$103,$E428,Assumptions!$O$4:$O$103,"HVN"))</f>
        <v/>
      </c>
      <c r="O428" s="25">
        <f>(L428+N428)*Assumptions!$S$11</f>
        <v/>
      </c>
      <c r="P428" s="26">
        <f>$F428*$J428*$O428</f>
        <v/>
      </c>
    </row>
    <row r="429">
      <c r="A429" s="11" t="inlineStr">
        <is>
          <t>UNIT</t>
        </is>
      </c>
      <c r="B429" s="18" t="inlineStr">
        <is>
          <t>FLINT_CORPUS_CHRISTI</t>
        </is>
      </c>
      <c r="C429" s="18" t="n">
        <v>3</v>
      </c>
      <c r="D429" s="18" t="inlineStr">
        <is>
          <t>VDU</t>
        </is>
      </c>
      <c r="E429" s="18" t="inlineStr">
        <is>
          <t>VDU</t>
        </is>
      </c>
      <c r="F429" s="19" t="n">
        <v>87.5</v>
      </c>
      <c r="G429" s="21">
        <f>IFERROR(IF(INDEX(Effective!$E$3:$R$125,MATCH($B429,Effective!$A$3:$A$125,0),MATCH($D429,Effective!$E$2:$R$2,0))=0,"",INDEX(Effective!$E$3:$R$125,MATCH($B429,Effective!$A$3:$A$125,0),MATCH($D429,Effective!$E$2:$R$2,0))),"")</f>
        <v/>
      </c>
      <c r="H429" s="22" t="inlineStr">
        <is>
          <t>override</t>
        </is>
      </c>
      <c r="I429" s="23" t="n">
        <v>0.976</v>
      </c>
      <c r="J429" s="24">
        <f>IF(AND(IF($H438&lt;&gt;"",$H438,$H429)="override",$I429&lt;&gt;""),$I429,SUMIFS(Assumptions!$K$4:$K$8,Assumptions!$J$4:$J$8,$C429))*Assumptions!$S$10</f>
        <v/>
      </c>
      <c r="K429" s="23" t="n"/>
      <c r="L429" s="25">
        <f>IF(AND(IF($H438&lt;&gt;"",$H438,$H429)="override",$K429&lt;&gt;""),$K429,SUMIFS(Assumptions!$P$4:$P$103,Assumptions!$M$4:$M$103,$C429,Assumptions!$N$4:$N$103,$E429,Assumptions!$O$4:$O$103,"LVN"))</f>
        <v/>
      </c>
      <c r="M429" s="23" t="n"/>
      <c r="N429" s="25">
        <f>IF(AND(IF($H438&lt;&gt;"",$H438,$H429)="override",$M429&lt;&gt;""),$M429,SUMIFS(Assumptions!$P$4:$P$103,Assumptions!$M$4:$M$103,$C429,Assumptions!$N$4:$N$103,$E429,Assumptions!$O$4:$O$103,"HVN"))</f>
        <v/>
      </c>
      <c r="O429" s="25">
        <f>(L429+N429)*Assumptions!$S$11</f>
        <v/>
      </c>
      <c r="P429" s="26">
        <f>$F429*$J429*$O429</f>
        <v/>
      </c>
    </row>
    <row r="430">
      <c r="A430" s="11" t="inlineStr">
        <is>
          <t>UNIT</t>
        </is>
      </c>
      <c r="B430" s="18" t="inlineStr">
        <is>
          <t>FLINT_CORPUS_CHRISTI</t>
        </is>
      </c>
      <c r="C430" s="18" t="n">
        <v>3</v>
      </c>
      <c r="D430" s="18" t="inlineStr">
        <is>
          <t>FCC</t>
        </is>
      </c>
      <c r="E430" s="18" t="inlineStr">
        <is>
          <t>FCC</t>
        </is>
      </c>
      <c r="F430" s="19" t="n">
        <v>105</v>
      </c>
      <c r="G430" s="21">
        <f>IFERROR(IF(INDEX(Effective!$E$3:$R$125,MATCH($B430,Effective!$A$3:$A$125,0),MATCH($D430,Effective!$E$2:$R$2,0))=0,"",INDEX(Effective!$E$3:$R$125,MATCH($B430,Effective!$A$3:$A$125,0),MATCH($D430,Effective!$E$2:$R$2,0))),"")</f>
        <v/>
      </c>
      <c r="H430" s="22" t="inlineStr">
        <is>
          <t>override</t>
        </is>
      </c>
      <c r="I430" s="23" t="n">
        <v>0.897</v>
      </c>
      <c r="J430" s="24">
        <f>IF(AND(IF($H438&lt;&gt;"",$H438,$H430)="override",$I430&lt;&gt;""),$I430,SUMIFS(Assumptions!$K$4:$K$8,Assumptions!$J$4:$J$8,$C430))*Assumptions!$S$10</f>
        <v/>
      </c>
      <c r="K430" s="23" t="n"/>
      <c r="L430" s="25">
        <f>IF(AND(IF($H438&lt;&gt;"",$H438,$H430)="override",$K430&lt;&gt;""),$K430,SUMIFS(Assumptions!$P$4:$P$103,Assumptions!$M$4:$M$103,$C430,Assumptions!$N$4:$N$103,$E430,Assumptions!$O$4:$O$103,"LVN"))</f>
        <v/>
      </c>
      <c r="M430" s="23" t="n"/>
      <c r="N430" s="25">
        <f>IF(AND(IF($H438&lt;&gt;"",$H438,$H430)="override",$M430&lt;&gt;""),$M430,SUMIFS(Assumptions!$P$4:$P$103,Assumptions!$M$4:$M$103,$C430,Assumptions!$N$4:$N$103,$E430,Assumptions!$O$4:$O$103,"HVN"))</f>
        <v/>
      </c>
      <c r="O430" s="25">
        <f>(L430+N430)*Assumptions!$S$11</f>
        <v/>
      </c>
      <c r="P430" s="26">
        <f>$F430*$J430*$O430</f>
        <v/>
      </c>
    </row>
    <row r="431">
      <c r="A431" s="11" t="inlineStr">
        <is>
          <t>UNIT</t>
        </is>
      </c>
      <c r="B431" s="18" t="inlineStr">
        <is>
          <t>FLINT_CORPUS_CHRISTI</t>
        </is>
      </c>
      <c r="C431" s="18" t="n">
        <v>3</v>
      </c>
      <c r="D431" s="18" t="inlineStr">
        <is>
          <t>DHCU</t>
        </is>
      </c>
      <c r="E431" s="18" t="inlineStr">
        <is>
          <t>HYDROCRACKER</t>
        </is>
      </c>
      <c r="F431" s="19" t="n">
        <v>15</v>
      </c>
      <c r="G431" s="21">
        <f>IFERROR(IF(INDEX(Effective!$E$3:$R$125,MATCH($B431,Effective!$A$3:$A$125,0),MATCH($D431,Effective!$E$2:$R$2,0))=0,"",INDEX(Effective!$E$3:$R$125,MATCH($B431,Effective!$A$3:$A$125,0),MATCH($D431,Effective!$E$2:$R$2,0))),"")</f>
        <v/>
      </c>
      <c r="H431" s="22" t="inlineStr">
        <is>
          <t>override</t>
        </is>
      </c>
      <c r="I431" s="23" t="n">
        <v>0.961</v>
      </c>
      <c r="J431" s="24">
        <f>IF(AND(IF($H438&lt;&gt;"",$H438,$H431)="override",$I431&lt;&gt;""),$I431,SUMIFS(Assumptions!$K$4:$K$8,Assumptions!$J$4:$J$8,$C431))*Assumptions!$S$10</f>
        <v/>
      </c>
      <c r="K431" s="23" t="n"/>
      <c r="L431" s="25">
        <f>IF(AND(IF($H438&lt;&gt;"",$H438,$H431)="override",$K431&lt;&gt;""),$K431,SUMIFS(Assumptions!$P$4:$P$103,Assumptions!$M$4:$M$103,$C431,Assumptions!$N$4:$N$103,$E431,Assumptions!$O$4:$O$103,"LVN"))</f>
        <v/>
      </c>
      <c r="M431" s="23" t="n"/>
      <c r="N431" s="25">
        <f>IF(AND(IF($H438&lt;&gt;"",$H438,$H431)="override",$M431&lt;&gt;""),$M431,SUMIFS(Assumptions!$P$4:$P$103,Assumptions!$M$4:$M$103,$C431,Assumptions!$N$4:$N$103,$E431,Assumptions!$O$4:$O$103,"HVN"))</f>
        <v/>
      </c>
      <c r="O431" s="25">
        <f>(L431+N431)*Assumptions!$S$11</f>
        <v/>
      </c>
      <c r="P431" s="26">
        <f>$F431*$J431*$O431</f>
        <v/>
      </c>
    </row>
    <row r="432">
      <c r="A432" s="11" t="inlineStr">
        <is>
          <t>UNIT</t>
        </is>
      </c>
      <c r="B432" s="18" t="inlineStr">
        <is>
          <t>FLINT_CORPUS_CHRISTI</t>
        </is>
      </c>
      <c r="C432" s="18" t="n">
        <v>3</v>
      </c>
      <c r="D432" s="18" t="inlineStr">
        <is>
          <t>COKER</t>
        </is>
      </c>
      <c r="E432" s="18" t="inlineStr">
        <is>
          <t>COKER</t>
        </is>
      </c>
      <c r="F432" s="19" t="n">
        <v>14.5</v>
      </c>
      <c r="G432" s="21">
        <f>IFERROR(IF(INDEX(Effective!$E$3:$R$125,MATCH($B432,Effective!$A$3:$A$125,0),MATCH($D432,Effective!$E$2:$R$2,0))=0,"",INDEX(Effective!$E$3:$R$125,MATCH($B432,Effective!$A$3:$A$125,0),MATCH($D432,Effective!$E$2:$R$2,0))),"")</f>
        <v/>
      </c>
      <c r="H432" s="22" t="inlineStr">
        <is>
          <t>override</t>
        </is>
      </c>
      <c r="I432" s="23" t="n">
        <v>0.966</v>
      </c>
      <c r="J432" s="24">
        <f>IF(AND(IF($H438&lt;&gt;"",$H438,$H432)="override",$I432&lt;&gt;""),$I432,SUMIFS(Assumptions!$K$4:$K$8,Assumptions!$J$4:$J$8,$C432))*Assumptions!$S$10</f>
        <v/>
      </c>
      <c r="K432" s="23" t="n"/>
      <c r="L432" s="25">
        <f>IF(AND(IF($H438&lt;&gt;"",$H438,$H432)="override",$K432&lt;&gt;""),$K432,SUMIFS(Assumptions!$P$4:$P$103,Assumptions!$M$4:$M$103,$C432,Assumptions!$N$4:$N$103,$E432,Assumptions!$O$4:$O$103,"LVN"))</f>
        <v/>
      </c>
      <c r="M432" s="23" t="n"/>
      <c r="N432" s="25">
        <f>IF(AND(IF($H438&lt;&gt;"",$H438,$H432)="override",$M432&lt;&gt;""),$M432,SUMIFS(Assumptions!$P$4:$P$103,Assumptions!$M$4:$M$103,$C432,Assumptions!$N$4:$N$103,$E432,Assumptions!$O$4:$O$103,"HVN"))</f>
        <v/>
      </c>
      <c r="O432" s="25">
        <f>(L432+N432)*Assumptions!$S$11</f>
        <v/>
      </c>
      <c r="P432" s="26">
        <f>$F432*$J432*$O432</f>
        <v/>
      </c>
    </row>
    <row r="433">
      <c r="A433" s="11" t="inlineStr">
        <is>
          <t>UNIT</t>
        </is>
      </c>
      <c r="B433" s="18" t="inlineStr">
        <is>
          <t>FLINT_CORPUS_CHRISTI</t>
        </is>
      </c>
      <c r="C433" s="18" t="n">
        <v>3</v>
      </c>
      <c r="D433" s="18" t="inlineStr">
        <is>
          <t>CCR</t>
        </is>
      </c>
      <c r="E433" s="18" t="inlineStr">
        <is>
          <t>REFORMER</t>
        </is>
      </c>
      <c r="F433" s="19" t="n">
        <v>48</v>
      </c>
      <c r="G433" s="21">
        <f>IFERROR(IF(INDEX(Effective!$E$3:$R$125,MATCH($B433,Effective!$A$3:$A$125,0),MATCH($D433,Effective!$E$2:$R$2,0))=0,"",INDEX(Effective!$E$3:$R$125,MATCH($B433,Effective!$A$3:$A$125,0),MATCH($D433,Effective!$E$2:$R$2,0))),"")</f>
        <v/>
      </c>
      <c r="H433" s="22" t="inlineStr">
        <is>
          <t>override</t>
        </is>
      </c>
      <c r="I433" s="23" t="n">
        <v>0.979</v>
      </c>
      <c r="J433" s="24">
        <f>IF(AND(IF($H438&lt;&gt;"",$H438,$H433)="override",$I433&lt;&gt;""),$I433,SUMIFS(Assumptions!$K$4:$K$8,Assumptions!$J$4:$J$8,$C433))*Assumptions!$S$10</f>
        <v/>
      </c>
      <c r="K433" s="23" t="n"/>
      <c r="L433" s="25">
        <f>IF(AND(IF($H438&lt;&gt;"",$H438,$H433)="override",$K433&lt;&gt;""),$K433,SUMIFS(Assumptions!$P$4:$P$103,Assumptions!$M$4:$M$103,$C433,Assumptions!$N$4:$N$103,$E433,Assumptions!$O$4:$O$103,"LVN"))</f>
        <v/>
      </c>
      <c r="M433" s="23" t="n"/>
      <c r="N433" s="25">
        <f>IF(AND(IF($H438&lt;&gt;"",$H438,$H433)="override",$M433&lt;&gt;""),$M433,SUMIFS(Assumptions!$P$4:$P$103,Assumptions!$M$4:$M$103,$C433,Assumptions!$N$4:$N$103,$E433,Assumptions!$O$4:$O$103,"HVN"))</f>
        <v/>
      </c>
      <c r="O433" s="25">
        <f>(L433+N433)*Assumptions!$S$11</f>
        <v/>
      </c>
      <c r="P433" s="26">
        <f>$F433*$J433*$O433</f>
        <v/>
      </c>
    </row>
    <row r="434">
      <c r="A434" s="11" t="inlineStr">
        <is>
          <t>UNIT</t>
        </is>
      </c>
      <c r="B434" s="18" t="inlineStr">
        <is>
          <t>FLINT_CORPUS_CHRISTI</t>
        </is>
      </c>
      <c r="C434" s="18" t="n">
        <v>3</v>
      </c>
      <c r="D434" s="18" t="inlineStr">
        <is>
          <t>REF</t>
        </is>
      </c>
      <c r="E434" s="18" t="inlineStr">
        <is>
          <t>REFORMER</t>
        </is>
      </c>
      <c r="F434" s="19" t="n">
        <v>17</v>
      </c>
      <c r="G434" s="21">
        <f>IFERROR(IF(INDEX(Effective!$E$3:$R$125,MATCH($B434,Effective!$A$3:$A$125,0),MATCH($D434,Effective!$E$2:$R$2,0))=0,"",INDEX(Effective!$E$3:$R$125,MATCH($B434,Effective!$A$3:$A$125,0),MATCH($D434,Effective!$E$2:$R$2,0))),"")</f>
        <v/>
      </c>
      <c r="H434" s="22" t="inlineStr">
        <is>
          <t>override</t>
        </is>
      </c>
      <c r="I434" s="23" t="n">
        <v>0.988</v>
      </c>
      <c r="J434" s="24">
        <f>IF(AND(IF($H438&lt;&gt;"",$H438,$H434)="override",$I434&lt;&gt;""),$I434,SUMIFS(Assumptions!$K$4:$K$8,Assumptions!$J$4:$J$8,$C434))*Assumptions!$S$10</f>
        <v/>
      </c>
      <c r="K434" s="23" t="n"/>
      <c r="L434" s="25">
        <f>IF(AND(IF($H438&lt;&gt;"",$H438,$H434)="override",$K434&lt;&gt;""),$K434,SUMIFS(Assumptions!$P$4:$P$103,Assumptions!$M$4:$M$103,$C434,Assumptions!$N$4:$N$103,$E434,Assumptions!$O$4:$O$103,"LVN"))</f>
        <v/>
      </c>
      <c r="M434" s="23" t="n"/>
      <c r="N434" s="25">
        <f>IF(AND(IF($H438&lt;&gt;"",$H438,$H434)="override",$M434&lt;&gt;""),$M434,SUMIFS(Assumptions!$P$4:$P$103,Assumptions!$M$4:$M$103,$C434,Assumptions!$N$4:$N$103,$E434,Assumptions!$O$4:$O$103,"HVN"))</f>
        <v/>
      </c>
      <c r="O434" s="25">
        <f>(L434+N434)*Assumptions!$S$11</f>
        <v/>
      </c>
      <c r="P434" s="26">
        <f>$F434*$J434*$O434</f>
        <v/>
      </c>
    </row>
    <row r="435">
      <c r="A435" s="11" t="inlineStr">
        <is>
          <t>UNIT</t>
        </is>
      </c>
      <c r="B435" s="18" t="inlineStr">
        <is>
          <t>FLINT_CORPUS_CHRISTI</t>
        </is>
      </c>
      <c r="C435" s="18" t="n">
        <v>3</v>
      </c>
      <c r="D435" s="18" t="inlineStr">
        <is>
          <t>ISOM</t>
        </is>
      </c>
      <c r="E435" s="18" t="inlineStr">
        <is>
          <t>ISOM</t>
        </is>
      </c>
      <c r="F435" s="19" t="n">
        <v>3.5</v>
      </c>
      <c r="G435" s="21">
        <f>IFERROR(IF(INDEX(Effective!$E$3:$R$125,MATCH($B435,Effective!$A$3:$A$125,0),MATCH($D435,Effective!$E$2:$R$2,0))=0,"",INDEX(Effective!$E$3:$R$125,MATCH($B435,Effective!$A$3:$A$125,0),MATCH($D435,Effective!$E$2:$R$2,0))),"")</f>
        <v/>
      </c>
      <c r="H435" s="22" t="inlineStr">
        <is>
          <t>override</t>
        </is>
      </c>
      <c r="I435" s="23" t="n">
        <v>0.971</v>
      </c>
      <c r="J435" s="24">
        <f>IF(AND(IF($H438&lt;&gt;"",$H438,$H435)="override",$I435&lt;&gt;""),$I435,SUMIFS(Assumptions!$K$4:$K$8,Assumptions!$J$4:$J$8,$C435))*Assumptions!$S$10</f>
        <v/>
      </c>
      <c r="K435" s="23" t="n"/>
      <c r="L435" s="25">
        <f>IF(AND(IF($H438&lt;&gt;"",$H438,$H435)="override",$K435&lt;&gt;""),$K435,SUMIFS(Assumptions!$P$4:$P$103,Assumptions!$M$4:$M$103,$C435,Assumptions!$N$4:$N$103,$E435,Assumptions!$O$4:$O$103,"LVN"))</f>
        <v/>
      </c>
      <c r="M435" s="23" t="n"/>
      <c r="N435" s="25">
        <f>IF(AND(IF($H438&lt;&gt;"",$H438,$H435)="override",$M435&lt;&gt;""),$M435,SUMIFS(Assumptions!$P$4:$P$103,Assumptions!$M$4:$M$103,$C435,Assumptions!$N$4:$N$103,$E435,Assumptions!$O$4:$O$103,"HVN"))</f>
        <v/>
      </c>
      <c r="O435" s="25">
        <f>(L435+N435)*Assumptions!$S$11</f>
        <v/>
      </c>
      <c r="P435" s="26">
        <f>$F435*$J435*$O435</f>
        <v/>
      </c>
    </row>
    <row r="436">
      <c r="A436" s="11" t="inlineStr">
        <is>
          <t>UNIT</t>
        </is>
      </c>
      <c r="B436" s="18" t="inlineStr">
        <is>
          <t>FLINT_CORPUS_CHRISTI</t>
        </is>
      </c>
      <c r="C436" s="18" t="n">
        <v>3</v>
      </c>
      <c r="D436" s="18" t="inlineStr">
        <is>
          <t>ALKY</t>
        </is>
      </c>
      <c r="E436" s="18" t="inlineStr">
        <is>
          <t>ALKY</t>
        </is>
      </c>
      <c r="F436" s="19" t="n">
        <v>15.5</v>
      </c>
      <c r="G436" s="21">
        <f>IFERROR(IF(INDEX(Effective!$E$3:$R$125,MATCH($B436,Effective!$A$3:$A$125,0),MATCH($D436,Effective!$E$2:$R$2,0))=0,"",INDEX(Effective!$E$3:$R$125,MATCH($B436,Effective!$A$3:$A$125,0),MATCH($D436,Effective!$E$2:$R$2,0))),"")</f>
        <v/>
      </c>
      <c r="H436" s="22" t="inlineStr">
        <is>
          <t>override</t>
        </is>
      </c>
      <c r="I436" s="23" t="n">
        <v>1.1</v>
      </c>
      <c r="J436" s="24">
        <f>IF(AND(IF($H438&lt;&gt;"",$H438,$H436)="override",$I436&lt;&gt;""),$I436,SUMIFS(Assumptions!$K$4:$K$8,Assumptions!$J$4:$J$8,$C436))*Assumptions!$S$10</f>
        <v/>
      </c>
      <c r="K436" s="23" t="n"/>
      <c r="L436" s="25">
        <f>IF(AND(IF($H438&lt;&gt;"",$H438,$H436)="override",$K436&lt;&gt;""),$K436,SUMIFS(Assumptions!$P$4:$P$103,Assumptions!$M$4:$M$103,$C436,Assumptions!$N$4:$N$103,$E436,Assumptions!$O$4:$O$103,"LVN"))</f>
        <v/>
      </c>
      <c r="M436" s="23" t="n"/>
      <c r="N436" s="25">
        <f>IF(AND(IF($H438&lt;&gt;"",$H438,$H436)="override",$M436&lt;&gt;""),$M436,SUMIFS(Assumptions!$P$4:$P$103,Assumptions!$M$4:$M$103,$C436,Assumptions!$N$4:$N$103,$E436,Assumptions!$O$4:$O$103,"HVN"))</f>
        <v/>
      </c>
      <c r="O436" s="25">
        <f>(L436+N436)*Assumptions!$S$11</f>
        <v/>
      </c>
      <c r="P436" s="26">
        <f>$F436*$J436*$O436</f>
        <v/>
      </c>
    </row>
    <row r="437">
      <c r="A437" s="11" t="inlineStr">
        <is>
          <t>UNIT</t>
        </is>
      </c>
      <c r="B437" s="18" t="inlineStr">
        <is>
          <t>FLINT_CORPUS_CHRISTI</t>
        </is>
      </c>
      <c r="C437" s="18" t="n">
        <v>3</v>
      </c>
      <c r="D437" s="18" t="inlineStr">
        <is>
          <t>NHT</t>
        </is>
      </c>
      <c r="E437" s="18" t="inlineStr">
        <is>
          <t>NHT</t>
        </is>
      </c>
      <c r="F437" s="19" t="n">
        <v>93</v>
      </c>
      <c r="G437" s="21">
        <f>IFERROR(IF(INDEX(Effective!$E$3:$R$125,MATCH($B437,Effective!$A$3:$A$125,0),MATCH($D437,Effective!$E$2:$R$2,0))=0,"",INDEX(Effective!$E$3:$R$125,MATCH($B437,Effective!$A$3:$A$125,0),MATCH($D437,Effective!$E$2:$R$2,0))),"")</f>
        <v/>
      </c>
      <c r="H437" s="22" t="inlineStr">
        <is>
          <t>override</t>
        </is>
      </c>
      <c r="I437" s="23" t="n">
        <v>0.985</v>
      </c>
      <c r="J437" s="24">
        <f>IF(AND(IF($H438&lt;&gt;"",$H438,$H437)="override",$I437&lt;&gt;""),$I437,SUMIFS(Assumptions!$K$4:$K$8,Assumptions!$J$4:$J$8,$C437))*Assumptions!$S$10</f>
        <v/>
      </c>
      <c r="K437" s="23" t="n"/>
      <c r="L437" s="25">
        <f>IF(AND(IF($H438&lt;&gt;"",$H438,$H437)="override",$K437&lt;&gt;""),$K437,SUMIFS(Assumptions!$P$4:$P$103,Assumptions!$M$4:$M$103,$C437,Assumptions!$N$4:$N$103,$E437,Assumptions!$O$4:$O$103,"LVN"))</f>
        <v/>
      </c>
      <c r="M437" s="23" t="n"/>
      <c r="N437" s="25">
        <f>IF(AND(IF($H438&lt;&gt;"",$H438,$H437)="override",$M437&lt;&gt;""),$M437,SUMIFS(Assumptions!$P$4:$P$103,Assumptions!$M$4:$M$103,$C437,Assumptions!$N$4:$N$103,$E437,Assumptions!$O$4:$O$103,"HVN"))</f>
        <v/>
      </c>
      <c r="O437" s="25">
        <f>(L437+N437)*Assumptions!$S$11</f>
        <v/>
      </c>
      <c r="P437" s="26">
        <f>$F437*$J437*$O437</f>
        <v/>
      </c>
    </row>
    <row r="438">
      <c r="A438" s="27" t="inlineStr">
        <is>
          <t>TOTAL</t>
        </is>
      </c>
      <c r="B438" s="28" t="inlineStr">
        <is>
          <t>FLINT_CORPUS_CHRISTI</t>
        </is>
      </c>
      <c r="C438" s="28" t="n">
        <v>3</v>
      </c>
      <c r="D438" s="28" t="inlineStr">
        <is>
          <t>NET NAPHTHA</t>
        </is>
      </c>
      <c r="H438" s="22" t="n"/>
      <c r="P438" s="29">
        <f>SUM(P428:P437)</f>
        <v/>
      </c>
    </row>
    <row r="440" ht="20" customHeight="1">
      <c r="A440" s="8">
        <f>"  Valero Corpus Christi  [VALERO_CORPUS_CHRISTI]   —   Valero   —   PADD 3   —   crude "&amp;TEXT(SUMIFS(Data!$G$3:$G$125,Data!$A$3:$A$125,"VALERO_CORPUS_CHRISTI"),"#,##0")&amp;" kbd"</f>
        <v/>
      </c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</row>
    <row r="441">
      <c r="A441" s="11" t="inlineStr">
        <is>
          <t>UNIT</t>
        </is>
      </c>
      <c r="B441" s="18" t="inlineStr">
        <is>
          <t>VALERO_CORPUS_CHRISTI</t>
        </is>
      </c>
      <c r="C441" s="18" t="n">
        <v>3</v>
      </c>
      <c r="D441" s="18" t="inlineStr">
        <is>
          <t>CDU</t>
        </is>
      </c>
      <c r="E441" s="18" t="inlineStr">
        <is>
          <t>CDU</t>
        </is>
      </c>
      <c r="F441" s="19" t="n">
        <v>297</v>
      </c>
      <c r="G441" s="21">
        <f>IFERROR(IF(INDEX(Effective!$E$3:$R$125,MATCH($B441,Effective!$A$3:$A$125,0),MATCH($D441,Effective!$E$2:$R$2,0))=0,"",INDEX(Effective!$E$3:$R$125,MATCH($B441,Effective!$A$3:$A$125,0),MATCH($D441,Effective!$E$2:$R$2,0))),"")</f>
        <v/>
      </c>
      <c r="H441" s="22" t="inlineStr">
        <is>
          <t>override</t>
        </is>
      </c>
      <c r="I441" s="23" t="n">
        <v>0.837</v>
      </c>
      <c r="J441" s="24">
        <f>IF(AND(IF($H452&lt;&gt;"",$H452,$H441)="override",$I441&lt;&gt;""),$I441,SUMIFS(Assumptions!$K$4:$K$8,Assumptions!$J$4:$J$8,$C441))*Assumptions!$S$10</f>
        <v/>
      </c>
      <c r="K441" s="23" t="n"/>
      <c r="L441" s="25">
        <f>IF(AND(IF($H452&lt;&gt;"",$H452,$H441)="override",$K441&lt;&gt;""),$K441,SUMIFS(Assumptions!$P$4:$P$103,Assumptions!$M$4:$M$103,$C441,Assumptions!$N$4:$N$103,$E441,Assumptions!$O$4:$O$103,"LVN"))</f>
        <v/>
      </c>
      <c r="M441" s="23" t="n"/>
      <c r="N441" s="25">
        <f>IF(AND(IF($H452&lt;&gt;"",$H452,$H441)="override",$M441&lt;&gt;""),$M441,SUMIFS(Assumptions!$P$4:$P$103,Assumptions!$M$4:$M$103,$C441,Assumptions!$N$4:$N$103,$E441,Assumptions!$O$4:$O$103,"HVN"))</f>
        <v/>
      </c>
      <c r="O441" s="25">
        <f>(L441+N441)*Assumptions!$S$11</f>
        <v/>
      </c>
      <c r="P441" s="26">
        <f>$F441*$J441*$O441</f>
        <v/>
      </c>
    </row>
    <row r="442">
      <c r="A442" s="11" t="inlineStr">
        <is>
          <t>UNIT</t>
        </is>
      </c>
      <c r="B442" s="18" t="inlineStr">
        <is>
          <t>VALERO_CORPUS_CHRISTI</t>
        </is>
      </c>
      <c r="C442" s="18" t="n">
        <v>3</v>
      </c>
      <c r="D442" s="18" t="inlineStr">
        <is>
          <t>VDU</t>
        </is>
      </c>
      <c r="E442" s="18" t="inlineStr">
        <is>
          <t>VDU</t>
        </is>
      </c>
      <c r="F442" s="19" t="n">
        <v>91</v>
      </c>
      <c r="G442" s="21">
        <f>IFERROR(IF(INDEX(Effective!$E$3:$R$125,MATCH($B442,Effective!$A$3:$A$125,0),MATCH($D442,Effective!$E$2:$R$2,0))=0,"",INDEX(Effective!$E$3:$R$125,MATCH($B442,Effective!$A$3:$A$125,0),MATCH($D442,Effective!$E$2:$R$2,0))),"")</f>
        <v/>
      </c>
      <c r="H442" s="22" t="inlineStr">
        <is>
          <t>override</t>
        </is>
      </c>
      <c r="I442" s="23" t="n">
        <v>0.601</v>
      </c>
      <c r="J442" s="24">
        <f>IF(AND(IF($H452&lt;&gt;"",$H452,$H442)="override",$I442&lt;&gt;""),$I442,SUMIFS(Assumptions!$K$4:$K$8,Assumptions!$J$4:$J$8,$C442))*Assumptions!$S$10</f>
        <v/>
      </c>
      <c r="K442" s="23" t="n"/>
      <c r="L442" s="25">
        <f>IF(AND(IF($H452&lt;&gt;"",$H452,$H442)="override",$K442&lt;&gt;""),$K442,SUMIFS(Assumptions!$P$4:$P$103,Assumptions!$M$4:$M$103,$C442,Assumptions!$N$4:$N$103,$E442,Assumptions!$O$4:$O$103,"LVN"))</f>
        <v/>
      </c>
      <c r="M442" s="23" t="n"/>
      <c r="N442" s="25">
        <f>IF(AND(IF($H452&lt;&gt;"",$H452,$H442)="override",$M442&lt;&gt;""),$M442,SUMIFS(Assumptions!$P$4:$P$103,Assumptions!$M$4:$M$103,$C442,Assumptions!$N$4:$N$103,$E442,Assumptions!$O$4:$O$103,"HVN"))</f>
        <v/>
      </c>
      <c r="O442" s="25">
        <f>(L442+N442)*Assumptions!$S$11</f>
        <v/>
      </c>
      <c r="P442" s="26">
        <f>$F442*$J442*$O442</f>
        <v/>
      </c>
    </row>
    <row r="443">
      <c r="A443" s="11" t="inlineStr">
        <is>
          <t>UNIT</t>
        </is>
      </c>
      <c r="B443" s="18" t="inlineStr">
        <is>
          <t>VALERO_CORPUS_CHRISTI</t>
        </is>
      </c>
      <c r="C443" s="18" t="n">
        <v>3</v>
      </c>
      <c r="D443" s="18" t="inlineStr">
        <is>
          <t>FCC</t>
        </is>
      </c>
      <c r="E443" s="18" t="inlineStr">
        <is>
          <t>FCC</t>
        </is>
      </c>
      <c r="F443" s="19" t="n">
        <v>25.5</v>
      </c>
      <c r="G443" s="21">
        <f>IFERROR(IF(INDEX(Effective!$E$3:$R$125,MATCH($B443,Effective!$A$3:$A$125,0),MATCH($D443,Effective!$E$2:$R$2,0))=0,"",INDEX(Effective!$E$3:$R$125,MATCH($B443,Effective!$A$3:$A$125,0),MATCH($D443,Effective!$E$2:$R$2,0))),"")</f>
        <v/>
      </c>
      <c r="H443" s="22" t="inlineStr">
        <is>
          <t>override</t>
        </is>
      </c>
      <c r="I443" s="23" t="n"/>
      <c r="J443" s="24">
        <f>IF(AND(IF($H452&lt;&gt;"",$H452,$H443)="override",$I443&lt;&gt;""),$I443,SUMIFS(Assumptions!$K$4:$K$8,Assumptions!$J$4:$J$8,$C443))*Assumptions!$S$10</f>
        <v/>
      </c>
      <c r="K443" s="23" t="n"/>
      <c r="L443" s="25">
        <f>IF(AND(IF($H452&lt;&gt;"",$H452,$H443)="override",$K443&lt;&gt;""),$K443,SUMIFS(Assumptions!$P$4:$P$103,Assumptions!$M$4:$M$103,$C443,Assumptions!$N$4:$N$103,$E443,Assumptions!$O$4:$O$103,"LVN"))</f>
        <v/>
      </c>
      <c r="M443" s="23" t="n"/>
      <c r="N443" s="25">
        <f>IF(AND(IF($H452&lt;&gt;"",$H452,$H443)="override",$M443&lt;&gt;""),$M443,SUMIFS(Assumptions!$P$4:$P$103,Assumptions!$M$4:$M$103,$C443,Assumptions!$N$4:$N$103,$E443,Assumptions!$O$4:$O$103,"HVN"))</f>
        <v/>
      </c>
      <c r="O443" s="25">
        <f>(L443+N443)*Assumptions!$S$11</f>
        <v/>
      </c>
      <c r="P443" s="26">
        <f>$F443*$J443*$O443</f>
        <v/>
      </c>
    </row>
    <row r="444">
      <c r="A444" s="11" t="inlineStr">
        <is>
          <t>UNIT</t>
        </is>
      </c>
      <c r="B444" s="18" t="inlineStr">
        <is>
          <t>VALERO_CORPUS_CHRISTI</t>
        </is>
      </c>
      <c r="C444" s="18" t="n">
        <v>3</v>
      </c>
      <c r="D444" s="18" t="inlineStr">
        <is>
          <t>RCC</t>
        </is>
      </c>
      <c r="E444" s="18" t="inlineStr">
        <is>
          <t>FCC</t>
        </is>
      </c>
      <c r="F444" s="19" t="n">
        <v>70</v>
      </c>
      <c r="G444" s="21">
        <f>IFERROR(IF(INDEX(Effective!$E$3:$R$125,MATCH($B444,Effective!$A$3:$A$125,0),MATCH($D444,Effective!$E$2:$R$2,0))=0,"",INDEX(Effective!$E$3:$R$125,MATCH($B444,Effective!$A$3:$A$125,0),MATCH($D444,Effective!$E$2:$R$2,0))),"")</f>
        <v/>
      </c>
      <c r="H444" s="22" t="inlineStr">
        <is>
          <t>override</t>
        </is>
      </c>
      <c r="I444" s="23" t="n">
        <v>0.96</v>
      </c>
      <c r="J444" s="24">
        <f>IF(AND(IF($H452&lt;&gt;"",$H452,$H444)="override",$I444&lt;&gt;""),$I444,SUMIFS(Assumptions!$K$4:$K$8,Assumptions!$J$4:$J$8,$C444))*Assumptions!$S$10</f>
        <v/>
      </c>
      <c r="K444" s="23" t="n"/>
      <c r="L444" s="25">
        <f>IF(AND(IF($H452&lt;&gt;"",$H452,$H444)="override",$K444&lt;&gt;""),$K444,SUMIFS(Assumptions!$P$4:$P$103,Assumptions!$M$4:$M$103,$C444,Assumptions!$N$4:$N$103,$E444,Assumptions!$O$4:$O$103,"LVN"))</f>
        <v/>
      </c>
      <c r="M444" s="23" t="n"/>
      <c r="N444" s="25">
        <f>IF(AND(IF($H452&lt;&gt;"",$H452,$H444)="override",$M444&lt;&gt;""),$M444,SUMIFS(Assumptions!$P$4:$P$103,Assumptions!$M$4:$M$103,$C444,Assumptions!$N$4:$N$103,$E444,Assumptions!$O$4:$O$103,"HVN"))</f>
        <v/>
      </c>
      <c r="O444" s="25">
        <f>(L444+N444)*Assumptions!$S$11</f>
        <v/>
      </c>
      <c r="P444" s="26">
        <f>$F444*$J444*$O444</f>
        <v/>
      </c>
    </row>
    <row r="445">
      <c r="A445" s="11" t="inlineStr">
        <is>
          <t>UNIT</t>
        </is>
      </c>
      <c r="B445" s="18" t="inlineStr">
        <is>
          <t>VALERO_CORPUS_CHRISTI</t>
        </is>
      </c>
      <c r="C445" s="18" t="n">
        <v>3</v>
      </c>
      <c r="D445" s="18" t="inlineStr">
        <is>
          <t>DHCU</t>
        </is>
      </c>
      <c r="E445" s="18" t="inlineStr">
        <is>
          <t>HYDROCRACKER</t>
        </is>
      </c>
      <c r="F445" s="19" t="n">
        <v>51</v>
      </c>
      <c r="G445" s="21">
        <f>IFERROR(IF(INDEX(Effective!$E$3:$R$125,MATCH($B445,Effective!$A$3:$A$125,0),MATCH($D445,Effective!$E$2:$R$2,0))=0,"",INDEX(Effective!$E$3:$R$125,MATCH($B445,Effective!$A$3:$A$125,0),MATCH($D445,Effective!$E$2:$R$2,0))),"")</f>
        <v/>
      </c>
      <c r="H445" s="22" t="inlineStr">
        <is>
          <t>override</t>
        </is>
      </c>
      <c r="I445" s="23" t="n">
        <v>0.984</v>
      </c>
      <c r="J445" s="24">
        <f>IF(AND(IF($H452&lt;&gt;"",$H452,$H445)="override",$I445&lt;&gt;""),$I445,SUMIFS(Assumptions!$K$4:$K$8,Assumptions!$J$4:$J$8,$C445))*Assumptions!$S$10</f>
        <v/>
      </c>
      <c r="K445" s="23" t="n"/>
      <c r="L445" s="25">
        <f>IF(AND(IF($H452&lt;&gt;"",$H452,$H445)="override",$K445&lt;&gt;""),$K445,SUMIFS(Assumptions!$P$4:$P$103,Assumptions!$M$4:$M$103,$C445,Assumptions!$N$4:$N$103,$E445,Assumptions!$O$4:$O$103,"LVN"))</f>
        <v/>
      </c>
      <c r="M445" s="23" t="n"/>
      <c r="N445" s="25">
        <f>IF(AND(IF($H452&lt;&gt;"",$H452,$H445)="override",$M445&lt;&gt;""),$M445,SUMIFS(Assumptions!$P$4:$P$103,Assumptions!$M$4:$M$103,$C445,Assumptions!$N$4:$N$103,$E445,Assumptions!$O$4:$O$103,"HVN"))</f>
        <v/>
      </c>
      <c r="O445" s="25">
        <f>(L445+N445)*Assumptions!$S$11</f>
        <v/>
      </c>
      <c r="P445" s="26">
        <f>$F445*$J445*$O445</f>
        <v/>
      </c>
    </row>
    <row r="446">
      <c r="A446" s="11" t="inlineStr">
        <is>
          <t>UNIT</t>
        </is>
      </c>
      <c r="B446" s="18" t="inlineStr">
        <is>
          <t>VALERO_CORPUS_CHRISTI</t>
        </is>
      </c>
      <c r="C446" s="18" t="n">
        <v>3</v>
      </c>
      <c r="D446" s="18" t="inlineStr">
        <is>
          <t>COKER</t>
        </is>
      </c>
      <c r="E446" s="18" t="inlineStr">
        <is>
          <t>COKER</t>
        </is>
      </c>
      <c r="F446" s="19" t="n">
        <v>19</v>
      </c>
      <c r="G446" s="21">
        <f>IFERROR(IF(INDEX(Effective!$E$3:$R$125,MATCH($B446,Effective!$A$3:$A$125,0),MATCH($D446,Effective!$E$2:$R$2,0))=0,"",INDEX(Effective!$E$3:$R$125,MATCH($B446,Effective!$A$3:$A$125,0),MATCH($D446,Effective!$E$2:$R$2,0))),"")</f>
        <v/>
      </c>
      <c r="H446" s="22" t="inlineStr">
        <is>
          <t>override</t>
        </is>
      </c>
      <c r="I446" s="23" t="n">
        <v>0.983</v>
      </c>
      <c r="J446" s="24">
        <f>IF(AND(IF($H452&lt;&gt;"",$H452,$H446)="override",$I446&lt;&gt;""),$I446,SUMIFS(Assumptions!$K$4:$K$8,Assumptions!$J$4:$J$8,$C446))*Assumptions!$S$10</f>
        <v/>
      </c>
      <c r="K446" s="23" t="n"/>
      <c r="L446" s="25">
        <f>IF(AND(IF($H452&lt;&gt;"",$H452,$H446)="override",$K446&lt;&gt;""),$K446,SUMIFS(Assumptions!$P$4:$P$103,Assumptions!$M$4:$M$103,$C446,Assumptions!$N$4:$N$103,$E446,Assumptions!$O$4:$O$103,"LVN"))</f>
        <v/>
      </c>
      <c r="M446" s="23" t="n"/>
      <c r="N446" s="25">
        <f>IF(AND(IF($H452&lt;&gt;"",$H452,$H446)="override",$M446&lt;&gt;""),$M446,SUMIFS(Assumptions!$P$4:$P$103,Assumptions!$M$4:$M$103,$C446,Assumptions!$N$4:$N$103,$E446,Assumptions!$O$4:$O$103,"HVN"))</f>
        <v/>
      </c>
      <c r="O446" s="25">
        <f>(L446+N446)*Assumptions!$S$11</f>
        <v/>
      </c>
      <c r="P446" s="26">
        <f>$F446*$J446*$O446</f>
        <v/>
      </c>
    </row>
    <row r="447">
      <c r="A447" s="11" t="inlineStr">
        <is>
          <t>UNIT</t>
        </is>
      </c>
      <c r="B447" s="18" t="inlineStr">
        <is>
          <t>VALERO_CORPUS_CHRISTI</t>
        </is>
      </c>
      <c r="C447" s="18" t="n">
        <v>3</v>
      </c>
      <c r="D447" s="18" t="inlineStr">
        <is>
          <t>CCR</t>
        </is>
      </c>
      <c r="E447" s="18" t="inlineStr">
        <is>
          <t>REFORMER</t>
        </is>
      </c>
      <c r="F447" s="19" t="n">
        <v>39</v>
      </c>
      <c r="G447" s="21">
        <f>IFERROR(IF(INDEX(Effective!$E$3:$R$125,MATCH($B447,Effective!$A$3:$A$125,0),MATCH($D447,Effective!$E$2:$R$2,0))=0,"",INDEX(Effective!$E$3:$R$125,MATCH($B447,Effective!$A$3:$A$125,0),MATCH($D447,Effective!$E$2:$R$2,0))),"")</f>
        <v/>
      </c>
      <c r="H447" s="22" t="inlineStr">
        <is>
          <t>override</t>
        </is>
      </c>
      <c r="I447" s="23" t="n">
        <v>1.1</v>
      </c>
      <c r="J447" s="24">
        <f>IF(AND(IF($H452&lt;&gt;"",$H452,$H447)="override",$I447&lt;&gt;""),$I447,SUMIFS(Assumptions!$K$4:$K$8,Assumptions!$J$4:$J$8,$C447))*Assumptions!$S$10</f>
        <v/>
      </c>
      <c r="K447" s="23" t="n"/>
      <c r="L447" s="25">
        <f>IF(AND(IF($H452&lt;&gt;"",$H452,$H447)="override",$K447&lt;&gt;""),$K447,SUMIFS(Assumptions!$P$4:$P$103,Assumptions!$M$4:$M$103,$C447,Assumptions!$N$4:$N$103,$E447,Assumptions!$O$4:$O$103,"LVN"))</f>
        <v/>
      </c>
      <c r="M447" s="23" t="n"/>
      <c r="N447" s="25">
        <f>IF(AND(IF($H452&lt;&gt;"",$H452,$H447)="override",$M447&lt;&gt;""),$M447,SUMIFS(Assumptions!$P$4:$P$103,Assumptions!$M$4:$M$103,$C447,Assumptions!$N$4:$N$103,$E447,Assumptions!$O$4:$O$103,"HVN"))</f>
        <v/>
      </c>
      <c r="O447" s="25">
        <f>(L447+N447)*Assumptions!$S$11</f>
        <v/>
      </c>
      <c r="P447" s="26">
        <f>$F447*$J447*$O447</f>
        <v/>
      </c>
    </row>
    <row r="448">
      <c r="A448" s="11" t="inlineStr">
        <is>
          <t>UNIT</t>
        </is>
      </c>
      <c r="B448" s="18" t="inlineStr">
        <is>
          <t>VALERO_CORPUS_CHRISTI</t>
        </is>
      </c>
      <c r="C448" s="18" t="n">
        <v>3</v>
      </c>
      <c r="D448" s="18" t="inlineStr">
        <is>
          <t>REF</t>
        </is>
      </c>
      <c r="E448" s="18" t="inlineStr">
        <is>
          <t>REFORMER</t>
        </is>
      </c>
      <c r="F448" s="19" t="n">
        <v>11</v>
      </c>
      <c r="G448" s="21">
        <f>IFERROR(IF(INDEX(Effective!$E$3:$R$125,MATCH($B448,Effective!$A$3:$A$125,0),MATCH($D448,Effective!$E$2:$R$2,0))=0,"",INDEX(Effective!$E$3:$R$125,MATCH($B448,Effective!$A$3:$A$125,0),MATCH($D448,Effective!$E$2:$R$2,0))),"")</f>
        <v/>
      </c>
      <c r="H448" s="22" t="inlineStr">
        <is>
          <t>override</t>
        </is>
      </c>
      <c r="I448" s="23" t="n"/>
      <c r="J448" s="24">
        <f>IF(AND(IF($H452&lt;&gt;"",$H452,$H448)="override",$I448&lt;&gt;""),$I448,SUMIFS(Assumptions!$K$4:$K$8,Assumptions!$J$4:$J$8,$C448))*Assumptions!$S$10</f>
        <v/>
      </c>
      <c r="K448" s="23" t="n"/>
      <c r="L448" s="25">
        <f>IF(AND(IF($H452&lt;&gt;"",$H452,$H448)="override",$K448&lt;&gt;""),$K448,SUMIFS(Assumptions!$P$4:$P$103,Assumptions!$M$4:$M$103,$C448,Assumptions!$N$4:$N$103,$E448,Assumptions!$O$4:$O$103,"LVN"))</f>
        <v/>
      </c>
      <c r="M448" s="23" t="n"/>
      <c r="N448" s="25">
        <f>IF(AND(IF($H452&lt;&gt;"",$H452,$H448)="override",$M448&lt;&gt;""),$M448,SUMIFS(Assumptions!$P$4:$P$103,Assumptions!$M$4:$M$103,$C448,Assumptions!$N$4:$N$103,$E448,Assumptions!$O$4:$O$103,"HVN"))</f>
        <v/>
      </c>
      <c r="O448" s="25">
        <f>(L448+N448)*Assumptions!$S$11</f>
        <v/>
      </c>
      <c r="P448" s="26">
        <f>$F448*$J448*$O448</f>
        <v/>
      </c>
    </row>
    <row r="449">
      <c r="A449" s="11" t="inlineStr">
        <is>
          <t>UNIT</t>
        </is>
      </c>
      <c r="B449" s="18" t="inlineStr">
        <is>
          <t>VALERO_CORPUS_CHRISTI</t>
        </is>
      </c>
      <c r="C449" s="18" t="n">
        <v>3</v>
      </c>
      <c r="D449" s="18" t="inlineStr">
        <is>
          <t>ISOM</t>
        </is>
      </c>
      <c r="E449" s="18" t="inlineStr">
        <is>
          <t>ISOM</t>
        </is>
      </c>
      <c r="F449" s="19" t="n">
        <v>12</v>
      </c>
      <c r="G449" s="21">
        <f>IFERROR(IF(INDEX(Effective!$E$3:$R$125,MATCH($B449,Effective!$A$3:$A$125,0),MATCH($D449,Effective!$E$2:$R$2,0))=0,"",INDEX(Effective!$E$3:$R$125,MATCH($B449,Effective!$A$3:$A$125,0),MATCH($D449,Effective!$E$2:$R$2,0))),"")</f>
        <v/>
      </c>
      <c r="H449" s="22" t="inlineStr">
        <is>
          <t>override</t>
        </is>
      </c>
      <c r="I449" s="23" t="n">
        <v>0.866</v>
      </c>
      <c r="J449" s="24">
        <f>IF(AND(IF($H452&lt;&gt;"",$H452,$H449)="override",$I449&lt;&gt;""),$I449,SUMIFS(Assumptions!$K$4:$K$8,Assumptions!$J$4:$J$8,$C449))*Assumptions!$S$10</f>
        <v/>
      </c>
      <c r="K449" s="23" t="n"/>
      <c r="L449" s="25">
        <f>IF(AND(IF($H452&lt;&gt;"",$H452,$H449)="override",$K449&lt;&gt;""),$K449,SUMIFS(Assumptions!$P$4:$P$103,Assumptions!$M$4:$M$103,$C449,Assumptions!$N$4:$N$103,$E449,Assumptions!$O$4:$O$103,"LVN"))</f>
        <v/>
      </c>
      <c r="M449" s="23" t="n"/>
      <c r="N449" s="25">
        <f>IF(AND(IF($H452&lt;&gt;"",$H452,$H449)="override",$M449&lt;&gt;""),$M449,SUMIFS(Assumptions!$P$4:$P$103,Assumptions!$M$4:$M$103,$C449,Assumptions!$N$4:$N$103,$E449,Assumptions!$O$4:$O$103,"HVN"))</f>
        <v/>
      </c>
      <c r="O449" s="25">
        <f>(L449+N449)*Assumptions!$S$11</f>
        <v/>
      </c>
      <c r="P449" s="26">
        <f>$F449*$J449*$O449</f>
        <v/>
      </c>
    </row>
    <row r="450">
      <c r="A450" s="11" t="inlineStr">
        <is>
          <t>UNIT</t>
        </is>
      </c>
      <c r="B450" s="18" t="inlineStr">
        <is>
          <t>VALERO_CORPUS_CHRISTI</t>
        </is>
      </c>
      <c r="C450" s="18" t="n">
        <v>3</v>
      </c>
      <c r="D450" s="18" t="inlineStr">
        <is>
          <t>ALKY</t>
        </is>
      </c>
      <c r="E450" s="18" t="inlineStr">
        <is>
          <t>ALKY</t>
        </is>
      </c>
      <c r="F450" s="19" t="n">
        <v>24.5</v>
      </c>
      <c r="G450" s="21">
        <f>IFERROR(IF(INDEX(Effective!$E$3:$R$125,MATCH($B450,Effective!$A$3:$A$125,0),MATCH($D450,Effective!$E$2:$R$2,0))=0,"",INDEX(Effective!$E$3:$R$125,MATCH($B450,Effective!$A$3:$A$125,0),MATCH($D450,Effective!$E$2:$R$2,0))),"")</f>
        <v/>
      </c>
      <c r="H450" s="22" t="inlineStr">
        <is>
          <t>override</t>
        </is>
      </c>
      <c r="I450" s="23" t="n">
        <v>1.1</v>
      </c>
      <c r="J450" s="24">
        <f>IF(AND(IF($H452&lt;&gt;"",$H452,$H450)="override",$I450&lt;&gt;""),$I450,SUMIFS(Assumptions!$K$4:$K$8,Assumptions!$J$4:$J$8,$C450))*Assumptions!$S$10</f>
        <v/>
      </c>
      <c r="K450" s="23" t="n"/>
      <c r="L450" s="25">
        <f>IF(AND(IF($H452&lt;&gt;"",$H452,$H450)="override",$K450&lt;&gt;""),$K450,SUMIFS(Assumptions!$P$4:$P$103,Assumptions!$M$4:$M$103,$C450,Assumptions!$N$4:$N$103,$E450,Assumptions!$O$4:$O$103,"LVN"))</f>
        <v/>
      </c>
      <c r="M450" s="23" t="n"/>
      <c r="N450" s="25">
        <f>IF(AND(IF($H452&lt;&gt;"",$H452,$H450)="override",$M450&lt;&gt;""),$M450,SUMIFS(Assumptions!$P$4:$P$103,Assumptions!$M$4:$M$103,$C450,Assumptions!$N$4:$N$103,$E450,Assumptions!$O$4:$O$103,"HVN"))</f>
        <v/>
      </c>
      <c r="O450" s="25">
        <f>(L450+N450)*Assumptions!$S$11</f>
        <v/>
      </c>
      <c r="P450" s="26">
        <f>$F450*$J450*$O450</f>
        <v/>
      </c>
    </row>
    <row r="451">
      <c r="A451" s="11" t="inlineStr">
        <is>
          <t>UNIT</t>
        </is>
      </c>
      <c r="B451" s="18" t="inlineStr">
        <is>
          <t>VALERO_CORPUS_CHRISTI</t>
        </is>
      </c>
      <c r="C451" s="18" t="n">
        <v>3</v>
      </c>
      <c r="D451" s="18" t="inlineStr">
        <is>
          <t>NHT</t>
        </is>
      </c>
      <c r="E451" s="18" t="inlineStr">
        <is>
          <t>NHT</t>
        </is>
      </c>
      <c r="F451" s="19" t="n">
        <v>57</v>
      </c>
      <c r="G451" s="21">
        <f>IFERROR(IF(INDEX(Effective!$E$3:$R$125,MATCH($B451,Effective!$A$3:$A$125,0),MATCH($D451,Effective!$E$2:$R$2,0))=0,"",INDEX(Effective!$E$3:$R$125,MATCH($B451,Effective!$A$3:$A$125,0),MATCH($D451,Effective!$E$2:$R$2,0))),"")</f>
        <v/>
      </c>
      <c r="H451" s="22" t="inlineStr">
        <is>
          <t>override</t>
        </is>
      </c>
      <c r="I451" s="23" t="n">
        <v>1.1</v>
      </c>
      <c r="J451" s="24">
        <f>IF(AND(IF($H452&lt;&gt;"",$H452,$H451)="override",$I451&lt;&gt;""),$I451,SUMIFS(Assumptions!$K$4:$K$8,Assumptions!$J$4:$J$8,$C451))*Assumptions!$S$10</f>
        <v/>
      </c>
      <c r="K451" s="23" t="n"/>
      <c r="L451" s="25">
        <f>IF(AND(IF($H452&lt;&gt;"",$H452,$H451)="override",$K451&lt;&gt;""),$K451,SUMIFS(Assumptions!$P$4:$P$103,Assumptions!$M$4:$M$103,$C451,Assumptions!$N$4:$N$103,$E451,Assumptions!$O$4:$O$103,"LVN"))</f>
        <v/>
      </c>
      <c r="M451" s="23" t="n"/>
      <c r="N451" s="25">
        <f>IF(AND(IF($H452&lt;&gt;"",$H452,$H451)="override",$M451&lt;&gt;""),$M451,SUMIFS(Assumptions!$P$4:$P$103,Assumptions!$M$4:$M$103,$C451,Assumptions!$N$4:$N$103,$E451,Assumptions!$O$4:$O$103,"HVN"))</f>
        <v/>
      </c>
      <c r="O451" s="25">
        <f>(L451+N451)*Assumptions!$S$11</f>
        <v/>
      </c>
      <c r="P451" s="26">
        <f>$F451*$J451*$O451</f>
        <v/>
      </c>
    </row>
    <row r="452">
      <c r="A452" s="27" t="inlineStr">
        <is>
          <t>TOTAL</t>
        </is>
      </c>
      <c r="B452" s="28" t="inlineStr">
        <is>
          <t>VALERO_CORPUS_CHRISTI</t>
        </is>
      </c>
      <c r="C452" s="28" t="n">
        <v>3</v>
      </c>
      <c r="D452" s="28" t="inlineStr">
        <is>
          <t>NET NAPHTHA</t>
        </is>
      </c>
      <c r="H452" s="22" t="n"/>
      <c r="P452" s="29">
        <f>SUM(P441:P451)</f>
        <v/>
      </c>
    </row>
    <row r="454" ht="20" customHeight="1">
      <c r="A454" s="8">
        <f>"  Phillips 66 Co. Westlake  [PHILLIPS_WESTLAKE]   —   Phillips 66 Co.   —   PADD 3   —   crude "&amp;TEXT(SUMIFS(Data!$G$3:$G$125,Data!$A$3:$A$125,"PHILLIPS_WESTLAKE"),"#,##0")&amp;" kbd"</f>
        <v/>
      </c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</row>
    <row r="455">
      <c r="A455" s="11" t="inlineStr">
        <is>
          <t>UNIT</t>
        </is>
      </c>
      <c r="B455" s="18" t="inlineStr">
        <is>
          <t>PHILLIPS_WESTLAKE</t>
        </is>
      </c>
      <c r="C455" s="18" t="n">
        <v>3</v>
      </c>
      <c r="D455" s="18" t="inlineStr">
        <is>
          <t>CDU</t>
        </is>
      </c>
      <c r="E455" s="18" t="inlineStr">
        <is>
          <t>CDU</t>
        </is>
      </c>
      <c r="F455" s="19" t="n">
        <v>273</v>
      </c>
      <c r="G455" s="21">
        <f>IFERROR(IF(INDEX(Effective!$E$3:$R$125,MATCH($B455,Effective!$A$3:$A$125,0),MATCH($D455,Effective!$E$2:$R$2,0))=0,"",INDEX(Effective!$E$3:$R$125,MATCH($B455,Effective!$A$3:$A$125,0),MATCH($D455,Effective!$E$2:$R$2,0))),"")</f>
        <v/>
      </c>
      <c r="H455" s="22" t="inlineStr">
        <is>
          <t>override</t>
        </is>
      </c>
      <c r="I455" s="23" t="n">
        <v>0.827</v>
      </c>
      <c r="J455" s="24">
        <f>IF(AND(IF($H463&lt;&gt;"",$H463,$H455)="override",$I455&lt;&gt;""),$I455,SUMIFS(Assumptions!$K$4:$K$8,Assumptions!$J$4:$J$8,$C455))*Assumptions!$S$10</f>
        <v/>
      </c>
      <c r="K455" s="23" t="n"/>
      <c r="L455" s="25">
        <f>IF(AND(IF($H463&lt;&gt;"",$H463,$H455)="override",$K455&lt;&gt;""),$K455,SUMIFS(Assumptions!$P$4:$P$103,Assumptions!$M$4:$M$103,$C455,Assumptions!$N$4:$N$103,$E455,Assumptions!$O$4:$O$103,"LVN"))</f>
        <v/>
      </c>
      <c r="M455" s="23" t="n"/>
      <c r="N455" s="25">
        <f>IF(AND(IF($H463&lt;&gt;"",$H463,$H455)="override",$M455&lt;&gt;""),$M455,SUMIFS(Assumptions!$P$4:$P$103,Assumptions!$M$4:$M$103,$C455,Assumptions!$N$4:$N$103,$E455,Assumptions!$O$4:$O$103,"HVN"))</f>
        <v/>
      </c>
      <c r="O455" s="25">
        <f>(L455+N455)*Assumptions!$S$11</f>
        <v/>
      </c>
      <c r="P455" s="26">
        <f>$F455*$J455*$O455</f>
        <v/>
      </c>
    </row>
    <row r="456">
      <c r="A456" s="11" t="inlineStr">
        <is>
          <t>UNIT</t>
        </is>
      </c>
      <c r="B456" s="18" t="inlineStr">
        <is>
          <t>PHILLIPS_WESTLAKE</t>
        </is>
      </c>
      <c r="C456" s="18" t="n">
        <v>3</v>
      </c>
      <c r="D456" s="18" t="inlineStr">
        <is>
          <t>VDU</t>
        </is>
      </c>
      <c r="E456" s="18" t="inlineStr">
        <is>
          <t>VDU</t>
        </is>
      </c>
      <c r="F456" s="19" t="n">
        <v>125</v>
      </c>
      <c r="G456" s="21">
        <f>IFERROR(IF(INDEX(Effective!$E$3:$R$125,MATCH($B456,Effective!$A$3:$A$125,0),MATCH($D456,Effective!$E$2:$R$2,0))=0,"",INDEX(Effective!$E$3:$R$125,MATCH($B456,Effective!$A$3:$A$125,0),MATCH($D456,Effective!$E$2:$R$2,0))),"")</f>
        <v/>
      </c>
      <c r="H456" s="22" t="inlineStr">
        <is>
          <t>override</t>
        </is>
      </c>
      <c r="I456" s="23" t="n">
        <v>0.52</v>
      </c>
      <c r="J456" s="24">
        <f>IF(AND(IF($H463&lt;&gt;"",$H463,$H456)="override",$I456&lt;&gt;""),$I456,SUMIFS(Assumptions!$K$4:$K$8,Assumptions!$J$4:$J$8,$C456))*Assumptions!$S$10</f>
        <v/>
      </c>
      <c r="K456" s="23" t="n"/>
      <c r="L456" s="25">
        <f>IF(AND(IF($H463&lt;&gt;"",$H463,$H456)="override",$K456&lt;&gt;""),$K456,SUMIFS(Assumptions!$P$4:$P$103,Assumptions!$M$4:$M$103,$C456,Assumptions!$N$4:$N$103,$E456,Assumptions!$O$4:$O$103,"LVN"))</f>
        <v/>
      </c>
      <c r="M456" s="23" t="n"/>
      <c r="N456" s="25">
        <f>IF(AND(IF($H463&lt;&gt;"",$H463,$H456)="override",$M456&lt;&gt;""),$M456,SUMIFS(Assumptions!$P$4:$P$103,Assumptions!$M$4:$M$103,$C456,Assumptions!$N$4:$N$103,$E456,Assumptions!$O$4:$O$103,"HVN"))</f>
        <v/>
      </c>
      <c r="O456" s="25">
        <f>(L456+N456)*Assumptions!$S$11</f>
        <v/>
      </c>
      <c r="P456" s="26">
        <f>$F456*$J456*$O456</f>
        <v/>
      </c>
    </row>
    <row r="457">
      <c r="A457" s="11" t="inlineStr">
        <is>
          <t>UNIT</t>
        </is>
      </c>
      <c r="B457" s="18" t="inlineStr">
        <is>
          <t>PHILLIPS_WESTLAKE</t>
        </is>
      </c>
      <c r="C457" s="18" t="n">
        <v>3</v>
      </c>
      <c r="D457" s="18" t="inlineStr">
        <is>
          <t>FCC</t>
        </is>
      </c>
      <c r="E457" s="18" t="inlineStr">
        <is>
          <t>FCC</t>
        </is>
      </c>
      <c r="F457" s="19" t="n">
        <v>51.6</v>
      </c>
      <c r="G457" s="21">
        <f>IFERROR(IF(INDEX(Effective!$E$3:$R$125,MATCH($B457,Effective!$A$3:$A$125,0),MATCH($D457,Effective!$E$2:$R$2,0))=0,"",INDEX(Effective!$E$3:$R$125,MATCH($B457,Effective!$A$3:$A$125,0),MATCH($D457,Effective!$E$2:$R$2,0))),"")</f>
        <v/>
      </c>
      <c r="H457" s="22" t="inlineStr">
        <is>
          <t>override</t>
        </is>
      </c>
      <c r="I457" s="23" t="n">
        <v>0.681</v>
      </c>
      <c r="J457" s="24">
        <f>IF(AND(IF($H463&lt;&gt;"",$H463,$H457)="override",$I457&lt;&gt;""),$I457,SUMIFS(Assumptions!$K$4:$K$8,Assumptions!$J$4:$J$8,$C457))*Assumptions!$S$10</f>
        <v/>
      </c>
      <c r="K457" s="23" t="n"/>
      <c r="L457" s="25">
        <f>IF(AND(IF($H463&lt;&gt;"",$H463,$H457)="override",$K457&lt;&gt;""),$K457,SUMIFS(Assumptions!$P$4:$P$103,Assumptions!$M$4:$M$103,$C457,Assumptions!$N$4:$N$103,$E457,Assumptions!$O$4:$O$103,"LVN"))</f>
        <v/>
      </c>
      <c r="M457" s="23" t="n"/>
      <c r="N457" s="25">
        <f>IF(AND(IF($H463&lt;&gt;"",$H463,$H457)="override",$M457&lt;&gt;""),$M457,SUMIFS(Assumptions!$P$4:$P$103,Assumptions!$M$4:$M$103,$C457,Assumptions!$N$4:$N$103,$E457,Assumptions!$O$4:$O$103,"HVN"))</f>
        <v/>
      </c>
      <c r="O457" s="25">
        <f>(L457+N457)*Assumptions!$S$11</f>
        <v/>
      </c>
      <c r="P457" s="26">
        <f>$F457*$J457*$O457</f>
        <v/>
      </c>
    </row>
    <row r="458">
      <c r="A458" s="11" t="inlineStr">
        <is>
          <t>UNIT</t>
        </is>
      </c>
      <c r="B458" s="18" t="inlineStr">
        <is>
          <t>PHILLIPS_WESTLAKE</t>
        </is>
      </c>
      <c r="C458" s="18" t="n">
        <v>3</v>
      </c>
      <c r="D458" s="18" t="inlineStr">
        <is>
          <t>COKER</t>
        </is>
      </c>
      <c r="E458" s="18" t="inlineStr">
        <is>
          <t>COKER</t>
        </is>
      </c>
      <c r="F458" s="19" t="n">
        <v>65.2</v>
      </c>
      <c r="G458" s="21">
        <f>IFERROR(IF(INDEX(Effective!$E$3:$R$125,MATCH($B458,Effective!$A$3:$A$125,0),MATCH($D458,Effective!$E$2:$R$2,0))=0,"",INDEX(Effective!$E$3:$R$125,MATCH($B458,Effective!$A$3:$A$125,0),MATCH($D458,Effective!$E$2:$R$2,0))),"")</f>
        <v/>
      </c>
      <c r="H458" s="22" t="inlineStr">
        <is>
          <t>override</t>
        </is>
      </c>
      <c r="I458" s="23" t="n">
        <v>0.512</v>
      </c>
      <c r="J458" s="24">
        <f>IF(AND(IF($H463&lt;&gt;"",$H463,$H458)="override",$I458&lt;&gt;""),$I458,SUMIFS(Assumptions!$K$4:$K$8,Assumptions!$J$4:$J$8,$C458))*Assumptions!$S$10</f>
        <v/>
      </c>
      <c r="K458" s="23" t="n"/>
      <c r="L458" s="25">
        <f>IF(AND(IF($H463&lt;&gt;"",$H463,$H458)="override",$K458&lt;&gt;""),$K458,SUMIFS(Assumptions!$P$4:$P$103,Assumptions!$M$4:$M$103,$C458,Assumptions!$N$4:$N$103,$E458,Assumptions!$O$4:$O$103,"LVN"))</f>
        <v/>
      </c>
      <c r="M458" s="23" t="n"/>
      <c r="N458" s="25">
        <f>IF(AND(IF($H463&lt;&gt;"",$H463,$H458)="override",$M458&lt;&gt;""),$M458,SUMIFS(Assumptions!$P$4:$P$103,Assumptions!$M$4:$M$103,$C458,Assumptions!$N$4:$N$103,$E458,Assumptions!$O$4:$O$103,"HVN"))</f>
        <v/>
      </c>
      <c r="O458" s="25">
        <f>(L458+N458)*Assumptions!$S$11</f>
        <v/>
      </c>
      <c r="P458" s="26">
        <f>$F458*$J458*$O458</f>
        <v/>
      </c>
    </row>
    <row r="459">
      <c r="A459" s="11" t="inlineStr">
        <is>
          <t>UNIT</t>
        </is>
      </c>
      <c r="B459" s="18" t="inlineStr">
        <is>
          <t>PHILLIPS_WESTLAKE</t>
        </is>
      </c>
      <c r="C459" s="18" t="n">
        <v>3</v>
      </c>
      <c r="D459" s="18" t="inlineStr">
        <is>
          <t>CCR</t>
        </is>
      </c>
      <c r="E459" s="18" t="inlineStr">
        <is>
          <t>REFORMER</t>
        </is>
      </c>
      <c r="F459" s="19" t="n">
        <v>48</v>
      </c>
      <c r="G459" s="21">
        <f>IFERROR(IF(INDEX(Effective!$E$3:$R$125,MATCH($B459,Effective!$A$3:$A$125,0),MATCH($D459,Effective!$E$2:$R$2,0))=0,"",INDEX(Effective!$E$3:$R$125,MATCH($B459,Effective!$A$3:$A$125,0),MATCH($D459,Effective!$E$2:$R$2,0))),"")</f>
        <v/>
      </c>
      <c r="H459" s="22" t="inlineStr">
        <is>
          <t>override</t>
        </is>
      </c>
      <c r="I459" s="23" t="n">
        <v>0.678</v>
      </c>
      <c r="J459" s="24">
        <f>IF(AND(IF($H463&lt;&gt;"",$H463,$H459)="override",$I459&lt;&gt;""),$I459,SUMIFS(Assumptions!$K$4:$K$8,Assumptions!$J$4:$J$8,$C459))*Assumptions!$S$10</f>
        <v/>
      </c>
      <c r="K459" s="23" t="n"/>
      <c r="L459" s="25">
        <f>IF(AND(IF($H463&lt;&gt;"",$H463,$H459)="override",$K459&lt;&gt;""),$K459,SUMIFS(Assumptions!$P$4:$P$103,Assumptions!$M$4:$M$103,$C459,Assumptions!$N$4:$N$103,$E459,Assumptions!$O$4:$O$103,"LVN"))</f>
        <v/>
      </c>
      <c r="M459" s="23" t="n"/>
      <c r="N459" s="25">
        <f>IF(AND(IF($H463&lt;&gt;"",$H463,$H459)="override",$M459&lt;&gt;""),$M459,SUMIFS(Assumptions!$P$4:$P$103,Assumptions!$M$4:$M$103,$C459,Assumptions!$N$4:$N$103,$E459,Assumptions!$O$4:$O$103,"HVN"))</f>
        <v/>
      </c>
      <c r="O459" s="25">
        <f>(L459+N459)*Assumptions!$S$11</f>
        <v/>
      </c>
      <c r="P459" s="26">
        <f>$F459*$J459*$O459</f>
        <v/>
      </c>
    </row>
    <row r="460">
      <c r="A460" s="11" t="inlineStr">
        <is>
          <t>UNIT</t>
        </is>
      </c>
      <c r="B460" s="18" t="inlineStr">
        <is>
          <t>PHILLIPS_WESTLAKE</t>
        </is>
      </c>
      <c r="C460" s="18" t="n">
        <v>3</v>
      </c>
      <c r="D460" s="18" t="inlineStr">
        <is>
          <t>ISOM</t>
        </is>
      </c>
      <c r="E460" s="18" t="inlineStr">
        <is>
          <t>ISOM</t>
        </is>
      </c>
      <c r="F460" s="19" t="n">
        <v>25</v>
      </c>
      <c r="G460" s="21">
        <f>IFERROR(IF(INDEX(Effective!$E$3:$R$125,MATCH($B460,Effective!$A$3:$A$125,0),MATCH($D460,Effective!$E$2:$R$2,0))=0,"",INDEX(Effective!$E$3:$R$125,MATCH($B460,Effective!$A$3:$A$125,0),MATCH($D460,Effective!$E$2:$R$2,0))),"")</f>
        <v/>
      </c>
      <c r="H460" s="22" t="inlineStr">
        <is>
          <t>override</t>
        </is>
      </c>
      <c r="I460" s="23" t="n">
        <v>0.511</v>
      </c>
      <c r="J460" s="24">
        <f>IF(AND(IF($H463&lt;&gt;"",$H463,$H460)="override",$I460&lt;&gt;""),$I460,SUMIFS(Assumptions!$K$4:$K$8,Assumptions!$J$4:$J$8,$C460))*Assumptions!$S$10</f>
        <v/>
      </c>
      <c r="K460" s="23" t="n"/>
      <c r="L460" s="25">
        <f>IF(AND(IF($H463&lt;&gt;"",$H463,$H460)="override",$K460&lt;&gt;""),$K460,SUMIFS(Assumptions!$P$4:$P$103,Assumptions!$M$4:$M$103,$C460,Assumptions!$N$4:$N$103,$E460,Assumptions!$O$4:$O$103,"LVN"))</f>
        <v/>
      </c>
      <c r="M460" s="23" t="n"/>
      <c r="N460" s="25">
        <f>IF(AND(IF($H463&lt;&gt;"",$H463,$H460)="override",$M460&lt;&gt;""),$M460,SUMIFS(Assumptions!$P$4:$P$103,Assumptions!$M$4:$M$103,$C460,Assumptions!$N$4:$N$103,$E460,Assumptions!$O$4:$O$103,"HVN"))</f>
        <v/>
      </c>
      <c r="O460" s="25">
        <f>(L460+N460)*Assumptions!$S$11</f>
        <v/>
      </c>
      <c r="P460" s="26">
        <f>$F460*$J460*$O460</f>
        <v/>
      </c>
    </row>
    <row r="461">
      <c r="A461" s="11" t="inlineStr">
        <is>
          <t>UNIT</t>
        </is>
      </c>
      <c r="B461" s="18" t="inlineStr">
        <is>
          <t>PHILLIPS_WESTLAKE</t>
        </is>
      </c>
      <c r="C461" s="18" t="n">
        <v>3</v>
      </c>
      <c r="D461" s="18" t="inlineStr">
        <is>
          <t>ALKY</t>
        </is>
      </c>
      <c r="E461" s="18" t="inlineStr">
        <is>
          <t>ALKY</t>
        </is>
      </c>
      <c r="F461" s="19" t="n">
        <v>9</v>
      </c>
      <c r="G461" s="21">
        <f>IFERROR(IF(INDEX(Effective!$E$3:$R$125,MATCH($B461,Effective!$A$3:$A$125,0),MATCH($D461,Effective!$E$2:$R$2,0))=0,"",INDEX(Effective!$E$3:$R$125,MATCH($B461,Effective!$A$3:$A$125,0),MATCH($D461,Effective!$E$2:$R$2,0))),"")</f>
        <v/>
      </c>
      <c r="H461" s="22" t="inlineStr">
        <is>
          <t>override</t>
        </is>
      </c>
      <c r="I461" s="23" t="n">
        <v>0.787</v>
      </c>
      <c r="J461" s="24">
        <f>IF(AND(IF($H463&lt;&gt;"",$H463,$H461)="override",$I461&lt;&gt;""),$I461,SUMIFS(Assumptions!$K$4:$K$8,Assumptions!$J$4:$J$8,$C461))*Assumptions!$S$10</f>
        <v/>
      </c>
      <c r="K461" s="23" t="n"/>
      <c r="L461" s="25">
        <f>IF(AND(IF($H463&lt;&gt;"",$H463,$H461)="override",$K461&lt;&gt;""),$K461,SUMIFS(Assumptions!$P$4:$P$103,Assumptions!$M$4:$M$103,$C461,Assumptions!$N$4:$N$103,$E461,Assumptions!$O$4:$O$103,"LVN"))</f>
        <v/>
      </c>
      <c r="M461" s="23" t="n"/>
      <c r="N461" s="25">
        <f>IF(AND(IF($H463&lt;&gt;"",$H463,$H461)="override",$M461&lt;&gt;""),$M461,SUMIFS(Assumptions!$P$4:$P$103,Assumptions!$M$4:$M$103,$C461,Assumptions!$N$4:$N$103,$E461,Assumptions!$O$4:$O$103,"HVN"))</f>
        <v/>
      </c>
      <c r="O461" s="25">
        <f>(L461+N461)*Assumptions!$S$11</f>
        <v/>
      </c>
      <c r="P461" s="26">
        <f>$F461*$J461*$O461</f>
        <v/>
      </c>
    </row>
    <row r="462">
      <c r="A462" s="11" t="inlineStr">
        <is>
          <t>UNIT</t>
        </is>
      </c>
      <c r="B462" s="18" t="inlineStr">
        <is>
          <t>PHILLIPS_WESTLAKE</t>
        </is>
      </c>
      <c r="C462" s="18" t="n">
        <v>3</v>
      </c>
      <c r="D462" s="18" t="inlineStr">
        <is>
          <t>NHT</t>
        </is>
      </c>
      <c r="E462" s="18" t="inlineStr">
        <is>
          <t>NHT</t>
        </is>
      </c>
      <c r="F462" s="19" t="n">
        <v>50</v>
      </c>
      <c r="G462" s="21">
        <f>IFERROR(IF(INDEX(Effective!$E$3:$R$125,MATCH($B462,Effective!$A$3:$A$125,0),MATCH($D462,Effective!$E$2:$R$2,0))=0,"",INDEX(Effective!$E$3:$R$125,MATCH($B462,Effective!$A$3:$A$125,0),MATCH($D462,Effective!$E$2:$R$2,0))),"")</f>
        <v/>
      </c>
      <c r="H462" s="22" t="inlineStr">
        <is>
          <t>override</t>
        </is>
      </c>
      <c r="I462" s="23" t="n">
        <v>0.907</v>
      </c>
      <c r="J462" s="24">
        <f>IF(AND(IF($H463&lt;&gt;"",$H463,$H462)="override",$I462&lt;&gt;""),$I462,SUMIFS(Assumptions!$K$4:$K$8,Assumptions!$J$4:$J$8,$C462))*Assumptions!$S$10</f>
        <v/>
      </c>
      <c r="K462" s="23" t="n"/>
      <c r="L462" s="25">
        <f>IF(AND(IF($H463&lt;&gt;"",$H463,$H462)="override",$K462&lt;&gt;""),$K462,SUMIFS(Assumptions!$P$4:$P$103,Assumptions!$M$4:$M$103,$C462,Assumptions!$N$4:$N$103,$E462,Assumptions!$O$4:$O$103,"LVN"))</f>
        <v/>
      </c>
      <c r="M462" s="23" t="n"/>
      <c r="N462" s="25">
        <f>IF(AND(IF($H463&lt;&gt;"",$H463,$H462)="override",$M462&lt;&gt;""),$M462,SUMIFS(Assumptions!$P$4:$P$103,Assumptions!$M$4:$M$103,$C462,Assumptions!$N$4:$N$103,$E462,Assumptions!$O$4:$O$103,"HVN"))</f>
        <v/>
      </c>
      <c r="O462" s="25">
        <f>(L462+N462)*Assumptions!$S$11</f>
        <v/>
      </c>
      <c r="P462" s="26">
        <f>$F462*$J462*$O462</f>
        <v/>
      </c>
    </row>
    <row r="463">
      <c r="A463" s="27" t="inlineStr">
        <is>
          <t>TOTAL</t>
        </is>
      </c>
      <c r="B463" s="28" t="inlineStr">
        <is>
          <t>PHILLIPS_WESTLAKE</t>
        </is>
      </c>
      <c r="C463" s="28" t="n">
        <v>3</v>
      </c>
      <c r="D463" s="28" t="inlineStr">
        <is>
          <t>NET NAPHTHA</t>
        </is>
      </c>
      <c r="H463" s="22" t="n"/>
      <c r="P463" s="29">
        <f>SUM(P455:P462)</f>
        <v/>
      </c>
    </row>
    <row r="465" ht="20" customHeight="1">
      <c r="A465" s="8">
        <f>"  Phillips 66 Co. Sweeny  [PHILLIPS_SWEENY]   —   Phillips 66 Co.   —   PADD 3   —   crude "&amp;TEXT(SUMIFS(Data!$G$3:$G$125,Data!$A$3:$A$125,"PHILLIPS_SWEENY"),"#,##0")&amp;" kbd"</f>
        <v/>
      </c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</row>
    <row r="466">
      <c r="A466" s="11" t="inlineStr">
        <is>
          <t>UNIT</t>
        </is>
      </c>
      <c r="B466" s="18" t="inlineStr">
        <is>
          <t>PHILLIPS_SWEENY</t>
        </is>
      </c>
      <c r="C466" s="18" t="n">
        <v>3</v>
      </c>
      <c r="D466" s="18" t="inlineStr">
        <is>
          <t>CDU</t>
        </is>
      </c>
      <c r="E466" s="18" t="inlineStr">
        <is>
          <t>CDU</t>
        </is>
      </c>
      <c r="F466" s="19" t="n">
        <v>278.9</v>
      </c>
      <c r="G466" s="21">
        <f>IFERROR(IF(INDEX(Effective!$E$3:$R$125,MATCH($B466,Effective!$A$3:$A$125,0),MATCH($D466,Effective!$E$2:$R$2,0))=0,"",INDEX(Effective!$E$3:$R$125,MATCH($B466,Effective!$A$3:$A$125,0),MATCH($D466,Effective!$E$2:$R$2,0))),"")</f>
        <v/>
      </c>
      <c r="H466" s="22" t="inlineStr">
        <is>
          <t>override</t>
        </is>
      </c>
      <c r="I466" s="23" t="n">
        <v>0.925</v>
      </c>
      <c r="J466" s="24">
        <f>IF(AND(IF($H474&lt;&gt;"",$H474,$H466)="override",$I466&lt;&gt;""),$I466,SUMIFS(Assumptions!$K$4:$K$8,Assumptions!$J$4:$J$8,$C466))*Assumptions!$S$10</f>
        <v/>
      </c>
      <c r="K466" s="23" t="n"/>
      <c r="L466" s="25">
        <f>IF(AND(IF($H474&lt;&gt;"",$H474,$H466)="override",$K466&lt;&gt;""),$K466,SUMIFS(Assumptions!$P$4:$P$103,Assumptions!$M$4:$M$103,$C466,Assumptions!$N$4:$N$103,$E466,Assumptions!$O$4:$O$103,"LVN"))</f>
        <v/>
      </c>
      <c r="M466" s="23" t="n"/>
      <c r="N466" s="25">
        <f>IF(AND(IF($H474&lt;&gt;"",$H474,$H466)="override",$M466&lt;&gt;""),$M466,SUMIFS(Assumptions!$P$4:$P$103,Assumptions!$M$4:$M$103,$C466,Assumptions!$N$4:$N$103,$E466,Assumptions!$O$4:$O$103,"HVN"))</f>
        <v/>
      </c>
      <c r="O466" s="25">
        <f>(L466+N466)*Assumptions!$S$11</f>
        <v/>
      </c>
      <c r="P466" s="26">
        <f>$F466*$J466*$O466</f>
        <v/>
      </c>
    </row>
    <row r="467">
      <c r="A467" s="11" t="inlineStr">
        <is>
          <t>UNIT</t>
        </is>
      </c>
      <c r="B467" s="18" t="inlineStr">
        <is>
          <t>PHILLIPS_SWEENY</t>
        </is>
      </c>
      <c r="C467" s="18" t="n">
        <v>3</v>
      </c>
      <c r="D467" s="18" t="inlineStr">
        <is>
          <t>VDU</t>
        </is>
      </c>
      <c r="E467" s="18" t="inlineStr">
        <is>
          <t>VDU</t>
        </is>
      </c>
      <c r="F467" s="19" t="n">
        <v>132.1</v>
      </c>
      <c r="G467" s="21">
        <f>IFERROR(IF(INDEX(Effective!$E$3:$R$125,MATCH($B467,Effective!$A$3:$A$125,0),MATCH($D467,Effective!$E$2:$R$2,0))=0,"",INDEX(Effective!$E$3:$R$125,MATCH($B467,Effective!$A$3:$A$125,0),MATCH($D467,Effective!$E$2:$R$2,0))),"")</f>
        <v/>
      </c>
      <c r="H467" s="22" t="inlineStr">
        <is>
          <t>override</t>
        </is>
      </c>
      <c r="I467" s="23" t="n">
        <v>0.976</v>
      </c>
      <c r="J467" s="24">
        <f>IF(AND(IF($H474&lt;&gt;"",$H474,$H467)="override",$I467&lt;&gt;""),$I467,SUMIFS(Assumptions!$K$4:$K$8,Assumptions!$J$4:$J$8,$C467))*Assumptions!$S$10</f>
        <v/>
      </c>
      <c r="K467" s="23" t="n"/>
      <c r="L467" s="25">
        <f>IF(AND(IF($H474&lt;&gt;"",$H474,$H467)="override",$K467&lt;&gt;""),$K467,SUMIFS(Assumptions!$P$4:$P$103,Assumptions!$M$4:$M$103,$C467,Assumptions!$N$4:$N$103,$E467,Assumptions!$O$4:$O$103,"LVN"))</f>
        <v/>
      </c>
      <c r="M467" s="23" t="n"/>
      <c r="N467" s="25">
        <f>IF(AND(IF($H474&lt;&gt;"",$H474,$H467)="override",$M467&lt;&gt;""),$M467,SUMIFS(Assumptions!$P$4:$P$103,Assumptions!$M$4:$M$103,$C467,Assumptions!$N$4:$N$103,$E467,Assumptions!$O$4:$O$103,"HVN"))</f>
        <v/>
      </c>
      <c r="O467" s="25">
        <f>(L467+N467)*Assumptions!$S$11</f>
        <v/>
      </c>
      <c r="P467" s="26">
        <f>$F467*$J467*$O467</f>
        <v/>
      </c>
    </row>
    <row r="468">
      <c r="A468" s="11" t="inlineStr">
        <is>
          <t>UNIT</t>
        </is>
      </c>
      <c r="B468" s="18" t="inlineStr">
        <is>
          <t>PHILLIPS_SWEENY</t>
        </is>
      </c>
      <c r="C468" s="18" t="n">
        <v>3</v>
      </c>
      <c r="D468" s="18" t="inlineStr">
        <is>
          <t>FCC</t>
        </is>
      </c>
      <c r="E468" s="18" t="inlineStr">
        <is>
          <t>FCC</t>
        </is>
      </c>
      <c r="F468" s="19" t="n">
        <v>111</v>
      </c>
      <c r="G468" s="21">
        <f>IFERROR(IF(INDEX(Effective!$E$3:$R$125,MATCH($B468,Effective!$A$3:$A$125,0),MATCH($D468,Effective!$E$2:$R$2,0))=0,"",INDEX(Effective!$E$3:$R$125,MATCH($B468,Effective!$A$3:$A$125,0),MATCH($D468,Effective!$E$2:$R$2,0))),"")</f>
        <v/>
      </c>
      <c r="H468" s="22" t="inlineStr">
        <is>
          <t>override</t>
        </is>
      </c>
      <c r="I468" s="23" t="n">
        <v>0.867</v>
      </c>
      <c r="J468" s="24">
        <f>IF(AND(IF($H474&lt;&gt;"",$H474,$H468)="override",$I468&lt;&gt;""),$I468,SUMIFS(Assumptions!$K$4:$K$8,Assumptions!$J$4:$J$8,$C468))*Assumptions!$S$10</f>
        <v/>
      </c>
      <c r="K468" s="23" t="n"/>
      <c r="L468" s="25">
        <f>IF(AND(IF($H474&lt;&gt;"",$H474,$H468)="override",$K468&lt;&gt;""),$K468,SUMIFS(Assumptions!$P$4:$P$103,Assumptions!$M$4:$M$103,$C468,Assumptions!$N$4:$N$103,$E468,Assumptions!$O$4:$O$103,"LVN"))</f>
        <v/>
      </c>
      <c r="M468" s="23" t="n"/>
      <c r="N468" s="25">
        <f>IF(AND(IF($H474&lt;&gt;"",$H474,$H468)="override",$M468&lt;&gt;""),$M468,SUMIFS(Assumptions!$P$4:$P$103,Assumptions!$M$4:$M$103,$C468,Assumptions!$N$4:$N$103,$E468,Assumptions!$O$4:$O$103,"HVN"))</f>
        <v/>
      </c>
      <c r="O468" s="25">
        <f>(L468+N468)*Assumptions!$S$11</f>
        <v/>
      </c>
      <c r="P468" s="26">
        <f>$F468*$J468*$O468</f>
        <v/>
      </c>
    </row>
    <row r="469">
      <c r="A469" s="11" t="inlineStr">
        <is>
          <t>UNIT</t>
        </is>
      </c>
      <c r="B469" s="18" t="inlineStr">
        <is>
          <t>PHILLIPS_SWEENY</t>
        </is>
      </c>
      <c r="C469" s="18" t="n">
        <v>3</v>
      </c>
      <c r="D469" s="18" t="inlineStr">
        <is>
          <t>COKER</t>
        </is>
      </c>
      <c r="E469" s="18" t="inlineStr">
        <is>
          <t>COKER</t>
        </is>
      </c>
      <c r="F469" s="19" t="n">
        <v>78.7</v>
      </c>
      <c r="G469" s="21">
        <f>IFERROR(IF(INDEX(Effective!$E$3:$R$125,MATCH($B469,Effective!$A$3:$A$125,0),MATCH($D469,Effective!$E$2:$R$2,0))=0,"",INDEX(Effective!$E$3:$R$125,MATCH($B469,Effective!$A$3:$A$125,0),MATCH($D469,Effective!$E$2:$R$2,0))),"")</f>
        <v/>
      </c>
      <c r="H469" s="22" t="inlineStr">
        <is>
          <t>override</t>
        </is>
      </c>
      <c r="I469" s="23" t="n">
        <v>0.786</v>
      </c>
      <c r="J469" s="24">
        <f>IF(AND(IF($H474&lt;&gt;"",$H474,$H469)="override",$I469&lt;&gt;""),$I469,SUMIFS(Assumptions!$K$4:$K$8,Assumptions!$J$4:$J$8,$C469))*Assumptions!$S$10</f>
        <v/>
      </c>
      <c r="K469" s="23" t="n"/>
      <c r="L469" s="25">
        <f>IF(AND(IF($H474&lt;&gt;"",$H474,$H469)="override",$K469&lt;&gt;""),$K469,SUMIFS(Assumptions!$P$4:$P$103,Assumptions!$M$4:$M$103,$C469,Assumptions!$N$4:$N$103,$E469,Assumptions!$O$4:$O$103,"LVN"))</f>
        <v/>
      </c>
      <c r="M469" s="23" t="n"/>
      <c r="N469" s="25">
        <f>IF(AND(IF($H474&lt;&gt;"",$H474,$H469)="override",$M469&lt;&gt;""),$M469,SUMIFS(Assumptions!$P$4:$P$103,Assumptions!$M$4:$M$103,$C469,Assumptions!$N$4:$N$103,$E469,Assumptions!$O$4:$O$103,"HVN"))</f>
        <v/>
      </c>
      <c r="O469" s="25">
        <f>(L469+N469)*Assumptions!$S$11</f>
        <v/>
      </c>
      <c r="P469" s="26">
        <f>$F469*$J469*$O469</f>
        <v/>
      </c>
    </row>
    <row r="470">
      <c r="A470" s="11" t="inlineStr">
        <is>
          <t>UNIT</t>
        </is>
      </c>
      <c r="B470" s="18" t="inlineStr">
        <is>
          <t>PHILLIPS_SWEENY</t>
        </is>
      </c>
      <c r="C470" s="18" t="n">
        <v>3</v>
      </c>
      <c r="D470" s="18" t="inlineStr">
        <is>
          <t>CCR</t>
        </is>
      </c>
      <c r="E470" s="18" t="inlineStr">
        <is>
          <t>REFORMER</t>
        </is>
      </c>
      <c r="F470" s="19" t="n">
        <v>42.1</v>
      </c>
      <c r="G470" s="21">
        <f>IFERROR(IF(INDEX(Effective!$E$3:$R$125,MATCH($B470,Effective!$A$3:$A$125,0),MATCH($D470,Effective!$E$2:$R$2,0))=0,"",INDEX(Effective!$E$3:$R$125,MATCH($B470,Effective!$A$3:$A$125,0),MATCH($D470,Effective!$E$2:$R$2,0))),"")</f>
        <v/>
      </c>
      <c r="H470" s="22" t="inlineStr">
        <is>
          <t>override</t>
        </is>
      </c>
      <c r="I470" s="23" t="n">
        <v>0.831</v>
      </c>
      <c r="J470" s="24">
        <f>IF(AND(IF($H474&lt;&gt;"",$H474,$H470)="override",$I470&lt;&gt;""),$I470,SUMIFS(Assumptions!$K$4:$K$8,Assumptions!$J$4:$J$8,$C470))*Assumptions!$S$10</f>
        <v/>
      </c>
      <c r="K470" s="23" t="n"/>
      <c r="L470" s="25">
        <f>IF(AND(IF($H474&lt;&gt;"",$H474,$H470)="override",$K470&lt;&gt;""),$K470,SUMIFS(Assumptions!$P$4:$P$103,Assumptions!$M$4:$M$103,$C470,Assumptions!$N$4:$N$103,$E470,Assumptions!$O$4:$O$103,"LVN"))</f>
        <v/>
      </c>
      <c r="M470" s="23" t="n"/>
      <c r="N470" s="25">
        <f>IF(AND(IF($H474&lt;&gt;"",$H474,$H470)="override",$M470&lt;&gt;""),$M470,SUMIFS(Assumptions!$P$4:$P$103,Assumptions!$M$4:$M$103,$C470,Assumptions!$N$4:$N$103,$E470,Assumptions!$O$4:$O$103,"HVN"))</f>
        <v/>
      </c>
      <c r="O470" s="25">
        <f>(L470+N470)*Assumptions!$S$11</f>
        <v/>
      </c>
      <c r="P470" s="26">
        <f>$F470*$J470*$O470</f>
        <v/>
      </c>
    </row>
    <row r="471">
      <c r="A471" s="11" t="inlineStr">
        <is>
          <t>UNIT</t>
        </is>
      </c>
      <c r="B471" s="18" t="inlineStr">
        <is>
          <t>PHILLIPS_SWEENY</t>
        </is>
      </c>
      <c r="C471" s="18" t="n">
        <v>3</v>
      </c>
      <c r="D471" s="18" t="inlineStr">
        <is>
          <t>ISOM</t>
        </is>
      </c>
      <c r="E471" s="18" t="inlineStr">
        <is>
          <t>ISOM</t>
        </is>
      </c>
      <c r="F471" s="19" t="n">
        <v>10.1</v>
      </c>
      <c r="G471" s="21">
        <f>IFERROR(IF(INDEX(Effective!$E$3:$R$125,MATCH($B471,Effective!$A$3:$A$125,0),MATCH($D471,Effective!$E$2:$R$2,0))=0,"",INDEX(Effective!$E$3:$R$125,MATCH($B471,Effective!$A$3:$A$125,0),MATCH($D471,Effective!$E$2:$R$2,0))),"")</f>
        <v/>
      </c>
      <c r="H471" s="22" t="inlineStr">
        <is>
          <t>override</t>
        </is>
      </c>
      <c r="I471" s="23" t="n">
        <v>0.99</v>
      </c>
      <c r="J471" s="24">
        <f>IF(AND(IF($H474&lt;&gt;"",$H474,$H471)="override",$I471&lt;&gt;""),$I471,SUMIFS(Assumptions!$K$4:$K$8,Assumptions!$J$4:$J$8,$C471))*Assumptions!$S$10</f>
        <v/>
      </c>
      <c r="K471" s="23" t="n"/>
      <c r="L471" s="25">
        <f>IF(AND(IF($H474&lt;&gt;"",$H474,$H471)="override",$K471&lt;&gt;""),$K471,SUMIFS(Assumptions!$P$4:$P$103,Assumptions!$M$4:$M$103,$C471,Assumptions!$N$4:$N$103,$E471,Assumptions!$O$4:$O$103,"LVN"))</f>
        <v/>
      </c>
      <c r="M471" s="23" t="n"/>
      <c r="N471" s="25">
        <f>IF(AND(IF($H474&lt;&gt;"",$H474,$H471)="override",$M471&lt;&gt;""),$M471,SUMIFS(Assumptions!$P$4:$P$103,Assumptions!$M$4:$M$103,$C471,Assumptions!$N$4:$N$103,$E471,Assumptions!$O$4:$O$103,"HVN"))</f>
        <v/>
      </c>
      <c r="O471" s="25">
        <f>(L471+N471)*Assumptions!$S$11</f>
        <v/>
      </c>
      <c r="P471" s="26">
        <f>$F471*$J471*$O471</f>
        <v/>
      </c>
    </row>
    <row r="472">
      <c r="A472" s="11" t="inlineStr">
        <is>
          <t>UNIT</t>
        </is>
      </c>
      <c r="B472" s="18" t="inlineStr">
        <is>
          <t>PHILLIPS_SWEENY</t>
        </is>
      </c>
      <c r="C472" s="18" t="n">
        <v>3</v>
      </c>
      <c r="D472" s="18" t="inlineStr">
        <is>
          <t>ALKY</t>
        </is>
      </c>
      <c r="E472" s="18" t="inlineStr">
        <is>
          <t>ALKY</t>
        </is>
      </c>
      <c r="F472" s="19" t="n">
        <v>21.6</v>
      </c>
      <c r="G472" s="21">
        <f>IFERROR(IF(INDEX(Effective!$E$3:$R$125,MATCH($B472,Effective!$A$3:$A$125,0),MATCH($D472,Effective!$E$2:$R$2,0))=0,"",INDEX(Effective!$E$3:$R$125,MATCH($B472,Effective!$A$3:$A$125,0),MATCH($D472,Effective!$E$2:$R$2,0))),"")</f>
        <v/>
      </c>
      <c r="H472" s="22" t="inlineStr">
        <is>
          <t>override</t>
        </is>
      </c>
      <c r="I472" s="23" t="n">
        <v>1.1</v>
      </c>
      <c r="J472" s="24">
        <f>IF(AND(IF($H474&lt;&gt;"",$H474,$H472)="override",$I472&lt;&gt;""),$I472,SUMIFS(Assumptions!$K$4:$K$8,Assumptions!$J$4:$J$8,$C472))*Assumptions!$S$10</f>
        <v/>
      </c>
      <c r="K472" s="23" t="n"/>
      <c r="L472" s="25">
        <f>IF(AND(IF($H474&lt;&gt;"",$H474,$H472)="override",$K472&lt;&gt;""),$K472,SUMIFS(Assumptions!$P$4:$P$103,Assumptions!$M$4:$M$103,$C472,Assumptions!$N$4:$N$103,$E472,Assumptions!$O$4:$O$103,"LVN"))</f>
        <v/>
      </c>
      <c r="M472" s="23" t="n"/>
      <c r="N472" s="25">
        <f>IF(AND(IF($H474&lt;&gt;"",$H474,$H472)="override",$M472&lt;&gt;""),$M472,SUMIFS(Assumptions!$P$4:$P$103,Assumptions!$M$4:$M$103,$C472,Assumptions!$N$4:$N$103,$E472,Assumptions!$O$4:$O$103,"HVN"))</f>
        <v/>
      </c>
      <c r="O472" s="25">
        <f>(L472+N472)*Assumptions!$S$11</f>
        <v/>
      </c>
      <c r="P472" s="26">
        <f>$F472*$J472*$O472</f>
        <v/>
      </c>
    </row>
    <row r="473">
      <c r="A473" s="11" t="inlineStr">
        <is>
          <t>UNIT</t>
        </is>
      </c>
      <c r="B473" s="18" t="inlineStr">
        <is>
          <t>PHILLIPS_SWEENY</t>
        </is>
      </c>
      <c r="C473" s="18" t="n">
        <v>3</v>
      </c>
      <c r="D473" s="18" t="inlineStr">
        <is>
          <t>NHT</t>
        </is>
      </c>
      <c r="E473" s="18" t="inlineStr">
        <is>
          <t>NHT</t>
        </is>
      </c>
      <c r="F473" s="19" t="n">
        <v>73.40000000000001</v>
      </c>
      <c r="G473" s="21">
        <f>IFERROR(IF(INDEX(Effective!$E$3:$R$125,MATCH($B473,Effective!$A$3:$A$125,0),MATCH($D473,Effective!$E$2:$R$2,0))=0,"",INDEX(Effective!$E$3:$R$125,MATCH($B473,Effective!$A$3:$A$125,0),MATCH($D473,Effective!$E$2:$R$2,0))),"")</f>
        <v/>
      </c>
      <c r="H473" s="22" t="inlineStr">
        <is>
          <t>override</t>
        </is>
      </c>
      <c r="I473" s="23" t="n">
        <v>0.972</v>
      </c>
      <c r="J473" s="24">
        <f>IF(AND(IF($H474&lt;&gt;"",$H474,$H473)="override",$I473&lt;&gt;""),$I473,SUMIFS(Assumptions!$K$4:$K$8,Assumptions!$J$4:$J$8,$C473))*Assumptions!$S$10</f>
        <v/>
      </c>
      <c r="K473" s="23" t="n"/>
      <c r="L473" s="25">
        <f>IF(AND(IF($H474&lt;&gt;"",$H474,$H473)="override",$K473&lt;&gt;""),$K473,SUMIFS(Assumptions!$P$4:$P$103,Assumptions!$M$4:$M$103,$C473,Assumptions!$N$4:$N$103,$E473,Assumptions!$O$4:$O$103,"LVN"))</f>
        <v/>
      </c>
      <c r="M473" s="23" t="n"/>
      <c r="N473" s="25">
        <f>IF(AND(IF($H474&lt;&gt;"",$H474,$H473)="override",$M473&lt;&gt;""),$M473,SUMIFS(Assumptions!$P$4:$P$103,Assumptions!$M$4:$M$103,$C473,Assumptions!$N$4:$N$103,$E473,Assumptions!$O$4:$O$103,"HVN"))</f>
        <v/>
      </c>
      <c r="O473" s="25">
        <f>(L473+N473)*Assumptions!$S$11</f>
        <v/>
      </c>
      <c r="P473" s="26">
        <f>$F473*$J473*$O473</f>
        <v/>
      </c>
    </row>
    <row r="474">
      <c r="A474" s="27" t="inlineStr">
        <is>
          <t>TOTAL</t>
        </is>
      </c>
      <c r="B474" s="28" t="inlineStr">
        <is>
          <t>PHILLIPS_SWEENY</t>
        </is>
      </c>
      <c r="C474" s="28" t="n">
        <v>3</v>
      </c>
      <c r="D474" s="28" t="inlineStr">
        <is>
          <t>NET NAPHTHA</t>
        </is>
      </c>
      <c r="H474" s="22" t="n"/>
      <c r="P474" s="29">
        <f>SUM(P466:P473)</f>
        <v/>
      </c>
    </row>
    <row r="476" ht="20" customHeight="1">
      <c r="A476" s="8">
        <f>"  Valero Texas City  [VALERO_TEXAS_CITY]   —   Valero   —   PADD 3   —   crude "&amp;TEXT(SUMIFS(Data!$G$3:$G$125,Data!$A$3:$A$125,"VALERO_TEXAS_CITY"),"#,##0")&amp;" kbd"</f>
        <v/>
      </c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</row>
    <row r="477">
      <c r="A477" s="11" t="inlineStr">
        <is>
          <t>UNIT</t>
        </is>
      </c>
      <c r="B477" s="18" t="inlineStr">
        <is>
          <t>VALERO_TEXAS_CITY</t>
        </is>
      </c>
      <c r="C477" s="18" t="n">
        <v>3</v>
      </c>
      <c r="D477" s="18" t="inlineStr">
        <is>
          <t>CDU</t>
        </is>
      </c>
      <c r="E477" s="18" t="inlineStr">
        <is>
          <t>CDU</t>
        </is>
      </c>
      <c r="F477" s="19" t="n">
        <v>231</v>
      </c>
      <c r="G477" s="21">
        <f>IFERROR(IF(INDEX(Effective!$E$3:$R$125,MATCH($B477,Effective!$A$3:$A$125,0),MATCH($D477,Effective!$E$2:$R$2,0))=0,"",INDEX(Effective!$E$3:$R$125,MATCH($B477,Effective!$A$3:$A$125,0),MATCH($D477,Effective!$E$2:$R$2,0))),"")</f>
        <v/>
      </c>
      <c r="H477" s="22" t="inlineStr">
        <is>
          <t>override</t>
        </is>
      </c>
      <c r="I477" s="23" t="n">
        <v>0.834</v>
      </c>
      <c r="J477" s="24">
        <f>IF(AND(IF($H485&lt;&gt;"",$H485,$H477)="override",$I477&lt;&gt;""),$I477,SUMIFS(Assumptions!$K$4:$K$8,Assumptions!$J$4:$J$8,$C477))*Assumptions!$S$10</f>
        <v/>
      </c>
      <c r="K477" s="23" t="n"/>
      <c r="L477" s="25">
        <f>IF(AND(IF($H485&lt;&gt;"",$H485,$H477)="override",$K477&lt;&gt;""),$K477,SUMIFS(Assumptions!$P$4:$P$103,Assumptions!$M$4:$M$103,$C477,Assumptions!$N$4:$N$103,$E477,Assumptions!$O$4:$O$103,"LVN"))</f>
        <v/>
      </c>
      <c r="M477" s="23" t="n"/>
      <c r="N477" s="25">
        <f>IF(AND(IF($H485&lt;&gt;"",$H485,$H477)="override",$M477&lt;&gt;""),$M477,SUMIFS(Assumptions!$P$4:$P$103,Assumptions!$M$4:$M$103,$C477,Assumptions!$N$4:$N$103,$E477,Assumptions!$O$4:$O$103,"HVN"))</f>
        <v/>
      </c>
      <c r="O477" s="25">
        <f>(L477+N477)*Assumptions!$S$11</f>
        <v/>
      </c>
      <c r="P477" s="26">
        <f>$F477*$J477*$O477</f>
        <v/>
      </c>
    </row>
    <row r="478">
      <c r="A478" s="11" t="inlineStr">
        <is>
          <t>UNIT</t>
        </is>
      </c>
      <c r="B478" s="18" t="inlineStr">
        <is>
          <t>VALERO_TEXAS_CITY</t>
        </is>
      </c>
      <c r="C478" s="18" t="n">
        <v>3</v>
      </c>
      <c r="D478" s="18" t="inlineStr">
        <is>
          <t>VDU</t>
        </is>
      </c>
      <c r="E478" s="18" t="inlineStr">
        <is>
          <t>VDU</t>
        </is>
      </c>
      <c r="F478" s="19" t="n">
        <v>133.5</v>
      </c>
      <c r="G478" s="21">
        <f>IFERROR(IF(INDEX(Effective!$E$3:$R$125,MATCH($B478,Effective!$A$3:$A$125,0),MATCH($D478,Effective!$E$2:$R$2,0))=0,"",INDEX(Effective!$E$3:$R$125,MATCH($B478,Effective!$A$3:$A$125,0),MATCH($D478,Effective!$E$2:$R$2,0))),"")</f>
        <v/>
      </c>
      <c r="H478" s="22" t="inlineStr">
        <is>
          <t>override</t>
        </is>
      </c>
      <c r="I478" s="23" t="n">
        <v>0.619</v>
      </c>
      <c r="J478" s="24">
        <f>IF(AND(IF($H485&lt;&gt;"",$H485,$H478)="override",$I478&lt;&gt;""),$I478,SUMIFS(Assumptions!$K$4:$K$8,Assumptions!$J$4:$J$8,$C478))*Assumptions!$S$10</f>
        <v/>
      </c>
      <c r="K478" s="23" t="n"/>
      <c r="L478" s="25">
        <f>IF(AND(IF($H485&lt;&gt;"",$H485,$H478)="override",$K478&lt;&gt;""),$K478,SUMIFS(Assumptions!$P$4:$P$103,Assumptions!$M$4:$M$103,$C478,Assumptions!$N$4:$N$103,$E478,Assumptions!$O$4:$O$103,"LVN"))</f>
        <v/>
      </c>
      <c r="M478" s="23" t="n"/>
      <c r="N478" s="25">
        <f>IF(AND(IF($H485&lt;&gt;"",$H485,$H478)="override",$M478&lt;&gt;""),$M478,SUMIFS(Assumptions!$P$4:$P$103,Assumptions!$M$4:$M$103,$C478,Assumptions!$N$4:$N$103,$E478,Assumptions!$O$4:$O$103,"HVN"))</f>
        <v/>
      </c>
      <c r="O478" s="25">
        <f>(L478+N478)*Assumptions!$S$11</f>
        <v/>
      </c>
      <c r="P478" s="26">
        <f>$F478*$J478*$O478</f>
        <v/>
      </c>
    </row>
    <row r="479">
      <c r="A479" s="11" t="inlineStr">
        <is>
          <t>UNIT</t>
        </is>
      </c>
      <c r="B479" s="18" t="inlineStr">
        <is>
          <t>VALERO_TEXAS_CITY</t>
        </is>
      </c>
      <c r="C479" s="18" t="n">
        <v>3</v>
      </c>
      <c r="D479" s="18" t="inlineStr">
        <is>
          <t>FCC</t>
        </is>
      </c>
      <c r="E479" s="18" t="inlineStr">
        <is>
          <t>FCC</t>
        </is>
      </c>
      <c r="F479" s="19" t="n">
        <v>86</v>
      </c>
      <c r="G479" s="21">
        <f>IFERROR(IF(INDEX(Effective!$E$3:$R$125,MATCH($B479,Effective!$A$3:$A$125,0),MATCH($D479,Effective!$E$2:$R$2,0))=0,"",INDEX(Effective!$E$3:$R$125,MATCH($B479,Effective!$A$3:$A$125,0),MATCH($D479,Effective!$E$2:$R$2,0))),"")</f>
        <v/>
      </c>
      <c r="H479" s="22" t="inlineStr">
        <is>
          <t>override</t>
        </is>
      </c>
      <c r="I479" s="23" t="n">
        <v>0.803</v>
      </c>
      <c r="J479" s="24">
        <f>IF(AND(IF($H485&lt;&gt;"",$H485,$H479)="override",$I479&lt;&gt;""),$I479,SUMIFS(Assumptions!$K$4:$K$8,Assumptions!$J$4:$J$8,$C479))*Assumptions!$S$10</f>
        <v/>
      </c>
      <c r="K479" s="23" t="n"/>
      <c r="L479" s="25">
        <f>IF(AND(IF($H485&lt;&gt;"",$H485,$H479)="override",$K479&lt;&gt;""),$K479,SUMIFS(Assumptions!$P$4:$P$103,Assumptions!$M$4:$M$103,$C479,Assumptions!$N$4:$N$103,$E479,Assumptions!$O$4:$O$103,"LVN"))</f>
        <v/>
      </c>
      <c r="M479" s="23" t="n"/>
      <c r="N479" s="25">
        <f>IF(AND(IF($H485&lt;&gt;"",$H485,$H479)="override",$M479&lt;&gt;""),$M479,SUMIFS(Assumptions!$P$4:$P$103,Assumptions!$M$4:$M$103,$C479,Assumptions!$N$4:$N$103,$E479,Assumptions!$O$4:$O$103,"HVN"))</f>
        <v/>
      </c>
      <c r="O479" s="25">
        <f>(L479+N479)*Assumptions!$S$11</f>
        <v/>
      </c>
      <c r="P479" s="26">
        <f>$F479*$J479*$O479</f>
        <v/>
      </c>
    </row>
    <row r="480">
      <c r="A480" s="11" t="inlineStr">
        <is>
          <t>UNIT</t>
        </is>
      </c>
      <c r="B480" s="18" t="inlineStr">
        <is>
          <t>VALERO_TEXAS_CITY</t>
        </is>
      </c>
      <c r="C480" s="18" t="n">
        <v>3</v>
      </c>
      <c r="D480" s="18" t="inlineStr">
        <is>
          <t>COKER</t>
        </is>
      </c>
      <c r="E480" s="18" t="inlineStr">
        <is>
          <t>COKER</t>
        </is>
      </c>
      <c r="F480" s="19" t="n">
        <v>53.5</v>
      </c>
      <c r="G480" s="21">
        <f>IFERROR(IF(INDEX(Effective!$E$3:$R$125,MATCH($B480,Effective!$A$3:$A$125,0),MATCH($D480,Effective!$E$2:$R$2,0))=0,"",INDEX(Effective!$E$3:$R$125,MATCH($B480,Effective!$A$3:$A$125,0),MATCH($D480,Effective!$E$2:$R$2,0))),"")</f>
        <v/>
      </c>
      <c r="H480" s="22" t="inlineStr">
        <is>
          <t>override</t>
        </is>
      </c>
      <c r="I480" s="23" t="n">
        <v>0.48</v>
      </c>
      <c r="J480" s="24">
        <f>IF(AND(IF($H485&lt;&gt;"",$H485,$H480)="override",$I480&lt;&gt;""),$I480,SUMIFS(Assumptions!$K$4:$K$8,Assumptions!$J$4:$J$8,$C480))*Assumptions!$S$10</f>
        <v/>
      </c>
      <c r="K480" s="23" t="n"/>
      <c r="L480" s="25">
        <f>IF(AND(IF($H485&lt;&gt;"",$H485,$H480)="override",$K480&lt;&gt;""),$K480,SUMIFS(Assumptions!$P$4:$P$103,Assumptions!$M$4:$M$103,$C480,Assumptions!$N$4:$N$103,$E480,Assumptions!$O$4:$O$103,"LVN"))</f>
        <v/>
      </c>
      <c r="M480" s="23" t="n"/>
      <c r="N480" s="25">
        <f>IF(AND(IF($H485&lt;&gt;"",$H485,$H480)="override",$M480&lt;&gt;""),$M480,SUMIFS(Assumptions!$P$4:$P$103,Assumptions!$M$4:$M$103,$C480,Assumptions!$N$4:$N$103,$E480,Assumptions!$O$4:$O$103,"HVN"))</f>
        <v/>
      </c>
      <c r="O480" s="25">
        <f>(L480+N480)*Assumptions!$S$11</f>
        <v/>
      </c>
      <c r="P480" s="26">
        <f>$F480*$J480*$O480</f>
        <v/>
      </c>
    </row>
    <row r="481">
      <c r="A481" s="11" t="inlineStr">
        <is>
          <t>UNIT</t>
        </is>
      </c>
      <c r="B481" s="18" t="inlineStr">
        <is>
          <t>VALERO_TEXAS_CITY</t>
        </is>
      </c>
      <c r="C481" s="18" t="n">
        <v>3</v>
      </c>
      <c r="D481" s="18" t="inlineStr">
        <is>
          <t>CCR</t>
        </is>
      </c>
      <c r="E481" s="18" t="inlineStr">
        <is>
          <t>REFORMER</t>
        </is>
      </c>
      <c r="F481" s="19" t="n">
        <v>18.1</v>
      </c>
      <c r="G481" s="21">
        <f>IFERROR(IF(INDEX(Effective!$E$3:$R$125,MATCH($B481,Effective!$A$3:$A$125,0),MATCH($D481,Effective!$E$2:$R$2,0))=0,"",INDEX(Effective!$E$3:$R$125,MATCH($B481,Effective!$A$3:$A$125,0),MATCH($D481,Effective!$E$2:$R$2,0))),"")</f>
        <v/>
      </c>
      <c r="H481" s="22" t="inlineStr">
        <is>
          <t>override</t>
        </is>
      </c>
      <c r="I481" s="23" t="n">
        <v>0.994</v>
      </c>
      <c r="J481" s="24">
        <f>IF(AND(IF($H485&lt;&gt;"",$H485,$H481)="override",$I481&lt;&gt;""),$I481,SUMIFS(Assumptions!$K$4:$K$8,Assumptions!$J$4:$J$8,$C481))*Assumptions!$S$10</f>
        <v/>
      </c>
      <c r="K481" s="23" t="n"/>
      <c r="L481" s="25">
        <f>IF(AND(IF($H485&lt;&gt;"",$H485,$H481)="override",$K481&lt;&gt;""),$K481,SUMIFS(Assumptions!$P$4:$P$103,Assumptions!$M$4:$M$103,$C481,Assumptions!$N$4:$N$103,$E481,Assumptions!$O$4:$O$103,"LVN"))</f>
        <v/>
      </c>
      <c r="M481" s="23" t="n"/>
      <c r="N481" s="25">
        <f>IF(AND(IF($H485&lt;&gt;"",$H485,$H481)="override",$M481&lt;&gt;""),$M481,SUMIFS(Assumptions!$P$4:$P$103,Assumptions!$M$4:$M$103,$C481,Assumptions!$N$4:$N$103,$E481,Assumptions!$O$4:$O$103,"HVN"))</f>
        <v/>
      </c>
      <c r="O481" s="25">
        <f>(L481+N481)*Assumptions!$S$11</f>
        <v/>
      </c>
      <c r="P481" s="26">
        <f>$F481*$J481*$O481</f>
        <v/>
      </c>
    </row>
    <row r="482">
      <c r="A482" s="11" t="inlineStr">
        <is>
          <t>UNIT</t>
        </is>
      </c>
      <c r="B482" s="18" t="inlineStr">
        <is>
          <t>VALERO_TEXAS_CITY</t>
        </is>
      </c>
      <c r="C482" s="18" t="n">
        <v>3</v>
      </c>
      <c r="D482" s="18" t="inlineStr">
        <is>
          <t>ISOM</t>
        </is>
      </c>
      <c r="E482" s="18" t="inlineStr">
        <is>
          <t>ISOM</t>
        </is>
      </c>
      <c r="F482" s="19" t="n">
        <v>6.5</v>
      </c>
      <c r="G482" s="21">
        <f>IFERROR(IF(INDEX(Effective!$E$3:$R$125,MATCH($B482,Effective!$A$3:$A$125,0),MATCH($D482,Effective!$E$2:$R$2,0))=0,"",INDEX(Effective!$E$3:$R$125,MATCH($B482,Effective!$A$3:$A$125,0),MATCH($D482,Effective!$E$2:$R$2,0))),"")</f>
        <v/>
      </c>
      <c r="H482" s="22" t="inlineStr">
        <is>
          <t>override</t>
        </is>
      </c>
      <c r="I482" s="23" t="n">
        <v>1</v>
      </c>
      <c r="J482" s="24">
        <f>IF(AND(IF($H485&lt;&gt;"",$H485,$H482)="override",$I482&lt;&gt;""),$I482,SUMIFS(Assumptions!$K$4:$K$8,Assumptions!$J$4:$J$8,$C482))*Assumptions!$S$10</f>
        <v/>
      </c>
      <c r="K482" s="23" t="n"/>
      <c r="L482" s="25">
        <f>IF(AND(IF($H485&lt;&gt;"",$H485,$H482)="override",$K482&lt;&gt;""),$K482,SUMIFS(Assumptions!$P$4:$P$103,Assumptions!$M$4:$M$103,$C482,Assumptions!$N$4:$N$103,$E482,Assumptions!$O$4:$O$103,"LVN"))</f>
        <v/>
      </c>
      <c r="M482" s="23" t="n"/>
      <c r="N482" s="25">
        <f>IF(AND(IF($H485&lt;&gt;"",$H485,$H482)="override",$M482&lt;&gt;""),$M482,SUMIFS(Assumptions!$P$4:$P$103,Assumptions!$M$4:$M$103,$C482,Assumptions!$N$4:$N$103,$E482,Assumptions!$O$4:$O$103,"HVN"))</f>
        <v/>
      </c>
      <c r="O482" s="25">
        <f>(L482+N482)*Assumptions!$S$11</f>
        <v/>
      </c>
      <c r="P482" s="26">
        <f>$F482*$J482*$O482</f>
        <v/>
      </c>
    </row>
    <row r="483">
      <c r="A483" s="11" t="inlineStr">
        <is>
          <t>UNIT</t>
        </is>
      </c>
      <c r="B483" s="18" t="inlineStr">
        <is>
          <t>VALERO_TEXAS_CITY</t>
        </is>
      </c>
      <c r="C483" s="18" t="n">
        <v>3</v>
      </c>
      <c r="D483" s="18" t="inlineStr">
        <is>
          <t>ALKY</t>
        </is>
      </c>
      <c r="E483" s="18" t="inlineStr">
        <is>
          <t>ALKY</t>
        </is>
      </c>
      <c r="F483" s="19" t="n">
        <v>14.7</v>
      </c>
      <c r="G483" s="21">
        <f>IFERROR(IF(INDEX(Effective!$E$3:$R$125,MATCH($B483,Effective!$A$3:$A$125,0),MATCH($D483,Effective!$E$2:$R$2,0))=0,"",INDEX(Effective!$E$3:$R$125,MATCH($B483,Effective!$A$3:$A$125,0),MATCH($D483,Effective!$E$2:$R$2,0))),"")</f>
        <v/>
      </c>
      <c r="H483" s="22" t="inlineStr">
        <is>
          <t>override</t>
        </is>
      </c>
      <c r="I483" s="23" t="n">
        <v>1.1</v>
      </c>
      <c r="J483" s="24">
        <f>IF(AND(IF($H485&lt;&gt;"",$H485,$H483)="override",$I483&lt;&gt;""),$I483,SUMIFS(Assumptions!$K$4:$K$8,Assumptions!$J$4:$J$8,$C483))*Assumptions!$S$10</f>
        <v/>
      </c>
      <c r="K483" s="23" t="n"/>
      <c r="L483" s="25">
        <f>IF(AND(IF($H485&lt;&gt;"",$H485,$H483)="override",$K483&lt;&gt;""),$K483,SUMIFS(Assumptions!$P$4:$P$103,Assumptions!$M$4:$M$103,$C483,Assumptions!$N$4:$N$103,$E483,Assumptions!$O$4:$O$103,"LVN"))</f>
        <v/>
      </c>
      <c r="M483" s="23" t="n"/>
      <c r="N483" s="25">
        <f>IF(AND(IF($H485&lt;&gt;"",$H485,$H483)="override",$M483&lt;&gt;""),$M483,SUMIFS(Assumptions!$P$4:$P$103,Assumptions!$M$4:$M$103,$C483,Assumptions!$N$4:$N$103,$E483,Assumptions!$O$4:$O$103,"HVN"))</f>
        <v/>
      </c>
      <c r="O483" s="25">
        <f>(L483+N483)*Assumptions!$S$11</f>
        <v/>
      </c>
      <c r="P483" s="26">
        <f>$F483*$J483*$O483</f>
        <v/>
      </c>
    </row>
    <row r="484">
      <c r="A484" s="11" t="inlineStr">
        <is>
          <t>UNIT</t>
        </is>
      </c>
      <c r="B484" s="18" t="inlineStr">
        <is>
          <t>VALERO_TEXAS_CITY</t>
        </is>
      </c>
      <c r="C484" s="18" t="n">
        <v>3</v>
      </c>
      <c r="D484" s="18" t="inlineStr">
        <is>
          <t>NHT</t>
        </is>
      </c>
      <c r="E484" s="18" t="inlineStr">
        <is>
          <t>NHT</t>
        </is>
      </c>
      <c r="F484" s="19" t="n">
        <v>25</v>
      </c>
      <c r="G484" s="21">
        <f>IFERROR(IF(INDEX(Effective!$E$3:$R$125,MATCH($B484,Effective!$A$3:$A$125,0),MATCH($D484,Effective!$E$2:$R$2,0))=0,"",INDEX(Effective!$E$3:$R$125,MATCH($B484,Effective!$A$3:$A$125,0),MATCH($D484,Effective!$E$2:$R$2,0))),"")</f>
        <v/>
      </c>
      <c r="H484" s="22" t="inlineStr">
        <is>
          <t>override</t>
        </is>
      </c>
      <c r="I484" s="23" t="n">
        <v>0.995</v>
      </c>
      <c r="J484" s="24">
        <f>IF(AND(IF($H485&lt;&gt;"",$H485,$H484)="override",$I484&lt;&gt;""),$I484,SUMIFS(Assumptions!$K$4:$K$8,Assumptions!$J$4:$J$8,$C484))*Assumptions!$S$10</f>
        <v/>
      </c>
      <c r="K484" s="23" t="n"/>
      <c r="L484" s="25">
        <f>IF(AND(IF($H485&lt;&gt;"",$H485,$H484)="override",$K484&lt;&gt;""),$K484,SUMIFS(Assumptions!$P$4:$P$103,Assumptions!$M$4:$M$103,$C484,Assumptions!$N$4:$N$103,$E484,Assumptions!$O$4:$O$103,"LVN"))</f>
        <v/>
      </c>
      <c r="M484" s="23" t="n"/>
      <c r="N484" s="25">
        <f>IF(AND(IF($H485&lt;&gt;"",$H485,$H484)="override",$M484&lt;&gt;""),$M484,SUMIFS(Assumptions!$P$4:$P$103,Assumptions!$M$4:$M$103,$C484,Assumptions!$N$4:$N$103,$E484,Assumptions!$O$4:$O$103,"HVN"))</f>
        <v/>
      </c>
      <c r="O484" s="25">
        <f>(L484+N484)*Assumptions!$S$11</f>
        <v/>
      </c>
      <c r="P484" s="26">
        <f>$F484*$J484*$O484</f>
        <v/>
      </c>
    </row>
    <row r="485">
      <c r="A485" s="27" t="inlineStr">
        <is>
          <t>TOTAL</t>
        </is>
      </c>
      <c r="B485" s="28" t="inlineStr">
        <is>
          <t>VALERO_TEXAS_CITY</t>
        </is>
      </c>
      <c r="C485" s="28" t="n">
        <v>3</v>
      </c>
      <c r="D485" s="28" t="inlineStr">
        <is>
          <t>NET NAPHTHA</t>
        </is>
      </c>
      <c r="H485" s="22" t="n"/>
      <c r="P485" s="29">
        <f>SUM(P477:P484)</f>
        <v/>
      </c>
    </row>
    <row r="487" ht="20" customHeight="1">
      <c r="A487" s="8">
        <f>"  Shell Norco  [SHELL_NORCO]   —   Shell   —   PADD 3   —   crude "&amp;TEXT(SUMIFS(Data!$G$3:$G$125,Data!$A$3:$A$125,"SHELL_NORCO"),"#,##0")&amp;" kbd"</f>
        <v/>
      </c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</row>
    <row r="488">
      <c r="A488" s="11" t="inlineStr">
        <is>
          <t>UNIT</t>
        </is>
      </c>
      <c r="B488" s="18" t="inlineStr">
        <is>
          <t>SHELL_NORCO</t>
        </is>
      </c>
      <c r="C488" s="18" t="n">
        <v>3</v>
      </c>
      <c r="D488" s="18" t="inlineStr">
        <is>
          <t>CDU</t>
        </is>
      </c>
      <c r="E488" s="18" t="inlineStr">
        <is>
          <t>CDU</t>
        </is>
      </c>
      <c r="F488" s="19" t="n">
        <v>250</v>
      </c>
      <c r="G488" s="21">
        <f>IFERROR(IF(INDEX(Effective!$E$3:$R$125,MATCH($B488,Effective!$A$3:$A$125,0),MATCH($D488,Effective!$E$2:$R$2,0))=0,"",INDEX(Effective!$E$3:$R$125,MATCH($B488,Effective!$A$3:$A$125,0),MATCH($D488,Effective!$E$2:$R$2,0))),"")</f>
        <v/>
      </c>
      <c r="H488" s="22" t="inlineStr">
        <is>
          <t>override</t>
        </is>
      </c>
      <c r="I488" s="23" t="n">
        <v>0.905</v>
      </c>
      <c r="J488" s="24">
        <f>IF(AND(IF($H496&lt;&gt;"",$H496,$H488)="override",$I488&lt;&gt;""),$I488,SUMIFS(Assumptions!$K$4:$K$8,Assumptions!$J$4:$J$8,$C488))*Assumptions!$S$10</f>
        <v/>
      </c>
      <c r="K488" s="23" t="n"/>
      <c r="L488" s="25">
        <f>IF(AND(IF($H496&lt;&gt;"",$H496,$H488)="override",$K488&lt;&gt;""),$K488,SUMIFS(Assumptions!$P$4:$P$103,Assumptions!$M$4:$M$103,$C488,Assumptions!$N$4:$N$103,$E488,Assumptions!$O$4:$O$103,"LVN"))</f>
        <v/>
      </c>
      <c r="M488" s="23" t="n"/>
      <c r="N488" s="25">
        <f>IF(AND(IF($H496&lt;&gt;"",$H496,$H488)="override",$M488&lt;&gt;""),$M488,SUMIFS(Assumptions!$P$4:$P$103,Assumptions!$M$4:$M$103,$C488,Assumptions!$N$4:$N$103,$E488,Assumptions!$O$4:$O$103,"HVN"))</f>
        <v/>
      </c>
      <c r="O488" s="25">
        <f>(L488+N488)*Assumptions!$S$11</f>
        <v/>
      </c>
      <c r="P488" s="26">
        <f>$F488*$J488*$O488</f>
        <v/>
      </c>
    </row>
    <row r="489">
      <c r="A489" s="11" t="inlineStr">
        <is>
          <t>UNIT</t>
        </is>
      </c>
      <c r="B489" s="18" t="inlineStr">
        <is>
          <t>SHELL_NORCO</t>
        </is>
      </c>
      <c r="C489" s="18" t="n">
        <v>3</v>
      </c>
      <c r="D489" s="18" t="inlineStr">
        <is>
          <t>VDU</t>
        </is>
      </c>
      <c r="E489" s="18" t="inlineStr">
        <is>
          <t>VDU</t>
        </is>
      </c>
      <c r="F489" s="19" t="n">
        <v>91.3</v>
      </c>
      <c r="G489" s="21">
        <f>IFERROR(IF(INDEX(Effective!$E$3:$R$125,MATCH($B489,Effective!$A$3:$A$125,0),MATCH($D489,Effective!$E$2:$R$2,0))=0,"",INDEX(Effective!$E$3:$R$125,MATCH($B489,Effective!$A$3:$A$125,0),MATCH($D489,Effective!$E$2:$R$2,0))),"")</f>
        <v/>
      </c>
      <c r="H489" s="22" t="inlineStr">
        <is>
          <t>override</t>
        </is>
      </c>
      <c r="I489" s="23" t="n">
        <v>0.883</v>
      </c>
      <c r="J489" s="24">
        <f>IF(AND(IF($H496&lt;&gt;"",$H496,$H489)="override",$I489&lt;&gt;""),$I489,SUMIFS(Assumptions!$K$4:$K$8,Assumptions!$J$4:$J$8,$C489))*Assumptions!$S$10</f>
        <v/>
      </c>
      <c r="K489" s="23" t="n"/>
      <c r="L489" s="25">
        <f>IF(AND(IF($H496&lt;&gt;"",$H496,$H489)="override",$K489&lt;&gt;""),$K489,SUMIFS(Assumptions!$P$4:$P$103,Assumptions!$M$4:$M$103,$C489,Assumptions!$N$4:$N$103,$E489,Assumptions!$O$4:$O$103,"LVN"))</f>
        <v/>
      </c>
      <c r="M489" s="23" t="n"/>
      <c r="N489" s="25">
        <f>IF(AND(IF($H496&lt;&gt;"",$H496,$H489)="override",$M489&lt;&gt;""),$M489,SUMIFS(Assumptions!$P$4:$P$103,Assumptions!$M$4:$M$103,$C489,Assumptions!$N$4:$N$103,$E489,Assumptions!$O$4:$O$103,"HVN"))</f>
        <v/>
      </c>
      <c r="O489" s="25">
        <f>(L489+N489)*Assumptions!$S$11</f>
        <v/>
      </c>
      <c r="P489" s="26">
        <f>$F489*$J489*$O489</f>
        <v/>
      </c>
    </row>
    <row r="490">
      <c r="A490" s="11" t="inlineStr">
        <is>
          <t>UNIT</t>
        </is>
      </c>
      <c r="B490" s="18" t="inlineStr">
        <is>
          <t>SHELL_NORCO</t>
        </is>
      </c>
      <c r="C490" s="18" t="n">
        <v>3</v>
      </c>
      <c r="D490" s="18" t="inlineStr">
        <is>
          <t>FCC</t>
        </is>
      </c>
      <c r="E490" s="18" t="inlineStr">
        <is>
          <t>FCC</t>
        </is>
      </c>
      <c r="F490" s="19" t="n">
        <v>118.8</v>
      </c>
      <c r="G490" s="21">
        <f>IFERROR(IF(INDEX(Effective!$E$3:$R$125,MATCH($B490,Effective!$A$3:$A$125,0),MATCH($D490,Effective!$E$2:$R$2,0))=0,"",INDEX(Effective!$E$3:$R$125,MATCH($B490,Effective!$A$3:$A$125,0),MATCH($D490,Effective!$E$2:$R$2,0))),"")</f>
        <v/>
      </c>
      <c r="H490" s="22" t="inlineStr">
        <is>
          <t>override</t>
        </is>
      </c>
      <c r="I490" s="23" t="n"/>
      <c r="J490" s="24">
        <f>IF(AND(IF($H496&lt;&gt;"",$H496,$H490)="override",$I490&lt;&gt;""),$I490,SUMIFS(Assumptions!$K$4:$K$8,Assumptions!$J$4:$J$8,$C490))*Assumptions!$S$10</f>
        <v/>
      </c>
      <c r="K490" s="23" t="n"/>
      <c r="L490" s="25">
        <f>IF(AND(IF($H496&lt;&gt;"",$H496,$H490)="override",$K490&lt;&gt;""),$K490,SUMIFS(Assumptions!$P$4:$P$103,Assumptions!$M$4:$M$103,$C490,Assumptions!$N$4:$N$103,$E490,Assumptions!$O$4:$O$103,"LVN"))</f>
        <v/>
      </c>
      <c r="M490" s="23" t="n"/>
      <c r="N490" s="25">
        <f>IF(AND(IF($H496&lt;&gt;"",$H496,$H490)="override",$M490&lt;&gt;""),$M490,SUMIFS(Assumptions!$P$4:$P$103,Assumptions!$M$4:$M$103,$C490,Assumptions!$N$4:$N$103,$E490,Assumptions!$O$4:$O$103,"HVN"))</f>
        <v/>
      </c>
      <c r="O490" s="25">
        <f>(L490+N490)*Assumptions!$S$11</f>
        <v/>
      </c>
      <c r="P490" s="26">
        <f>$F490*$J490*$O490</f>
        <v/>
      </c>
    </row>
    <row r="491">
      <c r="A491" s="11" t="inlineStr">
        <is>
          <t>UNIT</t>
        </is>
      </c>
      <c r="B491" s="18" t="inlineStr">
        <is>
          <t>SHELL_NORCO</t>
        </is>
      </c>
      <c r="C491" s="18" t="n">
        <v>3</v>
      </c>
      <c r="D491" s="18" t="inlineStr">
        <is>
          <t>DHCU</t>
        </is>
      </c>
      <c r="E491" s="18" t="inlineStr">
        <is>
          <t>HYDROCRACKER</t>
        </is>
      </c>
      <c r="F491" s="19" t="n">
        <v>44</v>
      </c>
      <c r="G491" s="21">
        <f>IFERROR(IF(INDEX(Effective!$E$3:$R$125,MATCH($B491,Effective!$A$3:$A$125,0),MATCH($D491,Effective!$E$2:$R$2,0))=0,"",INDEX(Effective!$E$3:$R$125,MATCH($B491,Effective!$A$3:$A$125,0),MATCH($D491,Effective!$E$2:$R$2,0))),"")</f>
        <v/>
      </c>
      <c r="H491" s="22" t="inlineStr">
        <is>
          <t>override</t>
        </is>
      </c>
      <c r="I491" s="23" t="n">
        <v>0.589</v>
      </c>
      <c r="J491" s="24">
        <f>IF(AND(IF($H496&lt;&gt;"",$H496,$H491)="override",$I491&lt;&gt;""),$I491,SUMIFS(Assumptions!$K$4:$K$8,Assumptions!$J$4:$J$8,$C491))*Assumptions!$S$10</f>
        <v/>
      </c>
      <c r="K491" s="23" t="n"/>
      <c r="L491" s="25">
        <f>IF(AND(IF($H496&lt;&gt;"",$H496,$H491)="override",$K491&lt;&gt;""),$K491,SUMIFS(Assumptions!$P$4:$P$103,Assumptions!$M$4:$M$103,$C491,Assumptions!$N$4:$N$103,$E491,Assumptions!$O$4:$O$103,"LVN"))</f>
        <v/>
      </c>
      <c r="M491" s="23" t="n"/>
      <c r="N491" s="25">
        <f>IF(AND(IF($H496&lt;&gt;"",$H496,$H491)="override",$M491&lt;&gt;""),$M491,SUMIFS(Assumptions!$P$4:$P$103,Assumptions!$M$4:$M$103,$C491,Assumptions!$N$4:$N$103,$E491,Assumptions!$O$4:$O$103,"HVN"))</f>
        <v/>
      </c>
      <c r="O491" s="25">
        <f>(L491+N491)*Assumptions!$S$11</f>
        <v/>
      </c>
      <c r="P491" s="26">
        <f>$F491*$J491*$O491</f>
        <v/>
      </c>
    </row>
    <row r="492">
      <c r="A492" s="11" t="inlineStr">
        <is>
          <t>UNIT</t>
        </is>
      </c>
      <c r="B492" s="18" t="inlineStr">
        <is>
          <t>SHELL_NORCO</t>
        </is>
      </c>
      <c r="C492" s="18" t="n">
        <v>3</v>
      </c>
      <c r="D492" s="18" t="inlineStr">
        <is>
          <t>COKER</t>
        </is>
      </c>
      <c r="E492" s="18" t="inlineStr">
        <is>
          <t>COKER</t>
        </is>
      </c>
      <c r="F492" s="19" t="n">
        <v>28.5</v>
      </c>
      <c r="G492" s="21">
        <f>IFERROR(IF(INDEX(Effective!$E$3:$R$125,MATCH($B492,Effective!$A$3:$A$125,0),MATCH($D492,Effective!$E$2:$R$2,0))=0,"",INDEX(Effective!$E$3:$R$125,MATCH($B492,Effective!$A$3:$A$125,0),MATCH($D492,Effective!$E$2:$R$2,0))),"")</f>
        <v/>
      </c>
      <c r="H492" s="22" t="inlineStr">
        <is>
          <t>override</t>
        </is>
      </c>
      <c r="I492" s="23" t="n">
        <v>0.625</v>
      </c>
      <c r="J492" s="24">
        <f>IF(AND(IF($H496&lt;&gt;"",$H496,$H492)="override",$I492&lt;&gt;""),$I492,SUMIFS(Assumptions!$K$4:$K$8,Assumptions!$J$4:$J$8,$C492))*Assumptions!$S$10</f>
        <v/>
      </c>
      <c r="K492" s="23" t="n"/>
      <c r="L492" s="25">
        <f>IF(AND(IF($H496&lt;&gt;"",$H496,$H492)="override",$K492&lt;&gt;""),$K492,SUMIFS(Assumptions!$P$4:$P$103,Assumptions!$M$4:$M$103,$C492,Assumptions!$N$4:$N$103,$E492,Assumptions!$O$4:$O$103,"LVN"))</f>
        <v/>
      </c>
      <c r="M492" s="23" t="n"/>
      <c r="N492" s="25">
        <f>IF(AND(IF($H496&lt;&gt;"",$H496,$H492)="override",$M492&lt;&gt;""),$M492,SUMIFS(Assumptions!$P$4:$P$103,Assumptions!$M$4:$M$103,$C492,Assumptions!$N$4:$N$103,$E492,Assumptions!$O$4:$O$103,"HVN"))</f>
        <v/>
      </c>
      <c r="O492" s="25">
        <f>(L492+N492)*Assumptions!$S$11</f>
        <v/>
      </c>
      <c r="P492" s="26">
        <f>$F492*$J492*$O492</f>
        <v/>
      </c>
    </row>
    <row r="493">
      <c r="A493" s="11" t="inlineStr">
        <is>
          <t>UNIT</t>
        </is>
      </c>
      <c r="B493" s="18" t="inlineStr">
        <is>
          <t>SHELL_NORCO</t>
        </is>
      </c>
      <c r="C493" s="18" t="n">
        <v>3</v>
      </c>
      <c r="D493" s="18" t="inlineStr">
        <is>
          <t>CCR</t>
        </is>
      </c>
      <c r="E493" s="18" t="inlineStr">
        <is>
          <t>REFORMER</t>
        </is>
      </c>
      <c r="F493" s="19" t="n">
        <v>40</v>
      </c>
      <c r="G493" s="21">
        <f>IFERROR(IF(INDEX(Effective!$E$3:$R$125,MATCH($B493,Effective!$A$3:$A$125,0),MATCH($D493,Effective!$E$2:$R$2,0))=0,"",INDEX(Effective!$E$3:$R$125,MATCH($B493,Effective!$A$3:$A$125,0),MATCH($D493,Effective!$E$2:$R$2,0))),"")</f>
        <v/>
      </c>
      <c r="H493" s="22" t="inlineStr">
        <is>
          <t>override</t>
        </is>
      </c>
      <c r="I493" s="23" t="n">
        <v>0.911</v>
      </c>
      <c r="J493" s="24">
        <f>IF(AND(IF($H496&lt;&gt;"",$H496,$H493)="override",$I493&lt;&gt;""),$I493,SUMIFS(Assumptions!$K$4:$K$8,Assumptions!$J$4:$J$8,$C493))*Assumptions!$S$10</f>
        <v/>
      </c>
      <c r="K493" s="23" t="n"/>
      <c r="L493" s="25">
        <f>IF(AND(IF($H496&lt;&gt;"",$H496,$H493)="override",$K493&lt;&gt;""),$K493,SUMIFS(Assumptions!$P$4:$P$103,Assumptions!$M$4:$M$103,$C493,Assumptions!$N$4:$N$103,$E493,Assumptions!$O$4:$O$103,"LVN"))</f>
        <v/>
      </c>
      <c r="M493" s="23" t="n"/>
      <c r="N493" s="25">
        <f>IF(AND(IF($H496&lt;&gt;"",$H496,$H493)="override",$M493&lt;&gt;""),$M493,SUMIFS(Assumptions!$P$4:$P$103,Assumptions!$M$4:$M$103,$C493,Assumptions!$N$4:$N$103,$E493,Assumptions!$O$4:$O$103,"HVN"))</f>
        <v/>
      </c>
      <c r="O493" s="25">
        <f>(L493+N493)*Assumptions!$S$11</f>
        <v/>
      </c>
      <c r="P493" s="26">
        <f>$F493*$J493*$O493</f>
        <v/>
      </c>
    </row>
    <row r="494">
      <c r="A494" s="11" t="inlineStr">
        <is>
          <t>UNIT</t>
        </is>
      </c>
      <c r="B494" s="18" t="inlineStr">
        <is>
          <t>SHELL_NORCO</t>
        </is>
      </c>
      <c r="C494" s="18" t="n">
        <v>3</v>
      </c>
      <c r="D494" s="18" t="inlineStr">
        <is>
          <t>ALKY</t>
        </is>
      </c>
      <c r="E494" s="18" t="inlineStr">
        <is>
          <t>ALKY</t>
        </is>
      </c>
      <c r="F494" s="19" t="n">
        <v>18.1</v>
      </c>
      <c r="G494" s="21">
        <f>IFERROR(IF(INDEX(Effective!$E$3:$R$125,MATCH($B494,Effective!$A$3:$A$125,0),MATCH($D494,Effective!$E$2:$R$2,0))=0,"",INDEX(Effective!$E$3:$R$125,MATCH($B494,Effective!$A$3:$A$125,0),MATCH($D494,Effective!$E$2:$R$2,0))),"")</f>
        <v/>
      </c>
      <c r="H494" s="22" t="inlineStr">
        <is>
          <t>override</t>
        </is>
      </c>
      <c r="I494" s="23" t="n">
        <v>1.1</v>
      </c>
      <c r="J494" s="24">
        <f>IF(AND(IF($H496&lt;&gt;"",$H496,$H494)="override",$I494&lt;&gt;""),$I494,SUMIFS(Assumptions!$K$4:$K$8,Assumptions!$J$4:$J$8,$C494))*Assumptions!$S$10</f>
        <v/>
      </c>
      <c r="K494" s="23" t="n"/>
      <c r="L494" s="25">
        <f>IF(AND(IF($H496&lt;&gt;"",$H496,$H494)="override",$K494&lt;&gt;""),$K494,SUMIFS(Assumptions!$P$4:$P$103,Assumptions!$M$4:$M$103,$C494,Assumptions!$N$4:$N$103,$E494,Assumptions!$O$4:$O$103,"LVN"))</f>
        <v/>
      </c>
      <c r="M494" s="23" t="n"/>
      <c r="N494" s="25">
        <f>IF(AND(IF($H496&lt;&gt;"",$H496,$H494)="override",$M494&lt;&gt;""),$M494,SUMIFS(Assumptions!$P$4:$P$103,Assumptions!$M$4:$M$103,$C494,Assumptions!$N$4:$N$103,$E494,Assumptions!$O$4:$O$103,"HVN"))</f>
        <v/>
      </c>
      <c r="O494" s="25">
        <f>(L494+N494)*Assumptions!$S$11</f>
        <v/>
      </c>
      <c r="P494" s="26">
        <f>$F494*$J494*$O494</f>
        <v/>
      </c>
    </row>
    <row r="495">
      <c r="A495" s="11" t="inlineStr">
        <is>
          <t>UNIT</t>
        </is>
      </c>
      <c r="B495" s="18" t="inlineStr">
        <is>
          <t>SHELL_NORCO</t>
        </is>
      </c>
      <c r="C495" s="18" t="n">
        <v>3</v>
      </c>
      <c r="D495" s="18" t="inlineStr">
        <is>
          <t>NHT</t>
        </is>
      </c>
      <c r="E495" s="18" t="inlineStr">
        <is>
          <t>NHT</t>
        </is>
      </c>
      <c r="F495" s="19" t="n">
        <v>42</v>
      </c>
      <c r="G495" s="21">
        <f>IFERROR(IF(INDEX(Effective!$E$3:$R$125,MATCH($B495,Effective!$A$3:$A$125,0),MATCH($D495,Effective!$E$2:$R$2,0))=0,"",INDEX(Effective!$E$3:$R$125,MATCH($B495,Effective!$A$3:$A$125,0),MATCH($D495,Effective!$E$2:$R$2,0))),"")</f>
        <v/>
      </c>
      <c r="H495" s="22" t="inlineStr">
        <is>
          <t>override</t>
        </is>
      </c>
      <c r="I495" s="23" t="n">
        <v>0.954</v>
      </c>
      <c r="J495" s="24">
        <f>IF(AND(IF($H496&lt;&gt;"",$H496,$H495)="override",$I495&lt;&gt;""),$I495,SUMIFS(Assumptions!$K$4:$K$8,Assumptions!$J$4:$J$8,$C495))*Assumptions!$S$10</f>
        <v/>
      </c>
      <c r="K495" s="23" t="n"/>
      <c r="L495" s="25">
        <f>IF(AND(IF($H496&lt;&gt;"",$H496,$H495)="override",$K495&lt;&gt;""),$K495,SUMIFS(Assumptions!$P$4:$P$103,Assumptions!$M$4:$M$103,$C495,Assumptions!$N$4:$N$103,$E495,Assumptions!$O$4:$O$103,"LVN"))</f>
        <v/>
      </c>
      <c r="M495" s="23" t="n"/>
      <c r="N495" s="25">
        <f>IF(AND(IF($H496&lt;&gt;"",$H496,$H495)="override",$M495&lt;&gt;""),$M495,SUMIFS(Assumptions!$P$4:$P$103,Assumptions!$M$4:$M$103,$C495,Assumptions!$N$4:$N$103,$E495,Assumptions!$O$4:$O$103,"HVN"))</f>
        <v/>
      </c>
      <c r="O495" s="25">
        <f>(L495+N495)*Assumptions!$S$11</f>
        <v/>
      </c>
      <c r="P495" s="26">
        <f>$F495*$J495*$O495</f>
        <v/>
      </c>
    </row>
    <row r="496">
      <c r="A496" s="27" t="inlineStr">
        <is>
          <t>TOTAL</t>
        </is>
      </c>
      <c r="B496" s="28" t="inlineStr">
        <is>
          <t>SHELL_NORCO</t>
        </is>
      </c>
      <c r="C496" s="28" t="n">
        <v>3</v>
      </c>
      <c r="D496" s="28" t="inlineStr">
        <is>
          <t>NET NAPHTHA</t>
        </is>
      </c>
      <c r="H496" s="22" t="n"/>
      <c r="P496" s="29">
        <f>SUM(P488:P495)</f>
        <v/>
      </c>
    </row>
    <row r="498" ht="20" customHeight="1">
      <c r="A498" s="8">
        <f>"  Total Port Arthur  [TOTAL_PORT_ARTHUR]   —   Total   —   PADD 3   —   crude "&amp;TEXT(SUMIFS(Data!$G$3:$G$125,Data!$A$3:$A$125,"TOTAL_PORT_ARTHUR"),"#,##0")&amp;" kbd"</f>
        <v/>
      </c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</row>
    <row r="499">
      <c r="A499" s="11" t="inlineStr">
        <is>
          <t>UNIT</t>
        </is>
      </c>
      <c r="B499" s="18" t="inlineStr">
        <is>
          <t>TOTAL_PORT_ARTHUR</t>
        </is>
      </c>
      <c r="C499" s="18" t="n">
        <v>3</v>
      </c>
      <c r="D499" s="18" t="inlineStr">
        <is>
          <t>CDU</t>
        </is>
      </c>
      <c r="E499" s="18" t="inlineStr">
        <is>
          <t>CDU</t>
        </is>
      </c>
      <c r="F499" s="19" t="n">
        <v>195</v>
      </c>
      <c r="G499" s="21">
        <f>IFERROR(IF(INDEX(Effective!$E$3:$R$125,MATCH($B499,Effective!$A$3:$A$125,0),MATCH($D499,Effective!$E$2:$R$2,0))=0,"",INDEX(Effective!$E$3:$R$125,MATCH($B499,Effective!$A$3:$A$125,0),MATCH($D499,Effective!$E$2:$R$2,0))),"")</f>
        <v/>
      </c>
      <c r="H499" s="22" t="inlineStr">
        <is>
          <t>override</t>
        </is>
      </c>
      <c r="I499" s="23" t="n">
        <v>0.665</v>
      </c>
      <c r="J499" s="24">
        <f>IF(AND(IF($H507&lt;&gt;"",$H507,$H499)="override",$I499&lt;&gt;""),$I499,SUMIFS(Assumptions!$K$4:$K$8,Assumptions!$J$4:$J$8,$C499))*Assumptions!$S$10</f>
        <v/>
      </c>
      <c r="K499" s="23" t="n"/>
      <c r="L499" s="25">
        <f>IF(AND(IF($H507&lt;&gt;"",$H507,$H499)="override",$K499&lt;&gt;""),$K499,SUMIFS(Assumptions!$P$4:$P$103,Assumptions!$M$4:$M$103,$C499,Assumptions!$N$4:$N$103,$E499,Assumptions!$O$4:$O$103,"LVN"))</f>
        <v/>
      </c>
      <c r="M499" s="23" t="n"/>
      <c r="N499" s="25">
        <f>IF(AND(IF($H507&lt;&gt;"",$H507,$H499)="override",$M499&lt;&gt;""),$M499,SUMIFS(Assumptions!$P$4:$P$103,Assumptions!$M$4:$M$103,$C499,Assumptions!$N$4:$N$103,$E499,Assumptions!$O$4:$O$103,"HVN"))</f>
        <v/>
      </c>
      <c r="O499" s="25">
        <f>(L499+N499)*Assumptions!$S$11</f>
        <v/>
      </c>
      <c r="P499" s="26">
        <f>$F499*$J499*$O499</f>
        <v/>
      </c>
    </row>
    <row r="500">
      <c r="A500" s="11" t="inlineStr">
        <is>
          <t>UNIT</t>
        </is>
      </c>
      <c r="B500" s="18" t="inlineStr">
        <is>
          <t>TOTAL_PORT_ARTHUR</t>
        </is>
      </c>
      <c r="C500" s="18" t="n">
        <v>3</v>
      </c>
      <c r="D500" s="18" t="inlineStr">
        <is>
          <t>VDU</t>
        </is>
      </c>
      <c r="E500" s="18" t="inlineStr">
        <is>
          <t>VDU</t>
        </is>
      </c>
      <c r="F500" s="19" t="n">
        <v>117</v>
      </c>
      <c r="G500" s="21">
        <f>IFERROR(IF(INDEX(Effective!$E$3:$R$125,MATCH($B500,Effective!$A$3:$A$125,0),MATCH($D500,Effective!$E$2:$R$2,0))=0,"",INDEX(Effective!$E$3:$R$125,MATCH($B500,Effective!$A$3:$A$125,0),MATCH($D500,Effective!$E$2:$R$2,0))),"")</f>
        <v/>
      </c>
      <c r="H500" s="22" t="inlineStr">
        <is>
          <t>override</t>
        </is>
      </c>
      <c r="I500" s="23" t="n">
        <v>0.495</v>
      </c>
      <c r="J500" s="24">
        <f>IF(AND(IF($H507&lt;&gt;"",$H507,$H500)="override",$I500&lt;&gt;""),$I500,SUMIFS(Assumptions!$K$4:$K$8,Assumptions!$J$4:$J$8,$C500))*Assumptions!$S$10</f>
        <v/>
      </c>
      <c r="K500" s="23" t="n"/>
      <c r="L500" s="25">
        <f>IF(AND(IF($H507&lt;&gt;"",$H507,$H500)="override",$K500&lt;&gt;""),$K500,SUMIFS(Assumptions!$P$4:$P$103,Assumptions!$M$4:$M$103,$C500,Assumptions!$N$4:$N$103,$E500,Assumptions!$O$4:$O$103,"LVN"))</f>
        <v/>
      </c>
      <c r="M500" s="23" t="n"/>
      <c r="N500" s="25">
        <f>IF(AND(IF($H507&lt;&gt;"",$H507,$H500)="override",$M500&lt;&gt;""),$M500,SUMIFS(Assumptions!$P$4:$P$103,Assumptions!$M$4:$M$103,$C500,Assumptions!$N$4:$N$103,$E500,Assumptions!$O$4:$O$103,"HVN"))</f>
        <v/>
      </c>
      <c r="O500" s="25">
        <f>(L500+N500)*Assumptions!$S$11</f>
        <v/>
      </c>
      <c r="P500" s="26">
        <f>$F500*$J500*$O500</f>
        <v/>
      </c>
    </row>
    <row r="501">
      <c r="A501" s="11" t="inlineStr">
        <is>
          <t>UNIT</t>
        </is>
      </c>
      <c r="B501" s="18" t="inlineStr">
        <is>
          <t>TOTAL_PORT_ARTHUR</t>
        </is>
      </c>
      <c r="C501" s="18" t="n">
        <v>3</v>
      </c>
      <c r="D501" s="18" t="inlineStr">
        <is>
          <t>FCC</t>
        </is>
      </c>
      <c r="E501" s="18" t="inlineStr">
        <is>
          <t>FCC</t>
        </is>
      </c>
      <c r="F501" s="19" t="n">
        <v>80</v>
      </c>
      <c r="G501" s="21">
        <f>IFERROR(IF(INDEX(Effective!$E$3:$R$125,MATCH($B501,Effective!$A$3:$A$125,0),MATCH($D501,Effective!$E$2:$R$2,0))=0,"",INDEX(Effective!$E$3:$R$125,MATCH($B501,Effective!$A$3:$A$125,0),MATCH($D501,Effective!$E$2:$R$2,0))),"")</f>
        <v/>
      </c>
      <c r="H501" s="22" t="inlineStr">
        <is>
          <t>override</t>
        </is>
      </c>
      <c r="I501" s="23" t="n">
        <v>0.489</v>
      </c>
      <c r="J501" s="24">
        <f>IF(AND(IF($H507&lt;&gt;"",$H507,$H501)="override",$I501&lt;&gt;""),$I501,SUMIFS(Assumptions!$K$4:$K$8,Assumptions!$J$4:$J$8,$C501))*Assumptions!$S$10</f>
        <v/>
      </c>
      <c r="K501" s="23" t="n"/>
      <c r="L501" s="25">
        <f>IF(AND(IF($H507&lt;&gt;"",$H507,$H501)="override",$K501&lt;&gt;""),$K501,SUMIFS(Assumptions!$P$4:$P$103,Assumptions!$M$4:$M$103,$C501,Assumptions!$N$4:$N$103,$E501,Assumptions!$O$4:$O$103,"LVN"))</f>
        <v/>
      </c>
      <c r="M501" s="23" t="n"/>
      <c r="N501" s="25">
        <f>IF(AND(IF($H507&lt;&gt;"",$H507,$H501)="override",$M501&lt;&gt;""),$M501,SUMIFS(Assumptions!$P$4:$P$103,Assumptions!$M$4:$M$103,$C501,Assumptions!$N$4:$N$103,$E501,Assumptions!$O$4:$O$103,"HVN"))</f>
        <v/>
      </c>
      <c r="O501" s="25">
        <f>(L501+N501)*Assumptions!$S$11</f>
        <v/>
      </c>
      <c r="P501" s="26">
        <f>$F501*$J501*$O501</f>
        <v/>
      </c>
    </row>
    <row r="502">
      <c r="A502" s="11" t="inlineStr">
        <is>
          <t>UNIT</t>
        </is>
      </c>
      <c r="B502" s="18" t="inlineStr">
        <is>
          <t>TOTAL_PORT_ARTHUR</t>
        </is>
      </c>
      <c r="C502" s="18" t="n">
        <v>3</v>
      </c>
      <c r="D502" s="18" t="inlineStr">
        <is>
          <t>COKER</t>
        </is>
      </c>
      <c r="E502" s="18" t="inlineStr">
        <is>
          <t>COKER</t>
        </is>
      </c>
      <c r="F502" s="19" t="n">
        <v>60</v>
      </c>
      <c r="G502" s="21">
        <f>IFERROR(IF(INDEX(Effective!$E$3:$R$125,MATCH($B502,Effective!$A$3:$A$125,0),MATCH($D502,Effective!$E$2:$R$2,0))=0,"",INDEX(Effective!$E$3:$R$125,MATCH($B502,Effective!$A$3:$A$125,0),MATCH($D502,Effective!$E$2:$R$2,0))),"")</f>
        <v/>
      </c>
      <c r="H502" s="22" t="inlineStr">
        <is>
          <t>override</t>
        </is>
      </c>
      <c r="I502" s="23" t="n">
        <v>0.379</v>
      </c>
      <c r="J502" s="24">
        <f>IF(AND(IF($H507&lt;&gt;"",$H507,$H502)="override",$I502&lt;&gt;""),$I502,SUMIFS(Assumptions!$K$4:$K$8,Assumptions!$J$4:$J$8,$C502))*Assumptions!$S$10</f>
        <v/>
      </c>
      <c r="K502" s="23" t="n"/>
      <c r="L502" s="25">
        <f>IF(AND(IF($H507&lt;&gt;"",$H507,$H502)="override",$K502&lt;&gt;""),$K502,SUMIFS(Assumptions!$P$4:$P$103,Assumptions!$M$4:$M$103,$C502,Assumptions!$N$4:$N$103,$E502,Assumptions!$O$4:$O$103,"LVN"))</f>
        <v/>
      </c>
      <c r="M502" s="23" t="n"/>
      <c r="N502" s="25">
        <f>IF(AND(IF($H507&lt;&gt;"",$H507,$H502)="override",$M502&lt;&gt;""),$M502,SUMIFS(Assumptions!$P$4:$P$103,Assumptions!$M$4:$M$103,$C502,Assumptions!$N$4:$N$103,$E502,Assumptions!$O$4:$O$103,"HVN"))</f>
        <v/>
      </c>
      <c r="O502" s="25">
        <f>(L502+N502)*Assumptions!$S$11</f>
        <v/>
      </c>
      <c r="P502" s="26">
        <f>$F502*$J502*$O502</f>
        <v/>
      </c>
    </row>
    <row r="503">
      <c r="A503" s="11" t="inlineStr">
        <is>
          <t>UNIT</t>
        </is>
      </c>
      <c r="B503" s="18" t="inlineStr">
        <is>
          <t>TOTAL_PORT_ARTHUR</t>
        </is>
      </c>
      <c r="C503" s="18" t="n">
        <v>3</v>
      </c>
      <c r="D503" s="18" t="inlineStr">
        <is>
          <t>CCR</t>
        </is>
      </c>
      <c r="E503" s="18" t="inlineStr">
        <is>
          <t>REFORMER</t>
        </is>
      </c>
      <c r="F503" s="19" t="n">
        <v>43</v>
      </c>
      <c r="G503" s="21">
        <f>IFERROR(IF(INDEX(Effective!$E$3:$R$125,MATCH($B503,Effective!$A$3:$A$125,0),MATCH($D503,Effective!$E$2:$R$2,0))=0,"",INDEX(Effective!$E$3:$R$125,MATCH($B503,Effective!$A$3:$A$125,0),MATCH($D503,Effective!$E$2:$R$2,0))),"")</f>
        <v/>
      </c>
      <c r="H503" s="22" t="inlineStr">
        <is>
          <t>override</t>
        </is>
      </c>
      <c r="I503" s="23" t="n">
        <v>0.9399999999999999</v>
      </c>
      <c r="J503" s="24">
        <f>IF(AND(IF($H507&lt;&gt;"",$H507,$H503)="override",$I503&lt;&gt;""),$I503,SUMIFS(Assumptions!$K$4:$K$8,Assumptions!$J$4:$J$8,$C503))*Assumptions!$S$10</f>
        <v/>
      </c>
      <c r="K503" s="23" t="n"/>
      <c r="L503" s="25">
        <f>IF(AND(IF($H507&lt;&gt;"",$H507,$H503)="override",$K503&lt;&gt;""),$K503,SUMIFS(Assumptions!$P$4:$P$103,Assumptions!$M$4:$M$103,$C503,Assumptions!$N$4:$N$103,$E503,Assumptions!$O$4:$O$103,"LVN"))</f>
        <v/>
      </c>
      <c r="M503" s="23" t="n"/>
      <c r="N503" s="25">
        <f>IF(AND(IF($H507&lt;&gt;"",$H507,$H503)="override",$M503&lt;&gt;""),$M503,SUMIFS(Assumptions!$P$4:$P$103,Assumptions!$M$4:$M$103,$C503,Assumptions!$N$4:$N$103,$E503,Assumptions!$O$4:$O$103,"HVN"))</f>
        <v/>
      </c>
      <c r="O503" s="25">
        <f>(L503+N503)*Assumptions!$S$11</f>
        <v/>
      </c>
      <c r="P503" s="26">
        <f>$F503*$J503*$O503</f>
        <v/>
      </c>
    </row>
    <row r="504">
      <c r="A504" s="11" t="inlineStr">
        <is>
          <t>UNIT</t>
        </is>
      </c>
      <c r="B504" s="18" t="inlineStr">
        <is>
          <t>TOTAL_PORT_ARTHUR</t>
        </is>
      </c>
      <c r="C504" s="18" t="n">
        <v>3</v>
      </c>
      <c r="D504" s="18" t="inlineStr">
        <is>
          <t>ISOM</t>
        </is>
      </c>
      <c r="E504" s="18" t="inlineStr">
        <is>
          <t>ISOM</t>
        </is>
      </c>
      <c r="F504" s="19" t="n">
        <v>7.8</v>
      </c>
      <c r="G504" s="21">
        <f>IFERROR(IF(INDEX(Effective!$E$3:$R$125,MATCH($B504,Effective!$A$3:$A$125,0),MATCH($D504,Effective!$E$2:$R$2,0))=0,"",INDEX(Effective!$E$3:$R$125,MATCH($B504,Effective!$A$3:$A$125,0),MATCH($D504,Effective!$E$2:$R$2,0))),"")</f>
        <v/>
      </c>
      <c r="H504" s="22" t="inlineStr">
        <is>
          <t>override</t>
        </is>
      </c>
      <c r="I504" s="23" t="n">
        <v>0.85</v>
      </c>
      <c r="J504" s="24">
        <f>IF(AND(IF($H507&lt;&gt;"",$H507,$H504)="override",$I504&lt;&gt;""),$I504,SUMIFS(Assumptions!$K$4:$K$8,Assumptions!$J$4:$J$8,$C504))*Assumptions!$S$10</f>
        <v/>
      </c>
      <c r="K504" s="23" t="n"/>
      <c r="L504" s="25">
        <f>IF(AND(IF($H507&lt;&gt;"",$H507,$H504)="override",$K504&lt;&gt;""),$K504,SUMIFS(Assumptions!$P$4:$P$103,Assumptions!$M$4:$M$103,$C504,Assumptions!$N$4:$N$103,$E504,Assumptions!$O$4:$O$103,"LVN"))</f>
        <v/>
      </c>
      <c r="M504" s="23" t="n"/>
      <c r="N504" s="25">
        <f>IF(AND(IF($H507&lt;&gt;"",$H507,$H504)="override",$M504&lt;&gt;""),$M504,SUMIFS(Assumptions!$P$4:$P$103,Assumptions!$M$4:$M$103,$C504,Assumptions!$N$4:$N$103,$E504,Assumptions!$O$4:$O$103,"HVN"))</f>
        <v/>
      </c>
      <c r="O504" s="25">
        <f>(L504+N504)*Assumptions!$S$11</f>
        <v/>
      </c>
      <c r="P504" s="26">
        <f>$F504*$J504*$O504</f>
        <v/>
      </c>
    </row>
    <row r="505">
      <c r="A505" s="11" t="inlineStr">
        <is>
          <t>UNIT</t>
        </is>
      </c>
      <c r="B505" s="18" t="inlineStr">
        <is>
          <t>TOTAL_PORT_ARTHUR</t>
        </is>
      </c>
      <c r="C505" s="18" t="n">
        <v>3</v>
      </c>
      <c r="D505" s="18" t="inlineStr">
        <is>
          <t>ALKY</t>
        </is>
      </c>
      <c r="E505" s="18" t="inlineStr">
        <is>
          <t>ALKY</t>
        </is>
      </c>
      <c r="F505" s="19" t="n">
        <v>7.5</v>
      </c>
      <c r="G505" s="21">
        <f>IFERROR(IF(INDEX(Effective!$E$3:$R$125,MATCH($B505,Effective!$A$3:$A$125,0),MATCH($D505,Effective!$E$2:$R$2,0))=0,"",INDEX(Effective!$E$3:$R$125,MATCH($B505,Effective!$A$3:$A$125,0),MATCH($D505,Effective!$E$2:$R$2,0))),"")</f>
        <v/>
      </c>
      <c r="H505" s="22" t="inlineStr">
        <is>
          <t>override</t>
        </is>
      </c>
      <c r="I505" s="23" t="n">
        <v>1.1</v>
      </c>
      <c r="J505" s="24">
        <f>IF(AND(IF($H507&lt;&gt;"",$H507,$H505)="override",$I505&lt;&gt;""),$I505,SUMIFS(Assumptions!$K$4:$K$8,Assumptions!$J$4:$J$8,$C505))*Assumptions!$S$10</f>
        <v/>
      </c>
      <c r="K505" s="23" t="n"/>
      <c r="L505" s="25">
        <f>IF(AND(IF($H507&lt;&gt;"",$H507,$H505)="override",$K505&lt;&gt;""),$K505,SUMIFS(Assumptions!$P$4:$P$103,Assumptions!$M$4:$M$103,$C505,Assumptions!$N$4:$N$103,$E505,Assumptions!$O$4:$O$103,"LVN"))</f>
        <v/>
      </c>
      <c r="M505" s="23" t="n"/>
      <c r="N505" s="25">
        <f>IF(AND(IF($H507&lt;&gt;"",$H507,$H505)="override",$M505&lt;&gt;""),$M505,SUMIFS(Assumptions!$P$4:$P$103,Assumptions!$M$4:$M$103,$C505,Assumptions!$N$4:$N$103,$E505,Assumptions!$O$4:$O$103,"HVN"))</f>
        <v/>
      </c>
      <c r="O505" s="25">
        <f>(L505+N505)*Assumptions!$S$11</f>
        <v/>
      </c>
      <c r="P505" s="26">
        <f>$F505*$J505*$O505</f>
        <v/>
      </c>
    </row>
    <row r="506">
      <c r="A506" s="11" t="inlineStr">
        <is>
          <t>UNIT</t>
        </is>
      </c>
      <c r="B506" s="18" t="inlineStr">
        <is>
          <t>TOTAL_PORT_ARTHUR</t>
        </is>
      </c>
      <c r="C506" s="18" t="n">
        <v>3</v>
      </c>
      <c r="D506" s="18" t="inlineStr">
        <is>
          <t>NHT</t>
        </is>
      </c>
      <c r="E506" s="18" t="inlineStr">
        <is>
          <t>NHT</t>
        </is>
      </c>
      <c r="F506" s="19" t="n">
        <v>57.5</v>
      </c>
      <c r="G506" s="21">
        <f>IFERROR(IF(INDEX(Effective!$E$3:$R$125,MATCH($B506,Effective!$A$3:$A$125,0),MATCH($D506,Effective!$E$2:$R$2,0))=0,"",INDEX(Effective!$E$3:$R$125,MATCH($B506,Effective!$A$3:$A$125,0),MATCH($D506,Effective!$E$2:$R$2,0))),"")</f>
        <v/>
      </c>
      <c r="H506" s="22" t="inlineStr">
        <is>
          <t>override</t>
        </is>
      </c>
      <c r="I506" s="23" t="n">
        <v>0.8090000000000001</v>
      </c>
      <c r="J506" s="24">
        <f>IF(AND(IF($H507&lt;&gt;"",$H507,$H506)="override",$I506&lt;&gt;""),$I506,SUMIFS(Assumptions!$K$4:$K$8,Assumptions!$J$4:$J$8,$C506))*Assumptions!$S$10</f>
        <v/>
      </c>
      <c r="K506" s="23" t="n"/>
      <c r="L506" s="25">
        <f>IF(AND(IF($H507&lt;&gt;"",$H507,$H506)="override",$K506&lt;&gt;""),$K506,SUMIFS(Assumptions!$P$4:$P$103,Assumptions!$M$4:$M$103,$C506,Assumptions!$N$4:$N$103,$E506,Assumptions!$O$4:$O$103,"LVN"))</f>
        <v/>
      </c>
      <c r="M506" s="23" t="n"/>
      <c r="N506" s="25">
        <f>IF(AND(IF($H507&lt;&gt;"",$H507,$H506)="override",$M506&lt;&gt;""),$M506,SUMIFS(Assumptions!$P$4:$P$103,Assumptions!$M$4:$M$103,$C506,Assumptions!$N$4:$N$103,$E506,Assumptions!$O$4:$O$103,"HVN"))</f>
        <v/>
      </c>
      <c r="O506" s="25">
        <f>(L506+N506)*Assumptions!$S$11</f>
        <v/>
      </c>
      <c r="P506" s="26">
        <f>$F506*$J506*$O506</f>
        <v/>
      </c>
    </row>
    <row r="507">
      <c r="A507" s="27" t="inlineStr">
        <is>
          <t>TOTAL</t>
        </is>
      </c>
      <c r="B507" s="28" t="inlineStr">
        <is>
          <t>TOTAL_PORT_ARTHUR</t>
        </is>
      </c>
      <c r="C507" s="28" t="n">
        <v>3</v>
      </c>
      <c r="D507" s="28" t="inlineStr">
        <is>
          <t>NET NAPHTHA</t>
        </is>
      </c>
      <c r="H507" s="22" t="n"/>
      <c r="P507" s="29">
        <f>SUM(P499:P506)</f>
        <v/>
      </c>
    </row>
    <row r="509" ht="20" customHeight="1">
      <c r="A509" s="8">
        <f>"  Valero Saint Charles  [VALERO_SAINT_CHARLES]   —   Valero   —   PADD 3   —   crude "&amp;TEXT(SUMIFS(Data!$G$3:$G$125,Data!$A$3:$A$125,"VALERO_SAINT_CHARLES"),"#,##0")&amp;" kbd"</f>
        <v/>
      </c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</row>
    <row r="510">
      <c r="A510" s="11" t="inlineStr">
        <is>
          <t>UNIT</t>
        </is>
      </c>
      <c r="B510" s="18" t="inlineStr">
        <is>
          <t>VALERO_SAINT_CHARLES</t>
        </is>
      </c>
      <c r="C510" s="18" t="n">
        <v>3</v>
      </c>
      <c r="D510" s="18" t="inlineStr">
        <is>
          <t>CDU</t>
        </is>
      </c>
      <c r="E510" s="18" t="inlineStr">
        <is>
          <t>CDU</t>
        </is>
      </c>
      <c r="F510" s="19" t="n">
        <v>220</v>
      </c>
      <c r="G510" s="21">
        <f>IFERROR(IF(INDEX(Effective!$E$3:$R$125,MATCH($B510,Effective!$A$3:$A$125,0),MATCH($D510,Effective!$E$2:$R$2,0))=0,"",INDEX(Effective!$E$3:$R$125,MATCH($B510,Effective!$A$3:$A$125,0),MATCH($D510,Effective!$E$2:$R$2,0))),"")</f>
        <v/>
      </c>
      <c r="H510" s="22" t="inlineStr">
        <is>
          <t>override</t>
        </is>
      </c>
      <c r="I510" s="23" t="n">
        <v>0.539</v>
      </c>
      <c r="J510" s="24">
        <f>IF(AND(IF($H518&lt;&gt;"",$H518,$H510)="override",$I510&lt;&gt;""),$I510,SUMIFS(Assumptions!$K$4:$K$8,Assumptions!$J$4:$J$8,$C510))*Assumptions!$S$10</f>
        <v/>
      </c>
      <c r="K510" s="23" t="n"/>
      <c r="L510" s="25">
        <f>IF(AND(IF($H518&lt;&gt;"",$H518,$H510)="override",$K510&lt;&gt;""),$K510,SUMIFS(Assumptions!$P$4:$P$103,Assumptions!$M$4:$M$103,$C510,Assumptions!$N$4:$N$103,$E510,Assumptions!$O$4:$O$103,"LVN"))</f>
        <v/>
      </c>
      <c r="M510" s="23" t="n"/>
      <c r="N510" s="25">
        <f>IF(AND(IF($H518&lt;&gt;"",$H518,$H510)="override",$M510&lt;&gt;""),$M510,SUMIFS(Assumptions!$P$4:$P$103,Assumptions!$M$4:$M$103,$C510,Assumptions!$N$4:$N$103,$E510,Assumptions!$O$4:$O$103,"HVN"))</f>
        <v/>
      </c>
      <c r="O510" s="25">
        <f>(L510+N510)*Assumptions!$S$11</f>
        <v/>
      </c>
      <c r="P510" s="26">
        <f>$F510*$J510*$O510</f>
        <v/>
      </c>
    </row>
    <row r="511">
      <c r="A511" s="11" t="inlineStr">
        <is>
          <t>UNIT</t>
        </is>
      </c>
      <c r="B511" s="18" t="inlineStr">
        <is>
          <t>VALERO_SAINT_CHARLES</t>
        </is>
      </c>
      <c r="C511" s="18" t="n">
        <v>3</v>
      </c>
      <c r="D511" s="18" t="inlineStr">
        <is>
          <t>VDU</t>
        </is>
      </c>
      <c r="E511" s="18" t="inlineStr">
        <is>
          <t>VDU</t>
        </is>
      </c>
      <c r="F511" s="19" t="n">
        <v>180</v>
      </c>
      <c r="G511" s="21">
        <f>IFERROR(IF(INDEX(Effective!$E$3:$R$125,MATCH($B511,Effective!$A$3:$A$125,0),MATCH($D511,Effective!$E$2:$R$2,0))=0,"",INDEX(Effective!$E$3:$R$125,MATCH($B511,Effective!$A$3:$A$125,0),MATCH($D511,Effective!$E$2:$R$2,0))),"")</f>
        <v/>
      </c>
      <c r="H511" s="22" t="inlineStr">
        <is>
          <t>override</t>
        </is>
      </c>
      <c r="I511" s="23" t="n">
        <v>0.796</v>
      </c>
      <c r="J511" s="24">
        <f>IF(AND(IF($H518&lt;&gt;"",$H518,$H511)="override",$I511&lt;&gt;""),$I511,SUMIFS(Assumptions!$K$4:$K$8,Assumptions!$J$4:$J$8,$C511))*Assumptions!$S$10</f>
        <v/>
      </c>
      <c r="K511" s="23" t="n"/>
      <c r="L511" s="25">
        <f>IF(AND(IF($H518&lt;&gt;"",$H518,$H511)="override",$K511&lt;&gt;""),$K511,SUMIFS(Assumptions!$P$4:$P$103,Assumptions!$M$4:$M$103,$C511,Assumptions!$N$4:$N$103,$E511,Assumptions!$O$4:$O$103,"LVN"))</f>
        <v/>
      </c>
      <c r="M511" s="23" t="n"/>
      <c r="N511" s="25">
        <f>IF(AND(IF($H518&lt;&gt;"",$H518,$H511)="override",$M511&lt;&gt;""),$M511,SUMIFS(Assumptions!$P$4:$P$103,Assumptions!$M$4:$M$103,$C511,Assumptions!$N$4:$N$103,$E511,Assumptions!$O$4:$O$103,"HVN"))</f>
        <v/>
      </c>
      <c r="O511" s="25">
        <f>(L511+N511)*Assumptions!$S$11</f>
        <v/>
      </c>
      <c r="P511" s="26">
        <f>$F511*$J511*$O511</f>
        <v/>
      </c>
    </row>
    <row r="512">
      <c r="A512" s="11" t="inlineStr">
        <is>
          <t>UNIT</t>
        </is>
      </c>
      <c r="B512" s="18" t="inlineStr">
        <is>
          <t>VALERO_SAINT_CHARLES</t>
        </is>
      </c>
      <c r="C512" s="18" t="n">
        <v>3</v>
      </c>
      <c r="D512" s="18" t="inlineStr">
        <is>
          <t>FCC</t>
        </is>
      </c>
      <c r="E512" s="18" t="inlineStr">
        <is>
          <t>FCC</t>
        </is>
      </c>
      <c r="F512" s="19" t="n">
        <v>100</v>
      </c>
      <c r="G512" s="21">
        <f>IFERROR(IF(INDEX(Effective!$E$3:$R$125,MATCH($B512,Effective!$A$3:$A$125,0),MATCH($D512,Effective!$E$2:$R$2,0))=0,"",INDEX(Effective!$E$3:$R$125,MATCH($B512,Effective!$A$3:$A$125,0),MATCH($D512,Effective!$E$2:$R$2,0))),"")</f>
        <v/>
      </c>
      <c r="H512" s="22" t="inlineStr">
        <is>
          <t>override</t>
        </is>
      </c>
      <c r="I512" s="23" t="n">
        <v>0.696</v>
      </c>
      <c r="J512" s="24">
        <f>IF(AND(IF($H518&lt;&gt;"",$H518,$H512)="override",$I512&lt;&gt;""),$I512,SUMIFS(Assumptions!$K$4:$K$8,Assumptions!$J$4:$J$8,$C512))*Assumptions!$S$10</f>
        <v/>
      </c>
      <c r="K512" s="23" t="n"/>
      <c r="L512" s="25">
        <f>IF(AND(IF($H518&lt;&gt;"",$H518,$H512)="override",$K512&lt;&gt;""),$K512,SUMIFS(Assumptions!$P$4:$P$103,Assumptions!$M$4:$M$103,$C512,Assumptions!$N$4:$N$103,$E512,Assumptions!$O$4:$O$103,"LVN"))</f>
        <v/>
      </c>
      <c r="M512" s="23" t="n"/>
      <c r="N512" s="25">
        <f>IF(AND(IF($H518&lt;&gt;"",$H518,$H512)="override",$M512&lt;&gt;""),$M512,SUMIFS(Assumptions!$P$4:$P$103,Assumptions!$M$4:$M$103,$C512,Assumptions!$N$4:$N$103,$E512,Assumptions!$O$4:$O$103,"HVN"))</f>
        <v/>
      </c>
      <c r="O512" s="25">
        <f>(L512+N512)*Assumptions!$S$11</f>
        <v/>
      </c>
      <c r="P512" s="26">
        <f>$F512*$J512*$O512</f>
        <v/>
      </c>
    </row>
    <row r="513">
      <c r="A513" s="11" t="inlineStr">
        <is>
          <t>UNIT</t>
        </is>
      </c>
      <c r="B513" s="18" t="inlineStr">
        <is>
          <t>VALERO_SAINT_CHARLES</t>
        </is>
      </c>
      <c r="C513" s="18" t="n">
        <v>3</v>
      </c>
      <c r="D513" s="18" t="inlineStr">
        <is>
          <t>DHCU</t>
        </is>
      </c>
      <c r="E513" s="18" t="inlineStr">
        <is>
          <t>HYDROCRACKER</t>
        </is>
      </c>
      <c r="F513" s="19" t="n">
        <v>113</v>
      </c>
      <c r="G513" s="21">
        <f>IFERROR(IF(INDEX(Effective!$E$3:$R$125,MATCH($B513,Effective!$A$3:$A$125,0),MATCH($D513,Effective!$E$2:$R$2,0))=0,"",INDEX(Effective!$E$3:$R$125,MATCH($B513,Effective!$A$3:$A$125,0),MATCH($D513,Effective!$E$2:$R$2,0))),"")</f>
        <v/>
      </c>
      <c r="H513" s="22" t="inlineStr">
        <is>
          <t>override</t>
        </is>
      </c>
      <c r="I513" s="23" t="n">
        <v>0.699</v>
      </c>
      <c r="J513" s="24">
        <f>IF(AND(IF($H518&lt;&gt;"",$H518,$H513)="override",$I513&lt;&gt;""),$I513,SUMIFS(Assumptions!$K$4:$K$8,Assumptions!$J$4:$J$8,$C513))*Assumptions!$S$10</f>
        <v/>
      </c>
      <c r="K513" s="23" t="n"/>
      <c r="L513" s="25">
        <f>IF(AND(IF($H518&lt;&gt;"",$H518,$H513)="override",$K513&lt;&gt;""),$K513,SUMIFS(Assumptions!$P$4:$P$103,Assumptions!$M$4:$M$103,$C513,Assumptions!$N$4:$N$103,$E513,Assumptions!$O$4:$O$103,"LVN"))</f>
        <v/>
      </c>
      <c r="M513" s="23" t="n"/>
      <c r="N513" s="25">
        <f>IF(AND(IF($H518&lt;&gt;"",$H518,$H513)="override",$M513&lt;&gt;""),$M513,SUMIFS(Assumptions!$P$4:$P$103,Assumptions!$M$4:$M$103,$C513,Assumptions!$N$4:$N$103,$E513,Assumptions!$O$4:$O$103,"HVN"))</f>
        <v/>
      </c>
      <c r="O513" s="25">
        <f>(L513+N513)*Assumptions!$S$11</f>
        <v/>
      </c>
      <c r="P513" s="26">
        <f>$F513*$J513*$O513</f>
        <v/>
      </c>
    </row>
    <row r="514">
      <c r="A514" s="11" t="inlineStr">
        <is>
          <t>UNIT</t>
        </is>
      </c>
      <c r="B514" s="18" t="inlineStr">
        <is>
          <t>VALERO_SAINT_CHARLES</t>
        </is>
      </c>
      <c r="C514" s="18" t="n">
        <v>3</v>
      </c>
      <c r="D514" s="18" t="inlineStr">
        <is>
          <t>COKER</t>
        </is>
      </c>
      <c r="E514" s="18" t="inlineStr">
        <is>
          <t>COKER</t>
        </is>
      </c>
      <c r="F514" s="19" t="n">
        <v>86</v>
      </c>
      <c r="G514" s="21">
        <f>IFERROR(IF(INDEX(Effective!$E$3:$R$125,MATCH($B514,Effective!$A$3:$A$125,0),MATCH($D514,Effective!$E$2:$R$2,0))=0,"",INDEX(Effective!$E$3:$R$125,MATCH($B514,Effective!$A$3:$A$125,0),MATCH($D514,Effective!$E$2:$R$2,0))),"")</f>
        <v/>
      </c>
      <c r="H514" s="22" t="inlineStr">
        <is>
          <t>override</t>
        </is>
      </c>
      <c r="I514" s="23" t="n">
        <v>0.6820000000000001</v>
      </c>
      <c r="J514" s="24">
        <f>IF(AND(IF($H518&lt;&gt;"",$H518,$H514)="override",$I514&lt;&gt;""),$I514,SUMIFS(Assumptions!$K$4:$K$8,Assumptions!$J$4:$J$8,$C514))*Assumptions!$S$10</f>
        <v/>
      </c>
      <c r="K514" s="23" t="n"/>
      <c r="L514" s="25">
        <f>IF(AND(IF($H518&lt;&gt;"",$H518,$H514)="override",$K514&lt;&gt;""),$K514,SUMIFS(Assumptions!$P$4:$P$103,Assumptions!$M$4:$M$103,$C514,Assumptions!$N$4:$N$103,$E514,Assumptions!$O$4:$O$103,"LVN"))</f>
        <v/>
      </c>
      <c r="M514" s="23" t="n"/>
      <c r="N514" s="25">
        <f>IF(AND(IF($H518&lt;&gt;"",$H518,$H514)="override",$M514&lt;&gt;""),$M514,SUMIFS(Assumptions!$P$4:$P$103,Assumptions!$M$4:$M$103,$C514,Assumptions!$N$4:$N$103,$E514,Assumptions!$O$4:$O$103,"HVN"))</f>
        <v/>
      </c>
      <c r="O514" s="25">
        <f>(L514+N514)*Assumptions!$S$11</f>
        <v/>
      </c>
      <c r="P514" s="26">
        <f>$F514*$J514*$O514</f>
        <v/>
      </c>
    </row>
    <row r="515">
      <c r="A515" s="11" t="inlineStr">
        <is>
          <t>UNIT</t>
        </is>
      </c>
      <c r="B515" s="18" t="inlineStr">
        <is>
          <t>VALERO_SAINT_CHARLES</t>
        </is>
      </c>
      <c r="C515" s="18" t="n">
        <v>3</v>
      </c>
      <c r="D515" s="18" t="inlineStr">
        <is>
          <t>CCR</t>
        </is>
      </c>
      <c r="E515" s="18" t="inlineStr">
        <is>
          <t>REFORMER</t>
        </is>
      </c>
      <c r="F515" s="19" t="n">
        <v>25</v>
      </c>
      <c r="G515" s="21">
        <f>IFERROR(IF(INDEX(Effective!$E$3:$R$125,MATCH($B515,Effective!$A$3:$A$125,0),MATCH($D515,Effective!$E$2:$R$2,0))=0,"",INDEX(Effective!$E$3:$R$125,MATCH($B515,Effective!$A$3:$A$125,0),MATCH($D515,Effective!$E$2:$R$2,0))),"")</f>
        <v/>
      </c>
      <c r="H515" s="22" t="inlineStr">
        <is>
          <t>override</t>
        </is>
      </c>
      <c r="I515" s="23" t="n">
        <v>0.96</v>
      </c>
      <c r="J515" s="24">
        <f>IF(AND(IF($H518&lt;&gt;"",$H518,$H515)="override",$I515&lt;&gt;""),$I515,SUMIFS(Assumptions!$K$4:$K$8,Assumptions!$J$4:$J$8,$C515))*Assumptions!$S$10</f>
        <v/>
      </c>
      <c r="K515" s="23" t="n"/>
      <c r="L515" s="25">
        <f>IF(AND(IF($H518&lt;&gt;"",$H518,$H515)="override",$K515&lt;&gt;""),$K515,SUMIFS(Assumptions!$P$4:$P$103,Assumptions!$M$4:$M$103,$C515,Assumptions!$N$4:$N$103,$E515,Assumptions!$O$4:$O$103,"LVN"))</f>
        <v/>
      </c>
      <c r="M515" s="23" t="n"/>
      <c r="N515" s="25">
        <f>IF(AND(IF($H518&lt;&gt;"",$H518,$H515)="override",$M515&lt;&gt;""),$M515,SUMIFS(Assumptions!$P$4:$P$103,Assumptions!$M$4:$M$103,$C515,Assumptions!$N$4:$N$103,$E515,Assumptions!$O$4:$O$103,"HVN"))</f>
        <v/>
      </c>
      <c r="O515" s="25">
        <f>(L515+N515)*Assumptions!$S$11</f>
        <v/>
      </c>
      <c r="P515" s="26">
        <f>$F515*$J515*$O515</f>
        <v/>
      </c>
    </row>
    <row r="516">
      <c r="A516" s="11" t="inlineStr">
        <is>
          <t>UNIT</t>
        </is>
      </c>
      <c r="B516" s="18" t="inlineStr">
        <is>
          <t>VALERO_SAINT_CHARLES</t>
        </is>
      </c>
      <c r="C516" s="18" t="n">
        <v>3</v>
      </c>
      <c r="D516" s="18" t="inlineStr">
        <is>
          <t>ALKY</t>
        </is>
      </c>
      <c r="E516" s="18" t="inlineStr">
        <is>
          <t>ALKY</t>
        </is>
      </c>
      <c r="F516" s="19" t="n">
        <v>48</v>
      </c>
      <c r="G516" s="21">
        <f>IFERROR(IF(INDEX(Effective!$E$3:$R$125,MATCH($B516,Effective!$A$3:$A$125,0),MATCH($D516,Effective!$E$2:$R$2,0))=0,"",INDEX(Effective!$E$3:$R$125,MATCH($B516,Effective!$A$3:$A$125,0),MATCH($D516,Effective!$E$2:$R$2,0))),"")</f>
        <v/>
      </c>
      <c r="H516" s="22" t="inlineStr">
        <is>
          <t>override</t>
        </is>
      </c>
      <c r="I516" s="23" t="n">
        <v>0.418</v>
      </c>
      <c r="J516" s="24">
        <f>IF(AND(IF($H518&lt;&gt;"",$H518,$H516)="override",$I516&lt;&gt;""),$I516,SUMIFS(Assumptions!$K$4:$K$8,Assumptions!$J$4:$J$8,$C516))*Assumptions!$S$10</f>
        <v/>
      </c>
      <c r="K516" s="23" t="n"/>
      <c r="L516" s="25">
        <f>IF(AND(IF($H518&lt;&gt;"",$H518,$H516)="override",$K516&lt;&gt;""),$K516,SUMIFS(Assumptions!$P$4:$P$103,Assumptions!$M$4:$M$103,$C516,Assumptions!$N$4:$N$103,$E516,Assumptions!$O$4:$O$103,"LVN"))</f>
        <v/>
      </c>
      <c r="M516" s="23" t="n"/>
      <c r="N516" s="25">
        <f>IF(AND(IF($H518&lt;&gt;"",$H518,$H516)="override",$M516&lt;&gt;""),$M516,SUMIFS(Assumptions!$P$4:$P$103,Assumptions!$M$4:$M$103,$C516,Assumptions!$N$4:$N$103,$E516,Assumptions!$O$4:$O$103,"HVN"))</f>
        <v/>
      </c>
      <c r="O516" s="25">
        <f>(L516+N516)*Assumptions!$S$11</f>
        <v/>
      </c>
      <c r="P516" s="26">
        <f>$F516*$J516*$O516</f>
        <v/>
      </c>
    </row>
    <row r="517">
      <c r="A517" s="11" t="inlineStr">
        <is>
          <t>UNIT</t>
        </is>
      </c>
      <c r="B517" s="18" t="inlineStr">
        <is>
          <t>VALERO_SAINT_CHARLES</t>
        </is>
      </c>
      <c r="C517" s="18" t="n">
        <v>3</v>
      </c>
      <c r="D517" s="18" t="inlineStr">
        <is>
          <t>NHT</t>
        </is>
      </c>
      <c r="E517" s="18" t="inlineStr">
        <is>
          <t>NHT</t>
        </is>
      </c>
      <c r="F517" s="19" t="n">
        <v>45</v>
      </c>
      <c r="G517" s="21">
        <f>IFERROR(IF(INDEX(Effective!$E$3:$R$125,MATCH($B517,Effective!$A$3:$A$125,0),MATCH($D517,Effective!$E$2:$R$2,0))=0,"",INDEX(Effective!$E$3:$R$125,MATCH($B517,Effective!$A$3:$A$125,0),MATCH($D517,Effective!$E$2:$R$2,0))),"")</f>
        <v/>
      </c>
      <c r="H517" s="22" t="inlineStr">
        <is>
          <t>override</t>
        </is>
      </c>
      <c r="I517" s="23" t="n">
        <v>0.806</v>
      </c>
      <c r="J517" s="24">
        <f>IF(AND(IF($H518&lt;&gt;"",$H518,$H517)="override",$I517&lt;&gt;""),$I517,SUMIFS(Assumptions!$K$4:$K$8,Assumptions!$J$4:$J$8,$C517))*Assumptions!$S$10</f>
        <v/>
      </c>
      <c r="K517" s="23" t="n"/>
      <c r="L517" s="25">
        <f>IF(AND(IF($H518&lt;&gt;"",$H518,$H517)="override",$K517&lt;&gt;""),$K517,SUMIFS(Assumptions!$P$4:$P$103,Assumptions!$M$4:$M$103,$C517,Assumptions!$N$4:$N$103,$E517,Assumptions!$O$4:$O$103,"LVN"))</f>
        <v/>
      </c>
      <c r="M517" s="23" t="n"/>
      <c r="N517" s="25">
        <f>IF(AND(IF($H518&lt;&gt;"",$H518,$H517)="override",$M517&lt;&gt;""),$M517,SUMIFS(Assumptions!$P$4:$P$103,Assumptions!$M$4:$M$103,$C517,Assumptions!$N$4:$N$103,$E517,Assumptions!$O$4:$O$103,"HVN"))</f>
        <v/>
      </c>
      <c r="O517" s="25">
        <f>(L517+N517)*Assumptions!$S$11</f>
        <v/>
      </c>
      <c r="P517" s="26">
        <f>$F517*$J517*$O517</f>
        <v/>
      </c>
    </row>
    <row r="518">
      <c r="A518" s="27" t="inlineStr">
        <is>
          <t>TOTAL</t>
        </is>
      </c>
      <c r="B518" s="28" t="inlineStr">
        <is>
          <t>VALERO_SAINT_CHARLES</t>
        </is>
      </c>
      <c r="C518" s="28" t="n">
        <v>3</v>
      </c>
      <c r="D518" s="28" t="inlineStr">
        <is>
          <t>NET NAPHTHA</t>
        </is>
      </c>
      <c r="H518" s="22" t="n"/>
      <c r="P518" s="29">
        <f>SUM(P510:P517)</f>
        <v/>
      </c>
    </row>
    <row r="520" ht="20" customHeight="1">
      <c r="A520" s="8">
        <f>"  Valero Houston  [VALERO_HOUSTON]   —   Valero   —   PADD 3   —   crude "&amp;TEXT(SUMIFS(Data!$G$3:$G$125,Data!$A$3:$A$125,"VALERO_HOUSTON"),"#,##0")&amp;" kbd"</f>
        <v/>
      </c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</row>
    <row r="521">
      <c r="A521" s="11" t="inlineStr">
        <is>
          <t>UNIT</t>
        </is>
      </c>
      <c r="B521" s="18" t="inlineStr">
        <is>
          <t>VALERO_HOUSTON</t>
        </is>
      </c>
      <c r="C521" s="18" t="n">
        <v>3</v>
      </c>
      <c r="D521" s="18" t="inlineStr">
        <is>
          <t>CDU</t>
        </is>
      </c>
      <c r="E521" s="18" t="inlineStr">
        <is>
          <t>CDU</t>
        </is>
      </c>
      <c r="F521" s="19" t="n">
        <v>210</v>
      </c>
      <c r="G521" s="21">
        <f>IFERROR(IF(INDEX(Effective!$E$3:$R$125,MATCH($B521,Effective!$A$3:$A$125,0),MATCH($D521,Effective!$E$2:$R$2,0))=0,"",INDEX(Effective!$E$3:$R$125,MATCH($B521,Effective!$A$3:$A$125,0),MATCH($D521,Effective!$E$2:$R$2,0))),"")</f>
        <v/>
      </c>
      <c r="H521" s="22" t="inlineStr">
        <is>
          <t>override</t>
        </is>
      </c>
      <c r="I521" s="23" t="n">
        <v>1</v>
      </c>
      <c r="J521" s="24">
        <f>IF(AND(IF($H527&lt;&gt;"",$H527,$H521)="override",$I521&lt;&gt;""),$I521,SUMIFS(Assumptions!$K$4:$K$8,Assumptions!$J$4:$J$8,$C521))*Assumptions!$S$10</f>
        <v/>
      </c>
      <c r="K521" s="23" t="n"/>
      <c r="L521" s="25">
        <f>IF(AND(IF($H527&lt;&gt;"",$H527,$H521)="override",$K521&lt;&gt;""),$K521,SUMIFS(Assumptions!$P$4:$P$103,Assumptions!$M$4:$M$103,$C521,Assumptions!$N$4:$N$103,$E521,Assumptions!$O$4:$O$103,"LVN"))</f>
        <v/>
      </c>
      <c r="M521" s="23" t="n"/>
      <c r="N521" s="25">
        <f>IF(AND(IF($H527&lt;&gt;"",$H527,$H521)="override",$M521&lt;&gt;""),$M521,SUMIFS(Assumptions!$P$4:$P$103,Assumptions!$M$4:$M$103,$C521,Assumptions!$N$4:$N$103,$E521,Assumptions!$O$4:$O$103,"HVN"))</f>
        <v/>
      </c>
      <c r="O521" s="25">
        <f>(L521+N521)*Assumptions!$S$11</f>
        <v/>
      </c>
      <c r="P521" s="26">
        <f>$F521*$J521*$O521</f>
        <v/>
      </c>
    </row>
    <row r="522">
      <c r="A522" s="11" t="inlineStr">
        <is>
          <t>UNIT</t>
        </is>
      </c>
      <c r="B522" s="18" t="inlineStr">
        <is>
          <t>VALERO_HOUSTON</t>
        </is>
      </c>
      <c r="C522" s="18" t="n">
        <v>3</v>
      </c>
      <c r="D522" s="18" t="inlineStr">
        <is>
          <t>VDU</t>
        </is>
      </c>
      <c r="E522" s="18" t="inlineStr">
        <is>
          <t>VDU</t>
        </is>
      </c>
      <c r="F522" s="19" t="n">
        <v>38</v>
      </c>
      <c r="G522" s="21">
        <f>IFERROR(IF(INDEX(Effective!$E$3:$R$125,MATCH($B522,Effective!$A$3:$A$125,0),MATCH($D522,Effective!$E$2:$R$2,0))=0,"",INDEX(Effective!$E$3:$R$125,MATCH($B522,Effective!$A$3:$A$125,0),MATCH($D522,Effective!$E$2:$R$2,0))),"")</f>
        <v/>
      </c>
      <c r="H522" s="22" t="inlineStr">
        <is>
          <t>override</t>
        </is>
      </c>
      <c r="I522" s="23" t="n">
        <v>1.1</v>
      </c>
      <c r="J522" s="24">
        <f>IF(AND(IF($H527&lt;&gt;"",$H527,$H522)="override",$I522&lt;&gt;""),$I522,SUMIFS(Assumptions!$K$4:$K$8,Assumptions!$J$4:$J$8,$C522))*Assumptions!$S$10</f>
        <v/>
      </c>
      <c r="K522" s="23" t="n"/>
      <c r="L522" s="25">
        <f>IF(AND(IF($H527&lt;&gt;"",$H527,$H522)="override",$K522&lt;&gt;""),$K522,SUMIFS(Assumptions!$P$4:$P$103,Assumptions!$M$4:$M$103,$C522,Assumptions!$N$4:$N$103,$E522,Assumptions!$O$4:$O$103,"LVN"))</f>
        <v/>
      </c>
      <c r="M522" s="23" t="n"/>
      <c r="N522" s="25">
        <f>IF(AND(IF($H527&lt;&gt;"",$H527,$H522)="override",$M522&lt;&gt;""),$M522,SUMIFS(Assumptions!$P$4:$P$103,Assumptions!$M$4:$M$103,$C522,Assumptions!$N$4:$N$103,$E522,Assumptions!$O$4:$O$103,"HVN"))</f>
        <v/>
      </c>
      <c r="O522" s="25">
        <f>(L522+N522)*Assumptions!$S$11</f>
        <v/>
      </c>
      <c r="P522" s="26">
        <f>$F522*$J522*$O522</f>
        <v/>
      </c>
    </row>
    <row r="523">
      <c r="A523" s="11" t="inlineStr">
        <is>
          <t>UNIT</t>
        </is>
      </c>
      <c r="B523" s="18" t="inlineStr">
        <is>
          <t>VALERO_HOUSTON</t>
        </is>
      </c>
      <c r="C523" s="18" t="n">
        <v>3</v>
      </c>
      <c r="D523" s="18" t="inlineStr">
        <is>
          <t>FCC</t>
        </is>
      </c>
      <c r="E523" s="18" t="inlineStr">
        <is>
          <t>FCC</t>
        </is>
      </c>
      <c r="F523" s="19" t="n">
        <v>75.2</v>
      </c>
      <c r="G523" s="21">
        <f>IFERROR(IF(INDEX(Effective!$E$3:$R$125,MATCH($B523,Effective!$A$3:$A$125,0),MATCH($D523,Effective!$E$2:$R$2,0))=0,"",INDEX(Effective!$E$3:$R$125,MATCH($B523,Effective!$A$3:$A$125,0),MATCH($D523,Effective!$E$2:$R$2,0))),"")</f>
        <v/>
      </c>
      <c r="H523" s="22" t="inlineStr">
        <is>
          <t>override</t>
        </is>
      </c>
      <c r="I523" s="23" t="n">
        <v>0.722</v>
      </c>
      <c r="J523" s="24">
        <f>IF(AND(IF($H527&lt;&gt;"",$H527,$H523)="override",$I523&lt;&gt;""),$I523,SUMIFS(Assumptions!$K$4:$K$8,Assumptions!$J$4:$J$8,$C523))*Assumptions!$S$10</f>
        <v/>
      </c>
      <c r="K523" s="23" t="n"/>
      <c r="L523" s="25">
        <f>IF(AND(IF($H527&lt;&gt;"",$H527,$H523)="override",$K523&lt;&gt;""),$K523,SUMIFS(Assumptions!$P$4:$P$103,Assumptions!$M$4:$M$103,$C523,Assumptions!$N$4:$N$103,$E523,Assumptions!$O$4:$O$103,"LVN"))</f>
        <v/>
      </c>
      <c r="M523" s="23" t="n"/>
      <c r="N523" s="25">
        <f>IF(AND(IF($H527&lt;&gt;"",$H527,$H523)="override",$M523&lt;&gt;""),$M523,SUMIFS(Assumptions!$P$4:$P$103,Assumptions!$M$4:$M$103,$C523,Assumptions!$N$4:$N$103,$E523,Assumptions!$O$4:$O$103,"HVN"))</f>
        <v/>
      </c>
      <c r="O523" s="25">
        <f>(L523+N523)*Assumptions!$S$11</f>
        <v/>
      </c>
      <c r="P523" s="26">
        <f>$F523*$J523*$O523</f>
        <v/>
      </c>
    </row>
    <row r="524">
      <c r="A524" s="11" t="inlineStr">
        <is>
          <t>UNIT</t>
        </is>
      </c>
      <c r="B524" s="18" t="inlineStr">
        <is>
          <t>VALERO_HOUSTON</t>
        </is>
      </c>
      <c r="C524" s="18" t="n">
        <v>3</v>
      </c>
      <c r="D524" s="18" t="inlineStr">
        <is>
          <t>DHCU</t>
        </is>
      </c>
      <c r="E524" s="18" t="inlineStr">
        <is>
          <t>HYDROCRACKER</t>
        </is>
      </c>
      <c r="F524" s="19" t="n">
        <v>71.90000000000001</v>
      </c>
      <c r="G524" s="21">
        <f>IFERROR(IF(INDEX(Effective!$E$3:$R$125,MATCH($B524,Effective!$A$3:$A$125,0),MATCH($D524,Effective!$E$2:$R$2,0))=0,"",INDEX(Effective!$E$3:$R$125,MATCH($B524,Effective!$A$3:$A$125,0),MATCH($D524,Effective!$E$2:$R$2,0))),"")</f>
        <v/>
      </c>
      <c r="H524" s="22" t="inlineStr">
        <is>
          <t>override</t>
        </is>
      </c>
      <c r="I524" s="23" t="n">
        <v>0.432</v>
      </c>
      <c r="J524" s="24">
        <f>IF(AND(IF($H527&lt;&gt;"",$H527,$H524)="override",$I524&lt;&gt;""),$I524,SUMIFS(Assumptions!$K$4:$K$8,Assumptions!$J$4:$J$8,$C524))*Assumptions!$S$10</f>
        <v/>
      </c>
      <c r="K524" s="23" t="n"/>
      <c r="L524" s="25">
        <f>IF(AND(IF($H527&lt;&gt;"",$H527,$H524)="override",$K524&lt;&gt;""),$K524,SUMIFS(Assumptions!$P$4:$P$103,Assumptions!$M$4:$M$103,$C524,Assumptions!$N$4:$N$103,$E524,Assumptions!$O$4:$O$103,"LVN"))</f>
        <v/>
      </c>
      <c r="M524" s="23" t="n"/>
      <c r="N524" s="25">
        <f>IF(AND(IF($H527&lt;&gt;"",$H527,$H524)="override",$M524&lt;&gt;""),$M524,SUMIFS(Assumptions!$P$4:$P$103,Assumptions!$M$4:$M$103,$C524,Assumptions!$N$4:$N$103,$E524,Assumptions!$O$4:$O$103,"HVN"))</f>
        <v/>
      </c>
      <c r="O524" s="25">
        <f>(L524+N524)*Assumptions!$S$11</f>
        <v/>
      </c>
      <c r="P524" s="26">
        <f>$F524*$J524*$O524</f>
        <v/>
      </c>
    </row>
    <row r="525">
      <c r="A525" s="11" t="inlineStr">
        <is>
          <t>UNIT</t>
        </is>
      </c>
      <c r="B525" s="18" t="inlineStr">
        <is>
          <t>VALERO_HOUSTON</t>
        </is>
      </c>
      <c r="C525" s="18" t="n">
        <v>3</v>
      </c>
      <c r="D525" s="18" t="inlineStr">
        <is>
          <t>ALKY</t>
        </is>
      </c>
      <c r="E525" s="18" t="inlineStr">
        <is>
          <t>ALKY</t>
        </is>
      </c>
      <c r="F525" s="19" t="n">
        <v>28.9</v>
      </c>
      <c r="G525" s="21">
        <f>IFERROR(IF(INDEX(Effective!$E$3:$R$125,MATCH($B525,Effective!$A$3:$A$125,0),MATCH($D525,Effective!$E$2:$R$2,0))=0,"",INDEX(Effective!$E$3:$R$125,MATCH($B525,Effective!$A$3:$A$125,0),MATCH($D525,Effective!$E$2:$R$2,0))),"")</f>
        <v/>
      </c>
      <c r="H525" s="22" t="inlineStr">
        <is>
          <t>override</t>
        </is>
      </c>
      <c r="I525" s="23" t="n">
        <v>1.1</v>
      </c>
      <c r="J525" s="24">
        <f>IF(AND(IF($H527&lt;&gt;"",$H527,$H525)="override",$I525&lt;&gt;""),$I525,SUMIFS(Assumptions!$K$4:$K$8,Assumptions!$J$4:$J$8,$C525))*Assumptions!$S$10</f>
        <v/>
      </c>
      <c r="K525" s="23" t="n"/>
      <c r="L525" s="25">
        <f>IF(AND(IF($H527&lt;&gt;"",$H527,$H525)="override",$K525&lt;&gt;""),$K525,SUMIFS(Assumptions!$P$4:$P$103,Assumptions!$M$4:$M$103,$C525,Assumptions!$N$4:$N$103,$E525,Assumptions!$O$4:$O$103,"LVN"))</f>
        <v/>
      </c>
      <c r="M525" s="23" t="n"/>
      <c r="N525" s="25">
        <f>IF(AND(IF($H527&lt;&gt;"",$H527,$H525)="override",$M525&lt;&gt;""),$M525,SUMIFS(Assumptions!$P$4:$P$103,Assumptions!$M$4:$M$103,$C525,Assumptions!$N$4:$N$103,$E525,Assumptions!$O$4:$O$103,"HVN"))</f>
        <v/>
      </c>
      <c r="O525" s="25">
        <f>(L525+N525)*Assumptions!$S$11</f>
        <v/>
      </c>
      <c r="P525" s="26">
        <f>$F525*$J525*$O525</f>
        <v/>
      </c>
    </row>
    <row r="526">
      <c r="A526" s="11" t="inlineStr">
        <is>
          <t>UNIT</t>
        </is>
      </c>
      <c r="B526" s="18" t="inlineStr">
        <is>
          <t>VALERO_HOUSTON</t>
        </is>
      </c>
      <c r="C526" s="18" t="n">
        <v>3</v>
      </c>
      <c r="D526" s="18" t="inlineStr">
        <is>
          <t>NHT</t>
        </is>
      </c>
      <c r="E526" s="18" t="inlineStr">
        <is>
          <t>NHT</t>
        </is>
      </c>
      <c r="F526" s="19" t="n">
        <v>9</v>
      </c>
      <c r="G526" s="21">
        <f>IFERROR(IF(INDEX(Effective!$E$3:$R$125,MATCH($B526,Effective!$A$3:$A$125,0),MATCH($D526,Effective!$E$2:$R$2,0))=0,"",INDEX(Effective!$E$3:$R$125,MATCH($B526,Effective!$A$3:$A$125,0),MATCH($D526,Effective!$E$2:$R$2,0))),"")</f>
        <v/>
      </c>
      <c r="H526" s="22" t="inlineStr">
        <is>
          <t>override</t>
        </is>
      </c>
      <c r="I526" s="23" t="n">
        <v>1</v>
      </c>
      <c r="J526" s="24">
        <f>IF(AND(IF($H527&lt;&gt;"",$H527,$H526)="override",$I526&lt;&gt;""),$I526,SUMIFS(Assumptions!$K$4:$K$8,Assumptions!$J$4:$J$8,$C526))*Assumptions!$S$10</f>
        <v/>
      </c>
      <c r="K526" s="23" t="n"/>
      <c r="L526" s="25">
        <f>IF(AND(IF($H527&lt;&gt;"",$H527,$H526)="override",$K526&lt;&gt;""),$K526,SUMIFS(Assumptions!$P$4:$P$103,Assumptions!$M$4:$M$103,$C526,Assumptions!$N$4:$N$103,$E526,Assumptions!$O$4:$O$103,"LVN"))</f>
        <v/>
      </c>
      <c r="M526" s="23" t="n"/>
      <c r="N526" s="25">
        <f>IF(AND(IF($H527&lt;&gt;"",$H527,$H526)="override",$M526&lt;&gt;""),$M526,SUMIFS(Assumptions!$P$4:$P$103,Assumptions!$M$4:$M$103,$C526,Assumptions!$N$4:$N$103,$E526,Assumptions!$O$4:$O$103,"HVN"))</f>
        <v/>
      </c>
      <c r="O526" s="25">
        <f>(L526+N526)*Assumptions!$S$11</f>
        <v/>
      </c>
      <c r="P526" s="26">
        <f>$F526*$J526*$O526</f>
        <v/>
      </c>
    </row>
    <row r="527">
      <c r="A527" s="27" t="inlineStr">
        <is>
          <t>TOTAL</t>
        </is>
      </c>
      <c r="B527" s="28" t="inlineStr">
        <is>
          <t>VALERO_HOUSTON</t>
        </is>
      </c>
      <c r="C527" s="28" t="n">
        <v>3</v>
      </c>
      <c r="D527" s="28" t="inlineStr">
        <is>
          <t>NET NAPHTHA</t>
        </is>
      </c>
      <c r="H527" s="22" t="n"/>
      <c r="P527" s="29">
        <f>SUM(P521:P526)</f>
        <v/>
      </c>
    </row>
    <row r="529" ht="20" customHeight="1">
      <c r="A529" s="8">
        <f>"  Valero Sunray  [VALERO_SUNRAY]   —   Valero   —   PADD 3   —   crude "&amp;TEXT(SUMIFS(Data!$G$3:$G$125,Data!$A$3:$A$125,"VALERO_SUNRAY"),"#,##0")&amp;" kbd"</f>
        <v/>
      </c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</row>
    <row r="530">
      <c r="A530" s="11" t="inlineStr">
        <is>
          <t>UNIT</t>
        </is>
      </c>
      <c r="B530" s="18" t="inlineStr">
        <is>
          <t>VALERO_SUNRAY</t>
        </is>
      </c>
      <c r="C530" s="18" t="n">
        <v>3</v>
      </c>
      <c r="D530" s="18" t="inlineStr">
        <is>
          <t>CDU</t>
        </is>
      </c>
      <c r="E530" s="18" t="inlineStr">
        <is>
          <t>CDU</t>
        </is>
      </c>
      <c r="F530" s="19" t="n">
        <v>200</v>
      </c>
      <c r="G530" s="21">
        <f>IFERROR(IF(INDEX(Effective!$E$3:$R$125,MATCH($B530,Effective!$A$3:$A$125,0),MATCH($D530,Effective!$E$2:$R$2,0))=0,"",INDEX(Effective!$E$3:$R$125,MATCH($B530,Effective!$A$3:$A$125,0),MATCH($D530,Effective!$E$2:$R$2,0))),"")</f>
        <v/>
      </c>
      <c r="H530" s="22" t="inlineStr">
        <is>
          <t>override</t>
        </is>
      </c>
      <c r="I530" s="23" t="n">
        <v>0.756</v>
      </c>
      <c r="J530" s="24">
        <f>IF(AND(IF($H538&lt;&gt;"",$H538,$H530)="override",$I530&lt;&gt;""),$I530,SUMIFS(Assumptions!$K$4:$K$8,Assumptions!$J$4:$J$8,$C530))*Assumptions!$S$10</f>
        <v/>
      </c>
      <c r="K530" s="23" t="n"/>
      <c r="L530" s="25">
        <f>IF(AND(IF($H538&lt;&gt;"",$H538,$H530)="override",$K530&lt;&gt;""),$K530,SUMIFS(Assumptions!$P$4:$P$103,Assumptions!$M$4:$M$103,$C530,Assumptions!$N$4:$N$103,$E530,Assumptions!$O$4:$O$103,"LVN"))</f>
        <v/>
      </c>
      <c r="M530" s="23" t="n"/>
      <c r="N530" s="25">
        <f>IF(AND(IF($H538&lt;&gt;"",$H538,$H530)="override",$M530&lt;&gt;""),$M530,SUMIFS(Assumptions!$P$4:$P$103,Assumptions!$M$4:$M$103,$C530,Assumptions!$N$4:$N$103,$E530,Assumptions!$O$4:$O$103,"HVN"))</f>
        <v/>
      </c>
      <c r="O530" s="25">
        <f>(L530+N530)*Assumptions!$S$11</f>
        <v/>
      </c>
      <c r="P530" s="26">
        <f>$F530*$J530*$O530</f>
        <v/>
      </c>
    </row>
    <row r="531">
      <c r="A531" s="11" t="inlineStr">
        <is>
          <t>UNIT</t>
        </is>
      </c>
      <c r="B531" s="18" t="inlineStr">
        <is>
          <t>VALERO_SUNRAY</t>
        </is>
      </c>
      <c r="C531" s="18" t="n">
        <v>3</v>
      </c>
      <c r="D531" s="18" t="inlineStr">
        <is>
          <t>VDU</t>
        </is>
      </c>
      <c r="E531" s="18" t="inlineStr">
        <is>
          <t>VDU</t>
        </is>
      </c>
      <c r="F531" s="19" t="n">
        <v>50</v>
      </c>
      <c r="G531" s="21">
        <f>IFERROR(IF(INDEX(Effective!$E$3:$R$125,MATCH($B531,Effective!$A$3:$A$125,0),MATCH($D531,Effective!$E$2:$R$2,0))=0,"",INDEX(Effective!$E$3:$R$125,MATCH($B531,Effective!$A$3:$A$125,0),MATCH($D531,Effective!$E$2:$R$2,0))),"")</f>
        <v/>
      </c>
      <c r="H531" s="22" t="inlineStr">
        <is>
          <t>override</t>
        </is>
      </c>
      <c r="I531" s="23" t="n">
        <v>0.908</v>
      </c>
      <c r="J531" s="24">
        <f>IF(AND(IF($H538&lt;&gt;"",$H538,$H531)="override",$I531&lt;&gt;""),$I531,SUMIFS(Assumptions!$K$4:$K$8,Assumptions!$J$4:$J$8,$C531))*Assumptions!$S$10</f>
        <v/>
      </c>
      <c r="K531" s="23" t="n"/>
      <c r="L531" s="25">
        <f>IF(AND(IF($H538&lt;&gt;"",$H538,$H531)="override",$K531&lt;&gt;""),$K531,SUMIFS(Assumptions!$P$4:$P$103,Assumptions!$M$4:$M$103,$C531,Assumptions!$N$4:$N$103,$E531,Assumptions!$O$4:$O$103,"LVN"))</f>
        <v/>
      </c>
      <c r="M531" s="23" t="n"/>
      <c r="N531" s="25">
        <f>IF(AND(IF($H538&lt;&gt;"",$H538,$H531)="override",$M531&lt;&gt;""),$M531,SUMIFS(Assumptions!$P$4:$P$103,Assumptions!$M$4:$M$103,$C531,Assumptions!$N$4:$N$103,$E531,Assumptions!$O$4:$O$103,"HVN"))</f>
        <v/>
      </c>
      <c r="O531" s="25">
        <f>(L531+N531)*Assumptions!$S$11</f>
        <v/>
      </c>
      <c r="P531" s="26">
        <f>$F531*$J531*$O531</f>
        <v/>
      </c>
    </row>
    <row r="532">
      <c r="A532" s="11" t="inlineStr">
        <is>
          <t>UNIT</t>
        </is>
      </c>
      <c r="B532" s="18" t="inlineStr">
        <is>
          <t>VALERO_SUNRAY</t>
        </is>
      </c>
      <c r="C532" s="18" t="n">
        <v>3</v>
      </c>
      <c r="D532" s="18" t="inlineStr">
        <is>
          <t>FCC</t>
        </is>
      </c>
      <c r="E532" s="18" t="inlineStr">
        <is>
          <t>FCC</t>
        </is>
      </c>
      <c r="F532" s="19" t="n">
        <v>56</v>
      </c>
      <c r="G532" s="21">
        <f>IFERROR(IF(INDEX(Effective!$E$3:$R$125,MATCH($B532,Effective!$A$3:$A$125,0),MATCH($D532,Effective!$E$2:$R$2,0))=0,"",INDEX(Effective!$E$3:$R$125,MATCH($B532,Effective!$A$3:$A$125,0),MATCH($D532,Effective!$E$2:$R$2,0))),"")</f>
        <v/>
      </c>
      <c r="H532" s="22" t="inlineStr">
        <is>
          <t>override</t>
        </is>
      </c>
      <c r="I532" s="23" t="n">
        <v>0.616</v>
      </c>
      <c r="J532" s="24">
        <f>IF(AND(IF($H538&lt;&gt;"",$H538,$H532)="override",$I532&lt;&gt;""),$I532,SUMIFS(Assumptions!$K$4:$K$8,Assumptions!$J$4:$J$8,$C532))*Assumptions!$S$10</f>
        <v/>
      </c>
      <c r="K532" s="23" t="n"/>
      <c r="L532" s="25">
        <f>IF(AND(IF($H538&lt;&gt;"",$H538,$H532)="override",$K532&lt;&gt;""),$K532,SUMIFS(Assumptions!$P$4:$P$103,Assumptions!$M$4:$M$103,$C532,Assumptions!$N$4:$N$103,$E532,Assumptions!$O$4:$O$103,"LVN"))</f>
        <v/>
      </c>
      <c r="M532" s="23" t="n"/>
      <c r="N532" s="25">
        <f>IF(AND(IF($H538&lt;&gt;"",$H538,$H532)="override",$M532&lt;&gt;""),$M532,SUMIFS(Assumptions!$P$4:$P$103,Assumptions!$M$4:$M$103,$C532,Assumptions!$N$4:$N$103,$E532,Assumptions!$O$4:$O$103,"HVN"))</f>
        <v/>
      </c>
      <c r="O532" s="25">
        <f>(L532+N532)*Assumptions!$S$11</f>
        <v/>
      </c>
      <c r="P532" s="26">
        <f>$F532*$J532*$O532</f>
        <v/>
      </c>
    </row>
    <row r="533">
      <c r="A533" s="11" t="inlineStr">
        <is>
          <t>UNIT</t>
        </is>
      </c>
      <c r="B533" s="18" t="inlineStr">
        <is>
          <t>VALERO_SUNRAY</t>
        </is>
      </c>
      <c r="C533" s="18" t="n">
        <v>3</v>
      </c>
      <c r="D533" s="18" t="inlineStr">
        <is>
          <t>DHCU</t>
        </is>
      </c>
      <c r="E533" s="18" t="inlineStr">
        <is>
          <t>HYDROCRACKER</t>
        </is>
      </c>
      <c r="F533" s="19" t="n">
        <v>29</v>
      </c>
      <c r="G533" s="21">
        <f>IFERROR(IF(INDEX(Effective!$E$3:$R$125,MATCH($B533,Effective!$A$3:$A$125,0),MATCH($D533,Effective!$E$2:$R$2,0))=0,"",INDEX(Effective!$E$3:$R$125,MATCH($B533,Effective!$A$3:$A$125,0),MATCH($D533,Effective!$E$2:$R$2,0))),"")</f>
        <v/>
      </c>
      <c r="H533" s="22" t="inlineStr">
        <is>
          <t>override</t>
        </is>
      </c>
      <c r="I533" s="23" t="n">
        <v>0.448</v>
      </c>
      <c r="J533" s="24">
        <f>IF(AND(IF($H538&lt;&gt;"",$H538,$H533)="override",$I533&lt;&gt;""),$I533,SUMIFS(Assumptions!$K$4:$K$8,Assumptions!$J$4:$J$8,$C533))*Assumptions!$S$10</f>
        <v/>
      </c>
      <c r="K533" s="23" t="n"/>
      <c r="L533" s="25">
        <f>IF(AND(IF($H538&lt;&gt;"",$H538,$H533)="override",$K533&lt;&gt;""),$K533,SUMIFS(Assumptions!$P$4:$P$103,Assumptions!$M$4:$M$103,$C533,Assumptions!$N$4:$N$103,$E533,Assumptions!$O$4:$O$103,"LVN"))</f>
        <v/>
      </c>
      <c r="M533" s="23" t="n"/>
      <c r="N533" s="25">
        <f>IF(AND(IF($H538&lt;&gt;"",$H538,$H533)="override",$M533&lt;&gt;""),$M533,SUMIFS(Assumptions!$P$4:$P$103,Assumptions!$M$4:$M$103,$C533,Assumptions!$N$4:$N$103,$E533,Assumptions!$O$4:$O$103,"HVN"))</f>
        <v/>
      </c>
      <c r="O533" s="25">
        <f>(L533+N533)*Assumptions!$S$11</f>
        <v/>
      </c>
      <c r="P533" s="26">
        <f>$F533*$J533*$O533</f>
        <v/>
      </c>
    </row>
    <row r="534">
      <c r="A534" s="11" t="inlineStr">
        <is>
          <t>UNIT</t>
        </is>
      </c>
      <c r="B534" s="18" t="inlineStr">
        <is>
          <t>VALERO_SUNRAY</t>
        </is>
      </c>
      <c r="C534" s="18" t="n">
        <v>3</v>
      </c>
      <c r="D534" s="18" t="inlineStr">
        <is>
          <t>CCR</t>
        </is>
      </c>
      <c r="E534" s="18" t="inlineStr">
        <is>
          <t>REFORMER</t>
        </is>
      </c>
      <c r="F534" s="19" t="n">
        <v>29</v>
      </c>
      <c r="G534" s="21">
        <f>IFERROR(IF(INDEX(Effective!$E$3:$R$125,MATCH($B534,Effective!$A$3:$A$125,0),MATCH($D534,Effective!$E$2:$R$2,0))=0,"",INDEX(Effective!$E$3:$R$125,MATCH($B534,Effective!$A$3:$A$125,0),MATCH($D534,Effective!$E$2:$R$2,0))),"")</f>
        <v/>
      </c>
      <c r="H534" s="22" t="inlineStr">
        <is>
          <t>override</t>
        </is>
      </c>
      <c r="I534" s="23" t="n">
        <v>0.9</v>
      </c>
      <c r="J534" s="24">
        <f>IF(AND(IF($H538&lt;&gt;"",$H538,$H534)="override",$I534&lt;&gt;""),$I534,SUMIFS(Assumptions!$K$4:$K$8,Assumptions!$J$4:$J$8,$C534))*Assumptions!$S$10</f>
        <v/>
      </c>
      <c r="K534" s="23" t="n"/>
      <c r="L534" s="25">
        <f>IF(AND(IF($H538&lt;&gt;"",$H538,$H534)="override",$K534&lt;&gt;""),$K534,SUMIFS(Assumptions!$P$4:$P$103,Assumptions!$M$4:$M$103,$C534,Assumptions!$N$4:$N$103,$E534,Assumptions!$O$4:$O$103,"LVN"))</f>
        <v/>
      </c>
      <c r="M534" s="23" t="n"/>
      <c r="N534" s="25">
        <f>IF(AND(IF($H538&lt;&gt;"",$H538,$H534)="override",$M534&lt;&gt;""),$M534,SUMIFS(Assumptions!$P$4:$P$103,Assumptions!$M$4:$M$103,$C534,Assumptions!$N$4:$N$103,$E534,Assumptions!$O$4:$O$103,"HVN"))</f>
        <v/>
      </c>
      <c r="O534" s="25">
        <f>(L534+N534)*Assumptions!$S$11</f>
        <v/>
      </c>
      <c r="P534" s="26">
        <f>$F534*$J534*$O534</f>
        <v/>
      </c>
    </row>
    <row r="535">
      <c r="A535" s="11" t="inlineStr">
        <is>
          <t>UNIT</t>
        </is>
      </c>
      <c r="B535" s="18" t="inlineStr">
        <is>
          <t>VALERO_SUNRAY</t>
        </is>
      </c>
      <c r="C535" s="18" t="n">
        <v>3</v>
      </c>
      <c r="D535" s="18" t="inlineStr">
        <is>
          <t>REF</t>
        </is>
      </c>
      <c r="E535" s="18" t="inlineStr">
        <is>
          <t>REFORMER</t>
        </is>
      </c>
      <c r="F535" s="19" t="n">
        <v>18</v>
      </c>
      <c r="G535" s="21">
        <f>IFERROR(IF(INDEX(Effective!$E$3:$R$125,MATCH($B535,Effective!$A$3:$A$125,0),MATCH($D535,Effective!$E$2:$R$2,0))=0,"",INDEX(Effective!$E$3:$R$125,MATCH($B535,Effective!$A$3:$A$125,0),MATCH($D535,Effective!$E$2:$R$2,0))),"")</f>
        <v/>
      </c>
      <c r="H535" s="22" t="inlineStr">
        <is>
          <t>override</t>
        </is>
      </c>
      <c r="I535" s="23" t="n">
        <v>0.959</v>
      </c>
      <c r="J535" s="24">
        <f>IF(AND(IF($H538&lt;&gt;"",$H538,$H535)="override",$I535&lt;&gt;""),$I535,SUMIFS(Assumptions!$K$4:$K$8,Assumptions!$J$4:$J$8,$C535))*Assumptions!$S$10</f>
        <v/>
      </c>
      <c r="K535" s="23" t="n"/>
      <c r="L535" s="25">
        <f>IF(AND(IF($H538&lt;&gt;"",$H538,$H535)="override",$K535&lt;&gt;""),$K535,SUMIFS(Assumptions!$P$4:$P$103,Assumptions!$M$4:$M$103,$C535,Assumptions!$N$4:$N$103,$E535,Assumptions!$O$4:$O$103,"LVN"))</f>
        <v/>
      </c>
      <c r="M535" s="23" t="n"/>
      <c r="N535" s="25">
        <f>IF(AND(IF($H538&lt;&gt;"",$H538,$H535)="override",$M535&lt;&gt;""),$M535,SUMIFS(Assumptions!$P$4:$P$103,Assumptions!$M$4:$M$103,$C535,Assumptions!$N$4:$N$103,$E535,Assumptions!$O$4:$O$103,"HVN"))</f>
        <v/>
      </c>
      <c r="O535" s="25">
        <f>(L535+N535)*Assumptions!$S$11</f>
        <v/>
      </c>
      <c r="P535" s="26">
        <f>$F535*$J535*$O535</f>
        <v/>
      </c>
    </row>
    <row r="536">
      <c r="A536" s="11" t="inlineStr">
        <is>
          <t>UNIT</t>
        </is>
      </c>
      <c r="B536" s="18" t="inlineStr">
        <is>
          <t>VALERO_SUNRAY</t>
        </is>
      </c>
      <c r="C536" s="18" t="n">
        <v>3</v>
      </c>
      <c r="D536" s="18" t="inlineStr">
        <is>
          <t>ALKY</t>
        </is>
      </c>
      <c r="E536" s="18" t="inlineStr">
        <is>
          <t>ALKY</t>
        </is>
      </c>
      <c r="F536" s="19" t="n">
        <v>9.800000000000001</v>
      </c>
      <c r="G536" s="21">
        <f>IFERROR(IF(INDEX(Effective!$E$3:$R$125,MATCH($B536,Effective!$A$3:$A$125,0),MATCH($D536,Effective!$E$2:$R$2,0))=0,"",INDEX(Effective!$E$3:$R$125,MATCH($B536,Effective!$A$3:$A$125,0),MATCH($D536,Effective!$E$2:$R$2,0))),"")</f>
        <v/>
      </c>
      <c r="H536" s="22" t="inlineStr">
        <is>
          <t>override</t>
        </is>
      </c>
      <c r="I536" s="23" t="n">
        <v>1.1</v>
      </c>
      <c r="J536" s="24">
        <f>IF(AND(IF($H538&lt;&gt;"",$H538,$H536)="override",$I536&lt;&gt;""),$I536,SUMIFS(Assumptions!$K$4:$K$8,Assumptions!$J$4:$J$8,$C536))*Assumptions!$S$10</f>
        <v/>
      </c>
      <c r="K536" s="23" t="n"/>
      <c r="L536" s="25">
        <f>IF(AND(IF($H538&lt;&gt;"",$H538,$H536)="override",$K536&lt;&gt;""),$K536,SUMIFS(Assumptions!$P$4:$P$103,Assumptions!$M$4:$M$103,$C536,Assumptions!$N$4:$N$103,$E536,Assumptions!$O$4:$O$103,"LVN"))</f>
        <v/>
      </c>
      <c r="M536" s="23" t="n"/>
      <c r="N536" s="25">
        <f>IF(AND(IF($H538&lt;&gt;"",$H538,$H536)="override",$M536&lt;&gt;""),$M536,SUMIFS(Assumptions!$P$4:$P$103,Assumptions!$M$4:$M$103,$C536,Assumptions!$N$4:$N$103,$E536,Assumptions!$O$4:$O$103,"HVN"))</f>
        <v/>
      </c>
      <c r="O536" s="25">
        <f>(L536+N536)*Assumptions!$S$11</f>
        <v/>
      </c>
      <c r="P536" s="26">
        <f>$F536*$J536*$O536</f>
        <v/>
      </c>
    </row>
    <row r="537">
      <c r="A537" s="11" t="inlineStr">
        <is>
          <t>UNIT</t>
        </is>
      </c>
      <c r="B537" s="18" t="inlineStr">
        <is>
          <t>VALERO_SUNRAY</t>
        </is>
      </c>
      <c r="C537" s="18" t="n">
        <v>3</v>
      </c>
      <c r="D537" s="18" t="inlineStr">
        <is>
          <t>NHT</t>
        </is>
      </c>
      <c r="E537" s="18" t="inlineStr">
        <is>
          <t>NHT</t>
        </is>
      </c>
      <c r="F537" s="19" t="n">
        <v>44.4</v>
      </c>
      <c r="G537" s="21">
        <f>IFERROR(IF(INDEX(Effective!$E$3:$R$125,MATCH($B537,Effective!$A$3:$A$125,0),MATCH($D537,Effective!$E$2:$R$2,0))=0,"",INDEX(Effective!$E$3:$R$125,MATCH($B537,Effective!$A$3:$A$125,0),MATCH($D537,Effective!$E$2:$R$2,0))),"")</f>
        <v/>
      </c>
      <c r="H537" s="22" t="inlineStr">
        <is>
          <t>override</t>
        </is>
      </c>
      <c r="I537" s="23" t="n">
        <v>0.958</v>
      </c>
      <c r="J537" s="24">
        <f>IF(AND(IF($H538&lt;&gt;"",$H538,$H537)="override",$I537&lt;&gt;""),$I537,SUMIFS(Assumptions!$K$4:$K$8,Assumptions!$J$4:$J$8,$C537))*Assumptions!$S$10</f>
        <v/>
      </c>
      <c r="K537" s="23" t="n"/>
      <c r="L537" s="25">
        <f>IF(AND(IF($H538&lt;&gt;"",$H538,$H537)="override",$K537&lt;&gt;""),$K537,SUMIFS(Assumptions!$P$4:$P$103,Assumptions!$M$4:$M$103,$C537,Assumptions!$N$4:$N$103,$E537,Assumptions!$O$4:$O$103,"LVN"))</f>
        <v/>
      </c>
      <c r="M537" s="23" t="n"/>
      <c r="N537" s="25">
        <f>IF(AND(IF($H538&lt;&gt;"",$H538,$H537)="override",$M537&lt;&gt;""),$M537,SUMIFS(Assumptions!$P$4:$P$103,Assumptions!$M$4:$M$103,$C537,Assumptions!$N$4:$N$103,$E537,Assumptions!$O$4:$O$103,"HVN"))</f>
        <v/>
      </c>
      <c r="O537" s="25">
        <f>(L537+N537)*Assumptions!$S$11</f>
        <v/>
      </c>
      <c r="P537" s="26">
        <f>$F537*$J537*$O537</f>
        <v/>
      </c>
    </row>
    <row r="538">
      <c r="A538" s="27" t="inlineStr">
        <is>
          <t>TOTAL</t>
        </is>
      </c>
      <c r="B538" s="28" t="inlineStr">
        <is>
          <t>VALERO_SUNRAY</t>
        </is>
      </c>
      <c r="C538" s="28" t="n">
        <v>3</v>
      </c>
      <c r="D538" s="28" t="inlineStr">
        <is>
          <t>NET NAPHTHA</t>
        </is>
      </c>
      <c r="H538" s="22" t="n"/>
      <c r="P538" s="29">
        <f>SUM(P530:P537)</f>
        <v/>
      </c>
    </row>
    <row r="540" ht="20" customHeight="1">
      <c r="A540" s="8">
        <f>"  PBF Energy Company LLC Chalmette  [PBF_CHALMETTE]   —   PBF Energy Company LLC   —   PADD 3   —   crude "&amp;TEXT(SUMIFS(Data!$G$3:$G$125,Data!$A$3:$A$125,"PBF_CHALMETTE"),"#,##0")&amp;" kbd"</f>
        <v/>
      </c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</row>
    <row r="541">
      <c r="A541" s="11" t="inlineStr">
        <is>
          <t>UNIT</t>
        </is>
      </c>
      <c r="B541" s="18" t="inlineStr">
        <is>
          <t>PBF_CHALMETTE</t>
        </is>
      </c>
      <c r="C541" s="18" t="n">
        <v>3</v>
      </c>
      <c r="D541" s="18" t="inlineStr">
        <is>
          <t>CDU</t>
        </is>
      </c>
      <c r="E541" s="18" t="inlineStr">
        <is>
          <t>CDU</t>
        </is>
      </c>
      <c r="F541" s="19" t="n">
        <v>197</v>
      </c>
      <c r="G541" s="21">
        <f>IFERROR(IF(INDEX(Effective!$E$3:$R$125,MATCH($B541,Effective!$A$3:$A$125,0),MATCH($D541,Effective!$E$2:$R$2,0))=0,"",INDEX(Effective!$E$3:$R$125,MATCH($B541,Effective!$A$3:$A$125,0),MATCH($D541,Effective!$E$2:$R$2,0))),"")</f>
        <v/>
      </c>
      <c r="H541" s="22" t="inlineStr">
        <is>
          <t>override</t>
        </is>
      </c>
      <c r="I541" s="23" t="n">
        <v>0.656</v>
      </c>
      <c r="J541" s="24">
        <f>IF(AND(IF($H550&lt;&gt;"",$H550,$H541)="override",$I541&lt;&gt;""),$I541,SUMIFS(Assumptions!$K$4:$K$8,Assumptions!$J$4:$J$8,$C541))*Assumptions!$S$10</f>
        <v/>
      </c>
      <c r="K541" s="23" t="n"/>
      <c r="L541" s="25">
        <f>IF(AND(IF($H550&lt;&gt;"",$H550,$H541)="override",$K541&lt;&gt;""),$K541,SUMIFS(Assumptions!$P$4:$P$103,Assumptions!$M$4:$M$103,$C541,Assumptions!$N$4:$N$103,$E541,Assumptions!$O$4:$O$103,"LVN"))</f>
        <v/>
      </c>
      <c r="M541" s="23" t="n"/>
      <c r="N541" s="25">
        <f>IF(AND(IF($H550&lt;&gt;"",$H550,$H541)="override",$M541&lt;&gt;""),$M541,SUMIFS(Assumptions!$P$4:$P$103,Assumptions!$M$4:$M$103,$C541,Assumptions!$N$4:$N$103,$E541,Assumptions!$O$4:$O$103,"HVN"))</f>
        <v/>
      </c>
      <c r="O541" s="25">
        <f>(L541+N541)*Assumptions!$S$11</f>
        <v/>
      </c>
      <c r="P541" s="26">
        <f>$F541*$J541*$O541</f>
        <v/>
      </c>
    </row>
    <row r="542">
      <c r="A542" s="11" t="inlineStr">
        <is>
          <t>UNIT</t>
        </is>
      </c>
      <c r="B542" s="18" t="inlineStr">
        <is>
          <t>PBF_CHALMETTE</t>
        </is>
      </c>
      <c r="C542" s="18" t="n">
        <v>3</v>
      </c>
      <c r="D542" s="18" t="inlineStr">
        <is>
          <t>VDU</t>
        </is>
      </c>
      <c r="E542" s="18" t="inlineStr">
        <is>
          <t>VDU</t>
        </is>
      </c>
      <c r="F542" s="19" t="n">
        <v>169</v>
      </c>
      <c r="G542" s="21">
        <f>IFERROR(IF(INDEX(Effective!$E$3:$R$125,MATCH($B542,Effective!$A$3:$A$125,0),MATCH($D542,Effective!$E$2:$R$2,0))=0,"",INDEX(Effective!$E$3:$R$125,MATCH($B542,Effective!$A$3:$A$125,0),MATCH($D542,Effective!$E$2:$R$2,0))),"")</f>
        <v/>
      </c>
      <c r="H542" s="22" t="inlineStr">
        <is>
          <t>override</t>
        </is>
      </c>
      <c r="I542" s="23" t="n">
        <v>0.488</v>
      </c>
      <c r="J542" s="24">
        <f>IF(AND(IF($H550&lt;&gt;"",$H550,$H542)="override",$I542&lt;&gt;""),$I542,SUMIFS(Assumptions!$K$4:$K$8,Assumptions!$J$4:$J$8,$C542))*Assumptions!$S$10</f>
        <v/>
      </c>
      <c r="K542" s="23" t="n"/>
      <c r="L542" s="25">
        <f>IF(AND(IF($H550&lt;&gt;"",$H550,$H542)="override",$K542&lt;&gt;""),$K542,SUMIFS(Assumptions!$P$4:$P$103,Assumptions!$M$4:$M$103,$C542,Assumptions!$N$4:$N$103,$E542,Assumptions!$O$4:$O$103,"LVN"))</f>
        <v/>
      </c>
      <c r="M542" s="23" t="n"/>
      <c r="N542" s="25">
        <f>IF(AND(IF($H550&lt;&gt;"",$H550,$H542)="override",$M542&lt;&gt;""),$M542,SUMIFS(Assumptions!$P$4:$P$103,Assumptions!$M$4:$M$103,$C542,Assumptions!$N$4:$N$103,$E542,Assumptions!$O$4:$O$103,"HVN"))</f>
        <v/>
      </c>
      <c r="O542" s="25">
        <f>(L542+N542)*Assumptions!$S$11</f>
        <v/>
      </c>
      <c r="P542" s="26">
        <f>$F542*$J542*$O542</f>
        <v/>
      </c>
    </row>
    <row r="543">
      <c r="A543" s="11" t="inlineStr">
        <is>
          <t>UNIT</t>
        </is>
      </c>
      <c r="B543" s="18" t="inlineStr">
        <is>
          <t>PBF_CHALMETTE</t>
        </is>
      </c>
      <c r="C543" s="18" t="n">
        <v>3</v>
      </c>
      <c r="D543" s="18" t="inlineStr">
        <is>
          <t>FCC</t>
        </is>
      </c>
      <c r="E543" s="18" t="inlineStr">
        <is>
          <t>FCC</t>
        </is>
      </c>
      <c r="F543" s="19" t="n">
        <v>75.59999999999999</v>
      </c>
      <c r="G543" s="21">
        <f>IFERROR(IF(INDEX(Effective!$E$3:$R$125,MATCH($B543,Effective!$A$3:$A$125,0),MATCH($D543,Effective!$E$2:$R$2,0))=0,"",INDEX(Effective!$E$3:$R$125,MATCH($B543,Effective!$A$3:$A$125,0),MATCH($D543,Effective!$E$2:$R$2,0))),"")</f>
        <v/>
      </c>
      <c r="H543" s="22" t="inlineStr">
        <is>
          <t>override</t>
        </is>
      </c>
      <c r="I543" s="23" t="n">
        <v>0.744</v>
      </c>
      <c r="J543" s="24">
        <f>IF(AND(IF($H550&lt;&gt;"",$H550,$H543)="override",$I543&lt;&gt;""),$I543,SUMIFS(Assumptions!$K$4:$K$8,Assumptions!$J$4:$J$8,$C543))*Assumptions!$S$10</f>
        <v/>
      </c>
      <c r="K543" s="23" t="n"/>
      <c r="L543" s="25">
        <f>IF(AND(IF($H550&lt;&gt;"",$H550,$H543)="override",$K543&lt;&gt;""),$K543,SUMIFS(Assumptions!$P$4:$P$103,Assumptions!$M$4:$M$103,$C543,Assumptions!$N$4:$N$103,$E543,Assumptions!$O$4:$O$103,"LVN"))</f>
        <v/>
      </c>
      <c r="M543" s="23" t="n"/>
      <c r="N543" s="25">
        <f>IF(AND(IF($H550&lt;&gt;"",$H550,$H543)="override",$M543&lt;&gt;""),$M543,SUMIFS(Assumptions!$P$4:$P$103,Assumptions!$M$4:$M$103,$C543,Assumptions!$N$4:$N$103,$E543,Assumptions!$O$4:$O$103,"HVN"))</f>
        <v/>
      </c>
      <c r="O543" s="25">
        <f>(L543+N543)*Assumptions!$S$11</f>
        <v/>
      </c>
      <c r="P543" s="26">
        <f>$F543*$J543*$O543</f>
        <v/>
      </c>
    </row>
    <row r="544">
      <c r="A544" s="11" t="inlineStr">
        <is>
          <t>UNIT</t>
        </is>
      </c>
      <c r="B544" s="18" t="inlineStr">
        <is>
          <t>PBF_CHALMETTE</t>
        </is>
      </c>
      <c r="C544" s="18" t="n">
        <v>3</v>
      </c>
      <c r="D544" s="18" t="inlineStr">
        <is>
          <t>COKER</t>
        </is>
      </c>
      <c r="E544" s="18" t="inlineStr">
        <is>
          <t>COKER</t>
        </is>
      </c>
      <c r="F544" s="19" t="n">
        <v>42</v>
      </c>
      <c r="G544" s="21">
        <f>IFERROR(IF(INDEX(Effective!$E$3:$R$125,MATCH($B544,Effective!$A$3:$A$125,0),MATCH($D544,Effective!$E$2:$R$2,0))=0,"",INDEX(Effective!$E$3:$R$125,MATCH($B544,Effective!$A$3:$A$125,0),MATCH($D544,Effective!$E$2:$R$2,0))),"")</f>
        <v/>
      </c>
      <c r="H544" s="22" t="inlineStr">
        <is>
          <t>override</t>
        </is>
      </c>
      <c r="I544" s="23" t="n">
        <v>0.801</v>
      </c>
      <c r="J544" s="24">
        <f>IF(AND(IF($H550&lt;&gt;"",$H550,$H544)="override",$I544&lt;&gt;""),$I544,SUMIFS(Assumptions!$K$4:$K$8,Assumptions!$J$4:$J$8,$C544))*Assumptions!$S$10</f>
        <v/>
      </c>
      <c r="K544" s="23" t="n"/>
      <c r="L544" s="25">
        <f>IF(AND(IF($H550&lt;&gt;"",$H550,$H544)="override",$K544&lt;&gt;""),$K544,SUMIFS(Assumptions!$P$4:$P$103,Assumptions!$M$4:$M$103,$C544,Assumptions!$N$4:$N$103,$E544,Assumptions!$O$4:$O$103,"LVN"))</f>
        <v/>
      </c>
      <c r="M544" s="23" t="n"/>
      <c r="N544" s="25">
        <f>IF(AND(IF($H550&lt;&gt;"",$H550,$H544)="override",$M544&lt;&gt;""),$M544,SUMIFS(Assumptions!$P$4:$P$103,Assumptions!$M$4:$M$103,$C544,Assumptions!$N$4:$N$103,$E544,Assumptions!$O$4:$O$103,"HVN"))</f>
        <v/>
      </c>
      <c r="O544" s="25">
        <f>(L544+N544)*Assumptions!$S$11</f>
        <v/>
      </c>
      <c r="P544" s="26">
        <f>$F544*$J544*$O544</f>
        <v/>
      </c>
    </row>
    <row r="545">
      <c r="A545" s="11" t="inlineStr">
        <is>
          <t>UNIT</t>
        </is>
      </c>
      <c r="B545" s="18" t="inlineStr">
        <is>
          <t>PBF_CHALMETTE</t>
        </is>
      </c>
      <c r="C545" s="18" t="n">
        <v>3</v>
      </c>
      <c r="D545" s="18" t="inlineStr">
        <is>
          <t>CCR</t>
        </is>
      </c>
      <c r="E545" s="18" t="inlineStr">
        <is>
          <t>REFORMER</t>
        </is>
      </c>
      <c r="F545" s="19" t="n">
        <v>22.7</v>
      </c>
      <c r="G545" s="21">
        <f>IFERROR(IF(INDEX(Effective!$E$3:$R$125,MATCH($B545,Effective!$A$3:$A$125,0),MATCH($D545,Effective!$E$2:$R$2,0))=0,"",INDEX(Effective!$E$3:$R$125,MATCH($B545,Effective!$A$3:$A$125,0),MATCH($D545,Effective!$E$2:$R$2,0))),"")</f>
        <v/>
      </c>
      <c r="H545" s="22" t="inlineStr">
        <is>
          <t>override</t>
        </is>
      </c>
      <c r="I545" s="23" t="n">
        <v>0.769</v>
      </c>
      <c r="J545" s="24">
        <f>IF(AND(IF($H550&lt;&gt;"",$H550,$H545)="override",$I545&lt;&gt;""),$I545,SUMIFS(Assumptions!$K$4:$K$8,Assumptions!$J$4:$J$8,$C545))*Assumptions!$S$10</f>
        <v/>
      </c>
      <c r="K545" s="23" t="n"/>
      <c r="L545" s="25">
        <f>IF(AND(IF($H550&lt;&gt;"",$H550,$H545)="override",$K545&lt;&gt;""),$K545,SUMIFS(Assumptions!$P$4:$P$103,Assumptions!$M$4:$M$103,$C545,Assumptions!$N$4:$N$103,$E545,Assumptions!$O$4:$O$103,"LVN"))</f>
        <v/>
      </c>
      <c r="M545" s="23" t="n"/>
      <c r="N545" s="25">
        <f>IF(AND(IF($H550&lt;&gt;"",$H550,$H545)="override",$M545&lt;&gt;""),$M545,SUMIFS(Assumptions!$P$4:$P$103,Assumptions!$M$4:$M$103,$C545,Assumptions!$N$4:$N$103,$E545,Assumptions!$O$4:$O$103,"HVN"))</f>
        <v/>
      </c>
      <c r="O545" s="25">
        <f>(L545+N545)*Assumptions!$S$11</f>
        <v/>
      </c>
      <c r="P545" s="26">
        <f>$F545*$J545*$O545</f>
        <v/>
      </c>
    </row>
    <row r="546">
      <c r="A546" s="11" t="inlineStr">
        <is>
          <t>UNIT</t>
        </is>
      </c>
      <c r="B546" s="18" t="inlineStr">
        <is>
          <t>PBF_CHALMETTE</t>
        </is>
      </c>
      <c r="C546" s="18" t="n">
        <v>3</v>
      </c>
      <c r="D546" s="18" t="inlineStr">
        <is>
          <t>REF</t>
        </is>
      </c>
      <c r="E546" s="18" t="inlineStr">
        <is>
          <t>REFORMER</t>
        </is>
      </c>
      <c r="F546" s="19" t="n">
        <v>30</v>
      </c>
      <c r="G546" s="21">
        <f>IFERROR(IF(INDEX(Effective!$E$3:$R$125,MATCH($B546,Effective!$A$3:$A$125,0),MATCH($D546,Effective!$E$2:$R$2,0))=0,"",INDEX(Effective!$E$3:$R$125,MATCH($B546,Effective!$A$3:$A$125,0),MATCH($D546,Effective!$E$2:$R$2,0))),"")</f>
        <v/>
      </c>
      <c r="H546" s="22" t="inlineStr">
        <is>
          <t>override</t>
        </is>
      </c>
      <c r="I546" s="23" t="n">
        <v>0</v>
      </c>
      <c r="J546" s="24">
        <f>IF(AND(IF($H550&lt;&gt;"",$H550,$H546)="override",$I546&lt;&gt;""),$I546,SUMIFS(Assumptions!$K$4:$K$8,Assumptions!$J$4:$J$8,$C546))*Assumptions!$S$10</f>
        <v/>
      </c>
      <c r="K546" s="23" t="n"/>
      <c r="L546" s="25">
        <f>IF(AND(IF($H550&lt;&gt;"",$H550,$H546)="override",$K546&lt;&gt;""),$K546,SUMIFS(Assumptions!$P$4:$P$103,Assumptions!$M$4:$M$103,$C546,Assumptions!$N$4:$N$103,$E546,Assumptions!$O$4:$O$103,"LVN"))</f>
        <v/>
      </c>
      <c r="M546" s="23" t="n"/>
      <c r="N546" s="25">
        <f>IF(AND(IF($H550&lt;&gt;"",$H550,$H546)="override",$M546&lt;&gt;""),$M546,SUMIFS(Assumptions!$P$4:$P$103,Assumptions!$M$4:$M$103,$C546,Assumptions!$N$4:$N$103,$E546,Assumptions!$O$4:$O$103,"HVN"))</f>
        <v/>
      </c>
      <c r="O546" s="25">
        <f>(L546+N546)*Assumptions!$S$11</f>
        <v/>
      </c>
      <c r="P546" s="26">
        <f>$F546*$J546*$O546</f>
        <v/>
      </c>
    </row>
    <row r="547">
      <c r="A547" s="11" t="inlineStr">
        <is>
          <t>UNIT</t>
        </is>
      </c>
      <c r="B547" s="18" t="inlineStr">
        <is>
          <t>PBF_CHALMETTE</t>
        </is>
      </c>
      <c r="C547" s="18" t="n">
        <v>3</v>
      </c>
      <c r="D547" s="18" t="inlineStr">
        <is>
          <t>ISOM</t>
        </is>
      </c>
      <c r="E547" s="18" t="inlineStr">
        <is>
          <t>ISOM</t>
        </is>
      </c>
      <c r="F547" s="19" t="n">
        <v>8.199999999999999</v>
      </c>
      <c r="G547" s="21">
        <f>IFERROR(IF(INDEX(Effective!$E$3:$R$125,MATCH($B547,Effective!$A$3:$A$125,0),MATCH($D547,Effective!$E$2:$R$2,0))=0,"",INDEX(Effective!$E$3:$R$125,MATCH($B547,Effective!$A$3:$A$125,0),MATCH($D547,Effective!$E$2:$R$2,0))),"")</f>
        <v/>
      </c>
      <c r="H547" s="22" t="inlineStr">
        <is>
          <t>override</t>
        </is>
      </c>
      <c r="I547" s="23" t="n"/>
      <c r="J547" s="24">
        <f>IF(AND(IF($H550&lt;&gt;"",$H550,$H547)="override",$I547&lt;&gt;""),$I547,SUMIFS(Assumptions!$K$4:$K$8,Assumptions!$J$4:$J$8,$C547))*Assumptions!$S$10</f>
        <v/>
      </c>
      <c r="K547" s="23" t="n"/>
      <c r="L547" s="25">
        <f>IF(AND(IF($H550&lt;&gt;"",$H550,$H547)="override",$K547&lt;&gt;""),$K547,SUMIFS(Assumptions!$P$4:$P$103,Assumptions!$M$4:$M$103,$C547,Assumptions!$N$4:$N$103,$E547,Assumptions!$O$4:$O$103,"LVN"))</f>
        <v/>
      </c>
      <c r="M547" s="23" t="n"/>
      <c r="N547" s="25">
        <f>IF(AND(IF($H550&lt;&gt;"",$H550,$H547)="override",$M547&lt;&gt;""),$M547,SUMIFS(Assumptions!$P$4:$P$103,Assumptions!$M$4:$M$103,$C547,Assumptions!$N$4:$N$103,$E547,Assumptions!$O$4:$O$103,"HVN"))</f>
        <v/>
      </c>
      <c r="O547" s="25">
        <f>(L547+N547)*Assumptions!$S$11</f>
        <v/>
      </c>
      <c r="P547" s="26">
        <f>$F547*$J547*$O547</f>
        <v/>
      </c>
    </row>
    <row r="548">
      <c r="A548" s="11" t="inlineStr">
        <is>
          <t>UNIT</t>
        </is>
      </c>
      <c r="B548" s="18" t="inlineStr">
        <is>
          <t>PBF_CHALMETTE</t>
        </is>
      </c>
      <c r="C548" s="18" t="n">
        <v>3</v>
      </c>
      <c r="D548" s="18" t="inlineStr">
        <is>
          <t>ALKY</t>
        </is>
      </c>
      <c r="E548" s="18" t="inlineStr">
        <is>
          <t>ALKY</t>
        </is>
      </c>
      <c r="F548" s="19" t="n">
        <v>16.8</v>
      </c>
      <c r="G548" s="21">
        <f>IFERROR(IF(INDEX(Effective!$E$3:$R$125,MATCH($B548,Effective!$A$3:$A$125,0),MATCH($D548,Effective!$E$2:$R$2,0))=0,"",INDEX(Effective!$E$3:$R$125,MATCH($B548,Effective!$A$3:$A$125,0),MATCH($D548,Effective!$E$2:$R$2,0))),"")</f>
        <v/>
      </c>
      <c r="H548" s="22" t="inlineStr">
        <is>
          <t>override</t>
        </is>
      </c>
      <c r="I548" s="23" t="n">
        <v>0.707</v>
      </c>
      <c r="J548" s="24">
        <f>IF(AND(IF($H550&lt;&gt;"",$H550,$H548)="override",$I548&lt;&gt;""),$I548,SUMIFS(Assumptions!$K$4:$K$8,Assumptions!$J$4:$J$8,$C548))*Assumptions!$S$10</f>
        <v/>
      </c>
      <c r="K548" s="23" t="n"/>
      <c r="L548" s="25">
        <f>IF(AND(IF($H550&lt;&gt;"",$H550,$H548)="override",$K548&lt;&gt;""),$K548,SUMIFS(Assumptions!$P$4:$P$103,Assumptions!$M$4:$M$103,$C548,Assumptions!$N$4:$N$103,$E548,Assumptions!$O$4:$O$103,"LVN"))</f>
        <v/>
      </c>
      <c r="M548" s="23" t="n"/>
      <c r="N548" s="25">
        <f>IF(AND(IF($H550&lt;&gt;"",$H550,$H548)="override",$M548&lt;&gt;""),$M548,SUMIFS(Assumptions!$P$4:$P$103,Assumptions!$M$4:$M$103,$C548,Assumptions!$N$4:$N$103,$E548,Assumptions!$O$4:$O$103,"HVN"))</f>
        <v/>
      </c>
      <c r="O548" s="25">
        <f>(L548+N548)*Assumptions!$S$11</f>
        <v/>
      </c>
      <c r="P548" s="26">
        <f>$F548*$J548*$O548</f>
        <v/>
      </c>
    </row>
    <row r="549">
      <c r="A549" s="11" t="inlineStr">
        <is>
          <t>UNIT</t>
        </is>
      </c>
      <c r="B549" s="18" t="inlineStr">
        <is>
          <t>PBF_CHALMETTE</t>
        </is>
      </c>
      <c r="C549" s="18" t="n">
        <v>3</v>
      </c>
      <c r="D549" s="18" t="inlineStr">
        <is>
          <t>NHT</t>
        </is>
      </c>
      <c r="E549" s="18" t="inlineStr">
        <is>
          <t>NHT</t>
        </is>
      </c>
      <c r="F549" s="19" t="n">
        <v>42</v>
      </c>
      <c r="G549" s="21">
        <f>IFERROR(IF(INDEX(Effective!$E$3:$R$125,MATCH($B549,Effective!$A$3:$A$125,0),MATCH($D549,Effective!$E$2:$R$2,0))=0,"",INDEX(Effective!$E$3:$R$125,MATCH($B549,Effective!$A$3:$A$125,0),MATCH($D549,Effective!$E$2:$R$2,0))),"")</f>
        <v/>
      </c>
      <c r="H549" s="22" t="inlineStr">
        <is>
          <t>override</t>
        </is>
      </c>
      <c r="I549" s="23" t="n">
        <v>0.616</v>
      </c>
      <c r="J549" s="24">
        <f>IF(AND(IF($H550&lt;&gt;"",$H550,$H549)="override",$I549&lt;&gt;""),$I549,SUMIFS(Assumptions!$K$4:$K$8,Assumptions!$J$4:$J$8,$C549))*Assumptions!$S$10</f>
        <v/>
      </c>
      <c r="K549" s="23" t="n"/>
      <c r="L549" s="25">
        <f>IF(AND(IF($H550&lt;&gt;"",$H550,$H549)="override",$K549&lt;&gt;""),$K549,SUMIFS(Assumptions!$P$4:$P$103,Assumptions!$M$4:$M$103,$C549,Assumptions!$N$4:$N$103,$E549,Assumptions!$O$4:$O$103,"LVN"))</f>
        <v/>
      </c>
      <c r="M549" s="23" t="n"/>
      <c r="N549" s="25">
        <f>IF(AND(IF($H550&lt;&gt;"",$H550,$H549)="override",$M549&lt;&gt;""),$M549,SUMIFS(Assumptions!$P$4:$P$103,Assumptions!$M$4:$M$103,$C549,Assumptions!$N$4:$N$103,$E549,Assumptions!$O$4:$O$103,"HVN"))</f>
        <v/>
      </c>
      <c r="O549" s="25">
        <f>(L549+N549)*Assumptions!$S$11</f>
        <v/>
      </c>
      <c r="P549" s="26">
        <f>$F549*$J549*$O549</f>
        <v/>
      </c>
    </row>
    <row r="550">
      <c r="A550" s="27" t="inlineStr">
        <is>
          <t>TOTAL</t>
        </is>
      </c>
      <c r="B550" s="28" t="inlineStr">
        <is>
          <t>PBF_CHALMETTE</t>
        </is>
      </c>
      <c r="C550" s="28" t="n">
        <v>3</v>
      </c>
      <c r="D550" s="28" t="inlineStr">
        <is>
          <t>NET NAPHTHA</t>
        </is>
      </c>
      <c r="H550" s="22" t="n"/>
      <c r="P550" s="29">
        <f>SUM(P541:P549)</f>
        <v/>
      </c>
    </row>
    <row r="552" ht="20" customHeight="1">
      <c r="A552" s="8">
        <f>"  Citgo Corpus Christi  [CITGO_CORPUS_CHRISTI]   —   PDVSA   —   PADD 3   —   crude "&amp;TEXT(SUMIFS(Data!$G$3:$G$125,Data!$A$3:$A$125,"CITGO_CORPUS_CHRISTI"),"#,##0")&amp;" kbd"</f>
        <v/>
      </c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</row>
    <row r="553">
      <c r="A553" s="11" t="inlineStr">
        <is>
          <t>UNIT</t>
        </is>
      </c>
      <c r="B553" s="18" t="inlineStr">
        <is>
          <t>CITGO_CORPUS_CHRISTI</t>
        </is>
      </c>
      <c r="C553" s="18" t="n">
        <v>3</v>
      </c>
      <c r="D553" s="18" t="inlineStr">
        <is>
          <t>CDU</t>
        </is>
      </c>
      <c r="E553" s="18" t="inlineStr">
        <is>
          <t>CDU</t>
        </is>
      </c>
      <c r="F553" s="19" t="n">
        <v>175.55</v>
      </c>
      <c r="G553" s="21">
        <f>IFERROR(IF(INDEX(Effective!$E$3:$R$125,MATCH($B553,Effective!$A$3:$A$125,0),MATCH($D553,Effective!$E$2:$R$2,0))=0,"",INDEX(Effective!$E$3:$R$125,MATCH($B553,Effective!$A$3:$A$125,0),MATCH($D553,Effective!$E$2:$R$2,0))),"")</f>
        <v/>
      </c>
      <c r="H553" s="22" t="inlineStr">
        <is>
          <t>override</t>
        </is>
      </c>
      <c r="I553" s="23" t="n">
        <v>0.842</v>
      </c>
      <c r="J553" s="24">
        <f>IF(AND(IF($H560&lt;&gt;"",$H560,$H553)="override",$I553&lt;&gt;""),$I553,SUMIFS(Assumptions!$K$4:$K$8,Assumptions!$J$4:$J$8,$C553))*Assumptions!$S$10</f>
        <v/>
      </c>
      <c r="K553" s="23" t="n"/>
      <c r="L553" s="25">
        <f>IF(AND(IF($H560&lt;&gt;"",$H560,$H553)="override",$K553&lt;&gt;""),$K553,SUMIFS(Assumptions!$P$4:$P$103,Assumptions!$M$4:$M$103,$C553,Assumptions!$N$4:$N$103,$E553,Assumptions!$O$4:$O$103,"LVN"))</f>
        <v/>
      </c>
      <c r="M553" s="23" t="n"/>
      <c r="N553" s="25">
        <f>IF(AND(IF($H560&lt;&gt;"",$H560,$H553)="override",$M553&lt;&gt;""),$M553,SUMIFS(Assumptions!$P$4:$P$103,Assumptions!$M$4:$M$103,$C553,Assumptions!$N$4:$N$103,$E553,Assumptions!$O$4:$O$103,"HVN"))</f>
        <v/>
      </c>
      <c r="O553" s="25">
        <f>(L553+N553)*Assumptions!$S$11</f>
        <v/>
      </c>
      <c r="P553" s="26">
        <f>$F553*$J553*$O553</f>
        <v/>
      </c>
    </row>
    <row r="554">
      <c r="A554" s="11" t="inlineStr">
        <is>
          <t>UNIT</t>
        </is>
      </c>
      <c r="B554" s="18" t="inlineStr">
        <is>
          <t>CITGO_CORPUS_CHRISTI</t>
        </is>
      </c>
      <c r="C554" s="18" t="n">
        <v>3</v>
      </c>
      <c r="D554" s="18" t="inlineStr">
        <is>
          <t>VDU</t>
        </is>
      </c>
      <c r="E554" s="18" t="inlineStr">
        <is>
          <t>VDU</t>
        </is>
      </c>
      <c r="F554" s="19" t="n">
        <v>85.3</v>
      </c>
      <c r="G554" s="21">
        <f>IFERROR(IF(INDEX(Effective!$E$3:$R$125,MATCH($B554,Effective!$A$3:$A$125,0),MATCH($D554,Effective!$E$2:$R$2,0))=0,"",INDEX(Effective!$E$3:$R$125,MATCH($B554,Effective!$A$3:$A$125,0),MATCH($D554,Effective!$E$2:$R$2,0))),"")</f>
        <v/>
      </c>
      <c r="H554" s="22" t="inlineStr">
        <is>
          <t>override</t>
        </is>
      </c>
      <c r="I554" s="23" t="n">
        <v>0.784</v>
      </c>
      <c r="J554" s="24">
        <f>IF(AND(IF($H560&lt;&gt;"",$H560,$H554)="override",$I554&lt;&gt;""),$I554,SUMIFS(Assumptions!$K$4:$K$8,Assumptions!$J$4:$J$8,$C554))*Assumptions!$S$10</f>
        <v/>
      </c>
      <c r="K554" s="23" t="n"/>
      <c r="L554" s="25">
        <f>IF(AND(IF($H560&lt;&gt;"",$H560,$H554)="override",$K554&lt;&gt;""),$K554,SUMIFS(Assumptions!$P$4:$P$103,Assumptions!$M$4:$M$103,$C554,Assumptions!$N$4:$N$103,$E554,Assumptions!$O$4:$O$103,"LVN"))</f>
        <v/>
      </c>
      <c r="M554" s="23" t="n"/>
      <c r="N554" s="25">
        <f>IF(AND(IF($H560&lt;&gt;"",$H560,$H554)="override",$M554&lt;&gt;""),$M554,SUMIFS(Assumptions!$P$4:$P$103,Assumptions!$M$4:$M$103,$C554,Assumptions!$N$4:$N$103,$E554,Assumptions!$O$4:$O$103,"HVN"))</f>
        <v/>
      </c>
      <c r="O554" s="25">
        <f>(L554+N554)*Assumptions!$S$11</f>
        <v/>
      </c>
      <c r="P554" s="26">
        <f>$F554*$J554*$O554</f>
        <v/>
      </c>
    </row>
    <row r="555">
      <c r="A555" s="11" t="inlineStr">
        <is>
          <t>UNIT</t>
        </is>
      </c>
      <c r="B555" s="18" t="inlineStr">
        <is>
          <t>CITGO_CORPUS_CHRISTI</t>
        </is>
      </c>
      <c r="C555" s="18" t="n">
        <v>3</v>
      </c>
      <c r="D555" s="18" t="inlineStr">
        <is>
          <t>FCC</t>
        </is>
      </c>
      <c r="E555" s="18" t="inlineStr">
        <is>
          <t>FCC</t>
        </is>
      </c>
      <c r="F555" s="19" t="n">
        <v>70.7</v>
      </c>
      <c r="G555" s="21">
        <f>IFERROR(IF(INDEX(Effective!$E$3:$R$125,MATCH($B555,Effective!$A$3:$A$125,0),MATCH($D555,Effective!$E$2:$R$2,0))=0,"",INDEX(Effective!$E$3:$R$125,MATCH($B555,Effective!$A$3:$A$125,0),MATCH($D555,Effective!$E$2:$R$2,0))),"")</f>
        <v/>
      </c>
      <c r="H555" s="22" t="inlineStr">
        <is>
          <t>override</t>
        </is>
      </c>
      <c r="I555" s="23" t="n">
        <v>0.639</v>
      </c>
      <c r="J555" s="24">
        <f>IF(AND(IF($H560&lt;&gt;"",$H560,$H555)="override",$I555&lt;&gt;""),$I555,SUMIFS(Assumptions!$K$4:$K$8,Assumptions!$J$4:$J$8,$C555))*Assumptions!$S$10</f>
        <v/>
      </c>
      <c r="K555" s="23" t="n"/>
      <c r="L555" s="25">
        <f>IF(AND(IF($H560&lt;&gt;"",$H560,$H555)="override",$K555&lt;&gt;""),$K555,SUMIFS(Assumptions!$P$4:$P$103,Assumptions!$M$4:$M$103,$C555,Assumptions!$N$4:$N$103,$E555,Assumptions!$O$4:$O$103,"LVN"))</f>
        <v/>
      </c>
      <c r="M555" s="23" t="n"/>
      <c r="N555" s="25">
        <f>IF(AND(IF($H560&lt;&gt;"",$H560,$H555)="override",$M555&lt;&gt;""),$M555,SUMIFS(Assumptions!$P$4:$P$103,Assumptions!$M$4:$M$103,$C555,Assumptions!$N$4:$N$103,$E555,Assumptions!$O$4:$O$103,"HVN"))</f>
        <v/>
      </c>
      <c r="O555" s="25">
        <f>(L555+N555)*Assumptions!$S$11</f>
        <v/>
      </c>
      <c r="P555" s="26">
        <f>$F555*$J555*$O555</f>
        <v/>
      </c>
    </row>
    <row r="556">
      <c r="A556" s="11" t="inlineStr">
        <is>
          <t>UNIT</t>
        </is>
      </c>
      <c r="B556" s="18" t="inlineStr">
        <is>
          <t>CITGO_CORPUS_CHRISTI</t>
        </is>
      </c>
      <c r="C556" s="18" t="n">
        <v>3</v>
      </c>
      <c r="D556" s="18" t="inlineStr">
        <is>
          <t>COKER</t>
        </is>
      </c>
      <c r="E556" s="18" t="inlineStr">
        <is>
          <t>COKER</t>
        </is>
      </c>
      <c r="F556" s="19" t="n">
        <v>45.13</v>
      </c>
      <c r="G556" s="21">
        <f>IFERROR(IF(INDEX(Effective!$E$3:$R$125,MATCH($B556,Effective!$A$3:$A$125,0),MATCH($D556,Effective!$E$2:$R$2,0))=0,"",INDEX(Effective!$E$3:$R$125,MATCH($B556,Effective!$A$3:$A$125,0),MATCH($D556,Effective!$E$2:$R$2,0))),"")</f>
        <v/>
      </c>
      <c r="H556" s="22" t="inlineStr">
        <is>
          <t>override</t>
        </is>
      </c>
      <c r="I556" s="23" t="n">
        <v>0.449</v>
      </c>
      <c r="J556" s="24">
        <f>IF(AND(IF($H560&lt;&gt;"",$H560,$H556)="override",$I556&lt;&gt;""),$I556,SUMIFS(Assumptions!$K$4:$K$8,Assumptions!$J$4:$J$8,$C556))*Assumptions!$S$10</f>
        <v/>
      </c>
      <c r="K556" s="23" t="n"/>
      <c r="L556" s="25">
        <f>IF(AND(IF($H560&lt;&gt;"",$H560,$H556)="override",$K556&lt;&gt;""),$K556,SUMIFS(Assumptions!$P$4:$P$103,Assumptions!$M$4:$M$103,$C556,Assumptions!$N$4:$N$103,$E556,Assumptions!$O$4:$O$103,"LVN"))</f>
        <v/>
      </c>
      <c r="M556" s="23" t="n"/>
      <c r="N556" s="25">
        <f>IF(AND(IF($H560&lt;&gt;"",$H560,$H556)="override",$M556&lt;&gt;""),$M556,SUMIFS(Assumptions!$P$4:$P$103,Assumptions!$M$4:$M$103,$C556,Assumptions!$N$4:$N$103,$E556,Assumptions!$O$4:$O$103,"HVN"))</f>
        <v/>
      </c>
      <c r="O556" s="25">
        <f>(L556+N556)*Assumptions!$S$11</f>
        <v/>
      </c>
      <c r="P556" s="26">
        <f>$F556*$J556*$O556</f>
        <v/>
      </c>
    </row>
    <row r="557">
      <c r="A557" s="11" t="inlineStr">
        <is>
          <t>UNIT</t>
        </is>
      </c>
      <c r="B557" s="18" t="inlineStr">
        <is>
          <t>CITGO_CORPUS_CHRISTI</t>
        </is>
      </c>
      <c r="C557" s="18" t="n">
        <v>3</v>
      </c>
      <c r="D557" s="18" t="inlineStr">
        <is>
          <t>CCR</t>
        </is>
      </c>
      <c r="E557" s="18" t="inlineStr">
        <is>
          <t>REFORMER</t>
        </is>
      </c>
      <c r="F557" s="19" t="n">
        <v>51.5</v>
      </c>
      <c r="G557" s="21">
        <f>IFERROR(IF(INDEX(Effective!$E$3:$R$125,MATCH($B557,Effective!$A$3:$A$125,0),MATCH($D557,Effective!$E$2:$R$2,0))=0,"",INDEX(Effective!$E$3:$R$125,MATCH($B557,Effective!$A$3:$A$125,0),MATCH($D557,Effective!$E$2:$R$2,0))),"")</f>
        <v/>
      </c>
      <c r="H557" s="22" t="inlineStr">
        <is>
          <t>override</t>
        </is>
      </c>
      <c r="I557" s="23" t="n">
        <v>0.589</v>
      </c>
      <c r="J557" s="24">
        <f>IF(AND(IF($H560&lt;&gt;"",$H560,$H557)="override",$I557&lt;&gt;""),$I557,SUMIFS(Assumptions!$K$4:$K$8,Assumptions!$J$4:$J$8,$C557))*Assumptions!$S$10</f>
        <v/>
      </c>
      <c r="K557" s="23" t="n"/>
      <c r="L557" s="25">
        <f>IF(AND(IF($H560&lt;&gt;"",$H560,$H557)="override",$K557&lt;&gt;""),$K557,SUMIFS(Assumptions!$P$4:$P$103,Assumptions!$M$4:$M$103,$C557,Assumptions!$N$4:$N$103,$E557,Assumptions!$O$4:$O$103,"LVN"))</f>
        <v/>
      </c>
      <c r="M557" s="23" t="n"/>
      <c r="N557" s="25">
        <f>IF(AND(IF($H560&lt;&gt;"",$H560,$H557)="override",$M557&lt;&gt;""),$M557,SUMIFS(Assumptions!$P$4:$P$103,Assumptions!$M$4:$M$103,$C557,Assumptions!$N$4:$N$103,$E557,Assumptions!$O$4:$O$103,"HVN"))</f>
        <v/>
      </c>
      <c r="O557" s="25">
        <f>(L557+N557)*Assumptions!$S$11</f>
        <v/>
      </c>
      <c r="P557" s="26">
        <f>$F557*$J557*$O557</f>
        <v/>
      </c>
    </row>
    <row r="558">
      <c r="A558" s="11" t="inlineStr">
        <is>
          <t>UNIT</t>
        </is>
      </c>
      <c r="B558" s="18" t="inlineStr">
        <is>
          <t>CITGO_CORPUS_CHRISTI</t>
        </is>
      </c>
      <c r="C558" s="18" t="n">
        <v>3</v>
      </c>
      <c r="D558" s="18" t="inlineStr">
        <is>
          <t>ALKY</t>
        </is>
      </c>
      <c r="E558" s="18" t="inlineStr">
        <is>
          <t>ALKY</t>
        </is>
      </c>
      <c r="F558" s="19" t="n">
        <v>24.35</v>
      </c>
      <c r="G558" s="21">
        <f>IFERROR(IF(INDEX(Effective!$E$3:$R$125,MATCH($B558,Effective!$A$3:$A$125,0),MATCH($D558,Effective!$E$2:$R$2,0))=0,"",INDEX(Effective!$E$3:$R$125,MATCH($B558,Effective!$A$3:$A$125,0),MATCH($D558,Effective!$E$2:$R$2,0))),"")</f>
        <v/>
      </c>
      <c r="H558" s="22" t="inlineStr">
        <is>
          <t>override</t>
        </is>
      </c>
      <c r="I558" s="23" t="n">
        <v>1.1</v>
      </c>
      <c r="J558" s="24">
        <f>IF(AND(IF($H560&lt;&gt;"",$H560,$H558)="override",$I558&lt;&gt;""),$I558,SUMIFS(Assumptions!$K$4:$K$8,Assumptions!$J$4:$J$8,$C558))*Assumptions!$S$10</f>
        <v/>
      </c>
      <c r="K558" s="23" t="n"/>
      <c r="L558" s="25">
        <f>IF(AND(IF($H560&lt;&gt;"",$H560,$H558)="override",$K558&lt;&gt;""),$K558,SUMIFS(Assumptions!$P$4:$P$103,Assumptions!$M$4:$M$103,$C558,Assumptions!$N$4:$N$103,$E558,Assumptions!$O$4:$O$103,"LVN"))</f>
        <v/>
      </c>
      <c r="M558" s="23" t="n"/>
      <c r="N558" s="25">
        <f>IF(AND(IF($H560&lt;&gt;"",$H560,$H558)="override",$M558&lt;&gt;""),$M558,SUMIFS(Assumptions!$P$4:$P$103,Assumptions!$M$4:$M$103,$C558,Assumptions!$N$4:$N$103,$E558,Assumptions!$O$4:$O$103,"HVN"))</f>
        <v/>
      </c>
      <c r="O558" s="25">
        <f>(L558+N558)*Assumptions!$S$11</f>
        <v/>
      </c>
      <c r="P558" s="26">
        <f>$F558*$J558*$O558</f>
        <v/>
      </c>
    </row>
    <row r="559">
      <c r="A559" s="11" t="inlineStr">
        <is>
          <t>UNIT</t>
        </is>
      </c>
      <c r="B559" s="18" t="inlineStr">
        <is>
          <t>CITGO_CORPUS_CHRISTI</t>
        </is>
      </c>
      <c r="C559" s="18" t="n">
        <v>3</v>
      </c>
      <c r="D559" s="18" t="inlineStr">
        <is>
          <t>NHT</t>
        </is>
      </c>
      <c r="E559" s="18" t="inlineStr">
        <is>
          <t>NHT</t>
        </is>
      </c>
      <c r="F559" s="19" t="n">
        <v>52.8</v>
      </c>
      <c r="G559" s="21">
        <f>IFERROR(IF(INDEX(Effective!$E$3:$R$125,MATCH($B559,Effective!$A$3:$A$125,0),MATCH($D559,Effective!$E$2:$R$2,0))=0,"",INDEX(Effective!$E$3:$R$125,MATCH($B559,Effective!$A$3:$A$125,0),MATCH($D559,Effective!$E$2:$R$2,0))),"")</f>
        <v/>
      </c>
      <c r="H559" s="22" t="inlineStr">
        <is>
          <t>override</t>
        </is>
      </c>
      <c r="I559" s="23" t="n">
        <v>0.763</v>
      </c>
      <c r="J559" s="24">
        <f>IF(AND(IF($H560&lt;&gt;"",$H560,$H559)="override",$I559&lt;&gt;""),$I559,SUMIFS(Assumptions!$K$4:$K$8,Assumptions!$J$4:$J$8,$C559))*Assumptions!$S$10</f>
        <v/>
      </c>
      <c r="K559" s="23" t="n"/>
      <c r="L559" s="25">
        <f>IF(AND(IF($H560&lt;&gt;"",$H560,$H559)="override",$K559&lt;&gt;""),$K559,SUMIFS(Assumptions!$P$4:$P$103,Assumptions!$M$4:$M$103,$C559,Assumptions!$N$4:$N$103,$E559,Assumptions!$O$4:$O$103,"LVN"))</f>
        <v/>
      </c>
      <c r="M559" s="23" t="n"/>
      <c r="N559" s="25">
        <f>IF(AND(IF($H560&lt;&gt;"",$H560,$H559)="override",$M559&lt;&gt;""),$M559,SUMIFS(Assumptions!$P$4:$P$103,Assumptions!$M$4:$M$103,$C559,Assumptions!$N$4:$N$103,$E559,Assumptions!$O$4:$O$103,"HVN"))</f>
        <v/>
      </c>
      <c r="O559" s="25">
        <f>(L559+N559)*Assumptions!$S$11</f>
        <v/>
      </c>
      <c r="P559" s="26">
        <f>$F559*$J559*$O559</f>
        <v/>
      </c>
    </row>
    <row r="560">
      <c r="A560" s="27" t="inlineStr">
        <is>
          <t>TOTAL</t>
        </is>
      </c>
      <c r="B560" s="28" t="inlineStr">
        <is>
          <t>CITGO_CORPUS_CHRISTI</t>
        </is>
      </c>
      <c r="C560" s="28" t="n">
        <v>3</v>
      </c>
      <c r="D560" s="28" t="inlineStr">
        <is>
          <t>NET NAPHTHA</t>
        </is>
      </c>
      <c r="H560" s="22" t="n"/>
      <c r="P560" s="29">
        <f>SUM(P553:P559)</f>
        <v/>
      </c>
    </row>
    <row r="562" ht="20" customHeight="1">
      <c r="A562" s="8">
        <f>"  WRB Refining Borger  [WRB_BORGER]   —   Cenovus (50%) / Phillips 66 Co. (50%)   —   PADD 3   —   crude "&amp;TEXT(SUMIFS(Data!$G$3:$G$125,Data!$A$3:$A$125,"WRB_BORGER"),"#,##0")&amp;" kbd"</f>
        <v/>
      </c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</row>
    <row r="563">
      <c r="A563" s="11" t="inlineStr">
        <is>
          <t>UNIT</t>
        </is>
      </c>
      <c r="B563" s="18" t="inlineStr">
        <is>
          <t>WRB_BORGER</t>
        </is>
      </c>
      <c r="C563" s="18" t="n">
        <v>3</v>
      </c>
      <c r="D563" s="18" t="inlineStr">
        <is>
          <t>CDU</t>
        </is>
      </c>
      <c r="E563" s="18" t="inlineStr">
        <is>
          <t>CDU</t>
        </is>
      </c>
      <c r="F563" s="19" t="n">
        <v>157</v>
      </c>
      <c r="G563" s="21">
        <f>IFERROR(IF(INDEX(Effective!$E$3:$R$125,MATCH($B563,Effective!$A$3:$A$125,0),MATCH($D563,Effective!$E$2:$R$2,0))=0,"",INDEX(Effective!$E$3:$R$125,MATCH($B563,Effective!$A$3:$A$125,0),MATCH($D563,Effective!$E$2:$R$2,0))),"")</f>
        <v/>
      </c>
      <c r="H563" s="22" t="inlineStr">
        <is>
          <t>override</t>
        </is>
      </c>
      <c r="I563" s="23" t="n">
        <v>0.888</v>
      </c>
      <c r="J563" s="24">
        <f>IF(AND(IF($H571&lt;&gt;"",$H571,$H563)="override",$I563&lt;&gt;""),$I563,SUMIFS(Assumptions!$K$4:$K$8,Assumptions!$J$4:$J$8,$C563))*Assumptions!$S$10</f>
        <v/>
      </c>
      <c r="K563" s="23" t="n"/>
      <c r="L563" s="25">
        <f>IF(AND(IF($H571&lt;&gt;"",$H571,$H563)="override",$K563&lt;&gt;""),$K563,SUMIFS(Assumptions!$P$4:$P$103,Assumptions!$M$4:$M$103,$C563,Assumptions!$N$4:$N$103,$E563,Assumptions!$O$4:$O$103,"LVN"))</f>
        <v/>
      </c>
      <c r="M563" s="23" t="n"/>
      <c r="N563" s="25">
        <f>IF(AND(IF($H571&lt;&gt;"",$H571,$H563)="override",$M563&lt;&gt;""),$M563,SUMIFS(Assumptions!$P$4:$P$103,Assumptions!$M$4:$M$103,$C563,Assumptions!$N$4:$N$103,$E563,Assumptions!$O$4:$O$103,"HVN"))</f>
        <v/>
      </c>
      <c r="O563" s="25">
        <f>(L563+N563)*Assumptions!$S$11</f>
        <v/>
      </c>
      <c r="P563" s="26">
        <f>$F563*$J563*$O563</f>
        <v/>
      </c>
    </row>
    <row r="564">
      <c r="A564" s="11" t="inlineStr">
        <is>
          <t>UNIT</t>
        </is>
      </c>
      <c r="B564" s="18" t="inlineStr">
        <is>
          <t>WRB_BORGER</t>
        </is>
      </c>
      <c r="C564" s="18" t="n">
        <v>3</v>
      </c>
      <c r="D564" s="18" t="inlineStr">
        <is>
          <t>VDU</t>
        </is>
      </c>
      <c r="E564" s="18" t="inlineStr">
        <is>
          <t>VDU</t>
        </is>
      </c>
      <c r="F564" s="19" t="n">
        <v>80</v>
      </c>
      <c r="G564" s="21">
        <f>IFERROR(IF(INDEX(Effective!$E$3:$R$125,MATCH($B564,Effective!$A$3:$A$125,0),MATCH($D564,Effective!$E$2:$R$2,0))=0,"",INDEX(Effective!$E$3:$R$125,MATCH($B564,Effective!$A$3:$A$125,0),MATCH($D564,Effective!$E$2:$R$2,0))),"")</f>
        <v/>
      </c>
      <c r="H564" s="22" t="inlineStr">
        <is>
          <t>override</t>
        </is>
      </c>
      <c r="I564" s="23" t="n">
        <v>0.635</v>
      </c>
      <c r="J564" s="24">
        <f>IF(AND(IF($H571&lt;&gt;"",$H571,$H564)="override",$I564&lt;&gt;""),$I564,SUMIFS(Assumptions!$K$4:$K$8,Assumptions!$J$4:$J$8,$C564))*Assumptions!$S$10</f>
        <v/>
      </c>
      <c r="K564" s="23" t="n"/>
      <c r="L564" s="25">
        <f>IF(AND(IF($H571&lt;&gt;"",$H571,$H564)="override",$K564&lt;&gt;""),$K564,SUMIFS(Assumptions!$P$4:$P$103,Assumptions!$M$4:$M$103,$C564,Assumptions!$N$4:$N$103,$E564,Assumptions!$O$4:$O$103,"LVN"))</f>
        <v/>
      </c>
      <c r="M564" s="23" t="n"/>
      <c r="N564" s="25">
        <f>IF(AND(IF($H571&lt;&gt;"",$H571,$H564)="override",$M564&lt;&gt;""),$M564,SUMIFS(Assumptions!$P$4:$P$103,Assumptions!$M$4:$M$103,$C564,Assumptions!$N$4:$N$103,$E564,Assumptions!$O$4:$O$103,"HVN"))</f>
        <v/>
      </c>
      <c r="O564" s="25">
        <f>(L564+N564)*Assumptions!$S$11</f>
        <v/>
      </c>
      <c r="P564" s="26">
        <f>$F564*$J564*$O564</f>
        <v/>
      </c>
    </row>
    <row r="565">
      <c r="A565" s="11" t="inlineStr">
        <is>
          <t>UNIT</t>
        </is>
      </c>
      <c r="B565" s="18" t="inlineStr">
        <is>
          <t>WRB_BORGER</t>
        </is>
      </c>
      <c r="C565" s="18" t="n">
        <v>3</v>
      </c>
      <c r="D565" s="18" t="inlineStr">
        <is>
          <t>FCC</t>
        </is>
      </c>
      <c r="E565" s="18" t="inlineStr">
        <is>
          <t>FCC</t>
        </is>
      </c>
      <c r="F565" s="19" t="n">
        <v>56</v>
      </c>
      <c r="G565" s="21">
        <f>IFERROR(IF(INDEX(Effective!$E$3:$R$125,MATCH($B565,Effective!$A$3:$A$125,0),MATCH($D565,Effective!$E$2:$R$2,0))=0,"",INDEX(Effective!$E$3:$R$125,MATCH($B565,Effective!$A$3:$A$125,0),MATCH($D565,Effective!$E$2:$R$2,0))),"")</f>
        <v/>
      </c>
      <c r="H565" s="22" t="inlineStr">
        <is>
          <t>override</t>
        </is>
      </c>
      <c r="I565" s="23" t="n">
        <v>0.592</v>
      </c>
      <c r="J565" s="24">
        <f>IF(AND(IF($H571&lt;&gt;"",$H571,$H565)="override",$I565&lt;&gt;""),$I565,SUMIFS(Assumptions!$K$4:$K$8,Assumptions!$J$4:$J$8,$C565))*Assumptions!$S$10</f>
        <v/>
      </c>
      <c r="K565" s="23" t="n"/>
      <c r="L565" s="25">
        <f>IF(AND(IF($H571&lt;&gt;"",$H571,$H565)="override",$K565&lt;&gt;""),$K565,SUMIFS(Assumptions!$P$4:$P$103,Assumptions!$M$4:$M$103,$C565,Assumptions!$N$4:$N$103,$E565,Assumptions!$O$4:$O$103,"LVN"))</f>
        <v/>
      </c>
      <c r="M565" s="23" t="n"/>
      <c r="N565" s="25">
        <f>IF(AND(IF($H571&lt;&gt;"",$H571,$H565)="override",$M565&lt;&gt;""),$M565,SUMIFS(Assumptions!$P$4:$P$103,Assumptions!$M$4:$M$103,$C565,Assumptions!$N$4:$N$103,$E565,Assumptions!$O$4:$O$103,"HVN"))</f>
        <v/>
      </c>
      <c r="O565" s="25">
        <f>(L565+N565)*Assumptions!$S$11</f>
        <v/>
      </c>
      <c r="P565" s="26">
        <f>$F565*$J565*$O565</f>
        <v/>
      </c>
    </row>
    <row r="566">
      <c r="A566" s="11" t="inlineStr">
        <is>
          <t>UNIT</t>
        </is>
      </c>
      <c r="B566" s="18" t="inlineStr">
        <is>
          <t>WRB_BORGER</t>
        </is>
      </c>
      <c r="C566" s="18" t="n">
        <v>3</v>
      </c>
      <c r="D566" s="18" t="inlineStr">
        <is>
          <t>COKER</t>
        </is>
      </c>
      <c r="E566" s="18" t="inlineStr">
        <is>
          <t>COKER</t>
        </is>
      </c>
      <c r="F566" s="19" t="n">
        <v>28.38</v>
      </c>
      <c r="G566" s="21">
        <f>IFERROR(IF(INDEX(Effective!$E$3:$R$125,MATCH($B566,Effective!$A$3:$A$125,0),MATCH($D566,Effective!$E$2:$R$2,0))=0,"",INDEX(Effective!$E$3:$R$125,MATCH($B566,Effective!$A$3:$A$125,0),MATCH($D566,Effective!$E$2:$R$2,0))),"")</f>
        <v/>
      </c>
      <c r="H566" s="22" t="inlineStr">
        <is>
          <t>override</t>
        </is>
      </c>
      <c r="I566" s="23" t="n">
        <v>0.764</v>
      </c>
      <c r="J566" s="24">
        <f>IF(AND(IF($H571&lt;&gt;"",$H571,$H566)="override",$I566&lt;&gt;""),$I566,SUMIFS(Assumptions!$K$4:$K$8,Assumptions!$J$4:$J$8,$C566))*Assumptions!$S$10</f>
        <v/>
      </c>
      <c r="K566" s="23" t="n"/>
      <c r="L566" s="25">
        <f>IF(AND(IF($H571&lt;&gt;"",$H571,$H566)="override",$K566&lt;&gt;""),$K566,SUMIFS(Assumptions!$P$4:$P$103,Assumptions!$M$4:$M$103,$C566,Assumptions!$N$4:$N$103,$E566,Assumptions!$O$4:$O$103,"LVN"))</f>
        <v/>
      </c>
      <c r="M566" s="23" t="n"/>
      <c r="N566" s="25">
        <f>IF(AND(IF($H571&lt;&gt;"",$H571,$H566)="override",$M566&lt;&gt;""),$M566,SUMIFS(Assumptions!$P$4:$P$103,Assumptions!$M$4:$M$103,$C566,Assumptions!$N$4:$N$103,$E566,Assumptions!$O$4:$O$103,"HVN"))</f>
        <v/>
      </c>
      <c r="O566" s="25">
        <f>(L566+N566)*Assumptions!$S$11</f>
        <v/>
      </c>
      <c r="P566" s="26">
        <f>$F566*$J566*$O566</f>
        <v/>
      </c>
    </row>
    <row r="567">
      <c r="A567" s="11" t="inlineStr">
        <is>
          <t>UNIT</t>
        </is>
      </c>
      <c r="B567" s="18" t="inlineStr">
        <is>
          <t>WRB_BORGER</t>
        </is>
      </c>
      <c r="C567" s="18" t="n">
        <v>3</v>
      </c>
      <c r="D567" s="18" t="inlineStr">
        <is>
          <t>REF</t>
        </is>
      </c>
      <c r="E567" s="18" t="inlineStr">
        <is>
          <t>REFORMER</t>
        </is>
      </c>
      <c r="F567" s="19" t="n">
        <v>31.28</v>
      </c>
      <c r="G567" s="21">
        <f>IFERROR(IF(INDEX(Effective!$E$3:$R$125,MATCH($B567,Effective!$A$3:$A$125,0),MATCH($D567,Effective!$E$2:$R$2,0))=0,"",INDEX(Effective!$E$3:$R$125,MATCH($B567,Effective!$A$3:$A$125,0),MATCH($D567,Effective!$E$2:$R$2,0))),"")</f>
        <v/>
      </c>
      <c r="H567" s="22" t="inlineStr">
        <is>
          <t>override</t>
        </is>
      </c>
      <c r="I567" s="23" t="n">
        <v>0.876</v>
      </c>
      <c r="J567" s="24">
        <f>IF(AND(IF($H571&lt;&gt;"",$H571,$H567)="override",$I567&lt;&gt;""),$I567,SUMIFS(Assumptions!$K$4:$K$8,Assumptions!$J$4:$J$8,$C567))*Assumptions!$S$10</f>
        <v/>
      </c>
      <c r="K567" s="23" t="n"/>
      <c r="L567" s="25">
        <f>IF(AND(IF($H571&lt;&gt;"",$H571,$H567)="override",$K567&lt;&gt;""),$K567,SUMIFS(Assumptions!$P$4:$P$103,Assumptions!$M$4:$M$103,$C567,Assumptions!$N$4:$N$103,$E567,Assumptions!$O$4:$O$103,"LVN"))</f>
        <v/>
      </c>
      <c r="M567" s="23" t="n"/>
      <c r="N567" s="25">
        <f>IF(AND(IF($H571&lt;&gt;"",$H571,$H567)="override",$M567&lt;&gt;""),$M567,SUMIFS(Assumptions!$P$4:$P$103,Assumptions!$M$4:$M$103,$C567,Assumptions!$N$4:$N$103,$E567,Assumptions!$O$4:$O$103,"HVN"))</f>
        <v/>
      </c>
      <c r="O567" s="25">
        <f>(L567+N567)*Assumptions!$S$11</f>
        <v/>
      </c>
      <c r="P567" s="26">
        <f>$F567*$J567*$O567</f>
        <v/>
      </c>
    </row>
    <row r="568">
      <c r="A568" s="11" t="inlineStr">
        <is>
          <t>UNIT</t>
        </is>
      </c>
      <c r="B568" s="18" t="inlineStr">
        <is>
          <t>WRB_BORGER</t>
        </is>
      </c>
      <c r="C568" s="18" t="n">
        <v>3</v>
      </c>
      <c r="D568" s="18" t="inlineStr">
        <is>
          <t>ISOM</t>
        </is>
      </c>
      <c r="E568" s="18" t="inlineStr">
        <is>
          <t>ISOM</t>
        </is>
      </c>
      <c r="F568" s="19" t="n">
        <v>31</v>
      </c>
      <c r="G568" s="21">
        <f>IFERROR(IF(INDEX(Effective!$E$3:$R$125,MATCH($B568,Effective!$A$3:$A$125,0),MATCH($D568,Effective!$E$2:$R$2,0))=0,"",INDEX(Effective!$E$3:$R$125,MATCH($B568,Effective!$A$3:$A$125,0),MATCH($D568,Effective!$E$2:$R$2,0))),"")</f>
        <v/>
      </c>
      <c r="H568" s="22" t="inlineStr">
        <is>
          <t>override</t>
        </is>
      </c>
      <c r="I568" s="23" t="n">
        <v>0.508</v>
      </c>
      <c r="J568" s="24">
        <f>IF(AND(IF($H571&lt;&gt;"",$H571,$H568)="override",$I568&lt;&gt;""),$I568,SUMIFS(Assumptions!$K$4:$K$8,Assumptions!$J$4:$J$8,$C568))*Assumptions!$S$10</f>
        <v/>
      </c>
      <c r="K568" s="23" t="n"/>
      <c r="L568" s="25">
        <f>IF(AND(IF($H571&lt;&gt;"",$H571,$H568)="override",$K568&lt;&gt;""),$K568,SUMIFS(Assumptions!$P$4:$P$103,Assumptions!$M$4:$M$103,$C568,Assumptions!$N$4:$N$103,$E568,Assumptions!$O$4:$O$103,"LVN"))</f>
        <v/>
      </c>
      <c r="M568" s="23" t="n"/>
      <c r="N568" s="25">
        <f>IF(AND(IF($H571&lt;&gt;"",$H571,$H568)="override",$M568&lt;&gt;""),$M568,SUMIFS(Assumptions!$P$4:$P$103,Assumptions!$M$4:$M$103,$C568,Assumptions!$N$4:$N$103,$E568,Assumptions!$O$4:$O$103,"HVN"))</f>
        <v/>
      </c>
      <c r="O568" s="25">
        <f>(L568+N568)*Assumptions!$S$11</f>
        <v/>
      </c>
      <c r="P568" s="26">
        <f>$F568*$J568*$O568</f>
        <v/>
      </c>
    </row>
    <row r="569">
      <c r="A569" s="11" t="inlineStr">
        <is>
          <t>UNIT</t>
        </is>
      </c>
      <c r="B569" s="18" t="inlineStr">
        <is>
          <t>WRB_BORGER</t>
        </is>
      </c>
      <c r="C569" s="18" t="n">
        <v>3</v>
      </c>
      <c r="D569" s="18" t="inlineStr">
        <is>
          <t>ALKY</t>
        </is>
      </c>
      <c r="E569" s="18" t="inlineStr">
        <is>
          <t>ALKY</t>
        </is>
      </c>
      <c r="F569" s="19" t="n">
        <v>14</v>
      </c>
      <c r="G569" s="21">
        <f>IFERROR(IF(INDEX(Effective!$E$3:$R$125,MATCH($B569,Effective!$A$3:$A$125,0),MATCH($D569,Effective!$E$2:$R$2,0))=0,"",INDEX(Effective!$E$3:$R$125,MATCH($B569,Effective!$A$3:$A$125,0),MATCH($D569,Effective!$E$2:$R$2,0))),"")</f>
        <v/>
      </c>
      <c r="H569" s="22" t="inlineStr">
        <is>
          <t>override</t>
        </is>
      </c>
      <c r="I569" s="23" t="n">
        <v>0.669</v>
      </c>
      <c r="J569" s="24">
        <f>IF(AND(IF($H571&lt;&gt;"",$H571,$H569)="override",$I569&lt;&gt;""),$I569,SUMIFS(Assumptions!$K$4:$K$8,Assumptions!$J$4:$J$8,$C569))*Assumptions!$S$10</f>
        <v/>
      </c>
      <c r="K569" s="23" t="n"/>
      <c r="L569" s="25">
        <f>IF(AND(IF($H571&lt;&gt;"",$H571,$H569)="override",$K569&lt;&gt;""),$K569,SUMIFS(Assumptions!$P$4:$P$103,Assumptions!$M$4:$M$103,$C569,Assumptions!$N$4:$N$103,$E569,Assumptions!$O$4:$O$103,"LVN"))</f>
        <v/>
      </c>
      <c r="M569" s="23" t="n"/>
      <c r="N569" s="25">
        <f>IF(AND(IF($H571&lt;&gt;"",$H571,$H569)="override",$M569&lt;&gt;""),$M569,SUMIFS(Assumptions!$P$4:$P$103,Assumptions!$M$4:$M$103,$C569,Assumptions!$N$4:$N$103,$E569,Assumptions!$O$4:$O$103,"HVN"))</f>
        <v/>
      </c>
      <c r="O569" s="25">
        <f>(L569+N569)*Assumptions!$S$11</f>
        <v/>
      </c>
      <c r="P569" s="26">
        <f>$F569*$J569*$O569</f>
        <v/>
      </c>
    </row>
    <row r="570">
      <c r="A570" s="11" t="inlineStr">
        <is>
          <t>UNIT</t>
        </is>
      </c>
      <c r="B570" s="18" t="inlineStr">
        <is>
          <t>WRB_BORGER</t>
        </is>
      </c>
      <c r="C570" s="18" t="n">
        <v>3</v>
      </c>
      <c r="D570" s="18" t="inlineStr">
        <is>
          <t>NHT</t>
        </is>
      </c>
      <c r="E570" s="18" t="inlineStr">
        <is>
          <t>NHT</t>
        </is>
      </c>
      <c r="F570" s="19" t="n">
        <v>65.54000000000001</v>
      </c>
      <c r="G570" s="21">
        <f>IFERROR(IF(INDEX(Effective!$E$3:$R$125,MATCH($B570,Effective!$A$3:$A$125,0),MATCH($D570,Effective!$E$2:$R$2,0))=0,"",INDEX(Effective!$E$3:$R$125,MATCH($B570,Effective!$A$3:$A$125,0),MATCH($D570,Effective!$E$2:$R$2,0))),"")</f>
        <v/>
      </c>
      <c r="H570" s="22" t="inlineStr">
        <is>
          <t>override</t>
        </is>
      </c>
      <c r="I570" s="23" t="n">
        <v>0.475</v>
      </c>
      <c r="J570" s="24">
        <f>IF(AND(IF($H571&lt;&gt;"",$H571,$H570)="override",$I570&lt;&gt;""),$I570,SUMIFS(Assumptions!$K$4:$K$8,Assumptions!$J$4:$J$8,$C570))*Assumptions!$S$10</f>
        <v/>
      </c>
      <c r="K570" s="23" t="n"/>
      <c r="L570" s="25">
        <f>IF(AND(IF($H571&lt;&gt;"",$H571,$H570)="override",$K570&lt;&gt;""),$K570,SUMIFS(Assumptions!$P$4:$P$103,Assumptions!$M$4:$M$103,$C570,Assumptions!$N$4:$N$103,$E570,Assumptions!$O$4:$O$103,"LVN"))</f>
        <v/>
      </c>
      <c r="M570" s="23" t="n"/>
      <c r="N570" s="25">
        <f>IF(AND(IF($H571&lt;&gt;"",$H571,$H570)="override",$M570&lt;&gt;""),$M570,SUMIFS(Assumptions!$P$4:$P$103,Assumptions!$M$4:$M$103,$C570,Assumptions!$N$4:$N$103,$E570,Assumptions!$O$4:$O$103,"HVN"))</f>
        <v/>
      </c>
      <c r="O570" s="25">
        <f>(L570+N570)*Assumptions!$S$11</f>
        <v/>
      </c>
      <c r="P570" s="26">
        <f>$F570*$J570*$O570</f>
        <v/>
      </c>
    </row>
    <row r="571">
      <c r="A571" s="27" t="inlineStr">
        <is>
          <t>TOTAL</t>
        </is>
      </c>
      <c r="B571" s="28" t="inlineStr">
        <is>
          <t>WRB_BORGER</t>
        </is>
      </c>
      <c r="C571" s="28" t="n">
        <v>3</v>
      </c>
      <c r="D571" s="28" t="inlineStr">
        <is>
          <t>NET NAPHTHA</t>
        </is>
      </c>
      <c r="H571" s="22" t="n"/>
      <c r="P571" s="29">
        <f>SUM(P563:P570)</f>
        <v/>
      </c>
    </row>
    <row r="573" ht="20" customHeight="1">
      <c r="A573" s="8">
        <f>"  Marathon Petroleum El Paso  [MARATHON_EL_PASO]   —   Marathon Petroleum   —   PADD 3   —   crude "&amp;TEXT(SUMIFS(Data!$G$3:$G$125,Data!$A$3:$A$125,"MARATHON_EL_PASO"),"#,##0")&amp;" kbd"</f>
        <v/>
      </c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</row>
    <row r="574">
      <c r="A574" s="11" t="inlineStr">
        <is>
          <t>UNIT</t>
        </is>
      </c>
      <c r="B574" s="18" t="inlineStr">
        <is>
          <t>MARATHON_EL_PASO</t>
        </is>
      </c>
      <c r="C574" s="18" t="n">
        <v>3</v>
      </c>
      <c r="D574" s="18" t="inlineStr">
        <is>
          <t>CDU</t>
        </is>
      </c>
      <c r="E574" s="18" t="inlineStr">
        <is>
          <t>CDU</t>
        </is>
      </c>
      <c r="F574" s="19" t="n">
        <v>138</v>
      </c>
      <c r="G574" s="21">
        <f>IFERROR(IF(INDEX(Effective!$E$3:$R$125,MATCH($B574,Effective!$A$3:$A$125,0),MATCH($D574,Effective!$E$2:$R$2,0))=0,"",INDEX(Effective!$E$3:$R$125,MATCH($B574,Effective!$A$3:$A$125,0),MATCH($D574,Effective!$E$2:$R$2,0))),"")</f>
        <v/>
      </c>
      <c r="H574" s="22" t="inlineStr">
        <is>
          <t>override</t>
        </is>
      </c>
      <c r="I574" s="23" t="n">
        <v>0.902</v>
      </c>
      <c r="J574" s="24">
        <f>IF(AND(IF($H580&lt;&gt;"",$H580,$H574)="override",$I574&lt;&gt;""),$I574,SUMIFS(Assumptions!$K$4:$K$8,Assumptions!$J$4:$J$8,$C574))*Assumptions!$S$10</f>
        <v/>
      </c>
      <c r="K574" s="23" t="n"/>
      <c r="L574" s="25">
        <f>IF(AND(IF($H580&lt;&gt;"",$H580,$H574)="override",$K574&lt;&gt;""),$K574,SUMIFS(Assumptions!$P$4:$P$103,Assumptions!$M$4:$M$103,$C574,Assumptions!$N$4:$N$103,$E574,Assumptions!$O$4:$O$103,"LVN"))</f>
        <v/>
      </c>
      <c r="M574" s="23" t="n"/>
      <c r="N574" s="25">
        <f>IF(AND(IF($H580&lt;&gt;"",$H580,$H574)="override",$M574&lt;&gt;""),$M574,SUMIFS(Assumptions!$P$4:$P$103,Assumptions!$M$4:$M$103,$C574,Assumptions!$N$4:$N$103,$E574,Assumptions!$O$4:$O$103,"HVN"))</f>
        <v/>
      </c>
      <c r="O574" s="25">
        <f>(L574+N574)*Assumptions!$S$11</f>
        <v/>
      </c>
      <c r="P574" s="26">
        <f>$F574*$J574*$O574</f>
        <v/>
      </c>
    </row>
    <row r="575">
      <c r="A575" s="11" t="inlineStr">
        <is>
          <t>UNIT</t>
        </is>
      </c>
      <c r="B575" s="18" t="inlineStr">
        <is>
          <t>MARATHON_EL_PASO</t>
        </is>
      </c>
      <c r="C575" s="18" t="n">
        <v>3</v>
      </c>
      <c r="D575" s="18" t="inlineStr">
        <is>
          <t>VDU</t>
        </is>
      </c>
      <c r="E575" s="18" t="inlineStr">
        <is>
          <t>VDU</t>
        </is>
      </c>
      <c r="F575" s="19" t="n">
        <v>55.5</v>
      </c>
      <c r="G575" s="21">
        <f>IFERROR(IF(INDEX(Effective!$E$3:$R$125,MATCH($B575,Effective!$A$3:$A$125,0),MATCH($D575,Effective!$E$2:$R$2,0))=0,"",INDEX(Effective!$E$3:$R$125,MATCH($B575,Effective!$A$3:$A$125,0),MATCH($D575,Effective!$E$2:$R$2,0))),"")</f>
        <v/>
      </c>
      <c r="H575" s="22" t="inlineStr">
        <is>
          <t>override</t>
        </is>
      </c>
      <c r="I575" s="23" t="n">
        <v>0.651</v>
      </c>
      <c r="J575" s="24">
        <f>IF(AND(IF($H580&lt;&gt;"",$H580,$H575)="override",$I575&lt;&gt;""),$I575,SUMIFS(Assumptions!$K$4:$K$8,Assumptions!$J$4:$J$8,$C575))*Assumptions!$S$10</f>
        <v/>
      </c>
      <c r="K575" s="23" t="n"/>
      <c r="L575" s="25">
        <f>IF(AND(IF($H580&lt;&gt;"",$H580,$H575)="override",$K575&lt;&gt;""),$K575,SUMIFS(Assumptions!$P$4:$P$103,Assumptions!$M$4:$M$103,$C575,Assumptions!$N$4:$N$103,$E575,Assumptions!$O$4:$O$103,"LVN"))</f>
        <v/>
      </c>
      <c r="M575" s="23" t="n"/>
      <c r="N575" s="25">
        <f>IF(AND(IF($H580&lt;&gt;"",$H580,$H575)="override",$M575&lt;&gt;""),$M575,SUMIFS(Assumptions!$P$4:$P$103,Assumptions!$M$4:$M$103,$C575,Assumptions!$N$4:$N$103,$E575,Assumptions!$O$4:$O$103,"HVN"))</f>
        <v/>
      </c>
      <c r="O575" s="25">
        <f>(L575+N575)*Assumptions!$S$11</f>
        <v/>
      </c>
      <c r="P575" s="26">
        <f>$F575*$J575*$O575</f>
        <v/>
      </c>
    </row>
    <row r="576">
      <c r="A576" s="11" t="inlineStr">
        <is>
          <t>UNIT</t>
        </is>
      </c>
      <c r="B576" s="18" t="inlineStr">
        <is>
          <t>MARATHON_EL_PASO</t>
        </is>
      </c>
      <c r="C576" s="18" t="n">
        <v>3</v>
      </c>
      <c r="D576" s="18" t="inlineStr">
        <is>
          <t>FCC</t>
        </is>
      </c>
      <c r="E576" s="18" t="inlineStr">
        <is>
          <t>FCC</t>
        </is>
      </c>
      <c r="F576" s="19" t="n">
        <v>35</v>
      </c>
      <c r="G576" s="21">
        <f>IFERROR(IF(INDEX(Effective!$E$3:$R$125,MATCH($B576,Effective!$A$3:$A$125,0),MATCH($D576,Effective!$E$2:$R$2,0))=0,"",INDEX(Effective!$E$3:$R$125,MATCH($B576,Effective!$A$3:$A$125,0),MATCH($D576,Effective!$E$2:$R$2,0))),"")</f>
        <v/>
      </c>
      <c r="H576" s="22" t="inlineStr">
        <is>
          <t>override</t>
        </is>
      </c>
      <c r="I576" s="23" t="n">
        <v>0.946</v>
      </c>
      <c r="J576" s="24">
        <f>IF(AND(IF($H580&lt;&gt;"",$H580,$H576)="override",$I576&lt;&gt;""),$I576,SUMIFS(Assumptions!$K$4:$K$8,Assumptions!$J$4:$J$8,$C576))*Assumptions!$S$10</f>
        <v/>
      </c>
      <c r="K576" s="23" t="n"/>
      <c r="L576" s="25">
        <f>IF(AND(IF($H580&lt;&gt;"",$H580,$H576)="override",$K576&lt;&gt;""),$K576,SUMIFS(Assumptions!$P$4:$P$103,Assumptions!$M$4:$M$103,$C576,Assumptions!$N$4:$N$103,$E576,Assumptions!$O$4:$O$103,"LVN"))</f>
        <v/>
      </c>
      <c r="M576" s="23" t="n"/>
      <c r="N576" s="25">
        <f>IF(AND(IF($H580&lt;&gt;"",$H580,$H576)="override",$M576&lt;&gt;""),$M576,SUMIFS(Assumptions!$P$4:$P$103,Assumptions!$M$4:$M$103,$C576,Assumptions!$N$4:$N$103,$E576,Assumptions!$O$4:$O$103,"HVN"))</f>
        <v/>
      </c>
      <c r="O576" s="25">
        <f>(L576+N576)*Assumptions!$S$11</f>
        <v/>
      </c>
      <c r="P576" s="26">
        <f>$F576*$J576*$O576</f>
        <v/>
      </c>
    </row>
    <row r="577">
      <c r="A577" s="11" t="inlineStr">
        <is>
          <t>UNIT</t>
        </is>
      </c>
      <c r="B577" s="18" t="inlineStr">
        <is>
          <t>MARATHON_EL_PASO</t>
        </is>
      </c>
      <c r="C577" s="18" t="n">
        <v>3</v>
      </c>
      <c r="D577" s="18" t="inlineStr">
        <is>
          <t>CCR</t>
        </is>
      </c>
      <c r="E577" s="18" t="inlineStr">
        <is>
          <t>REFORMER</t>
        </is>
      </c>
      <c r="F577" s="19" t="n">
        <v>28</v>
      </c>
      <c r="G577" s="21">
        <f>IFERROR(IF(INDEX(Effective!$E$3:$R$125,MATCH($B577,Effective!$A$3:$A$125,0),MATCH($D577,Effective!$E$2:$R$2,0))=0,"",INDEX(Effective!$E$3:$R$125,MATCH($B577,Effective!$A$3:$A$125,0),MATCH($D577,Effective!$E$2:$R$2,0))),"")</f>
        <v/>
      </c>
      <c r="H577" s="22" t="inlineStr">
        <is>
          <t>override</t>
        </is>
      </c>
      <c r="I577" s="23" t="n">
        <v>0.793</v>
      </c>
      <c r="J577" s="24">
        <f>IF(AND(IF($H580&lt;&gt;"",$H580,$H577)="override",$I577&lt;&gt;""),$I577,SUMIFS(Assumptions!$K$4:$K$8,Assumptions!$J$4:$J$8,$C577))*Assumptions!$S$10</f>
        <v/>
      </c>
      <c r="K577" s="23" t="n"/>
      <c r="L577" s="25">
        <f>IF(AND(IF($H580&lt;&gt;"",$H580,$H577)="override",$K577&lt;&gt;""),$K577,SUMIFS(Assumptions!$P$4:$P$103,Assumptions!$M$4:$M$103,$C577,Assumptions!$N$4:$N$103,$E577,Assumptions!$O$4:$O$103,"LVN"))</f>
        <v/>
      </c>
      <c r="M577" s="23" t="n"/>
      <c r="N577" s="25">
        <f>IF(AND(IF($H580&lt;&gt;"",$H580,$H577)="override",$M577&lt;&gt;""),$M577,SUMIFS(Assumptions!$P$4:$P$103,Assumptions!$M$4:$M$103,$C577,Assumptions!$N$4:$N$103,$E577,Assumptions!$O$4:$O$103,"HVN"))</f>
        <v/>
      </c>
      <c r="O577" s="25">
        <f>(L577+N577)*Assumptions!$S$11</f>
        <v/>
      </c>
      <c r="P577" s="26">
        <f>$F577*$J577*$O577</f>
        <v/>
      </c>
    </row>
    <row r="578">
      <c r="A578" s="11" t="inlineStr">
        <is>
          <t>UNIT</t>
        </is>
      </c>
      <c r="B578" s="18" t="inlineStr">
        <is>
          <t>MARATHON_EL_PASO</t>
        </is>
      </c>
      <c r="C578" s="18" t="n">
        <v>3</v>
      </c>
      <c r="D578" s="18" t="inlineStr">
        <is>
          <t>ALKY</t>
        </is>
      </c>
      <c r="E578" s="18" t="inlineStr">
        <is>
          <t>ALKY</t>
        </is>
      </c>
      <c r="F578" s="19" t="n">
        <v>12.5</v>
      </c>
      <c r="G578" s="21">
        <f>IFERROR(IF(INDEX(Effective!$E$3:$R$125,MATCH($B578,Effective!$A$3:$A$125,0),MATCH($D578,Effective!$E$2:$R$2,0))=0,"",INDEX(Effective!$E$3:$R$125,MATCH($B578,Effective!$A$3:$A$125,0),MATCH($D578,Effective!$E$2:$R$2,0))),"")</f>
        <v/>
      </c>
      <c r="H578" s="22" t="inlineStr">
        <is>
          <t>override</t>
        </is>
      </c>
      <c r="I578" s="23" t="n">
        <v>1.1</v>
      </c>
      <c r="J578" s="24">
        <f>IF(AND(IF($H580&lt;&gt;"",$H580,$H578)="override",$I578&lt;&gt;""),$I578,SUMIFS(Assumptions!$K$4:$K$8,Assumptions!$J$4:$J$8,$C578))*Assumptions!$S$10</f>
        <v/>
      </c>
      <c r="K578" s="23" t="n"/>
      <c r="L578" s="25">
        <f>IF(AND(IF($H580&lt;&gt;"",$H580,$H578)="override",$K578&lt;&gt;""),$K578,SUMIFS(Assumptions!$P$4:$P$103,Assumptions!$M$4:$M$103,$C578,Assumptions!$N$4:$N$103,$E578,Assumptions!$O$4:$O$103,"LVN"))</f>
        <v/>
      </c>
      <c r="M578" s="23" t="n"/>
      <c r="N578" s="25">
        <f>IF(AND(IF($H580&lt;&gt;"",$H580,$H578)="override",$M578&lt;&gt;""),$M578,SUMIFS(Assumptions!$P$4:$P$103,Assumptions!$M$4:$M$103,$C578,Assumptions!$N$4:$N$103,$E578,Assumptions!$O$4:$O$103,"HVN"))</f>
        <v/>
      </c>
      <c r="O578" s="25">
        <f>(L578+N578)*Assumptions!$S$11</f>
        <v/>
      </c>
      <c r="P578" s="26">
        <f>$F578*$J578*$O578</f>
        <v/>
      </c>
    </row>
    <row r="579">
      <c r="A579" s="11" t="inlineStr">
        <is>
          <t>UNIT</t>
        </is>
      </c>
      <c r="B579" s="18" t="inlineStr">
        <is>
          <t>MARATHON_EL_PASO</t>
        </is>
      </c>
      <c r="C579" s="18" t="n">
        <v>3</v>
      </c>
      <c r="D579" s="18" t="inlineStr">
        <is>
          <t>NHT</t>
        </is>
      </c>
      <c r="E579" s="18" t="inlineStr">
        <is>
          <t>NHT</t>
        </is>
      </c>
      <c r="F579" s="19" t="n">
        <v>30.5</v>
      </c>
      <c r="G579" s="21">
        <f>IFERROR(IF(INDEX(Effective!$E$3:$R$125,MATCH($B579,Effective!$A$3:$A$125,0),MATCH($D579,Effective!$E$2:$R$2,0))=0,"",INDEX(Effective!$E$3:$R$125,MATCH($B579,Effective!$A$3:$A$125,0),MATCH($D579,Effective!$E$2:$R$2,0))),"")</f>
        <v/>
      </c>
      <c r="H579" s="22" t="inlineStr">
        <is>
          <t>override</t>
        </is>
      </c>
      <c r="I579" s="23" t="n">
        <v>0.948</v>
      </c>
      <c r="J579" s="24">
        <f>IF(AND(IF($H580&lt;&gt;"",$H580,$H579)="override",$I579&lt;&gt;""),$I579,SUMIFS(Assumptions!$K$4:$K$8,Assumptions!$J$4:$J$8,$C579))*Assumptions!$S$10</f>
        <v/>
      </c>
      <c r="K579" s="23" t="n"/>
      <c r="L579" s="25">
        <f>IF(AND(IF($H580&lt;&gt;"",$H580,$H579)="override",$K579&lt;&gt;""),$K579,SUMIFS(Assumptions!$P$4:$P$103,Assumptions!$M$4:$M$103,$C579,Assumptions!$N$4:$N$103,$E579,Assumptions!$O$4:$O$103,"LVN"))</f>
        <v/>
      </c>
      <c r="M579" s="23" t="n"/>
      <c r="N579" s="25">
        <f>IF(AND(IF($H580&lt;&gt;"",$H580,$H579)="override",$M579&lt;&gt;""),$M579,SUMIFS(Assumptions!$P$4:$P$103,Assumptions!$M$4:$M$103,$C579,Assumptions!$N$4:$N$103,$E579,Assumptions!$O$4:$O$103,"HVN"))</f>
        <v/>
      </c>
      <c r="O579" s="25">
        <f>(L579+N579)*Assumptions!$S$11</f>
        <v/>
      </c>
      <c r="P579" s="26">
        <f>$F579*$J579*$O579</f>
        <v/>
      </c>
    </row>
    <row r="580">
      <c r="A580" s="27" t="inlineStr">
        <is>
          <t>TOTAL</t>
        </is>
      </c>
      <c r="B580" s="28" t="inlineStr">
        <is>
          <t>MARATHON_EL_PASO</t>
        </is>
      </c>
      <c r="C580" s="28" t="n">
        <v>3</v>
      </c>
      <c r="D580" s="28" t="inlineStr">
        <is>
          <t>NET NAPHTHA</t>
        </is>
      </c>
      <c r="H580" s="22" t="n"/>
      <c r="P580" s="29">
        <f>SUM(P574:P579)</f>
        <v/>
      </c>
    </row>
    <row r="582" ht="20" customHeight="1">
      <c r="A582" s="8">
        <f>"  Chevron Pasadena  [CHEVRON_PASADENA]   —   Chevron   —   PADD 3   —   crude "&amp;TEXT(SUMIFS(Data!$G$3:$G$125,Data!$A$3:$A$125,"CHEVRON_PASADENA"),"#,##0")&amp;" kbd"</f>
        <v/>
      </c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</row>
    <row r="583">
      <c r="A583" s="11" t="inlineStr">
        <is>
          <t>UNIT</t>
        </is>
      </c>
      <c r="B583" s="18" t="inlineStr">
        <is>
          <t>CHEVRON_PASADENA</t>
        </is>
      </c>
      <c r="C583" s="18" t="n">
        <v>3</v>
      </c>
      <c r="D583" s="18" t="inlineStr">
        <is>
          <t>CDU</t>
        </is>
      </c>
      <c r="E583" s="18" t="inlineStr">
        <is>
          <t>CDU</t>
        </is>
      </c>
      <c r="F583" s="19" t="n">
        <v>125</v>
      </c>
      <c r="G583" s="21">
        <f>IFERROR(IF(INDEX(Effective!$E$3:$R$125,MATCH($B583,Effective!$A$3:$A$125,0),MATCH($D583,Effective!$E$2:$R$2,0))=0,"",INDEX(Effective!$E$3:$R$125,MATCH($B583,Effective!$A$3:$A$125,0),MATCH($D583,Effective!$E$2:$R$2,0))),"")</f>
        <v/>
      </c>
      <c r="H583" s="22" t="inlineStr">
        <is>
          <t>override</t>
        </is>
      </c>
      <c r="I583" s="23" t="n">
        <v>0.5620000000000001</v>
      </c>
      <c r="J583" s="24">
        <f>IF(AND(IF($H589&lt;&gt;"",$H589,$H583)="override",$I583&lt;&gt;""),$I583,SUMIFS(Assumptions!$K$4:$K$8,Assumptions!$J$4:$J$8,$C583))*Assumptions!$S$10</f>
        <v/>
      </c>
      <c r="K583" s="23" t="n"/>
      <c r="L583" s="25">
        <f>IF(AND(IF($H589&lt;&gt;"",$H589,$H583)="override",$K583&lt;&gt;""),$K583,SUMIFS(Assumptions!$P$4:$P$103,Assumptions!$M$4:$M$103,$C583,Assumptions!$N$4:$N$103,$E583,Assumptions!$O$4:$O$103,"LVN"))</f>
        <v/>
      </c>
      <c r="M583" s="23" t="n"/>
      <c r="N583" s="25">
        <f>IF(AND(IF($H589&lt;&gt;"",$H589,$H583)="override",$M583&lt;&gt;""),$M583,SUMIFS(Assumptions!$P$4:$P$103,Assumptions!$M$4:$M$103,$C583,Assumptions!$N$4:$N$103,$E583,Assumptions!$O$4:$O$103,"HVN"))</f>
        <v/>
      </c>
      <c r="O583" s="25">
        <f>(L583+N583)*Assumptions!$S$11</f>
        <v/>
      </c>
      <c r="P583" s="26">
        <f>$F583*$J583*$O583</f>
        <v/>
      </c>
    </row>
    <row r="584">
      <c r="A584" s="11" t="inlineStr">
        <is>
          <t>UNIT</t>
        </is>
      </c>
      <c r="B584" s="18" t="inlineStr">
        <is>
          <t>CHEVRON_PASADENA</t>
        </is>
      </c>
      <c r="C584" s="18" t="n">
        <v>3</v>
      </c>
      <c r="D584" s="18" t="inlineStr">
        <is>
          <t>VDU</t>
        </is>
      </c>
      <c r="E584" s="18" t="inlineStr">
        <is>
          <t>VDU</t>
        </is>
      </c>
      <c r="F584" s="19" t="n">
        <v>38</v>
      </c>
      <c r="G584" s="21">
        <f>IFERROR(IF(INDEX(Effective!$E$3:$R$125,MATCH($B584,Effective!$A$3:$A$125,0),MATCH($D584,Effective!$E$2:$R$2,0))=0,"",INDEX(Effective!$E$3:$R$125,MATCH($B584,Effective!$A$3:$A$125,0),MATCH($D584,Effective!$E$2:$R$2,0))),"")</f>
        <v/>
      </c>
      <c r="H584" s="22" t="inlineStr">
        <is>
          <t>override</t>
        </is>
      </c>
      <c r="I584" s="23" t="n">
        <v>0</v>
      </c>
      <c r="J584" s="24">
        <f>IF(AND(IF($H589&lt;&gt;"",$H589,$H584)="override",$I584&lt;&gt;""),$I584,SUMIFS(Assumptions!$K$4:$K$8,Assumptions!$J$4:$J$8,$C584))*Assumptions!$S$10</f>
        <v/>
      </c>
      <c r="K584" s="23" t="n"/>
      <c r="L584" s="25">
        <f>IF(AND(IF($H589&lt;&gt;"",$H589,$H584)="override",$K584&lt;&gt;""),$K584,SUMIFS(Assumptions!$P$4:$P$103,Assumptions!$M$4:$M$103,$C584,Assumptions!$N$4:$N$103,$E584,Assumptions!$O$4:$O$103,"LVN"))</f>
        <v/>
      </c>
      <c r="M584" s="23" t="n"/>
      <c r="N584" s="25">
        <f>IF(AND(IF($H589&lt;&gt;"",$H589,$H584)="override",$M584&lt;&gt;""),$M584,SUMIFS(Assumptions!$P$4:$P$103,Assumptions!$M$4:$M$103,$C584,Assumptions!$N$4:$N$103,$E584,Assumptions!$O$4:$O$103,"HVN"))</f>
        <v/>
      </c>
      <c r="O584" s="25">
        <f>(L584+N584)*Assumptions!$S$11</f>
        <v/>
      </c>
      <c r="P584" s="26">
        <f>$F584*$J584*$O584</f>
        <v/>
      </c>
    </row>
    <row r="585">
      <c r="A585" s="11" t="inlineStr">
        <is>
          <t>UNIT</t>
        </is>
      </c>
      <c r="B585" s="18" t="inlineStr">
        <is>
          <t>CHEVRON_PASADENA</t>
        </is>
      </c>
      <c r="C585" s="18" t="n">
        <v>3</v>
      </c>
      <c r="D585" s="18" t="inlineStr">
        <is>
          <t>FCC</t>
        </is>
      </c>
      <c r="E585" s="18" t="inlineStr">
        <is>
          <t>FCC</t>
        </is>
      </c>
      <c r="F585" s="19" t="n">
        <v>52</v>
      </c>
      <c r="G585" s="21">
        <f>IFERROR(IF(INDEX(Effective!$E$3:$R$125,MATCH($B585,Effective!$A$3:$A$125,0),MATCH($D585,Effective!$E$2:$R$2,0))=0,"",INDEX(Effective!$E$3:$R$125,MATCH($B585,Effective!$A$3:$A$125,0),MATCH($D585,Effective!$E$2:$R$2,0))),"")</f>
        <v/>
      </c>
      <c r="H585" s="22" t="inlineStr">
        <is>
          <t>override</t>
        </is>
      </c>
      <c r="I585" s="23" t="n">
        <v>0</v>
      </c>
      <c r="J585" s="24">
        <f>IF(AND(IF($H589&lt;&gt;"",$H589,$H585)="override",$I585&lt;&gt;""),$I585,SUMIFS(Assumptions!$K$4:$K$8,Assumptions!$J$4:$J$8,$C585))*Assumptions!$S$10</f>
        <v/>
      </c>
      <c r="K585" s="23" t="n"/>
      <c r="L585" s="25">
        <f>IF(AND(IF($H589&lt;&gt;"",$H589,$H585)="override",$K585&lt;&gt;""),$K585,SUMIFS(Assumptions!$P$4:$P$103,Assumptions!$M$4:$M$103,$C585,Assumptions!$N$4:$N$103,$E585,Assumptions!$O$4:$O$103,"LVN"))</f>
        <v/>
      </c>
      <c r="M585" s="23" t="n"/>
      <c r="N585" s="25">
        <f>IF(AND(IF($H589&lt;&gt;"",$H589,$H585)="override",$M585&lt;&gt;""),$M585,SUMIFS(Assumptions!$P$4:$P$103,Assumptions!$M$4:$M$103,$C585,Assumptions!$N$4:$N$103,$E585,Assumptions!$O$4:$O$103,"HVN"))</f>
        <v/>
      </c>
      <c r="O585" s="25">
        <f>(L585+N585)*Assumptions!$S$11</f>
        <v/>
      </c>
      <c r="P585" s="26">
        <f>$F585*$J585*$O585</f>
        <v/>
      </c>
    </row>
    <row r="586">
      <c r="A586" s="11" t="inlineStr">
        <is>
          <t>UNIT</t>
        </is>
      </c>
      <c r="B586" s="18" t="inlineStr">
        <is>
          <t>CHEVRON_PASADENA</t>
        </is>
      </c>
      <c r="C586" s="18" t="n">
        <v>3</v>
      </c>
      <c r="D586" s="18" t="inlineStr">
        <is>
          <t>CCR</t>
        </is>
      </c>
      <c r="E586" s="18" t="inlineStr">
        <is>
          <t>REFORMER</t>
        </is>
      </c>
      <c r="F586" s="19" t="n">
        <v>23</v>
      </c>
      <c r="G586" s="21">
        <f>IFERROR(IF(INDEX(Effective!$E$3:$R$125,MATCH($B586,Effective!$A$3:$A$125,0),MATCH($D586,Effective!$E$2:$R$2,0))=0,"",INDEX(Effective!$E$3:$R$125,MATCH($B586,Effective!$A$3:$A$125,0),MATCH($D586,Effective!$E$2:$R$2,0))),"")</f>
        <v/>
      </c>
      <c r="H586" s="22" t="inlineStr">
        <is>
          <t>override</t>
        </is>
      </c>
      <c r="I586" s="23" t="n">
        <v>0.493</v>
      </c>
      <c r="J586" s="24">
        <f>IF(AND(IF($H589&lt;&gt;"",$H589,$H586)="override",$I586&lt;&gt;""),$I586,SUMIFS(Assumptions!$K$4:$K$8,Assumptions!$J$4:$J$8,$C586))*Assumptions!$S$10</f>
        <v/>
      </c>
      <c r="K586" s="23" t="n"/>
      <c r="L586" s="25">
        <f>IF(AND(IF($H589&lt;&gt;"",$H589,$H586)="override",$K586&lt;&gt;""),$K586,SUMIFS(Assumptions!$P$4:$P$103,Assumptions!$M$4:$M$103,$C586,Assumptions!$N$4:$N$103,$E586,Assumptions!$O$4:$O$103,"LVN"))</f>
        <v/>
      </c>
      <c r="M586" s="23" t="n"/>
      <c r="N586" s="25">
        <f>IF(AND(IF($H589&lt;&gt;"",$H589,$H586)="override",$M586&lt;&gt;""),$M586,SUMIFS(Assumptions!$P$4:$P$103,Assumptions!$M$4:$M$103,$C586,Assumptions!$N$4:$N$103,$E586,Assumptions!$O$4:$O$103,"HVN"))</f>
        <v/>
      </c>
      <c r="O586" s="25">
        <f>(L586+N586)*Assumptions!$S$11</f>
        <v/>
      </c>
      <c r="P586" s="26">
        <f>$F586*$J586*$O586</f>
        <v/>
      </c>
    </row>
    <row r="587">
      <c r="A587" s="11" t="inlineStr">
        <is>
          <t>UNIT</t>
        </is>
      </c>
      <c r="B587" s="18" t="inlineStr">
        <is>
          <t>CHEVRON_PASADENA</t>
        </is>
      </c>
      <c r="C587" s="18" t="n">
        <v>3</v>
      </c>
      <c r="D587" s="18" t="inlineStr">
        <is>
          <t>ALKY</t>
        </is>
      </c>
      <c r="E587" s="18" t="inlineStr">
        <is>
          <t>ALKY</t>
        </is>
      </c>
      <c r="F587" s="19" t="n">
        <v>12.5</v>
      </c>
      <c r="G587" s="21">
        <f>IFERROR(IF(INDEX(Effective!$E$3:$R$125,MATCH($B587,Effective!$A$3:$A$125,0),MATCH($D587,Effective!$E$2:$R$2,0))=0,"",INDEX(Effective!$E$3:$R$125,MATCH($B587,Effective!$A$3:$A$125,0),MATCH($D587,Effective!$E$2:$R$2,0))),"")</f>
        <v/>
      </c>
      <c r="H587" s="22" t="inlineStr">
        <is>
          <t>override</t>
        </is>
      </c>
      <c r="I587" s="23" t="n">
        <v>0</v>
      </c>
      <c r="J587" s="24">
        <f>IF(AND(IF($H589&lt;&gt;"",$H589,$H587)="override",$I587&lt;&gt;""),$I587,SUMIFS(Assumptions!$K$4:$K$8,Assumptions!$J$4:$J$8,$C587))*Assumptions!$S$10</f>
        <v/>
      </c>
      <c r="K587" s="23" t="n"/>
      <c r="L587" s="25">
        <f>IF(AND(IF($H589&lt;&gt;"",$H589,$H587)="override",$K587&lt;&gt;""),$K587,SUMIFS(Assumptions!$P$4:$P$103,Assumptions!$M$4:$M$103,$C587,Assumptions!$N$4:$N$103,$E587,Assumptions!$O$4:$O$103,"LVN"))</f>
        <v/>
      </c>
      <c r="M587" s="23" t="n"/>
      <c r="N587" s="25">
        <f>IF(AND(IF($H589&lt;&gt;"",$H589,$H587)="override",$M587&lt;&gt;""),$M587,SUMIFS(Assumptions!$P$4:$P$103,Assumptions!$M$4:$M$103,$C587,Assumptions!$N$4:$N$103,$E587,Assumptions!$O$4:$O$103,"HVN"))</f>
        <v/>
      </c>
      <c r="O587" s="25">
        <f>(L587+N587)*Assumptions!$S$11</f>
        <v/>
      </c>
      <c r="P587" s="26">
        <f>$F587*$J587*$O587</f>
        <v/>
      </c>
    </row>
    <row r="588">
      <c r="A588" s="11" t="inlineStr">
        <is>
          <t>UNIT</t>
        </is>
      </c>
      <c r="B588" s="18" t="inlineStr">
        <is>
          <t>CHEVRON_PASADENA</t>
        </is>
      </c>
      <c r="C588" s="18" t="n">
        <v>3</v>
      </c>
      <c r="D588" s="18" t="inlineStr">
        <is>
          <t>NHT</t>
        </is>
      </c>
      <c r="E588" s="18" t="inlineStr">
        <is>
          <t>NHT</t>
        </is>
      </c>
      <c r="F588" s="19" t="n">
        <v>23</v>
      </c>
      <c r="G588" s="21">
        <f>IFERROR(IF(INDEX(Effective!$E$3:$R$125,MATCH($B588,Effective!$A$3:$A$125,0),MATCH($D588,Effective!$E$2:$R$2,0))=0,"",INDEX(Effective!$E$3:$R$125,MATCH($B588,Effective!$A$3:$A$125,0),MATCH($D588,Effective!$E$2:$R$2,0))),"")</f>
        <v/>
      </c>
      <c r="H588" s="22" t="inlineStr">
        <is>
          <t>override</t>
        </is>
      </c>
      <c r="I588" s="23" t="n">
        <v>0.538</v>
      </c>
      <c r="J588" s="24">
        <f>IF(AND(IF($H589&lt;&gt;"",$H589,$H588)="override",$I588&lt;&gt;""),$I588,SUMIFS(Assumptions!$K$4:$K$8,Assumptions!$J$4:$J$8,$C588))*Assumptions!$S$10</f>
        <v/>
      </c>
      <c r="K588" s="23" t="n"/>
      <c r="L588" s="25">
        <f>IF(AND(IF($H589&lt;&gt;"",$H589,$H588)="override",$K588&lt;&gt;""),$K588,SUMIFS(Assumptions!$P$4:$P$103,Assumptions!$M$4:$M$103,$C588,Assumptions!$N$4:$N$103,$E588,Assumptions!$O$4:$O$103,"LVN"))</f>
        <v/>
      </c>
      <c r="M588" s="23" t="n"/>
      <c r="N588" s="25">
        <f>IF(AND(IF($H589&lt;&gt;"",$H589,$H588)="override",$M588&lt;&gt;""),$M588,SUMIFS(Assumptions!$P$4:$P$103,Assumptions!$M$4:$M$103,$C588,Assumptions!$N$4:$N$103,$E588,Assumptions!$O$4:$O$103,"HVN"))</f>
        <v/>
      </c>
      <c r="O588" s="25">
        <f>(L588+N588)*Assumptions!$S$11</f>
        <v/>
      </c>
      <c r="P588" s="26">
        <f>$F588*$J588*$O588</f>
        <v/>
      </c>
    </row>
    <row r="589">
      <c r="A589" s="27" t="inlineStr">
        <is>
          <t>TOTAL</t>
        </is>
      </c>
      <c r="B589" s="28" t="inlineStr">
        <is>
          <t>CHEVRON_PASADENA</t>
        </is>
      </c>
      <c r="C589" s="28" t="n">
        <v>3</v>
      </c>
      <c r="D589" s="28" t="inlineStr">
        <is>
          <t>NET NAPHTHA</t>
        </is>
      </c>
      <c r="H589" s="22" t="n"/>
      <c r="P589" s="29">
        <f>SUM(P583:P588)</f>
        <v/>
      </c>
    </row>
    <row r="591" ht="20" customHeight="1">
      <c r="A591" s="8">
        <f>"  Valero Meraux  [VALERO_MERAUX]   —   Valero   —   PADD 3   —   crude "&amp;TEXT(SUMIFS(Data!$G$3:$G$125,Data!$A$3:$A$125,"VALERO_MERAUX"),"#,##0")&amp;" kbd"</f>
        <v/>
      </c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</row>
    <row r="592">
      <c r="A592" s="11" t="inlineStr">
        <is>
          <t>UNIT</t>
        </is>
      </c>
      <c r="B592" s="18" t="inlineStr">
        <is>
          <t>VALERO_MERAUX</t>
        </is>
      </c>
      <c r="C592" s="18" t="n">
        <v>3</v>
      </c>
      <c r="D592" s="18" t="inlineStr">
        <is>
          <t>CDU</t>
        </is>
      </c>
      <c r="E592" s="18" t="inlineStr">
        <is>
          <t>CDU</t>
        </is>
      </c>
      <c r="F592" s="19" t="n">
        <v>128</v>
      </c>
      <c r="G592" s="21">
        <f>IFERROR(IF(INDEX(Effective!$E$3:$R$125,MATCH($B592,Effective!$A$3:$A$125,0),MATCH($D592,Effective!$E$2:$R$2,0))=0,"",INDEX(Effective!$E$3:$R$125,MATCH($B592,Effective!$A$3:$A$125,0),MATCH($D592,Effective!$E$2:$R$2,0))),"")</f>
        <v/>
      </c>
      <c r="H592" s="22" t="inlineStr">
        <is>
          <t>override</t>
        </is>
      </c>
      <c r="I592" s="23" t="n">
        <v>0.927</v>
      </c>
      <c r="J592" s="24">
        <f>IF(AND(IF($H597&lt;&gt;"",$H597,$H592)="override",$I592&lt;&gt;""),$I592,SUMIFS(Assumptions!$K$4:$K$8,Assumptions!$J$4:$J$8,$C592))*Assumptions!$S$10</f>
        <v/>
      </c>
      <c r="K592" s="23" t="n"/>
      <c r="L592" s="25">
        <f>IF(AND(IF($H597&lt;&gt;"",$H597,$H592)="override",$K592&lt;&gt;""),$K592,SUMIFS(Assumptions!$P$4:$P$103,Assumptions!$M$4:$M$103,$C592,Assumptions!$N$4:$N$103,$E592,Assumptions!$O$4:$O$103,"LVN"))</f>
        <v/>
      </c>
      <c r="M592" s="23" t="n"/>
      <c r="N592" s="25">
        <f>IF(AND(IF($H597&lt;&gt;"",$H597,$H592)="override",$M592&lt;&gt;""),$M592,SUMIFS(Assumptions!$P$4:$P$103,Assumptions!$M$4:$M$103,$C592,Assumptions!$N$4:$N$103,$E592,Assumptions!$O$4:$O$103,"HVN"))</f>
        <v/>
      </c>
      <c r="O592" s="25">
        <f>(L592+N592)*Assumptions!$S$11</f>
        <v/>
      </c>
      <c r="P592" s="26">
        <f>$F592*$J592*$O592</f>
        <v/>
      </c>
    </row>
    <row r="593">
      <c r="A593" s="11" t="inlineStr">
        <is>
          <t>UNIT</t>
        </is>
      </c>
      <c r="B593" s="18" t="inlineStr">
        <is>
          <t>VALERO_MERAUX</t>
        </is>
      </c>
      <c r="C593" s="18" t="n">
        <v>3</v>
      </c>
      <c r="D593" s="18" t="inlineStr">
        <is>
          <t>VDU</t>
        </is>
      </c>
      <c r="E593" s="18" t="inlineStr">
        <is>
          <t>VDU</t>
        </is>
      </c>
      <c r="F593" s="19" t="n">
        <v>60</v>
      </c>
      <c r="G593" s="21">
        <f>IFERROR(IF(INDEX(Effective!$E$3:$R$125,MATCH($B593,Effective!$A$3:$A$125,0),MATCH($D593,Effective!$E$2:$R$2,0))=0,"",INDEX(Effective!$E$3:$R$125,MATCH($B593,Effective!$A$3:$A$125,0),MATCH($D593,Effective!$E$2:$R$2,0))),"")</f>
        <v/>
      </c>
      <c r="H593" s="22" t="inlineStr">
        <is>
          <t>override</t>
        </is>
      </c>
      <c r="I593" s="23" t="n">
        <v>0.718</v>
      </c>
      <c r="J593" s="24">
        <f>IF(AND(IF($H597&lt;&gt;"",$H597,$H593)="override",$I593&lt;&gt;""),$I593,SUMIFS(Assumptions!$K$4:$K$8,Assumptions!$J$4:$J$8,$C593))*Assumptions!$S$10</f>
        <v/>
      </c>
      <c r="K593" s="23" t="n"/>
      <c r="L593" s="25">
        <f>IF(AND(IF($H597&lt;&gt;"",$H597,$H593)="override",$K593&lt;&gt;""),$K593,SUMIFS(Assumptions!$P$4:$P$103,Assumptions!$M$4:$M$103,$C593,Assumptions!$N$4:$N$103,$E593,Assumptions!$O$4:$O$103,"LVN"))</f>
        <v/>
      </c>
      <c r="M593" s="23" t="n"/>
      <c r="N593" s="25">
        <f>IF(AND(IF($H597&lt;&gt;"",$H597,$H593)="override",$M593&lt;&gt;""),$M593,SUMIFS(Assumptions!$P$4:$P$103,Assumptions!$M$4:$M$103,$C593,Assumptions!$N$4:$N$103,$E593,Assumptions!$O$4:$O$103,"HVN"))</f>
        <v/>
      </c>
      <c r="O593" s="25">
        <f>(L593+N593)*Assumptions!$S$11</f>
        <v/>
      </c>
      <c r="P593" s="26">
        <f>$F593*$J593*$O593</f>
        <v/>
      </c>
    </row>
    <row r="594">
      <c r="A594" s="11" t="inlineStr">
        <is>
          <t>UNIT</t>
        </is>
      </c>
      <c r="B594" s="18" t="inlineStr">
        <is>
          <t>VALERO_MERAUX</t>
        </is>
      </c>
      <c r="C594" s="18" t="n">
        <v>3</v>
      </c>
      <c r="D594" s="18" t="inlineStr">
        <is>
          <t>DHCU</t>
        </is>
      </c>
      <c r="E594" s="18" t="inlineStr">
        <is>
          <t>HYDROCRACKER</t>
        </is>
      </c>
      <c r="F594" s="19" t="n">
        <v>48.7</v>
      </c>
      <c r="G594" s="21">
        <f>IFERROR(IF(INDEX(Effective!$E$3:$R$125,MATCH($B594,Effective!$A$3:$A$125,0),MATCH($D594,Effective!$E$2:$R$2,0))=0,"",INDEX(Effective!$E$3:$R$125,MATCH($B594,Effective!$A$3:$A$125,0),MATCH($D594,Effective!$E$2:$R$2,0))),"")</f>
        <v/>
      </c>
      <c r="H594" s="22" t="inlineStr">
        <is>
          <t>override</t>
        </is>
      </c>
      <c r="I594" s="23" t="n">
        <v>0.712</v>
      </c>
      <c r="J594" s="24">
        <f>IF(AND(IF($H597&lt;&gt;"",$H597,$H594)="override",$I594&lt;&gt;""),$I594,SUMIFS(Assumptions!$K$4:$K$8,Assumptions!$J$4:$J$8,$C594))*Assumptions!$S$10</f>
        <v/>
      </c>
      <c r="K594" s="23" t="n"/>
      <c r="L594" s="25">
        <f>IF(AND(IF($H597&lt;&gt;"",$H597,$H594)="override",$K594&lt;&gt;""),$K594,SUMIFS(Assumptions!$P$4:$P$103,Assumptions!$M$4:$M$103,$C594,Assumptions!$N$4:$N$103,$E594,Assumptions!$O$4:$O$103,"LVN"))</f>
        <v/>
      </c>
      <c r="M594" s="23" t="n"/>
      <c r="N594" s="25">
        <f>IF(AND(IF($H597&lt;&gt;"",$H597,$H594)="override",$M594&lt;&gt;""),$M594,SUMIFS(Assumptions!$P$4:$P$103,Assumptions!$M$4:$M$103,$C594,Assumptions!$N$4:$N$103,$E594,Assumptions!$O$4:$O$103,"HVN"))</f>
        <v/>
      </c>
      <c r="O594" s="25">
        <f>(L594+N594)*Assumptions!$S$11</f>
        <v/>
      </c>
      <c r="P594" s="26">
        <f>$F594*$J594*$O594</f>
        <v/>
      </c>
    </row>
    <row r="595">
      <c r="A595" s="11" t="inlineStr">
        <is>
          <t>UNIT</t>
        </is>
      </c>
      <c r="B595" s="18" t="inlineStr">
        <is>
          <t>VALERO_MERAUX</t>
        </is>
      </c>
      <c r="C595" s="18" t="n">
        <v>3</v>
      </c>
      <c r="D595" s="18" t="inlineStr">
        <is>
          <t>CCR</t>
        </is>
      </c>
      <c r="E595" s="18" t="inlineStr">
        <is>
          <t>REFORMER</t>
        </is>
      </c>
      <c r="F595" s="19" t="n">
        <v>32</v>
      </c>
      <c r="G595" s="21">
        <f>IFERROR(IF(INDEX(Effective!$E$3:$R$125,MATCH($B595,Effective!$A$3:$A$125,0),MATCH($D595,Effective!$E$2:$R$2,0))=0,"",INDEX(Effective!$E$3:$R$125,MATCH($B595,Effective!$A$3:$A$125,0),MATCH($D595,Effective!$E$2:$R$2,0))),"")</f>
        <v/>
      </c>
      <c r="H595" s="22" t="inlineStr">
        <is>
          <t>override</t>
        </is>
      </c>
      <c r="I595" s="23" t="n">
        <v>0.9389999999999999</v>
      </c>
      <c r="J595" s="24">
        <f>IF(AND(IF($H597&lt;&gt;"",$H597,$H595)="override",$I595&lt;&gt;""),$I595,SUMIFS(Assumptions!$K$4:$K$8,Assumptions!$J$4:$J$8,$C595))*Assumptions!$S$10</f>
        <v/>
      </c>
      <c r="K595" s="23" t="n"/>
      <c r="L595" s="25">
        <f>IF(AND(IF($H597&lt;&gt;"",$H597,$H595)="override",$K595&lt;&gt;""),$K595,SUMIFS(Assumptions!$P$4:$P$103,Assumptions!$M$4:$M$103,$C595,Assumptions!$N$4:$N$103,$E595,Assumptions!$O$4:$O$103,"LVN"))</f>
        <v/>
      </c>
      <c r="M595" s="23" t="n"/>
      <c r="N595" s="25">
        <f>IF(AND(IF($H597&lt;&gt;"",$H597,$H595)="override",$M595&lt;&gt;""),$M595,SUMIFS(Assumptions!$P$4:$P$103,Assumptions!$M$4:$M$103,$C595,Assumptions!$N$4:$N$103,$E595,Assumptions!$O$4:$O$103,"HVN"))</f>
        <v/>
      </c>
      <c r="O595" s="25">
        <f>(L595+N595)*Assumptions!$S$11</f>
        <v/>
      </c>
      <c r="P595" s="26">
        <f>$F595*$J595*$O595</f>
        <v/>
      </c>
    </row>
    <row r="596">
      <c r="A596" s="11" t="inlineStr">
        <is>
          <t>UNIT</t>
        </is>
      </c>
      <c r="B596" s="18" t="inlineStr">
        <is>
          <t>VALERO_MERAUX</t>
        </is>
      </c>
      <c r="C596" s="18" t="n">
        <v>3</v>
      </c>
      <c r="D596" s="18" t="inlineStr">
        <is>
          <t>NHT</t>
        </is>
      </c>
      <c r="E596" s="18" t="inlineStr">
        <is>
          <t>NHT</t>
        </is>
      </c>
      <c r="F596" s="19" t="n">
        <v>40</v>
      </c>
      <c r="G596" s="21">
        <f>IFERROR(IF(INDEX(Effective!$E$3:$R$125,MATCH($B596,Effective!$A$3:$A$125,0),MATCH($D596,Effective!$E$2:$R$2,0))=0,"",INDEX(Effective!$E$3:$R$125,MATCH($B596,Effective!$A$3:$A$125,0),MATCH($D596,Effective!$E$2:$R$2,0))),"")</f>
        <v/>
      </c>
      <c r="H596" s="22" t="inlineStr">
        <is>
          <t>override</t>
        </is>
      </c>
      <c r="I596" s="23" t="n">
        <v>0.719</v>
      </c>
      <c r="J596" s="24">
        <f>IF(AND(IF($H597&lt;&gt;"",$H597,$H596)="override",$I596&lt;&gt;""),$I596,SUMIFS(Assumptions!$K$4:$K$8,Assumptions!$J$4:$J$8,$C596))*Assumptions!$S$10</f>
        <v/>
      </c>
      <c r="K596" s="23" t="n"/>
      <c r="L596" s="25">
        <f>IF(AND(IF($H597&lt;&gt;"",$H597,$H596)="override",$K596&lt;&gt;""),$K596,SUMIFS(Assumptions!$P$4:$P$103,Assumptions!$M$4:$M$103,$C596,Assumptions!$N$4:$N$103,$E596,Assumptions!$O$4:$O$103,"LVN"))</f>
        <v/>
      </c>
      <c r="M596" s="23" t="n"/>
      <c r="N596" s="25">
        <f>IF(AND(IF($H597&lt;&gt;"",$H597,$H596)="override",$M596&lt;&gt;""),$M596,SUMIFS(Assumptions!$P$4:$P$103,Assumptions!$M$4:$M$103,$C596,Assumptions!$N$4:$N$103,$E596,Assumptions!$O$4:$O$103,"HVN"))</f>
        <v/>
      </c>
      <c r="O596" s="25">
        <f>(L596+N596)*Assumptions!$S$11</f>
        <v/>
      </c>
      <c r="P596" s="26">
        <f>$F596*$J596*$O596</f>
        <v/>
      </c>
    </row>
    <row r="597">
      <c r="A597" s="27" t="inlineStr">
        <is>
          <t>TOTAL</t>
        </is>
      </c>
      <c r="B597" s="28" t="inlineStr">
        <is>
          <t>VALERO_MERAUX</t>
        </is>
      </c>
      <c r="C597" s="28" t="n">
        <v>3</v>
      </c>
      <c r="D597" s="28" t="inlineStr">
        <is>
          <t>NET NAPHTHA</t>
        </is>
      </c>
      <c r="H597" s="22" t="n"/>
      <c r="P597" s="29">
        <f>SUM(P592:P596)</f>
        <v/>
      </c>
    </row>
    <row r="599" ht="20" customHeight="1">
      <c r="A599" s="8">
        <f>"  Kinder Morgan Houston  [KINDER_HOUSTON]   —   Kinder Morgan   —   PADD 3   —   crude "&amp;TEXT(SUMIFS(Data!$G$3:$G$125,Data!$A$3:$A$125,"KINDER_HOUSTON"),"#,##0")&amp;" kbd"</f>
        <v/>
      </c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</row>
    <row r="600">
      <c r="A600" s="11" t="inlineStr">
        <is>
          <t>UNIT</t>
        </is>
      </c>
      <c r="B600" s="18" t="inlineStr">
        <is>
          <t>KINDER_HOUSTON</t>
        </is>
      </c>
      <c r="C600" s="18" t="n">
        <v>3</v>
      </c>
      <c r="D600" s="18" t="inlineStr">
        <is>
          <t>CDU</t>
        </is>
      </c>
      <c r="E600" s="18" t="inlineStr">
        <is>
          <t>CDU</t>
        </is>
      </c>
      <c r="F600" s="19" t="n">
        <v>100</v>
      </c>
      <c r="G600" s="21">
        <f>IFERROR(IF(INDEX(Effective!$E$3:$R$125,MATCH($B600,Effective!$A$3:$A$125,0),MATCH($D600,Effective!$E$2:$R$2,0))=0,"",INDEX(Effective!$E$3:$R$125,MATCH($B600,Effective!$A$3:$A$125,0),MATCH($D600,Effective!$E$2:$R$2,0))),"")</f>
        <v/>
      </c>
      <c r="H600" s="22" t="inlineStr">
        <is>
          <t>override</t>
        </is>
      </c>
      <c r="I600" s="23" t="n"/>
      <c r="J600" s="24">
        <f>IF(AND(IF($H601&lt;&gt;"",$H601,$H600)="override",$I600&lt;&gt;""),$I600,SUMIFS(Assumptions!$K$4:$K$8,Assumptions!$J$4:$J$8,$C600))*Assumptions!$S$10</f>
        <v/>
      </c>
      <c r="K600" s="23" t="n"/>
      <c r="L600" s="25">
        <f>IF(AND(IF($H601&lt;&gt;"",$H601,$H600)="override",$K600&lt;&gt;""),$K600,SUMIFS(Assumptions!$P$4:$P$103,Assumptions!$M$4:$M$103,$C600,Assumptions!$N$4:$N$103,$E600,Assumptions!$O$4:$O$103,"LVN"))</f>
        <v/>
      </c>
      <c r="M600" s="23" t="n"/>
      <c r="N600" s="25">
        <f>IF(AND(IF($H601&lt;&gt;"",$H601,$H600)="override",$M600&lt;&gt;""),$M600,SUMIFS(Assumptions!$P$4:$P$103,Assumptions!$M$4:$M$103,$C600,Assumptions!$N$4:$N$103,$E600,Assumptions!$O$4:$O$103,"HVN"))</f>
        <v/>
      </c>
      <c r="O600" s="25">
        <f>(L600+N600)*Assumptions!$S$11</f>
        <v/>
      </c>
      <c r="P600" s="26">
        <f>$F600*$J600*$O600</f>
        <v/>
      </c>
    </row>
    <row r="601">
      <c r="A601" s="27" t="inlineStr">
        <is>
          <t>TOTAL</t>
        </is>
      </c>
      <c r="B601" s="28" t="inlineStr">
        <is>
          <t>KINDER_HOUSTON</t>
        </is>
      </c>
      <c r="C601" s="28" t="n">
        <v>3</v>
      </c>
      <c r="D601" s="28" t="inlineStr">
        <is>
          <t>NET NAPHTHA</t>
        </is>
      </c>
      <c r="H601" s="22" t="n"/>
      <c r="P601" s="29">
        <f>SUM(P600:P600)</f>
        <v/>
      </c>
    </row>
    <row r="603" ht="20" customHeight="1">
      <c r="A603" s="8">
        <f>"  Calcasieu Refining Co. Lake Charles  [CALCASIEU_LAKE_CHARLES]   —   TransWorld Oil   —   PADD 3   —   crude "&amp;TEXT(SUMIFS(Data!$G$3:$G$125,Data!$A$3:$A$125,"CALCASIEU_LAKE_CHARLES"),"#,##0")&amp;" kbd"</f>
        <v/>
      </c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</row>
    <row r="604">
      <c r="A604" s="11" t="inlineStr">
        <is>
          <t>UNIT</t>
        </is>
      </c>
      <c r="B604" s="18" t="inlineStr">
        <is>
          <t>CALCASIEU_LAKE_CHARLES</t>
        </is>
      </c>
      <c r="C604" s="18" t="n">
        <v>3</v>
      </c>
      <c r="D604" s="18" t="inlineStr">
        <is>
          <t>CDU</t>
        </is>
      </c>
      <c r="E604" s="18" t="inlineStr">
        <is>
          <t>CDU</t>
        </is>
      </c>
      <c r="F604" s="19" t="n">
        <v>137</v>
      </c>
      <c r="G604" s="21">
        <f>IFERROR(IF(INDEX(Effective!$E$3:$R$125,MATCH($B604,Effective!$A$3:$A$125,0),MATCH($D604,Effective!$E$2:$R$2,0))=0,"",INDEX(Effective!$E$3:$R$125,MATCH($B604,Effective!$A$3:$A$125,0),MATCH($D604,Effective!$E$2:$R$2,0))),"")</f>
        <v/>
      </c>
      <c r="H604" s="22" t="inlineStr">
        <is>
          <t>override</t>
        </is>
      </c>
      <c r="I604" s="23" t="n"/>
      <c r="J604" s="24">
        <f>IF(AND(IF($H606&lt;&gt;"",$H606,$H604)="override",$I604&lt;&gt;""),$I604,SUMIFS(Assumptions!$K$4:$K$8,Assumptions!$J$4:$J$8,$C604))*Assumptions!$S$10</f>
        <v/>
      </c>
      <c r="K604" s="23" t="n"/>
      <c r="L604" s="25">
        <f>IF(AND(IF($H606&lt;&gt;"",$H606,$H604)="override",$K604&lt;&gt;""),$K604,SUMIFS(Assumptions!$P$4:$P$103,Assumptions!$M$4:$M$103,$C604,Assumptions!$N$4:$N$103,$E604,Assumptions!$O$4:$O$103,"LVN"))</f>
        <v/>
      </c>
      <c r="M604" s="23" t="n"/>
      <c r="N604" s="25">
        <f>IF(AND(IF($H606&lt;&gt;"",$H606,$H604)="override",$M604&lt;&gt;""),$M604,SUMIFS(Assumptions!$P$4:$P$103,Assumptions!$M$4:$M$103,$C604,Assumptions!$N$4:$N$103,$E604,Assumptions!$O$4:$O$103,"HVN"))</f>
        <v/>
      </c>
      <c r="O604" s="25">
        <f>(L604+N604)*Assumptions!$S$11</f>
        <v/>
      </c>
      <c r="P604" s="26">
        <f>$F604*$J604*$O604</f>
        <v/>
      </c>
    </row>
    <row r="605">
      <c r="A605" s="11" t="inlineStr">
        <is>
          <t>UNIT</t>
        </is>
      </c>
      <c r="B605" s="18" t="inlineStr">
        <is>
          <t>CALCASIEU_LAKE_CHARLES</t>
        </is>
      </c>
      <c r="C605" s="18" t="n">
        <v>3</v>
      </c>
      <c r="D605" s="18" t="inlineStr">
        <is>
          <t>VDU</t>
        </is>
      </c>
      <c r="E605" s="18" t="inlineStr">
        <is>
          <t>VDU</t>
        </is>
      </c>
      <c r="F605" s="19" t="n">
        <v>36</v>
      </c>
      <c r="G605" s="21">
        <f>IFERROR(IF(INDEX(Effective!$E$3:$R$125,MATCH($B605,Effective!$A$3:$A$125,0),MATCH($D605,Effective!$E$2:$R$2,0))=0,"",INDEX(Effective!$E$3:$R$125,MATCH($B605,Effective!$A$3:$A$125,0),MATCH($D605,Effective!$E$2:$R$2,0))),"")</f>
        <v/>
      </c>
      <c r="H605" s="22" t="inlineStr">
        <is>
          <t>override</t>
        </is>
      </c>
      <c r="I605" s="23" t="n"/>
      <c r="J605" s="24">
        <f>IF(AND(IF($H606&lt;&gt;"",$H606,$H605)="override",$I605&lt;&gt;""),$I605,SUMIFS(Assumptions!$K$4:$K$8,Assumptions!$J$4:$J$8,$C605))*Assumptions!$S$10</f>
        <v/>
      </c>
      <c r="K605" s="23" t="n"/>
      <c r="L605" s="25">
        <f>IF(AND(IF($H606&lt;&gt;"",$H606,$H605)="override",$K605&lt;&gt;""),$K605,SUMIFS(Assumptions!$P$4:$P$103,Assumptions!$M$4:$M$103,$C605,Assumptions!$N$4:$N$103,$E605,Assumptions!$O$4:$O$103,"LVN"))</f>
        <v/>
      </c>
      <c r="M605" s="23" t="n"/>
      <c r="N605" s="25">
        <f>IF(AND(IF($H606&lt;&gt;"",$H606,$H605)="override",$M605&lt;&gt;""),$M605,SUMIFS(Assumptions!$P$4:$P$103,Assumptions!$M$4:$M$103,$C605,Assumptions!$N$4:$N$103,$E605,Assumptions!$O$4:$O$103,"HVN"))</f>
        <v/>
      </c>
      <c r="O605" s="25">
        <f>(L605+N605)*Assumptions!$S$11</f>
        <v/>
      </c>
      <c r="P605" s="26">
        <f>$F605*$J605*$O605</f>
        <v/>
      </c>
    </row>
    <row r="606">
      <c r="A606" s="27" t="inlineStr">
        <is>
          <t>TOTAL</t>
        </is>
      </c>
      <c r="B606" s="28" t="inlineStr">
        <is>
          <t>CALCASIEU_LAKE_CHARLES</t>
        </is>
      </c>
      <c r="C606" s="28" t="n">
        <v>3</v>
      </c>
      <c r="D606" s="28" t="inlineStr">
        <is>
          <t>NET NAPHTHA</t>
        </is>
      </c>
      <c r="H606" s="22" t="n"/>
      <c r="P606" s="29">
        <f>SUM(P604:P605)</f>
        <v/>
      </c>
    </row>
    <row r="608" ht="20" customHeight="1">
      <c r="A608" s="8">
        <f>"  HF Sinclair Artesia  [HF_ARTESIA]   —   HF Sinclair   —   PADD 3   —   crude "&amp;TEXT(SUMIFS(Data!$G$3:$G$125,Data!$A$3:$A$125,"HF_ARTESIA"),"#,##0")&amp;" kbd"</f>
        <v/>
      </c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</row>
    <row r="609">
      <c r="A609" s="11" t="inlineStr">
        <is>
          <t>UNIT</t>
        </is>
      </c>
      <c r="B609" s="18" t="inlineStr">
        <is>
          <t>HF_ARTESIA</t>
        </is>
      </c>
      <c r="C609" s="18" t="n">
        <v>3</v>
      </c>
      <c r="D609" s="18" t="inlineStr">
        <is>
          <t>CDU</t>
        </is>
      </c>
      <c r="E609" s="18" t="inlineStr">
        <is>
          <t>CDU</t>
        </is>
      </c>
      <c r="F609" s="19" t="n">
        <v>124</v>
      </c>
      <c r="G609" s="21">
        <f>IFERROR(IF(INDEX(Effective!$E$3:$R$125,MATCH($B609,Effective!$A$3:$A$125,0),MATCH($D609,Effective!$E$2:$R$2,0))=0,"",INDEX(Effective!$E$3:$R$125,MATCH($B609,Effective!$A$3:$A$125,0),MATCH($D609,Effective!$E$2:$R$2,0))),"")</f>
        <v/>
      </c>
      <c r="H609" s="22" t="inlineStr">
        <is>
          <t>override</t>
        </is>
      </c>
      <c r="I609" s="23" t="n">
        <v>0.742</v>
      </c>
      <c r="J609" s="24">
        <f>IF(AND(IF($H617&lt;&gt;"",$H617,$H609)="override",$I609&lt;&gt;""),$I609,SUMIFS(Assumptions!$K$4:$K$8,Assumptions!$J$4:$J$8,$C609))*Assumptions!$S$10</f>
        <v/>
      </c>
      <c r="K609" s="23" t="n"/>
      <c r="L609" s="25">
        <f>IF(AND(IF($H617&lt;&gt;"",$H617,$H609)="override",$K609&lt;&gt;""),$K609,SUMIFS(Assumptions!$P$4:$P$103,Assumptions!$M$4:$M$103,$C609,Assumptions!$N$4:$N$103,$E609,Assumptions!$O$4:$O$103,"LVN"))</f>
        <v/>
      </c>
      <c r="M609" s="23" t="n"/>
      <c r="N609" s="25">
        <f>IF(AND(IF($H617&lt;&gt;"",$H617,$H609)="override",$M609&lt;&gt;""),$M609,SUMIFS(Assumptions!$P$4:$P$103,Assumptions!$M$4:$M$103,$C609,Assumptions!$N$4:$N$103,$E609,Assumptions!$O$4:$O$103,"HVN"))</f>
        <v/>
      </c>
      <c r="O609" s="25">
        <f>(L609+N609)*Assumptions!$S$11</f>
        <v/>
      </c>
      <c r="P609" s="26">
        <f>$F609*$J609*$O609</f>
        <v/>
      </c>
    </row>
    <row r="610">
      <c r="A610" s="11" t="inlineStr">
        <is>
          <t>UNIT</t>
        </is>
      </c>
      <c r="B610" s="18" t="inlineStr">
        <is>
          <t>HF_ARTESIA</t>
        </is>
      </c>
      <c r="C610" s="18" t="n">
        <v>3</v>
      </c>
      <c r="D610" s="18" t="inlineStr">
        <is>
          <t>VDU</t>
        </is>
      </c>
      <c r="E610" s="18" t="inlineStr">
        <is>
          <t>VDU</t>
        </is>
      </c>
      <c r="F610" s="19" t="n">
        <v>34.3</v>
      </c>
      <c r="G610" s="21">
        <f>IFERROR(IF(INDEX(Effective!$E$3:$R$125,MATCH($B610,Effective!$A$3:$A$125,0),MATCH($D610,Effective!$E$2:$R$2,0))=0,"",INDEX(Effective!$E$3:$R$125,MATCH($B610,Effective!$A$3:$A$125,0),MATCH($D610,Effective!$E$2:$R$2,0))),"")</f>
        <v/>
      </c>
      <c r="H610" s="22" t="inlineStr">
        <is>
          <t>override</t>
        </is>
      </c>
      <c r="I610" s="23" t="n">
        <v>0.921</v>
      </c>
      <c r="J610" s="24">
        <f>IF(AND(IF($H617&lt;&gt;"",$H617,$H610)="override",$I610&lt;&gt;""),$I610,SUMIFS(Assumptions!$K$4:$K$8,Assumptions!$J$4:$J$8,$C610))*Assumptions!$S$10</f>
        <v/>
      </c>
      <c r="K610" s="23" t="n"/>
      <c r="L610" s="25">
        <f>IF(AND(IF($H617&lt;&gt;"",$H617,$H610)="override",$K610&lt;&gt;""),$K610,SUMIFS(Assumptions!$P$4:$P$103,Assumptions!$M$4:$M$103,$C610,Assumptions!$N$4:$N$103,$E610,Assumptions!$O$4:$O$103,"LVN"))</f>
        <v/>
      </c>
      <c r="M610" s="23" t="n"/>
      <c r="N610" s="25">
        <f>IF(AND(IF($H617&lt;&gt;"",$H617,$H610)="override",$M610&lt;&gt;""),$M610,SUMIFS(Assumptions!$P$4:$P$103,Assumptions!$M$4:$M$103,$C610,Assumptions!$N$4:$N$103,$E610,Assumptions!$O$4:$O$103,"HVN"))</f>
        <v/>
      </c>
      <c r="O610" s="25">
        <f>(L610+N610)*Assumptions!$S$11</f>
        <v/>
      </c>
      <c r="P610" s="26">
        <f>$F610*$J610*$O610</f>
        <v/>
      </c>
    </row>
    <row r="611">
      <c r="A611" s="11" t="inlineStr">
        <is>
          <t>UNIT</t>
        </is>
      </c>
      <c r="B611" s="18" t="inlineStr">
        <is>
          <t>HF_ARTESIA</t>
        </is>
      </c>
      <c r="C611" s="18" t="n">
        <v>3</v>
      </c>
      <c r="D611" s="18" t="inlineStr">
        <is>
          <t>FCC</t>
        </is>
      </c>
      <c r="E611" s="18" t="inlineStr">
        <is>
          <t>FCC</t>
        </is>
      </c>
      <c r="F611" s="19" t="n">
        <v>30</v>
      </c>
      <c r="G611" s="21">
        <f>IFERROR(IF(INDEX(Effective!$E$3:$R$125,MATCH($B611,Effective!$A$3:$A$125,0),MATCH($D611,Effective!$E$2:$R$2,0))=0,"",INDEX(Effective!$E$3:$R$125,MATCH($B611,Effective!$A$3:$A$125,0),MATCH($D611,Effective!$E$2:$R$2,0))),"")</f>
        <v/>
      </c>
      <c r="H611" s="22" t="inlineStr">
        <is>
          <t>override</t>
        </is>
      </c>
      <c r="I611" s="23" t="n">
        <v>0.912</v>
      </c>
      <c r="J611" s="24">
        <f>IF(AND(IF($H617&lt;&gt;"",$H617,$H611)="override",$I611&lt;&gt;""),$I611,SUMIFS(Assumptions!$K$4:$K$8,Assumptions!$J$4:$J$8,$C611))*Assumptions!$S$10</f>
        <v/>
      </c>
      <c r="K611" s="23" t="n"/>
      <c r="L611" s="25">
        <f>IF(AND(IF($H617&lt;&gt;"",$H617,$H611)="override",$K611&lt;&gt;""),$K611,SUMIFS(Assumptions!$P$4:$P$103,Assumptions!$M$4:$M$103,$C611,Assumptions!$N$4:$N$103,$E611,Assumptions!$O$4:$O$103,"LVN"))</f>
        <v/>
      </c>
      <c r="M611" s="23" t="n"/>
      <c r="N611" s="25">
        <f>IF(AND(IF($H617&lt;&gt;"",$H617,$H611)="override",$M611&lt;&gt;""),$M611,SUMIFS(Assumptions!$P$4:$P$103,Assumptions!$M$4:$M$103,$C611,Assumptions!$N$4:$N$103,$E611,Assumptions!$O$4:$O$103,"HVN"))</f>
        <v/>
      </c>
      <c r="O611" s="25">
        <f>(L611+N611)*Assumptions!$S$11</f>
        <v/>
      </c>
      <c r="P611" s="26">
        <f>$F611*$J611*$O611</f>
        <v/>
      </c>
    </row>
    <row r="612">
      <c r="A612" s="11" t="inlineStr">
        <is>
          <t>UNIT</t>
        </is>
      </c>
      <c r="B612" s="18" t="inlineStr">
        <is>
          <t>HF_ARTESIA</t>
        </is>
      </c>
      <c r="C612" s="18" t="n">
        <v>3</v>
      </c>
      <c r="D612" s="18" t="inlineStr">
        <is>
          <t>DHCU</t>
        </is>
      </c>
      <c r="E612" s="18" t="inlineStr">
        <is>
          <t>HYDROCRACKER</t>
        </is>
      </c>
      <c r="F612" s="19" t="n">
        <v>18</v>
      </c>
      <c r="G612" s="21">
        <f>IFERROR(IF(INDEX(Effective!$E$3:$R$125,MATCH($B612,Effective!$A$3:$A$125,0),MATCH($D612,Effective!$E$2:$R$2,0))=0,"",INDEX(Effective!$E$3:$R$125,MATCH($B612,Effective!$A$3:$A$125,0),MATCH($D612,Effective!$E$2:$R$2,0))),"")</f>
        <v/>
      </c>
      <c r="H612" s="22" t="inlineStr">
        <is>
          <t>override</t>
        </is>
      </c>
      <c r="I612" s="23" t="n">
        <v>0.971</v>
      </c>
      <c r="J612" s="24">
        <f>IF(AND(IF($H617&lt;&gt;"",$H617,$H612)="override",$I612&lt;&gt;""),$I612,SUMIFS(Assumptions!$K$4:$K$8,Assumptions!$J$4:$J$8,$C612))*Assumptions!$S$10</f>
        <v/>
      </c>
      <c r="K612" s="23" t="n"/>
      <c r="L612" s="25">
        <f>IF(AND(IF($H617&lt;&gt;"",$H617,$H612)="override",$K612&lt;&gt;""),$K612,SUMIFS(Assumptions!$P$4:$P$103,Assumptions!$M$4:$M$103,$C612,Assumptions!$N$4:$N$103,$E612,Assumptions!$O$4:$O$103,"LVN"))</f>
        <v/>
      </c>
      <c r="M612" s="23" t="n"/>
      <c r="N612" s="25">
        <f>IF(AND(IF($H617&lt;&gt;"",$H617,$H612)="override",$M612&lt;&gt;""),$M612,SUMIFS(Assumptions!$P$4:$P$103,Assumptions!$M$4:$M$103,$C612,Assumptions!$N$4:$N$103,$E612,Assumptions!$O$4:$O$103,"HVN"))</f>
        <v/>
      </c>
      <c r="O612" s="25">
        <f>(L612+N612)*Assumptions!$S$11</f>
        <v/>
      </c>
      <c r="P612" s="26">
        <f>$F612*$J612*$O612</f>
        <v/>
      </c>
    </row>
    <row r="613">
      <c r="A613" s="11" t="inlineStr">
        <is>
          <t>UNIT</t>
        </is>
      </c>
      <c r="B613" s="18" t="inlineStr">
        <is>
          <t>HF_ARTESIA</t>
        </is>
      </c>
      <c r="C613" s="18" t="n">
        <v>3</v>
      </c>
      <c r="D613" s="18" t="inlineStr">
        <is>
          <t>CCR</t>
        </is>
      </c>
      <c r="E613" s="18" t="inlineStr">
        <is>
          <t>REFORMER</t>
        </is>
      </c>
      <c r="F613" s="19" t="n">
        <v>24</v>
      </c>
      <c r="G613" s="21">
        <f>IFERROR(IF(INDEX(Effective!$E$3:$R$125,MATCH($B613,Effective!$A$3:$A$125,0),MATCH($D613,Effective!$E$2:$R$2,0))=0,"",INDEX(Effective!$E$3:$R$125,MATCH($B613,Effective!$A$3:$A$125,0),MATCH($D613,Effective!$E$2:$R$2,0))),"")</f>
        <v/>
      </c>
      <c r="H613" s="22" t="inlineStr">
        <is>
          <t>override</t>
        </is>
      </c>
      <c r="I613" s="23" t="n">
        <v>0.979</v>
      </c>
      <c r="J613" s="24">
        <f>IF(AND(IF($H617&lt;&gt;"",$H617,$H613)="override",$I613&lt;&gt;""),$I613,SUMIFS(Assumptions!$K$4:$K$8,Assumptions!$J$4:$J$8,$C613))*Assumptions!$S$10</f>
        <v/>
      </c>
      <c r="K613" s="23" t="n"/>
      <c r="L613" s="25">
        <f>IF(AND(IF($H617&lt;&gt;"",$H617,$H613)="override",$K613&lt;&gt;""),$K613,SUMIFS(Assumptions!$P$4:$P$103,Assumptions!$M$4:$M$103,$C613,Assumptions!$N$4:$N$103,$E613,Assumptions!$O$4:$O$103,"LVN"))</f>
        <v/>
      </c>
      <c r="M613" s="23" t="n"/>
      <c r="N613" s="25">
        <f>IF(AND(IF($H617&lt;&gt;"",$H617,$H613)="override",$M613&lt;&gt;""),$M613,SUMIFS(Assumptions!$P$4:$P$103,Assumptions!$M$4:$M$103,$C613,Assumptions!$N$4:$N$103,$E613,Assumptions!$O$4:$O$103,"HVN"))</f>
        <v/>
      </c>
      <c r="O613" s="25">
        <f>(L613+N613)*Assumptions!$S$11</f>
        <v/>
      </c>
      <c r="P613" s="26">
        <f>$F613*$J613*$O613</f>
        <v/>
      </c>
    </row>
    <row r="614">
      <c r="A614" s="11" t="inlineStr">
        <is>
          <t>UNIT</t>
        </is>
      </c>
      <c r="B614" s="18" t="inlineStr">
        <is>
          <t>HF_ARTESIA</t>
        </is>
      </c>
      <c r="C614" s="18" t="n">
        <v>3</v>
      </c>
      <c r="D614" s="18" t="inlineStr">
        <is>
          <t>ISOM</t>
        </is>
      </c>
      <c r="E614" s="18" t="inlineStr">
        <is>
          <t>ISOM</t>
        </is>
      </c>
      <c r="F614" s="19" t="n">
        <v>9.539999999999999</v>
      </c>
      <c r="G614" s="21">
        <f>IFERROR(IF(INDEX(Effective!$E$3:$R$125,MATCH($B614,Effective!$A$3:$A$125,0),MATCH($D614,Effective!$E$2:$R$2,0))=0,"",INDEX(Effective!$E$3:$R$125,MATCH($B614,Effective!$A$3:$A$125,0),MATCH($D614,Effective!$E$2:$R$2,0))),"")</f>
        <v/>
      </c>
      <c r="H614" s="22" t="inlineStr">
        <is>
          <t>override</t>
        </is>
      </c>
      <c r="I614" s="23" t="n">
        <v>0.657</v>
      </c>
      <c r="J614" s="24">
        <f>IF(AND(IF($H617&lt;&gt;"",$H617,$H614)="override",$I614&lt;&gt;""),$I614,SUMIFS(Assumptions!$K$4:$K$8,Assumptions!$J$4:$J$8,$C614))*Assumptions!$S$10</f>
        <v/>
      </c>
      <c r="K614" s="23" t="n"/>
      <c r="L614" s="25">
        <f>IF(AND(IF($H617&lt;&gt;"",$H617,$H614)="override",$K614&lt;&gt;""),$K614,SUMIFS(Assumptions!$P$4:$P$103,Assumptions!$M$4:$M$103,$C614,Assumptions!$N$4:$N$103,$E614,Assumptions!$O$4:$O$103,"LVN"))</f>
        <v/>
      </c>
      <c r="M614" s="23" t="n"/>
      <c r="N614" s="25">
        <f>IF(AND(IF($H617&lt;&gt;"",$H617,$H614)="override",$M614&lt;&gt;""),$M614,SUMIFS(Assumptions!$P$4:$P$103,Assumptions!$M$4:$M$103,$C614,Assumptions!$N$4:$N$103,$E614,Assumptions!$O$4:$O$103,"HVN"))</f>
        <v/>
      </c>
      <c r="O614" s="25">
        <f>(L614+N614)*Assumptions!$S$11</f>
        <v/>
      </c>
      <c r="P614" s="26">
        <f>$F614*$J614*$O614</f>
        <v/>
      </c>
    </row>
    <row r="615">
      <c r="A615" s="11" t="inlineStr">
        <is>
          <t>UNIT</t>
        </is>
      </c>
      <c r="B615" s="18" t="inlineStr">
        <is>
          <t>HF_ARTESIA</t>
        </is>
      </c>
      <c r="C615" s="18" t="n">
        <v>3</v>
      </c>
      <c r="D615" s="18" t="inlineStr">
        <is>
          <t>ALKY</t>
        </is>
      </c>
      <c r="E615" s="18" t="inlineStr">
        <is>
          <t>ALKY</t>
        </is>
      </c>
      <c r="F615" s="19" t="n">
        <v>9.5</v>
      </c>
      <c r="G615" s="21">
        <f>IFERROR(IF(INDEX(Effective!$E$3:$R$125,MATCH($B615,Effective!$A$3:$A$125,0),MATCH($D615,Effective!$E$2:$R$2,0))=0,"",INDEX(Effective!$E$3:$R$125,MATCH($B615,Effective!$A$3:$A$125,0),MATCH($D615,Effective!$E$2:$R$2,0))),"")</f>
        <v/>
      </c>
      <c r="H615" s="22" t="inlineStr">
        <is>
          <t>override</t>
        </is>
      </c>
      <c r="I615" s="23" t="n">
        <v>0.762</v>
      </c>
      <c r="J615" s="24">
        <f>IF(AND(IF($H617&lt;&gt;"",$H617,$H615)="override",$I615&lt;&gt;""),$I615,SUMIFS(Assumptions!$K$4:$K$8,Assumptions!$J$4:$J$8,$C615))*Assumptions!$S$10</f>
        <v/>
      </c>
      <c r="K615" s="23" t="n"/>
      <c r="L615" s="25">
        <f>IF(AND(IF($H617&lt;&gt;"",$H617,$H615)="override",$K615&lt;&gt;""),$K615,SUMIFS(Assumptions!$P$4:$P$103,Assumptions!$M$4:$M$103,$C615,Assumptions!$N$4:$N$103,$E615,Assumptions!$O$4:$O$103,"LVN"))</f>
        <v/>
      </c>
      <c r="M615" s="23" t="n"/>
      <c r="N615" s="25">
        <f>IF(AND(IF($H617&lt;&gt;"",$H617,$H615)="override",$M615&lt;&gt;""),$M615,SUMIFS(Assumptions!$P$4:$P$103,Assumptions!$M$4:$M$103,$C615,Assumptions!$N$4:$N$103,$E615,Assumptions!$O$4:$O$103,"HVN"))</f>
        <v/>
      </c>
      <c r="O615" s="25">
        <f>(L615+N615)*Assumptions!$S$11</f>
        <v/>
      </c>
      <c r="P615" s="26">
        <f>$F615*$J615*$O615</f>
        <v/>
      </c>
    </row>
    <row r="616">
      <c r="A616" s="11" t="inlineStr">
        <is>
          <t>UNIT</t>
        </is>
      </c>
      <c r="B616" s="18" t="inlineStr">
        <is>
          <t>HF_ARTESIA</t>
        </is>
      </c>
      <c r="C616" s="18" t="n">
        <v>3</v>
      </c>
      <c r="D616" s="18" t="inlineStr">
        <is>
          <t>NHT</t>
        </is>
      </c>
      <c r="E616" s="18" t="inlineStr">
        <is>
          <t>NHT</t>
        </is>
      </c>
      <c r="F616" s="19" t="n">
        <v>42</v>
      </c>
      <c r="G616" s="21">
        <f>IFERROR(IF(INDEX(Effective!$E$3:$R$125,MATCH($B616,Effective!$A$3:$A$125,0),MATCH($D616,Effective!$E$2:$R$2,0))=0,"",INDEX(Effective!$E$3:$R$125,MATCH($B616,Effective!$A$3:$A$125,0),MATCH($D616,Effective!$E$2:$R$2,0))),"")</f>
        <v/>
      </c>
      <c r="H616" s="22" t="inlineStr">
        <is>
          <t>override</t>
        </is>
      </c>
      <c r="I616" s="23" t="n">
        <v>0.882</v>
      </c>
      <c r="J616" s="24">
        <f>IF(AND(IF($H617&lt;&gt;"",$H617,$H616)="override",$I616&lt;&gt;""),$I616,SUMIFS(Assumptions!$K$4:$K$8,Assumptions!$J$4:$J$8,$C616))*Assumptions!$S$10</f>
        <v/>
      </c>
      <c r="K616" s="23" t="n"/>
      <c r="L616" s="25">
        <f>IF(AND(IF($H617&lt;&gt;"",$H617,$H616)="override",$K616&lt;&gt;""),$K616,SUMIFS(Assumptions!$P$4:$P$103,Assumptions!$M$4:$M$103,$C616,Assumptions!$N$4:$N$103,$E616,Assumptions!$O$4:$O$103,"LVN"))</f>
        <v/>
      </c>
      <c r="M616" s="23" t="n"/>
      <c r="N616" s="25">
        <f>IF(AND(IF($H617&lt;&gt;"",$H617,$H616)="override",$M616&lt;&gt;""),$M616,SUMIFS(Assumptions!$P$4:$P$103,Assumptions!$M$4:$M$103,$C616,Assumptions!$N$4:$N$103,$E616,Assumptions!$O$4:$O$103,"HVN"))</f>
        <v/>
      </c>
      <c r="O616" s="25">
        <f>(L616+N616)*Assumptions!$S$11</f>
        <v/>
      </c>
      <c r="P616" s="26">
        <f>$F616*$J616*$O616</f>
        <v/>
      </c>
    </row>
    <row r="617">
      <c r="A617" s="27" t="inlineStr">
        <is>
          <t>TOTAL</t>
        </is>
      </c>
      <c r="B617" s="28" t="inlineStr">
        <is>
          <t>HF_ARTESIA</t>
        </is>
      </c>
      <c r="C617" s="28" t="n">
        <v>3</v>
      </c>
      <c r="D617" s="28" t="inlineStr">
        <is>
          <t>NET NAPHTHA</t>
        </is>
      </c>
      <c r="H617" s="22" t="n"/>
      <c r="P617" s="29">
        <f>SUM(P609:P616)</f>
        <v/>
      </c>
    </row>
    <row r="619" ht="20" customHeight="1">
      <c r="A619" s="8">
        <f>"  Valero Three Rivers  [VALERO_THREE_RIVERS]   —   Valero   —   PADD 3   —   crude "&amp;TEXT(SUMIFS(Data!$G$3:$G$125,Data!$A$3:$A$125,"VALERO_THREE_RIVERS"),"#,##0")&amp;" kbd"</f>
        <v/>
      </c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</row>
    <row r="620">
      <c r="A620" s="11" t="inlineStr">
        <is>
          <t>UNIT</t>
        </is>
      </c>
      <c r="B620" s="18" t="inlineStr">
        <is>
          <t>VALERO_THREE_RIVERS</t>
        </is>
      </c>
      <c r="C620" s="18" t="n">
        <v>3</v>
      </c>
      <c r="D620" s="18" t="inlineStr">
        <is>
          <t>CDU</t>
        </is>
      </c>
      <c r="E620" s="18" t="inlineStr">
        <is>
          <t>CDU</t>
        </is>
      </c>
      <c r="F620" s="19" t="n">
        <v>91</v>
      </c>
      <c r="G620" s="21">
        <f>IFERROR(IF(INDEX(Effective!$E$3:$R$125,MATCH($B620,Effective!$A$3:$A$125,0),MATCH($D620,Effective!$E$2:$R$2,0))=0,"",INDEX(Effective!$E$3:$R$125,MATCH($B620,Effective!$A$3:$A$125,0),MATCH($D620,Effective!$E$2:$R$2,0))),"")</f>
        <v/>
      </c>
      <c r="H620" s="22" t="inlineStr">
        <is>
          <t>override</t>
        </is>
      </c>
      <c r="I620" s="23" t="n">
        <v>0.954</v>
      </c>
      <c r="J620" s="24">
        <f>IF(AND(IF($H628&lt;&gt;"",$H628,$H620)="override",$I620&lt;&gt;""),$I620,SUMIFS(Assumptions!$K$4:$K$8,Assumptions!$J$4:$J$8,$C620))*Assumptions!$S$10</f>
        <v/>
      </c>
      <c r="K620" s="23" t="n"/>
      <c r="L620" s="25">
        <f>IF(AND(IF($H628&lt;&gt;"",$H628,$H620)="override",$K620&lt;&gt;""),$K620,SUMIFS(Assumptions!$P$4:$P$103,Assumptions!$M$4:$M$103,$C620,Assumptions!$N$4:$N$103,$E620,Assumptions!$O$4:$O$103,"LVN"))</f>
        <v/>
      </c>
      <c r="M620" s="23" t="n"/>
      <c r="N620" s="25">
        <f>IF(AND(IF($H628&lt;&gt;"",$H628,$H620)="override",$M620&lt;&gt;""),$M620,SUMIFS(Assumptions!$P$4:$P$103,Assumptions!$M$4:$M$103,$C620,Assumptions!$N$4:$N$103,$E620,Assumptions!$O$4:$O$103,"HVN"))</f>
        <v/>
      </c>
      <c r="O620" s="25">
        <f>(L620+N620)*Assumptions!$S$11</f>
        <v/>
      </c>
      <c r="P620" s="26">
        <f>$F620*$J620*$O620</f>
        <v/>
      </c>
    </row>
    <row r="621">
      <c r="A621" s="11" t="inlineStr">
        <is>
          <t>UNIT</t>
        </is>
      </c>
      <c r="B621" s="18" t="inlineStr">
        <is>
          <t>VALERO_THREE_RIVERS</t>
        </is>
      </c>
      <c r="C621" s="18" t="n">
        <v>3</v>
      </c>
      <c r="D621" s="18" t="inlineStr">
        <is>
          <t>VDU</t>
        </is>
      </c>
      <c r="E621" s="18" t="inlineStr">
        <is>
          <t>VDU</t>
        </is>
      </c>
      <c r="F621" s="19" t="n">
        <v>33.5</v>
      </c>
      <c r="G621" s="21">
        <f>IFERROR(IF(INDEX(Effective!$E$3:$R$125,MATCH($B621,Effective!$A$3:$A$125,0),MATCH($D621,Effective!$E$2:$R$2,0))=0,"",INDEX(Effective!$E$3:$R$125,MATCH($B621,Effective!$A$3:$A$125,0),MATCH($D621,Effective!$E$2:$R$2,0))),"")</f>
        <v/>
      </c>
      <c r="H621" s="22" t="inlineStr">
        <is>
          <t>override</t>
        </is>
      </c>
      <c r="I621" s="23" t="n">
        <v>0.8179999999999999</v>
      </c>
      <c r="J621" s="24">
        <f>IF(AND(IF($H628&lt;&gt;"",$H628,$H621)="override",$I621&lt;&gt;""),$I621,SUMIFS(Assumptions!$K$4:$K$8,Assumptions!$J$4:$J$8,$C621))*Assumptions!$S$10</f>
        <v/>
      </c>
      <c r="K621" s="23" t="n"/>
      <c r="L621" s="25">
        <f>IF(AND(IF($H628&lt;&gt;"",$H628,$H621)="override",$K621&lt;&gt;""),$K621,SUMIFS(Assumptions!$P$4:$P$103,Assumptions!$M$4:$M$103,$C621,Assumptions!$N$4:$N$103,$E621,Assumptions!$O$4:$O$103,"LVN"))</f>
        <v/>
      </c>
      <c r="M621" s="23" t="n"/>
      <c r="N621" s="25">
        <f>IF(AND(IF($H628&lt;&gt;"",$H628,$H621)="override",$M621&lt;&gt;""),$M621,SUMIFS(Assumptions!$P$4:$P$103,Assumptions!$M$4:$M$103,$C621,Assumptions!$N$4:$N$103,$E621,Assumptions!$O$4:$O$103,"HVN"))</f>
        <v/>
      </c>
      <c r="O621" s="25">
        <f>(L621+N621)*Assumptions!$S$11</f>
        <v/>
      </c>
      <c r="P621" s="26">
        <f>$F621*$J621*$O621</f>
        <v/>
      </c>
    </row>
    <row r="622">
      <c r="A622" s="11" t="inlineStr">
        <is>
          <t>UNIT</t>
        </is>
      </c>
      <c r="B622" s="18" t="inlineStr">
        <is>
          <t>VALERO_THREE_RIVERS</t>
        </is>
      </c>
      <c r="C622" s="18" t="n">
        <v>3</v>
      </c>
      <c r="D622" s="18" t="inlineStr">
        <is>
          <t>FCC</t>
        </is>
      </c>
      <c r="E622" s="18" t="inlineStr">
        <is>
          <t>FCC</t>
        </is>
      </c>
      <c r="F622" s="19" t="n">
        <v>23.84</v>
      </c>
      <c r="G622" s="21">
        <f>IFERROR(IF(INDEX(Effective!$E$3:$R$125,MATCH($B622,Effective!$A$3:$A$125,0),MATCH($D622,Effective!$E$2:$R$2,0))=0,"",INDEX(Effective!$E$3:$R$125,MATCH($B622,Effective!$A$3:$A$125,0),MATCH($D622,Effective!$E$2:$R$2,0))),"")</f>
        <v/>
      </c>
      <c r="H622" s="22" t="inlineStr">
        <is>
          <t>override</t>
        </is>
      </c>
      <c r="I622" s="23" t="n">
        <v>0.832</v>
      </c>
      <c r="J622" s="24">
        <f>IF(AND(IF($H628&lt;&gt;"",$H628,$H622)="override",$I622&lt;&gt;""),$I622,SUMIFS(Assumptions!$K$4:$K$8,Assumptions!$J$4:$J$8,$C622))*Assumptions!$S$10</f>
        <v/>
      </c>
      <c r="K622" s="23" t="n"/>
      <c r="L622" s="25">
        <f>IF(AND(IF($H628&lt;&gt;"",$H628,$H622)="override",$K622&lt;&gt;""),$K622,SUMIFS(Assumptions!$P$4:$P$103,Assumptions!$M$4:$M$103,$C622,Assumptions!$N$4:$N$103,$E622,Assumptions!$O$4:$O$103,"LVN"))</f>
        <v/>
      </c>
      <c r="M622" s="23" t="n"/>
      <c r="N622" s="25">
        <f>IF(AND(IF($H628&lt;&gt;"",$H628,$H622)="override",$M622&lt;&gt;""),$M622,SUMIFS(Assumptions!$P$4:$P$103,Assumptions!$M$4:$M$103,$C622,Assumptions!$N$4:$N$103,$E622,Assumptions!$O$4:$O$103,"HVN"))</f>
        <v/>
      </c>
      <c r="O622" s="25">
        <f>(L622+N622)*Assumptions!$S$11</f>
        <v/>
      </c>
      <c r="P622" s="26">
        <f>$F622*$J622*$O622</f>
        <v/>
      </c>
    </row>
    <row r="623">
      <c r="A623" s="11" t="inlineStr">
        <is>
          <t>UNIT</t>
        </is>
      </c>
      <c r="B623" s="18" t="inlineStr">
        <is>
          <t>VALERO_THREE_RIVERS</t>
        </is>
      </c>
      <c r="C623" s="18" t="n">
        <v>3</v>
      </c>
      <c r="D623" s="18" t="inlineStr">
        <is>
          <t>DHCU</t>
        </is>
      </c>
      <c r="E623" s="18" t="inlineStr">
        <is>
          <t>HYDROCRACKER</t>
        </is>
      </c>
      <c r="F623" s="19" t="n">
        <v>28</v>
      </c>
      <c r="G623" s="21">
        <f>IFERROR(IF(INDEX(Effective!$E$3:$R$125,MATCH($B623,Effective!$A$3:$A$125,0),MATCH($D623,Effective!$E$2:$R$2,0))=0,"",INDEX(Effective!$E$3:$R$125,MATCH($B623,Effective!$A$3:$A$125,0),MATCH($D623,Effective!$E$2:$R$2,0))),"")</f>
        <v/>
      </c>
      <c r="H623" s="22" t="inlineStr">
        <is>
          <t>override</t>
        </is>
      </c>
      <c r="I623" s="23" t="n">
        <v>0.293</v>
      </c>
      <c r="J623" s="24">
        <f>IF(AND(IF($H628&lt;&gt;"",$H628,$H623)="override",$I623&lt;&gt;""),$I623,SUMIFS(Assumptions!$K$4:$K$8,Assumptions!$J$4:$J$8,$C623))*Assumptions!$S$10</f>
        <v/>
      </c>
      <c r="K623" s="23" t="n"/>
      <c r="L623" s="25">
        <f>IF(AND(IF($H628&lt;&gt;"",$H628,$H623)="override",$K623&lt;&gt;""),$K623,SUMIFS(Assumptions!$P$4:$P$103,Assumptions!$M$4:$M$103,$C623,Assumptions!$N$4:$N$103,$E623,Assumptions!$O$4:$O$103,"LVN"))</f>
        <v/>
      </c>
      <c r="M623" s="23" t="n"/>
      <c r="N623" s="25">
        <f>IF(AND(IF($H628&lt;&gt;"",$H628,$H623)="override",$M623&lt;&gt;""),$M623,SUMIFS(Assumptions!$P$4:$P$103,Assumptions!$M$4:$M$103,$C623,Assumptions!$N$4:$N$103,$E623,Assumptions!$O$4:$O$103,"HVN"))</f>
        <v/>
      </c>
      <c r="O623" s="25">
        <f>(L623+N623)*Assumptions!$S$11</f>
        <v/>
      </c>
      <c r="P623" s="26">
        <f>$F623*$J623*$O623</f>
        <v/>
      </c>
    </row>
    <row r="624">
      <c r="A624" s="11" t="inlineStr">
        <is>
          <t>UNIT</t>
        </is>
      </c>
      <c r="B624" s="18" t="inlineStr">
        <is>
          <t>VALERO_THREE_RIVERS</t>
        </is>
      </c>
      <c r="C624" s="18" t="n">
        <v>3</v>
      </c>
      <c r="D624" s="18" t="inlineStr">
        <is>
          <t>CCR</t>
        </is>
      </c>
      <c r="E624" s="18" t="inlineStr">
        <is>
          <t>REFORMER</t>
        </is>
      </c>
      <c r="F624" s="19" t="n">
        <v>23.5</v>
      </c>
      <c r="G624" s="21">
        <f>IFERROR(IF(INDEX(Effective!$E$3:$R$125,MATCH($B624,Effective!$A$3:$A$125,0),MATCH($D624,Effective!$E$2:$R$2,0))=0,"",INDEX(Effective!$E$3:$R$125,MATCH($B624,Effective!$A$3:$A$125,0),MATCH($D624,Effective!$E$2:$R$2,0))),"")</f>
        <v/>
      </c>
      <c r="H624" s="22" t="inlineStr">
        <is>
          <t>override</t>
        </is>
      </c>
      <c r="I624" s="23" t="n">
        <v>0.901</v>
      </c>
      <c r="J624" s="24">
        <f>IF(AND(IF($H628&lt;&gt;"",$H628,$H624)="override",$I624&lt;&gt;""),$I624,SUMIFS(Assumptions!$K$4:$K$8,Assumptions!$J$4:$J$8,$C624))*Assumptions!$S$10</f>
        <v/>
      </c>
      <c r="K624" s="23" t="n"/>
      <c r="L624" s="25">
        <f>IF(AND(IF($H628&lt;&gt;"",$H628,$H624)="override",$K624&lt;&gt;""),$K624,SUMIFS(Assumptions!$P$4:$P$103,Assumptions!$M$4:$M$103,$C624,Assumptions!$N$4:$N$103,$E624,Assumptions!$O$4:$O$103,"LVN"))</f>
        <v/>
      </c>
      <c r="M624" s="23" t="n"/>
      <c r="N624" s="25">
        <f>IF(AND(IF($H628&lt;&gt;"",$H628,$H624)="override",$M624&lt;&gt;""),$M624,SUMIFS(Assumptions!$P$4:$P$103,Assumptions!$M$4:$M$103,$C624,Assumptions!$N$4:$N$103,$E624,Assumptions!$O$4:$O$103,"HVN"))</f>
        <v/>
      </c>
      <c r="O624" s="25">
        <f>(L624+N624)*Assumptions!$S$11</f>
        <v/>
      </c>
      <c r="P624" s="26">
        <f>$F624*$J624*$O624</f>
        <v/>
      </c>
    </row>
    <row r="625">
      <c r="A625" s="11" t="inlineStr">
        <is>
          <t>UNIT</t>
        </is>
      </c>
      <c r="B625" s="18" t="inlineStr">
        <is>
          <t>VALERO_THREE_RIVERS</t>
        </is>
      </c>
      <c r="C625" s="18" t="n">
        <v>3</v>
      </c>
      <c r="D625" s="18" t="inlineStr">
        <is>
          <t>REF</t>
        </is>
      </c>
      <c r="E625" s="18" t="inlineStr">
        <is>
          <t>REFORMER</t>
        </is>
      </c>
      <c r="F625" s="19" t="n">
        <v>10</v>
      </c>
      <c r="G625" s="21">
        <f>IFERROR(IF(INDEX(Effective!$E$3:$R$125,MATCH($B625,Effective!$A$3:$A$125,0),MATCH($D625,Effective!$E$2:$R$2,0))=0,"",INDEX(Effective!$E$3:$R$125,MATCH($B625,Effective!$A$3:$A$125,0),MATCH($D625,Effective!$E$2:$R$2,0))),"")</f>
        <v/>
      </c>
      <c r="H625" s="22" t="inlineStr">
        <is>
          <t>override</t>
        </is>
      </c>
      <c r="I625" s="23" t="n">
        <v>0.769</v>
      </c>
      <c r="J625" s="24">
        <f>IF(AND(IF($H628&lt;&gt;"",$H628,$H625)="override",$I625&lt;&gt;""),$I625,SUMIFS(Assumptions!$K$4:$K$8,Assumptions!$J$4:$J$8,$C625))*Assumptions!$S$10</f>
        <v/>
      </c>
      <c r="K625" s="23" t="n"/>
      <c r="L625" s="25">
        <f>IF(AND(IF($H628&lt;&gt;"",$H628,$H625)="override",$K625&lt;&gt;""),$K625,SUMIFS(Assumptions!$P$4:$P$103,Assumptions!$M$4:$M$103,$C625,Assumptions!$N$4:$N$103,$E625,Assumptions!$O$4:$O$103,"LVN"))</f>
        <v/>
      </c>
      <c r="M625" s="23" t="n"/>
      <c r="N625" s="25">
        <f>IF(AND(IF($H628&lt;&gt;"",$H628,$H625)="override",$M625&lt;&gt;""),$M625,SUMIFS(Assumptions!$P$4:$P$103,Assumptions!$M$4:$M$103,$C625,Assumptions!$N$4:$N$103,$E625,Assumptions!$O$4:$O$103,"HVN"))</f>
        <v/>
      </c>
      <c r="O625" s="25">
        <f>(L625+N625)*Assumptions!$S$11</f>
        <v/>
      </c>
      <c r="P625" s="26">
        <f>$F625*$J625*$O625</f>
        <v/>
      </c>
    </row>
    <row r="626">
      <c r="A626" s="11" t="inlineStr">
        <is>
          <t>UNIT</t>
        </is>
      </c>
      <c r="B626" s="18" t="inlineStr">
        <is>
          <t>VALERO_THREE_RIVERS</t>
        </is>
      </c>
      <c r="C626" s="18" t="n">
        <v>3</v>
      </c>
      <c r="D626" s="18" t="inlineStr">
        <is>
          <t>ALKY</t>
        </is>
      </c>
      <c r="E626" s="18" t="inlineStr">
        <is>
          <t>ALKY</t>
        </is>
      </c>
      <c r="F626" s="19" t="n">
        <v>7</v>
      </c>
      <c r="G626" s="21">
        <f>IFERROR(IF(INDEX(Effective!$E$3:$R$125,MATCH($B626,Effective!$A$3:$A$125,0),MATCH($D626,Effective!$E$2:$R$2,0))=0,"",INDEX(Effective!$E$3:$R$125,MATCH($B626,Effective!$A$3:$A$125,0),MATCH($D626,Effective!$E$2:$R$2,0))),"")</f>
        <v/>
      </c>
      <c r="H626" s="22" t="inlineStr">
        <is>
          <t>override</t>
        </is>
      </c>
      <c r="I626" s="23" t="n">
        <v>1.1</v>
      </c>
      <c r="J626" s="24">
        <f>IF(AND(IF($H628&lt;&gt;"",$H628,$H626)="override",$I626&lt;&gt;""),$I626,SUMIFS(Assumptions!$K$4:$K$8,Assumptions!$J$4:$J$8,$C626))*Assumptions!$S$10</f>
        <v/>
      </c>
      <c r="K626" s="23" t="n"/>
      <c r="L626" s="25">
        <f>IF(AND(IF($H628&lt;&gt;"",$H628,$H626)="override",$K626&lt;&gt;""),$K626,SUMIFS(Assumptions!$P$4:$P$103,Assumptions!$M$4:$M$103,$C626,Assumptions!$N$4:$N$103,$E626,Assumptions!$O$4:$O$103,"LVN"))</f>
        <v/>
      </c>
      <c r="M626" s="23" t="n"/>
      <c r="N626" s="25">
        <f>IF(AND(IF($H628&lt;&gt;"",$H628,$H626)="override",$M626&lt;&gt;""),$M626,SUMIFS(Assumptions!$P$4:$P$103,Assumptions!$M$4:$M$103,$C626,Assumptions!$N$4:$N$103,$E626,Assumptions!$O$4:$O$103,"HVN"))</f>
        <v/>
      </c>
      <c r="O626" s="25">
        <f>(L626+N626)*Assumptions!$S$11</f>
        <v/>
      </c>
      <c r="P626" s="26">
        <f>$F626*$J626*$O626</f>
        <v/>
      </c>
    </row>
    <row r="627">
      <c r="A627" s="11" t="inlineStr">
        <is>
          <t>UNIT</t>
        </is>
      </c>
      <c r="B627" s="18" t="inlineStr">
        <is>
          <t>VALERO_THREE_RIVERS</t>
        </is>
      </c>
      <c r="C627" s="18" t="n">
        <v>3</v>
      </c>
      <c r="D627" s="18" t="inlineStr">
        <is>
          <t>NHT</t>
        </is>
      </c>
      <c r="E627" s="18" t="inlineStr">
        <is>
          <t>NHT</t>
        </is>
      </c>
      <c r="F627" s="19" t="n">
        <v>35</v>
      </c>
      <c r="G627" s="21">
        <f>IFERROR(IF(INDEX(Effective!$E$3:$R$125,MATCH($B627,Effective!$A$3:$A$125,0),MATCH($D627,Effective!$E$2:$R$2,0))=0,"",INDEX(Effective!$E$3:$R$125,MATCH($B627,Effective!$A$3:$A$125,0),MATCH($D627,Effective!$E$2:$R$2,0))),"")</f>
        <v/>
      </c>
      <c r="H627" s="22" t="inlineStr">
        <is>
          <t>override</t>
        </is>
      </c>
      <c r="I627" s="23" t="n">
        <v>0.97</v>
      </c>
      <c r="J627" s="24">
        <f>IF(AND(IF($H628&lt;&gt;"",$H628,$H627)="override",$I627&lt;&gt;""),$I627,SUMIFS(Assumptions!$K$4:$K$8,Assumptions!$J$4:$J$8,$C627))*Assumptions!$S$10</f>
        <v/>
      </c>
      <c r="K627" s="23" t="n"/>
      <c r="L627" s="25">
        <f>IF(AND(IF($H628&lt;&gt;"",$H628,$H627)="override",$K627&lt;&gt;""),$K627,SUMIFS(Assumptions!$P$4:$P$103,Assumptions!$M$4:$M$103,$C627,Assumptions!$N$4:$N$103,$E627,Assumptions!$O$4:$O$103,"LVN"))</f>
        <v/>
      </c>
      <c r="M627" s="23" t="n"/>
      <c r="N627" s="25">
        <f>IF(AND(IF($H628&lt;&gt;"",$H628,$H627)="override",$M627&lt;&gt;""),$M627,SUMIFS(Assumptions!$P$4:$P$103,Assumptions!$M$4:$M$103,$C627,Assumptions!$N$4:$N$103,$E627,Assumptions!$O$4:$O$103,"HVN"))</f>
        <v/>
      </c>
      <c r="O627" s="25">
        <f>(L627+N627)*Assumptions!$S$11</f>
        <v/>
      </c>
      <c r="P627" s="26">
        <f>$F627*$J627*$O627</f>
        <v/>
      </c>
    </row>
    <row r="628">
      <c r="A628" s="27" t="inlineStr">
        <is>
          <t>TOTAL</t>
        </is>
      </c>
      <c r="B628" s="28" t="inlineStr">
        <is>
          <t>VALERO_THREE_RIVERS</t>
        </is>
      </c>
      <c r="C628" s="28" t="n">
        <v>3</v>
      </c>
      <c r="D628" s="28" t="inlineStr">
        <is>
          <t>NET NAPHTHA</t>
        </is>
      </c>
      <c r="H628" s="22" t="n"/>
      <c r="P628" s="29">
        <f>SUM(P620:P627)</f>
        <v/>
      </c>
    </row>
    <row r="630" ht="20" customHeight="1">
      <c r="A630" s="8">
        <f>"  Vertex Energy Inc. Mobile  [VERTEX_MOBILE]   —   Vertex Energy Inc.   —   PADD 3   —   crude "&amp;TEXT(SUMIFS(Data!$G$3:$G$125,Data!$A$3:$A$125,"VERTEX_MOBILE"),"#,##0")&amp;" kbd"</f>
        <v/>
      </c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</row>
    <row r="631">
      <c r="A631" s="11" t="inlineStr">
        <is>
          <t>UNIT</t>
        </is>
      </c>
      <c r="B631" s="18" t="inlineStr">
        <is>
          <t>VERTEX_MOBILE</t>
        </is>
      </c>
      <c r="C631" s="18" t="n">
        <v>3</v>
      </c>
      <c r="D631" s="18" t="inlineStr">
        <is>
          <t>CDU</t>
        </is>
      </c>
      <c r="E631" s="18" t="inlineStr">
        <is>
          <t>CDU</t>
        </is>
      </c>
      <c r="F631" s="19" t="n">
        <v>90.59999999999999</v>
      </c>
      <c r="G631" s="21">
        <f>IFERROR(IF(INDEX(Effective!$E$3:$R$125,MATCH($B631,Effective!$A$3:$A$125,0),MATCH($D631,Effective!$E$2:$R$2,0))=0,"",INDEX(Effective!$E$3:$R$125,MATCH($B631,Effective!$A$3:$A$125,0),MATCH($D631,Effective!$E$2:$R$2,0))),"")</f>
        <v/>
      </c>
      <c r="H631" s="22" t="inlineStr">
        <is>
          <t>override</t>
        </is>
      </c>
      <c r="I631" s="23" t="n">
        <v>0.672</v>
      </c>
      <c r="J631" s="24">
        <f>IF(AND(IF($H636&lt;&gt;"",$H636,$H631)="override",$I631&lt;&gt;""),$I631,SUMIFS(Assumptions!$K$4:$K$8,Assumptions!$J$4:$J$8,$C631))*Assumptions!$S$10</f>
        <v/>
      </c>
      <c r="K631" s="23" t="n"/>
      <c r="L631" s="25">
        <f>IF(AND(IF($H636&lt;&gt;"",$H636,$H631)="override",$K631&lt;&gt;""),$K631,SUMIFS(Assumptions!$P$4:$P$103,Assumptions!$M$4:$M$103,$C631,Assumptions!$N$4:$N$103,$E631,Assumptions!$O$4:$O$103,"LVN"))</f>
        <v/>
      </c>
      <c r="M631" s="23" t="n"/>
      <c r="N631" s="25">
        <f>IF(AND(IF($H636&lt;&gt;"",$H636,$H631)="override",$M631&lt;&gt;""),$M631,SUMIFS(Assumptions!$P$4:$P$103,Assumptions!$M$4:$M$103,$C631,Assumptions!$N$4:$N$103,$E631,Assumptions!$O$4:$O$103,"HVN"))</f>
        <v/>
      </c>
      <c r="O631" s="25">
        <f>(L631+N631)*Assumptions!$S$11</f>
        <v/>
      </c>
      <c r="P631" s="26">
        <f>$F631*$J631*$O631</f>
        <v/>
      </c>
    </row>
    <row r="632">
      <c r="A632" s="11" t="inlineStr">
        <is>
          <t>UNIT</t>
        </is>
      </c>
      <c r="B632" s="18" t="inlineStr">
        <is>
          <t>VERTEX_MOBILE</t>
        </is>
      </c>
      <c r="C632" s="18" t="n">
        <v>3</v>
      </c>
      <c r="D632" s="18" t="inlineStr">
        <is>
          <t>VDU</t>
        </is>
      </c>
      <c r="E632" s="18" t="inlineStr">
        <is>
          <t>VDU</t>
        </is>
      </c>
      <c r="F632" s="19" t="n">
        <v>29</v>
      </c>
      <c r="G632" s="21">
        <f>IFERROR(IF(INDEX(Effective!$E$3:$R$125,MATCH($B632,Effective!$A$3:$A$125,0),MATCH($D632,Effective!$E$2:$R$2,0))=0,"",INDEX(Effective!$E$3:$R$125,MATCH($B632,Effective!$A$3:$A$125,0),MATCH($D632,Effective!$E$2:$R$2,0))),"")</f>
        <v/>
      </c>
      <c r="H632" s="22" t="inlineStr">
        <is>
          <t>override</t>
        </is>
      </c>
      <c r="I632" s="23" t="n">
        <v>0.626</v>
      </c>
      <c r="J632" s="24">
        <f>IF(AND(IF($H636&lt;&gt;"",$H636,$H632)="override",$I632&lt;&gt;""),$I632,SUMIFS(Assumptions!$K$4:$K$8,Assumptions!$J$4:$J$8,$C632))*Assumptions!$S$10</f>
        <v/>
      </c>
      <c r="K632" s="23" t="n"/>
      <c r="L632" s="25">
        <f>IF(AND(IF($H636&lt;&gt;"",$H636,$H632)="override",$K632&lt;&gt;""),$K632,SUMIFS(Assumptions!$P$4:$P$103,Assumptions!$M$4:$M$103,$C632,Assumptions!$N$4:$N$103,$E632,Assumptions!$O$4:$O$103,"LVN"))</f>
        <v/>
      </c>
      <c r="M632" s="23" t="n"/>
      <c r="N632" s="25">
        <f>IF(AND(IF($H636&lt;&gt;"",$H636,$H632)="override",$M632&lt;&gt;""),$M632,SUMIFS(Assumptions!$P$4:$P$103,Assumptions!$M$4:$M$103,$C632,Assumptions!$N$4:$N$103,$E632,Assumptions!$O$4:$O$103,"HVN"))</f>
        <v/>
      </c>
      <c r="O632" s="25">
        <f>(L632+N632)*Assumptions!$S$11</f>
        <v/>
      </c>
      <c r="P632" s="26">
        <f>$F632*$J632*$O632</f>
        <v/>
      </c>
    </row>
    <row r="633">
      <c r="A633" s="11" t="inlineStr">
        <is>
          <t>UNIT</t>
        </is>
      </c>
      <c r="B633" s="18" t="inlineStr">
        <is>
          <t>VERTEX_MOBILE</t>
        </is>
      </c>
      <c r="C633" s="18" t="n">
        <v>3</v>
      </c>
      <c r="D633" s="18" t="inlineStr">
        <is>
          <t>REF</t>
        </is>
      </c>
      <c r="E633" s="18" t="inlineStr">
        <is>
          <t>REFORMER</t>
        </is>
      </c>
      <c r="F633" s="19" t="n">
        <v>22</v>
      </c>
      <c r="G633" s="21">
        <f>IFERROR(IF(INDEX(Effective!$E$3:$R$125,MATCH($B633,Effective!$A$3:$A$125,0),MATCH($D633,Effective!$E$2:$R$2,0))=0,"",INDEX(Effective!$E$3:$R$125,MATCH($B633,Effective!$A$3:$A$125,0),MATCH($D633,Effective!$E$2:$R$2,0))),"")</f>
        <v/>
      </c>
      <c r="H633" s="22" t="inlineStr">
        <is>
          <t>override</t>
        </is>
      </c>
      <c r="I633" s="23" t="n">
        <v>0.655</v>
      </c>
      <c r="J633" s="24">
        <f>IF(AND(IF($H636&lt;&gt;"",$H636,$H633)="override",$I633&lt;&gt;""),$I633,SUMIFS(Assumptions!$K$4:$K$8,Assumptions!$J$4:$J$8,$C633))*Assumptions!$S$10</f>
        <v/>
      </c>
      <c r="K633" s="23" t="n"/>
      <c r="L633" s="25">
        <f>IF(AND(IF($H636&lt;&gt;"",$H636,$H633)="override",$K633&lt;&gt;""),$K633,SUMIFS(Assumptions!$P$4:$P$103,Assumptions!$M$4:$M$103,$C633,Assumptions!$N$4:$N$103,$E633,Assumptions!$O$4:$O$103,"LVN"))</f>
        <v/>
      </c>
      <c r="M633" s="23" t="n"/>
      <c r="N633" s="25">
        <f>IF(AND(IF($H636&lt;&gt;"",$H636,$H633)="override",$M633&lt;&gt;""),$M633,SUMIFS(Assumptions!$P$4:$P$103,Assumptions!$M$4:$M$103,$C633,Assumptions!$N$4:$N$103,$E633,Assumptions!$O$4:$O$103,"HVN"))</f>
        <v/>
      </c>
      <c r="O633" s="25">
        <f>(L633+N633)*Assumptions!$S$11</f>
        <v/>
      </c>
      <c r="P633" s="26">
        <f>$F633*$J633*$O633</f>
        <v/>
      </c>
    </row>
    <row r="634">
      <c r="A634" s="11" t="inlineStr">
        <is>
          <t>UNIT</t>
        </is>
      </c>
      <c r="B634" s="18" t="inlineStr">
        <is>
          <t>VERTEX_MOBILE</t>
        </is>
      </c>
      <c r="C634" s="18" t="n">
        <v>3</v>
      </c>
      <c r="D634" s="18" t="inlineStr">
        <is>
          <t>ISOM</t>
        </is>
      </c>
      <c r="E634" s="18" t="inlineStr">
        <is>
          <t>ISOM</t>
        </is>
      </c>
      <c r="F634" s="19" t="n">
        <v>2</v>
      </c>
      <c r="G634" s="21">
        <f>IFERROR(IF(INDEX(Effective!$E$3:$R$125,MATCH($B634,Effective!$A$3:$A$125,0),MATCH($D634,Effective!$E$2:$R$2,0))=0,"",INDEX(Effective!$E$3:$R$125,MATCH($B634,Effective!$A$3:$A$125,0),MATCH($D634,Effective!$E$2:$R$2,0))),"")</f>
        <v/>
      </c>
      <c r="H634" s="22" t="inlineStr">
        <is>
          <t>override</t>
        </is>
      </c>
      <c r="I634" s="23" t="n">
        <v>0.95</v>
      </c>
      <c r="J634" s="24">
        <f>IF(AND(IF($H636&lt;&gt;"",$H636,$H634)="override",$I634&lt;&gt;""),$I634,SUMIFS(Assumptions!$K$4:$K$8,Assumptions!$J$4:$J$8,$C634))*Assumptions!$S$10</f>
        <v/>
      </c>
      <c r="K634" s="23" t="n"/>
      <c r="L634" s="25">
        <f>IF(AND(IF($H636&lt;&gt;"",$H636,$H634)="override",$K634&lt;&gt;""),$K634,SUMIFS(Assumptions!$P$4:$P$103,Assumptions!$M$4:$M$103,$C634,Assumptions!$N$4:$N$103,$E634,Assumptions!$O$4:$O$103,"LVN"))</f>
        <v/>
      </c>
      <c r="M634" s="23" t="n"/>
      <c r="N634" s="25">
        <f>IF(AND(IF($H636&lt;&gt;"",$H636,$H634)="override",$M634&lt;&gt;""),$M634,SUMIFS(Assumptions!$P$4:$P$103,Assumptions!$M$4:$M$103,$C634,Assumptions!$N$4:$N$103,$E634,Assumptions!$O$4:$O$103,"HVN"))</f>
        <v/>
      </c>
      <c r="O634" s="25">
        <f>(L634+N634)*Assumptions!$S$11</f>
        <v/>
      </c>
      <c r="P634" s="26">
        <f>$F634*$J634*$O634</f>
        <v/>
      </c>
    </row>
    <row r="635">
      <c r="A635" s="11" t="inlineStr">
        <is>
          <t>UNIT</t>
        </is>
      </c>
      <c r="B635" s="18" t="inlineStr">
        <is>
          <t>VERTEX_MOBILE</t>
        </is>
      </c>
      <c r="C635" s="18" t="n">
        <v>3</v>
      </c>
      <c r="D635" s="18" t="inlineStr">
        <is>
          <t>NHT</t>
        </is>
      </c>
      <c r="E635" s="18" t="inlineStr">
        <is>
          <t>NHT</t>
        </is>
      </c>
      <c r="F635" s="19" t="n">
        <v>28</v>
      </c>
      <c r="G635" s="21">
        <f>IFERROR(IF(INDEX(Effective!$E$3:$R$125,MATCH($B635,Effective!$A$3:$A$125,0),MATCH($D635,Effective!$E$2:$R$2,0))=0,"",INDEX(Effective!$E$3:$R$125,MATCH($B635,Effective!$A$3:$A$125,0),MATCH($D635,Effective!$E$2:$R$2,0))),"")</f>
        <v/>
      </c>
      <c r="H635" s="22" t="inlineStr">
        <is>
          <t>override</t>
        </is>
      </c>
      <c r="I635" s="23" t="n">
        <v>0.68</v>
      </c>
      <c r="J635" s="24">
        <f>IF(AND(IF($H636&lt;&gt;"",$H636,$H635)="override",$I635&lt;&gt;""),$I635,SUMIFS(Assumptions!$K$4:$K$8,Assumptions!$J$4:$J$8,$C635))*Assumptions!$S$10</f>
        <v/>
      </c>
      <c r="K635" s="23" t="n"/>
      <c r="L635" s="25">
        <f>IF(AND(IF($H636&lt;&gt;"",$H636,$H635)="override",$K635&lt;&gt;""),$K635,SUMIFS(Assumptions!$P$4:$P$103,Assumptions!$M$4:$M$103,$C635,Assumptions!$N$4:$N$103,$E635,Assumptions!$O$4:$O$103,"LVN"))</f>
        <v/>
      </c>
      <c r="M635" s="23" t="n"/>
      <c r="N635" s="25">
        <f>IF(AND(IF($H636&lt;&gt;"",$H636,$H635)="override",$M635&lt;&gt;""),$M635,SUMIFS(Assumptions!$P$4:$P$103,Assumptions!$M$4:$M$103,$C635,Assumptions!$N$4:$N$103,$E635,Assumptions!$O$4:$O$103,"HVN"))</f>
        <v/>
      </c>
      <c r="O635" s="25">
        <f>(L635+N635)*Assumptions!$S$11</f>
        <v/>
      </c>
      <c r="P635" s="26">
        <f>$F635*$J635*$O635</f>
        <v/>
      </c>
    </row>
    <row r="636">
      <c r="A636" s="27" t="inlineStr">
        <is>
          <t>TOTAL</t>
        </is>
      </c>
      <c r="B636" s="28" t="inlineStr">
        <is>
          <t>VERTEX_MOBILE</t>
        </is>
      </c>
      <c r="C636" s="28" t="n">
        <v>3</v>
      </c>
      <c r="D636" s="28" t="inlineStr">
        <is>
          <t>NET NAPHTHA</t>
        </is>
      </c>
      <c r="H636" s="22" t="n"/>
      <c r="P636" s="29">
        <f>SUM(P631:P635)</f>
        <v/>
      </c>
    </row>
    <row r="638" ht="20" customHeight="1">
      <c r="A638" s="8">
        <f>"  Delek Group El Dorado (AR)  [DELEK_EL_DORADO_AR]   —   Delek Group   —   PADD 3   —   crude "&amp;TEXT(SUMIFS(Data!$G$3:$G$125,Data!$A$3:$A$125,"DELEK_EL_DORADO_AR"),"#,##0")&amp;" kbd"</f>
        <v/>
      </c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</row>
    <row r="639">
      <c r="A639" s="11" t="inlineStr">
        <is>
          <t>UNIT</t>
        </is>
      </c>
      <c r="B639" s="18" t="inlineStr">
        <is>
          <t>DELEK_EL_DORADO_AR</t>
        </is>
      </c>
      <c r="C639" s="18" t="n">
        <v>3</v>
      </c>
      <c r="D639" s="18" t="inlineStr">
        <is>
          <t>CDU</t>
        </is>
      </c>
      <c r="E639" s="18" t="inlineStr">
        <is>
          <t>CDU</t>
        </is>
      </c>
      <c r="F639" s="19" t="n">
        <v>85</v>
      </c>
      <c r="G639" s="21">
        <f>IFERROR(IF(INDEX(Effective!$E$3:$R$125,MATCH($B639,Effective!$A$3:$A$125,0),MATCH($D639,Effective!$E$2:$R$2,0))=0,"",INDEX(Effective!$E$3:$R$125,MATCH($B639,Effective!$A$3:$A$125,0),MATCH($D639,Effective!$E$2:$R$2,0))),"")</f>
        <v/>
      </c>
      <c r="H639" s="22" t="inlineStr">
        <is>
          <t>override</t>
        </is>
      </c>
      <c r="I639" s="23" t="n">
        <v>0.918</v>
      </c>
      <c r="J639" s="24">
        <f>IF(AND(IF($H646&lt;&gt;"",$H646,$H639)="override",$I639&lt;&gt;""),$I639,SUMIFS(Assumptions!$K$4:$K$8,Assumptions!$J$4:$J$8,$C639))*Assumptions!$S$10</f>
        <v/>
      </c>
      <c r="K639" s="23" t="n"/>
      <c r="L639" s="25">
        <f>IF(AND(IF($H646&lt;&gt;"",$H646,$H639)="override",$K639&lt;&gt;""),$K639,SUMIFS(Assumptions!$P$4:$P$103,Assumptions!$M$4:$M$103,$C639,Assumptions!$N$4:$N$103,$E639,Assumptions!$O$4:$O$103,"LVN"))</f>
        <v/>
      </c>
      <c r="M639" s="23" t="n"/>
      <c r="N639" s="25">
        <f>IF(AND(IF($H646&lt;&gt;"",$H646,$H639)="override",$M639&lt;&gt;""),$M639,SUMIFS(Assumptions!$P$4:$P$103,Assumptions!$M$4:$M$103,$C639,Assumptions!$N$4:$N$103,$E639,Assumptions!$O$4:$O$103,"HVN"))</f>
        <v/>
      </c>
      <c r="O639" s="25">
        <f>(L639+N639)*Assumptions!$S$11</f>
        <v/>
      </c>
      <c r="P639" s="26">
        <f>$F639*$J639*$O639</f>
        <v/>
      </c>
    </row>
    <row r="640">
      <c r="A640" s="11" t="inlineStr">
        <is>
          <t>UNIT</t>
        </is>
      </c>
      <c r="B640" s="18" t="inlineStr">
        <is>
          <t>DELEK_EL_DORADO_AR</t>
        </is>
      </c>
      <c r="C640" s="18" t="n">
        <v>3</v>
      </c>
      <c r="D640" s="18" t="inlineStr">
        <is>
          <t>VDU</t>
        </is>
      </c>
      <c r="E640" s="18" t="inlineStr">
        <is>
          <t>VDU</t>
        </is>
      </c>
      <c r="F640" s="19" t="n">
        <v>45</v>
      </c>
      <c r="G640" s="21">
        <f>IFERROR(IF(INDEX(Effective!$E$3:$R$125,MATCH($B640,Effective!$A$3:$A$125,0),MATCH($D640,Effective!$E$2:$R$2,0))=0,"",INDEX(Effective!$E$3:$R$125,MATCH($B640,Effective!$A$3:$A$125,0),MATCH($D640,Effective!$E$2:$R$2,0))),"")</f>
        <v/>
      </c>
      <c r="H640" s="22" t="inlineStr">
        <is>
          <t>override</t>
        </is>
      </c>
      <c r="I640" s="23" t="n">
        <v>0.571</v>
      </c>
      <c r="J640" s="24">
        <f>IF(AND(IF($H646&lt;&gt;"",$H646,$H640)="override",$I640&lt;&gt;""),$I640,SUMIFS(Assumptions!$K$4:$K$8,Assumptions!$J$4:$J$8,$C640))*Assumptions!$S$10</f>
        <v/>
      </c>
      <c r="K640" s="23" t="n"/>
      <c r="L640" s="25">
        <f>IF(AND(IF($H646&lt;&gt;"",$H646,$H640)="override",$K640&lt;&gt;""),$K640,SUMIFS(Assumptions!$P$4:$P$103,Assumptions!$M$4:$M$103,$C640,Assumptions!$N$4:$N$103,$E640,Assumptions!$O$4:$O$103,"LVN"))</f>
        <v/>
      </c>
      <c r="M640" s="23" t="n"/>
      <c r="N640" s="25">
        <f>IF(AND(IF($H646&lt;&gt;"",$H646,$H640)="override",$M640&lt;&gt;""),$M640,SUMIFS(Assumptions!$P$4:$P$103,Assumptions!$M$4:$M$103,$C640,Assumptions!$N$4:$N$103,$E640,Assumptions!$O$4:$O$103,"HVN"))</f>
        <v/>
      </c>
      <c r="O640" s="25">
        <f>(L640+N640)*Assumptions!$S$11</f>
        <v/>
      </c>
      <c r="P640" s="26">
        <f>$F640*$J640*$O640</f>
        <v/>
      </c>
    </row>
    <row r="641">
      <c r="A641" s="11" t="inlineStr">
        <is>
          <t>UNIT</t>
        </is>
      </c>
      <c r="B641" s="18" t="inlineStr">
        <is>
          <t>DELEK_EL_DORADO_AR</t>
        </is>
      </c>
      <c r="C641" s="18" t="n">
        <v>3</v>
      </c>
      <c r="D641" s="18" t="inlineStr">
        <is>
          <t>FCC</t>
        </is>
      </c>
      <c r="E641" s="18" t="inlineStr">
        <is>
          <t>FCC</t>
        </is>
      </c>
      <c r="F641" s="19" t="n">
        <v>21</v>
      </c>
      <c r="G641" s="21">
        <f>IFERROR(IF(INDEX(Effective!$E$3:$R$125,MATCH($B641,Effective!$A$3:$A$125,0),MATCH($D641,Effective!$E$2:$R$2,0))=0,"",INDEX(Effective!$E$3:$R$125,MATCH($B641,Effective!$A$3:$A$125,0),MATCH($D641,Effective!$E$2:$R$2,0))),"")</f>
        <v/>
      </c>
      <c r="H641" s="22" t="inlineStr">
        <is>
          <t>override</t>
        </is>
      </c>
      <c r="I641" s="23" t="n">
        <v>0.794</v>
      </c>
      <c r="J641" s="24">
        <f>IF(AND(IF($H646&lt;&gt;"",$H646,$H641)="override",$I641&lt;&gt;""),$I641,SUMIFS(Assumptions!$K$4:$K$8,Assumptions!$J$4:$J$8,$C641))*Assumptions!$S$10</f>
        <v/>
      </c>
      <c r="K641" s="23" t="n"/>
      <c r="L641" s="25">
        <f>IF(AND(IF($H646&lt;&gt;"",$H646,$H641)="override",$K641&lt;&gt;""),$K641,SUMIFS(Assumptions!$P$4:$P$103,Assumptions!$M$4:$M$103,$C641,Assumptions!$N$4:$N$103,$E641,Assumptions!$O$4:$O$103,"LVN"))</f>
        <v/>
      </c>
      <c r="M641" s="23" t="n"/>
      <c r="N641" s="25">
        <f>IF(AND(IF($H646&lt;&gt;"",$H646,$H641)="override",$M641&lt;&gt;""),$M641,SUMIFS(Assumptions!$P$4:$P$103,Assumptions!$M$4:$M$103,$C641,Assumptions!$N$4:$N$103,$E641,Assumptions!$O$4:$O$103,"HVN"))</f>
        <v/>
      </c>
      <c r="O641" s="25">
        <f>(L641+N641)*Assumptions!$S$11</f>
        <v/>
      </c>
      <c r="P641" s="26">
        <f>$F641*$J641*$O641</f>
        <v/>
      </c>
    </row>
    <row r="642">
      <c r="A642" s="11" t="inlineStr">
        <is>
          <t>UNIT</t>
        </is>
      </c>
      <c r="B642" s="18" t="inlineStr">
        <is>
          <t>DELEK_EL_DORADO_AR</t>
        </is>
      </c>
      <c r="C642" s="18" t="n">
        <v>3</v>
      </c>
      <c r="D642" s="18" t="inlineStr">
        <is>
          <t>CCR</t>
        </is>
      </c>
      <c r="E642" s="18" t="inlineStr">
        <is>
          <t>REFORMER</t>
        </is>
      </c>
      <c r="F642" s="19" t="n">
        <v>15.3</v>
      </c>
      <c r="G642" s="21">
        <f>IFERROR(IF(INDEX(Effective!$E$3:$R$125,MATCH($B642,Effective!$A$3:$A$125,0),MATCH($D642,Effective!$E$2:$R$2,0))=0,"",INDEX(Effective!$E$3:$R$125,MATCH($B642,Effective!$A$3:$A$125,0),MATCH($D642,Effective!$E$2:$R$2,0))),"")</f>
        <v/>
      </c>
      <c r="H642" s="22" t="inlineStr">
        <is>
          <t>override</t>
        </is>
      </c>
      <c r="I642" s="23" t="n">
        <v>0.98</v>
      </c>
      <c r="J642" s="24">
        <f>IF(AND(IF($H646&lt;&gt;"",$H646,$H642)="override",$I642&lt;&gt;""),$I642,SUMIFS(Assumptions!$K$4:$K$8,Assumptions!$J$4:$J$8,$C642))*Assumptions!$S$10</f>
        <v/>
      </c>
      <c r="K642" s="23" t="n"/>
      <c r="L642" s="25">
        <f>IF(AND(IF($H646&lt;&gt;"",$H646,$H642)="override",$K642&lt;&gt;""),$K642,SUMIFS(Assumptions!$P$4:$P$103,Assumptions!$M$4:$M$103,$C642,Assumptions!$N$4:$N$103,$E642,Assumptions!$O$4:$O$103,"LVN"))</f>
        <v/>
      </c>
      <c r="M642" s="23" t="n"/>
      <c r="N642" s="25">
        <f>IF(AND(IF($H646&lt;&gt;"",$H646,$H642)="override",$M642&lt;&gt;""),$M642,SUMIFS(Assumptions!$P$4:$P$103,Assumptions!$M$4:$M$103,$C642,Assumptions!$N$4:$N$103,$E642,Assumptions!$O$4:$O$103,"HVN"))</f>
        <v/>
      </c>
      <c r="O642" s="25">
        <f>(L642+N642)*Assumptions!$S$11</f>
        <v/>
      </c>
      <c r="P642" s="26">
        <f>$F642*$J642*$O642</f>
        <v/>
      </c>
    </row>
    <row r="643">
      <c r="A643" s="11" t="inlineStr">
        <is>
          <t>UNIT</t>
        </is>
      </c>
      <c r="B643" s="18" t="inlineStr">
        <is>
          <t>DELEK_EL_DORADO_AR</t>
        </is>
      </c>
      <c r="C643" s="18" t="n">
        <v>3</v>
      </c>
      <c r="D643" s="18" t="inlineStr">
        <is>
          <t>ISOM</t>
        </is>
      </c>
      <c r="E643" s="18" t="inlineStr">
        <is>
          <t>ISOM</t>
        </is>
      </c>
      <c r="F643" s="19" t="n">
        <v>7.5</v>
      </c>
      <c r="G643" s="21">
        <f>IFERROR(IF(INDEX(Effective!$E$3:$R$125,MATCH($B643,Effective!$A$3:$A$125,0),MATCH($D643,Effective!$E$2:$R$2,0))=0,"",INDEX(Effective!$E$3:$R$125,MATCH($B643,Effective!$A$3:$A$125,0),MATCH($D643,Effective!$E$2:$R$2,0))),"")</f>
        <v/>
      </c>
      <c r="H643" s="22" t="inlineStr">
        <is>
          <t>override</t>
        </is>
      </c>
      <c r="I643" s="23" t="n">
        <v>0.868</v>
      </c>
      <c r="J643" s="24">
        <f>IF(AND(IF($H646&lt;&gt;"",$H646,$H643)="override",$I643&lt;&gt;""),$I643,SUMIFS(Assumptions!$K$4:$K$8,Assumptions!$J$4:$J$8,$C643))*Assumptions!$S$10</f>
        <v/>
      </c>
      <c r="K643" s="23" t="n"/>
      <c r="L643" s="25">
        <f>IF(AND(IF($H646&lt;&gt;"",$H646,$H643)="override",$K643&lt;&gt;""),$K643,SUMIFS(Assumptions!$P$4:$P$103,Assumptions!$M$4:$M$103,$C643,Assumptions!$N$4:$N$103,$E643,Assumptions!$O$4:$O$103,"LVN"))</f>
        <v/>
      </c>
      <c r="M643" s="23" t="n"/>
      <c r="N643" s="25">
        <f>IF(AND(IF($H646&lt;&gt;"",$H646,$H643)="override",$M643&lt;&gt;""),$M643,SUMIFS(Assumptions!$P$4:$P$103,Assumptions!$M$4:$M$103,$C643,Assumptions!$N$4:$N$103,$E643,Assumptions!$O$4:$O$103,"HVN"))</f>
        <v/>
      </c>
      <c r="O643" s="25">
        <f>(L643+N643)*Assumptions!$S$11</f>
        <v/>
      </c>
      <c r="P643" s="26">
        <f>$F643*$J643*$O643</f>
        <v/>
      </c>
    </row>
    <row r="644">
      <c r="A644" s="11" t="inlineStr">
        <is>
          <t>UNIT</t>
        </is>
      </c>
      <c r="B644" s="18" t="inlineStr">
        <is>
          <t>DELEK_EL_DORADO_AR</t>
        </is>
      </c>
      <c r="C644" s="18" t="n">
        <v>3</v>
      </c>
      <c r="D644" s="18" t="inlineStr">
        <is>
          <t>ALKY</t>
        </is>
      </c>
      <c r="E644" s="18" t="inlineStr">
        <is>
          <t>ALKY</t>
        </is>
      </c>
      <c r="F644" s="19" t="n">
        <v>5</v>
      </c>
      <c r="G644" s="21">
        <f>IFERROR(IF(INDEX(Effective!$E$3:$R$125,MATCH($B644,Effective!$A$3:$A$125,0),MATCH($D644,Effective!$E$2:$R$2,0))=0,"",INDEX(Effective!$E$3:$R$125,MATCH($B644,Effective!$A$3:$A$125,0),MATCH($D644,Effective!$E$2:$R$2,0))),"")</f>
        <v/>
      </c>
      <c r="H644" s="22" t="inlineStr">
        <is>
          <t>override</t>
        </is>
      </c>
      <c r="I644" s="23" t="n">
        <v>0.521</v>
      </c>
      <c r="J644" s="24">
        <f>IF(AND(IF($H646&lt;&gt;"",$H646,$H644)="override",$I644&lt;&gt;""),$I644,SUMIFS(Assumptions!$K$4:$K$8,Assumptions!$J$4:$J$8,$C644))*Assumptions!$S$10</f>
        <v/>
      </c>
      <c r="K644" s="23" t="n"/>
      <c r="L644" s="25">
        <f>IF(AND(IF($H646&lt;&gt;"",$H646,$H644)="override",$K644&lt;&gt;""),$K644,SUMIFS(Assumptions!$P$4:$P$103,Assumptions!$M$4:$M$103,$C644,Assumptions!$N$4:$N$103,$E644,Assumptions!$O$4:$O$103,"LVN"))</f>
        <v/>
      </c>
      <c r="M644" s="23" t="n"/>
      <c r="N644" s="25">
        <f>IF(AND(IF($H646&lt;&gt;"",$H646,$H644)="override",$M644&lt;&gt;""),$M644,SUMIFS(Assumptions!$P$4:$P$103,Assumptions!$M$4:$M$103,$C644,Assumptions!$N$4:$N$103,$E644,Assumptions!$O$4:$O$103,"HVN"))</f>
        <v/>
      </c>
      <c r="O644" s="25">
        <f>(L644+N644)*Assumptions!$S$11</f>
        <v/>
      </c>
      <c r="P644" s="26">
        <f>$F644*$J644*$O644</f>
        <v/>
      </c>
    </row>
    <row r="645">
      <c r="A645" s="11" t="inlineStr">
        <is>
          <t>UNIT</t>
        </is>
      </c>
      <c r="B645" s="18" t="inlineStr">
        <is>
          <t>DELEK_EL_DORADO_AR</t>
        </is>
      </c>
      <c r="C645" s="18" t="n">
        <v>3</v>
      </c>
      <c r="D645" s="18" t="inlineStr">
        <is>
          <t>NHT</t>
        </is>
      </c>
      <c r="E645" s="18" t="inlineStr">
        <is>
          <t>NHT</t>
        </is>
      </c>
      <c r="F645" s="19" t="n">
        <v>20</v>
      </c>
      <c r="G645" s="21">
        <f>IFERROR(IF(INDEX(Effective!$E$3:$R$125,MATCH($B645,Effective!$A$3:$A$125,0),MATCH($D645,Effective!$E$2:$R$2,0))=0,"",INDEX(Effective!$E$3:$R$125,MATCH($B645,Effective!$A$3:$A$125,0),MATCH($D645,Effective!$E$2:$R$2,0))),"")</f>
        <v/>
      </c>
      <c r="H645" s="22" t="inlineStr">
        <is>
          <t>override</t>
        </is>
      </c>
      <c r="I645" s="23" t="n">
        <v>0.945</v>
      </c>
      <c r="J645" s="24">
        <f>IF(AND(IF($H646&lt;&gt;"",$H646,$H645)="override",$I645&lt;&gt;""),$I645,SUMIFS(Assumptions!$K$4:$K$8,Assumptions!$J$4:$J$8,$C645))*Assumptions!$S$10</f>
        <v/>
      </c>
      <c r="K645" s="23" t="n"/>
      <c r="L645" s="25">
        <f>IF(AND(IF($H646&lt;&gt;"",$H646,$H645)="override",$K645&lt;&gt;""),$K645,SUMIFS(Assumptions!$P$4:$P$103,Assumptions!$M$4:$M$103,$C645,Assumptions!$N$4:$N$103,$E645,Assumptions!$O$4:$O$103,"LVN"))</f>
        <v/>
      </c>
      <c r="M645" s="23" t="n"/>
      <c r="N645" s="25">
        <f>IF(AND(IF($H646&lt;&gt;"",$H646,$H645)="override",$M645&lt;&gt;""),$M645,SUMIFS(Assumptions!$P$4:$P$103,Assumptions!$M$4:$M$103,$C645,Assumptions!$N$4:$N$103,$E645,Assumptions!$O$4:$O$103,"HVN"))</f>
        <v/>
      </c>
      <c r="O645" s="25">
        <f>(L645+N645)*Assumptions!$S$11</f>
        <v/>
      </c>
      <c r="P645" s="26">
        <f>$F645*$J645*$O645</f>
        <v/>
      </c>
    </row>
    <row r="646">
      <c r="A646" s="27" t="inlineStr">
        <is>
          <t>TOTAL</t>
        </is>
      </c>
      <c r="B646" s="28" t="inlineStr">
        <is>
          <t>DELEK_EL_DORADO_AR</t>
        </is>
      </c>
      <c r="C646" s="28" t="n">
        <v>3</v>
      </c>
      <c r="D646" s="28" t="inlineStr">
        <is>
          <t>NET NAPHTHA</t>
        </is>
      </c>
      <c r="H646" s="22" t="n"/>
      <c r="P646" s="29">
        <f>SUM(P639:P645)</f>
        <v/>
      </c>
    </row>
    <row r="648" ht="20" customHeight="1">
      <c r="A648" s="8">
        <f>"  BASF FINA Petrochemicals Port Arthur  [BASF_PORT_ARTHUR]   —   BASF (60%) / Total (40%)   —   PADD 3   —   crude "&amp;TEXT(SUMIFS(Data!$G$3:$G$125,Data!$A$3:$A$125,"BASF_PORT_ARTHUR"),"#,##0")&amp;" kbd"</f>
        <v/>
      </c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</row>
    <row r="649">
      <c r="A649" s="11" t="inlineStr">
        <is>
          <t>UNIT</t>
        </is>
      </c>
      <c r="B649" s="18" t="inlineStr">
        <is>
          <t>BASF_PORT_ARTHUR</t>
        </is>
      </c>
      <c r="C649" s="18" t="n">
        <v>3</v>
      </c>
      <c r="D649" s="18" t="inlineStr">
        <is>
          <t>CRUDE-EST</t>
        </is>
      </c>
      <c r="E649" s="18" t="inlineStr">
        <is>
          <t>est. yield</t>
        </is>
      </c>
      <c r="F649" s="21">
        <f>SUMIFS(Data!$G$3:$G$125,Data!$A$3:$A$125,$B649)</f>
        <v/>
      </c>
      <c r="G649" s="21">
        <f>IFERROR(IF(INDEX(Effective!$E$3:$R$125,MATCH($B649,Effective!$A$3:$A$125,0),MATCH($D649,Effective!$E$2:$R$2,0))=0,"",INDEX(Effective!$E$3:$R$125,MATCH($B649,Effective!$A$3:$A$125,0),MATCH($D649,Effective!$E$2:$R$2,0))),"")</f>
        <v/>
      </c>
      <c r="H649" s="22" t="inlineStr">
        <is>
          <t>override</t>
        </is>
      </c>
      <c r="I649" s="23" t="n"/>
      <c r="J649" s="24">
        <f>IF(AND(IF($H650&lt;&gt;"",$H650,$H649)="override",$I649&lt;&gt;""),$I649,SUMIFS(Assumptions!$K$4:$K$8,Assumptions!$J$4:$J$8,$C649))*Assumptions!$S$10</f>
        <v/>
      </c>
      <c r="K649" s="23" t="n"/>
      <c r="L649" s="25">
        <f>IF(AND(IF($H650&lt;&gt;"",$H650,$H649)="override",$K649&lt;&gt;""),$K649,SUMIFS(Data!$N$3:$N$125,Data!$A$3:$A$125,$B649)*Assumptions!$S$4)</f>
        <v/>
      </c>
      <c r="M649" s="23" t="n"/>
      <c r="N649" s="25">
        <f>IF(AND(IF($H650&lt;&gt;"",$H650,$H649)="override",$M649&lt;&gt;""),$M649,SUMIFS(Data!$N$3:$N$125,Data!$A$3:$A$125,$B649)*Assumptions!$S$5)</f>
        <v/>
      </c>
      <c r="O649" s="25">
        <f>(L649+N649)*Assumptions!$S$11</f>
        <v/>
      </c>
      <c r="P649" s="26">
        <f>$F649*$J649*$O649</f>
        <v/>
      </c>
    </row>
    <row r="650">
      <c r="A650" s="27" t="inlineStr">
        <is>
          <t>TOTAL</t>
        </is>
      </c>
      <c r="B650" s="28" t="inlineStr">
        <is>
          <t>BASF_PORT_ARTHUR</t>
        </is>
      </c>
      <c r="C650" s="28" t="n">
        <v>3</v>
      </c>
      <c r="D650" s="28" t="inlineStr">
        <is>
          <t>NET NAPHTHA</t>
        </is>
      </c>
      <c r="H650" s="22" t="n"/>
      <c r="P650" s="29">
        <f>SUM(P649:P649)</f>
        <v/>
      </c>
    </row>
    <row r="652" ht="20" customHeight="1">
      <c r="A652" s="8">
        <f>"  Delek Refining Ltd. Tyler  [DELEK_TYLER]   —   Delek Group   —   PADD 3   —   crude "&amp;TEXT(SUMIFS(Data!$G$3:$G$125,Data!$A$3:$A$125,"DELEK_TYLER"),"#,##0")&amp;" kbd"</f>
        <v/>
      </c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</row>
    <row r="653">
      <c r="A653" s="11" t="inlineStr">
        <is>
          <t>UNIT</t>
        </is>
      </c>
      <c r="B653" s="18" t="inlineStr">
        <is>
          <t>DELEK_TYLER</t>
        </is>
      </c>
      <c r="C653" s="18" t="n">
        <v>3</v>
      </c>
      <c r="D653" s="18" t="inlineStr">
        <is>
          <t>CDU</t>
        </is>
      </c>
      <c r="E653" s="18" t="inlineStr">
        <is>
          <t>CDU</t>
        </is>
      </c>
      <c r="F653" s="19" t="n">
        <v>76</v>
      </c>
      <c r="G653" s="21">
        <f>IFERROR(IF(INDEX(Effective!$E$3:$R$125,MATCH($B653,Effective!$A$3:$A$125,0),MATCH($D653,Effective!$E$2:$R$2,0))=0,"",INDEX(Effective!$E$3:$R$125,MATCH($B653,Effective!$A$3:$A$125,0),MATCH($D653,Effective!$E$2:$R$2,0))),"")</f>
        <v/>
      </c>
      <c r="H653" s="22" t="inlineStr">
        <is>
          <t>override</t>
        </is>
      </c>
      <c r="I653" s="23" t="n">
        <v>0.951</v>
      </c>
      <c r="J653" s="24">
        <f>IF(AND(IF($H662&lt;&gt;"",$H662,$H653)="override",$I653&lt;&gt;""),$I653,SUMIFS(Assumptions!$K$4:$K$8,Assumptions!$J$4:$J$8,$C653))*Assumptions!$S$10</f>
        <v/>
      </c>
      <c r="K653" s="23" t="n"/>
      <c r="L653" s="25">
        <f>IF(AND(IF($H662&lt;&gt;"",$H662,$H653)="override",$K653&lt;&gt;""),$K653,SUMIFS(Assumptions!$P$4:$P$103,Assumptions!$M$4:$M$103,$C653,Assumptions!$N$4:$N$103,$E653,Assumptions!$O$4:$O$103,"LVN"))</f>
        <v/>
      </c>
      <c r="M653" s="23" t="n"/>
      <c r="N653" s="25">
        <f>IF(AND(IF($H662&lt;&gt;"",$H662,$H653)="override",$M653&lt;&gt;""),$M653,SUMIFS(Assumptions!$P$4:$P$103,Assumptions!$M$4:$M$103,$C653,Assumptions!$N$4:$N$103,$E653,Assumptions!$O$4:$O$103,"HVN"))</f>
        <v/>
      </c>
      <c r="O653" s="25">
        <f>(L653+N653)*Assumptions!$S$11</f>
        <v/>
      </c>
      <c r="P653" s="26">
        <f>$F653*$J653*$O653</f>
        <v/>
      </c>
    </row>
    <row r="654">
      <c r="A654" s="11" t="inlineStr">
        <is>
          <t>UNIT</t>
        </is>
      </c>
      <c r="B654" s="18" t="inlineStr">
        <is>
          <t>DELEK_TYLER</t>
        </is>
      </c>
      <c r="C654" s="18" t="n">
        <v>3</v>
      </c>
      <c r="D654" s="18" t="inlineStr">
        <is>
          <t>VDU</t>
        </is>
      </c>
      <c r="E654" s="18" t="inlineStr">
        <is>
          <t>VDU</t>
        </is>
      </c>
      <c r="F654" s="19" t="n">
        <v>28</v>
      </c>
      <c r="G654" s="21">
        <f>IFERROR(IF(INDEX(Effective!$E$3:$R$125,MATCH($B654,Effective!$A$3:$A$125,0),MATCH($D654,Effective!$E$2:$R$2,0))=0,"",INDEX(Effective!$E$3:$R$125,MATCH($B654,Effective!$A$3:$A$125,0),MATCH($D654,Effective!$E$2:$R$2,0))),"")</f>
        <v/>
      </c>
      <c r="H654" s="22" t="inlineStr">
        <is>
          <t>override</t>
        </is>
      </c>
      <c r="I654" s="23" t="n">
        <v>0.746</v>
      </c>
      <c r="J654" s="24">
        <f>IF(AND(IF($H662&lt;&gt;"",$H662,$H654)="override",$I654&lt;&gt;""),$I654,SUMIFS(Assumptions!$K$4:$K$8,Assumptions!$J$4:$J$8,$C654))*Assumptions!$S$10</f>
        <v/>
      </c>
      <c r="K654" s="23" t="n"/>
      <c r="L654" s="25">
        <f>IF(AND(IF($H662&lt;&gt;"",$H662,$H654)="override",$K654&lt;&gt;""),$K654,SUMIFS(Assumptions!$P$4:$P$103,Assumptions!$M$4:$M$103,$C654,Assumptions!$N$4:$N$103,$E654,Assumptions!$O$4:$O$103,"LVN"))</f>
        <v/>
      </c>
      <c r="M654" s="23" t="n"/>
      <c r="N654" s="25">
        <f>IF(AND(IF($H662&lt;&gt;"",$H662,$H654)="override",$M654&lt;&gt;""),$M654,SUMIFS(Assumptions!$P$4:$P$103,Assumptions!$M$4:$M$103,$C654,Assumptions!$N$4:$N$103,$E654,Assumptions!$O$4:$O$103,"HVN"))</f>
        <v/>
      </c>
      <c r="O654" s="25">
        <f>(L654+N654)*Assumptions!$S$11</f>
        <v/>
      </c>
      <c r="P654" s="26">
        <f>$F654*$J654*$O654</f>
        <v/>
      </c>
    </row>
    <row r="655">
      <c r="A655" s="11" t="inlineStr">
        <is>
          <t>UNIT</t>
        </is>
      </c>
      <c r="B655" s="18" t="inlineStr">
        <is>
          <t>DELEK_TYLER</t>
        </is>
      </c>
      <c r="C655" s="18" t="n">
        <v>3</v>
      </c>
      <c r="D655" s="18" t="inlineStr">
        <is>
          <t>FCC</t>
        </is>
      </c>
      <c r="E655" s="18" t="inlineStr">
        <is>
          <t>FCC</t>
        </is>
      </c>
      <c r="F655" s="19" t="n">
        <v>20.25</v>
      </c>
      <c r="G655" s="21">
        <f>IFERROR(IF(INDEX(Effective!$E$3:$R$125,MATCH($B655,Effective!$A$3:$A$125,0),MATCH($D655,Effective!$E$2:$R$2,0))=0,"",INDEX(Effective!$E$3:$R$125,MATCH($B655,Effective!$A$3:$A$125,0),MATCH($D655,Effective!$E$2:$R$2,0))),"")</f>
        <v/>
      </c>
      <c r="H655" s="22" t="inlineStr">
        <is>
          <t>override</t>
        </is>
      </c>
      <c r="I655" s="23" t="n">
        <v>0.819</v>
      </c>
      <c r="J655" s="24">
        <f>IF(AND(IF($H662&lt;&gt;"",$H662,$H655)="override",$I655&lt;&gt;""),$I655,SUMIFS(Assumptions!$K$4:$K$8,Assumptions!$J$4:$J$8,$C655))*Assumptions!$S$10</f>
        <v/>
      </c>
      <c r="K655" s="23" t="n"/>
      <c r="L655" s="25">
        <f>IF(AND(IF($H662&lt;&gt;"",$H662,$H655)="override",$K655&lt;&gt;""),$K655,SUMIFS(Assumptions!$P$4:$P$103,Assumptions!$M$4:$M$103,$C655,Assumptions!$N$4:$N$103,$E655,Assumptions!$O$4:$O$103,"LVN"))</f>
        <v/>
      </c>
      <c r="M655" s="23" t="n"/>
      <c r="N655" s="25">
        <f>IF(AND(IF($H662&lt;&gt;"",$H662,$H655)="override",$M655&lt;&gt;""),$M655,SUMIFS(Assumptions!$P$4:$P$103,Assumptions!$M$4:$M$103,$C655,Assumptions!$N$4:$N$103,$E655,Assumptions!$O$4:$O$103,"HVN"))</f>
        <v/>
      </c>
      <c r="O655" s="25">
        <f>(L655+N655)*Assumptions!$S$11</f>
        <v/>
      </c>
      <c r="P655" s="26">
        <f>$F655*$J655*$O655</f>
        <v/>
      </c>
    </row>
    <row r="656">
      <c r="A656" s="11" t="inlineStr">
        <is>
          <t>UNIT</t>
        </is>
      </c>
      <c r="B656" s="18" t="inlineStr">
        <is>
          <t>DELEK_TYLER</t>
        </is>
      </c>
      <c r="C656" s="18" t="n">
        <v>3</v>
      </c>
      <c r="D656" s="18" t="inlineStr">
        <is>
          <t>COKER</t>
        </is>
      </c>
      <c r="E656" s="18" t="inlineStr">
        <is>
          <t>COKER</t>
        </is>
      </c>
      <c r="F656" s="19" t="n">
        <v>7.5</v>
      </c>
      <c r="G656" s="21">
        <f>IFERROR(IF(INDEX(Effective!$E$3:$R$125,MATCH($B656,Effective!$A$3:$A$125,0),MATCH($D656,Effective!$E$2:$R$2,0))=0,"",INDEX(Effective!$E$3:$R$125,MATCH($B656,Effective!$A$3:$A$125,0),MATCH($D656,Effective!$E$2:$R$2,0))),"")</f>
        <v/>
      </c>
      <c r="H656" s="22" t="inlineStr">
        <is>
          <t>override</t>
        </is>
      </c>
      <c r="I656" s="23" t="n">
        <v>0.974</v>
      </c>
      <c r="J656" s="24">
        <f>IF(AND(IF($H662&lt;&gt;"",$H662,$H656)="override",$I656&lt;&gt;""),$I656,SUMIFS(Assumptions!$K$4:$K$8,Assumptions!$J$4:$J$8,$C656))*Assumptions!$S$10</f>
        <v/>
      </c>
      <c r="K656" s="23" t="n"/>
      <c r="L656" s="25">
        <f>IF(AND(IF($H662&lt;&gt;"",$H662,$H656)="override",$K656&lt;&gt;""),$K656,SUMIFS(Assumptions!$P$4:$P$103,Assumptions!$M$4:$M$103,$C656,Assumptions!$N$4:$N$103,$E656,Assumptions!$O$4:$O$103,"LVN"))</f>
        <v/>
      </c>
      <c r="M656" s="23" t="n"/>
      <c r="N656" s="25">
        <f>IF(AND(IF($H662&lt;&gt;"",$H662,$H656)="override",$M656&lt;&gt;""),$M656,SUMIFS(Assumptions!$P$4:$P$103,Assumptions!$M$4:$M$103,$C656,Assumptions!$N$4:$N$103,$E656,Assumptions!$O$4:$O$103,"HVN"))</f>
        <v/>
      </c>
      <c r="O656" s="25">
        <f>(L656+N656)*Assumptions!$S$11</f>
        <v/>
      </c>
      <c r="P656" s="26">
        <f>$F656*$J656*$O656</f>
        <v/>
      </c>
    </row>
    <row r="657">
      <c r="A657" s="11" t="inlineStr">
        <is>
          <t>UNIT</t>
        </is>
      </c>
      <c r="B657" s="18" t="inlineStr">
        <is>
          <t>DELEK_TYLER</t>
        </is>
      </c>
      <c r="C657" s="18" t="n">
        <v>3</v>
      </c>
      <c r="D657" s="18" t="inlineStr">
        <is>
          <t>CCR</t>
        </is>
      </c>
      <c r="E657" s="18" t="inlineStr">
        <is>
          <t>REFORMER</t>
        </is>
      </c>
      <c r="F657" s="19" t="n">
        <v>13</v>
      </c>
      <c r="G657" s="21">
        <f>IFERROR(IF(INDEX(Effective!$E$3:$R$125,MATCH($B657,Effective!$A$3:$A$125,0),MATCH($D657,Effective!$E$2:$R$2,0))=0,"",INDEX(Effective!$E$3:$R$125,MATCH($B657,Effective!$A$3:$A$125,0),MATCH($D657,Effective!$E$2:$R$2,0))),"")</f>
        <v/>
      </c>
      <c r="H657" s="22" t="inlineStr">
        <is>
          <t>override</t>
        </is>
      </c>
      <c r="I657" s="23" t="n">
        <v>0.962</v>
      </c>
      <c r="J657" s="24">
        <f>IF(AND(IF($H662&lt;&gt;"",$H662,$H657)="override",$I657&lt;&gt;""),$I657,SUMIFS(Assumptions!$K$4:$K$8,Assumptions!$J$4:$J$8,$C657))*Assumptions!$S$10</f>
        <v/>
      </c>
      <c r="K657" s="23" t="n"/>
      <c r="L657" s="25">
        <f>IF(AND(IF($H662&lt;&gt;"",$H662,$H657)="override",$K657&lt;&gt;""),$K657,SUMIFS(Assumptions!$P$4:$P$103,Assumptions!$M$4:$M$103,$C657,Assumptions!$N$4:$N$103,$E657,Assumptions!$O$4:$O$103,"LVN"))</f>
        <v/>
      </c>
      <c r="M657" s="23" t="n"/>
      <c r="N657" s="25">
        <f>IF(AND(IF($H662&lt;&gt;"",$H662,$H657)="override",$M657&lt;&gt;""),$M657,SUMIFS(Assumptions!$P$4:$P$103,Assumptions!$M$4:$M$103,$C657,Assumptions!$N$4:$N$103,$E657,Assumptions!$O$4:$O$103,"HVN"))</f>
        <v/>
      </c>
      <c r="O657" s="25">
        <f>(L657+N657)*Assumptions!$S$11</f>
        <v/>
      </c>
      <c r="P657" s="26">
        <f>$F657*$J657*$O657</f>
        <v/>
      </c>
    </row>
    <row r="658">
      <c r="A658" s="11" t="inlineStr">
        <is>
          <t>UNIT</t>
        </is>
      </c>
      <c r="B658" s="18" t="inlineStr">
        <is>
          <t>DELEK_TYLER</t>
        </is>
      </c>
      <c r="C658" s="18" t="n">
        <v>3</v>
      </c>
      <c r="D658" s="18" t="inlineStr">
        <is>
          <t>REF</t>
        </is>
      </c>
      <c r="E658" s="18" t="inlineStr">
        <is>
          <t>REFORMER</t>
        </is>
      </c>
      <c r="F658" s="19" t="n">
        <v>4.5</v>
      </c>
      <c r="G658" s="21">
        <f>IFERROR(IF(INDEX(Effective!$E$3:$R$125,MATCH($B658,Effective!$A$3:$A$125,0),MATCH($D658,Effective!$E$2:$R$2,0))=0,"",INDEX(Effective!$E$3:$R$125,MATCH($B658,Effective!$A$3:$A$125,0),MATCH($D658,Effective!$E$2:$R$2,0))),"")</f>
        <v/>
      </c>
      <c r="H658" s="22" t="inlineStr">
        <is>
          <t>override</t>
        </is>
      </c>
      <c r="I658" s="23" t="n">
        <v>0.889</v>
      </c>
      <c r="J658" s="24">
        <f>IF(AND(IF($H662&lt;&gt;"",$H662,$H658)="override",$I658&lt;&gt;""),$I658,SUMIFS(Assumptions!$K$4:$K$8,Assumptions!$J$4:$J$8,$C658))*Assumptions!$S$10</f>
        <v/>
      </c>
      <c r="K658" s="23" t="n"/>
      <c r="L658" s="25">
        <f>IF(AND(IF($H662&lt;&gt;"",$H662,$H658)="override",$K658&lt;&gt;""),$K658,SUMIFS(Assumptions!$P$4:$P$103,Assumptions!$M$4:$M$103,$C658,Assumptions!$N$4:$N$103,$E658,Assumptions!$O$4:$O$103,"LVN"))</f>
        <v/>
      </c>
      <c r="M658" s="23" t="n"/>
      <c r="N658" s="25">
        <f>IF(AND(IF($H662&lt;&gt;"",$H662,$H658)="override",$M658&lt;&gt;""),$M658,SUMIFS(Assumptions!$P$4:$P$103,Assumptions!$M$4:$M$103,$C658,Assumptions!$N$4:$N$103,$E658,Assumptions!$O$4:$O$103,"HVN"))</f>
        <v/>
      </c>
      <c r="O658" s="25">
        <f>(L658+N658)*Assumptions!$S$11</f>
        <v/>
      </c>
      <c r="P658" s="26">
        <f>$F658*$J658*$O658</f>
        <v/>
      </c>
    </row>
    <row r="659">
      <c r="A659" s="11" t="inlineStr">
        <is>
          <t>UNIT</t>
        </is>
      </c>
      <c r="B659" s="18" t="inlineStr">
        <is>
          <t>DELEK_TYLER</t>
        </is>
      </c>
      <c r="C659" s="18" t="n">
        <v>3</v>
      </c>
      <c r="D659" s="18" t="inlineStr">
        <is>
          <t>ISOM</t>
        </is>
      </c>
      <c r="E659" s="18" t="inlineStr">
        <is>
          <t>ISOM</t>
        </is>
      </c>
      <c r="F659" s="19" t="n">
        <v>5</v>
      </c>
      <c r="G659" s="21">
        <f>IFERROR(IF(INDEX(Effective!$E$3:$R$125,MATCH($B659,Effective!$A$3:$A$125,0),MATCH($D659,Effective!$E$2:$R$2,0))=0,"",INDEX(Effective!$E$3:$R$125,MATCH($B659,Effective!$A$3:$A$125,0),MATCH($D659,Effective!$E$2:$R$2,0))),"")</f>
        <v/>
      </c>
      <c r="H659" s="22" t="inlineStr">
        <is>
          <t>override</t>
        </is>
      </c>
      <c r="I659" s="23" t="n">
        <v>0.6</v>
      </c>
      <c r="J659" s="24">
        <f>IF(AND(IF($H662&lt;&gt;"",$H662,$H659)="override",$I659&lt;&gt;""),$I659,SUMIFS(Assumptions!$K$4:$K$8,Assumptions!$J$4:$J$8,$C659))*Assumptions!$S$10</f>
        <v/>
      </c>
      <c r="K659" s="23" t="n"/>
      <c r="L659" s="25">
        <f>IF(AND(IF($H662&lt;&gt;"",$H662,$H659)="override",$K659&lt;&gt;""),$K659,SUMIFS(Assumptions!$P$4:$P$103,Assumptions!$M$4:$M$103,$C659,Assumptions!$N$4:$N$103,$E659,Assumptions!$O$4:$O$103,"LVN"))</f>
        <v/>
      </c>
      <c r="M659" s="23" t="n"/>
      <c r="N659" s="25">
        <f>IF(AND(IF($H662&lt;&gt;"",$H662,$H659)="override",$M659&lt;&gt;""),$M659,SUMIFS(Assumptions!$P$4:$P$103,Assumptions!$M$4:$M$103,$C659,Assumptions!$N$4:$N$103,$E659,Assumptions!$O$4:$O$103,"HVN"))</f>
        <v/>
      </c>
      <c r="O659" s="25">
        <f>(L659+N659)*Assumptions!$S$11</f>
        <v/>
      </c>
      <c r="P659" s="26">
        <f>$F659*$J659*$O659</f>
        <v/>
      </c>
    </row>
    <row r="660">
      <c r="A660" s="11" t="inlineStr">
        <is>
          <t>UNIT</t>
        </is>
      </c>
      <c r="B660" s="18" t="inlineStr">
        <is>
          <t>DELEK_TYLER</t>
        </is>
      </c>
      <c r="C660" s="18" t="n">
        <v>3</v>
      </c>
      <c r="D660" s="18" t="inlineStr">
        <is>
          <t>ALKY</t>
        </is>
      </c>
      <c r="E660" s="18" t="inlineStr">
        <is>
          <t>ALKY</t>
        </is>
      </c>
      <c r="F660" s="19" t="n">
        <v>4.7</v>
      </c>
      <c r="G660" s="21">
        <f>IFERROR(IF(INDEX(Effective!$E$3:$R$125,MATCH($B660,Effective!$A$3:$A$125,0),MATCH($D660,Effective!$E$2:$R$2,0))=0,"",INDEX(Effective!$E$3:$R$125,MATCH($B660,Effective!$A$3:$A$125,0),MATCH($D660,Effective!$E$2:$R$2,0))),"")</f>
        <v/>
      </c>
      <c r="H660" s="22" t="inlineStr">
        <is>
          <t>override</t>
        </is>
      </c>
      <c r="I660" s="23" t="n">
        <v>0.928</v>
      </c>
      <c r="J660" s="24">
        <f>IF(AND(IF($H662&lt;&gt;"",$H662,$H660)="override",$I660&lt;&gt;""),$I660,SUMIFS(Assumptions!$K$4:$K$8,Assumptions!$J$4:$J$8,$C660))*Assumptions!$S$10</f>
        <v/>
      </c>
      <c r="K660" s="23" t="n"/>
      <c r="L660" s="25">
        <f>IF(AND(IF($H662&lt;&gt;"",$H662,$H660)="override",$K660&lt;&gt;""),$K660,SUMIFS(Assumptions!$P$4:$P$103,Assumptions!$M$4:$M$103,$C660,Assumptions!$N$4:$N$103,$E660,Assumptions!$O$4:$O$103,"LVN"))</f>
        <v/>
      </c>
      <c r="M660" s="23" t="n"/>
      <c r="N660" s="25">
        <f>IF(AND(IF($H662&lt;&gt;"",$H662,$H660)="override",$M660&lt;&gt;""),$M660,SUMIFS(Assumptions!$P$4:$P$103,Assumptions!$M$4:$M$103,$C660,Assumptions!$N$4:$N$103,$E660,Assumptions!$O$4:$O$103,"HVN"))</f>
        <v/>
      </c>
      <c r="O660" s="25">
        <f>(L660+N660)*Assumptions!$S$11</f>
        <v/>
      </c>
      <c r="P660" s="26">
        <f>$F660*$J660*$O660</f>
        <v/>
      </c>
    </row>
    <row r="661">
      <c r="A661" s="11" t="inlineStr">
        <is>
          <t>UNIT</t>
        </is>
      </c>
      <c r="B661" s="18" t="inlineStr">
        <is>
          <t>DELEK_TYLER</t>
        </is>
      </c>
      <c r="C661" s="18" t="n">
        <v>3</v>
      </c>
      <c r="D661" s="18" t="inlineStr">
        <is>
          <t>NHT</t>
        </is>
      </c>
      <c r="E661" s="18" t="inlineStr">
        <is>
          <t>NHT</t>
        </is>
      </c>
      <c r="F661" s="19" t="n">
        <v>28</v>
      </c>
      <c r="G661" s="21">
        <f>IFERROR(IF(INDEX(Effective!$E$3:$R$125,MATCH($B661,Effective!$A$3:$A$125,0),MATCH($D661,Effective!$E$2:$R$2,0))=0,"",INDEX(Effective!$E$3:$R$125,MATCH($B661,Effective!$A$3:$A$125,0),MATCH($D661,Effective!$E$2:$R$2,0))),"")</f>
        <v/>
      </c>
      <c r="H661" s="22" t="inlineStr">
        <is>
          <t>override</t>
        </is>
      </c>
      <c r="I661" s="23" t="n">
        <v>0.909</v>
      </c>
      <c r="J661" s="24">
        <f>IF(AND(IF($H662&lt;&gt;"",$H662,$H661)="override",$I661&lt;&gt;""),$I661,SUMIFS(Assumptions!$K$4:$K$8,Assumptions!$J$4:$J$8,$C661))*Assumptions!$S$10</f>
        <v/>
      </c>
      <c r="K661" s="23" t="n"/>
      <c r="L661" s="25">
        <f>IF(AND(IF($H662&lt;&gt;"",$H662,$H661)="override",$K661&lt;&gt;""),$K661,SUMIFS(Assumptions!$P$4:$P$103,Assumptions!$M$4:$M$103,$C661,Assumptions!$N$4:$N$103,$E661,Assumptions!$O$4:$O$103,"LVN"))</f>
        <v/>
      </c>
      <c r="M661" s="23" t="n"/>
      <c r="N661" s="25">
        <f>IF(AND(IF($H662&lt;&gt;"",$H662,$H661)="override",$M661&lt;&gt;""),$M661,SUMIFS(Assumptions!$P$4:$P$103,Assumptions!$M$4:$M$103,$C661,Assumptions!$N$4:$N$103,$E661,Assumptions!$O$4:$O$103,"HVN"))</f>
        <v/>
      </c>
      <c r="O661" s="25">
        <f>(L661+N661)*Assumptions!$S$11</f>
        <v/>
      </c>
      <c r="P661" s="26">
        <f>$F661*$J661*$O661</f>
        <v/>
      </c>
    </row>
    <row r="662">
      <c r="A662" s="27" t="inlineStr">
        <is>
          <t>TOTAL</t>
        </is>
      </c>
      <c r="B662" s="28" t="inlineStr">
        <is>
          <t>DELEK_TYLER</t>
        </is>
      </c>
      <c r="C662" s="28" t="n">
        <v>3</v>
      </c>
      <c r="D662" s="28" t="inlineStr">
        <is>
          <t>NET NAPHTHA</t>
        </is>
      </c>
      <c r="H662" s="22" t="n"/>
      <c r="P662" s="29">
        <f>SUM(P653:P661)</f>
        <v/>
      </c>
    </row>
    <row r="664" ht="20" customHeight="1">
      <c r="A664" s="8">
        <f>"  Placid Refining Port Allen  [PLACID_PORT_ALLEN]   —   Placid Refining   —   PADD 3   —   crude "&amp;TEXT(SUMIFS(Data!$G$3:$G$125,Data!$A$3:$A$125,"PLACID_PORT_ALLEN"),"#,##0")&amp;" kbd"</f>
        <v/>
      </c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</row>
    <row r="665">
      <c r="A665" s="11" t="inlineStr">
        <is>
          <t>UNIT</t>
        </is>
      </c>
      <c r="B665" s="18" t="inlineStr">
        <is>
          <t>PLACID_PORT_ALLEN</t>
        </is>
      </c>
      <c r="C665" s="18" t="n">
        <v>3</v>
      </c>
      <c r="D665" s="18" t="inlineStr">
        <is>
          <t>CDU</t>
        </is>
      </c>
      <c r="E665" s="18" t="inlineStr">
        <is>
          <t>CDU</t>
        </is>
      </c>
      <c r="F665" s="19" t="n">
        <v>82.5</v>
      </c>
      <c r="G665" s="21">
        <f>IFERROR(IF(INDEX(Effective!$E$3:$R$125,MATCH($B665,Effective!$A$3:$A$125,0),MATCH($D665,Effective!$E$2:$R$2,0))=0,"",INDEX(Effective!$E$3:$R$125,MATCH($B665,Effective!$A$3:$A$125,0),MATCH($D665,Effective!$E$2:$R$2,0))),"")</f>
        <v/>
      </c>
      <c r="H665" s="22" t="inlineStr">
        <is>
          <t>override</t>
        </is>
      </c>
      <c r="I665" s="23" t="n">
        <v>0.868</v>
      </c>
      <c r="J665" s="24">
        <f>IF(AND(IF($H671&lt;&gt;"",$H671,$H665)="override",$I665&lt;&gt;""),$I665,SUMIFS(Assumptions!$K$4:$K$8,Assumptions!$J$4:$J$8,$C665))*Assumptions!$S$10</f>
        <v/>
      </c>
      <c r="K665" s="23" t="n"/>
      <c r="L665" s="25">
        <f>IF(AND(IF($H671&lt;&gt;"",$H671,$H665)="override",$K665&lt;&gt;""),$K665,SUMIFS(Assumptions!$P$4:$P$103,Assumptions!$M$4:$M$103,$C665,Assumptions!$N$4:$N$103,$E665,Assumptions!$O$4:$O$103,"LVN"))</f>
        <v/>
      </c>
      <c r="M665" s="23" t="n"/>
      <c r="N665" s="25">
        <f>IF(AND(IF($H671&lt;&gt;"",$H671,$H665)="override",$M665&lt;&gt;""),$M665,SUMIFS(Assumptions!$P$4:$P$103,Assumptions!$M$4:$M$103,$C665,Assumptions!$N$4:$N$103,$E665,Assumptions!$O$4:$O$103,"HVN"))</f>
        <v/>
      </c>
      <c r="O665" s="25">
        <f>(L665+N665)*Assumptions!$S$11</f>
        <v/>
      </c>
      <c r="P665" s="26">
        <f>$F665*$J665*$O665</f>
        <v/>
      </c>
    </row>
    <row r="666">
      <c r="A666" s="11" t="inlineStr">
        <is>
          <t>UNIT</t>
        </is>
      </c>
      <c r="B666" s="18" t="inlineStr">
        <is>
          <t>PLACID_PORT_ALLEN</t>
        </is>
      </c>
      <c r="C666" s="18" t="n">
        <v>3</v>
      </c>
      <c r="D666" s="18" t="inlineStr">
        <is>
          <t>VDU</t>
        </is>
      </c>
      <c r="E666" s="18" t="inlineStr">
        <is>
          <t>VDU</t>
        </is>
      </c>
      <c r="F666" s="19" t="n">
        <v>27</v>
      </c>
      <c r="G666" s="21">
        <f>IFERROR(IF(INDEX(Effective!$E$3:$R$125,MATCH($B666,Effective!$A$3:$A$125,0),MATCH($D666,Effective!$E$2:$R$2,0))=0,"",INDEX(Effective!$E$3:$R$125,MATCH($B666,Effective!$A$3:$A$125,0),MATCH($D666,Effective!$E$2:$R$2,0))),"")</f>
        <v/>
      </c>
      <c r="H666" s="22" t="inlineStr">
        <is>
          <t>override</t>
        </is>
      </c>
      <c r="I666" s="23" t="n">
        <v>0.9340000000000001</v>
      </c>
      <c r="J666" s="24">
        <f>IF(AND(IF($H671&lt;&gt;"",$H671,$H666)="override",$I666&lt;&gt;""),$I666,SUMIFS(Assumptions!$K$4:$K$8,Assumptions!$J$4:$J$8,$C666))*Assumptions!$S$10</f>
        <v/>
      </c>
      <c r="K666" s="23" t="n"/>
      <c r="L666" s="25">
        <f>IF(AND(IF($H671&lt;&gt;"",$H671,$H666)="override",$K666&lt;&gt;""),$K666,SUMIFS(Assumptions!$P$4:$P$103,Assumptions!$M$4:$M$103,$C666,Assumptions!$N$4:$N$103,$E666,Assumptions!$O$4:$O$103,"LVN"))</f>
        <v/>
      </c>
      <c r="M666" s="23" t="n"/>
      <c r="N666" s="25">
        <f>IF(AND(IF($H671&lt;&gt;"",$H671,$H666)="override",$M666&lt;&gt;""),$M666,SUMIFS(Assumptions!$P$4:$P$103,Assumptions!$M$4:$M$103,$C666,Assumptions!$N$4:$N$103,$E666,Assumptions!$O$4:$O$103,"HVN"))</f>
        <v/>
      </c>
      <c r="O666" s="25">
        <f>(L666+N666)*Assumptions!$S$11</f>
        <v/>
      </c>
      <c r="P666" s="26">
        <f>$F666*$J666*$O666</f>
        <v/>
      </c>
    </row>
    <row r="667">
      <c r="A667" s="11" t="inlineStr">
        <is>
          <t>UNIT</t>
        </is>
      </c>
      <c r="B667" s="18" t="inlineStr">
        <is>
          <t>PLACID_PORT_ALLEN</t>
        </is>
      </c>
      <c r="C667" s="18" t="n">
        <v>3</v>
      </c>
      <c r="D667" s="18" t="inlineStr">
        <is>
          <t>FCC</t>
        </is>
      </c>
      <c r="E667" s="18" t="inlineStr">
        <is>
          <t>FCC</t>
        </is>
      </c>
      <c r="F667" s="19" t="n">
        <v>25</v>
      </c>
      <c r="G667" s="21">
        <f>IFERROR(IF(INDEX(Effective!$E$3:$R$125,MATCH($B667,Effective!$A$3:$A$125,0),MATCH($D667,Effective!$E$2:$R$2,0))=0,"",INDEX(Effective!$E$3:$R$125,MATCH($B667,Effective!$A$3:$A$125,0),MATCH($D667,Effective!$E$2:$R$2,0))),"")</f>
        <v/>
      </c>
      <c r="H667" s="22" t="inlineStr">
        <is>
          <t>override</t>
        </is>
      </c>
      <c r="I667" s="23" t="n">
        <v>0.949</v>
      </c>
      <c r="J667" s="24">
        <f>IF(AND(IF($H671&lt;&gt;"",$H671,$H667)="override",$I667&lt;&gt;""),$I667,SUMIFS(Assumptions!$K$4:$K$8,Assumptions!$J$4:$J$8,$C667))*Assumptions!$S$10</f>
        <v/>
      </c>
      <c r="K667" s="23" t="n"/>
      <c r="L667" s="25">
        <f>IF(AND(IF($H671&lt;&gt;"",$H671,$H667)="override",$K667&lt;&gt;""),$K667,SUMIFS(Assumptions!$P$4:$P$103,Assumptions!$M$4:$M$103,$C667,Assumptions!$N$4:$N$103,$E667,Assumptions!$O$4:$O$103,"LVN"))</f>
        <v/>
      </c>
      <c r="M667" s="23" t="n"/>
      <c r="N667" s="25">
        <f>IF(AND(IF($H671&lt;&gt;"",$H671,$H667)="override",$M667&lt;&gt;""),$M667,SUMIFS(Assumptions!$P$4:$P$103,Assumptions!$M$4:$M$103,$C667,Assumptions!$N$4:$N$103,$E667,Assumptions!$O$4:$O$103,"HVN"))</f>
        <v/>
      </c>
      <c r="O667" s="25">
        <f>(L667+N667)*Assumptions!$S$11</f>
        <v/>
      </c>
      <c r="P667" s="26">
        <f>$F667*$J667*$O667</f>
        <v/>
      </c>
    </row>
    <row r="668">
      <c r="A668" s="11" t="inlineStr">
        <is>
          <t>UNIT</t>
        </is>
      </c>
      <c r="B668" s="18" t="inlineStr">
        <is>
          <t>PLACID_PORT_ALLEN</t>
        </is>
      </c>
      <c r="C668" s="18" t="n">
        <v>3</v>
      </c>
      <c r="D668" s="18" t="inlineStr">
        <is>
          <t>CCR</t>
        </is>
      </c>
      <c r="E668" s="18" t="inlineStr">
        <is>
          <t>REFORMER</t>
        </is>
      </c>
      <c r="F668" s="19" t="n">
        <v>11.5</v>
      </c>
      <c r="G668" s="21">
        <f>IFERROR(IF(INDEX(Effective!$E$3:$R$125,MATCH($B668,Effective!$A$3:$A$125,0),MATCH($D668,Effective!$E$2:$R$2,0))=0,"",INDEX(Effective!$E$3:$R$125,MATCH($B668,Effective!$A$3:$A$125,0),MATCH($D668,Effective!$E$2:$R$2,0))),"")</f>
        <v/>
      </c>
      <c r="H668" s="22" t="inlineStr">
        <is>
          <t>override</t>
        </is>
      </c>
      <c r="I668" s="23" t="n"/>
      <c r="J668" s="24">
        <f>IF(AND(IF($H671&lt;&gt;"",$H671,$H668)="override",$I668&lt;&gt;""),$I668,SUMIFS(Assumptions!$K$4:$K$8,Assumptions!$J$4:$J$8,$C668))*Assumptions!$S$10</f>
        <v/>
      </c>
      <c r="K668" s="23" t="n"/>
      <c r="L668" s="25">
        <f>IF(AND(IF($H671&lt;&gt;"",$H671,$H668)="override",$K668&lt;&gt;""),$K668,SUMIFS(Assumptions!$P$4:$P$103,Assumptions!$M$4:$M$103,$C668,Assumptions!$N$4:$N$103,$E668,Assumptions!$O$4:$O$103,"LVN"))</f>
        <v/>
      </c>
      <c r="M668" s="23" t="n"/>
      <c r="N668" s="25">
        <f>IF(AND(IF($H671&lt;&gt;"",$H671,$H668)="override",$M668&lt;&gt;""),$M668,SUMIFS(Assumptions!$P$4:$P$103,Assumptions!$M$4:$M$103,$C668,Assumptions!$N$4:$N$103,$E668,Assumptions!$O$4:$O$103,"HVN"))</f>
        <v/>
      </c>
      <c r="O668" s="25">
        <f>(L668+N668)*Assumptions!$S$11</f>
        <v/>
      </c>
      <c r="P668" s="26">
        <f>$F668*$J668*$O668</f>
        <v/>
      </c>
    </row>
    <row r="669">
      <c r="A669" s="11" t="inlineStr">
        <is>
          <t>UNIT</t>
        </is>
      </c>
      <c r="B669" s="18" t="inlineStr">
        <is>
          <t>PLACID_PORT_ALLEN</t>
        </is>
      </c>
      <c r="C669" s="18" t="n">
        <v>3</v>
      </c>
      <c r="D669" s="18" t="inlineStr">
        <is>
          <t>ALKY</t>
        </is>
      </c>
      <c r="E669" s="18" t="inlineStr">
        <is>
          <t>ALKY</t>
        </is>
      </c>
      <c r="F669" s="19" t="n">
        <v>7.5</v>
      </c>
      <c r="G669" s="21">
        <f>IFERROR(IF(INDEX(Effective!$E$3:$R$125,MATCH($B669,Effective!$A$3:$A$125,0),MATCH($D669,Effective!$E$2:$R$2,0))=0,"",INDEX(Effective!$E$3:$R$125,MATCH($B669,Effective!$A$3:$A$125,0),MATCH($D669,Effective!$E$2:$R$2,0))),"")</f>
        <v/>
      </c>
      <c r="H669" s="22" t="inlineStr">
        <is>
          <t>override</t>
        </is>
      </c>
      <c r="I669" s="23" t="n">
        <v>0.896</v>
      </c>
      <c r="J669" s="24">
        <f>IF(AND(IF($H671&lt;&gt;"",$H671,$H669)="override",$I669&lt;&gt;""),$I669,SUMIFS(Assumptions!$K$4:$K$8,Assumptions!$J$4:$J$8,$C669))*Assumptions!$S$10</f>
        <v/>
      </c>
      <c r="K669" s="23" t="n"/>
      <c r="L669" s="25">
        <f>IF(AND(IF($H671&lt;&gt;"",$H671,$H669)="override",$K669&lt;&gt;""),$K669,SUMIFS(Assumptions!$P$4:$P$103,Assumptions!$M$4:$M$103,$C669,Assumptions!$N$4:$N$103,$E669,Assumptions!$O$4:$O$103,"LVN"))</f>
        <v/>
      </c>
      <c r="M669" s="23" t="n"/>
      <c r="N669" s="25">
        <f>IF(AND(IF($H671&lt;&gt;"",$H671,$H669)="override",$M669&lt;&gt;""),$M669,SUMIFS(Assumptions!$P$4:$P$103,Assumptions!$M$4:$M$103,$C669,Assumptions!$N$4:$N$103,$E669,Assumptions!$O$4:$O$103,"HVN"))</f>
        <v/>
      </c>
      <c r="O669" s="25">
        <f>(L669+N669)*Assumptions!$S$11</f>
        <v/>
      </c>
      <c r="P669" s="26">
        <f>$F669*$J669*$O669</f>
        <v/>
      </c>
    </row>
    <row r="670">
      <c r="A670" s="11" t="inlineStr">
        <is>
          <t>UNIT</t>
        </is>
      </c>
      <c r="B670" s="18" t="inlineStr">
        <is>
          <t>PLACID_PORT_ALLEN</t>
        </is>
      </c>
      <c r="C670" s="18" t="n">
        <v>3</v>
      </c>
      <c r="D670" s="18" t="inlineStr">
        <is>
          <t>NHT</t>
        </is>
      </c>
      <c r="E670" s="18" t="inlineStr">
        <is>
          <t>NHT</t>
        </is>
      </c>
      <c r="F670" s="19" t="n">
        <v>12</v>
      </c>
      <c r="G670" s="21">
        <f>IFERROR(IF(INDEX(Effective!$E$3:$R$125,MATCH($B670,Effective!$A$3:$A$125,0),MATCH($D670,Effective!$E$2:$R$2,0))=0,"",INDEX(Effective!$E$3:$R$125,MATCH($B670,Effective!$A$3:$A$125,0),MATCH($D670,Effective!$E$2:$R$2,0))),"")</f>
        <v/>
      </c>
      <c r="H670" s="22" t="inlineStr">
        <is>
          <t>override</t>
        </is>
      </c>
      <c r="I670" s="23" t="n">
        <v>0.755</v>
      </c>
      <c r="J670" s="24">
        <f>IF(AND(IF($H671&lt;&gt;"",$H671,$H670)="override",$I670&lt;&gt;""),$I670,SUMIFS(Assumptions!$K$4:$K$8,Assumptions!$J$4:$J$8,$C670))*Assumptions!$S$10</f>
        <v/>
      </c>
      <c r="K670" s="23" t="n"/>
      <c r="L670" s="25">
        <f>IF(AND(IF($H671&lt;&gt;"",$H671,$H670)="override",$K670&lt;&gt;""),$K670,SUMIFS(Assumptions!$P$4:$P$103,Assumptions!$M$4:$M$103,$C670,Assumptions!$N$4:$N$103,$E670,Assumptions!$O$4:$O$103,"LVN"))</f>
        <v/>
      </c>
      <c r="M670" s="23" t="n"/>
      <c r="N670" s="25">
        <f>IF(AND(IF($H671&lt;&gt;"",$H671,$H670)="override",$M670&lt;&gt;""),$M670,SUMIFS(Assumptions!$P$4:$P$103,Assumptions!$M$4:$M$103,$C670,Assumptions!$N$4:$N$103,$E670,Assumptions!$O$4:$O$103,"HVN"))</f>
        <v/>
      </c>
      <c r="O670" s="25">
        <f>(L670+N670)*Assumptions!$S$11</f>
        <v/>
      </c>
      <c r="P670" s="26">
        <f>$F670*$J670*$O670</f>
        <v/>
      </c>
    </row>
    <row r="671">
      <c r="A671" s="27" t="inlineStr">
        <is>
          <t>TOTAL</t>
        </is>
      </c>
      <c r="B671" s="28" t="inlineStr">
        <is>
          <t>PLACID_PORT_ALLEN</t>
        </is>
      </c>
      <c r="C671" s="28" t="n">
        <v>3</v>
      </c>
      <c r="D671" s="28" t="inlineStr">
        <is>
          <t>NET NAPHTHA</t>
        </is>
      </c>
      <c r="H671" s="22" t="n"/>
      <c r="P671" s="29">
        <f>SUM(P665:P670)</f>
        <v/>
      </c>
    </row>
    <row r="673" ht="20" customHeight="1">
      <c r="A673" s="8">
        <f>"  Delek Group Krotz Springs  [DELEK_KROTZ_SPRINGS]   —   Delek Group   —   PADD 3   —   crude "&amp;TEXT(SUMIFS(Data!$G$3:$G$125,Data!$A$3:$A$125,"DELEK_KROTZ_SPRINGS"),"#,##0")&amp;" kbd"</f>
        <v/>
      </c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</row>
    <row r="674">
      <c r="A674" s="11" t="inlineStr">
        <is>
          <t>UNIT</t>
        </is>
      </c>
      <c r="B674" s="18" t="inlineStr">
        <is>
          <t>DELEK_KROTZ_SPRINGS</t>
        </is>
      </c>
      <c r="C674" s="18" t="n">
        <v>3</v>
      </c>
      <c r="D674" s="18" t="inlineStr">
        <is>
          <t>CDU</t>
        </is>
      </c>
      <c r="E674" s="18" t="inlineStr">
        <is>
          <t>CDU</t>
        </is>
      </c>
      <c r="F674" s="19" t="n">
        <v>83</v>
      </c>
      <c r="G674" s="21">
        <f>IFERROR(IF(INDEX(Effective!$E$3:$R$125,MATCH($B674,Effective!$A$3:$A$125,0),MATCH($D674,Effective!$E$2:$R$2,0))=0,"",INDEX(Effective!$E$3:$R$125,MATCH($B674,Effective!$A$3:$A$125,0),MATCH($D674,Effective!$E$2:$R$2,0))),"")</f>
        <v/>
      </c>
      <c r="H674" s="22" t="inlineStr">
        <is>
          <t>override</t>
        </is>
      </c>
      <c r="I674" s="23" t="n">
        <v>0.8090000000000001</v>
      </c>
      <c r="J674" s="24">
        <f>IF(AND(IF($H681&lt;&gt;"",$H681,$H674)="override",$I674&lt;&gt;""),$I674,SUMIFS(Assumptions!$K$4:$K$8,Assumptions!$J$4:$J$8,$C674))*Assumptions!$S$10</f>
        <v/>
      </c>
      <c r="K674" s="23" t="n"/>
      <c r="L674" s="25">
        <f>IF(AND(IF($H681&lt;&gt;"",$H681,$H674)="override",$K674&lt;&gt;""),$K674,SUMIFS(Assumptions!$P$4:$P$103,Assumptions!$M$4:$M$103,$C674,Assumptions!$N$4:$N$103,$E674,Assumptions!$O$4:$O$103,"LVN"))</f>
        <v/>
      </c>
      <c r="M674" s="23" t="n"/>
      <c r="N674" s="25">
        <f>IF(AND(IF($H681&lt;&gt;"",$H681,$H674)="override",$M674&lt;&gt;""),$M674,SUMIFS(Assumptions!$P$4:$P$103,Assumptions!$M$4:$M$103,$C674,Assumptions!$N$4:$N$103,$E674,Assumptions!$O$4:$O$103,"HVN"))</f>
        <v/>
      </c>
      <c r="O674" s="25">
        <f>(L674+N674)*Assumptions!$S$11</f>
        <v/>
      </c>
      <c r="P674" s="26">
        <f>$F674*$J674*$O674</f>
        <v/>
      </c>
    </row>
    <row r="675">
      <c r="A675" s="11" t="inlineStr">
        <is>
          <t>UNIT</t>
        </is>
      </c>
      <c r="B675" s="18" t="inlineStr">
        <is>
          <t>DELEK_KROTZ_SPRINGS</t>
        </is>
      </c>
      <c r="C675" s="18" t="n">
        <v>3</v>
      </c>
      <c r="D675" s="18" t="inlineStr">
        <is>
          <t>VDU</t>
        </is>
      </c>
      <c r="E675" s="18" t="inlineStr">
        <is>
          <t>VDU</t>
        </is>
      </c>
      <c r="F675" s="19" t="n">
        <v>36.2</v>
      </c>
      <c r="G675" s="21">
        <f>IFERROR(IF(INDEX(Effective!$E$3:$R$125,MATCH($B675,Effective!$A$3:$A$125,0),MATCH($D675,Effective!$E$2:$R$2,0))=0,"",INDEX(Effective!$E$3:$R$125,MATCH($B675,Effective!$A$3:$A$125,0),MATCH($D675,Effective!$E$2:$R$2,0))),"")</f>
        <v/>
      </c>
      <c r="H675" s="22" t="inlineStr">
        <is>
          <t>override</t>
        </is>
      </c>
      <c r="I675" s="23" t="n">
        <v>0.512</v>
      </c>
      <c r="J675" s="24">
        <f>IF(AND(IF($H681&lt;&gt;"",$H681,$H675)="override",$I675&lt;&gt;""),$I675,SUMIFS(Assumptions!$K$4:$K$8,Assumptions!$J$4:$J$8,$C675))*Assumptions!$S$10</f>
        <v/>
      </c>
      <c r="K675" s="23" t="n"/>
      <c r="L675" s="25">
        <f>IF(AND(IF($H681&lt;&gt;"",$H681,$H675)="override",$K675&lt;&gt;""),$K675,SUMIFS(Assumptions!$P$4:$P$103,Assumptions!$M$4:$M$103,$C675,Assumptions!$N$4:$N$103,$E675,Assumptions!$O$4:$O$103,"LVN"))</f>
        <v/>
      </c>
      <c r="M675" s="23" t="n"/>
      <c r="N675" s="25">
        <f>IF(AND(IF($H681&lt;&gt;"",$H681,$H675)="override",$M675&lt;&gt;""),$M675,SUMIFS(Assumptions!$P$4:$P$103,Assumptions!$M$4:$M$103,$C675,Assumptions!$N$4:$N$103,$E675,Assumptions!$O$4:$O$103,"HVN"))</f>
        <v/>
      </c>
      <c r="O675" s="25">
        <f>(L675+N675)*Assumptions!$S$11</f>
        <v/>
      </c>
      <c r="P675" s="26">
        <f>$F675*$J675*$O675</f>
        <v/>
      </c>
    </row>
    <row r="676">
      <c r="A676" s="11" t="inlineStr">
        <is>
          <t>UNIT</t>
        </is>
      </c>
      <c r="B676" s="18" t="inlineStr">
        <is>
          <t>DELEK_KROTZ_SPRINGS</t>
        </is>
      </c>
      <c r="C676" s="18" t="n">
        <v>3</v>
      </c>
      <c r="D676" s="18" t="inlineStr">
        <is>
          <t>RCC</t>
        </is>
      </c>
      <c r="E676" s="18" t="inlineStr">
        <is>
          <t>FCC</t>
        </is>
      </c>
      <c r="F676" s="19" t="n">
        <v>34</v>
      </c>
      <c r="G676" s="21">
        <f>IFERROR(IF(INDEX(Effective!$E$3:$R$125,MATCH($B676,Effective!$A$3:$A$125,0),MATCH($D676,Effective!$E$2:$R$2,0))=0,"",INDEX(Effective!$E$3:$R$125,MATCH($B676,Effective!$A$3:$A$125,0),MATCH($D676,Effective!$E$2:$R$2,0))),"")</f>
        <v/>
      </c>
      <c r="H676" s="22" t="inlineStr">
        <is>
          <t>override</t>
        </is>
      </c>
      <c r="I676" s="23" t="n">
        <v>0.79</v>
      </c>
      <c r="J676" s="24">
        <f>IF(AND(IF($H681&lt;&gt;"",$H681,$H676)="override",$I676&lt;&gt;""),$I676,SUMIFS(Assumptions!$K$4:$K$8,Assumptions!$J$4:$J$8,$C676))*Assumptions!$S$10</f>
        <v/>
      </c>
      <c r="K676" s="23" t="n"/>
      <c r="L676" s="25">
        <f>IF(AND(IF($H681&lt;&gt;"",$H681,$H676)="override",$K676&lt;&gt;""),$K676,SUMIFS(Assumptions!$P$4:$P$103,Assumptions!$M$4:$M$103,$C676,Assumptions!$N$4:$N$103,$E676,Assumptions!$O$4:$O$103,"LVN"))</f>
        <v/>
      </c>
      <c r="M676" s="23" t="n"/>
      <c r="N676" s="25">
        <f>IF(AND(IF($H681&lt;&gt;"",$H681,$H676)="override",$M676&lt;&gt;""),$M676,SUMIFS(Assumptions!$P$4:$P$103,Assumptions!$M$4:$M$103,$C676,Assumptions!$N$4:$N$103,$E676,Assumptions!$O$4:$O$103,"HVN"))</f>
        <v/>
      </c>
      <c r="O676" s="25">
        <f>(L676+N676)*Assumptions!$S$11</f>
        <v/>
      </c>
      <c r="P676" s="26">
        <f>$F676*$J676*$O676</f>
        <v/>
      </c>
    </row>
    <row r="677">
      <c r="A677" s="11" t="inlineStr">
        <is>
          <t>UNIT</t>
        </is>
      </c>
      <c r="B677" s="18" t="inlineStr">
        <is>
          <t>DELEK_KROTZ_SPRINGS</t>
        </is>
      </c>
      <c r="C677" s="18" t="n">
        <v>3</v>
      </c>
      <c r="D677" s="18" t="inlineStr">
        <is>
          <t>REF</t>
        </is>
      </c>
      <c r="E677" s="18" t="inlineStr">
        <is>
          <t>REFORMER</t>
        </is>
      </c>
      <c r="F677" s="19" t="n">
        <v>13</v>
      </c>
      <c r="G677" s="21">
        <f>IFERROR(IF(INDEX(Effective!$E$3:$R$125,MATCH($B677,Effective!$A$3:$A$125,0),MATCH($D677,Effective!$E$2:$R$2,0))=0,"",INDEX(Effective!$E$3:$R$125,MATCH($B677,Effective!$A$3:$A$125,0),MATCH($D677,Effective!$E$2:$R$2,0))),"")</f>
        <v/>
      </c>
      <c r="H677" s="22" t="inlineStr">
        <is>
          <t>override</t>
        </is>
      </c>
      <c r="I677" s="23" t="n">
        <v>0.8100000000000001</v>
      </c>
      <c r="J677" s="24">
        <f>IF(AND(IF($H681&lt;&gt;"",$H681,$H677)="override",$I677&lt;&gt;""),$I677,SUMIFS(Assumptions!$K$4:$K$8,Assumptions!$J$4:$J$8,$C677))*Assumptions!$S$10</f>
        <v/>
      </c>
      <c r="K677" s="23" t="n"/>
      <c r="L677" s="25">
        <f>IF(AND(IF($H681&lt;&gt;"",$H681,$H677)="override",$K677&lt;&gt;""),$K677,SUMIFS(Assumptions!$P$4:$P$103,Assumptions!$M$4:$M$103,$C677,Assumptions!$N$4:$N$103,$E677,Assumptions!$O$4:$O$103,"LVN"))</f>
        <v/>
      </c>
      <c r="M677" s="23" t="n"/>
      <c r="N677" s="25">
        <f>IF(AND(IF($H681&lt;&gt;"",$H681,$H677)="override",$M677&lt;&gt;""),$M677,SUMIFS(Assumptions!$P$4:$P$103,Assumptions!$M$4:$M$103,$C677,Assumptions!$N$4:$N$103,$E677,Assumptions!$O$4:$O$103,"HVN"))</f>
        <v/>
      </c>
      <c r="O677" s="25">
        <f>(L677+N677)*Assumptions!$S$11</f>
        <v/>
      </c>
      <c r="P677" s="26">
        <f>$F677*$J677*$O677</f>
        <v/>
      </c>
    </row>
    <row r="678">
      <c r="A678" s="11" t="inlineStr">
        <is>
          <t>UNIT</t>
        </is>
      </c>
      <c r="B678" s="18" t="inlineStr">
        <is>
          <t>DELEK_KROTZ_SPRINGS</t>
        </is>
      </c>
      <c r="C678" s="18" t="n">
        <v>3</v>
      </c>
      <c r="D678" s="18" t="inlineStr">
        <is>
          <t>ISOM</t>
        </is>
      </c>
      <c r="E678" s="18" t="inlineStr">
        <is>
          <t>ISOM</t>
        </is>
      </c>
      <c r="F678" s="19" t="n">
        <v>6.22</v>
      </c>
      <c r="G678" s="21">
        <f>IFERROR(IF(INDEX(Effective!$E$3:$R$125,MATCH($B678,Effective!$A$3:$A$125,0),MATCH($D678,Effective!$E$2:$R$2,0))=0,"",INDEX(Effective!$E$3:$R$125,MATCH($B678,Effective!$A$3:$A$125,0),MATCH($D678,Effective!$E$2:$R$2,0))),"")</f>
        <v/>
      </c>
      <c r="H678" s="22" t="inlineStr">
        <is>
          <t>override</t>
        </is>
      </c>
      <c r="I678" s="23" t="n">
        <v>0.913</v>
      </c>
      <c r="J678" s="24">
        <f>IF(AND(IF($H681&lt;&gt;"",$H681,$H678)="override",$I678&lt;&gt;""),$I678,SUMIFS(Assumptions!$K$4:$K$8,Assumptions!$J$4:$J$8,$C678))*Assumptions!$S$10</f>
        <v/>
      </c>
      <c r="K678" s="23" t="n"/>
      <c r="L678" s="25">
        <f>IF(AND(IF($H681&lt;&gt;"",$H681,$H678)="override",$K678&lt;&gt;""),$K678,SUMIFS(Assumptions!$P$4:$P$103,Assumptions!$M$4:$M$103,$C678,Assumptions!$N$4:$N$103,$E678,Assumptions!$O$4:$O$103,"LVN"))</f>
        <v/>
      </c>
      <c r="M678" s="23" t="n"/>
      <c r="N678" s="25">
        <f>IF(AND(IF($H681&lt;&gt;"",$H681,$H678)="override",$M678&lt;&gt;""),$M678,SUMIFS(Assumptions!$P$4:$P$103,Assumptions!$M$4:$M$103,$C678,Assumptions!$N$4:$N$103,$E678,Assumptions!$O$4:$O$103,"HVN"))</f>
        <v/>
      </c>
      <c r="O678" s="25">
        <f>(L678+N678)*Assumptions!$S$11</f>
        <v/>
      </c>
      <c r="P678" s="26">
        <f>$F678*$J678*$O678</f>
        <v/>
      </c>
    </row>
    <row r="679">
      <c r="A679" s="11" t="inlineStr">
        <is>
          <t>UNIT</t>
        </is>
      </c>
      <c r="B679" s="18" t="inlineStr">
        <is>
          <t>DELEK_KROTZ_SPRINGS</t>
        </is>
      </c>
      <c r="C679" s="18" t="n">
        <v>3</v>
      </c>
      <c r="D679" s="18" t="inlineStr">
        <is>
          <t>ALKY</t>
        </is>
      </c>
      <c r="E679" s="18" t="inlineStr">
        <is>
          <t>ALKY</t>
        </is>
      </c>
      <c r="F679" s="19" t="n">
        <v>6</v>
      </c>
      <c r="G679" s="21">
        <f>IFERROR(IF(INDEX(Effective!$E$3:$R$125,MATCH($B679,Effective!$A$3:$A$125,0),MATCH($D679,Effective!$E$2:$R$2,0))=0,"",INDEX(Effective!$E$3:$R$125,MATCH($B679,Effective!$A$3:$A$125,0),MATCH($D679,Effective!$E$2:$R$2,0))),"")</f>
        <v/>
      </c>
      <c r="H679" s="22" t="inlineStr">
        <is>
          <t>override</t>
        </is>
      </c>
      <c r="I679" s="23" t="n">
        <v>1.1</v>
      </c>
      <c r="J679" s="24">
        <f>IF(AND(IF($H681&lt;&gt;"",$H681,$H679)="override",$I679&lt;&gt;""),$I679,SUMIFS(Assumptions!$K$4:$K$8,Assumptions!$J$4:$J$8,$C679))*Assumptions!$S$10</f>
        <v/>
      </c>
      <c r="K679" s="23" t="n"/>
      <c r="L679" s="25">
        <f>IF(AND(IF($H681&lt;&gt;"",$H681,$H679)="override",$K679&lt;&gt;""),$K679,SUMIFS(Assumptions!$P$4:$P$103,Assumptions!$M$4:$M$103,$C679,Assumptions!$N$4:$N$103,$E679,Assumptions!$O$4:$O$103,"LVN"))</f>
        <v/>
      </c>
      <c r="M679" s="23" t="n"/>
      <c r="N679" s="25">
        <f>IF(AND(IF($H681&lt;&gt;"",$H681,$H679)="override",$M679&lt;&gt;""),$M679,SUMIFS(Assumptions!$P$4:$P$103,Assumptions!$M$4:$M$103,$C679,Assumptions!$N$4:$N$103,$E679,Assumptions!$O$4:$O$103,"HVN"))</f>
        <v/>
      </c>
      <c r="O679" s="25">
        <f>(L679+N679)*Assumptions!$S$11</f>
        <v/>
      </c>
      <c r="P679" s="26">
        <f>$F679*$J679*$O679</f>
        <v/>
      </c>
    </row>
    <row r="680">
      <c r="A680" s="11" t="inlineStr">
        <is>
          <t>UNIT</t>
        </is>
      </c>
      <c r="B680" s="18" t="inlineStr">
        <is>
          <t>DELEK_KROTZ_SPRINGS</t>
        </is>
      </c>
      <c r="C680" s="18" t="n">
        <v>3</v>
      </c>
      <c r="D680" s="18" t="inlineStr">
        <is>
          <t>NHT</t>
        </is>
      </c>
      <c r="E680" s="18" t="inlineStr">
        <is>
          <t>NHT</t>
        </is>
      </c>
      <c r="F680" s="19" t="n">
        <v>14</v>
      </c>
      <c r="G680" s="21">
        <f>IFERROR(IF(INDEX(Effective!$E$3:$R$125,MATCH($B680,Effective!$A$3:$A$125,0),MATCH($D680,Effective!$E$2:$R$2,0))=0,"",INDEX(Effective!$E$3:$R$125,MATCH($B680,Effective!$A$3:$A$125,0),MATCH($D680,Effective!$E$2:$R$2,0))),"")</f>
        <v/>
      </c>
      <c r="H680" s="22" t="inlineStr">
        <is>
          <t>override</t>
        </is>
      </c>
      <c r="I680" s="23" t="n">
        <v>0.507</v>
      </c>
      <c r="J680" s="24">
        <f>IF(AND(IF($H681&lt;&gt;"",$H681,$H680)="override",$I680&lt;&gt;""),$I680,SUMIFS(Assumptions!$K$4:$K$8,Assumptions!$J$4:$J$8,$C680))*Assumptions!$S$10</f>
        <v/>
      </c>
      <c r="K680" s="23" t="n"/>
      <c r="L680" s="25">
        <f>IF(AND(IF($H681&lt;&gt;"",$H681,$H680)="override",$K680&lt;&gt;""),$K680,SUMIFS(Assumptions!$P$4:$P$103,Assumptions!$M$4:$M$103,$C680,Assumptions!$N$4:$N$103,$E680,Assumptions!$O$4:$O$103,"LVN"))</f>
        <v/>
      </c>
      <c r="M680" s="23" t="n"/>
      <c r="N680" s="25">
        <f>IF(AND(IF($H681&lt;&gt;"",$H681,$H680)="override",$M680&lt;&gt;""),$M680,SUMIFS(Assumptions!$P$4:$P$103,Assumptions!$M$4:$M$103,$C680,Assumptions!$N$4:$N$103,$E680,Assumptions!$O$4:$O$103,"HVN"))</f>
        <v/>
      </c>
      <c r="O680" s="25">
        <f>(L680+N680)*Assumptions!$S$11</f>
        <v/>
      </c>
      <c r="P680" s="26">
        <f>$F680*$J680*$O680</f>
        <v/>
      </c>
    </row>
    <row r="681">
      <c r="A681" s="27" t="inlineStr">
        <is>
          <t>TOTAL</t>
        </is>
      </c>
      <c r="B681" s="28" t="inlineStr">
        <is>
          <t>DELEK_KROTZ_SPRINGS</t>
        </is>
      </c>
      <c r="C681" s="28" t="n">
        <v>3</v>
      </c>
      <c r="D681" s="28" t="inlineStr">
        <is>
          <t>NET NAPHTHA</t>
        </is>
      </c>
      <c r="H681" s="22" t="n"/>
      <c r="P681" s="29">
        <f>SUM(P674:P680)</f>
        <v/>
      </c>
    </row>
    <row r="683" ht="20" customHeight="1">
      <c r="A683" s="8">
        <f>"  Alon Big Springs  [ALON_BIG_SPRINGS]   —   Delek Group   —   PADD 3   —   crude "&amp;TEXT(SUMIFS(Data!$G$3:$G$125,Data!$A$3:$A$125,"ALON_BIG_SPRINGS"),"#,##0")&amp;" kbd"</f>
        <v/>
      </c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</row>
    <row r="684">
      <c r="A684" s="11" t="inlineStr">
        <is>
          <t>UNIT</t>
        </is>
      </c>
      <c r="B684" s="18" t="inlineStr">
        <is>
          <t>ALON_BIG_SPRINGS</t>
        </is>
      </c>
      <c r="C684" s="18" t="n">
        <v>3</v>
      </c>
      <c r="D684" s="18" t="inlineStr">
        <is>
          <t>CDU</t>
        </is>
      </c>
      <c r="E684" s="18" t="inlineStr">
        <is>
          <t>CDU</t>
        </is>
      </c>
      <c r="F684" s="19" t="n">
        <v>74</v>
      </c>
      <c r="G684" s="21">
        <f>IFERROR(IF(INDEX(Effective!$E$3:$R$125,MATCH($B684,Effective!$A$3:$A$125,0),MATCH($D684,Effective!$E$2:$R$2,0))=0,"",INDEX(Effective!$E$3:$R$125,MATCH($B684,Effective!$A$3:$A$125,0),MATCH($D684,Effective!$E$2:$R$2,0))),"")</f>
        <v/>
      </c>
      <c r="H684" s="22" t="inlineStr">
        <is>
          <t>override</t>
        </is>
      </c>
      <c r="I684" s="23" t="n">
        <v>0.894</v>
      </c>
      <c r="J684" s="24">
        <f>IF(AND(IF($H690&lt;&gt;"",$H690,$H684)="override",$I684&lt;&gt;""),$I684,SUMIFS(Assumptions!$K$4:$K$8,Assumptions!$J$4:$J$8,$C684))*Assumptions!$S$10</f>
        <v/>
      </c>
      <c r="K684" s="23" t="n"/>
      <c r="L684" s="25">
        <f>IF(AND(IF($H690&lt;&gt;"",$H690,$H684)="override",$K684&lt;&gt;""),$K684,SUMIFS(Assumptions!$P$4:$P$103,Assumptions!$M$4:$M$103,$C684,Assumptions!$N$4:$N$103,$E684,Assumptions!$O$4:$O$103,"LVN"))</f>
        <v/>
      </c>
      <c r="M684" s="23" t="n"/>
      <c r="N684" s="25">
        <f>IF(AND(IF($H690&lt;&gt;"",$H690,$H684)="override",$M684&lt;&gt;""),$M684,SUMIFS(Assumptions!$P$4:$P$103,Assumptions!$M$4:$M$103,$C684,Assumptions!$N$4:$N$103,$E684,Assumptions!$O$4:$O$103,"HVN"))</f>
        <v/>
      </c>
      <c r="O684" s="25">
        <f>(L684+N684)*Assumptions!$S$11</f>
        <v/>
      </c>
      <c r="P684" s="26">
        <f>$F684*$J684*$O684</f>
        <v/>
      </c>
    </row>
    <row r="685">
      <c r="A685" s="11" t="inlineStr">
        <is>
          <t>UNIT</t>
        </is>
      </c>
      <c r="B685" s="18" t="inlineStr">
        <is>
          <t>ALON_BIG_SPRINGS</t>
        </is>
      </c>
      <c r="C685" s="18" t="n">
        <v>3</v>
      </c>
      <c r="D685" s="18" t="inlineStr">
        <is>
          <t>VDU</t>
        </is>
      </c>
      <c r="E685" s="18" t="inlineStr">
        <is>
          <t>VDU</t>
        </is>
      </c>
      <c r="F685" s="19" t="n">
        <v>28</v>
      </c>
      <c r="G685" s="21">
        <f>IFERROR(IF(INDEX(Effective!$E$3:$R$125,MATCH($B685,Effective!$A$3:$A$125,0),MATCH($D685,Effective!$E$2:$R$2,0))=0,"",INDEX(Effective!$E$3:$R$125,MATCH($B685,Effective!$A$3:$A$125,0),MATCH($D685,Effective!$E$2:$R$2,0))),"")</f>
        <v/>
      </c>
      <c r="H685" s="22" t="inlineStr">
        <is>
          <t>override</t>
        </is>
      </c>
      <c r="I685" s="23" t="n">
        <v>0.719</v>
      </c>
      <c r="J685" s="24">
        <f>IF(AND(IF($H690&lt;&gt;"",$H690,$H685)="override",$I685&lt;&gt;""),$I685,SUMIFS(Assumptions!$K$4:$K$8,Assumptions!$J$4:$J$8,$C685))*Assumptions!$S$10</f>
        <v/>
      </c>
      <c r="K685" s="23" t="n"/>
      <c r="L685" s="25">
        <f>IF(AND(IF($H690&lt;&gt;"",$H690,$H685)="override",$K685&lt;&gt;""),$K685,SUMIFS(Assumptions!$P$4:$P$103,Assumptions!$M$4:$M$103,$C685,Assumptions!$N$4:$N$103,$E685,Assumptions!$O$4:$O$103,"LVN"))</f>
        <v/>
      </c>
      <c r="M685" s="23" t="n"/>
      <c r="N685" s="25">
        <f>IF(AND(IF($H690&lt;&gt;"",$H690,$H685)="override",$M685&lt;&gt;""),$M685,SUMIFS(Assumptions!$P$4:$P$103,Assumptions!$M$4:$M$103,$C685,Assumptions!$N$4:$N$103,$E685,Assumptions!$O$4:$O$103,"HVN"))</f>
        <v/>
      </c>
      <c r="O685" s="25">
        <f>(L685+N685)*Assumptions!$S$11</f>
        <v/>
      </c>
      <c r="P685" s="26">
        <f>$F685*$J685*$O685</f>
        <v/>
      </c>
    </row>
    <row r="686">
      <c r="A686" s="11" t="inlineStr">
        <is>
          <t>UNIT</t>
        </is>
      </c>
      <c r="B686" s="18" t="inlineStr">
        <is>
          <t>ALON_BIG_SPRINGS</t>
        </is>
      </c>
      <c r="C686" s="18" t="n">
        <v>3</v>
      </c>
      <c r="D686" s="18" t="inlineStr">
        <is>
          <t>FCC</t>
        </is>
      </c>
      <c r="E686" s="18" t="inlineStr">
        <is>
          <t>FCC</t>
        </is>
      </c>
      <c r="F686" s="19" t="n">
        <v>23.5</v>
      </c>
      <c r="G686" s="21">
        <f>IFERROR(IF(INDEX(Effective!$E$3:$R$125,MATCH($B686,Effective!$A$3:$A$125,0),MATCH($D686,Effective!$E$2:$R$2,0))=0,"",INDEX(Effective!$E$3:$R$125,MATCH($B686,Effective!$A$3:$A$125,0),MATCH($D686,Effective!$E$2:$R$2,0))),"")</f>
        <v/>
      </c>
      <c r="H686" s="22" t="inlineStr">
        <is>
          <t>override</t>
        </is>
      </c>
      <c r="I686" s="23" t="n">
        <v>0.775</v>
      </c>
      <c r="J686" s="24">
        <f>IF(AND(IF($H690&lt;&gt;"",$H690,$H686)="override",$I686&lt;&gt;""),$I686,SUMIFS(Assumptions!$K$4:$K$8,Assumptions!$J$4:$J$8,$C686))*Assumptions!$S$10</f>
        <v/>
      </c>
      <c r="K686" s="23" t="n"/>
      <c r="L686" s="25">
        <f>IF(AND(IF($H690&lt;&gt;"",$H690,$H686)="override",$K686&lt;&gt;""),$K686,SUMIFS(Assumptions!$P$4:$P$103,Assumptions!$M$4:$M$103,$C686,Assumptions!$N$4:$N$103,$E686,Assumptions!$O$4:$O$103,"LVN"))</f>
        <v/>
      </c>
      <c r="M686" s="23" t="n"/>
      <c r="N686" s="25">
        <f>IF(AND(IF($H690&lt;&gt;"",$H690,$H686)="override",$M686&lt;&gt;""),$M686,SUMIFS(Assumptions!$P$4:$P$103,Assumptions!$M$4:$M$103,$C686,Assumptions!$N$4:$N$103,$E686,Assumptions!$O$4:$O$103,"HVN"))</f>
        <v/>
      </c>
      <c r="O686" s="25">
        <f>(L686+N686)*Assumptions!$S$11</f>
        <v/>
      </c>
      <c r="P686" s="26">
        <f>$F686*$J686*$O686</f>
        <v/>
      </c>
    </row>
    <row r="687">
      <c r="A687" s="11" t="inlineStr">
        <is>
          <t>UNIT</t>
        </is>
      </c>
      <c r="B687" s="18" t="inlineStr">
        <is>
          <t>ALON_BIG_SPRINGS</t>
        </is>
      </c>
      <c r="C687" s="18" t="n">
        <v>3</v>
      </c>
      <c r="D687" s="18" t="inlineStr">
        <is>
          <t>CCR</t>
        </is>
      </c>
      <c r="E687" s="18" t="inlineStr">
        <is>
          <t>REFORMER</t>
        </is>
      </c>
      <c r="F687" s="19" t="n">
        <v>21.5</v>
      </c>
      <c r="G687" s="21">
        <f>IFERROR(IF(INDEX(Effective!$E$3:$R$125,MATCH($B687,Effective!$A$3:$A$125,0),MATCH($D687,Effective!$E$2:$R$2,0))=0,"",INDEX(Effective!$E$3:$R$125,MATCH($B687,Effective!$A$3:$A$125,0),MATCH($D687,Effective!$E$2:$R$2,0))),"")</f>
        <v/>
      </c>
      <c r="H687" s="22" t="inlineStr">
        <is>
          <t>override</t>
        </is>
      </c>
      <c r="I687" s="23" t="n">
        <v>0.977</v>
      </c>
      <c r="J687" s="24">
        <f>IF(AND(IF($H690&lt;&gt;"",$H690,$H687)="override",$I687&lt;&gt;""),$I687,SUMIFS(Assumptions!$K$4:$K$8,Assumptions!$J$4:$J$8,$C687))*Assumptions!$S$10</f>
        <v/>
      </c>
      <c r="K687" s="23" t="n"/>
      <c r="L687" s="25">
        <f>IF(AND(IF($H690&lt;&gt;"",$H690,$H687)="override",$K687&lt;&gt;""),$K687,SUMIFS(Assumptions!$P$4:$P$103,Assumptions!$M$4:$M$103,$C687,Assumptions!$N$4:$N$103,$E687,Assumptions!$O$4:$O$103,"LVN"))</f>
        <v/>
      </c>
      <c r="M687" s="23" t="n"/>
      <c r="N687" s="25">
        <f>IF(AND(IF($H690&lt;&gt;"",$H690,$H687)="override",$M687&lt;&gt;""),$M687,SUMIFS(Assumptions!$P$4:$P$103,Assumptions!$M$4:$M$103,$C687,Assumptions!$N$4:$N$103,$E687,Assumptions!$O$4:$O$103,"HVN"))</f>
        <v/>
      </c>
      <c r="O687" s="25">
        <f>(L687+N687)*Assumptions!$S$11</f>
        <v/>
      </c>
      <c r="P687" s="26">
        <f>$F687*$J687*$O687</f>
        <v/>
      </c>
    </row>
    <row r="688">
      <c r="A688" s="11" t="inlineStr">
        <is>
          <t>UNIT</t>
        </is>
      </c>
      <c r="B688" s="18" t="inlineStr">
        <is>
          <t>ALON_BIG_SPRINGS</t>
        </is>
      </c>
      <c r="C688" s="18" t="n">
        <v>3</v>
      </c>
      <c r="D688" s="18" t="inlineStr">
        <is>
          <t>ALKY</t>
        </is>
      </c>
      <c r="E688" s="18" t="inlineStr">
        <is>
          <t>ALKY</t>
        </is>
      </c>
      <c r="F688" s="19" t="n">
        <v>5</v>
      </c>
      <c r="G688" s="21">
        <f>IFERROR(IF(INDEX(Effective!$E$3:$R$125,MATCH($B688,Effective!$A$3:$A$125,0),MATCH($D688,Effective!$E$2:$R$2,0))=0,"",INDEX(Effective!$E$3:$R$125,MATCH($B688,Effective!$A$3:$A$125,0),MATCH($D688,Effective!$E$2:$R$2,0))),"")</f>
        <v/>
      </c>
      <c r="H688" s="22" t="inlineStr">
        <is>
          <t>override</t>
        </is>
      </c>
      <c r="I688" s="23" t="n">
        <v>0.861</v>
      </c>
      <c r="J688" s="24">
        <f>IF(AND(IF($H690&lt;&gt;"",$H690,$H688)="override",$I688&lt;&gt;""),$I688,SUMIFS(Assumptions!$K$4:$K$8,Assumptions!$J$4:$J$8,$C688))*Assumptions!$S$10</f>
        <v/>
      </c>
      <c r="K688" s="23" t="n"/>
      <c r="L688" s="25">
        <f>IF(AND(IF($H690&lt;&gt;"",$H690,$H688)="override",$K688&lt;&gt;""),$K688,SUMIFS(Assumptions!$P$4:$P$103,Assumptions!$M$4:$M$103,$C688,Assumptions!$N$4:$N$103,$E688,Assumptions!$O$4:$O$103,"LVN"))</f>
        <v/>
      </c>
      <c r="M688" s="23" t="n"/>
      <c r="N688" s="25">
        <f>IF(AND(IF($H690&lt;&gt;"",$H690,$H688)="override",$M688&lt;&gt;""),$M688,SUMIFS(Assumptions!$P$4:$P$103,Assumptions!$M$4:$M$103,$C688,Assumptions!$N$4:$N$103,$E688,Assumptions!$O$4:$O$103,"HVN"))</f>
        <v/>
      </c>
      <c r="O688" s="25">
        <f>(L688+N688)*Assumptions!$S$11</f>
        <v/>
      </c>
      <c r="P688" s="26">
        <f>$F688*$J688*$O688</f>
        <v/>
      </c>
    </row>
    <row r="689">
      <c r="A689" s="11" t="inlineStr">
        <is>
          <t>UNIT</t>
        </is>
      </c>
      <c r="B689" s="18" t="inlineStr">
        <is>
          <t>ALON_BIG_SPRINGS</t>
        </is>
      </c>
      <c r="C689" s="18" t="n">
        <v>3</v>
      </c>
      <c r="D689" s="18" t="inlineStr">
        <is>
          <t>NHT</t>
        </is>
      </c>
      <c r="E689" s="18" t="inlineStr">
        <is>
          <t>NHT</t>
        </is>
      </c>
      <c r="F689" s="19" t="n">
        <v>25.5</v>
      </c>
      <c r="G689" s="21">
        <f>IFERROR(IF(INDEX(Effective!$E$3:$R$125,MATCH($B689,Effective!$A$3:$A$125,0),MATCH($D689,Effective!$E$2:$R$2,0))=0,"",INDEX(Effective!$E$3:$R$125,MATCH($B689,Effective!$A$3:$A$125,0),MATCH($D689,Effective!$E$2:$R$2,0))),"")</f>
        <v/>
      </c>
      <c r="H689" s="22" t="inlineStr">
        <is>
          <t>override</t>
        </is>
      </c>
      <c r="I689" s="23" t="n">
        <v>0.986</v>
      </c>
      <c r="J689" s="24">
        <f>IF(AND(IF($H690&lt;&gt;"",$H690,$H689)="override",$I689&lt;&gt;""),$I689,SUMIFS(Assumptions!$K$4:$K$8,Assumptions!$J$4:$J$8,$C689))*Assumptions!$S$10</f>
        <v/>
      </c>
      <c r="K689" s="23" t="n"/>
      <c r="L689" s="25">
        <f>IF(AND(IF($H690&lt;&gt;"",$H690,$H689)="override",$K689&lt;&gt;""),$K689,SUMIFS(Assumptions!$P$4:$P$103,Assumptions!$M$4:$M$103,$C689,Assumptions!$N$4:$N$103,$E689,Assumptions!$O$4:$O$103,"LVN"))</f>
        <v/>
      </c>
      <c r="M689" s="23" t="n"/>
      <c r="N689" s="25">
        <f>IF(AND(IF($H690&lt;&gt;"",$H690,$H689)="override",$M689&lt;&gt;""),$M689,SUMIFS(Assumptions!$P$4:$P$103,Assumptions!$M$4:$M$103,$C689,Assumptions!$N$4:$N$103,$E689,Assumptions!$O$4:$O$103,"HVN"))</f>
        <v/>
      </c>
      <c r="O689" s="25">
        <f>(L689+N689)*Assumptions!$S$11</f>
        <v/>
      </c>
      <c r="P689" s="26">
        <f>$F689*$J689*$O689</f>
        <v/>
      </c>
    </row>
    <row r="690">
      <c r="A690" s="27" t="inlineStr">
        <is>
          <t>TOTAL</t>
        </is>
      </c>
      <c r="B690" s="28" t="inlineStr">
        <is>
          <t>ALON_BIG_SPRINGS</t>
        </is>
      </c>
      <c r="C690" s="28" t="n">
        <v>3</v>
      </c>
      <c r="D690" s="28" t="inlineStr">
        <is>
          <t>NET NAPHTHA</t>
        </is>
      </c>
      <c r="H690" s="22" t="n"/>
      <c r="P690" s="29">
        <f>SUM(P684:P689)</f>
        <v/>
      </c>
    </row>
    <row r="692" ht="20" customHeight="1">
      <c r="A692" s="8">
        <f>"  Buckeye Partners Corpus Christi  [BUCKEYE_CORPUS_CHRISTI]   —   Buckeye Partners (80%) / Trafigura (20%)   —   PADD 3   —   crude "&amp;TEXT(SUMIFS(Data!$G$3:$G$125,Data!$A$3:$A$125,"BUCKEYE_CORPUS_CHRISTI"),"#,##0")&amp;" kbd"</f>
        <v/>
      </c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</row>
    <row r="693">
      <c r="A693" s="11" t="inlineStr">
        <is>
          <t>UNIT</t>
        </is>
      </c>
      <c r="B693" s="18" t="inlineStr">
        <is>
          <t>BUCKEYE_CORPUS_CHRISTI</t>
        </is>
      </c>
      <c r="C693" s="18" t="n">
        <v>3</v>
      </c>
      <c r="D693" s="18" t="inlineStr">
        <is>
          <t>CDU</t>
        </is>
      </c>
      <c r="E693" s="18" t="inlineStr">
        <is>
          <t>CDU</t>
        </is>
      </c>
      <c r="F693" s="19" t="n">
        <v>65</v>
      </c>
      <c r="G693" s="21">
        <f>IFERROR(IF(INDEX(Effective!$E$3:$R$125,MATCH($B693,Effective!$A$3:$A$125,0),MATCH($D693,Effective!$E$2:$R$2,0))=0,"",INDEX(Effective!$E$3:$R$125,MATCH($B693,Effective!$A$3:$A$125,0),MATCH($D693,Effective!$E$2:$R$2,0))),"")</f>
        <v/>
      </c>
      <c r="H693" s="22" t="inlineStr">
        <is>
          <t>override</t>
        </is>
      </c>
      <c r="I693" s="23" t="n"/>
      <c r="J693" s="24">
        <f>IF(AND(IF($H694&lt;&gt;"",$H694,$H693)="override",$I693&lt;&gt;""),$I693,SUMIFS(Assumptions!$K$4:$K$8,Assumptions!$J$4:$J$8,$C693))*Assumptions!$S$10</f>
        <v/>
      </c>
      <c r="K693" s="23" t="n"/>
      <c r="L693" s="25">
        <f>IF(AND(IF($H694&lt;&gt;"",$H694,$H693)="override",$K693&lt;&gt;""),$K693,SUMIFS(Assumptions!$P$4:$P$103,Assumptions!$M$4:$M$103,$C693,Assumptions!$N$4:$N$103,$E693,Assumptions!$O$4:$O$103,"LVN"))</f>
        <v/>
      </c>
      <c r="M693" s="23" t="n"/>
      <c r="N693" s="25">
        <f>IF(AND(IF($H694&lt;&gt;"",$H694,$H693)="override",$M693&lt;&gt;""),$M693,SUMIFS(Assumptions!$P$4:$P$103,Assumptions!$M$4:$M$103,$C693,Assumptions!$N$4:$N$103,$E693,Assumptions!$O$4:$O$103,"HVN"))</f>
        <v/>
      </c>
      <c r="O693" s="25">
        <f>(L693+N693)*Assumptions!$S$11</f>
        <v/>
      </c>
      <c r="P693" s="26">
        <f>$F693*$J693*$O693</f>
        <v/>
      </c>
    </row>
    <row r="694">
      <c r="A694" s="27" t="inlineStr">
        <is>
          <t>TOTAL</t>
        </is>
      </c>
      <c r="B694" s="28" t="inlineStr">
        <is>
          <t>BUCKEYE_CORPUS_CHRISTI</t>
        </is>
      </c>
      <c r="C694" s="28" t="n">
        <v>3</v>
      </c>
      <c r="D694" s="28" t="inlineStr">
        <is>
          <t>NET NAPHTHA</t>
        </is>
      </c>
      <c r="H694" s="22" t="n"/>
      <c r="P694" s="29">
        <f>SUM(P693:P693)</f>
        <v/>
      </c>
    </row>
    <row r="696" ht="20" customHeight="1">
      <c r="A696" s="8">
        <f>"  Calumet Lubricants Co. Shreveport  [CALUMET_SHREVEPORT]   —   Calumet Lubricants Co.   —   PADD 3   —   crude "&amp;TEXT(SUMIFS(Data!$G$3:$G$125,Data!$A$3:$A$125,"CALUMET_SHREVEPORT"),"#,##0")&amp;" kbd"</f>
        <v/>
      </c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</row>
    <row r="697">
      <c r="A697" s="11" t="inlineStr">
        <is>
          <t>UNIT</t>
        </is>
      </c>
      <c r="B697" s="18" t="inlineStr">
        <is>
          <t>CALUMET_SHREVEPORT</t>
        </is>
      </c>
      <c r="C697" s="18" t="n">
        <v>3</v>
      </c>
      <c r="D697" s="18" t="inlineStr">
        <is>
          <t>CDU</t>
        </is>
      </c>
      <c r="E697" s="18" t="inlineStr">
        <is>
          <t>CDU</t>
        </is>
      </c>
      <c r="F697" s="19" t="n">
        <v>60</v>
      </c>
      <c r="G697" s="21">
        <f>IFERROR(IF(INDEX(Effective!$E$3:$R$125,MATCH($B697,Effective!$A$3:$A$125,0),MATCH($D697,Effective!$E$2:$R$2,0))=0,"",INDEX(Effective!$E$3:$R$125,MATCH($B697,Effective!$A$3:$A$125,0),MATCH($D697,Effective!$E$2:$R$2,0))),"")</f>
        <v/>
      </c>
      <c r="H697" s="22" t="inlineStr">
        <is>
          <t>override</t>
        </is>
      </c>
      <c r="I697" s="23" t="n">
        <v>0.666</v>
      </c>
      <c r="J697" s="24">
        <f>IF(AND(IF($H701&lt;&gt;"",$H701,$H697)="override",$I697&lt;&gt;""),$I697,SUMIFS(Assumptions!$K$4:$K$8,Assumptions!$J$4:$J$8,$C697))*Assumptions!$S$10</f>
        <v/>
      </c>
      <c r="K697" s="23" t="n"/>
      <c r="L697" s="25">
        <f>IF(AND(IF($H701&lt;&gt;"",$H701,$H697)="override",$K697&lt;&gt;""),$K697,SUMIFS(Assumptions!$P$4:$P$103,Assumptions!$M$4:$M$103,$C697,Assumptions!$N$4:$N$103,$E697,Assumptions!$O$4:$O$103,"LVN"))</f>
        <v/>
      </c>
      <c r="M697" s="23" t="n"/>
      <c r="N697" s="25">
        <f>IF(AND(IF($H701&lt;&gt;"",$H701,$H697)="override",$M697&lt;&gt;""),$M697,SUMIFS(Assumptions!$P$4:$P$103,Assumptions!$M$4:$M$103,$C697,Assumptions!$N$4:$N$103,$E697,Assumptions!$O$4:$O$103,"HVN"))</f>
        <v/>
      </c>
      <c r="O697" s="25">
        <f>(L697+N697)*Assumptions!$S$11</f>
        <v/>
      </c>
      <c r="P697" s="26">
        <f>$F697*$J697*$O697</f>
        <v/>
      </c>
    </row>
    <row r="698">
      <c r="A698" s="11" t="inlineStr">
        <is>
          <t>UNIT</t>
        </is>
      </c>
      <c r="B698" s="18" t="inlineStr">
        <is>
          <t>CALUMET_SHREVEPORT</t>
        </is>
      </c>
      <c r="C698" s="18" t="n">
        <v>3</v>
      </c>
      <c r="D698" s="18" t="inlineStr">
        <is>
          <t>VDU</t>
        </is>
      </c>
      <c r="E698" s="18" t="inlineStr">
        <is>
          <t>VDU</t>
        </is>
      </c>
      <c r="F698" s="19" t="n">
        <v>28</v>
      </c>
      <c r="G698" s="21">
        <f>IFERROR(IF(INDEX(Effective!$E$3:$R$125,MATCH($B698,Effective!$A$3:$A$125,0),MATCH($D698,Effective!$E$2:$R$2,0))=0,"",INDEX(Effective!$E$3:$R$125,MATCH($B698,Effective!$A$3:$A$125,0),MATCH($D698,Effective!$E$2:$R$2,0))),"")</f>
        <v/>
      </c>
      <c r="H698" s="22" t="inlineStr">
        <is>
          <t>override</t>
        </is>
      </c>
      <c r="I698" s="23" t="n">
        <v>0.456</v>
      </c>
      <c r="J698" s="24">
        <f>IF(AND(IF($H701&lt;&gt;"",$H701,$H698)="override",$I698&lt;&gt;""),$I698,SUMIFS(Assumptions!$K$4:$K$8,Assumptions!$J$4:$J$8,$C698))*Assumptions!$S$10</f>
        <v/>
      </c>
      <c r="K698" s="23" t="n"/>
      <c r="L698" s="25">
        <f>IF(AND(IF($H701&lt;&gt;"",$H701,$H698)="override",$K698&lt;&gt;""),$K698,SUMIFS(Assumptions!$P$4:$P$103,Assumptions!$M$4:$M$103,$C698,Assumptions!$N$4:$N$103,$E698,Assumptions!$O$4:$O$103,"LVN"))</f>
        <v/>
      </c>
      <c r="M698" s="23" t="n"/>
      <c r="N698" s="25">
        <f>IF(AND(IF($H701&lt;&gt;"",$H701,$H698)="override",$M698&lt;&gt;""),$M698,SUMIFS(Assumptions!$P$4:$P$103,Assumptions!$M$4:$M$103,$C698,Assumptions!$N$4:$N$103,$E698,Assumptions!$O$4:$O$103,"HVN"))</f>
        <v/>
      </c>
      <c r="O698" s="25">
        <f>(L698+N698)*Assumptions!$S$11</f>
        <v/>
      </c>
      <c r="P698" s="26">
        <f>$F698*$J698*$O698</f>
        <v/>
      </c>
    </row>
    <row r="699">
      <c r="A699" s="11" t="inlineStr">
        <is>
          <t>UNIT</t>
        </is>
      </c>
      <c r="B699" s="18" t="inlineStr">
        <is>
          <t>CALUMET_SHREVEPORT</t>
        </is>
      </c>
      <c r="C699" s="18" t="n">
        <v>3</v>
      </c>
      <c r="D699" s="18" t="inlineStr">
        <is>
          <t>CCR</t>
        </is>
      </c>
      <c r="E699" s="18" t="inlineStr">
        <is>
          <t>REFORMER</t>
        </is>
      </c>
      <c r="F699" s="19" t="n">
        <v>12</v>
      </c>
      <c r="G699" s="21">
        <f>IFERROR(IF(INDEX(Effective!$E$3:$R$125,MATCH($B699,Effective!$A$3:$A$125,0),MATCH($D699,Effective!$E$2:$R$2,0))=0,"",INDEX(Effective!$E$3:$R$125,MATCH($B699,Effective!$A$3:$A$125,0),MATCH($D699,Effective!$E$2:$R$2,0))),"")</f>
        <v/>
      </c>
      <c r="H699" s="22" t="inlineStr">
        <is>
          <t>override</t>
        </is>
      </c>
      <c r="I699" s="23" t="n"/>
      <c r="J699" s="24">
        <f>IF(AND(IF($H701&lt;&gt;"",$H701,$H699)="override",$I699&lt;&gt;""),$I699,SUMIFS(Assumptions!$K$4:$K$8,Assumptions!$J$4:$J$8,$C699))*Assumptions!$S$10</f>
        <v/>
      </c>
      <c r="K699" s="23" t="n"/>
      <c r="L699" s="25">
        <f>IF(AND(IF($H701&lt;&gt;"",$H701,$H699)="override",$K699&lt;&gt;""),$K699,SUMIFS(Assumptions!$P$4:$P$103,Assumptions!$M$4:$M$103,$C699,Assumptions!$N$4:$N$103,$E699,Assumptions!$O$4:$O$103,"LVN"))</f>
        <v/>
      </c>
      <c r="M699" s="23" t="n"/>
      <c r="N699" s="25">
        <f>IF(AND(IF($H701&lt;&gt;"",$H701,$H699)="override",$M699&lt;&gt;""),$M699,SUMIFS(Assumptions!$P$4:$P$103,Assumptions!$M$4:$M$103,$C699,Assumptions!$N$4:$N$103,$E699,Assumptions!$O$4:$O$103,"HVN"))</f>
        <v/>
      </c>
      <c r="O699" s="25">
        <f>(L699+N699)*Assumptions!$S$11</f>
        <v/>
      </c>
      <c r="P699" s="26">
        <f>$F699*$J699*$O699</f>
        <v/>
      </c>
    </row>
    <row r="700">
      <c r="A700" s="11" t="inlineStr">
        <is>
          <t>UNIT</t>
        </is>
      </c>
      <c r="B700" s="18" t="inlineStr">
        <is>
          <t>CALUMET_SHREVEPORT</t>
        </is>
      </c>
      <c r="C700" s="18" t="n">
        <v>3</v>
      </c>
      <c r="D700" s="18" t="inlineStr">
        <is>
          <t>NHT</t>
        </is>
      </c>
      <c r="E700" s="18" t="inlineStr">
        <is>
          <t>NHT</t>
        </is>
      </c>
      <c r="F700" s="19" t="n">
        <v>16</v>
      </c>
      <c r="G700" s="21">
        <f>IFERROR(IF(INDEX(Effective!$E$3:$R$125,MATCH($B700,Effective!$A$3:$A$125,0),MATCH($D700,Effective!$E$2:$R$2,0))=0,"",INDEX(Effective!$E$3:$R$125,MATCH($B700,Effective!$A$3:$A$125,0),MATCH($D700,Effective!$E$2:$R$2,0))),"")</f>
        <v/>
      </c>
      <c r="H700" s="22" t="inlineStr">
        <is>
          <t>override</t>
        </is>
      </c>
      <c r="I700" s="23" t="n">
        <v>0.964</v>
      </c>
      <c r="J700" s="24">
        <f>IF(AND(IF($H701&lt;&gt;"",$H701,$H700)="override",$I700&lt;&gt;""),$I700,SUMIFS(Assumptions!$K$4:$K$8,Assumptions!$J$4:$J$8,$C700))*Assumptions!$S$10</f>
        <v/>
      </c>
      <c r="K700" s="23" t="n"/>
      <c r="L700" s="25">
        <f>IF(AND(IF($H701&lt;&gt;"",$H701,$H700)="override",$K700&lt;&gt;""),$K700,SUMIFS(Assumptions!$P$4:$P$103,Assumptions!$M$4:$M$103,$C700,Assumptions!$N$4:$N$103,$E700,Assumptions!$O$4:$O$103,"LVN"))</f>
        <v/>
      </c>
      <c r="M700" s="23" t="n"/>
      <c r="N700" s="25">
        <f>IF(AND(IF($H701&lt;&gt;"",$H701,$H700)="override",$M700&lt;&gt;""),$M700,SUMIFS(Assumptions!$P$4:$P$103,Assumptions!$M$4:$M$103,$C700,Assumptions!$N$4:$N$103,$E700,Assumptions!$O$4:$O$103,"HVN"))</f>
        <v/>
      </c>
      <c r="O700" s="25">
        <f>(L700+N700)*Assumptions!$S$11</f>
        <v/>
      </c>
      <c r="P700" s="26">
        <f>$F700*$J700*$O700</f>
        <v/>
      </c>
    </row>
    <row r="701">
      <c r="A701" s="27" t="inlineStr">
        <is>
          <t>TOTAL</t>
        </is>
      </c>
      <c r="B701" s="28" t="inlineStr">
        <is>
          <t>CALUMET_SHREVEPORT</t>
        </is>
      </c>
      <c r="C701" s="28" t="n">
        <v>3</v>
      </c>
      <c r="D701" s="28" t="inlineStr">
        <is>
          <t>NET NAPHTHA</t>
        </is>
      </c>
      <c r="H701" s="22" t="n"/>
      <c r="P701" s="29">
        <f>SUM(P697:P700)</f>
        <v/>
      </c>
    </row>
    <row r="703" ht="20" customHeight="1">
      <c r="A703" s="8">
        <f>"  Marathon Petroleum Texas City (Galveston Bay)  [MARATHON_TEXAS_CITY_GALVESTON_BAY]   —   Marathon Petroleum   —   PADD 3   —   crude "&amp;TEXT(SUMIFS(Data!$G$3:$G$125,Data!$A$3:$A$125,"MARATHON_TEXAS_CITY_GALVESTON_BAY"),"#,##0")&amp;" kbd"</f>
        <v/>
      </c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</row>
    <row r="704">
      <c r="A704" s="11" t="inlineStr">
        <is>
          <t>UNIT</t>
        </is>
      </c>
      <c r="B704" s="18" t="inlineStr">
        <is>
          <t>MARATHON_TEXAS_CITY_GALVESTON_BAY</t>
        </is>
      </c>
      <c r="C704" s="18" t="n">
        <v>3</v>
      </c>
      <c r="D704" s="18" t="inlineStr">
        <is>
          <t>CRUDE-EST</t>
        </is>
      </c>
      <c r="E704" s="18" t="inlineStr">
        <is>
          <t>est. yield</t>
        </is>
      </c>
      <c r="F704" s="21">
        <f>SUMIFS(Data!$G$3:$G$125,Data!$A$3:$A$125,$B704)</f>
        <v/>
      </c>
      <c r="G704" s="21">
        <f>IFERROR(IF(INDEX(Effective!$E$3:$R$125,MATCH($B704,Effective!$A$3:$A$125,0),MATCH($D704,Effective!$E$2:$R$2,0))=0,"",INDEX(Effective!$E$3:$R$125,MATCH($B704,Effective!$A$3:$A$125,0),MATCH($D704,Effective!$E$2:$R$2,0))),"")</f>
        <v/>
      </c>
      <c r="H704" s="22" t="inlineStr">
        <is>
          <t>override</t>
        </is>
      </c>
      <c r="I704" s="23" t="n"/>
      <c r="J704" s="24">
        <f>IF(AND(IF($H705&lt;&gt;"",$H705,$H704)="override",$I704&lt;&gt;""),$I704,SUMIFS(Assumptions!$K$4:$K$8,Assumptions!$J$4:$J$8,$C704))*Assumptions!$S$10</f>
        <v/>
      </c>
      <c r="K704" s="23" t="n"/>
      <c r="L704" s="25">
        <f>IF(AND(IF($H705&lt;&gt;"",$H705,$H704)="override",$K704&lt;&gt;""),$K704,SUMIFS(Data!$N$3:$N$125,Data!$A$3:$A$125,$B704)*Assumptions!$S$4)</f>
        <v/>
      </c>
      <c r="M704" s="23" t="n"/>
      <c r="N704" s="25">
        <f>IF(AND(IF($H705&lt;&gt;"",$H705,$H704)="override",$M704&lt;&gt;""),$M704,SUMIFS(Data!$N$3:$N$125,Data!$A$3:$A$125,$B704)*Assumptions!$S$5)</f>
        <v/>
      </c>
      <c r="O704" s="25">
        <f>(L704+N704)*Assumptions!$S$11</f>
        <v/>
      </c>
      <c r="P704" s="26">
        <f>$F704*$J704*$O704</f>
        <v/>
      </c>
    </row>
    <row r="705">
      <c r="A705" s="27" t="inlineStr">
        <is>
          <t>TOTAL</t>
        </is>
      </c>
      <c r="B705" s="28" t="inlineStr">
        <is>
          <t>MARATHON_TEXAS_CITY_GALVESTON_BAY</t>
        </is>
      </c>
      <c r="C705" s="28" t="n">
        <v>3</v>
      </c>
      <c r="D705" s="28" t="inlineStr">
        <is>
          <t>NET NAPHTHA</t>
        </is>
      </c>
      <c r="H705" s="22" t="n"/>
      <c r="P705" s="29">
        <f>SUM(P704:P704)</f>
        <v/>
      </c>
    </row>
    <row r="707" ht="20" customHeight="1">
      <c r="A707" s="8">
        <f>"  Hunt Refining Consolidated Tuscaloosa  [HUNT_TUSCALOOSA]   —   Hunt Refining Consolidated   —   PADD 3   —   crude "&amp;TEXT(SUMIFS(Data!$G$3:$G$125,Data!$A$3:$A$125,"HUNT_TUSCALOOSA"),"#,##0")&amp;" kbd"</f>
        <v/>
      </c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</row>
    <row r="708">
      <c r="A708" s="11" t="inlineStr">
        <is>
          <t>UNIT</t>
        </is>
      </c>
      <c r="B708" s="18" t="inlineStr">
        <is>
          <t>HUNT_TUSCALOOSA</t>
        </is>
      </c>
      <c r="C708" s="18" t="n">
        <v>3</v>
      </c>
      <c r="D708" s="18" t="inlineStr">
        <is>
          <t>CDU</t>
        </is>
      </c>
      <c r="E708" s="18" t="inlineStr">
        <is>
          <t>CDU</t>
        </is>
      </c>
      <c r="F708" s="19" t="n">
        <v>50</v>
      </c>
      <c r="G708" s="21">
        <f>IFERROR(IF(INDEX(Effective!$E$3:$R$125,MATCH($B708,Effective!$A$3:$A$125,0),MATCH($D708,Effective!$E$2:$R$2,0))=0,"",INDEX(Effective!$E$3:$R$125,MATCH($B708,Effective!$A$3:$A$125,0),MATCH($D708,Effective!$E$2:$R$2,0))),"")</f>
        <v/>
      </c>
      <c r="H708" s="22" t="inlineStr">
        <is>
          <t>override</t>
        </is>
      </c>
      <c r="I708" s="23" t="n">
        <v>0.792</v>
      </c>
      <c r="J708" s="24">
        <f>IF(AND(IF($H715&lt;&gt;"",$H715,$H708)="override",$I708&lt;&gt;""),$I708,SUMIFS(Assumptions!$K$4:$K$8,Assumptions!$J$4:$J$8,$C708))*Assumptions!$S$10</f>
        <v/>
      </c>
      <c r="K708" s="23" t="n"/>
      <c r="L708" s="25">
        <f>IF(AND(IF($H715&lt;&gt;"",$H715,$H708)="override",$K708&lt;&gt;""),$K708,SUMIFS(Assumptions!$P$4:$P$103,Assumptions!$M$4:$M$103,$C708,Assumptions!$N$4:$N$103,$E708,Assumptions!$O$4:$O$103,"LVN"))</f>
        <v/>
      </c>
      <c r="M708" s="23" t="n"/>
      <c r="N708" s="25">
        <f>IF(AND(IF($H715&lt;&gt;"",$H715,$H708)="override",$M708&lt;&gt;""),$M708,SUMIFS(Assumptions!$P$4:$P$103,Assumptions!$M$4:$M$103,$C708,Assumptions!$N$4:$N$103,$E708,Assumptions!$O$4:$O$103,"HVN"))</f>
        <v/>
      </c>
      <c r="O708" s="25">
        <f>(L708+N708)*Assumptions!$S$11</f>
        <v/>
      </c>
      <c r="P708" s="26">
        <f>$F708*$J708*$O708</f>
        <v/>
      </c>
    </row>
    <row r="709">
      <c r="A709" s="11" t="inlineStr">
        <is>
          <t>UNIT</t>
        </is>
      </c>
      <c r="B709" s="18" t="inlineStr">
        <is>
          <t>HUNT_TUSCALOOSA</t>
        </is>
      </c>
      <c r="C709" s="18" t="n">
        <v>3</v>
      </c>
      <c r="D709" s="18" t="inlineStr">
        <is>
          <t>VDU</t>
        </is>
      </c>
      <c r="E709" s="18" t="inlineStr">
        <is>
          <t>VDU</t>
        </is>
      </c>
      <c r="F709" s="19" t="n">
        <v>25</v>
      </c>
      <c r="G709" s="21">
        <f>IFERROR(IF(INDEX(Effective!$E$3:$R$125,MATCH($B709,Effective!$A$3:$A$125,0),MATCH($D709,Effective!$E$2:$R$2,0))=0,"",INDEX(Effective!$E$3:$R$125,MATCH($B709,Effective!$A$3:$A$125,0),MATCH($D709,Effective!$E$2:$R$2,0))),"")</f>
        <v/>
      </c>
      <c r="H709" s="22" t="inlineStr">
        <is>
          <t>override</t>
        </is>
      </c>
      <c r="I709" s="23" t="n">
        <v>0.926</v>
      </c>
      <c r="J709" s="24">
        <f>IF(AND(IF($H715&lt;&gt;"",$H715,$H709)="override",$I709&lt;&gt;""),$I709,SUMIFS(Assumptions!$K$4:$K$8,Assumptions!$J$4:$J$8,$C709))*Assumptions!$S$10</f>
        <v/>
      </c>
      <c r="K709" s="23" t="n"/>
      <c r="L709" s="25">
        <f>IF(AND(IF($H715&lt;&gt;"",$H715,$H709)="override",$K709&lt;&gt;""),$K709,SUMIFS(Assumptions!$P$4:$P$103,Assumptions!$M$4:$M$103,$C709,Assumptions!$N$4:$N$103,$E709,Assumptions!$O$4:$O$103,"LVN"))</f>
        <v/>
      </c>
      <c r="M709" s="23" t="n"/>
      <c r="N709" s="25">
        <f>IF(AND(IF($H715&lt;&gt;"",$H715,$H709)="override",$M709&lt;&gt;""),$M709,SUMIFS(Assumptions!$P$4:$P$103,Assumptions!$M$4:$M$103,$C709,Assumptions!$N$4:$N$103,$E709,Assumptions!$O$4:$O$103,"HVN"))</f>
        <v/>
      </c>
      <c r="O709" s="25">
        <f>(L709+N709)*Assumptions!$S$11</f>
        <v/>
      </c>
      <c r="P709" s="26">
        <f>$F709*$J709*$O709</f>
        <v/>
      </c>
    </row>
    <row r="710">
      <c r="A710" s="11" t="inlineStr">
        <is>
          <t>UNIT</t>
        </is>
      </c>
      <c r="B710" s="18" t="inlineStr">
        <is>
          <t>HUNT_TUSCALOOSA</t>
        </is>
      </c>
      <c r="C710" s="18" t="n">
        <v>3</v>
      </c>
      <c r="D710" s="18" t="inlineStr">
        <is>
          <t>DHCU</t>
        </is>
      </c>
      <c r="E710" s="18" t="inlineStr">
        <is>
          <t>HYDROCRACKER</t>
        </is>
      </c>
      <c r="F710" s="19" t="n">
        <v>20.5</v>
      </c>
      <c r="G710" s="21">
        <f>IFERROR(IF(INDEX(Effective!$E$3:$R$125,MATCH($B710,Effective!$A$3:$A$125,0),MATCH($D710,Effective!$E$2:$R$2,0))=0,"",INDEX(Effective!$E$3:$R$125,MATCH($B710,Effective!$A$3:$A$125,0),MATCH($D710,Effective!$E$2:$R$2,0))),"")</f>
        <v/>
      </c>
      <c r="H710" s="22" t="inlineStr">
        <is>
          <t>override</t>
        </is>
      </c>
      <c r="I710" s="23" t="n">
        <v>0.602</v>
      </c>
      <c r="J710" s="24">
        <f>IF(AND(IF($H715&lt;&gt;"",$H715,$H710)="override",$I710&lt;&gt;""),$I710,SUMIFS(Assumptions!$K$4:$K$8,Assumptions!$J$4:$J$8,$C710))*Assumptions!$S$10</f>
        <v/>
      </c>
      <c r="K710" s="23" t="n"/>
      <c r="L710" s="25">
        <f>IF(AND(IF($H715&lt;&gt;"",$H715,$H710)="override",$K710&lt;&gt;""),$K710,SUMIFS(Assumptions!$P$4:$P$103,Assumptions!$M$4:$M$103,$C710,Assumptions!$N$4:$N$103,$E710,Assumptions!$O$4:$O$103,"LVN"))</f>
        <v/>
      </c>
      <c r="M710" s="23" t="n"/>
      <c r="N710" s="25">
        <f>IF(AND(IF($H715&lt;&gt;"",$H715,$H710)="override",$M710&lt;&gt;""),$M710,SUMIFS(Assumptions!$P$4:$P$103,Assumptions!$M$4:$M$103,$C710,Assumptions!$N$4:$N$103,$E710,Assumptions!$O$4:$O$103,"HVN"))</f>
        <v/>
      </c>
      <c r="O710" s="25">
        <f>(L710+N710)*Assumptions!$S$11</f>
        <v/>
      </c>
      <c r="P710" s="26">
        <f>$F710*$J710*$O710</f>
        <v/>
      </c>
    </row>
    <row r="711">
      <c r="A711" s="11" t="inlineStr">
        <is>
          <t>UNIT</t>
        </is>
      </c>
      <c r="B711" s="18" t="inlineStr">
        <is>
          <t>HUNT_TUSCALOOSA</t>
        </is>
      </c>
      <c r="C711" s="18" t="n">
        <v>3</v>
      </c>
      <c r="D711" s="18" t="inlineStr">
        <is>
          <t>COKER</t>
        </is>
      </c>
      <c r="E711" s="18" t="inlineStr">
        <is>
          <t>COKER</t>
        </is>
      </c>
      <c r="F711" s="19" t="n">
        <v>34</v>
      </c>
      <c r="G711" s="21">
        <f>IFERROR(IF(INDEX(Effective!$E$3:$R$125,MATCH($B711,Effective!$A$3:$A$125,0),MATCH($D711,Effective!$E$2:$R$2,0))=0,"",INDEX(Effective!$E$3:$R$125,MATCH($B711,Effective!$A$3:$A$125,0),MATCH($D711,Effective!$E$2:$R$2,0))),"")</f>
        <v/>
      </c>
      <c r="H711" s="22" t="inlineStr">
        <is>
          <t>override</t>
        </is>
      </c>
      <c r="I711" s="23" t="n">
        <v>0.144</v>
      </c>
      <c r="J711" s="24">
        <f>IF(AND(IF($H715&lt;&gt;"",$H715,$H711)="override",$I711&lt;&gt;""),$I711,SUMIFS(Assumptions!$K$4:$K$8,Assumptions!$J$4:$J$8,$C711))*Assumptions!$S$10</f>
        <v/>
      </c>
      <c r="K711" s="23" t="n"/>
      <c r="L711" s="25">
        <f>IF(AND(IF($H715&lt;&gt;"",$H715,$H711)="override",$K711&lt;&gt;""),$K711,SUMIFS(Assumptions!$P$4:$P$103,Assumptions!$M$4:$M$103,$C711,Assumptions!$N$4:$N$103,$E711,Assumptions!$O$4:$O$103,"LVN"))</f>
        <v/>
      </c>
      <c r="M711" s="23" t="n"/>
      <c r="N711" s="25">
        <f>IF(AND(IF($H715&lt;&gt;"",$H715,$H711)="override",$M711&lt;&gt;""),$M711,SUMIFS(Assumptions!$P$4:$P$103,Assumptions!$M$4:$M$103,$C711,Assumptions!$N$4:$N$103,$E711,Assumptions!$O$4:$O$103,"HVN"))</f>
        <v/>
      </c>
      <c r="O711" s="25">
        <f>(L711+N711)*Assumptions!$S$11</f>
        <v/>
      </c>
      <c r="P711" s="26">
        <f>$F711*$J711*$O711</f>
        <v/>
      </c>
    </row>
    <row r="712">
      <c r="A712" s="11" t="inlineStr">
        <is>
          <t>UNIT</t>
        </is>
      </c>
      <c r="B712" s="18" t="inlineStr">
        <is>
          <t>HUNT_TUSCALOOSA</t>
        </is>
      </c>
      <c r="C712" s="18" t="n">
        <v>3</v>
      </c>
      <c r="D712" s="18" t="inlineStr">
        <is>
          <t>CCR</t>
        </is>
      </c>
      <c r="E712" s="18" t="inlineStr">
        <is>
          <t>REFORMER</t>
        </is>
      </c>
      <c r="F712" s="19" t="n">
        <v>15.3</v>
      </c>
      <c r="G712" s="21">
        <f>IFERROR(IF(INDEX(Effective!$E$3:$R$125,MATCH($B712,Effective!$A$3:$A$125,0),MATCH($D712,Effective!$E$2:$R$2,0))=0,"",INDEX(Effective!$E$3:$R$125,MATCH($B712,Effective!$A$3:$A$125,0),MATCH($D712,Effective!$E$2:$R$2,0))),"")</f>
        <v/>
      </c>
      <c r="H712" s="22" t="inlineStr">
        <is>
          <t>override</t>
        </is>
      </c>
      <c r="I712" s="23" t="n">
        <v>0.375</v>
      </c>
      <c r="J712" s="24">
        <f>IF(AND(IF($H715&lt;&gt;"",$H715,$H712)="override",$I712&lt;&gt;""),$I712,SUMIFS(Assumptions!$K$4:$K$8,Assumptions!$J$4:$J$8,$C712))*Assumptions!$S$10</f>
        <v/>
      </c>
      <c r="K712" s="23" t="n"/>
      <c r="L712" s="25">
        <f>IF(AND(IF($H715&lt;&gt;"",$H715,$H712)="override",$K712&lt;&gt;""),$K712,SUMIFS(Assumptions!$P$4:$P$103,Assumptions!$M$4:$M$103,$C712,Assumptions!$N$4:$N$103,$E712,Assumptions!$O$4:$O$103,"LVN"))</f>
        <v/>
      </c>
      <c r="M712" s="23" t="n"/>
      <c r="N712" s="25">
        <f>IF(AND(IF($H715&lt;&gt;"",$H715,$H712)="override",$M712&lt;&gt;""),$M712,SUMIFS(Assumptions!$P$4:$P$103,Assumptions!$M$4:$M$103,$C712,Assumptions!$N$4:$N$103,$E712,Assumptions!$O$4:$O$103,"HVN"))</f>
        <v/>
      </c>
      <c r="O712" s="25">
        <f>(L712+N712)*Assumptions!$S$11</f>
        <v/>
      </c>
      <c r="P712" s="26">
        <f>$F712*$J712*$O712</f>
        <v/>
      </c>
    </row>
    <row r="713">
      <c r="A713" s="11" t="inlineStr">
        <is>
          <t>UNIT</t>
        </is>
      </c>
      <c r="B713" s="18" t="inlineStr">
        <is>
          <t>HUNT_TUSCALOOSA</t>
        </is>
      </c>
      <c r="C713" s="18" t="n">
        <v>3</v>
      </c>
      <c r="D713" s="18" t="inlineStr">
        <is>
          <t>ISOM</t>
        </is>
      </c>
      <c r="E713" s="18" t="inlineStr">
        <is>
          <t>ISOM</t>
        </is>
      </c>
      <c r="F713" s="19" t="n">
        <v>4.2</v>
      </c>
      <c r="G713" s="21">
        <f>IFERROR(IF(INDEX(Effective!$E$3:$R$125,MATCH($B713,Effective!$A$3:$A$125,0),MATCH($D713,Effective!$E$2:$R$2,0))=0,"",INDEX(Effective!$E$3:$R$125,MATCH($B713,Effective!$A$3:$A$125,0),MATCH($D713,Effective!$E$2:$R$2,0))),"")</f>
        <v/>
      </c>
      <c r="H713" s="22" t="inlineStr">
        <is>
          <t>override</t>
        </is>
      </c>
      <c r="I713" s="23" t="n">
        <v>0.761</v>
      </c>
      <c r="J713" s="24">
        <f>IF(AND(IF($H715&lt;&gt;"",$H715,$H713)="override",$I713&lt;&gt;""),$I713,SUMIFS(Assumptions!$K$4:$K$8,Assumptions!$J$4:$J$8,$C713))*Assumptions!$S$10</f>
        <v/>
      </c>
      <c r="K713" s="23" t="n"/>
      <c r="L713" s="25">
        <f>IF(AND(IF($H715&lt;&gt;"",$H715,$H713)="override",$K713&lt;&gt;""),$K713,SUMIFS(Assumptions!$P$4:$P$103,Assumptions!$M$4:$M$103,$C713,Assumptions!$N$4:$N$103,$E713,Assumptions!$O$4:$O$103,"LVN"))</f>
        <v/>
      </c>
      <c r="M713" s="23" t="n"/>
      <c r="N713" s="25">
        <f>IF(AND(IF($H715&lt;&gt;"",$H715,$H713)="override",$M713&lt;&gt;""),$M713,SUMIFS(Assumptions!$P$4:$P$103,Assumptions!$M$4:$M$103,$C713,Assumptions!$N$4:$N$103,$E713,Assumptions!$O$4:$O$103,"HVN"))</f>
        <v/>
      </c>
      <c r="O713" s="25">
        <f>(L713+N713)*Assumptions!$S$11</f>
        <v/>
      </c>
      <c r="P713" s="26">
        <f>$F713*$J713*$O713</f>
        <v/>
      </c>
    </row>
    <row r="714">
      <c r="A714" s="11" t="inlineStr">
        <is>
          <t>UNIT</t>
        </is>
      </c>
      <c r="B714" s="18" t="inlineStr">
        <is>
          <t>HUNT_TUSCALOOSA</t>
        </is>
      </c>
      <c r="C714" s="18" t="n">
        <v>3</v>
      </c>
      <c r="D714" s="18" t="inlineStr">
        <is>
          <t>NHT</t>
        </is>
      </c>
      <c r="E714" s="18" t="inlineStr">
        <is>
          <t>NHT</t>
        </is>
      </c>
      <c r="F714" s="19" t="n">
        <v>12.1</v>
      </c>
      <c r="G714" s="21">
        <f>IFERROR(IF(INDEX(Effective!$E$3:$R$125,MATCH($B714,Effective!$A$3:$A$125,0),MATCH($D714,Effective!$E$2:$R$2,0))=0,"",INDEX(Effective!$E$3:$R$125,MATCH($B714,Effective!$A$3:$A$125,0),MATCH($D714,Effective!$E$2:$R$2,0))),"")</f>
        <v/>
      </c>
      <c r="H714" s="22" t="inlineStr">
        <is>
          <t>override</t>
        </is>
      </c>
      <c r="I714" s="23" t="n">
        <v>0.352</v>
      </c>
      <c r="J714" s="24">
        <f>IF(AND(IF($H715&lt;&gt;"",$H715,$H714)="override",$I714&lt;&gt;""),$I714,SUMIFS(Assumptions!$K$4:$K$8,Assumptions!$J$4:$J$8,$C714))*Assumptions!$S$10</f>
        <v/>
      </c>
      <c r="K714" s="23" t="n"/>
      <c r="L714" s="25">
        <f>IF(AND(IF($H715&lt;&gt;"",$H715,$H714)="override",$K714&lt;&gt;""),$K714,SUMIFS(Assumptions!$P$4:$P$103,Assumptions!$M$4:$M$103,$C714,Assumptions!$N$4:$N$103,$E714,Assumptions!$O$4:$O$103,"LVN"))</f>
        <v/>
      </c>
      <c r="M714" s="23" t="n"/>
      <c r="N714" s="25">
        <f>IF(AND(IF($H715&lt;&gt;"",$H715,$H714)="override",$M714&lt;&gt;""),$M714,SUMIFS(Assumptions!$P$4:$P$103,Assumptions!$M$4:$M$103,$C714,Assumptions!$N$4:$N$103,$E714,Assumptions!$O$4:$O$103,"HVN"))</f>
        <v/>
      </c>
      <c r="O714" s="25">
        <f>(L714+N714)*Assumptions!$S$11</f>
        <v/>
      </c>
      <c r="P714" s="26">
        <f>$F714*$J714*$O714</f>
        <v/>
      </c>
    </row>
    <row r="715">
      <c r="A715" s="27" t="inlineStr">
        <is>
          <t>TOTAL</t>
        </is>
      </c>
      <c r="B715" s="28" t="inlineStr">
        <is>
          <t>HUNT_TUSCALOOSA</t>
        </is>
      </c>
      <c r="C715" s="28" t="n">
        <v>3</v>
      </c>
      <c r="D715" s="28" t="inlineStr">
        <is>
          <t>NET NAPHTHA</t>
        </is>
      </c>
      <c r="H715" s="22" t="n"/>
      <c r="P715" s="29">
        <f>SUM(P708:P714)</f>
        <v/>
      </c>
    </row>
    <row r="717" ht="20" customHeight="1">
      <c r="A717" s="8">
        <f>"  Ergon Vicksburg  [ERGON_VICKSBURG]   —   Ergon   —   PADD 3   —   crude "&amp;TEXT(SUMIFS(Data!$G$3:$G$125,Data!$A$3:$A$125,"ERGON_VICKSBURG"),"#,##0")&amp;" kbd"</f>
        <v/>
      </c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</row>
    <row r="718">
      <c r="A718" s="11" t="inlineStr">
        <is>
          <t>UNIT</t>
        </is>
      </c>
      <c r="B718" s="18" t="inlineStr">
        <is>
          <t>ERGON_VICKSBURG</t>
        </is>
      </c>
      <c r="C718" s="18" t="n">
        <v>3</v>
      </c>
      <c r="D718" s="18" t="inlineStr">
        <is>
          <t>CDU</t>
        </is>
      </c>
      <c r="E718" s="18" t="inlineStr">
        <is>
          <t>CDU</t>
        </is>
      </c>
      <c r="F718" s="19" t="n">
        <v>27.3</v>
      </c>
      <c r="G718" s="21">
        <f>IFERROR(IF(INDEX(Effective!$E$3:$R$125,MATCH($B718,Effective!$A$3:$A$125,0),MATCH($D718,Effective!$E$2:$R$2,0))=0,"",INDEX(Effective!$E$3:$R$125,MATCH($B718,Effective!$A$3:$A$125,0),MATCH($D718,Effective!$E$2:$R$2,0))),"")</f>
        <v/>
      </c>
      <c r="H718" s="22" t="inlineStr">
        <is>
          <t>override</t>
        </is>
      </c>
      <c r="I718" s="23" t="n"/>
      <c r="J718" s="24">
        <f>IF(AND(IF($H721&lt;&gt;"",$H721,$H718)="override",$I718&lt;&gt;""),$I718,SUMIFS(Assumptions!$K$4:$K$8,Assumptions!$J$4:$J$8,$C718))*Assumptions!$S$10</f>
        <v/>
      </c>
      <c r="K718" s="23" t="n"/>
      <c r="L718" s="25">
        <f>IF(AND(IF($H721&lt;&gt;"",$H721,$H718)="override",$K718&lt;&gt;""),$K718,SUMIFS(Assumptions!$P$4:$P$103,Assumptions!$M$4:$M$103,$C718,Assumptions!$N$4:$N$103,$E718,Assumptions!$O$4:$O$103,"LVN"))</f>
        <v/>
      </c>
      <c r="M718" s="23" t="n"/>
      <c r="N718" s="25">
        <f>IF(AND(IF($H721&lt;&gt;"",$H721,$H718)="override",$M718&lt;&gt;""),$M718,SUMIFS(Assumptions!$P$4:$P$103,Assumptions!$M$4:$M$103,$C718,Assumptions!$N$4:$N$103,$E718,Assumptions!$O$4:$O$103,"HVN"))</f>
        <v/>
      </c>
      <c r="O718" s="25">
        <f>(L718+N718)*Assumptions!$S$11</f>
        <v/>
      </c>
      <c r="P718" s="26">
        <f>$F718*$J718*$O718</f>
        <v/>
      </c>
    </row>
    <row r="719">
      <c r="A719" s="11" t="inlineStr">
        <is>
          <t>UNIT</t>
        </is>
      </c>
      <c r="B719" s="18" t="inlineStr">
        <is>
          <t>ERGON_VICKSBURG</t>
        </is>
      </c>
      <c r="C719" s="18" t="n">
        <v>3</v>
      </c>
      <c r="D719" s="18" t="inlineStr">
        <is>
          <t>VDU</t>
        </is>
      </c>
      <c r="E719" s="18" t="inlineStr">
        <is>
          <t>VDU</t>
        </is>
      </c>
      <c r="F719" s="19" t="n">
        <v>18</v>
      </c>
      <c r="G719" s="21">
        <f>IFERROR(IF(INDEX(Effective!$E$3:$R$125,MATCH($B719,Effective!$A$3:$A$125,0),MATCH($D719,Effective!$E$2:$R$2,0))=0,"",INDEX(Effective!$E$3:$R$125,MATCH($B719,Effective!$A$3:$A$125,0),MATCH($D719,Effective!$E$2:$R$2,0))),"")</f>
        <v/>
      </c>
      <c r="H719" s="22" t="inlineStr">
        <is>
          <t>override</t>
        </is>
      </c>
      <c r="I719" s="23" t="n"/>
      <c r="J719" s="24">
        <f>IF(AND(IF($H721&lt;&gt;"",$H721,$H719)="override",$I719&lt;&gt;""),$I719,SUMIFS(Assumptions!$K$4:$K$8,Assumptions!$J$4:$J$8,$C719))*Assumptions!$S$10</f>
        <v/>
      </c>
      <c r="K719" s="23" t="n"/>
      <c r="L719" s="25">
        <f>IF(AND(IF($H721&lt;&gt;"",$H721,$H719)="override",$K719&lt;&gt;""),$K719,SUMIFS(Assumptions!$P$4:$P$103,Assumptions!$M$4:$M$103,$C719,Assumptions!$N$4:$N$103,$E719,Assumptions!$O$4:$O$103,"LVN"))</f>
        <v/>
      </c>
      <c r="M719" s="23" t="n"/>
      <c r="N719" s="25">
        <f>IF(AND(IF($H721&lt;&gt;"",$H721,$H719)="override",$M719&lt;&gt;""),$M719,SUMIFS(Assumptions!$P$4:$P$103,Assumptions!$M$4:$M$103,$C719,Assumptions!$N$4:$N$103,$E719,Assumptions!$O$4:$O$103,"HVN"))</f>
        <v/>
      </c>
      <c r="O719" s="25">
        <f>(L719+N719)*Assumptions!$S$11</f>
        <v/>
      </c>
      <c r="P719" s="26">
        <f>$F719*$J719*$O719</f>
        <v/>
      </c>
    </row>
    <row r="720">
      <c r="A720" s="11" t="inlineStr">
        <is>
          <t>UNIT</t>
        </is>
      </c>
      <c r="B720" s="18" t="inlineStr">
        <is>
          <t>ERGON_VICKSBURG</t>
        </is>
      </c>
      <c r="C720" s="18" t="n">
        <v>3</v>
      </c>
      <c r="D720" s="18" t="inlineStr">
        <is>
          <t>NHT</t>
        </is>
      </c>
      <c r="E720" s="18" t="inlineStr">
        <is>
          <t>NHT</t>
        </is>
      </c>
      <c r="F720" s="19" t="n">
        <v>20.5</v>
      </c>
      <c r="G720" s="21">
        <f>IFERROR(IF(INDEX(Effective!$E$3:$R$125,MATCH($B720,Effective!$A$3:$A$125,0),MATCH($D720,Effective!$E$2:$R$2,0))=0,"",INDEX(Effective!$E$3:$R$125,MATCH($B720,Effective!$A$3:$A$125,0),MATCH($D720,Effective!$E$2:$R$2,0))),"")</f>
        <v/>
      </c>
      <c r="H720" s="22" t="inlineStr">
        <is>
          <t>override</t>
        </is>
      </c>
      <c r="I720" s="23" t="n"/>
      <c r="J720" s="24">
        <f>IF(AND(IF($H721&lt;&gt;"",$H721,$H720)="override",$I720&lt;&gt;""),$I720,SUMIFS(Assumptions!$K$4:$K$8,Assumptions!$J$4:$J$8,$C720))*Assumptions!$S$10</f>
        <v/>
      </c>
      <c r="K720" s="23" t="n"/>
      <c r="L720" s="25">
        <f>IF(AND(IF($H721&lt;&gt;"",$H721,$H720)="override",$K720&lt;&gt;""),$K720,SUMIFS(Assumptions!$P$4:$P$103,Assumptions!$M$4:$M$103,$C720,Assumptions!$N$4:$N$103,$E720,Assumptions!$O$4:$O$103,"LVN"))</f>
        <v/>
      </c>
      <c r="M720" s="23" t="n"/>
      <c r="N720" s="25">
        <f>IF(AND(IF($H721&lt;&gt;"",$H721,$H720)="override",$M720&lt;&gt;""),$M720,SUMIFS(Assumptions!$P$4:$P$103,Assumptions!$M$4:$M$103,$C720,Assumptions!$N$4:$N$103,$E720,Assumptions!$O$4:$O$103,"HVN"))</f>
        <v/>
      </c>
      <c r="O720" s="25">
        <f>(L720+N720)*Assumptions!$S$11</f>
        <v/>
      </c>
      <c r="P720" s="26">
        <f>$F720*$J720*$O720</f>
        <v/>
      </c>
    </row>
    <row r="721">
      <c r="A721" s="27" t="inlineStr">
        <is>
          <t>TOTAL</t>
        </is>
      </c>
      <c r="B721" s="28" t="inlineStr">
        <is>
          <t>ERGON_VICKSBURG</t>
        </is>
      </c>
      <c r="C721" s="28" t="n">
        <v>3</v>
      </c>
      <c r="D721" s="28" t="inlineStr">
        <is>
          <t>NET NAPHTHA</t>
        </is>
      </c>
      <c r="H721" s="22" t="n"/>
      <c r="P721" s="29">
        <f>SUM(P718:P720)</f>
        <v/>
      </c>
    </row>
    <row r="723" ht="20" customHeight="1">
      <c r="A723" s="8">
        <f>"  Lazarus Energy San Antonio  [LAZARUS_SAN_ANTONIO]   —   Starlight Relativity Acquisition Co. LLC   —   PADD 3   —   crude "&amp;TEXT(SUMIFS(Data!$G$3:$G$125,Data!$A$3:$A$125,"LAZARUS_SAN_ANTONIO"),"#,##0")&amp;" kbd"</f>
        <v/>
      </c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</row>
    <row r="724">
      <c r="A724" s="11" t="inlineStr">
        <is>
          <t>UNIT</t>
        </is>
      </c>
      <c r="B724" s="18" t="inlineStr">
        <is>
          <t>LAZARUS_SAN_ANTONIO</t>
        </is>
      </c>
      <c r="C724" s="18" t="n">
        <v>3</v>
      </c>
      <c r="D724" s="18" t="inlineStr">
        <is>
          <t>CDU</t>
        </is>
      </c>
      <c r="E724" s="18" t="inlineStr">
        <is>
          <t>CDU</t>
        </is>
      </c>
      <c r="F724" s="19" t="n">
        <v>21</v>
      </c>
      <c r="G724" s="21">
        <f>IFERROR(IF(INDEX(Effective!$E$3:$R$125,MATCH($B724,Effective!$A$3:$A$125,0),MATCH($D724,Effective!$E$2:$R$2,0))=0,"",INDEX(Effective!$E$3:$R$125,MATCH($B724,Effective!$A$3:$A$125,0),MATCH($D724,Effective!$E$2:$R$2,0))),"")</f>
        <v/>
      </c>
      <c r="H724" s="22" t="inlineStr">
        <is>
          <t>override</t>
        </is>
      </c>
      <c r="I724" s="23" t="n"/>
      <c r="J724" s="24">
        <f>IF(AND(IF($H727&lt;&gt;"",$H727,$H724)="override",$I724&lt;&gt;""),$I724,SUMIFS(Assumptions!$K$4:$K$8,Assumptions!$J$4:$J$8,$C724))*Assumptions!$S$10</f>
        <v/>
      </c>
      <c r="K724" s="23" t="n"/>
      <c r="L724" s="25">
        <f>IF(AND(IF($H727&lt;&gt;"",$H727,$H724)="override",$K724&lt;&gt;""),$K724,SUMIFS(Assumptions!$P$4:$P$103,Assumptions!$M$4:$M$103,$C724,Assumptions!$N$4:$N$103,$E724,Assumptions!$O$4:$O$103,"LVN"))</f>
        <v/>
      </c>
      <c r="M724" s="23" t="n"/>
      <c r="N724" s="25">
        <f>IF(AND(IF($H727&lt;&gt;"",$H727,$H724)="override",$M724&lt;&gt;""),$M724,SUMIFS(Assumptions!$P$4:$P$103,Assumptions!$M$4:$M$103,$C724,Assumptions!$N$4:$N$103,$E724,Assumptions!$O$4:$O$103,"HVN"))</f>
        <v/>
      </c>
      <c r="O724" s="25">
        <f>(L724+N724)*Assumptions!$S$11</f>
        <v/>
      </c>
      <c r="P724" s="26">
        <f>$F724*$J724*$O724</f>
        <v/>
      </c>
    </row>
    <row r="725">
      <c r="A725" s="11" t="inlineStr">
        <is>
          <t>UNIT</t>
        </is>
      </c>
      <c r="B725" s="18" t="inlineStr">
        <is>
          <t>LAZARUS_SAN_ANTONIO</t>
        </is>
      </c>
      <c r="C725" s="18" t="n">
        <v>3</v>
      </c>
      <c r="D725" s="18" t="inlineStr">
        <is>
          <t>REF</t>
        </is>
      </c>
      <c r="E725" s="18" t="inlineStr">
        <is>
          <t>REFORMER</t>
        </is>
      </c>
      <c r="F725" s="19" t="n">
        <v>6</v>
      </c>
      <c r="G725" s="21">
        <f>IFERROR(IF(INDEX(Effective!$E$3:$R$125,MATCH($B725,Effective!$A$3:$A$125,0),MATCH($D725,Effective!$E$2:$R$2,0))=0,"",INDEX(Effective!$E$3:$R$125,MATCH($B725,Effective!$A$3:$A$125,0),MATCH($D725,Effective!$E$2:$R$2,0))),"")</f>
        <v/>
      </c>
      <c r="H725" s="22" t="inlineStr">
        <is>
          <t>override</t>
        </is>
      </c>
      <c r="I725" s="23" t="n"/>
      <c r="J725" s="24">
        <f>IF(AND(IF($H727&lt;&gt;"",$H727,$H725)="override",$I725&lt;&gt;""),$I725,SUMIFS(Assumptions!$K$4:$K$8,Assumptions!$J$4:$J$8,$C725))*Assumptions!$S$10</f>
        <v/>
      </c>
      <c r="K725" s="23" t="n"/>
      <c r="L725" s="25">
        <f>IF(AND(IF($H727&lt;&gt;"",$H727,$H725)="override",$K725&lt;&gt;""),$K725,SUMIFS(Assumptions!$P$4:$P$103,Assumptions!$M$4:$M$103,$C725,Assumptions!$N$4:$N$103,$E725,Assumptions!$O$4:$O$103,"LVN"))</f>
        <v/>
      </c>
      <c r="M725" s="23" t="n"/>
      <c r="N725" s="25">
        <f>IF(AND(IF($H727&lt;&gt;"",$H727,$H725)="override",$M725&lt;&gt;""),$M725,SUMIFS(Assumptions!$P$4:$P$103,Assumptions!$M$4:$M$103,$C725,Assumptions!$N$4:$N$103,$E725,Assumptions!$O$4:$O$103,"HVN"))</f>
        <v/>
      </c>
      <c r="O725" s="25">
        <f>(L725+N725)*Assumptions!$S$11</f>
        <v/>
      </c>
      <c r="P725" s="26">
        <f>$F725*$J725*$O725</f>
        <v/>
      </c>
    </row>
    <row r="726">
      <c r="A726" s="11" t="inlineStr">
        <is>
          <t>UNIT</t>
        </is>
      </c>
      <c r="B726" s="18" t="inlineStr">
        <is>
          <t>LAZARUS_SAN_ANTONIO</t>
        </is>
      </c>
      <c r="C726" s="18" t="n">
        <v>3</v>
      </c>
      <c r="D726" s="18" t="inlineStr">
        <is>
          <t>NHT</t>
        </is>
      </c>
      <c r="E726" s="18" t="inlineStr">
        <is>
          <t>NHT</t>
        </is>
      </c>
      <c r="F726" s="19" t="n">
        <v>7</v>
      </c>
      <c r="G726" s="21">
        <f>IFERROR(IF(INDEX(Effective!$E$3:$R$125,MATCH($B726,Effective!$A$3:$A$125,0),MATCH($D726,Effective!$E$2:$R$2,0))=0,"",INDEX(Effective!$E$3:$R$125,MATCH($B726,Effective!$A$3:$A$125,0),MATCH($D726,Effective!$E$2:$R$2,0))),"")</f>
        <v/>
      </c>
      <c r="H726" s="22" t="inlineStr">
        <is>
          <t>override</t>
        </is>
      </c>
      <c r="I726" s="23" t="n"/>
      <c r="J726" s="24">
        <f>IF(AND(IF($H727&lt;&gt;"",$H727,$H726)="override",$I726&lt;&gt;""),$I726,SUMIFS(Assumptions!$K$4:$K$8,Assumptions!$J$4:$J$8,$C726))*Assumptions!$S$10</f>
        <v/>
      </c>
      <c r="K726" s="23" t="n"/>
      <c r="L726" s="25">
        <f>IF(AND(IF($H727&lt;&gt;"",$H727,$H726)="override",$K726&lt;&gt;""),$K726,SUMIFS(Assumptions!$P$4:$P$103,Assumptions!$M$4:$M$103,$C726,Assumptions!$N$4:$N$103,$E726,Assumptions!$O$4:$O$103,"LVN"))</f>
        <v/>
      </c>
      <c r="M726" s="23" t="n"/>
      <c r="N726" s="25">
        <f>IF(AND(IF($H727&lt;&gt;"",$H727,$H726)="override",$M726&lt;&gt;""),$M726,SUMIFS(Assumptions!$P$4:$P$103,Assumptions!$M$4:$M$103,$C726,Assumptions!$N$4:$N$103,$E726,Assumptions!$O$4:$O$103,"HVN"))</f>
        <v/>
      </c>
      <c r="O726" s="25">
        <f>(L726+N726)*Assumptions!$S$11</f>
        <v/>
      </c>
      <c r="P726" s="26">
        <f>$F726*$J726*$O726</f>
        <v/>
      </c>
    </row>
    <row r="727">
      <c r="A727" s="27" t="inlineStr">
        <is>
          <t>TOTAL</t>
        </is>
      </c>
      <c r="B727" s="28" t="inlineStr">
        <is>
          <t>LAZARUS_SAN_ANTONIO</t>
        </is>
      </c>
      <c r="C727" s="28" t="n">
        <v>3</v>
      </c>
      <c r="D727" s="28" t="inlineStr">
        <is>
          <t>NET NAPHTHA</t>
        </is>
      </c>
      <c r="H727" s="22" t="n"/>
      <c r="P727" s="29">
        <f>SUM(P724:P726)</f>
        <v/>
      </c>
    </row>
    <row r="729" ht="20" customHeight="1">
      <c r="A729" s="8">
        <f>"  Blue Dolphin Energy Nixon  [BLUE_NIXON]   —   Blue Dolphin Energy   —   PADD 3   —   crude "&amp;TEXT(SUMIFS(Data!$G$3:$G$125,Data!$A$3:$A$125,"BLUE_NIXON"),"#,##0")&amp;" kbd"</f>
        <v/>
      </c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</row>
    <row r="730">
      <c r="A730" s="11" t="inlineStr">
        <is>
          <t>UNIT</t>
        </is>
      </c>
      <c r="B730" s="18" t="inlineStr">
        <is>
          <t>BLUE_NIXON</t>
        </is>
      </c>
      <c r="C730" s="18" t="n">
        <v>3</v>
      </c>
      <c r="D730" s="18" t="inlineStr">
        <is>
          <t>CDU</t>
        </is>
      </c>
      <c r="E730" s="18" t="inlineStr">
        <is>
          <t>CDU</t>
        </is>
      </c>
      <c r="F730" s="19" t="n">
        <v>15</v>
      </c>
      <c r="G730" s="21">
        <f>IFERROR(IF(INDEX(Effective!$E$3:$R$125,MATCH($B730,Effective!$A$3:$A$125,0),MATCH($D730,Effective!$E$2:$R$2,0))=0,"",INDEX(Effective!$E$3:$R$125,MATCH($B730,Effective!$A$3:$A$125,0),MATCH($D730,Effective!$E$2:$R$2,0))),"")</f>
        <v/>
      </c>
      <c r="H730" s="22" t="inlineStr">
        <is>
          <t>override</t>
        </is>
      </c>
      <c r="I730" s="23" t="n"/>
      <c r="J730" s="24">
        <f>IF(AND(IF($H731&lt;&gt;"",$H731,$H730)="override",$I730&lt;&gt;""),$I730,SUMIFS(Assumptions!$K$4:$K$8,Assumptions!$J$4:$J$8,$C730))*Assumptions!$S$10</f>
        <v/>
      </c>
      <c r="K730" s="23" t="n"/>
      <c r="L730" s="25">
        <f>IF(AND(IF($H731&lt;&gt;"",$H731,$H730)="override",$K730&lt;&gt;""),$K730,SUMIFS(Assumptions!$P$4:$P$103,Assumptions!$M$4:$M$103,$C730,Assumptions!$N$4:$N$103,$E730,Assumptions!$O$4:$O$103,"LVN"))</f>
        <v/>
      </c>
      <c r="M730" s="23" t="n"/>
      <c r="N730" s="25">
        <f>IF(AND(IF($H731&lt;&gt;"",$H731,$H730)="override",$M730&lt;&gt;""),$M730,SUMIFS(Assumptions!$P$4:$P$103,Assumptions!$M$4:$M$103,$C730,Assumptions!$N$4:$N$103,$E730,Assumptions!$O$4:$O$103,"HVN"))</f>
        <v/>
      </c>
      <c r="O730" s="25">
        <f>(L730+N730)*Assumptions!$S$11</f>
        <v/>
      </c>
      <c r="P730" s="26">
        <f>$F730*$J730*$O730</f>
        <v/>
      </c>
    </row>
    <row r="731">
      <c r="A731" s="27" t="inlineStr">
        <is>
          <t>TOTAL</t>
        </is>
      </c>
      <c r="B731" s="28" t="inlineStr">
        <is>
          <t>BLUE_NIXON</t>
        </is>
      </c>
      <c r="C731" s="28" t="n">
        <v>3</v>
      </c>
      <c r="D731" s="28" t="inlineStr">
        <is>
          <t>NET NAPHTHA</t>
        </is>
      </c>
      <c r="H731" s="22" t="n"/>
      <c r="P731" s="29">
        <f>SUM(P730:P730)</f>
        <v/>
      </c>
    </row>
    <row r="733" ht="20" customHeight="1">
      <c r="A733" s="8">
        <f>"  Calumet Lubricants Co. Cotton Valley  [CALUMET_COTTON_VALLEY]   —   Calumet Lubricants Co.   —   PADD 3   —   crude "&amp;TEXT(SUMIFS(Data!$G$3:$G$125,Data!$A$3:$A$125,"CALUMET_COTTON_VALLEY"),"#,##0")&amp;" kbd"</f>
        <v/>
      </c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</row>
    <row r="734">
      <c r="A734" s="11" t="inlineStr">
        <is>
          <t>UNIT</t>
        </is>
      </c>
      <c r="B734" s="18" t="inlineStr">
        <is>
          <t>CALUMET_COTTON_VALLEY</t>
        </is>
      </c>
      <c r="C734" s="18" t="n">
        <v>3</v>
      </c>
      <c r="D734" s="18" t="inlineStr">
        <is>
          <t>CDU</t>
        </is>
      </c>
      <c r="E734" s="18" t="inlineStr">
        <is>
          <t>CDU</t>
        </is>
      </c>
      <c r="F734" s="19" t="n">
        <v>14</v>
      </c>
      <c r="G734" s="21">
        <f>IFERROR(IF(INDEX(Effective!$E$3:$R$125,MATCH($B734,Effective!$A$3:$A$125,0),MATCH($D734,Effective!$E$2:$R$2,0))=0,"",INDEX(Effective!$E$3:$R$125,MATCH($B734,Effective!$A$3:$A$125,0),MATCH($D734,Effective!$E$2:$R$2,0))),"")</f>
        <v/>
      </c>
      <c r="H734" s="22" t="inlineStr">
        <is>
          <t>override</t>
        </is>
      </c>
      <c r="I734" s="23" t="n"/>
      <c r="J734" s="24">
        <f>IF(AND(IF($H737&lt;&gt;"",$H737,$H734)="override",$I734&lt;&gt;""),$I734,SUMIFS(Assumptions!$K$4:$K$8,Assumptions!$J$4:$J$8,$C734))*Assumptions!$S$10</f>
        <v/>
      </c>
      <c r="K734" s="23" t="n"/>
      <c r="L734" s="25">
        <f>IF(AND(IF($H737&lt;&gt;"",$H737,$H734)="override",$K734&lt;&gt;""),$K734,SUMIFS(Assumptions!$P$4:$P$103,Assumptions!$M$4:$M$103,$C734,Assumptions!$N$4:$N$103,$E734,Assumptions!$O$4:$O$103,"LVN"))</f>
        <v/>
      </c>
      <c r="M734" s="23" t="n"/>
      <c r="N734" s="25">
        <f>IF(AND(IF($H737&lt;&gt;"",$H737,$H734)="override",$M734&lt;&gt;""),$M734,SUMIFS(Assumptions!$P$4:$P$103,Assumptions!$M$4:$M$103,$C734,Assumptions!$N$4:$N$103,$E734,Assumptions!$O$4:$O$103,"HVN"))</f>
        <v/>
      </c>
      <c r="O734" s="25">
        <f>(L734+N734)*Assumptions!$S$11</f>
        <v/>
      </c>
      <c r="P734" s="26">
        <f>$F734*$J734*$O734</f>
        <v/>
      </c>
    </row>
    <row r="735">
      <c r="A735" s="11" t="inlineStr">
        <is>
          <t>UNIT</t>
        </is>
      </c>
      <c r="B735" s="18" t="inlineStr">
        <is>
          <t>CALUMET_COTTON_VALLEY</t>
        </is>
      </c>
      <c r="C735" s="18" t="n">
        <v>3</v>
      </c>
      <c r="D735" s="18" t="inlineStr">
        <is>
          <t>ISOM</t>
        </is>
      </c>
      <c r="E735" s="18" t="inlineStr">
        <is>
          <t>ISOM</t>
        </is>
      </c>
      <c r="F735" s="19" t="n">
        <v>0.5</v>
      </c>
      <c r="G735" s="21">
        <f>IFERROR(IF(INDEX(Effective!$E$3:$R$125,MATCH($B735,Effective!$A$3:$A$125,0),MATCH($D735,Effective!$E$2:$R$2,0))=0,"",INDEX(Effective!$E$3:$R$125,MATCH($B735,Effective!$A$3:$A$125,0),MATCH($D735,Effective!$E$2:$R$2,0))),"")</f>
        <v/>
      </c>
      <c r="H735" s="22" t="inlineStr">
        <is>
          <t>override</t>
        </is>
      </c>
      <c r="I735" s="23" t="n"/>
      <c r="J735" s="24">
        <f>IF(AND(IF($H737&lt;&gt;"",$H737,$H735)="override",$I735&lt;&gt;""),$I735,SUMIFS(Assumptions!$K$4:$K$8,Assumptions!$J$4:$J$8,$C735))*Assumptions!$S$10</f>
        <v/>
      </c>
      <c r="K735" s="23" t="n"/>
      <c r="L735" s="25">
        <f>IF(AND(IF($H737&lt;&gt;"",$H737,$H735)="override",$K735&lt;&gt;""),$K735,SUMIFS(Assumptions!$P$4:$P$103,Assumptions!$M$4:$M$103,$C735,Assumptions!$N$4:$N$103,$E735,Assumptions!$O$4:$O$103,"LVN"))</f>
        <v/>
      </c>
      <c r="M735" s="23" t="n"/>
      <c r="N735" s="25">
        <f>IF(AND(IF($H737&lt;&gt;"",$H737,$H735)="override",$M735&lt;&gt;""),$M735,SUMIFS(Assumptions!$P$4:$P$103,Assumptions!$M$4:$M$103,$C735,Assumptions!$N$4:$N$103,$E735,Assumptions!$O$4:$O$103,"HVN"))</f>
        <v/>
      </c>
      <c r="O735" s="25">
        <f>(L735+N735)*Assumptions!$S$11</f>
        <v/>
      </c>
      <c r="P735" s="26">
        <f>$F735*$J735*$O735</f>
        <v/>
      </c>
    </row>
    <row r="736">
      <c r="A736" s="11" t="inlineStr">
        <is>
          <t>UNIT</t>
        </is>
      </c>
      <c r="B736" s="18" t="inlineStr">
        <is>
          <t>CALUMET_COTTON_VALLEY</t>
        </is>
      </c>
      <c r="C736" s="18" t="n">
        <v>3</v>
      </c>
      <c r="D736" s="18" t="inlineStr">
        <is>
          <t>NHT</t>
        </is>
      </c>
      <c r="E736" s="18" t="inlineStr">
        <is>
          <t>NHT</t>
        </is>
      </c>
      <c r="F736" s="19" t="n">
        <v>6.5</v>
      </c>
      <c r="G736" s="21">
        <f>IFERROR(IF(INDEX(Effective!$E$3:$R$125,MATCH($B736,Effective!$A$3:$A$125,0),MATCH($D736,Effective!$E$2:$R$2,0))=0,"",INDEX(Effective!$E$3:$R$125,MATCH($B736,Effective!$A$3:$A$125,0),MATCH($D736,Effective!$E$2:$R$2,0))),"")</f>
        <v/>
      </c>
      <c r="H736" s="22" t="inlineStr">
        <is>
          <t>override</t>
        </is>
      </c>
      <c r="I736" s="23" t="n"/>
      <c r="J736" s="24">
        <f>IF(AND(IF($H737&lt;&gt;"",$H737,$H736)="override",$I736&lt;&gt;""),$I736,SUMIFS(Assumptions!$K$4:$K$8,Assumptions!$J$4:$J$8,$C736))*Assumptions!$S$10</f>
        <v/>
      </c>
      <c r="K736" s="23" t="n"/>
      <c r="L736" s="25">
        <f>IF(AND(IF($H737&lt;&gt;"",$H737,$H736)="override",$K736&lt;&gt;""),$K736,SUMIFS(Assumptions!$P$4:$P$103,Assumptions!$M$4:$M$103,$C736,Assumptions!$N$4:$N$103,$E736,Assumptions!$O$4:$O$103,"LVN"))</f>
        <v/>
      </c>
      <c r="M736" s="23" t="n"/>
      <c r="N736" s="25">
        <f>IF(AND(IF($H737&lt;&gt;"",$H737,$H736)="override",$M736&lt;&gt;""),$M736,SUMIFS(Assumptions!$P$4:$P$103,Assumptions!$M$4:$M$103,$C736,Assumptions!$N$4:$N$103,$E736,Assumptions!$O$4:$O$103,"HVN"))</f>
        <v/>
      </c>
      <c r="O736" s="25">
        <f>(L736+N736)*Assumptions!$S$11</f>
        <v/>
      </c>
      <c r="P736" s="26">
        <f>$F736*$J736*$O736</f>
        <v/>
      </c>
    </row>
    <row r="737">
      <c r="A737" s="27" t="inlineStr">
        <is>
          <t>TOTAL</t>
        </is>
      </c>
      <c r="B737" s="28" t="inlineStr">
        <is>
          <t>CALUMET_COTTON_VALLEY</t>
        </is>
      </c>
      <c r="C737" s="28" t="n">
        <v>3</v>
      </c>
      <c r="D737" s="28" t="inlineStr">
        <is>
          <t>NET NAPHTHA</t>
        </is>
      </c>
      <c r="H737" s="22" t="n"/>
      <c r="P737" s="29">
        <f>SUM(P734:P736)</f>
        <v/>
      </c>
    </row>
    <row r="739" ht="20" customHeight="1">
      <c r="A739" s="8">
        <f>"  Hunt Refining Consolidated Sandersville  [HUNT_SANDERSVILLE]   —   Hunt Refining Consolidated   —   PADD 3   —   crude "&amp;TEXT(SUMIFS(Data!$G$3:$G$125,Data!$A$3:$A$125,"HUNT_SANDERSVILLE"),"#,##0")&amp;" kbd"</f>
        <v/>
      </c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</row>
    <row r="740">
      <c r="A740" s="11" t="inlineStr">
        <is>
          <t>UNIT</t>
        </is>
      </c>
      <c r="B740" s="18" t="inlineStr">
        <is>
          <t>HUNT_SANDERSVILLE</t>
        </is>
      </c>
      <c r="C740" s="18" t="n">
        <v>3</v>
      </c>
      <c r="D740" s="18" t="inlineStr">
        <is>
          <t>CDU</t>
        </is>
      </c>
      <c r="E740" s="18" t="inlineStr">
        <is>
          <t>CDU</t>
        </is>
      </c>
      <c r="F740" s="19" t="n">
        <v>12.5</v>
      </c>
      <c r="G740" s="21">
        <f>IFERROR(IF(INDEX(Effective!$E$3:$R$125,MATCH($B740,Effective!$A$3:$A$125,0),MATCH($D740,Effective!$E$2:$R$2,0))=0,"",INDEX(Effective!$E$3:$R$125,MATCH($B740,Effective!$A$3:$A$125,0),MATCH($D740,Effective!$E$2:$R$2,0))),"")</f>
        <v/>
      </c>
      <c r="H740" s="22" t="inlineStr">
        <is>
          <t>override</t>
        </is>
      </c>
      <c r="I740" s="23" t="n"/>
      <c r="J740" s="24">
        <f>IF(AND(IF($H742&lt;&gt;"",$H742,$H740)="override",$I740&lt;&gt;""),$I740,SUMIFS(Assumptions!$K$4:$K$8,Assumptions!$J$4:$J$8,$C740))*Assumptions!$S$10</f>
        <v/>
      </c>
      <c r="K740" s="23" t="n"/>
      <c r="L740" s="25">
        <f>IF(AND(IF($H742&lt;&gt;"",$H742,$H740)="override",$K740&lt;&gt;""),$K740,SUMIFS(Assumptions!$P$4:$P$103,Assumptions!$M$4:$M$103,$C740,Assumptions!$N$4:$N$103,$E740,Assumptions!$O$4:$O$103,"LVN"))</f>
        <v/>
      </c>
      <c r="M740" s="23" t="n"/>
      <c r="N740" s="25">
        <f>IF(AND(IF($H742&lt;&gt;"",$H742,$H740)="override",$M740&lt;&gt;""),$M740,SUMIFS(Assumptions!$P$4:$P$103,Assumptions!$M$4:$M$103,$C740,Assumptions!$N$4:$N$103,$E740,Assumptions!$O$4:$O$103,"HVN"))</f>
        <v/>
      </c>
      <c r="O740" s="25">
        <f>(L740+N740)*Assumptions!$S$11</f>
        <v/>
      </c>
      <c r="P740" s="26">
        <f>$F740*$J740*$O740</f>
        <v/>
      </c>
    </row>
    <row r="741">
      <c r="A741" s="11" t="inlineStr">
        <is>
          <t>UNIT</t>
        </is>
      </c>
      <c r="B741" s="18" t="inlineStr">
        <is>
          <t>HUNT_SANDERSVILLE</t>
        </is>
      </c>
      <c r="C741" s="18" t="n">
        <v>3</v>
      </c>
      <c r="D741" s="18" t="inlineStr">
        <is>
          <t>VDU</t>
        </is>
      </c>
      <c r="E741" s="18" t="inlineStr">
        <is>
          <t>VDU</t>
        </is>
      </c>
      <c r="F741" s="19" t="n">
        <v>6.88</v>
      </c>
      <c r="G741" s="21">
        <f>IFERROR(IF(INDEX(Effective!$E$3:$R$125,MATCH($B741,Effective!$A$3:$A$125,0),MATCH($D741,Effective!$E$2:$R$2,0))=0,"",INDEX(Effective!$E$3:$R$125,MATCH($B741,Effective!$A$3:$A$125,0),MATCH($D741,Effective!$E$2:$R$2,0))),"")</f>
        <v/>
      </c>
      <c r="H741" s="22" t="inlineStr">
        <is>
          <t>override</t>
        </is>
      </c>
      <c r="I741" s="23" t="n"/>
      <c r="J741" s="24">
        <f>IF(AND(IF($H742&lt;&gt;"",$H742,$H741)="override",$I741&lt;&gt;""),$I741,SUMIFS(Assumptions!$K$4:$K$8,Assumptions!$J$4:$J$8,$C741))*Assumptions!$S$10</f>
        <v/>
      </c>
      <c r="K741" s="23" t="n"/>
      <c r="L741" s="25">
        <f>IF(AND(IF($H742&lt;&gt;"",$H742,$H741)="override",$K741&lt;&gt;""),$K741,SUMIFS(Assumptions!$P$4:$P$103,Assumptions!$M$4:$M$103,$C741,Assumptions!$N$4:$N$103,$E741,Assumptions!$O$4:$O$103,"LVN"))</f>
        <v/>
      </c>
      <c r="M741" s="23" t="n"/>
      <c r="N741" s="25">
        <f>IF(AND(IF($H742&lt;&gt;"",$H742,$H741)="override",$M741&lt;&gt;""),$M741,SUMIFS(Assumptions!$P$4:$P$103,Assumptions!$M$4:$M$103,$C741,Assumptions!$N$4:$N$103,$E741,Assumptions!$O$4:$O$103,"HVN"))</f>
        <v/>
      </c>
      <c r="O741" s="25">
        <f>(L741+N741)*Assumptions!$S$11</f>
        <v/>
      </c>
      <c r="P741" s="26">
        <f>$F741*$J741*$O741</f>
        <v/>
      </c>
    </row>
    <row r="742">
      <c r="A742" s="27" t="inlineStr">
        <is>
          <t>TOTAL</t>
        </is>
      </c>
      <c r="B742" s="28" t="inlineStr">
        <is>
          <t>HUNT_SANDERSVILLE</t>
        </is>
      </c>
      <c r="C742" s="28" t="n">
        <v>3</v>
      </c>
      <c r="D742" s="28" t="inlineStr">
        <is>
          <t>NET NAPHTHA</t>
        </is>
      </c>
      <c r="H742" s="22" t="n"/>
      <c r="P742" s="29">
        <f>SUM(P740:P741)</f>
        <v/>
      </c>
    </row>
    <row r="744" ht="20" customHeight="1">
      <c r="A744" s="8">
        <f>"  Calumet Lubricants Co. Princeton  [CALUMET_PRINCETON]   —   Calumet Lubricants Co.   —   PADD 3   —   crude "&amp;TEXT(SUMIFS(Data!$G$3:$G$125,Data!$A$3:$A$125,"CALUMET_PRINCETON"),"#,##0")&amp;" kbd"</f>
        <v/>
      </c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</row>
    <row r="745">
      <c r="A745" s="11" t="inlineStr">
        <is>
          <t>UNIT</t>
        </is>
      </c>
      <c r="B745" s="18" t="inlineStr">
        <is>
          <t>CALUMET_PRINCETON</t>
        </is>
      </c>
      <c r="C745" s="18" t="n">
        <v>3</v>
      </c>
      <c r="D745" s="18" t="inlineStr">
        <is>
          <t>CDU</t>
        </is>
      </c>
      <c r="E745" s="18" t="inlineStr">
        <is>
          <t>CDU</t>
        </is>
      </c>
      <c r="F745" s="19" t="n">
        <v>8.65</v>
      </c>
      <c r="G745" s="21">
        <f>IFERROR(IF(INDEX(Effective!$E$3:$R$125,MATCH($B745,Effective!$A$3:$A$125,0),MATCH($D745,Effective!$E$2:$R$2,0))=0,"",INDEX(Effective!$E$3:$R$125,MATCH($B745,Effective!$A$3:$A$125,0),MATCH($D745,Effective!$E$2:$R$2,0))),"")</f>
        <v/>
      </c>
      <c r="H745" s="22" t="inlineStr">
        <is>
          <t>override</t>
        </is>
      </c>
      <c r="I745" s="23" t="n"/>
      <c r="J745" s="24">
        <f>IF(AND(IF($H747&lt;&gt;"",$H747,$H745)="override",$I745&lt;&gt;""),$I745,SUMIFS(Assumptions!$K$4:$K$8,Assumptions!$J$4:$J$8,$C745))*Assumptions!$S$10</f>
        <v/>
      </c>
      <c r="K745" s="23" t="n"/>
      <c r="L745" s="25">
        <f>IF(AND(IF($H747&lt;&gt;"",$H747,$H745)="override",$K745&lt;&gt;""),$K745,SUMIFS(Assumptions!$P$4:$P$103,Assumptions!$M$4:$M$103,$C745,Assumptions!$N$4:$N$103,$E745,Assumptions!$O$4:$O$103,"LVN"))</f>
        <v/>
      </c>
      <c r="M745" s="23" t="n"/>
      <c r="N745" s="25">
        <f>IF(AND(IF($H747&lt;&gt;"",$H747,$H745)="override",$M745&lt;&gt;""),$M745,SUMIFS(Assumptions!$P$4:$P$103,Assumptions!$M$4:$M$103,$C745,Assumptions!$N$4:$N$103,$E745,Assumptions!$O$4:$O$103,"HVN"))</f>
        <v/>
      </c>
      <c r="O745" s="25">
        <f>(L745+N745)*Assumptions!$S$11</f>
        <v/>
      </c>
      <c r="P745" s="26">
        <f>$F745*$J745*$O745</f>
        <v/>
      </c>
    </row>
    <row r="746">
      <c r="A746" s="11" t="inlineStr">
        <is>
          <t>UNIT</t>
        </is>
      </c>
      <c r="B746" s="18" t="inlineStr">
        <is>
          <t>CALUMET_PRINCETON</t>
        </is>
      </c>
      <c r="C746" s="18" t="n">
        <v>3</v>
      </c>
      <c r="D746" s="18" t="inlineStr">
        <is>
          <t>VDU</t>
        </is>
      </c>
      <c r="E746" s="18" t="inlineStr">
        <is>
          <t>VDU</t>
        </is>
      </c>
      <c r="F746" s="19" t="n">
        <v>7</v>
      </c>
      <c r="G746" s="21">
        <f>IFERROR(IF(INDEX(Effective!$E$3:$R$125,MATCH($B746,Effective!$A$3:$A$125,0),MATCH($D746,Effective!$E$2:$R$2,0))=0,"",INDEX(Effective!$E$3:$R$125,MATCH($B746,Effective!$A$3:$A$125,0),MATCH($D746,Effective!$E$2:$R$2,0))),"")</f>
        <v/>
      </c>
      <c r="H746" s="22" t="inlineStr">
        <is>
          <t>override</t>
        </is>
      </c>
      <c r="I746" s="23" t="n"/>
      <c r="J746" s="24">
        <f>IF(AND(IF($H747&lt;&gt;"",$H747,$H746)="override",$I746&lt;&gt;""),$I746,SUMIFS(Assumptions!$K$4:$K$8,Assumptions!$J$4:$J$8,$C746))*Assumptions!$S$10</f>
        <v/>
      </c>
      <c r="K746" s="23" t="n"/>
      <c r="L746" s="25">
        <f>IF(AND(IF($H747&lt;&gt;"",$H747,$H746)="override",$K746&lt;&gt;""),$K746,SUMIFS(Assumptions!$P$4:$P$103,Assumptions!$M$4:$M$103,$C746,Assumptions!$N$4:$N$103,$E746,Assumptions!$O$4:$O$103,"LVN"))</f>
        <v/>
      </c>
      <c r="M746" s="23" t="n"/>
      <c r="N746" s="25">
        <f>IF(AND(IF($H747&lt;&gt;"",$H747,$H746)="override",$M746&lt;&gt;""),$M746,SUMIFS(Assumptions!$P$4:$P$103,Assumptions!$M$4:$M$103,$C746,Assumptions!$N$4:$N$103,$E746,Assumptions!$O$4:$O$103,"HVN"))</f>
        <v/>
      </c>
      <c r="O746" s="25">
        <f>(L746+N746)*Assumptions!$S$11</f>
        <v/>
      </c>
      <c r="P746" s="26">
        <f>$F746*$J746*$O746</f>
        <v/>
      </c>
    </row>
    <row r="747">
      <c r="A747" s="27" t="inlineStr">
        <is>
          <t>TOTAL</t>
        </is>
      </c>
      <c r="B747" s="28" t="inlineStr">
        <is>
          <t>CALUMET_PRINCETON</t>
        </is>
      </c>
      <c r="C747" s="28" t="n">
        <v>3</v>
      </c>
      <c r="D747" s="28" t="inlineStr">
        <is>
          <t>NET NAPHTHA</t>
        </is>
      </c>
      <c r="H747" s="22" t="n"/>
      <c r="P747" s="29">
        <f>SUM(P745:P746)</f>
        <v/>
      </c>
    </row>
    <row r="749" ht="20" customHeight="1">
      <c r="A749" s="8">
        <f>"  Cross Oil and Ref.Co. Smackover  [CROSS_SMACKOVER]   —   Cross Oil and Ref.Co.   —   PADD 3   —   crude "&amp;TEXT(SUMIFS(Data!$G$3:$G$125,Data!$A$3:$A$125,"CROSS_SMACKOVER"),"#,##0")&amp;" kbd"</f>
        <v/>
      </c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</row>
    <row r="750">
      <c r="A750" s="11" t="inlineStr">
        <is>
          <t>UNIT</t>
        </is>
      </c>
      <c r="B750" s="18" t="inlineStr">
        <is>
          <t>CROSS_SMACKOVER</t>
        </is>
      </c>
      <c r="C750" s="18" t="n">
        <v>3</v>
      </c>
      <c r="D750" s="18" t="inlineStr">
        <is>
          <t>CDU</t>
        </is>
      </c>
      <c r="E750" s="18" t="inlineStr">
        <is>
          <t>CDU</t>
        </is>
      </c>
      <c r="F750" s="19" t="n">
        <v>7.7</v>
      </c>
      <c r="G750" s="21">
        <f>IFERROR(IF(INDEX(Effective!$E$3:$R$125,MATCH($B750,Effective!$A$3:$A$125,0),MATCH($D750,Effective!$E$2:$R$2,0))=0,"",INDEX(Effective!$E$3:$R$125,MATCH($B750,Effective!$A$3:$A$125,0),MATCH($D750,Effective!$E$2:$R$2,0))),"")</f>
        <v/>
      </c>
      <c r="H750" s="22" t="inlineStr">
        <is>
          <t>override</t>
        </is>
      </c>
      <c r="I750" s="23" t="n"/>
      <c r="J750" s="24">
        <f>IF(AND(IF($H752&lt;&gt;"",$H752,$H750)="override",$I750&lt;&gt;""),$I750,SUMIFS(Assumptions!$K$4:$K$8,Assumptions!$J$4:$J$8,$C750))*Assumptions!$S$10</f>
        <v/>
      </c>
      <c r="K750" s="23" t="n"/>
      <c r="L750" s="25">
        <f>IF(AND(IF($H752&lt;&gt;"",$H752,$H750)="override",$K750&lt;&gt;""),$K750,SUMIFS(Assumptions!$P$4:$P$103,Assumptions!$M$4:$M$103,$C750,Assumptions!$N$4:$N$103,$E750,Assumptions!$O$4:$O$103,"LVN"))</f>
        <v/>
      </c>
      <c r="M750" s="23" t="n"/>
      <c r="N750" s="25">
        <f>IF(AND(IF($H752&lt;&gt;"",$H752,$H750)="override",$M750&lt;&gt;""),$M750,SUMIFS(Assumptions!$P$4:$P$103,Assumptions!$M$4:$M$103,$C750,Assumptions!$N$4:$N$103,$E750,Assumptions!$O$4:$O$103,"HVN"))</f>
        <v/>
      </c>
      <c r="O750" s="25">
        <f>(L750+N750)*Assumptions!$S$11</f>
        <v/>
      </c>
      <c r="P750" s="26">
        <f>$F750*$J750*$O750</f>
        <v/>
      </c>
    </row>
    <row r="751">
      <c r="A751" s="11" t="inlineStr">
        <is>
          <t>UNIT</t>
        </is>
      </c>
      <c r="B751" s="18" t="inlineStr">
        <is>
          <t>CROSS_SMACKOVER</t>
        </is>
      </c>
      <c r="C751" s="18" t="n">
        <v>3</v>
      </c>
      <c r="D751" s="18" t="inlineStr">
        <is>
          <t>VDU</t>
        </is>
      </c>
      <c r="E751" s="18" t="inlineStr">
        <is>
          <t>VDU</t>
        </is>
      </c>
      <c r="F751" s="19" t="n">
        <v>3.85</v>
      </c>
      <c r="G751" s="21">
        <f>IFERROR(IF(INDEX(Effective!$E$3:$R$125,MATCH($B751,Effective!$A$3:$A$125,0),MATCH($D751,Effective!$E$2:$R$2,0))=0,"",INDEX(Effective!$E$3:$R$125,MATCH($B751,Effective!$A$3:$A$125,0),MATCH($D751,Effective!$E$2:$R$2,0))),"")</f>
        <v/>
      </c>
      <c r="H751" s="22" t="inlineStr">
        <is>
          <t>override</t>
        </is>
      </c>
      <c r="I751" s="23" t="n"/>
      <c r="J751" s="24">
        <f>IF(AND(IF($H752&lt;&gt;"",$H752,$H751)="override",$I751&lt;&gt;""),$I751,SUMIFS(Assumptions!$K$4:$K$8,Assumptions!$J$4:$J$8,$C751))*Assumptions!$S$10</f>
        <v/>
      </c>
      <c r="K751" s="23" t="n"/>
      <c r="L751" s="25">
        <f>IF(AND(IF($H752&lt;&gt;"",$H752,$H751)="override",$K751&lt;&gt;""),$K751,SUMIFS(Assumptions!$P$4:$P$103,Assumptions!$M$4:$M$103,$C751,Assumptions!$N$4:$N$103,$E751,Assumptions!$O$4:$O$103,"LVN"))</f>
        <v/>
      </c>
      <c r="M751" s="23" t="n"/>
      <c r="N751" s="25">
        <f>IF(AND(IF($H752&lt;&gt;"",$H752,$H751)="override",$M751&lt;&gt;""),$M751,SUMIFS(Assumptions!$P$4:$P$103,Assumptions!$M$4:$M$103,$C751,Assumptions!$N$4:$N$103,$E751,Assumptions!$O$4:$O$103,"HVN"))</f>
        <v/>
      </c>
      <c r="O751" s="25">
        <f>(L751+N751)*Assumptions!$S$11</f>
        <v/>
      </c>
      <c r="P751" s="26">
        <f>$F751*$J751*$O751</f>
        <v/>
      </c>
    </row>
    <row r="752">
      <c r="A752" s="27" t="inlineStr">
        <is>
          <t>TOTAL</t>
        </is>
      </c>
      <c r="B752" s="28" t="inlineStr">
        <is>
          <t>CROSS_SMACKOVER</t>
        </is>
      </c>
      <c r="C752" s="28" t="n">
        <v>3</v>
      </c>
      <c r="D752" s="28" t="inlineStr">
        <is>
          <t>NET NAPHTHA</t>
        </is>
      </c>
      <c r="H752" s="22" t="n"/>
      <c r="P752" s="29">
        <f>SUM(P750:P751)</f>
        <v/>
      </c>
    </row>
    <row r="754" ht="20" customHeight="1">
      <c r="A754" s="8">
        <f>"  Goodway Refining Atmore  [GOODWAY_ATMORE]   —   Goodway Refining   —   PADD 3   —   crude "&amp;TEXT(SUMIFS(Data!$G$3:$G$125,Data!$A$3:$A$125,"GOODWAY_ATMORE"),"#,##0")&amp;" kbd"</f>
        <v/>
      </c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</row>
    <row r="755">
      <c r="A755" s="11" t="inlineStr">
        <is>
          <t>UNIT</t>
        </is>
      </c>
      <c r="B755" s="18" t="inlineStr">
        <is>
          <t>GOODWAY_ATMORE</t>
        </is>
      </c>
      <c r="C755" s="18" t="n">
        <v>3</v>
      </c>
      <c r="D755" s="18" t="inlineStr">
        <is>
          <t>CDU</t>
        </is>
      </c>
      <c r="E755" s="18" t="inlineStr">
        <is>
          <t>CDU</t>
        </is>
      </c>
      <c r="F755" s="19" t="n">
        <v>5</v>
      </c>
      <c r="G755" s="21">
        <f>IFERROR(IF(INDEX(Effective!$E$3:$R$125,MATCH($B755,Effective!$A$3:$A$125,0),MATCH($D755,Effective!$E$2:$R$2,0))=0,"",INDEX(Effective!$E$3:$R$125,MATCH($B755,Effective!$A$3:$A$125,0),MATCH($D755,Effective!$E$2:$R$2,0))),"")</f>
        <v/>
      </c>
      <c r="H755" s="22" t="inlineStr">
        <is>
          <t>override</t>
        </is>
      </c>
      <c r="I755" s="23" t="n"/>
      <c r="J755" s="24">
        <f>IF(AND(IF($H756&lt;&gt;"",$H756,$H755)="override",$I755&lt;&gt;""),$I755,SUMIFS(Assumptions!$K$4:$K$8,Assumptions!$J$4:$J$8,$C755))*Assumptions!$S$10</f>
        <v/>
      </c>
      <c r="K755" s="23" t="n"/>
      <c r="L755" s="25">
        <f>IF(AND(IF($H756&lt;&gt;"",$H756,$H755)="override",$K755&lt;&gt;""),$K755,SUMIFS(Assumptions!$P$4:$P$103,Assumptions!$M$4:$M$103,$C755,Assumptions!$N$4:$N$103,$E755,Assumptions!$O$4:$O$103,"LVN"))</f>
        <v/>
      </c>
      <c r="M755" s="23" t="n"/>
      <c r="N755" s="25">
        <f>IF(AND(IF($H756&lt;&gt;"",$H756,$H755)="override",$M755&lt;&gt;""),$M755,SUMIFS(Assumptions!$P$4:$P$103,Assumptions!$M$4:$M$103,$C755,Assumptions!$N$4:$N$103,$E755,Assumptions!$O$4:$O$103,"HVN"))</f>
        <v/>
      </c>
      <c r="O755" s="25">
        <f>(L755+N755)*Assumptions!$S$11</f>
        <v/>
      </c>
      <c r="P755" s="26">
        <f>$F755*$J755*$O755</f>
        <v/>
      </c>
    </row>
    <row r="756">
      <c r="A756" s="27" t="inlineStr">
        <is>
          <t>TOTAL</t>
        </is>
      </c>
      <c r="B756" s="28" t="inlineStr">
        <is>
          <t>GOODWAY_ATMORE</t>
        </is>
      </c>
      <c r="C756" s="28" t="n">
        <v>3</v>
      </c>
      <c r="D756" s="28" t="inlineStr">
        <is>
          <t>NET NAPHTHA</t>
        </is>
      </c>
      <c r="H756" s="22" t="n"/>
      <c r="P756" s="29">
        <f>SUM(P755:P755)</f>
        <v/>
      </c>
    </row>
    <row r="758" ht="20" customHeight="1">
      <c r="A758" s="8">
        <f>"  LyondellBasell Refining Houston  [LYONDELLBASELL_HOUSTON]   —   Access Industries   —   PADD 3   —   crude "&amp;TEXT(SUMIFS(Data!$G$3:$G$125,Data!$A$3:$A$125,"LYONDELLBASELL_HOUSTON"),"#,##0")&amp;" kbd"</f>
        <v/>
      </c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</row>
    <row r="759">
      <c r="A759" s="11" t="inlineStr">
        <is>
          <t>UNIT</t>
        </is>
      </c>
      <c r="B759" s="18" t="inlineStr">
        <is>
          <t>LYONDELLBASELL_HOUSTON</t>
        </is>
      </c>
      <c r="C759" s="18" t="n">
        <v>3</v>
      </c>
      <c r="D759" s="18" t="inlineStr">
        <is>
          <t>CRUDE-EST</t>
        </is>
      </c>
      <c r="E759" s="18" t="inlineStr">
        <is>
          <t>est. yield</t>
        </is>
      </c>
      <c r="F759" s="21">
        <f>SUMIFS(Data!$G$3:$G$125,Data!$A$3:$A$125,$B759)</f>
        <v/>
      </c>
      <c r="G759" s="21">
        <f>IFERROR(IF(INDEX(Effective!$E$3:$R$125,MATCH($B759,Effective!$A$3:$A$125,0),MATCH($D759,Effective!$E$2:$R$2,0))=0,"",INDEX(Effective!$E$3:$R$125,MATCH($B759,Effective!$A$3:$A$125,0),MATCH($D759,Effective!$E$2:$R$2,0))),"")</f>
        <v/>
      </c>
      <c r="H759" s="22" t="inlineStr">
        <is>
          <t>override</t>
        </is>
      </c>
      <c r="I759" s="23" t="n"/>
      <c r="J759" s="24">
        <f>IF(AND(IF($H760&lt;&gt;"",$H760,$H759)="override",$I759&lt;&gt;""),$I759,SUMIFS(Assumptions!$K$4:$K$8,Assumptions!$J$4:$J$8,$C759))*Assumptions!$S$10</f>
        <v/>
      </c>
      <c r="K759" s="23" t="n"/>
      <c r="L759" s="25">
        <f>IF(AND(IF($H760&lt;&gt;"",$H760,$H759)="override",$K759&lt;&gt;""),$K759,SUMIFS(Data!$N$3:$N$125,Data!$A$3:$A$125,$B759)*Assumptions!$S$4)</f>
        <v/>
      </c>
      <c r="M759" s="23" t="n"/>
      <c r="N759" s="25">
        <f>IF(AND(IF($H760&lt;&gt;"",$H760,$H759)="override",$M759&lt;&gt;""),$M759,SUMIFS(Data!$N$3:$N$125,Data!$A$3:$A$125,$B759)*Assumptions!$S$5)</f>
        <v/>
      </c>
      <c r="O759" s="25">
        <f>(L759+N759)*Assumptions!$S$11</f>
        <v/>
      </c>
      <c r="P759" s="26">
        <f>$F759*$J759*$O759</f>
        <v/>
      </c>
    </row>
    <row r="760">
      <c r="A760" s="27" t="inlineStr">
        <is>
          <t>TOTAL</t>
        </is>
      </c>
      <c r="B760" s="28" t="inlineStr">
        <is>
          <t>LYONDELLBASELL_HOUSTON</t>
        </is>
      </c>
      <c r="C760" s="28" t="n">
        <v>3</v>
      </c>
      <c r="D760" s="28" t="inlineStr">
        <is>
          <t>NET NAPHTHA</t>
        </is>
      </c>
      <c r="H760" s="22" t="n"/>
      <c r="P760" s="29">
        <f>SUM(P759:P759)</f>
        <v/>
      </c>
    </row>
    <row r="762" ht="20" customHeight="1">
      <c r="A762" s="8">
        <f>"  Shell Convent  [SHELL_CONVENT]   —   Shell   —   PADD 3   —   crude "&amp;TEXT(SUMIFS(Data!$G$3:$G$125,Data!$A$3:$A$125,"SHELL_CONVENT"),"#,##0")&amp;" kbd"</f>
        <v/>
      </c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</row>
    <row r="763">
      <c r="A763" s="11" t="inlineStr">
        <is>
          <t>UNIT</t>
        </is>
      </c>
      <c r="B763" s="18" t="inlineStr">
        <is>
          <t>SHELL_CONVENT</t>
        </is>
      </c>
      <c r="C763" s="18" t="n">
        <v>3</v>
      </c>
      <c r="D763" s="18" t="inlineStr">
        <is>
          <t>CRUDE-EST</t>
        </is>
      </c>
      <c r="E763" s="18" t="inlineStr">
        <is>
          <t>est. yield</t>
        </is>
      </c>
      <c r="F763" s="21">
        <f>SUMIFS(Data!$G$3:$G$125,Data!$A$3:$A$125,$B763)</f>
        <v/>
      </c>
      <c r="G763" s="21">
        <f>IFERROR(IF(INDEX(Effective!$E$3:$R$125,MATCH($B763,Effective!$A$3:$A$125,0),MATCH($D763,Effective!$E$2:$R$2,0))=0,"",INDEX(Effective!$E$3:$R$125,MATCH($B763,Effective!$A$3:$A$125,0),MATCH($D763,Effective!$E$2:$R$2,0))),"")</f>
        <v/>
      </c>
      <c r="H763" s="22" t="inlineStr">
        <is>
          <t>override</t>
        </is>
      </c>
      <c r="I763" s="23" t="n"/>
      <c r="J763" s="24">
        <f>IF(AND(IF($H764&lt;&gt;"",$H764,$H763)="override",$I763&lt;&gt;""),$I763,SUMIFS(Assumptions!$K$4:$K$8,Assumptions!$J$4:$J$8,$C763))*Assumptions!$S$10</f>
        <v/>
      </c>
      <c r="K763" s="23" t="n"/>
      <c r="L763" s="25">
        <f>IF(AND(IF($H764&lt;&gt;"",$H764,$H763)="override",$K763&lt;&gt;""),$K763,SUMIFS(Data!$N$3:$N$125,Data!$A$3:$A$125,$B763)*Assumptions!$S$4)</f>
        <v/>
      </c>
      <c r="M763" s="23" t="n"/>
      <c r="N763" s="25">
        <f>IF(AND(IF($H764&lt;&gt;"",$H764,$H763)="override",$M763&lt;&gt;""),$M763,SUMIFS(Data!$N$3:$N$125,Data!$A$3:$A$125,$B763)*Assumptions!$S$5)</f>
        <v/>
      </c>
      <c r="O763" s="25">
        <f>(L763+N763)*Assumptions!$S$11</f>
        <v/>
      </c>
      <c r="P763" s="26">
        <f>$F763*$J763*$O763</f>
        <v/>
      </c>
    </row>
    <row r="764">
      <c r="A764" s="27" t="inlineStr">
        <is>
          <t>TOTAL</t>
        </is>
      </c>
      <c r="B764" s="28" t="inlineStr">
        <is>
          <t>SHELL_CONVENT</t>
        </is>
      </c>
      <c r="C764" s="28" t="n">
        <v>3</v>
      </c>
      <c r="D764" s="28" t="inlineStr">
        <is>
          <t>NET NAPHTHA</t>
        </is>
      </c>
      <c r="H764" s="22" t="n"/>
      <c r="P764" s="29">
        <f>SUM(P763:P763)</f>
        <v/>
      </c>
    </row>
    <row r="766" ht="20" customHeight="1">
      <c r="A766" s="8">
        <f>"  Shell Oil Co. USA Saint Rose  [SHELL_SAINT_ROSE]   —   Shell   —   PADD 3   —   crude "&amp;TEXT(SUMIFS(Data!$G$3:$G$125,Data!$A$3:$A$125,"SHELL_SAINT_ROSE"),"#,##0")&amp;" kbd"</f>
        <v/>
      </c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</row>
    <row r="767">
      <c r="A767" s="11" t="inlineStr">
        <is>
          <t>UNIT</t>
        </is>
      </c>
      <c r="B767" s="18" t="inlineStr">
        <is>
          <t>SHELL_SAINT_ROSE</t>
        </is>
      </c>
      <c r="C767" s="18" t="n">
        <v>3</v>
      </c>
      <c r="D767" s="18" t="inlineStr">
        <is>
          <t>CRUDE-EST</t>
        </is>
      </c>
      <c r="E767" s="18" t="inlineStr">
        <is>
          <t>est. yield</t>
        </is>
      </c>
      <c r="F767" s="21">
        <f>SUMIFS(Data!$G$3:$G$125,Data!$A$3:$A$125,$B767)</f>
        <v/>
      </c>
      <c r="G767" s="21">
        <f>IFERROR(IF(INDEX(Effective!$E$3:$R$125,MATCH($B767,Effective!$A$3:$A$125,0),MATCH($D767,Effective!$E$2:$R$2,0))=0,"",INDEX(Effective!$E$3:$R$125,MATCH($B767,Effective!$A$3:$A$125,0),MATCH($D767,Effective!$E$2:$R$2,0))),"")</f>
        <v/>
      </c>
      <c r="H767" s="22" t="inlineStr">
        <is>
          <t>override</t>
        </is>
      </c>
      <c r="I767" s="23" t="n"/>
      <c r="J767" s="24">
        <f>IF(AND(IF($H768&lt;&gt;"",$H768,$H767)="override",$I767&lt;&gt;""),$I767,SUMIFS(Assumptions!$K$4:$K$8,Assumptions!$J$4:$J$8,$C767))*Assumptions!$S$10</f>
        <v/>
      </c>
      <c r="K767" s="23" t="n"/>
      <c r="L767" s="25">
        <f>IF(AND(IF($H768&lt;&gt;"",$H768,$H767)="override",$K767&lt;&gt;""),$K767,SUMIFS(Data!$N$3:$N$125,Data!$A$3:$A$125,$B767)*Assumptions!$S$4)</f>
        <v/>
      </c>
      <c r="M767" s="23" t="n"/>
      <c r="N767" s="25">
        <f>IF(AND(IF($H768&lt;&gt;"",$H768,$H767)="override",$M767&lt;&gt;""),$M767,SUMIFS(Data!$N$3:$N$125,Data!$A$3:$A$125,$B767)*Assumptions!$S$5)</f>
        <v/>
      </c>
      <c r="O767" s="25">
        <f>(L767+N767)*Assumptions!$S$11</f>
        <v/>
      </c>
      <c r="P767" s="26">
        <f>$F767*$J767*$O767</f>
        <v/>
      </c>
    </row>
    <row r="768">
      <c r="A768" s="27" t="inlineStr">
        <is>
          <t>TOTAL</t>
        </is>
      </c>
      <c r="B768" s="28" t="inlineStr">
        <is>
          <t>SHELL_SAINT_ROSE</t>
        </is>
      </c>
      <c r="C768" s="28" t="n">
        <v>3</v>
      </c>
      <c r="D768" s="28" t="inlineStr">
        <is>
          <t>NET NAPHTHA</t>
        </is>
      </c>
      <c r="H768" s="22" t="n"/>
      <c r="P768" s="29">
        <f>SUM(P767:P767)</f>
        <v/>
      </c>
    </row>
    <row r="770" ht="20" customHeight="1">
      <c r="A770" s="8">
        <f>"  Suncor Denver  [SUNCOR_DENVER]   —   Suncor   —   PADD 4   —   crude "&amp;TEXT(SUMIFS(Data!$G$3:$G$125,Data!$A$3:$A$125,"SUNCOR_DENVER"),"#,##0")&amp;" kbd"</f>
        <v/>
      </c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</row>
    <row r="771">
      <c r="A771" s="11" t="inlineStr">
        <is>
          <t>UNIT</t>
        </is>
      </c>
      <c r="B771" s="18" t="inlineStr">
        <is>
          <t>SUNCOR_DENVER</t>
        </is>
      </c>
      <c r="C771" s="18" t="n">
        <v>4</v>
      </c>
      <c r="D771" s="18" t="inlineStr">
        <is>
          <t>CDU</t>
        </is>
      </c>
      <c r="E771" s="18" t="inlineStr">
        <is>
          <t>CDU</t>
        </is>
      </c>
      <c r="F771" s="19" t="n">
        <v>98</v>
      </c>
      <c r="G771" s="21">
        <f>IFERROR(IF(INDEX(Effective!$E$3:$R$125,MATCH($B771,Effective!$A$3:$A$125,0),MATCH($D771,Effective!$E$2:$R$2,0))=0,"",INDEX(Effective!$E$3:$R$125,MATCH($B771,Effective!$A$3:$A$125,0),MATCH($D771,Effective!$E$2:$R$2,0))),"")</f>
        <v/>
      </c>
      <c r="H771" s="22" t="inlineStr">
        <is>
          <t>override</t>
        </is>
      </c>
      <c r="I771" s="23" t="n">
        <v>0.326</v>
      </c>
      <c r="J771" s="24">
        <f>IF(AND(IF($H776&lt;&gt;"",$H776,$H771)="override",$I771&lt;&gt;""),$I771,SUMIFS(Assumptions!$K$4:$K$8,Assumptions!$J$4:$J$8,$C771))*Assumptions!$S$10</f>
        <v/>
      </c>
      <c r="K771" s="23" t="n"/>
      <c r="L771" s="25">
        <f>IF(AND(IF($H776&lt;&gt;"",$H776,$H771)="override",$K771&lt;&gt;""),$K771,SUMIFS(Assumptions!$P$4:$P$103,Assumptions!$M$4:$M$103,$C771,Assumptions!$N$4:$N$103,$E771,Assumptions!$O$4:$O$103,"LVN"))</f>
        <v/>
      </c>
      <c r="M771" s="23" t="n"/>
      <c r="N771" s="25">
        <f>IF(AND(IF($H776&lt;&gt;"",$H776,$H771)="override",$M771&lt;&gt;""),$M771,SUMIFS(Assumptions!$P$4:$P$103,Assumptions!$M$4:$M$103,$C771,Assumptions!$N$4:$N$103,$E771,Assumptions!$O$4:$O$103,"HVN"))</f>
        <v/>
      </c>
      <c r="O771" s="25">
        <f>(L771+N771)*Assumptions!$S$11</f>
        <v/>
      </c>
      <c r="P771" s="26">
        <f>$F771*$J771*$O771</f>
        <v/>
      </c>
    </row>
    <row r="772">
      <c r="A772" s="11" t="inlineStr">
        <is>
          <t>UNIT</t>
        </is>
      </c>
      <c r="B772" s="18" t="inlineStr">
        <is>
          <t>SUNCOR_DENVER</t>
        </is>
      </c>
      <c r="C772" s="18" t="n">
        <v>4</v>
      </c>
      <c r="D772" s="18" t="inlineStr">
        <is>
          <t>VDU</t>
        </is>
      </c>
      <c r="E772" s="18" t="inlineStr">
        <is>
          <t>VDU</t>
        </is>
      </c>
      <c r="F772" s="19" t="n">
        <v>33.5</v>
      </c>
      <c r="G772" s="21">
        <f>IFERROR(IF(INDEX(Effective!$E$3:$R$125,MATCH($B772,Effective!$A$3:$A$125,0),MATCH($D772,Effective!$E$2:$R$2,0))=0,"",INDEX(Effective!$E$3:$R$125,MATCH($B772,Effective!$A$3:$A$125,0),MATCH($D772,Effective!$E$2:$R$2,0))),"")</f>
        <v/>
      </c>
      <c r="H772" s="22" t="inlineStr">
        <is>
          <t>override</t>
        </is>
      </c>
      <c r="I772" s="23" t="n">
        <v>0.9370000000000001</v>
      </c>
      <c r="J772" s="24">
        <f>IF(AND(IF($H776&lt;&gt;"",$H776,$H772)="override",$I772&lt;&gt;""),$I772,SUMIFS(Assumptions!$K$4:$K$8,Assumptions!$J$4:$J$8,$C772))*Assumptions!$S$10</f>
        <v/>
      </c>
      <c r="K772" s="23" t="n"/>
      <c r="L772" s="25">
        <f>IF(AND(IF($H776&lt;&gt;"",$H776,$H772)="override",$K772&lt;&gt;""),$K772,SUMIFS(Assumptions!$P$4:$P$103,Assumptions!$M$4:$M$103,$C772,Assumptions!$N$4:$N$103,$E772,Assumptions!$O$4:$O$103,"LVN"))</f>
        <v/>
      </c>
      <c r="M772" s="23" t="n"/>
      <c r="N772" s="25">
        <f>IF(AND(IF($H776&lt;&gt;"",$H776,$H772)="override",$M772&lt;&gt;""),$M772,SUMIFS(Assumptions!$P$4:$P$103,Assumptions!$M$4:$M$103,$C772,Assumptions!$N$4:$N$103,$E772,Assumptions!$O$4:$O$103,"HVN"))</f>
        <v/>
      </c>
      <c r="O772" s="25">
        <f>(L772+N772)*Assumptions!$S$11</f>
        <v/>
      </c>
      <c r="P772" s="26">
        <f>$F772*$J772*$O772</f>
        <v/>
      </c>
    </row>
    <row r="773">
      <c r="A773" s="11" t="inlineStr">
        <is>
          <t>UNIT</t>
        </is>
      </c>
      <c r="B773" s="18" t="inlineStr">
        <is>
          <t>SUNCOR_DENVER</t>
        </is>
      </c>
      <c r="C773" s="18" t="n">
        <v>4</v>
      </c>
      <c r="D773" s="18" t="inlineStr">
        <is>
          <t>FCC</t>
        </is>
      </c>
      <c r="E773" s="18" t="inlineStr">
        <is>
          <t>FCC</t>
        </is>
      </c>
      <c r="F773" s="19" t="n">
        <v>30</v>
      </c>
      <c r="G773" s="21">
        <f>IFERROR(IF(INDEX(Effective!$E$3:$R$125,MATCH($B773,Effective!$A$3:$A$125,0),MATCH($D773,Effective!$E$2:$R$2,0))=0,"",INDEX(Effective!$E$3:$R$125,MATCH($B773,Effective!$A$3:$A$125,0),MATCH($D773,Effective!$E$2:$R$2,0))),"")</f>
        <v/>
      </c>
      <c r="H773" s="22" t="inlineStr">
        <is>
          <t>override</t>
        </is>
      </c>
      <c r="I773" s="23" t="n">
        <v>0.776</v>
      </c>
      <c r="J773" s="24">
        <f>IF(AND(IF($H776&lt;&gt;"",$H776,$H773)="override",$I773&lt;&gt;""),$I773,SUMIFS(Assumptions!$K$4:$K$8,Assumptions!$J$4:$J$8,$C773))*Assumptions!$S$10</f>
        <v/>
      </c>
      <c r="K773" s="23" t="n"/>
      <c r="L773" s="25">
        <f>IF(AND(IF($H776&lt;&gt;"",$H776,$H773)="override",$K773&lt;&gt;""),$K773,SUMIFS(Assumptions!$P$4:$P$103,Assumptions!$M$4:$M$103,$C773,Assumptions!$N$4:$N$103,$E773,Assumptions!$O$4:$O$103,"LVN"))</f>
        <v/>
      </c>
      <c r="M773" s="23" t="n"/>
      <c r="N773" s="25">
        <f>IF(AND(IF($H776&lt;&gt;"",$H776,$H773)="override",$M773&lt;&gt;""),$M773,SUMIFS(Assumptions!$P$4:$P$103,Assumptions!$M$4:$M$103,$C773,Assumptions!$N$4:$N$103,$E773,Assumptions!$O$4:$O$103,"HVN"))</f>
        <v/>
      </c>
      <c r="O773" s="25">
        <f>(L773+N773)*Assumptions!$S$11</f>
        <v/>
      </c>
      <c r="P773" s="26">
        <f>$F773*$J773*$O773</f>
        <v/>
      </c>
    </row>
    <row r="774">
      <c r="A774" s="11" t="inlineStr">
        <is>
          <t>UNIT</t>
        </is>
      </c>
      <c r="B774" s="18" t="inlineStr">
        <is>
          <t>SUNCOR_DENVER</t>
        </is>
      </c>
      <c r="C774" s="18" t="n">
        <v>4</v>
      </c>
      <c r="D774" s="18" t="inlineStr">
        <is>
          <t>CCR</t>
        </is>
      </c>
      <c r="E774" s="18" t="inlineStr">
        <is>
          <t>REFORMER</t>
        </is>
      </c>
      <c r="F774" s="19" t="n">
        <v>21.9</v>
      </c>
      <c r="G774" s="21">
        <f>IFERROR(IF(INDEX(Effective!$E$3:$R$125,MATCH($B774,Effective!$A$3:$A$125,0),MATCH($D774,Effective!$E$2:$R$2,0))=0,"",INDEX(Effective!$E$3:$R$125,MATCH($B774,Effective!$A$3:$A$125,0),MATCH($D774,Effective!$E$2:$R$2,0))),"")</f>
        <v/>
      </c>
      <c r="H774" s="22" t="inlineStr">
        <is>
          <t>override</t>
        </is>
      </c>
      <c r="I774" s="23" t="n"/>
      <c r="J774" s="24">
        <f>IF(AND(IF($H776&lt;&gt;"",$H776,$H774)="override",$I774&lt;&gt;""),$I774,SUMIFS(Assumptions!$K$4:$K$8,Assumptions!$J$4:$J$8,$C774))*Assumptions!$S$10</f>
        <v/>
      </c>
      <c r="K774" s="23" t="n"/>
      <c r="L774" s="25">
        <f>IF(AND(IF($H776&lt;&gt;"",$H776,$H774)="override",$K774&lt;&gt;""),$K774,SUMIFS(Assumptions!$P$4:$P$103,Assumptions!$M$4:$M$103,$C774,Assumptions!$N$4:$N$103,$E774,Assumptions!$O$4:$O$103,"LVN"))</f>
        <v/>
      </c>
      <c r="M774" s="23" t="n"/>
      <c r="N774" s="25">
        <f>IF(AND(IF($H776&lt;&gt;"",$H776,$H774)="override",$M774&lt;&gt;""),$M774,SUMIFS(Assumptions!$P$4:$P$103,Assumptions!$M$4:$M$103,$C774,Assumptions!$N$4:$N$103,$E774,Assumptions!$O$4:$O$103,"HVN"))</f>
        <v/>
      </c>
      <c r="O774" s="25">
        <f>(L774+N774)*Assumptions!$S$11</f>
        <v/>
      </c>
      <c r="P774" s="26">
        <f>$F774*$J774*$O774</f>
        <v/>
      </c>
    </row>
    <row r="775">
      <c r="A775" s="11" t="inlineStr">
        <is>
          <t>UNIT</t>
        </is>
      </c>
      <c r="B775" s="18" t="inlineStr">
        <is>
          <t>SUNCOR_DENVER</t>
        </is>
      </c>
      <c r="C775" s="18" t="n">
        <v>4</v>
      </c>
      <c r="D775" s="18" t="inlineStr">
        <is>
          <t>NHT</t>
        </is>
      </c>
      <c r="E775" s="18" t="inlineStr">
        <is>
          <t>NHT</t>
        </is>
      </c>
      <c r="F775" s="19" t="n">
        <v>22</v>
      </c>
      <c r="G775" s="21">
        <f>IFERROR(IF(INDEX(Effective!$E$3:$R$125,MATCH($B775,Effective!$A$3:$A$125,0),MATCH($D775,Effective!$E$2:$R$2,0))=0,"",INDEX(Effective!$E$3:$R$125,MATCH($B775,Effective!$A$3:$A$125,0),MATCH($D775,Effective!$E$2:$R$2,0))),"")</f>
        <v/>
      </c>
      <c r="H775" s="22" t="inlineStr">
        <is>
          <t>override</t>
        </is>
      </c>
      <c r="I775" s="23" t="n">
        <v>0.96</v>
      </c>
      <c r="J775" s="24">
        <f>IF(AND(IF($H776&lt;&gt;"",$H776,$H775)="override",$I775&lt;&gt;""),$I775,SUMIFS(Assumptions!$K$4:$K$8,Assumptions!$J$4:$J$8,$C775))*Assumptions!$S$10</f>
        <v/>
      </c>
      <c r="K775" s="23" t="n"/>
      <c r="L775" s="25">
        <f>IF(AND(IF($H776&lt;&gt;"",$H776,$H775)="override",$K775&lt;&gt;""),$K775,SUMIFS(Assumptions!$P$4:$P$103,Assumptions!$M$4:$M$103,$C775,Assumptions!$N$4:$N$103,$E775,Assumptions!$O$4:$O$103,"LVN"))</f>
        <v/>
      </c>
      <c r="M775" s="23" t="n"/>
      <c r="N775" s="25">
        <f>IF(AND(IF($H776&lt;&gt;"",$H776,$H775)="override",$M775&lt;&gt;""),$M775,SUMIFS(Assumptions!$P$4:$P$103,Assumptions!$M$4:$M$103,$C775,Assumptions!$N$4:$N$103,$E775,Assumptions!$O$4:$O$103,"HVN"))</f>
        <v/>
      </c>
      <c r="O775" s="25">
        <f>(L775+N775)*Assumptions!$S$11</f>
        <v/>
      </c>
      <c r="P775" s="26">
        <f>$F775*$J775*$O775</f>
        <v/>
      </c>
    </row>
    <row r="776">
      <c r="A776" s="27" t="inlineStr">
        <is>
          <t>TOTAL</t>
        </is>
      </c>
      <c r="B776" s="28" t="inlineStr">
        <is>
          <t>SUNCOR_DENVER</t>
        </is>
      </c>
      <c r="C776" s="28" t="n">
        <v>4</v>
      </c>
      <c r="D776" s="28" t="inlineStr">
        <is>
          <t>NET NAPHTHA</t>
        </is>
      </c>
      <c r="H776" s="22" t="n"/>
      <c r="P776" s="29">
        <f>SUM(P771:P775)</f>
        <v/>
      </c>
    </row>
    <row r="778" ht="20" customHeight="1">
      <c r="A778" s="8">
        <f>"  Sinclair Sinclair  [SINCLAIR_SINCLAIR]   —   Sinclair   —   PADD 4   —   crude "&amp;TEXT(SUMIFS(Data!$G$3:$G$125,Data!$A$3:$A$125,"SINCLAIR_SINCLAIR"),"#,##0")&amp;" kbd"</f>
        <v/>
      </c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</row>
    <row r="779">
      <c r="A779" s="11" t="inlineStr">
        <is>
          <t>UNIT</t>
        </is>
      </c>
      <c r="B779" s="18" t="inlineStr">
        <is>
          <t>SINCLAIR_SINCLAIR</t>
        </is>
      </c>
      <c r="C779" s="18" t="n">
        <v>4</v>
      </c>
      <c r="D779" s="18" t="inlineStr">
        <is>
          <t>CDU</t>
        </is>
      </c>
      <c r="E779" s="18" t="inlineStr">
        <is>
          <t>CDU</t>
        </is>
      </c>
      <c r="F779" s="19" t="n">
        <v>94</v>
      </c>
      <c r="G779" s="21">
        <f>IFERROR(IF(INDEX(Effective!$E$3:$R$125,MATCH($B779,Effective!$A$3:$A$125,0),MATCH($D779,Effective!$E$2:$R$2,0))=0,"",INDEX(Effective!$E$3:$R$125,MATCH($B779,Effective!$A$3:$A$125,0),MATCH($D779,Effective!$E$2:$R$2,0))),"")</f>
        <v/>
      </c>
      <c r="H779" s="22" t="inlineStr">
        <is>
          <t>override</t>
        </is>
      </c>
      <c r="I779" s="23" t="n">
        <v>0.95</v>
      </c>
      <c r="J779" s="24">
        <f>IF(AND(IF($H787&lt;&gt;"",$H787,$H779)="override",$I779&lt;&gt;""),$I779,SUMIFS(Assumptions!$K$4:$K$8,Assumptions!$J$4:$J$8,$C779))*Assumptions!$S$10</f>
        <v/>
      </c>
      <c r="K779" s="23" t="n"/>
      <c r="L779" s="25">
        <f>IF(AND(IF($H787&lt;&gt;"",$H787,$H779)="override",$K779&lt;&gt;""),$K779,SUMIFS(Assumptions!$P$4:$P$103,Assumptions!$M$4:$M$103,$C779,Assumptions!$N$4:$N$103,$E779,Assumptions!$O$4:$O$103,"LVN"))</f>
        <v/>
      </c>
      <c r="M779" s="23" t="n"/>
      <c r="N779" s="25">
        <f>IF(AND(IF($H787&lt;&gt;"",$H787,$H779)="override",$M779&lt;&gt;""),$M779,SUMIFS(Assumptions!$P$4:$P$103,Assumptions!$M$4:$M$103,$C779,Assumptions!$N$4:$N$103,$E779,Assumptions!$O$4:$O$103,"HVN"))</f>
        <v/>
      </c>
      <c r="O779" s="25">
        <f>(L779+N779)*Assumptions!$S$11</f>
        <v/>
      </c>
      <c r="P779" s="26">
        <f>$F779*$J779*$O779</f>
        <v/>
      </c>
    </row>
    <row r="780">
      <c r="A780" s="11" t="inlineStr">
        <is>
          <t>UNIT</t>
        </is>
      </c>
      <c r="B780" s="18" t="inlineStr">
        <is>
          <t>SINCLAIR_SINCLAIR</t>
        </is>
      </c>
      <c r="C780" s="18" t="n">
        <v>4</v>
      </c>
      <c r="D780" s="18" t="inlineStr">
        <is>
          <t>VDU</t>
        </is>
      </c>
      <c r="E780" s="18" t="inlineStr">
        <is>
          <t>VDU</t>
        </is>
      </c>
      <c r="F780" s="19" t="n">
        <v>51</v>
      </c>
      <c r="G780" s="21">
        <f>IFERROR(IF(INDEX(Effective!$E$3:$R$125,MATCH($B780,Effective!$A$3:$A$125,0),MATCH($D780,Effective!$E$2:$R$2,0))=0,"",INDEX(Effective!$E$3:$R$125,MATCH($B780,Effective!$A$3:$A$125,0),MATCH($D780,Effective!$E$2:$R$2,0))),"")</f>
        <v/>
      </c>
      <c r="H780" s="22" t="inlineStr">
        <is>
          <t>override</t>
        </is>
      </c>
      <c r="I780" s="23" t="n">
        <v>0.822</v>
      </c>
      <c r="J780" s="24">
        <f>IF(AND(IF($H787&lt;&gt;"",$H787,$H780)="override",$I780&lt;&gt;""),$I780,SUMIFS(Assumptions!$K$4:$K$8,Assumptions!$J$4:$J$8,$C780))*Assumptions!$S$10</f>
        <v/>
      </c>
      <c r="K780" s="23" t="n"/>
      <c r="L780" s="25">
        <f>IF(AND(IF($H787&lt;&gt;"",$H787,$H780)="override",$K780&lt;&gt;""),$K780,SUMIFS(Assumptions!$P$4:$P$103,Assumptions!$M$4:$M$103,$C780,Assumptions!$N$4:$N$103,$E780,Assumptions!$O$4:$O$103,"LVN"))</f>
        <v/>
      </c>
      <c r="M780" s="23" t="n"/>
      <c r="N780" s="25">
        <f>IF(AND(IF($H787&lt;&gt;"",$H787,$H780)="override",$M780&lt;&gt;""),$M780,SUMIFS(Assumptions!$P$4:$P$103,Assumptions!$M$4:$M$103,$C780,Assumptions!$N$4:$N$103,$E780,Assumptions!$O$4:$O$103,"HVN"))</f>
        <v/>
      </c>
      <c r="O780" s="25">
        <f>(L780+N780)*Assumptions!$S$11</f>
        <v/>
      </c>
      <c r="P780" s="26">
        <f>$F780*$J780*$O780</f>
        <v/>
      </c>
    </row>
    <row r="781">
      <c r="A781" s="11" t="inlineStr">
        <is>
          <t>UNIT</t>
        </is>
      </c>
      <c r="B781" s="18" t="inlineStr">
        <is>
          <t>SINCLAIR_SINCLAIR</t>
        </is>
      </c>
      <c r="C781" s="18" t="n">
        <v>4</v>
      </c>
      <c r="D781" s="18" t="inlineStr">
        <is>
          <t>FCC</t>
        </is>
      </c>
      <c r="E781" s="18" t="inlineStr">
        <is>
          <t>FCC</t>
        </is>
      </c>
      <c r="F781" s="19" t="n">
        <v>22</v>
      </c>
      <c r="G781" s="21">
        <f>IFERROR(IF(INDEX(Effective!$E$3:$R$125,MATCH($B781,Effective!$A$3:$A$125,0),MATCH($D781,Effective!$E$2:$R$2,0))=0,"",INDEX(Effective!$E$3:$R$125,MATCH($B781,Effective!$A$3:$A$125,0),MATCH($D781,Effective!$E$2:$R$2,0))),"")</f>
        <v/>
      </c>
      <c r="H781" s="22" t="inlineStr">
        <is>
          <t>override</t>
        </is>
      </c>
      <c r="I781" s="23" t="n">
        <v>0.85</v>
      </c>
      <c r="J781" s="24">
        <f>IF(AND(IF($H787&lt;&gt;"",$H787,$H781)="override",$I781&lt;&gt;""),$I781,SUMIFS(Assumptions!$K$4:$K$8,Assumptions!$J$4:$J$8,$C781))*Assumptions!$S$10</f>
        <v/>
      </c>
      <c r="K781" s="23" t="n"/>
      <c r="L781" s="25">
        <f>IF(AND(IF($H787&lt;&gt;"",$H787,$H781)="override",$K781&lt;&gt;""),$K781,SUMIFS(Assumptions!$P$4:$P$103,Assumptions!$M$4:$M$103,$C781,Assumptions!$N$4:$N$103,$E781,Assumptions!$O$4:$O$103,"LVN"))</f>
        <v/>
      </c>
      <c r="M781" s="23" t="n"/>
      <c r="N781" s="25">
        <f>IF(AND(IF($H787&lt;&gt;"",$H787,$H781)="override",$M781&lt;&gt;""),$M781,SUMIFS(Assumptions!$P$4:$P$103,Assumptions!$M$4:$M$103,$C781,Assumptions!$N$4:$N$103,$E781,Assumptions!$O$4:$O$103,"HVN"))</f>
        <v/>
      </c>
      <c r="O781" s="25">
        <f>(L781+N781)*Assumptions!$S$11</f>
        <v/>
      </c>
      <c r="P781" s="26">
        <f>$F781*$J781*$O781</f>
        <v/>
      </c>
    </row>
    <row r="782">
      <c r="A782" s="11" t="inlineStr">
        <is>
          <t>UNIT</t>
        </is>
      </c>
      <c r="B782" s="18" t="inlineStr">
        <is>
          <t>SINCLAIR_SINCLAIR</t>
        </is>
      </c>
      <c r="C782" s="18" t="n">
        <v>4</v>
      </c>
      <c r="D782" s="18" t="inlineStr">
        <is>
          <t>DHCU</t>
        </is>
      </c>
      <c r="E782" s="18" t="inlineStr">
        <is>
          <t>HYDROCRACKER</t>
        </is>
      </c>
      <c r="F782" s="19" t="n">
        <v>16</v>
      </c>
      <c r="G782" s="21">
        <f>IFERROR(IF(INDEX(Effective!$E$3:$R$125,MATCH($B782,Effective!$A$3:$A$125,0),MATCH($D782,Effective!$E$2:$R$2,0))=0,"",INDEX(Effective!$E$3:$R$125,MATCH($B782,Effective!$A$3:$A$125,0),MATCH($D782,Effective!$E$2:$R$2,0))),"")</f>
        <v/>
      </c>
      <c r="H782" s="22" t="inlineStr">
        <is>
          <t>override</t>
        </is>
      </c>
      <c r="I782" s="23" t="n">
        <v>0.38</v>
      </c>
      <c r="J782" s="24">
        <f>IF(AND(IF($H787&lt;&gt;"",$H787,$H782)="override",$I782&lt;&gt;""),$I782,SUMIFS(Assumptions!$K$4:$K$8,Assumptions!$J$4:$J$8,$C782))*Assumptions!$S$10</f>
        <v/>
      </c>
      <c r="K782" s="23" t="n"/>
      <c r="L782" s="25">
        <f>IF(AND(IF($H787&lt;&gt;"",$H787,$H782)="override",$K782&lt;&gt;""),$K782,SUMIFS(Assumptions!$P$4:$P$103,Assumptions!$M$4:$M$103,$C782,Assumptions!$N$4:$N$103,$E782,Assumptions!$O$4:$O$103,"LVN"))</f>
        <v/>
      </c>
      <c r="M782" s="23" t="n"/>
      <c r="N782" s="25">
        <f>IF(AND(IF($H787&lt;&gt;"",$H787,$H782)="override",$M782&lt;&gt;""),$M782,SUMIFS(Assumptions!$P$4:$P$103,Assumptions!$M$4:$M$103,$C782,Assumptions!$N$4:$N$103,$E782,Assumptions!$O$4:$O$103,"HVN"))</f>
        <v/>
      </c>
      <c r="O782" s="25">
        <f>(L782+N782)*Assumptions!$S$11</f>
        <v/>
      </c>
      <c r="P782" s="26">
        <f>$F782*$J782*$O782</f>
        <v/>
      </c>
    </row>
    <row r="783">
      <c r="A783" s="11" t="inlineStr">
        <is>
          <t>UNIT</t>
        </is>
      </c>
      <c r="B783" s="18" t="inlineStr">
        <is>
          <t>SINCLAIR_SINCLAIR</t>
        </is>
      </c>
      <c r="C783" s="18" t="n">
        <v>4</v>
      </c>
      <c r="D783" s="18" t="inlineStr">
        <is>
          <t>COKER</t>
        </is>
      </c>
      <c r="E783" s="18" t="inlineStr">
        <is>
          <t>COKER</t>
        </is>
      </c>
      <c r="F783" s="19" t="n">
        <v>20</v>
      </c>
      <c r="G783" s="21">
        <f>IFERROR(IF(INDEX(Effective!$E$3:$R$125,MATCH($B783,Effective!$A$3:$A$125,0),MATCH($D783,Effective!$E$2:$R$2,0))=0,"",INDEX(Effective!$E$3:$R$125,MATCH($B783,Effective!$A$3:$A$125,0),MATCH($D783,Effective!$E$2:$R$2,0))),"")</f>
        <v/>
      </c>
      <c r="H783" s="22" t="inlineStr">
        <is>
          <t>override</t>
        </is>
      </c>
      <c r="I783" s="23" t="n">
        <v>0.243</v>
      </c>
      <c r="J783" s="24">
        <f>IF(AND(IF($H787&lt;&gt;"",$H787,$H783)="override",$I783&lt;&gt;""),$I783,SUMIFS(Assumptions!$K$4:$K$8,Assumptions!$J$4:$J$8,$C783))*Assumptions!$S$10</f>
        <v/>
      </c>
      <c r="K783" s="23" t="n"/>
      <c r="L783" s="25">
        <f>IF(AND(IF($H787&lt;&gt;"",$H787,$H783)="override",$K783&lt;&gt;""),$K783,SUMIFS(Assumptions!$P$4:$P$103,Assumptions!$M$4:$M$103,$C783,Assumptions!$N$4:$N$103,$E783,Assumptions!$O$4:$O$103,"LVN"))</f>
        <v/>
      </c>
      <c r="M783" s="23" t="n"/>
      <c r="N783" s="25">
        <f>IF(AND(IF($H787&lt;&gt;"",$H787,$H783)="override",$M783&lt;&gt;""),$M783,SUMIFS(Assumptions!$P$4:$P$103,Assumptions!$M$4:$M$103,$C783,Assumptions!$N$4:$N$103,$E783,Assumptions!$O$4:$O$103,"HVN"))</f>
        <v/>
      </c>
      <c r="O783" s="25">
        <f>(L783+N783)*Assumptions!$S$11</f>
        <v/>
      </c>
      <c r="P783" s="26">
        <f>$F783*$J783*$O783</f>
        <v/>
      </c>
    </row>
    <row r="784">
      <c r="A784" s="11" t="inlineStr">
        <is>
          <t>UNIT</t>
        </is>
      </c>
      <c r="B784" s="18" t="inlineStr">
        <is>
          <t>SINCLAIR_SINCLAIR</t>
        </is>
      </c>
      <c r="C784" s="18" t="n">
        <v>4</v>
      </c>
      <c r="D784" s="18" t="inlineStr">
        <is>
          <t>REF</t>
        </is>
      </c>
      <c r="E784" s="18" t="inlineStr">
        <is>
          <t>REFORMER</t>
        </is>
      </c>
      <c r="F784" s="19" t="n">
        <v>13</v>
      </c>
      <c r="G784" s="21">
        <f>IFERROR(IF(INDEX(Effective!$E$3:$R$125,MATCH($B784,Effective!$A$3:$A$125,0),MATCH($D784,Effective!$E$2:$R$2,0))=0,"",INDEX(Effective!$E$3:$R$125,MATCH($B784,Effective!$A$3:$A$125,0),MATCH($D784,Effective!$E$2:$R$2,0))),"")</f>
        <v/>
      </c>
      <c r="H784" s="22" t="inlineStr">
        <is>
          <t>override</t>
        </is>
      </c>
      <c r="I784" s="23" t="n">
        <v>0.966</v>
      </c>
      <c r="J784" s="24">
        <f>IF(AND(IF($H787&lt;&gt;"",$H787,$H784)="override",$I784&lt;&gt;""),$I784,SUMIFS(Assumptions!$K$4:$K$8,Assumptions!$J$4:$J$8,$C784))*Assumptions!$S$10</f>
        <v/>
      </c>
      <c r="K784" s="23" t="n"/>
      <c r="L784" s="25">
        <f>IF(AND(IF($H787&lt;&gt;"",$H787,$H784)="override",$K784&lt;&gt;""),$K784,SUMIFS(Assumptions!$P$4:$P$103,Assumptions!$M$4:$M$103,$C784,Assumptions!$N$4:$N$103,$E784,Assumptions!$O$4:$O$103,"LVN"))</f>
        <v/>
      </c>
      <c r="M784" s="23" t="n"/>
      <c r="N784" s="25">
        <f>IF(AND(IF($H787&lt;&gt;"",$H787,$H784)="override",$M784&lt;&gt;""),$M784,SUMIFS(Assumptions!$P$4:$P$103,Assumptions!$M$4:$M$103,$C784,Assumptions!$N$4:$N$103,$E784,Assumptions!$O$4:$O$103,"HVN"))</f>
        <v/>
      </c>
      <c r="O784" s="25">
        <f>(L784+N784)*Assumptions!$S$11</f>
        <v/>
      </c>
      <c r="P784" s="26">
        <f>$F784*$J784*$O784</f>
        <v/>
      </c>
    </row>
    <row r="785">
      <c r="A785" s="11" t="inlineStr">
        <is>
          <t>UNIT</t>
        </is>
      </c>
      <c r="B785" s="18" t="inlineStr">
        <is>
          <t>SINCLAIR_SINCLAIR</t>
        </is>
      </c>
      <c r="C785" s="18" t="n">
        <v>4</v>
      </c>
      <c r="D785" s="18" t="inlineStr">
        <is>
          <t>ALKY</t>
        </is>
      </c>
      <c r="E785" s="18" t="inlineStr">
        <is>
          <t>ALKY</t>
        </is>
      </c>
      <c r="F785" s="19" t="n">
        <v>5</v>
      </c>
      <c r="G785" s="21">
        <f>IFERROR(IF(INDEX(Effective!$E$3:$R$125,MATCH($B785,Effective!$A$3:$A$125,0),MATCH($D785,Effective!$E$2:$R$2,0))=0,"",INDEX(Effective!$E$3:$R$125,MATCH($B785,Effective!$A$3:$A$125,0),MATCH($D785,Effective!$E$2:$R$2,0))),"")</f>
        <v/>
      </c>
      <c r="H785" s="22" t="inlineStr">
        <is>
          <t>override</t>
        </is>
      </c>
      <c r="I785" s="23" t="n">
        <v>0.789</v>
      </c>
      <c r="J785" s="24">
        <f>IF(AND(IF($H787&lt;&gt;"",$H787,$H785)="override",$I785&lt;&gt;""),$I785,SUMIFS(Assumptions!$K$4:$K$8,Assumptions!$J$4:$J$8,$C785))*Assumptions!$S$10</f>
        <v/>
      </c>
      <c r="K785" s="23" t="n"/>
      <c r="L785" s="25">
        <f>IF(AND(IF($H787&lt;&gt;"",$H787,$H785)="override",$K785&lt;&gt;""),$K785,SUMIFS(Assumptions!$P$4:$P$103,Assumptions!$M$4:$M$103,$C785,Assumptions!$N$4:$N$103,$E785,Assumptions!$O$4:$O$103,"LVN"))</f>
        <v/>
      </c>
      <c r="M785" s="23" t="n"/>
      <c r="N785" s="25">
        <f>IF(AND(IF($H787&lt;&gt;"",$H787,$H785)="override",$M785&lt;&gt;""),$M785,SUMIFS(Assumptions!$P$4:$P$103,Assumptions!$M$4:$M$103,$C785,Assumptions!$N$4:$N$103,$E785,Assumptions!$O$4:$O$103,"HVN"))</f>
        <v/>
      </c>
      <c r="O785" s="25">
        <f>(L785+N785)*Assumptions!$S$11</f>
        <v/>
      </c>
      <c r="P785" s="26">
        <f>$F785*$J785*$O785</f>
        <v/>
      </c>
    </row>
    <row r="786">
      <c r="A786" s="11" t="inlineStr">
        <is>
          <t>UNIT</t>
        </is>
      </c>
      <c r="B786" s="18" t="inlineStr">
        <is>
          <t>SINCLAIR_SINCLAIR</t>
        </is>
      </c>
      <c r="C786" s="18" t="n">
        <v>4</v>
      </c>
      <c r="D786" s="18" t="inlineStr">
        <is>
          <t>NHT</t>
        </is>
      </c>
      <c r="E786" s="18" t="inlineStr">
        <is>
          <t>NHT</t>
        </is>
      </c>
      <c r="F786" s="19" t="n">
        <v>21.5</v>
      </c>
      <c r="G786" s="21">
        <f>IFERROR(IF(INDEX(Effective!$E$3:$R$125,MATCH($B786,Effective!$A$3:$A$125,0),MATCH($D786,Effective!$E$2:$R$2,0))=0,"",INDEX(Effective!$E$3:$R$125,MATCH($B786,Effective!$A$3:$A$125,0),MATCH($D786,Effective!$E$2:$R$2,0))),"")</f>
        <v/>
      </c>
      <c r="H786" s="22" t="inlineStr">
        <is>
          <t>override</t>
        </is>
      </c>
      <c r="I786" s="23" t="n">
        <v>0.997</v>
      </c>
      <c r="J786" s="24">
        <f>IF(AND(IF($H787&lt;&gt;"",$H787,$H786)="override",$I786&lt;&gt;""),$I786,SUMIFS(Assumptions!$K$4:$K$8,Assumptions!$J$4:$J$8,$C786))*Assumptions!$S$10</f>
        <v/>
      </c>
      <c r="K786" s="23" t="n"/>
      <c r="L786" s="25">
        <f>IF(AND(IF($H787&lt;&gt;"",$H787,$H786)="override",$K786&lt;&gt;""),$K786,SUMIFS(Assumptions!$P$4:$P$103,Assumptions!$M$4:$M$103,$C786,Assumptions!$N$4:$N$103,$E786,Assumptions!$O$4:$O$103,"LVN"))</f>
        <v/>
      </c>
      <c r="M786" s="23" t="n"/>
      <c r="N786" s="25">
        <f>IF(AND(IF($H787&lt;&gt;"",$H787,$H786)="override",$M786&lt;&gt;""),$M786,SUMIFS(Assumptions!$P$4:$P$103,Assumptions!$M$4:$M$103,$C786,Assumptions!$N$4:$N$103,$E786,Assumptions!$O$4:$O$103,"HVN"))</f>
        <v/>
      </c>
      <c r="O786" s="25">
        <f>(L786+N786)*Assumptions!$S$11</f>
        <v/>
      </c>
      <c r="P786" s="26">
        <f>$F786*$J786*$O786</f>
        <v/>
      </c>
    </row>
    <row r="787">
      <c r="A787" s="27" t="inlineStr">
        <is>
          <t>TOTAL</t>
        </is>
      </c>
      <c r="B787" s="28" t="inlineStr">
        <is>
          <t>SINCLAIR_SINCLAIR</t>
        </is>
      </c>
      <c r="C787" s="28" t="n">
        <v>4</v>
      </c>
      <c r="D787" s="28" t="inlineStr">
        <is>
          <t>NET NAPHTHA</t>
        </is>
      </c>
      <c r="H787" s="22" t="n"/>
      <c r="P787" s="29">
        <f>SUM(P779:P786)</f>
        <v/>
      </c>
    </row>
    <row r="789" ht="20" customHeight="1">
      <c r="A789" s="8">
        <f>"  Marathon Petroleum Salt Lake City  [MARATHON_SALT_LAKE_CITY]   —   Marathon Petroleum   —   PADD 4   —   crude "&amp;TEXT(SUMIFS(Data!$G$3:$G$125,Data!$A$3:$A$125,"MARATHON_SALT_LAKE_CITY"),"#,##0")&amp;" kbd"</f>
        <v/>
      </c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</row>
    <row r="790">
      <c r="A790" s="11" t="inlineStr">
        <is>
          <t>UNIT</t>
        </is>
      </c>
      <c r="B790" s="18" t="inlineStr">
        <is>
          <t>MARATHON_SALT_LAKE_CITY</t>
        </is>
      </c>
      <c r="C790" s="18" t="n">
        <v>4</v>
      </c>
      <c r="D790" s="18" t="inlineStr">
        <is>
          <t>CDU</t>
        </is>
      </c>
      <c r="E790" s="18" t="inlineStr">
        <is>
          <t>CDU</t>
        </is>
      </c>
      <c r="F790" s="19" t="n">
        <v>71.58</v>
      </c>
      <c r="G790" s="21">
        <f>IFERROR(IF(INDEX(Effective!$E$3:$R$125,MATCH($B790,Effective!$A$3:$A$125,0),MATCH($D790,Effective!$E$2:$R$2,0))=0,"",INDEX(Effective!$E$3:$R$125,MATCH($B790,Effective!$A$3:$A$125,0),MATCH($D790,Effective!$E$2:$R$2,0))),"")</f>
        <v/>
      </c>
      <c r="H790" s="22" t="inlineStr">
        <is>
          <t>override</t>
        </is>
      </c>
      <c r="I790" s="23" t="n">
        <v>0.88</v>
      </c>
      <c r="J790" s="24">
        <f>IF(AND(IF($H795&lt;&gt;"",$H795,$H790)="override",$I790&lt;&gt;""),$I790,SUMIFS(Assumptions!$K$4:$K$8,Assumptions!$J$4:$J$8,$C790))*Assumptions!$S$10</f>
        <v/>
      </c>
      <c r="K790" s="23" t="n"/>
      <c r="L790" s="25">
        <f>IF(AND(IF($H795&lt;&gt;"",$H795,$H790)="override",$K790&lt;&gt;""),$K790,SUMIFS(Assumptions!$P$4:$P$103,Assumptions!$M$4:$M$103,$C790,Assumptions!$N$4:$N$103,$E790,Assumptions!$O$4:$O$103,"LVN"))</f>
        <v/>
      </c>
      <c r="M790" s="23" t="n"/>
      <c r="N790" s="25">
        <f>IF(AND(IF($H795&lt;&gt;"",$H795,$H790)="override",$M790&lt;&gt;""),$M790,SUMIFS(Assumptions!$P$4:$P$103,Assumptions!$M$4:$M$103,$C790,Assumptions!$N$4:$N$103,$E790,Assumptions!$O$4:$O$103,"HVN"))</f>
        <v/>
      </c>
      <c r="O790" s="25">
        <f>(L790+N790)*Assumptions!$S$11</f>
        <v/>
      </c>
      <c r="P790" s="26">
        <f>$F790*$J790*$O790</f>
        <v/>
      </c>
    </row>
    <row r="791">
      <c r="A791" s="11" t="inlineStr">
        <is>
          <t>UNIT</t>
        </is>
      </c>
      <c r="B791" s="18" t="inlineStr">
        <is>
          <t>MARATHON_SALT_LAKE_CITY</t>
        </is>
      </c>
      <c r="C791" s="18" t="n">
        <v>4</v>
      </c>
      <c r="D791" s="18" t="inlineStr">
        <is>
          <t>RCC</t>
        </is>
      </c>
      <c r="E791" s="18" t="inlineStr">
        <is>
          <t>FCC</t>
        </is>
      </c>
      <c r="F791" s="19" t="n">
        <v>24.5</v>
      </c>
      <c r="G791" s="21">
        <f>IFERROR(IF(INDEX(Effective!$E$3:$R$125,MATCH($B791,Effective!$A$3:$A$125,0),MATCH($D791,Effective!$E$2:$R$2,0))=0,"",INDEX(Effective!$E$3:$R$125,MATCH($B791,Effective!$A$3:$A$125,0),MATCH($D791,Effective!$E$2:$R$2,0))),"")</f>
        <v/>
      </c>
      <c r="H791" s="22" t="inlineStr">
        <is>
          <t>override</t>
        </is>
      </c>
      <c r="I791" s="23" t="n">
        <v>0.9330000000000001</v>
      </c>
      <c r="J791" s="24">
        <f>IF(AND(IF($H795&lt;&gt;"",$H795,$H791)="override",$I791&lt;&gt;""),$I791,SUMIFS(Assumptions!$K$4:$K$8,Assumptions!$J$4:$J$8,$C791))*Assumptions!$S$10</f>
        <v/>
      </c>
      <c r="K791" s="23" t="n"/>
      <c r="L791" s="25">
        <f>IF(AND(IF($H795&lt;&gt;"",$H795,$H791)="override",$K791&lt;&gt;""),$K791,SUMIFS(Assumptions!$P$4:$P$103,Assumptions!$M$4:$M$103,$C791,Assumptions!$N$4:$N$103,$E791,Assumptions!$O$4:$O$103,"LVN"))</f>
        <v/>
      </c>
      <c r="M791" s="23" t="n"/>
      <c r="N791" s="25">
        <f>IF(AND(IF($H795&lt;&gt;"",$H795,$H791)="override",$M791&lt;&gt;""),$M791,SUMIFS(Assumptions!$P$4:$P$103,Assumptions!$M$4:$M$103,$C791,Assumptions!$N$4:$N$103,$E791,Assumptions!$O$4:$O$103,"HVN"))</f>
        <v/>
      </c>
      <c r="O791" s="25">
        <f>(L791+N791)*Assumptions!$S$11</f>
        <v/>
      </c>
      <c r="P791" s="26">
        <f>$F791*$J791*$O791</f>
        <v/>
      </c>
    </row>
    <row r="792">
      <c r="A792" s="11" t="inlineStr">
        <is>
          <t>UNIT</t>
        </is>
      </c>
      <c r="B792" s="18" t="inlineStr">
        <is>
          <t>MARATHON_SALT_LAKE_CITY</t>
        </is>
      </c>
      <c r="C792" s="18" t="n">
        <v>4</v>
      </c>
      <c r="D792" s="18" t="inlineStr">
        <is>
          <t>REF</t>
        </is>
      </c>
      <c r="E792" s="18" t="inlineStr">
        <is>
          <t>REFORMER</t>
        </is>
      </c>
      <c r="F792" s="19" t="n">
        <v>11.5</v>
      </c>
      <c r="G792" s="21">
        <f>IFERROR(IF(INDEX(Effective!$E$3:$R$125,MATCH($B792,Effective!$A$3:$A$125,0),MATCH($D792,Effective!$E$2:$R$2,0))=0,"",INDEX(Effective!$E$3:$R$125,MATCH($B792,Effective!$A$3:$A$125,0),MATCH($D792,Effective!$E$2:$R$2,0))),"")</f>
        <v/>
      </c>
      <c r="H792" s="22" t="inlineStr">
        <is>
          <t>override</t>
        </is>
      </c>
      <c r="I792" s="23" t="n">
        <v>0.6</v>
      </c>
      <c r="J792" s="24">
        <f>IF(AND(IF($H795&lt;&gt;"",$H795,$H792)="override",$I792&lt;&gt;""),$I792,SUMIFS(Assumptions!$K$4:$K$8,Assumptions!$J$4:$J$8,$C792))*Assumptions!$S$10</f>
        <v/>
      </c>
      <c r="K792" s="23" t="n"/>
      <c r="L792" s="25">
        <f>IF(AND(IF($H795&lt;&gt;"",$H795,$H792)="override",$K792&lt;&gt;""),$K792,SUMIFS(Assumptions!$P$4:$P$103,Assumptions!$M$4:$M$103,$C792,Assumptions!$N$4:$N$103,$E792,Assumptions!$O$4:$O$103,"LVN"))</f>
        <v/>
      </c>
      <c r="M792" s="23" t="n"/>
      <c r="N792" s="25">
        <f>IF(AND(IF($H795&lt;&gt;"",$H795,$H792)="override",$M792&lt;&gt;""),$M792,SUMIFS(Assumptions!$P$4:$P$103,Assumptions!$M$4:$M$103,$C792,Assumptions!$N$4:$N$103,$E792,Assumptions!$O$4:$O$103,"HVN"))</f>
        <v/>
      </c>
      <c r="O792" s="25">
        <f>(L792+N792)*Assumptions!$S$11</f>
        <v/>
      </c>
      <c r="P792" s="26">
        <f>$F792*$J792*$O792</f>
        <v/>
      </c>
    </row>
    <row r="793">
      <c r="A793" s="11" t="inlineStr">
        <is>
          <t>UNIT</t>
        </is>
      </c>
      <c r="B793" s="18" t="inlineStr">
        <is>
          <t>MARATHON_SALT_LAKE_CITY</t>
        </is>
      </c>
      <c r="C793" s="18" t="n">
        <v>4</v>
      </c>
      <c r="D793" s="18" t="inlineStr">
        <is>
          <t>ALKY</t>
        </is>
      </c>
      <c r="E793" s="18" t="inlineStr">
        <is>
          <t>ALKY</t>
        </is>
      </c>
      <c r="F793" s="19" t="n">
        <v>7.5</v>
      </c>
      <c r="G793" s="21">
        <f>IFERROR(IF(INDEX(Effective!$E$3:$R$125,MATCH($B793,Effective!$A$3:$A$125,0),MATCH($D793,Effective!$E$2:$R$2,0))=0,"",INDEX(Effective!$E$3:$R$125,MATCH($B793,Effective!$A$3:$A$125,0),MATCH($D793,Effective!$E$2:$R$2,0))),"")</f>
        <v/>
      </c>
      <c r="H793" s="22" t="inlineStr">
        <is>
          <t>override</t>
        </is>
      </c>
      <c r="I793" s="23" t="n">
        <v>0.782</v>
      </c>
      <c r="J793" s="24">
        <f>IF(AND(IF($H795&lt;&gt;"",$H795,$H793)="override",$I793&lt;&gt;""),$I793,SUMIFS(Assumptions!$K$4:$K$8,Assumptions!$J$4:$J$8,$C793))*Assumptions!$S$10</f>
        <v/>
      </c>
      <c r="K793" s="23" t="n"/>
      <c r="L793" s="25">
        <f>IF(AND(IF($H795&lt;&gt;"",$H795,$H793)="override",$K793&lt;&gt;""),$K793,SUMIFS(Assumptions!$P$4:$P$103,Assumptions!$M$4:$M$103,$C793,Assumptions!$N$4:$N$103,$E793,Assumptions!$O$4:$O$103,"LVN"))</f>
        <v/>
      </c>
      <c r="M793" s="23" t="n"/>
      <c r="N793" s="25">
        <f>IF(AND(IF($H795&lt;&gt;"",$H795,$H793)="override",$M793&lt;&gt;""),$M793,SUMIFS(Assumptions!$P$4:$P$103,Assumptions!$M$4:$M$103,$C793,Assumptions!$N$4:$N$103,$E793,Assumptions!$O$4:$O$103,"HVN"))</f>
        <v/>
      </c>
      <c r="O793" s="25">
        <f>(L793+N793)*Assumptions!$S$11</f>
        <v/>
      </c>
      <c r="P793" s="26">
        <f>$F793*$J793*$O793</f>
        <v/>
      </c>
    </row>
    <row r="794">
      <c r="A794" s="11" t="inlineStr">
        <is>
          <t>UNIT</t>
        </is>
      </c>
      <c r="B794" s="18" t="inlineStr">
        <is>
          <t>MARATHON_SALT_LAKE_CITY</t>
        </is>
      </c>
      <c r="C794" s="18" t="n">
        <v>4</v>
      </c>
      <c r="D794" s="18" t="inlineStr">
        <is>
          <t>NHT</t>
        </is>
      </c>
      <c r="E794" s="18" t="inlineStr">
        <is>
          <t>NHT</t>
        </is>
      </c>
      <c r="F794" s="19" t="n">
        <v>11.5</v>
      </c>
      <c r="G794" s="21">
        <f>IFERROR(IF(INDEX(Effective!$E$3:$R$125,MATCH($B794,Effective!$A$3:$A$125,0),MATCH($D794,Effective!$E$2:$R$2,0))=0,"",INDEX(Effective!$E$3:$R$125,MATCH($B794,Effective!$A$3:$A$125,0),MATCH($D794,Effective!$E$2:$R$2,0))),"")</f>
        <v/>
      </c>
      <c r="H794" s="22" t="inlineStr">
        <is>
          <t>override</t>
        </is>
      </c>
      <c r="I794" s="23" t="n">
        <v>1.1</v>
      </c>
      <c r="J794" s="24">
        <f>IF(AND(IF($H795&lt;&gt;"",$H795,$H794)="override",$I794&lt;&gt;""),$I794,SUMIFS(Assumptions!$K$4:$K$8,Assumptions!$J$4:$J$8,$C794))*Assumptions!$S$10</f>
        <v/>
      </c>
      <c r="K794" s="23" t="n"/>
      <c r="L794" s="25">
        <f>IF(AND(IF($H795&lt;&gt;"",$H795,$H794)="override",$K794&lt;&gt;""),$K794,SUMIFS(Assumptions!$P$4:$P$103,Assumptions!$M$4:$M$103,$C794,Assumptions!$N$4:$N$103,$E794,Assumptions!$O$4:$O$103,"LVN"))</f>
        <v/>
      </c>
      <c r="M794" s="23" t="n"/>
      <c r="N794" s="25">
        <f>IF(AND(IF($H795&lt;&gt;"",$H795,$H794)="override",$M794&lt;&gt;""),$M794,SUMIFS(Assumptions!$P$4:$P$103,Assumptions!$M$4:$M$103,$C794,Assumptions!$N$4:$N$103,$E794,Assumptions!$O$4:$O$103,"HVN"))</f>
        <v/>
      </c>
      <c r="O794" s="25">
        <f>(L794+N794)*Assumptions!$S$11</f>
        <v/>
      </c>
      <c r="P794" s="26">
        <f>$F794*$J794*$O794</f>
        <v/>
      </c>
    </row>
    <row r="795">
      <c r="A795" s="27" t="inlineStr">
        <is>
          <t>TOTAL</t>
        </is>
      </c>
      <c r="B795" s="28" t="inlineStr">
        <is>
          <t>MARATHON_SALT_LAKE_CITY</t>
        </is>
      </c>
      <c r="C795" s="28" t="n">
        <v>4</v>
      </c>
      <c r="D795" s="28" t="inlineStr">
        <is>
          <t>NET NAPHTHA</t>
        </is>
      </c>
      <c r="H795" s="22" t="n"/>
      <c r="P795" s="29">
        <f>SUM(P790:P794)</f>
        <v/>
      </c>
    </row>
    <row r="797" ht="20" customHeight="1">
      <c r="A797" s="8">
        <f>"  Phillips 66 Co. Billings  [PHILLIPS_BILLINGS]   —   Phillips 66 Co.   —   PADD 4   —   crude "&amp;TEXT(SUMIFS(Data!$G$3:$G$125,Data!$A$3:$A$125,"PHILLIPS_BILLINGS"),"#,##0")&amp;" kbd"</f>
        <v/>
      </c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</row>
    <row r="798">
      <c r="A798" s="11" t="inlineStr">
        <is>
          <t>UNIT</t>
        </is>
      </c>
      <c r="B798" s="18" t="inlineStr">
        <is>
          <t>PHILLIPS_BILLINGS</t>
        </is>
      </c>
      <c r="C798" s="18" t="n">
        <v>4</v>
      </c>
      <c r="D798" s="18" t="inlineStr">
        <is>
          <t>CDU</t>
        </is>
      </c>
      <c r="E798" s="18" t="inlineStr">
        <is>
          <t>CDU</t>
        </is>
      </c>
      <c r="F798" s="19" t="n">
        <v>69.5</v>
      </c>
      <c r="G798" s="21">
        <f>IFERROR(IF(INDEX(Effective!$E$3:$R$125,MATCH($B798,Effective!$A$3:$A$125,0),MATCH($D798,Effective!$E$2:$R$2,0))=0,"",INDEX(Effective!$E$3:$R$125,MATCH($B798,Effective!$A$3:$A$125,0),MATCH($D798,Effective!$E$2:$R$2,0))),"")</f>
        <v/>
      </c>
      <c r="H798" s="22" t="inlineStr">
        <is>
          <t>override</t>
        </is>
      </c>
      <c r="I798" s="23" t="n">
        <v>0.9399999999999999</v>
      </c>
      <c r="J798" s="24">
        <f>IF(AND(IF($H805&lt;&gt;"",$H805,$H798)="override",$I798&lt;&gt;""),$I798,SUMIFS(Assumptions!$K$4:$K$8,Assumptions!$J$4:$J$8,$C798))*Assumptions!$S$10</f>
        <v/>
      </c>
      <c r="K798" s="23" t="n"/>
      <c r="L798" s="25">
        <f>IF(AND(IF($H805&lt;&gt;"",$H805,$H798)="override",$K798&lt;&gt;""),$K798,SUMIFS(Assumptions!$P$4:$P$103,Assumptions!$M$4:$M$103,$C798,Assumptions!$N$4:$N$103,$E798,Assumptions!$O$4:$O$103,"LVN"))</f>
        <v/>
      </c>
      <c r="M798" s="23" t="n"/>
      <c r="N798" s="25">
        <f>IF(AND(IF($H805&lt;&gt;"",$H805,$H798)="override",$M798&lt;&gt;""),$M798,SUMIFS(Assumptions!$P$4:$P$103,Assumptions!$M$4:$M$103,$C798,Assumptions!$N$4:$N$103,$E798,Assumptions!$O$4:$O$103,"HVN"))</f>
        <v/>
      </c>
      <c r="O798" s="25">
        <f>(L798+N798)*Assumptions!$S$11</f>
        <v/>
      </c>
      <c r="P798" s="26">
        <f>$F798*$J798*$O798</f>
        <v/>
      </c>
    </row>
    <row r="799">
      <c r="A799" s="11" t="inlineStr">
        <is>
          <t>UNIT</t>
        </is>
      </c>
      <c r="B799" s="18" t="inlineStr">
        <is>
          <t>PHILLIPS_BILLINGS</t>
        </is>
      </c>
      <c r="C799" s="18" t="n">
        <v>4</v>
      </c>
      <c r="D799" s="18" t="inlineStr">
        <is>
          <t>VDU</t>
        </is>
      </c>
      <c r="E799" s="18" t="inlineStr">
        <is>
          <t>VDU</t>
        </is>
      </c>
      <c r="F799" s="19" t="n">
        <v>45.1</v>
      </c>
      <c r="G799" s="21">
        <f>IFERROR(IF(INDEX(Effective!$E$3:$R$125,MATCH($B799,Effective!$A$3:$A$125,0),MATCH($D799,Effective!$E$2:$R$2,0))=0,"",INDEX(Effective!$E$3:$R$125,MATCH($B799,Effective!$A$3:$A$125,0),MATCH($D799,Effective!$E$2:$R$2,0))),"")</f>
        <v/>
      </c>
      <c r="H799" s="22" t="inlineStr">
        <is>
          <t>override</t>
        </is>
      </c>
      <c r="I799" s="23" t="n">
        <v>0.656</v>
      </c>
      <c r="J799" s="24">
        <f>IF(AND(IF($H805&lt;&gt;"",$H805,$H799)="override",$I799&lt;&gt;""),$I799,SUMIFS(Assumptions!$K$4:$K$8,Assumptions!$J$4:$J$8,$C799))*Assumptions!$S$10</f>
        <v/>
      </c>
      <c r="K799" s="23" t="n"/>
      <c r="L799" s="25">
        <f>IF(AND(IF($H805&lt;&gt;"",$H805,$H799)="override",$K799&lt;&gt;""),$K799,SUMIFS(Assumptions!$P$4:$P$103,Assumptions!$M$4:$M$103,$C799,Assumptions!$N$4:$N$103,$E799,Assumptions!$O$4:$O$103,"LVN"))</f>
        <v/>
      </c>
      <c r="M799" s="23" t="n"/>
      <c r="N799" s="25">
        <f>IF(AND(IF($H805&lt;&gt;"",$H805,$H799)="override",$M799&lt;&gt;""),$M799,SUMIFS(Assumptions!$P$4:$P$103,Assumptions!$M$4:$M$103,$C799,Assumptions!$N$4:$N$103,$E799,Assumptions!$O$4:$O$103,"HVN"))</f>
        <v/>
      </c>
      <c r="O799" s="25">
        <f>(L799+N799)*Assumptions!$S$11</f>
        <v/>
      </c>
      <c r="P799" s="26">
        <f>$F799*$J799*$O799</f>
        <v/>
      </c>
    </row>
    <row r="800">
      <c r="A800" s="11" t="inlineStr">
        <is>
          <t>UNIT</t>
        </is>
      </c>
      <c r="B800" s="18" t="inlineStr">
        <is>
          <t>PHILLIPS_BILLINGS</t>
        </is>
      </c>
      <c r="C800" s="18" t="n">
        <v>4</v>
      </c>
      <c r="D800" s="18" t="inlineStr">
        <is>
          <t>FCC</t>
        </is>
      </c>
      <c r="E800" s="18" t="inlineStr">
        <is>
          <t>FCC</t>
        </is>
      </c>
      <c r="F800" s="19" t="n">
        <v>23.5</v>
      </c>
      <c r="G800" s="21">
        <f>IFERROR(IF(INDEX(Effective!$E$3:$R$125,MATCH($B800,Effective!$A$3:$A$125,0),MATCH($D800,Effective!$E$2:$R$2,0))=0,"",INDEX(Effective!$E$3:$R$125,MATCH($B800,Effective!$A$3:$A$125,0),MATCH($D800,Effective!$E$2:$R$2,0))),"")</f>
        <v/>
      </c>
      <c r="H800" s="22" t="inlineStr">
        <is>
          <t>override</t>
        </is>
      </c>
      <c r="I800" s="23" t="n">
        <v>0.823</v>
      </c>
      <c r="J800" s="24">
        <f>IF(AND(IF($H805&lt;&gt;"",$H805,$H800)="override",$I800&lt;&gt;""),$I800,SUMIFS(Assumptions!$K$4:$K$8,Assumptions!$J$4:$J$8,$C800))*Assumptions!$S$10</f>
        <v/>
      </c>
      <c r="K800" s="23" t="n"/>
      <c r="L800" s="25">
        <f>IF(AND(IF($H805&lt;&gt;"",$H805,$H800)="override",$K800&lt;&gt;""),$K800,SUMIFS(Assumptions!$P$4:$P$103,Assumptions!$M$4:$M$103,$C800,Assumptions!$N$4:$N$103,$E800,Assumptions!$O$4:$O$103,"LVN"))</f>
        <v/>
      </c>
      <c r="M800" s="23" t="n"/>
      <c r="N800" s="25">
        <f>IF(AND(IF($H805&lt;&gt;"",$H805,$H800)="override",$M800&lt;&gt;""),$M800,SUMIFS(Assumptions!$P$4:$P$103,Assumptions!$M$4:$M$103,$C800,Assumptions!$N$4:$N$103,$E800,Assumptions!$O$4:$O$103,"HVN"))</f>
        <v/>
      </c>
      <c r="O800" s="25">
        <f>(L800+N800)*Assumptions!$S$11</f>
        <v/>
      </c>
      <c r="P800" s="26">
        <f>$F800*$J800*$O800</f>
        <v/>
      </c>
    </row>
    <row r="801">
      <c r="A801" s="11" t="inlineStr">
        <is>
          <t>UNIT</t>
        </is>
      </c>
      <c r="B801" s="18" t="inlineStr">
        <is>
          <t>PHILLIPS_BILLINGS</t>
        </is>
      </c>
      <c r="C801" s="18" t="n">
        <v>4</v>
      </c>
      <c r="D801" s="18" t="inlineStr">
        <is>
          <t>COKER</t>
        </is>
      </c>
      <c r="E801" s="18" t="inlineStr">
        <is>
          <t>COKER</t>
        </is>
      </c>
      <c r="F801" s="19" t="n">
        <v>18.27</v>
      </c>
      <c r="G801" s="21">
        <f>IFERROR(IF(INDEX(Effective!$E$3:$R$125,MATCH($B801,Effective!$A$3:$A$125,0),MATCH($D801,Effective!$E$2:$R$2,0))=0,"",INDEX(Effective!$E$3:$R$125,MATCH($B801,Effective!$A$3:$A$125,0),MATCH($D801,Effective!$E$2:$R$2,0))),"")</f>
        <v/>
      </c>
      <c r="H801" s="22" t="inlineStr">
        <is>
          <t>override</t>
        </is>
      </c>
      <c r="I801" s="23" t="n">
        <v>0.864</v>
      </c>
      <c r="J801" s="24">
        <f>IF(AND(IF($H805&lt;&gt;"",$H805,$H801)="override",$I801&lt;&gt;""),$I801,SUMIFS(Assumptions!$K$4:$K$8,Assumptions!$J$4:$J$8,$C801))*Assumptions!$S$10</f>
        <v/>
      </c>
      <c r="K801" s="23" t="n"/>
      <c r="L801" s="25">
        <f>IF(AND(IF($H805&lt;&gt;"",$H805,$H801)="override",$K801&lt;&gt;""),$K801,SUMIFS(Assumptions!$P$4:$P$103,Assumptions!$M$4:$M$103,$C801,Assumptions!$N$4:$N$103,$E801,Assumptions!$O$4:$O$103,"LVN"))</f>
        <v/>
      </c>
      <c r="M801" s="23" t="n"/>
      <c r="N801" s="25">
        <f>IF(AND(IF($H805&lt;&gt;"",$H805,$H801)="override",$M801&lt;&gt;""),$M801,SUMIFS(Assumptions!$P$4:$P$103,Assumptions!$M$4:$M$103,$C801,Assumptions!$N$4:$N$103,$E801,Assumptions!$O$4:$O$103,"HVN"))</f>
        <v/>
      </c>
      <c r="O801" s="25">
        <f>(L801+N801)*Assumptions!$S$11</f>
        <v/>
      </c>
      <c r="P801" s="26">
        <f>$F801*$J801*$O801</f>
        <v/>
      </c>
    </row>
    <row r="802">
      <c r="A802" s="11" t="inlineStr">
        <is>
          <t>UNIT</t>
        </is>
      </c>
      <c r="B802" s="18" t="inlineStr">
        <is>
          <t>PHILLIPS_BILLINGS</t>
        </is>
      </c>
      <c r="C802" s="18" t="n">
        <v>4</v>
      </c>
      <c r="D802" s="18" t="inlineStr">
        <is>
          <t>REF</t>
        </is>
      </c>
      <c r="E802" s="18" t="inlineStr">
        <is>
          <t>REFORMER</t>
        </is>
      </c>
      <c r="F802" s="19" t="n">
        <v>9.199999999999999</v>
      </c>
      <c r="G802" s="21">
        <f>IFERROR(IF(INDEX(Effective!$E$3:$R$125,MATCH($B802,Effective!$A$3:$A$125,0),MATCH($D802,Effective!$E$2:$R$2,0))=0,"",INDEX(Effective!$E$3:$R$125,MATCH($B802,Effective!$A$3:$A$125,0),MATCH($D802,Effective!$E$2:$R$2,0))),"")</f>
        <v/>
      </c>
      <c r="H802" s="22" t="inlineStr">
        <is>
          <t>override</t>
        </is>
      </c>
      <c r="I802" s="23" t="n">
        <v>0.911</v>
      </c>
      <c r="J802" s="24">
        <f>IF(AND(IF($H805&lt;&gt;"",$H805,$H802)="override",$I802&lt;&gt;""),$I802,SUMIFS(Assumptions!$K$4:$K$8,Assumptions!$J$4:$J$8,$C802))*Assumptions!$S$10</f>
        <v/>
      </c>
      <c r="K802" s="23" t="n"/>
      <c r="L802" s="25">
        <f>IF(AND(IF($H805&lt;&gt;"",$H805,$H802)="override",$K802&lt;&gt;""),$K802,SUMIFS(Assumptions!$P$4:$P$103,Assumptions!$M$4:$M$103,$C802,Assumptions!$N$4:$N$103,$E802,Assumptions!$O$4:$O$103,"LVN"))</f>
        <v/>
      </c>
      <c r="M802" s="23" t="n"/>
      <c r="N802" s="25">
        <f>IF(AND(IF($H805&lt;&gt;"",$H805,$H802)="override",$M802&lt;&gt;""),$M802,SUMIFS(Assumptions!$P$4:$P$103,Assumptions!$M$4:$M$103,$C802,Assumptions!$N$4:$N$103,$E802,Assumptions!$O$4:$O$103,"HVN"))</f>
        <v/>
      </c>
      <c r="O802" s="25">
        <f>(L802+N802)*Assumptions!$S$11</f>
        <v/>
      </c>
      <c r="P802" s="26">
        <f>$F802*$J802*$O802</f>
        <v/>
      </c>
    </row>
    <row r="803">
      <c r="A803" s="11" t="inlineStr">
        <is>
          <t>UNIT</t>
        </is>
      </c>
      <c r="B803" s="18" t="inlineStr">
        <is>
          <t>PHILLIPS_BILLINGS</t>
        </is>
      </c>
      <c r="C803" s="18" t="n">
        <v>4</v>
      </c>
      <c r="D803" s="18" t="inlineStr">
        <is>
          <t>ALKY</t>
        </is>
      </c>
      <c r="E803" s="18" t="inlineStr">
        <is>
          <t>ALKY</t>
        </is>
      </c>
      <c r="F803" s="19" t="n">
        <v>7.3</v>
      </c>
      <c r="G803" s="21">
        <f>IFERROR(IF(INDEX(Effective!$E$3:$R$125,MATCH($B803,Effective!$A$3:$A$125,0),MATCH($D803,Effective!$E$2:$R$2,0))=0,"",INDEX(Effective!$E$3:$R$125,MATCH($B803,Effective!$A$3:$A$125,0),MATCH($D803,Effective!$E$2:$R$2,0))),"")</f>
        <v/>
      </c>
      <c r="H803" s="22" t="inlineStr">
        <is>
          <t>override</t>
        </is>
      </c>
      <c r="I803" s="23" t="n">
        <v>0.767</v>
      </c>
      <c r="J803" s="24">
        <f>IF(AND(IF($H805&lt;&gt;"",$H805,$H803)="override",$I803&lt;&gt;""),$I803,SUMIFS(Assumptions!$K$4:$K$8,Assumptions!$J$4:$J$8,$C803))*Assumptions!$S$10</f>
        <v/>
      </c>
      <c r="K803" s="23" t="n"/>
      <c r="L803" s="25">
        <f>IF(AND(IF($H805&lt;&gt;"",$H805,$H803)="override",$K803&lt;&gt;""),$K803,SUMIFS(Assumptions!$P$4:$P$103,Assumptions!$M$4:$M$103,$C803,Assumptions!$N$4:$N$103,$E803,Assumptions!$O$4:$O$103,"LVN"))</f>
        <v/>
      </c>
      <c r="M803" s="23" t="n"/>
      <c r="N803" s="25">
        <f>IF(AND(IF($H805&lt;&gt;"",$H805,$H803)="override",$M803&lt;&gt;""),$M803,SUMIFS(Assumptions!$P$4:$P$103,Assumptions!$M$4:$M$103,$C803,Assumptions!$N$4:$N$103,$E803,Assumptions!$O$4:$O$103,"HVN"))</f>
        <v/>
      </c>
      <c r="O803" s="25">
        <f>(L803+N803)*Assumptions!$S$11</f>
        <v/>
      </c>
      <c r="P803" s="26">
        <f>$F803*$J803*$O803</f>
        <v/>
      </c>
    </row>
    <row r="804">
      <c r="A804" s="11" t="inlineStr">
        <is>
          <t>UNIT</t>
        </is>
      </c>
      <c r="B804" s="18" t="inlineStr">
        <is>
          <t>PHILLIPS_BILLINGS</t>
        </is>
      </c>
      <c r="C804" s="18" t="n">
        <v>4</v>
      </c>
      <c r="D804" s="18" t="inlineStr">
        <is>
          <t>NHT</t>
        </is>
      </c>
      <c r="E804" s="18" t="inlineStr">
        <is>
          <t>NHT</t>
        </is>
      </c>
      <c r="F804" s="19" t="n">
        <v>12.25</v>
      </c>
      <c r="G804" s="21">
        <f>IFERROR(IF(INDEX(Effective!$E$3:$R$125,MATCH($B804,Effective!$A$3:$A$125,0),MATCH($D804,Effective!$E$2:$R$2,0))=0,"",INDEX(Effective!$E$3:$R$125,MATCH($B804,Effective!$A$3:$A$125,0),MATCH($D804,Effective!$E$2:$R$2,0))),"")</f>
        <v/>
      </c>
      <c r="H804" s="22" t="inlineStr">
        <is>
          <t>override</t>
        </is>
      </c>
      <c r="I804" s="23" t="n">
        <v>1</v>
      </c>
      <c r="J804" s="24">
        <f>IF(AND(IF($H805&lt;&gt;"",$H805,$H804)="override",$I804&lt;&gt;""),$I804,SUMIFS(Assumptions!$K$4:$K$8,Assumptions!$J$4:$J$8,$C804))*Assumptions!$S$10</f>
        <v/>
      </c>
      <c r="K804" s="23" t="n"/>
      <c r="L804" s="25">
        <f>IF(AND(IF($H805&lt;&gt;"",$H805,$H804)="override",$K804&lt;&gt;""),$K804,SUMIFS(Assumptions!$P$4:$P$103,Assumptions!$M$4:$M$103,$C804,Assumptions!$N$4:$N$103,$E804,Assumptions!$O$4:$O$103,"LVN"))</f>
        <v/>
      </c>
      <c r="M804" s="23" t="n"/>
      <c r="N804" s="25">
        <f>IF(AND(IF($H805&lt;&gt;"",$H805,$H804)="override",$M804&lt;&gt;""),$M804,SUMIFS(Assumptions!$P$4:$P$103,Assumptions!$M$4:$M$103,$C804,Assumptions!$N$4:$N$103,$E804,Assumptions!$O$4:$O$103,"HVN"))</f>
        <v/>
      </c>
      <c r="O804" s="25">
        <f>(L804+N804)*Assumptions!$S$11</f>
        <v/>
      </c>
      <c r="P804" s="26">
        <f>$F804*$J804*$O804</f>
        <v/>
      </c>
    </row>
    <row r="805">
      <c r="A805" s="27" t="inlineStr">
        <is>
          <t>TOTAL</t>
        </is>
      </c>
      <c r="B805" s="28" t="inlineStr">
        <is>
          <t>PHILLIPS_BILLINGS</t>
        </is>
      </c>
      <c r="C805" s="28" t="n">
        <v>4</v>
      </c>
      <c r="D805" s="28" t="inlineStr">
        <is>
          <t>NET NAPHTHA</t>
        </is>
      </c>
      <c r="H805" s="22" t="n"/>
      <c r="P805" s="29">
        <f>SUM(P798:P804)</f>
        <v/>
      </c>
    </row>
    <row r="807" ht="20" customHeight="1">
      <c r="A807" s="8">
        <f>"  Par Petroleum Billings  [PAR_BILLINGS]   —   Par Petroleum   —   PADD 4   —   crude "&amp;TEXT(SUMIFS(Data!$G$3:$G$125,Data!$A$3:$A$125,"PAR_BILLINGS"),"#,##0")&amp;" kbd"</f>
        <v/>
      </c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</row>
    <row r="808">
      <c r="A808" s="11" t="inlineStr">
        <is>
          <t>UNIT</t>
        </is>
      </c>
      <c r="B808" s="18" t="inlineStr">
        <is>
          <t>PAR_BILLINGS</t>
        </is>
      </c>
      <c r="C808" s="18" t="n">
        <v>4</v>
      </c>
      <c r="D808" s="18" t="inlineStr">
        <is>
          <t>CDU</t>
        </is>
      </c>
      <c r="E808" s="18" t="inlineStr">
        <is>
          <t>CDU</t>
        </is>
      </c>
      <c r="F808" s="19" t="n">
        <v>62.9</v>
      </c>
      <c r="G808" s="21">
        <f>IFERROR(IF(INDEX(Effective!$E$3:$R$125,MATCH($B808,Effective!$A$3:$A$125,0),MATCH($D808,Effective!$E$2:$R$2,0))=0,"",INDEX(Effective!$E$3:$R$125,MATCH($B808,Effective!$A$3:$A$125,0),MATCH($D808,Effective!$E$2:$R$2,0))),"")</f>
        <v/>
      </c>
      <c r="H808" s="22" t="inlineStr">
        <is>
          <t>override</t>
        </is>
      </c>
      <c r="I808" s="23" t="n">
        <v>0.79</v>
      </c>
      <c r="J808" s="24">
        <f>IF(AND(IF($H816&lt;&gt;"",$H816,$H808)="override",$I808&lt;&gt;""),$I808,SUMIFS(Assumptions!$K$4:$K$8,Assumptions!$J$4:$J$8,$C808))*Assumptions!$S$10</f>
        <v/>
      </c>
      <c r="K808" s="23" t="n"/>
      <c r="L808" s="25">
        <f>IF(AND(IF($H816&lt;&gt;"",$H816,$H808)="override",$K808&lt;&gt;""),$K808,SUMIFS(Assumptions!$P$4:$P$103,Assumptions!$M$4:$M$103,$C808,Assumptions!$N$4:$N$103,$E808,Assumptions!$O$4:$O$103,"LVN"))</f>
        <v/>
      </c>
      <c r="M808" s="23" t="n"/>
      <c r="N808" s="25">
        <f>IF(AND(IF($H816&lt;&gt;"",$H816,$H808)="override",$M808&lt;&gt;""),$M808,SUMIFS(Assumptions!$P$4:$P$103,Assumptions!$M$4:$M$103,$C808,Assumptions!$N$4:$N$103,$E808,Assumptions!$O$4:$O$103,"HVN"))</f>
        <v/>
      </c>
      <c r="O808" s="25">
        <f>(L808+N808)*Assumptions!$S$11</f>
        <v/>
      </c>
      <c r="P808" s="26">
        <f>$F808*$J808*$O808</f>
        <v/>
      </c>
    </row>
    <row r="809">
      <c r="A809" s="11" t="inlineStr">
        <is>
          <t>UNIT</t>
        </is>
      </c>
      <c r="B809" s="18" t="inlineStr">
        <is>
          <t>PAR_BILLINGS</t>
        </is>
      </c>
      <c r="C809" s="18" t="n">
        <v>4</v>
      </c>
      <c r="D809" s="18" t="inlineStr">
        <is>
          <t>VDU</t>
        </is>
      </c>
      <c r="E809" s="18" t="inlineStr">
        <is>
          <t>VDU</t>
        </is>
      </c>
      <c r="F809" s="19" t="n">
        <v>32.3</v>
      </c>
      <c r="G809" s="21">
        <f>IFERROR(IF(INDEX(Effective!$E$3:$R$125,MATCH($B809,Effective!$A$3:$A$125,0),MATCH($D809,Effective!$E$2:$R$2,0))=0,"",INDEX(Effective!$E$3:$R$125,MATCH($B809,Effective!$A$3:$A$125,0),MATCH($D809,Effective!$E$2:$R$2,0))),"")</f>
        <v/>
      </c>
      <c r="H809" s="22" t="inlineStr">
        <is>
          <t>override</t>
        </is>
      </c>
      <c r="I809" s="23" t="n">
        <v>0.741</v>
      </c>
      <c r="J809" s="24">
        <f>IF(AND(IF($H816&lt;&gt;"",$H816,$H809)="override",$I809&lt;&gt;""),$I809,SUMIFS(Assumptions!$K$4:$K$8,Assumptions!$J$4:$J$8,$C809))*Assumptions!$S$10</f>
        <v/>
      </c>
      <c r="K809" s="23" t="n"/>
      <c r="L809" s="25">
        <f>IF(AND(IF($H816&lt;&gt;"",$H816,$H809)="override",$K809&lt;&gt;""),$K809,SUMIFS(Assumptions!$P$4:$P$103,Assumptions!$M$4:$M$103,$C809,Assumptions!$N$4:$N$103,$E809,Assumptions!$O$4:$O$103,"LVN"))</f>
        <v/>
      </c>
      <c r="M809" s="23" t="n"/>
      <c r="N809" s="25">
        <f>IF(AND(IF($H816&lt;&gt;"",$H816,$H809)="override",$M809&lt;&gt;""),$M809,SUMIFS(Assumptions!$P$4:$P$103,Assumptions!$M$4:$M$103,$C809,Assumptions!$N$4:$N$103,$E809,Assumptions!$O$4:$O$103,"HVN"))</f>
        <v/>
      </c>
      <c r="O809" s="25">
        <f>(L809+N809)*Assumptions!$S$11</f>
        <v/>
      </c>
      <c r="P809" s="26">
        <f>$F809*$J809*$O809</f>
        <v/>
      </c>
    </row>
    <row r="810">
      <c r="A810" s="11" t="inlineStr">
        <is>
          <t>UNIT</t>
        </is>
      </c>
      <c r="B810" s="18" t="inlineStr">
        <is>
          <t>PAR_BILLINGS</t>
        </is>
      </c>
      <c r="C810" s="18" t="n">
        <v>4</v>
      </c>
      <c r="D810" s="18" t="inlineStr">
        <is>
          <t>FCC</t>
        </is>
      </c>
      <c r="E810" s="18" t="inlineStr">
        <is>
          <t>FCC</t>
        </is>
      </c>
      <c r="F810" s="19" t="n">
        <v>23.66</v>
      </c>
      <c r="G810" s="21">
        <f>IFERROR(IF(INDEX(Effective!$E$3:$R$125,MATCH($B810,Effective!$A$3:$A$125,0),MATCH($D810,Effective!$E$2:$R$2,0))=0,"",INDEX(Effective!$E$3:$R$125,MATCH($B810,Effective!$A$3:$A$125,0),MATCH($D810,Effective!$E$2:$R$2,0))),"")</f>
        <v/>
      </c>
      <c r="H810" s="22" t="inlineStr">
        <is>
          <t>override</t>
        </is>
      </c>
      <c r="I810" s="23" t="n">
        <v>0.571</v>
      </c>
      <c r="J810" s="24">
        <f>IF(AND(IF($H816&lt;&gt;"",$H816,$H810)="override",$I810&lt;&gt;""),$I810,SUMIFS(Assumptions!$K$4:$K$8,Assumptions!$J$4:$J$8,$C810))*Assumptions!$S$10</f>
        <v/>
      </c>
      <c r="K810" s="23" t="n"/>
      <c r="L810" s="25">
        <f>IF(AND(IF($H816&lt;&gt;"",$H816,$H810)="override",$K810&lt;&gt;""),$K810,SUMIFS(Assumptions!$P$4:$P$103,Assumptions!$M$4:$M$103,$C810,Assumptions!$N$4:$N$103,$E810,Assumptions!$O$4:$O$103,"LVN"))</f>
        <v/>
      </c>
      <c r="M810" s="23" t="n"/>
      <c r="N810" s="25">
        <f>IF(AND(IF($H816&lt;&gt;"",$H816,$H810)="override",$M810&lt;&gt;""),$M810,SUMIFS(Assumptions!$P$4:$P$103,Assumptions!$M$4:$M$103,$C810,Assumptions!$N$4:$N$103,$E810,Assumptions!$O$4:$O$103,"HVN"))</f>
        <v/>
      </c>
      <c r="O810" s="25">
        <f>(L810+N810)*Assumptions!$S$11</f>
        <v/>
      </c>
      <c r="P810" s="26">
        <f>$F810*$J810*$O810</f>
        <v/>
      </c>
    </row>
    <row r="811">
      <c r="A811" s="11" t="inlineStr">
        <is>
          <t>UNIT</t>
        </is>
      </c>
      <c r="B811" s="18" t="inlineStr">
        <is>
          <t>PAR_BILLINGS</t>
        </is>
      </c>
      <c r="C811" s="18" t="n">
        <v>4</v>
      </c>
      <c r="D811" s="18" t="inlineStr">
        <is>
          <t>DHCU</t>
        </is>
      </c>
      <c r="E811" s="18" t="inlineStr">
        <is>
          <t>HYDROCRACKER</t>
        </is>
      </c>
      <c r="F811" s="19" t="n">
        <v>6.2</v>
      </c>
      <c r="G811" s="21">
        <f>IFERROR(IF(INDEX(Effective!$E$3:$R$125,MATCH($B811,Effective!$A$3:$A$125,0),MATCH($D811,Effective!$E$2:$R$2,0))=0,"",INDEX(Effective!$E$3:$R$125,MATCH($B811,Effective!$A$3:$A$125,0),MATCH($D811,Effective!$E$2:$R$2,0))),"")</f>
        <v/>
      </c>
      <c r="H811" s="22" t="inlineStr">
        <is>
          <t>override</t>
        </is>
      </c>
      <c r="I811" s="23" t="n">
        <v>0.758</v>
      </c>
      <c r="J811" s="24">
        <f>IF(AND(IF($H816&lt;&gt;"",$H816,$H811)="override",$I811&lt;&gt;""),$I811,SUMIFS(Assumptions!$K$4:$K$8,Assumptions!$J$4:$J$8,$C811))*Assumptions!$S$10</f>
        <v/>
      </c>
      <c r="K811" s="23" t="n"/>
      <c r="L811" s="25">
        <f>IF(AND(IF($H816&lt;&gt;"",$H816,$H811)="override",$K811&lt;&gt;""),$K811,SUMIFS(Assumptions!$P$4:$P$103,Assumptions!$M$4:$M$103,$C811,Assumptions!$N$4:$N$103,$E811,Assumptions!$O$4:$O$103,"LVN"))</f>
        <v/>
      </c>
      <c r="M811" s="23" t="n"/>
      <c r="N811" s="25">
        <f>IF(AND(IF($H816&lt;&gt;"",$H816,$H811)="override",$M811&lt;&gt;""),$M811,SUMIFS(Assumptions!$P$4:$P$103,Assumptions!$M$4:$M$103,$C811,Assumptions!$N$4:$N$103,$E811,Assumptions!$O$4:$O$103,"HVN"))</f>
        <v/>
      </c>
      <c r="O811" s="25">
        <f>(L811+N811)*Assumptions!$S$11</f>
        <v/>
      </c>
      <c r="P811" s="26">
        <f>$F811*$J811*$O811</f>
        <v/>
      </c>
    </row>
    <row r="812">
      <c r="A812" s="11" t="inlineStr">
        <is>
          <t>UNIT</t>
        </is>
      </c>
      <c r="B812" s="18" t="inlineStr">
        <is>
          <t>PAR_BILLINGS</t>
        </is>
      </c>
      <c r="C812" s="18" t="n">
        <v>4</v>
      </c>
      <c r="D812" s="18" t="inlineStr">
        <is>
          <t>FCOKER</t>
        </is>
      </c>
      <c r="E812" s="18" t="inlineStr">
        <is>
          <t>COKER</t>
        </is>
      </c>
      <c r="F812" s="19" t="n">
        <v>10</v>
      </c>
      <c r="G812" s="21">
        <f>IFERROR(IF(INDEX(Effective!$E$3:$R$125,MATCH($B812,Effective!$A$3:$A$125,0),MATCH($D812,Effective!$E$2:$R$2,0))=0,"",INDEX(Effective!$E$3:$R$125,MATCH($B812,Effective!$A$3:$A$125,0),MATCH($D812,Effective!$E$2:$R$2,0))),"")</f>
        <v/>
      </c>
      <c r="H812" s="22" t="inlineStr">
        <is>
          <t>override</t>
        </is>
      </c>
      <c r="I812" s="23" t="n">
        <v>0.605</v>
      </c>
      <c r="J812" s="24">
        <f>IF(AND(IF($H816&lt;&gt;"",$H816,$H812)="override",$I812&lt;&gt;""),$I812,SUMIFS(Assumptions!$K$4:$K$8,Assumptions!$J$4:$J$8,$C812))*Assumptions!$S$10</f>
        <v/>
      </c>
      <c r="K812" s="23" t="n"/>
      <c r="L812" s="25">
        <f>IF(AND(IF($H816&lt;&gt;"",$H816,$H812)="override",$K812&lt;&gt;""),$K812,SUMIFS(Assumptions!$P$4:$P$103,Assumptions!$M$4:$M$103,$C812,Assumptions!$N$4:$N$103,$E812,Assumptions!$O$4:$O$103,"LVN"))</f>
        <v/>
      </c>
      <c r="M812" s="23" t="n"/>
      <c r="N812" s="25">
        <f>IF(AND(IF($H816&lt;&gt;"",$H816,$H812)="override",$M812&lt;&gt;""),$M812,SUMIFS(Assumptions!$P$4:$P$103,Assumptions!$M$4:$M$103,$C812,Assumptions!$N$4:$N$103,$E812,Assumptions!$O$4:$O$103,"HVN"))</f>
        <v/>
      </c>
      <c r="O812" s="25">
        <f>(L812+N812)*Assumptions!$S$11</f>
        <v/>
      </c>
      <c r="P812" s="26">
        <f>$F812*$J812*$O812</f>
        <v/>
      </c>
    </row>
    <row r="813">
      <c r="A813" s="11" t="inlineStr">
        <is>
          <t>UNIT</t>
        </is>
      </c>
      <c r="B813" s="18" t="inlineStr">
        <is>
          <t>PAR_BILLINGS</t>
        </is>
      </c>
      <c r="C813" s="18" t="n">
        <v>4</v>
      </c>
      <c r="D813" s="18" t="inlineStr">
        <is>
          <t>REF</t>
        </is>
      </c>
      <c r="E813" s="18" t="inlineStr">
        <is>
          <t>REFORMER</t>
        </is>
      </c>
      <c r="F813" s="19" t="n">
        <v>12.5</v>
      </c>
      <c r="G813" s="21">
        <f>IFERROR(IF(INDEX(Effective!$E$3:$R$125,MATCH($B813,Effective!$A$3:$A$125,0),MATCH($D813,Effective!$E$2:$R$2,0))=0,"",INDEX(Effective!$E$3:$R$125,MATCH($B813,Effective!$A$3:$A$125,0),MATCH($D813,Effective!$E$2:$R$2,0))),"")</f>
        <v/>
      </c>
      <c r="H813" s="22" t="inlineStr">
        <is>
          <t>override</t>
        </is>
      </c>
      <c r="I813" s="23" t="n">
        <v>0.6879999999999999</v>
      </c>
      <c r="J813" s="24">
        <f>IF(AND(IF($H816&lt;&gt;"",$H816,$H813)="override",$I813&lt;&gt;""),$I813,SUMIFS(Assumptions!$K$4:$K$8,Assumptions!$J$4:$J$8,$C813))*Assumptions!$S$10</f>
        <v/>
      </c>
      <c r="K813" s="23" t="n"/>
      <c r="L813" s="25">
        <f>IF(AND(IF($H816&lt;&gt;"",$H816,$H813)="override",$K813&lt;&gt;""),$K813,SUMIFS(Assumptions!$P$4:$P$103,Assumptions!$M$4:$M$103,$C813,Assumptions!$N$4:$N$103,$E813,Assumptions!$O$4:$O$103,"LVN"))</f>
        <v/>
      </c>
      <c r="M813" s="23" t="n"/>
      <c r="N813" s="25">
        <f>IF(AND(IF($H816&lt;&gt;"",$H816,$H813)="override",$M813&lt;&gt;""),$M813,SUMIFS(Assumptions!$P$4:$P$103,Assumptions!$M$4:$M$103,$C813,Assumptions!$N$4:$N$103,$E813,Assumptions!$O$4:$O$103,"HVN"))</f>
        <v/>
      </c>
      <c r="O813" s="25">
        <f>(L813+N813)*Assumptions!$S$11</f>
        <v/>
      </c>
      <c r="P813" s="26">
        <f>$F813*$J813*$O813</f>
        <v/>
      </c>
    </row>
    <row r="814">
      <c r="A814" s="11" t="inlineStr">
        <is>
          <t>UNIT</t>
        </is>
      </c>
      <c r="B814" s="18" t="inlineStr">
        <is>
          <t>PAR_BILLINGS</t>
        </is>
      </c>
      <c r="C814" s="18" t="n">
        <v>4</v>
      </c>
      <c r="D814" s="18" t="inlineStr">
        <is>
          <t>ALKY</t>
        </is>
      </c>
      <c r="E814" s="18" t="inlineStr">
        <is>
          <t>ALKY</t>
        </is>
      </c>
      <c r="F814" s="19" t="n">
        <v>5.1</v>
      </c>
      <c r="G814" s="21">
        <f>IFERROR(IF(INDEX(Effective!$E$3:$R$125,MATCH($B814,Effective!$A$3:$A$125,0),MATCH($D814,Effective!$E$2:$R$2,0))=0,"",INDEX(Effective!$E$3:$R$125,MATCH($B814,Effective!$A$3:$A$125,0),MATCH($D814,Effective!$E$2:$R$2,0))),"")</f>
        <v/>
      </c>
      <c r="H814" s="22" t="inlineStr">
        <is>
          <t>override</t>
        </is>
      </c>
      <c r="I814" s="23" t="n">
        <v>0.927</v>
      </c>
      <c r="J814" s="24">
        <f>IF(AND(IF($H816&lt;&gt;"",$H816,$H814)="override",$I814&lt;&gt;""),$I814,SUMIFS(Assumptions!$K$4:$K$8,Assumptions!$J$4:$J$8,$C814))*Assumptions!$S$10</f>
        <v/>
      </c>
      <c r="K814" s="23" t="n"/>
      <c r="L814" s="25">
        <f>IF(AND(IF($H816&lt;&gt;"",$H816,$H814)="override",$K814&lt;&gt;""),$K814,SUMIFS(Assumptions!$P$4:$P$103,Assumptions!$M$4:$M$103,$C814,Assumptions!$N$4:$N$103,$E814,Assumptions!$O$4:$O$103,"LVN"))</f>
        <v/>
      </c>
      <c r="M814" s="23" t="n"/>
      <c r="N814" s="25">
        <f>IF(AND(IF($H816&lt;&gt;"",$H816,$H814)="override",$M814&lt;&gt;""),$M814,SUMIFS(Assumptions!$P$4:$P$103,Assumptions!$M$4:$M$103,$C814,Assumptions!$N$4:$N$103,$E814,Assumptions!$O$4:$O$103,"HVN"))</f>
        <v/>
      </c>
      <c r="O814" s="25">
        <f>(L814+N814)*Assumptions!$S$11</f>
        <v/>
      </c>
      <c r="P814" s="26">
        <f>$F814*$J814*$O814</f>
        <v/>
      </c>
    </row>
    <row r="815">
      <c r="A815" s="11" t="inlineStr">
        <is>
          <t>UNIT</t>
        </is>
      </c>
      <c r="B815" s="18" t="inlineStr">
        <is>
          <t>PAR_BILLINGS</t>
        </is>
      </c>
      <c r="C815" s="18" t="n">
        <v>4</v>
      </c>
      <c r="D815" s="18" t="inlineStr">
        <is>
          <t>NHT</t>
        </is>
      </c>
      <c r="E815" s="18" t="inlineStr">
        <is>
          <t>NHT</t>
        </is>
      </c>
      <c r="F815" s="19" t="n">
        <v>13.9</v>
      </c>
      <c r="G815" s="21">
        <f>IFERROR(IF(INDEX(Effective!$E$3:$R$125,MATCH($B815,Effective!$A$3:$A$125,0),MATCH($D815,Effective!$E$2:$R$2,0))=0,"",INDEX(Effective!$E$3:$R$125,MATCH($B815,Effective!$A$3:$A$125,0),MATCH($D815,Effective!$E$2:$R$2,0))),"")</f>
        <v/>
      </c>
      <c r="H815" s="22" t="inlineStr">
        <is>
          <t>override</t>
        </is>
      </c>
      <c r="I815" s="23" t="n">
        <v>0.8139999999999999</v>
      </c>
      <c r="J815" s="24">
        <f>IF(AND(IF($H816&lt;&gt;"",$H816,$H815)="override",$I815&lt;&gt;""),$I815,SUMIFS(Assumptions!$K$4:$K$8,Assumptions!$J$4:$J$8,$C815))*Assumptions!$S$10</f>
        <v/>
      </c>
      <c r="K815" s="23" t="n"/>
      <c r="L815" s="25">
        <f>IF(AND(IF($H816&lt;&gt;"",$H816,$H815)="override",$K815&lt;&gt;""),$K815,SUMIFS(Assumptions!$P$4:$P$103,Assumptions!$M$4:$M$103,$C815,Assumptions!$N$4:$N$103,$E815,Assumptions!$O$4:$O$103,"LVN"))</f>
        <v/>
      </c>
      <c r="M815" s="23" t="n"/>
      <c r="N815" s="25">
        <f>IF(AND(IF($H816&lt;&gt;"",$H816,$H815)="override",$M815&lt;&gt;""),$M815,SUMIFS(Assumptions!$P$4:$P$103,Assumptions!$M$4:$M$103,$C815,Assumptions!$N$4:$N$103,$E815,Assumptions!$O$4:$O$103,"HVN"))</f>
        <v/>
      </c>
      <c r="O815" s="25">
        <f>(L815+N815)*Assumptions!$S$11</f>
        <v/>
      </c>
      <c r="P815" s="26">
        <f>$F815*$J815*$O815</f>
        <v/>
      </c>
    </row>
    <row r="816">
      <c r="A816" s="27" t="inlineStr">
        <is>
          <t>TOTAL</t>
        </is>
      </c>
      <c r="B816" s="28" t="inlineStr">
        <is>
          <t>PAR_BILLINGS</t>
        </is>
      </c>
      <c r="C816" s="28" t="n">
        <v>4</v>
      </c>
      <c r="D816" s="28" t="inlineStr">
        <is>
          <t>NET NAPHTHA</t>
        </is>
      </c>
      <c r="H816" s="22" t="n"/>
      <c r="P816" s="29">
        <f>SUM(P808:P815)</f>
        <v/>
      </c>
    </row>
    <row r="818" ht="20" customHeight="1">
      <c r="A818" s="8">
        <f>"  CHS Laurel  [CHS_LAUREL]   —   CHS   —   PADD 4   —   crude "&amp;TEXT(SUMIFS(Data!$G$3:$G$125,Data!$A$3:$A$125,"CHS_LAUREL"),"#,##0")&amp;" kbd"</f>
        <v/>
      </c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</row>
    <row r="819">
      <c r="A819" s="11" t="inlineStr">
        <is>
          <t>UNIT</t>
        </is>
      </c>
      <c r="B819" s="18" t="inlineStr">
        <is>
          <t>CHS_LAUREL</t>
        </is>
      </c>
      <c r="C819" s="18" t="n">
        <v>4</v>
      </c>
      <c r="D819" s="18" t="inlineStr">
        <is>
          <t>CDU</t>
        </is>
      </c>
      <c r="E819" s="18" t="inlineStr">
        <is>
          <t>CDU</t>
        </is>
      </c>
      <c r="F819" s="19" t="n">
        <v>65</v>
      </c>
      <c r="G819" s="21">
        <f>IFERROR(IF(INDEX(Effective!$E$3:$R$125,MATCH($B819,Effective!$A$3:$A$125,0),MATCH($D819,Effective!$E$2:$R$2,0))=0,"",INDEX(Effective!$E$3:$R$125,MATCH($B819,Effective!$A$3:$A$125,0),MATCH($D819,Effective!$E$2:$R$2,0))),"")</f>
        <v/>
      </c>
      <c r="H819" s="22" t="inlineStr">
        <is>
          <t>override</t>
        </is>
      </c>
      <c r="I819" s="23" t="n">
        <v>0.997</v>
      </c>
      <c r="J819" s="24">
        <f>IF(AND(IF($H827&lt;&gt;"",$H827,$H819)="override",$I819&lt;&gt;""),$I819,SUMIFS(Assumptions!$K$4:$K$8,Assumptions!$J$4:$J$8,$C819))*Assumptions!$S$10</f>
        <v/>
      </c>
      <c r="K819" s="23" t="n"/>
      <c r="L819" s="25">
        <f>IF(AND(IF($H827&lt;&gt;"",$H827,$H819)="override",$K819&lt;&gt;""),$K819,SUMIFS(Assumptions!$P$4:$P$103,Assumptions!$M$4:$M$103,$C819,Assumptions!$N$4:$N$103,$E819,Assumptions!$O$4:$O$103,"LVN"))</f>
        <v/>
      </c>
      <c r="M819" s="23" t="n"/>
      <c r="N819" s="25">
        <f>IF(AND(IF($H827&lt;&gt;"",$H827,$H819)="override",$M819&lt;&gt;""),$M819,SUMIFS(Assumptions!$P$4:$P$103,Assumptions!$M$4:$M$103,$C819,Assumptions!$N$4:$N$103,$E819,Assumptions!$O$4:$O$103,"HVN"))</f>
        <v/>
      </c>
      <c r="O819" s="25">
        <f>(L819+N819)*Assumptions!$S$11</f>
        <v/>
      </c>
      <c r="P819" s="26">
        <f>$F819*$J819*$O819</f>
        <v/>
      </c>
    </row>
    <row r="820">
      <c r="A820" s="11" t="inlineStr">
        <is>
          <t>UNIT</t>
        </is>
      </c>
      <c r="B820" s="18" t="inlineStr">
        <is>
          <t>CHS_LAUREL</t>
        </is>
      </c>
      <c r="C820" s="18" t="n">
        <v>4</v>
      </c>
      <c r="D820" s="18" t="inlineStr">
        <is>
          <t>VDU</t>
        </is>
      </c>
      <c r="E820" s="18" t="inlineStr">
        <is>
          <t>VDU</t>
        </is>
      </c>
      <c r="F820" s="19" t="n">
        <v>32.2</v>
      </c>
      <c r="G820" s="21">
        <f>IFERROR(IF(INDEX(Effective!$E$3:$R$125,MATCH($B820,Effective!$A$3:$A$125,0),MATCH($D820,Effective!$E$2:$R$2,0))=0,"",INDEX(Effective!$E$3:$R$125,MATCH($B820,Effective!$A$3:$A$125,0),MATCH($D820,Effective!$E$2:$R$2,0))),"")</f>
        <v/>
      </c>
      <c r="H820" s="22" t="inlineStr">
        <is>
          <t>override</t>
        </is>
      </c>
      <c r="I820" s="23" t="n">
        <v>0.978</v>
      </c>
      <c r="J820" s="24">
        <f>IF(AND(IF($H827&lt;&gt;"",$H827,$H820)="override",$I820&lt;&gt;""),$I820,SUMIFS(Assumptions!$K$4:$K$8,Assumptions!$J$4:$J$8,$C820))*Assumptions!$S$10</f>
        <v/>
      </c>
      <c r="K820" s="23" t="n"/>
      <c r="L820" s="25">
        <f>IF(AND(IF($H827&lt;&gt;"",$H827,$H820)="override",$K820&lt;&gt;""),$K820,SUMIFS(Assumptions!$P$4:$P$103,Assumptions!$M$4:$M$103,$C820,Assumptions!$N$4:$N$103,$E820,Assumptions!$O$4:$O$103,"LVN"))</f>
        <v/>
      </c>
      <c r="M820" s="23" t="n"/>
      <c r="N820" s="25">
        <f>IF(AND(IF($H827&lt;&gt;"",$H827,$H820)="override",$M820&lt;&gt;""),$M820,SUMIFS(Assumptions!$P$4:$P$103,Assumptions!$M$4:$M$103,$C820,Assumptions!$N$4:$N$103,$E820,Assumptions!$O$4:$O$103,"HVN"))</f>
        <v/>
      </c>
      <c r="O820" s="25">
        <f>(L820+N820)*Assumptions!$S$11</f>
        <v/>
      </c>
      <c r="P820" s="26">
        <f>$F820*$J820*$O820</f>
        <v/>
      </c>
    </row>
    <row r="821">
      <c r="A821" s="11" t="inlineStr">
        <is>
          <t>UNIT</t>
        </is>
      </c>
      <c r="B821" s="18" t="inlineStr">
        <is>
          <t>CHS_LAUREL</t>
        </is>
      </c>
      <c r="C821" s="18" t="n">
        <v>4</v>
      </c>
      <c r="D821" s="18" t="inlineStr">
        <is>
          <t>FCC</t>
        </is>
      </c>
      <c r="E821" s="18" t="inlineStr">
        <is>
          <t>FCC</t>
        </is>
      </c>
      <c r="F821" s="19" t="n">
        <v>16.5</v>
      </c>
      <c r="G821" s="21">
        <f>IFERROR(IF(INDEX(Effective!$E$3:$R$125,MATCH($B821,Effective!$A$3:$A$125,0),MATCH($D821,Effective!$E$2:$R$2,0))=0,"",INDEX(Effective!$E$3:$R$125,MATCH($B821,Effective!$A$3:$A$125,0),MATCH($D821,Effective!$E$2:$R$2,0))),"")</f>
        <v/>
      </c>
      <c r="H821" s="22" t="inlineStr">
        <is>
          <t>override</t>
        </is>
      </c>
      <c r="I821" s="23" t="n">
        <v>0.99</v>
      </c>
      <c r="J821" s="24">
        <f>IF(AND(IF($H827&lt;&gt;"",$H827,$H821)="override",$I821&lt;&gt;""),$I821,SUMIFS(Assumptions!$K$4:$K$8,Assumptions!$J$4:$J$8,$C821))*Assumptions!$S$10</f>
        <v/>
      </c>
      <c r="K821" s="23" t="n"/>
      <c r="L821" s="25">
        <f>IF(AND(IF($H827&lt;&gt;"",$H827,$H821)="override",$K821&lt;&gt;""),$K821,SUMIFS(Assumptions!$P$4:$P$103,Assumptions!$M$4:$M$103,$C821,Assumptions!$N$4:$N$103,$E821,Assumptions!$O$4:$O$103,"LVN"))</f>
        <v/>
      </c>
      <c r="M821" s="23" t="n"/>
      <c r="N821" s="25">
        <f>IF(AND(IF($H827&lt;&gt;"",$H827,$H821)="override",$M821&lt;&gt;""),$M821,SUMIFS(Assumptions!$P$4:$P$103,Assumptions!$M$4:$M$103,$C821,Assumptions!$N$4:$N$103,$E821,Assumptions!$O$4:$O$103,"HVN"))</f>
        <v/>
      </c>
      <c r="O821" s="25">
        <f>(L821+N821)*Assumptions!$S$11</f>
        <v/>
      </c>
      <c r="P821" s="26">
        <f>$F821*$J821*$O821</f>
        <v/>
      </c>
    </row>
    <row r="822">
      <c r="A822" s="11" t="inlineStr">
        <is>
          <t>UNIT</t>
        </is>
      </c>
      <c r="B822" s="18" t="inlineStr">
        <is>
          <t>CHS_LAUREL</t>
        </is>
      </c>
      <c r="C822" s="18" t="n">
        <v>4</v>
      </c>
      <c r="D822" s="18" t="inlineStr">
        <is>
          <t>COKER</t>
        </is>
      </c>
      <c r="E822" s="18" t="inlineStr">
        <is>
          <t>COKER</t>
        </is>
      </c>
      <c r="F822" s="19" t="n">
        <v>16</v>
      </c>
      <c r="G822" s="21">
        <f>IFERROR(IF(INDEX(Effective!$E$3:$R$125,MATCH($B822,Effective!$A$3:$A$125,0),MATCH($D822,Effective!$E$2:$R$2,0))=0,"",INDEX(Effective!$E$3:$R$125,MATCH($B822,Effective!$A$3:$A$125,0),MATCH($D822,Effective!$E$2:$R$2,0))),"")</f>
        <v/>
      </c>
      <c r="H822" s="22" t="inlineStr">
        <is>
          <t>override</t>
        </is>
      </c>
      <c r="I822" s="23" t="n">
        <v>0.887</v>
      </c>
      <c r="J822" s="24">
        <f>IF(AND(IF($H827&lt;&gt;"",$H827,$H822)="override",$I822&lt;&gt;""),$I822,SUMIFS(Assumptions!$K$4:$K$8,Assumptions!$J$4:$J$8,$C822))*Assumptions!$S$10</f>
        <v/>
      </c>
      <c r="K822" s="23" t="n"/>
      <c r="L822" s="25">
        <f>IF(AND(IF($H827&lt;&gt;"",$H827,$H822)="override",$K822&lt;&gt;""),$K822,SUMIFS(Assumptions!$P$4:$P$103,Assumptions!$M$4:$M$103,$C822,Assumptions!$N$4:$N$103,$E822,Assumptions!$O$4:$O$103,"LVN"))</f>
        <v/>
      </c>
      <c r="M822" s="23" t="n"/>
      <c r="N822" s="25">
        <f>IF(AND(IF($H827&lt;&gt;"",$H827,$H822)="override",$M822&lt;&gt;""),$M822,SUMIFS(Assumptions!$P$4:$P$103,Assumptions!$M$4:$M$103,$C822,Assumptions!$N$4:$N$103,$E822,Assumptions!$O$4:$O$103,"HVN"))</f>
        <v/>
      </c>
      <c r="O822" s="25">
        <f>(L822+N822)*Assumptions!$S$11</f>
        <v/>
      </c>
      <c r="P822" s="26">
        <f>$F822*$J822*$O822</f>
        <v/>
      </c>
    </row>
    <row r="823">
      <c r="A823" s="11" t="inlineStr">
        <is>
          <t>UNIT</t>
        </is>
      </c>
      <c r="B823" s="18" t="inlineStr">
        <is>
          <t>CHS_LAUREL</t>
        </is>
      </c>
      <c r="C823" s="18" t="n">
        <v>4</v>
      </c>
      <c r="D823" s="18" t="inlineStr">
        <is>
          <t>CCR</t>
        </is>
      </c>
      <c r="E823" s="18" t="inlineStr">
        <is>
          <t>REFORMER</t>
        </is>
      </c>
      <c r="F823" s="19" t="n">
        <v>12.5</v>
      </c>
      <c r="G823" s="21">
        <f>IFERROR(IF(INDEX(Effective!$E$3:$R$125,MATCH($B823,Effective!$A$3:$A$125,0),MATCH($D823,Effective!$E$2:$R$2,0))=0,"",INDEX(Effective!$E$3:$R$125,MATCH($B823,Effective!$A$3:$A$125,0),MATCH($D823,Effective!$E$2:$R$2,0))),"")</f>
        <v/>
      </c>
      <c r="H823" s="22" t="inlineStr">
        <is>
          <t>override</t>
        </is>
      </c>
      <c r="I823" s="23" t="n"/>
      <c r="J823" s="24">
        <f>IF(AND(IF($H827&lt;&gt;"",$H827,$H823)="override",$I823&lt;&gt;""),$I823,SUMIFS(Assumptions!$K$4:$K$8,Assumptions!$J$4:$J$8,$C823))*Assumptions!$S$10</f>
        <v/>
      </c>
      <c r="K823" s="23" t="n"/>
      <c r="L823" s="25">
        <f>IF(AND(IF($H827&lt;&gt;"",$H827,$H823)="override",$K823&lt;&gt;""),$K823,SUMIFS(Assumptions!$P$4:$P$103,Assumptions!$M$4:$M$103,$C823,Assumptions!$N$4:$N$103,$E823,Assumptions!$O$4:$O$103,"LVN"))</f>
        <v/>
      </c>
      <c r="M823" s="23" t="n"/>
      <c r="N823" s="25">
        <f>IF(AND(IF($H827&lt;&gt;"",$H827,$H823)="override",$M823&lt;&gt;""),$M823,SUMIFS(Assumptions!$P$4:$P$103,Assumptions!$M$4:$M$103,$C823,Assumptions!$N$4:$N$103,$E823,Assumptions!$O$4:$O$103,"HVN"))</f>
        <v/>
      </c>
      <c r="O823" s="25">
        <f>(L823+N823)*Assumptions!$S$11</f>
        <v/>
      </c>
      <c r="P823" s="26">
        <f>$F823*$J823*$O823</f>
        <v/>
      </c>
    </row>
    <row r="824">
      <c r="A824" s="11" t="inlineStr">
        <is>
          <t>UNIT</t>
        </is>
      </c>
      <c r="B824" s="18" t="inlineStr">
        <is>
          <t>CHS_LAUREL</t>
        </is>
      </c>
      <c r="C824" s="18" t="n">
        <v>4</v>
      </c>
      <c r="D824" s="18" t="inlineStr">
        <is>
          <t>REF</t>
        </is>
      </c>
      <c r="E824" s="18" t="inlineStr">
        <is>
          <t>REFORMER</t>
        </is>
      </c>
      <c r="F824" s="19" t="n">
        <v>12</v>
      </c>
      <c r="G824" s="21">
        <f>IFERROR(IF(INDEX(Effective!$E$3:$R$125,MATCH($B824,Effective!$A$3:$A$125,0),MATCH($D824,Effective!$E$2:$R$2,0))=0,"",INDEX(Effective!$E$3:$R$125,MATCH($B824,Effective!$A$3:$A$125,0),MATCH($D824,Effective!$E$2:$R$2,0))),"")</f>
        <v/>
      </c>
      <c r="H824" s="22" t="inlineStr">
        <is>
          <t>override</t>
        </is>
      </c>
      <c r="I824" s="23" t="n">
        <v>0.923</v>
      </c>
      <c r="J824" s="24">
        <f>IF(AND(IF($H827&lt;&gt;"",$H827,$H824)="override",$I824&lt;&gt;""),$I824,SUMIFS(Assumptions!$K$4:$K$8,Assumptions!$J$4:$J$8,$C824))*Assumptions!$S$10</f>
        <v/>
      </c>
      <c r="K824" s="23" t="n"/>
      <c r="L824" s="25">
        <f>IF(AND(IF($H827&lt;&gt;"",$H827,$H824)="override",$K824&lt;&gt;""),$K824,SUMIFS(Assumptions!$P$4:$P$103,Assumptions!$M$4:$M$103,$C824,Assumptions!$N$4:$N$103,$E824,Assumptions!$O$4:$O$103,"LVN"))</f>
        <v/>
      </c>
      <c r="M824" s="23" t="n"/>
      <c r="N824" s="25">
        <f>IF(AND(IF($H827&lt;&gt;"",$H827,$H824)="override",$M824&lt;&gt;""),$M824,SUMIFS(Assumptions!$P$4:$P$103,Assumptions!$M$4:$M$103,$C824,Assumptions!$N$4:$N$103,$E824,Assumptions!$O$4:$O$103,"HVN"))</f>
        <v/>
      </c>
      <c r="O824" s="25">
        <f>(L824+N824)*Assumptions!$S$11</f>
        <v/>
      </c>
      <c r="P824" s="26">
        <f>$F824*$J824*$O824</f>
        <v/>
      </c>
    </row>
    <row r="825">
      <c r="A825" s="11" t="inlineStr">
        <is>
          <t>UNIT</t>
        </is>
      </c>
      <c r="B825" s="18" t="inlineStr">
        <is>
          <t>CHS_LAUREL</t>
        </is>
      </c>
      <c r="C825" s="18" t="n">
        <v>4</v>
      </c>
      <c r="D825" s="18" t="inlineStr">
        <is>
          <t>ALKY</t>
        </is>
      </c>
      <c r="E825" s="18" t="inlineStr">
        <is>
          <t>ALKY</t>
        </is>
      </c>
      <c r="F825" s="19" t="n">
        <v>4</v>
      </c>
      <c r="G825" s="21">
        <f>IFERROR(IF(INDEX(Effective!$E$3:$R$125,MATCH($B825,Effective!$A$3:$A$125,0),MATCH($D825,Effective!$E$2:$R$2,0))=0,"",INDEX(Effective!$E$3:$R$125,MATCH($B825,Effective!$A$3:$A$125,0),MATCH($D825,Effective!$E$2:$R$2,0))),"")</f>
        <v/>
      </c>
      <c r="H825" s="22" t="inlineStr">
        <is>
          <t>override</t>
        </is>
      </c>
      <c r="I825" s="23" t="n">
        <v>0.747</v>
      </c>
      <c r="J825" s="24">
        <f>IF(AND(IF($H827&lt;&gt;"",$H827,$H825)="override",$I825&lt;&gt;""),$I825,SUMIFS(Assumptions!$K$4:$K$8,Assumptions!$J$4:$J$8,$C825))*Assumptions!$S$10</f>
        <v/>
      </c>
      <c r="K825" s="23" t="n"/>
      <c r="L825" s="25">
        <f>IF(AND(IF($H827&lt;&gt;"",$H827,$H825)="override",$K825&lt;&gt;""),$K825,SUMIFS(Assumptions!$P$4:$P$103,Assumptions!$M$4:$M$103,$C825,Assumptions!$N$4:$N$103,$E825,Assumptions!$O$4:$O$103,"LVN"))</f>
        <v/>
      </c>
      <c r="M825" s="23" t="n"/>
      <c r="N825" s="25">
        <f>IF(AND(IF($H827&lt;&gt;"",$H827,$H825)="override",$M825&lt;&gt;""),$M825,SUMIFS(Assumptions!$P$4:$P$103,Assumptions!$M$4:$M$103,$C825,Assumptions!$N$4:$N$103,$E825,Assumptions!$O$4:$O$103,"HVN"))</f>
        <v/>
      </c>
      <c r="O825" s="25">
        <f>(L825+N825)*Assumptions!$S$11</f>
        <v/>
      </c>
      <c r="P825" s="26">
        <f>$F825*$J825*$O825</f>
        <v/>
      </c>
    </row>
    <row r="826">
      <c r="A826" s="11" t="inlineStr">
        <is>
          <t>UNIT</t>
        </is>
      </c>
      <c r="B826" s="18" t="inlineStr">
        <is>
          <t>CHS_LAUREL</t>
        </is>
      </c>
      <c r="C826" s="18" t="n">
        <v>4</v>
      </c>
      <c r="D826" s="18" t="inlineStr">
        <is>
          <t>NHT</t>
        </is>
      </c>
      <c r="E826" s="18" t="inlineStr">
        <is>
          <t>NHT</t>
        </is>
      </c>
      <c r="F826" s="19" t="n">
        <v>17</v>
      </c>
      <c r="G826" s="21">
        <f>IFERROR(IF(INDEX(Effective!$E$3:$R$125,MATCH($B826,Effective!$A$3:$A$125,0),MATCH($D826,Effective!$E$2:$R$2,0))=0,"",INDEX(Effective!$E$3:$R$125,MATCH($B826,Effective!$A$3:$A$125,0),MATCH($D826,Effective!$E$2:$R$2,0))),"")</f>
        <v/>
      </c>
      <c r="H826" s="22" t="inlineStr">
        <is>
          <t>override</t>
        </is>
      </c>
      <c r="I826" s="23" t="n">
        <v>0.978</v>
      </c>
      <c r="J826" s="24">
        <f>IF(AND(IF($H827&lt;&gt;"",$H827,$H826)="override",$I826&lt;&gt;""),$I826,SUMIFS(Assumptions!$K$4:$K$8,Assumptions!$J$4:$J$8,$C826))*Assumptions!$S$10</f>
        <v/>
      </c>
      <c r="K826" s="23" t="n"/>
      <c r="L826" s="25">
        <f>IF(AND(IF($H827&lt;&gt;"",$H827,$H826)="override",$K826&lt;&gt;""),$K826,SUMIFS(Assumptions!$P$4:$P$103,Assumptions!$M$4:$M$103,$C826,Assumptions!$N$4:$N$103,$E826,Assumptions!$O$4:$O$103,"LVN"))</f>
        <v/>
      </c>
      <c r="M826" s="23" t="n"/>
      <c r="N826" s="25">
        <f>IF(AND(IF($H827&lt;&gt;"",$H827,$H826)="override",$M826&lt;&gt;""),$M826,SUMIFS(Assumptions!$P$4:$P$103,Assumptions!$M$4:$M$103,$C826,Assumptions!$N$4:$N$103,$E826,Assumptions!$O$4:$O$103,"HVN"))</f>
        <v/>
      </c>
      <c r="O826" s="25">
        <f>(L826+N826)*Assumptions!$S$11</f>
        <v/>
      </c>
      <c r="P826" s="26">
        <f>$F826*$J826*$O826</f>
        <v/>
      </c>
    </row>
    <row r="827">
      <c r="A827" s="27" t="inlineStr">
        <is>
          <t>TOTAL</t>
        </is>
      </c>
      <c r="B827" s="28" t="inlineStr">
        <is>
          <t>CHS_LAUREL</t>
        </is>
      </c>
      <c r="C827" s="28" t="n">
        <v>4</v>
      </c>
      <c r="D827" s="28" t="inlineStr">
        <is>
          <t>NET NAPHTHA</t>
        </is>
      </c>
      <c r="H827" s="22" t="n"/>
      <c r="P827" s="29">
        <f>SUM(P819:P826)</f>
        <v/>
      </c>
    </row>
    <row r="829" ht="20" customHeight="1">
      <c r="A829" s="8">
        <f>"  Chevron Salt Lake City  [CHEVRON_SALT_LAKE_CITY]   —   Chevron   —   PADD 4   —   crude "&amp;TEXT(SUMIFS(Data!$G$3:$G$125,Data!$A$3:$A$125,"CHEVRON_SALT_LAKE_CITY"),"#,##0")&amp;" kbd"</f>
        <v/>
      </c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</row>
    <row r="830">
      <c r="A830" s="11" t="inlineStr">
        <is>
          <t>UNIT</t>
        </is>
      </c>
      <c r="B830" s="18" t="inlineStr">
        <is>
          <t>CHEVRON_SALT_LAKE_CITY</t>
        </is>
      </c>
      <c r="C830" s="18" t="n">
        <v>4</v>
      </c>
      <c r="D830" s="18" t="inlineStr">
        <is>
          <t>CDU</t>
        </is>
      </c>
      <c r="E830" s="18" t="inlineStr">
        <is>
          <t>CDU</t>
        </is>
      </c>
      <c r="F830" s="19" t="n">
        <v>57.6</v>
      </c>
      <c r="G830" s="21">
        <f>IFERROR(IF(INDEX(Effective!$E$3:$R$125,MATCH($B830,Effective!$A$3:$A$125,0),MATCH($D830,Effective!$E$2:$R$2,0))=0,"",INDEX(Effective!$E$3:$R$125,MATCH($B830,Effective!$A$3:$A$125,0),MATCH($D830,Effective!$E$2:$R$2,0))),"")</f>
        <v/>
      </c>
      <c r="H830" s="22" t="inlineStr">
        <is>
          <t>override</t>
        </is>
      </c>
      <c r="I830" s="23" t="n">
        <v>0.851</v>
      </c>
      <c r="J830" s="24">
        <f>IF(AND(IF($H837&lt;&gt;"",$H837,$H830)="override",$I830&lt;&gt;""),$I830,SUMIFS(Assumptions!$K$4:$K$8,Assumptions!$J$4:$J$8,$C830))*Assumptions!$S$10</f>
        <v/>
      </c>
      <c r="K830" s="23" t="n"/>
      <c r="L830" s="25">
        <f>IF(AND(IF($H837&lt;&gt;"",$H837,$H830)="override",$K830&lt;&gt;""),$K830,SUMIFS(Assumptions!$P$4:$P$103,Assumptions!$M$4:$M$103,$C830,Assumptions!$N$4:$N$103,$E830,Assumptions!$O$4:$O$103,"LVN"))</f>
        <v/>
      </c>
      <c r="M830" s="23" t="n"/>
      <c r="N830" s="25">
        <f>IF(AND(IF($H837&lt;&gt;"",$H837,$H830)="override",$M830&lt;&gt;""),$M830,SUMIFS(Assumptions!$P$4:$P$103,Assumptions!$M$4:$M$103,$C830,Assumptions!$N$4:$N$103,$E830,Assumptions!$O$4:$O$103,"HVN"))</f>
        <v/>
      </c>
      <c r="O830" s="25">
        <f>(L830+N830)*Assumptions!$S$11</f>
        <v/>
      </c>
      <c r="P830" s="26">
        <f>$F830*$J830*$O830</f>
        <v/>
      </c>
    </row>
    <row r="831">
      <c r="A831" s="11" t="inlineStr">
        <is>
          <t>UNIT</t>
        </is>
      </c>
      <c r="B831" s="18" t="inlineStr">
        <is>
          <t>CHEVRON_SALT_LAKE_CITY</t>
        </is>
      </c>
      <c r="C831" s="18" t="n">
        <v>4</v>
      </c>
      <c r="D831" s="18" t="inlineStr">
        <is>
          <t>VDU</t>
        </is>
      </c>
      <c r="E831" s="18" t="inlineStr">
        <is>
          <t>VDU</t>
        </is>
      </c>
      <c r="F831" s="19" t="n">
        <v>27.9</v>
      </c>
      <c r="G831" s="21">
        <f>IFERROR(IF(INDEX(Effective!$E$3:$R$125,MATCH($B831,Effective!$A$3:$A$125,0),MATCH($D831,Effective!$E$2:$R$2,0))=0,"",INDEX(Effective!$E$3:$R$125,MATCH($B831,Effective!$A$3:$A$125,0),MATCH($D831,Effective!$E$2:$R$2,0))),"")</f>
        <v/>
      </c>
      <c r="H831" s="22" t="inlineStr">
        <is>
          <t>override</t>
        </is>
      </c>
      <c r="I831" s="23" t="n">
        <v>0.5679999999999999</v>
      </c>
      <c r="J831" s="24">
        <f>IF(AND(IF($H837&lt;&gt;"",$H837,$H831)="override",$I831&lt;&gt;""),$I831,SUMIFS(Assumptions!$K$4:$K$8,Assumptions!$J$4:$J$8,$C831))*Assumptions!$S$10</f>
        <v/>
      </c>
      <c r="K831" s="23" t="n"/>
      <c r="L831" s="25">
        <f>IF(AND(IF($H837&lt;&gt;"",$H837,$H831)="override",$K831&lt;&gt;""),$K831,SUMIFS(Assumptions!$P$4:$P$103,Assumptions!$M$4:$M$103,$C831,Assumptions!$N$4:$N$103,$E831,Assumptions!$O$4:$O$103,"LVN"))</f>
        <v/>
      </c>
      <c r="M831" s="23" t="n"/>
      <c r="N831" s="25">
        <f>IF(AND(IF($H837&lt;&gt;"",$H837,$H831)="override",$M831&lt;&gt;""),$M831,SUMIFS(Assumptions!$P$4:$P$103,Assumptions!$M$4:$M$103,$C831,Assumptions!$N$4:$N$103,$E831,Assumptions!$O$4:$O$103,"HVN"))</f>
        <v/>
      </c>
      <c r="O831" s="25">
        <f>(L831+N831)*Assumptions!$S$11</f>
        <v/>
      </c>
      <c r="P831" s="26">
        <f>$F831*$J831*$O831</f>
        <v/>
      </c>
    </row>
    <row r="832">
      <c r="A832" s="11" t="inlineStr">
        <is>
          <t>UNIT</t>
        </is>
      </c>
      <c r="B832" s="18" t="inlineStr">
        <is>
          <t>CHEVRON_SALT_LAKE_CITY</t>
        </is>
      </c>
      <c r="C832" s="18" t="n">
        <v>4</v>
      </c>
      <c r="D832" s="18" t="inlineStr">
        <is>
          <t>FCC</t>
        </is>
      </c>
      <c r="E832" s="18" t="inlineStr">
        <is>
          <t>FCC</t>
        </is>
      </c>
      <c r="F832" s="19" t="n">
        <v>15.5</v>
      </c>
      <c r="G832" s="21">
        <f>IFERROR(IF(INDEX(Effective!$E$3:$R$125,MATCH($B832,Effective!$A$3:$A$125,0),MATCH($D832,Effective!$E$2:$R$2,0))=0,"",INDEX(Effective!$E$3:$R$125,MATCH($B832,Effective!$A$3:$A$125,0),MATCH($D832,Effective!$E$2:$R$2,0))),"")</f>
        <v/>
      </c>
      <c r="H832" s="22" t="inlineStr">
        <is>
          <t>override</t>
        </is>
      </c>
      <c r="I832" s="23" t="n">
        <v>0.749</v>
      </c>
      <c r="J832" s="24">
        <f>IF(AND(IF($H837&lt;&gt;"",$H837,$H832)="override",$I832&lt;&gt;""),$I832,SUMIFS(Assumptions!$K$4:$K$8,Assumptions!$J$4:$J$8,$C832))*Assumptions!$S$10</f>
        <v/>
      </c>
      <c r="K832" s="23" t="n"/>
      <c r="L832" s="25">
        <f>IF(AND(IF($H837&lt;&gt;"",$H837,$H832)="override",$K832&lt;&gt;""),$K832,SUMIFS(Assumptions!$P$4:$P$103,Assumptions!$M$4:$M$103,$C832,Assumptions!$N$4:$N$103,$E832,Assumptions!$O$4:$O$103,"LVN"))</f>
        <v/>
      </c>
      <c r="M832" s="23" t="n"/>
      <c r="N832" s="25">
        <f>IF(AND(IF($H837&lt;&gt;"",$H837,$H832)="override",$M832&lt;&gt;""),$M832,SUMIFS(Assumptions!$P$4:$P$103,Assumptions!$M$4:$M$103,$C832,Assumptions!$N$4:$N$103,$E832,Assumptions!$O$4:$O$103,"HVN"))</f>
        <v/>
      </c>
      <c r="O832" s="25">
        <f>(L832+N832)*Assumptions!$S$11</f>
        <v/>
      </c>
      <c r="P832" s="26">
        <f>$F832*$J832*$O832</f>
        <v/>
      </c>
    </row>
    <row r="833">
      <c r="A833" s="11" t="inlineStr">
        <is>
          <t>UNIT</t>
        </is>
      </c>
      <c r="B833" s="18" t="inlineStr">
        <is>
          <t>CHEVRON_SALT_LAKE_CITY</t>
        </is>
      </c>
      <c r="C833" s="18" t="n">
        <v>4</v>
      </c>
      <c r="D833" s="18" t="inlineStr">
        <is>
          <t>COKER</t>
        </is>
      </c>
      <c r="E833" s="18" t="inlineStr">
        <is>
          <t>COKER</t>
        </is>
      </c>
      <c r="F833" s="19" t="n">
        <v>10</v>
      </c>
      <c r="G833" s="21">
        <f>IFERROR(IF(INDEX(Effective!$E$3:$R$125,MATCH($B833,Effective!$A$3:$A$125,0),MATCH($D833,Effective!$E$2:$R$2,0))=0,"",INDEX(Effective!$E$3:$R$125,MATCH($B833,Effective!$A$3:$A$125,0),MATCH($D833,Effective!$E$2:$R$2,0))),"")</f>
        <v/>
      </c>
      <c r="H833" s="22" t="inlineStr">
        <is>
          <t>override</t>
        </is>
      </c>
      <c r="I833" s="23" t="n">
        <v>0.334</v>
      </c>
      <c r="J833" s="24">
        <f>IF(AND(IF($H837&lt;&gt;"",$H837,$H833)="override",$I833&lt;&gt;""),$I833,SUMIFS(Assumptions!$K$4:$K$8,Assumptions!$J$4:$J$8,$C833))*Assumptions!$S$10</f>
        <v/>
      </c>
      <c r="K833" s="23" t="n"/>
      <c r="L833" s="25">
        <f>IF(AND(IF($H837&lt;&gt;"",$H837,$H833)="override",$K833&lt;&gt;""),$K833,SUMIFS(Assumptions!$P$4:$P$103,Assumptions!$M$4:$M$103,$C833,Assumptions!$N$4:$N$103,$E833,Assumptions!$O$4:$O$103,"LVN"))</f>
        <v/>
      </c>
      <c r="M833" s="23" t="n"/>
      <c r="N833" s="25">
        <f>IF(AND(IF($H837&lt;&gt;"",$H837,$H833)="override",$M833&lt;&gt;""),$M833,SUMIFS(Assumptions!$P$4:$P$103,Assumptions!$M$4:$M$103,$C833,Assumptions!$N$4:$N$103,$E833,Assumptions!$O$4:$O$103,"HVN"))</f>
        <v/>
      </c>
      <c r="O833" s="25">
        <f>(L833+N833)*Assumptions!$S$11</f>
        <v/>
      </c>
      <c r="P833" s="26">
        <f>$F833*$J833*$O833</f>
        <v/>
      </c>
    </row>
    <row r="834">
      <c r="A834" s="11" t="inlineStr">
        <is>
          <t>UNIT</t>
        </is>
      </c>
      <c r="B834" s="18" t="inlineStr">
        <is>
          <t>CHEVRON_SALT_LAKE_CITY</t>
        </is>
      </c>
      <c r="C834" s="18" t="n">
        <v>4</v>
      </c>
      <c r="D834" s="18" t="inlineStr">
        <is>
          <t>REF</t>
        </is>
      </c>
      <c r="E834" s="18" t="inlineStr">
        <is>
          <t>REFORMER</t>
        </is>
      </c>
      <c r="F834" s="19" t="n">
        <v>9.1</v>
      </c>
      <c r="G834" s="21">
        <f>IFERROR(IF(INDEX(Effective!$E$3:$R$125,MATCH($B834,Effective!$A$3:$A$125,0),MATCH($D834,Effective!$E$2:$R$2,0))=0,"",INDEX(Effective!$E$3:$R$125,MATCH($B834,Effective!$A$3:$A$125,0),MATCH($D834,Effective!$E$2:$R$2,0))),"")</f>
        <v/>
      </c>
      <c r="H834" s="22" t="inlineStr">
        <is>
          <t>override</t>
        </is>
      </c>
      <c r="I834" s="23" t="n">
        <v>0.644</v>
      </c>
      <c r="J834" s="24">
        <f>IF(AND(IF($H837&lt;&gt;"",$H837,$H834)="override",$I834&lt;&gt;""),$I834,SUMIFS(Assumptions!$K$4:$K$8,Assumptions!$J$4:$J$8,$C834))*Assumptions!$S$10</f>
        <v/>
      </c>
      <c r="K834" s="23" t="n"/>
      <c r="L834" s="25">
        <f>IF(AND(IF($H837&lt;&gt;"",$H837,$H834)="override",$K834&lt;&gt;""),$K834,SUMIFS(Assumptions!$P$4:$P$103,Assumptions!$M$4:$M$103,$C834,Assumptions!$N$4:$N$103,$E834,Assumptions!$O$4:$O$103,"LVN"))</f>
        <v/>
      </c>
      <c r="M834" s="23" t="n"/>
      <c r="N834" s="25">
        <f>IF(AND(IF($H837&lt;&gt;"",$H837,$H834)="override",$M834&lt;&gt;""),$M834,SUMIFS(Assumptions!$P$4:$P$103,Assumptions!$M$4:$M$103,$C834,Assumptions!$N$4:$N$103,$E834,Assumptions!$O$4:$O$103,"HVN"))</f>
        <v/>
      </c>
      <c r="O834" s="25">
        <f>(L834+N834)*Assumptions!$S$11</f>
        <v/>
      </c>
      <c r="P834" s="26">
        <f>$F834*$J834*$O834</f>
        <v/>
      </c>
    </row>
    <row r="835">
      <c r="A835" s="11" t="inlineStr">
        <is>
          <t>UNIT</t>
        </is>
      </c>
      <c r="B835" s="18" t="inlineStr">
        <is>
          <t>CHEVRON_SALT_LAKE_CITY</t>
        </is>
      </c>
      <c r="C835" s="18" t="n">
        <v>4</v>
      </c>
      <c r="D835" s="18" t="inlineStr">
        <is>
          <t>ALKY</t>
        </is>
      </c>
      <c r="E835" s="18" t="inlineStr">
        <is>
          <t>ALKY</t>
        </is>
      </c>
      <c r="F835" s="19" t="n">
        <v>5.6</v>
      </c>
      <c r="G835" s="21">
        <f>IFERROR(IF(INDEX(Effective!$E$3:$R$125,MATCH($B835,Effective!$A$3:$A$125,0),MATCH($D835,Effective!$E$2:$R$2,0))=0,"",INDEX(Effective!$E$3:$R$125,MATCH($B835,Effective!$A$3:$A$125,0),MATCH($D835,Effective!$E$2:$R$2,0))),"")</f>
        <v/>
      </c>
      <c r="H835" s="22" t="inlineStr">
        <is>
          <t>override</t>
        </is>
      </c>
      <c r="I835" s="23" t="n">
        <v>0.901</v>
      </c>
      <c r="J835" s="24">
        <f>IF(AND(IF($H837&lt;&gt;"",$H837,$H835)="override",$I835&lt;&gt;""),$I835,SUMIFS(Assumptions!$K$4:$K$8,Assumptions!$J$4:$J$8,$C835))*Assumptions!$S$10</f>
        <v/>
      </c>
      <c r="K835" s="23" t="n"/>
      <c r="L835" s="25">
        <f>IF(AND(IF($H837&lt;&gt;"",$H837,$H835)="override",$K835&lt;&gt;""),$K835,SUMIFS(Assumptions!$P$4:$P$103,Assumptions!$M$4:$M$103,$C835,Assumptions!$N$4:$N$103,$E835,Assumptions!$O$4:$O$103,"LVN"))</f>
        <v/>
      </c>
      <c r="M835" s="23" t="n"/>
      <c r="N835" s="25">
        <f>IF(AND(IF($H837&lt;&gt;"",$H837,$H835)="override",$M835&lt;&gt;""),$M835,SUMIFS(Assumptions!$P$4:$P$103,Assumptions!$M$4:$M$103,$C835,Assumptions!$N$4:$N$103,$E835,Assumptions!$O$4:$O$103,"HVN"))</f>
        <v/>
      </c>
      <c r="O835" s="25">
        <f>(L835+N835)*Assumptions!$S$11</f>
        <v/>
      </c>
      <c r="P835" s="26">
        <f>$F835*$J835*$O835</f>
        <v/>
      </c>
    </row>
    <row r="836">
      <c r="A836" s="11" t="inlineStr">
        <is>
          <t>UNIT</t>
        </is>
      </c>
      <c r="B836" s="18" t="inlineStr">
        <is>
          <t>CHEVRON_SALT_LAKE_CITY</t>
        </is>
      </c>
      <c r="C836" s="18" t="n">
        <v>4</v>
      </c>
      <c r="D836" s="18" t="inlineStr">
        <is>
          <t>NHT</t>
        </is>
      </c>
      <c r="E836" s="18" t="inlineStr">
        <is>
          <t>NHT</t>
        </is>
      </c>
      <c r="F836" s="19" t="n">
        <v>9.1</v>
      </c>
      <c r="G836" s="21">
        <f>IFERROR(IF(INDEX(Effective!$E$3:$R$125,MATCH($B836,Effective!$A$3:$A$125,0),MATCH($D836,Effective!$E$2:$R$2,0))=0,"",INDEX(Effective!$E$3:$R$125,MATCH($B836,Effective!$A$3:$A$125,0),MATCH($D836,Effective!$E$2:$R$2,0))),"")</f>
        <v/>
      </c>
      <c r="H836" s="22" t="inlineStr">
        <is>
          <t>override</t>
        </is>
      </c>
      <c r="I836" s="23" t="n">
        <v>0.996</v>
      </c>
      <c r="J836" s="24">
        <f>IF(AND(IF($H837&lt;&gt;"",$H837,$H836)="override",$I836&lt;&gt;""),$I836,SUMIFS(Assumptions!$K$4:$K$8,Assumptions!$J$4:$J$8,$C836))*Assumptions!$S$10</f>
        <v/>
      </c>
      <c r="K836" s="23" t="n"/>
      <c r="L836" s="25">
        <f>IF(AND(IF($H837&lt;&gt;"",$H837,$H836)="override",$K836&lt;&gt;""),$K836,SUMIFS(Assumptions!$P$4:$P$103,Assumptions!$M$4:$M$103,$C836,Assumptions!$N$4:$N$103,$E836,Assumptions!$O$4:$O$103,"LVN"))</f>
        <v/>
      </c>
      <c r="M836" s="23" t="n"/>
      <c r="N836" s="25">
        <f>IF(AND(IF($H837&lt;&gt;"",$H837,$H836)="override",$M836&lt;&gt;""),$M836,SUMIFS(Assumptions!$P$4:$P$103,Assumptions!$M$4:$M$103,$C836,Assumptions!$N$4:$N$103,$E836,Assumptions!$O$4:$O$103,"HVN"))</f>
        <v/>
      </c>
      <c r="O836" s="25">
        <f>(L836+N836)*Assumptions!$S$11</f>
        <v/>
      </c>
      <c r="P836" s="26">
        <f>$F836*$J836*$O836</f>
        <v/>
      </c>
    </row>
    <row r="837">
      <c r="A837" s="27" t="inlineStr">
        <is>
          <t>TOTAL</t>
        </is>
      </c>
      <c r="B837" s="28" t="inlineStr">
        <is>
          <t>CHEVRON_SALT_LAKE_CITY</t>
        </is>
      </c>
      <c r="C837" s="28" t="n">
        <v>4</v>
      </c>
      <c r="D837" s="28" t="inlineStr">
        <is>
          <t>NET NAPHTHA</t>
        </is>
      </c>
      <c r="H837" s="22" t="n"/>
      <c r="P837" s="29">
        <f>SUM(P830:P836)</f>
        <v/>
      </c>
    </row>
    <row r="839" ht="20" customHeight="1">
      <c r="A839" s="8">
        <f>"  HF Sinclair Woods Cross  [HF_WOODS_CROSS]   —   HF Sinclair   —   PADD 4   —   crude "&amp;TEXT(SUMIFS(Data!$G$3:$G$125,Data!$A$3:$A$125,"HF_WOODS_CROSS"),"#,##0")&amp;" kbd"</f>
        <v/>
      </c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</row>
    <row r="840">
      <c r="A840" s="11" t="inlineStr">
        <is>
          <t>UNIT</t>
        </is>
      </c>
      <c r="B840" s="18" t="inlineStr">
        <is>
          <t>HF_WOODS_CROSS</t>
        </is>
      </c>
      <c r="C840" s="18" t="n">
        <v>4</v>
      </c>
      <c r="D840" s="18" t="inlineStr">
        <is>
          <t>CDU</t>
        </is>
      </c>
      <c r="E840" s="18" t="inlineStr">
        <is>
          <t>CDU</t>
        </is>
      </c>
      <c r="F840" s="19" t="n">
        <v>45</v>
      </c>
      <c r="G840" s="21">
        <f>IFERROR(IF(INDEX(Effective!$E$3:$R$125,MATCH($B840,Effective!$A$3:$A$125,0),MATCH($D840,Effective!$E$2:$R$2,0))=0,"",INDEX(Effective!$E$3:$R$125,MATCH($B840,Effective!$A$3:$A$125,0),MATCH($D840,Effective!$E$2:$R$2,0))),"")</f>
        <v/>
      </c>
      <c r="H840" s="22" t="inlineStr">
        <is>
          <t>override</t>
        </is>
      </c>
      <c r="I840" s="23" t="n">
        <v>0.95</v>
      </c>
      <c r="J840" s="24">
        <f>IF(AND(IF($H847&lt;&gt;"",$H847,$H840)="override",$I840&lt;&gt;""),$I840,SUMIFS(Assumptions!$K$4:$K$8,Assumptions!$J$4:$J$8,$C840))*Assumptions!$S$10</f>
        <v/>
      </c>
      <c r="K840" s="23" t="n"/>
      <c r="L840" s="25">
        <f>IF(AND(IF($H847&lt;&gt;"",$H847,$H840)="override",$K840&lt;&gt;""),$K840,SUMIFS(Assumptions!$P$4:$P$103,Assumptions!$M$4:$M$103,$C840,Assumptions!$N$4:$N$103,$E840,Assumptions!$O$4:$O$103,"LVN"))</f>
        <v/>
      </c>
      <c r="M840" s="23" t="n"/>
      <c r="N840" s="25">
        <f>IF(AND(IF($H847&lt;&gt;"",$H847,$H840)="override",$M840&lt;&gt;""),$M840,SUMIFS(Assumptions!$P$4:$P$103,Assumptions!$M$4:$M$103,$C840,Assumptions!$N$4:$N$103,$E840,Assumptions!$O$4:$O$103,"HVN"))</f>
        <v/>
      </c>
      <c r="O840" s="25">
        <f>(L840+N840)*Assumptions!$S$11</f>
        <v/>
      </c>
      <c r="P840" s="26">
        <f>$F840*$J840*$O840</f>
        <v/>
      </c>
    </row>
    <row r="841">
      <c r="A841" s="11" t="inlineStr">
        <is>
          <t>UNIT</t>
        </is>
      </c>
      <c r="B841" s="18" t="inlineStr">
        <is>
          <t>HF_WOODS_CROSS</t>
        </is>
      </c>
      <c r="C841" s="18" t="n">
        <v>4</v>
      </c>
      <c r="D841" s="18" t="inlineStr">
        <is>
          <t>RCC</t>
        </is>
      </c>
      <c r="E841" s="18" t="inlineStr">
        <is>
          <t>FCC</t>
        </is>
      </c>
      <c r="F841" s="19" t="n">
        <v>17.5</v>
      </c>
      <c r="G841" s="21">
        <f>IFERROR(IF(INDEX(Effective!$E$3:$R$125,MATCH($B841,Effective!$A$3:$A$125,0),MATCH($D841,Effective!$E$2:$R$2,0))=0,"",INDEX(Effective!$E$3:$R$125,MATCH($B841,Effective!$A$3:$A$125,0),MATCH($D841,Effective!$E$2:$R$2,0))),"")</f>
        <v/>
      </c>
      <c r="H841" s="22" t="inlineStr">
        <is>
          <t>override</t>
        </is>
      </c>
      <c r="I841" s="23" t="n"/>
      <c r="J841" s="24">
        <f>IF(AND(IF($H847&lt;&gt;"",$H847,$H841)="override",$I841&lt;&gt;""),$I841,SUMIFS(Assumptions!$K$4:$K$8,Assumptions!$J$4:$J$8,$C841))*Assumptions!$S$10</f>
        <v/>
      </c>
      <c r="K841" s="23" t="n"/>
      <c r="L841" s="25">
        <f>IF(AND(IF($H847&lt;&gt;"",$H847,$H841)="override",$K841&lt;&gt;""),$K841,SUMIFS(Assumptions!$P$4:$P$103,Assumptions!$M$4:$M$103,$C841,Assumptions!$N$4:$N$103,$E841,Assumptions!$O$4:$O$103,"LVN"))</f>
        <v/>
      </c>
      <c r="M841" s="23" t="n"/>
      <c r="N841" s="25">
        <f>IF(AND(IF($H847&lt;&gt;"",$H847,$H841)="override",$M841&lt;&gt;""),$M841,SUMIFS(Assumptions!$P$4:$P$103,Assumptions!$M$4:$M$103,$C841,Assumptions!$N$4:$N$103,$E841,Assumptions!$O$4:$O$103,"HVN"))</f>
        <v/>
      </c>
      <c r="O841" s="25">
        <f>(L841+N841)*Assumptions!$S$11</f>
        <v/>
      </c>
      <c r="P841" s="26">
        <f>$F841*$J841*$O841</f>
        <v/>
      </c>
    </row>
    <row r="842">
      <c r="A842" s="11" t="inlineStr">
        <is>
          <t>UNIT</t>
        </is>
      </c>
      <c r="B842" s="18" t="inlineStr">
        <is>
          <t>HF_WOODS_CROSS</t>
        </is>
      </c>
      <c r="C842" s="18" t="n">
        <v>4</v>
      </c>
      <c r="D842" s="18" t="inlineStr">
        <is>
          <t>DHCU</t>
        </is>
      </c>
      <c r="E842" s="18" t="inlineStr">
        <is>
          <t>HYDROCRACKER</t>
        </is>
      </c>
      <c r="F842" s="19" t="n">
        <v>15</v>
      </c>
      <c r="G842" s="21">
        <f>IFERROR(IF(INDEX(Effective!$E$3:$R$125,MATCH($B842,Effective!$A$3:$A$125,0),MATCH($D842,Effective!$E$2:$R$2,0))=0,"",INDEX(Effective!$E$3:$R$125,MATCH($B842,Effective!$A$3:$A$125,0),MATCH($D842,Effective!$E$2:$R$2,0))),"")</f>
        <v/>
      </c>
      <c r="H842" s="22" t="inlineStr">
        <is>
          <t>override</t>
        </is>
      </c>
      <c r="I842" s="23" t="n">
        <v>0.653</v>
      </c>
      <c r="J842" s="24">
        <f>IF(AND(IF($H847&lt;&gt;"",$H847,$H842)="override",$I842&lt;&gt;""),$I842,SUMIFS(Assumptions!$K$4:$K$8,Assumptions!$J$4:$J$8,$C842))*Assumptions!$S$10</f>
        <v/>
      </c>
      <c r="K842" s="23" t="n"/>
      <c r="L842" s="25">
        <f>IF(AND(IF($H847&lt;&gt;"",$H847,$H842)="override",$K842&lt;&gt;""),$K842,SUMIFS(Assumptions!$P$4:$P$103,Assumptions!$M$4:$M$103,$C842,Assumptions!$N$4:$N$103,$E842,Assumptions!$O$4:$O$103,"LVN"))</f>
        <v/>
      </c>
      <c r="M842" s="23" t="n"/>
      <c r="N842" s="25">
        <f>IF(AND(IF($H847&lt;&gt;"",$H847,$H842)="override",$M842&lt;&gt;""),$M842,SUMIFS(Assumptions!$P$4:$P$103,Assumptions!$M$4:$M$103,$C842,Assumptions!$N$4:$N$103,$E842,Assumptions!$O$4:$O$103,"HVN"))</f>
        <v/>
      </c>
      <c r="O842" s="25">
        <f>(L842+N842)*Assumptions!$S$11</f>
        <v/>
      </c>
      <c r="P842" s="26">
        <f>$F842*$J842*$O842</f>
        <v/>
      </c>
    </row>
    <row r="843">
      <c r="A843" s="11" t="inlineStr">
        <is>
          <t>UNIT</t>
        </is>
      </c>
      <c r="B843" s="18" t="inlineStr">
        <is>
          <t>HF_WOODS_CROSS</t>
        </is>
      </c>
      <c r="C843" s="18" t="n">
        <v>4</v>
      </c>
      <c r="D843" s="18" t="inlineStr">
        <is>
          <t>REF</t>
        </is>
      </c>
      <c r="E843" s="18" t="inlineStr">
        <is>
          <t>REFORMER</t>
        </is>
      </c>
      <c r="F843" s="19" t="n">
        <v>8.4</v>
      </c>
      <c r="G843" s="21">
        <f>IFERROR(IF(INDEX(Effective!$E$3:$R$125,MATCH($B843,Effective!$A$3:$A$125,0),MATCH($D843,Effective!$E$2:$R$2,0))=0,"",INDEX(Effective!$E$3:$R$125,MATCH($B843,Effective!$A$3:$A$125,0),MATCH($D843,Effective!$E$2:$R$2,0))),"")</f>
        <v/>
      </c>
      <c r="H843" s="22" t="inlineStr">
        <is>
          <t>override</t>
        </is>
      </c>
      <c r="I843" s="23" t="n">
        <v>0.357</v>
      </c>
      <c r="J843" s="24">
        <f>IF(AND(IF($H847&lt;&gt;"",$H847,$H843)="override",$I843&lt;&gt;""),$I843,SUMIFS(Assumptions!$K$4:$K$8,Assumptions!$J$4:$J$8,$C843))*Assumptions!$S$10</f>
        <v/>
      </c>
      <c r="K843" s="23" t="n"/>
      <c r="L843" s="25">
        <f>IF(AND(IF($H847&lt;&gt;"",$H847,$H843)="override",$K843&lt;&gt;""),$K843,SUMIFS(Assumptions!$P$4:$P$103,Assumptions!$M$4:$M$103,$C843,Assumptions!$N$4:$N$103,$E843,Assumptions!$O$4:$O$103,"LVN"))</f>
        <v/>
      </c>
      <c r="M843" s="23" t="n"/>
      <c r="N843" s="25">
        <f>IF(AND(IF($H847&lt;&gt;"",$H847,$H843)="override",$M843&lt;&gt;""),$M843,SUMIFS(Assumptions!$P$4:$P$103,Assumptions!$M$4:$M$103,$C843,Assumptions!$N$4:$N$103,$E843,Assumptions!$O$4:$O$103,"HVN"))</f>
        <v/>
      </c>
      <c r="O843" s="25">
        <f>(L843+N843)*Assumptions!$S$11</f>
        <v/>
      </c>
      <c r="P843" s="26">
        <f>$F843*$J843*$O843</f>
        <v/>
      </c>
    </row>
    <row r="844">
      <c r="A844" s="11" t="inlineStr">
        <is>
          <t>UNIT</t>
        </is>
      </c>
      <c r="B844" s="18" t="inlineStr">
        <is>
          <t>HF_WOODS_CROSS</t>
        </is>
      </c>
      <c r="C844" s="18" t="n">
        <v>4</v>
      </c>
      <c r="D844" s="18" t="inlineStr">
        <is>
          <t>ISOM</t>
        </is>
      </c>
      <c r="E844" s="18" t="inlineStr">
        <is>
          <t>ISOM</t>
        </is>
      </c>
      <c r="F844" s="19" t="n">
        <v>3</v>
      </c>
      <c r="G844" s="21">
        <f>IFERROR(IF(INDEX(Effective!$E$3:$R$125,MATCH($B844,Effective!$A$3:$A$125,0),MATCH($D844,Effective!$E$2:$R$2,0))=0,"",INDEX(Effective!$E$3:$R$125,MATCH($B844,Effective!$A$3:$A$125,0),MATCH($D844,Effective!$E$2:$R$2,0))),"")</f>
        <v/>
      </c>
      <c r="H844" s="22" t="inlineStr">
        <is>
          <t>override</t>
        </is>
      </c>
      <c r="I844" s="23" t="n">
        <v>1</v>
      </c>
      <c r="J844" s="24">
        <f>IF(AND(IF($H847&lt;&gt;"",$H847,$H844)="override",$I844&lt;&gt;""),$I844,SUMIFS(Assumptions!$K$4:$K$8,Assumptions!$J$4:$J$8,$C844))*Assumptions!$S$10</f>
        <v/>
      </c>
      <c r="K844" s="23" t="n"/>
      <c r="L844" s="25">
        <f>IF(AND(IF($H847&lt;&gt;"",$H847,$H844)="override",$K844&lt;&gt;""),$K844,SUMIFS(Assumptions!$P$4:$P$103,Assumptions!$M$4:$M$103,$C844,Assumptions!$N$4:$N$103,$E844,Assumptions!$O$4:$O$103,"LVN"))</f>
        <v/>
      </c>
      <c r="M844" s="23" t="n"/>
      <c r="N844" s="25">
        <f>IF(AND(IF($H847&lt;&gt;"",$H847,$H844)="override",$M844&lt;&gt;""),$M844,SUMIFS(Assumptions!$P$4:$P$103,Assumptions!$M$4:$M$103,$C844,Assumptions!$N$4:$N$103,$E844,Assumptions!$O$4:$O$103,"HVN"))</f>
        <v/>
      </c>
      <c r="O844" s="25">
        <f>(L844+N844)*Assumptions!$S$11</f>
        <v/>
      </c>
      <c r="P844" s="26">
        <f>$F844*$J844*$O844</f>
        <v/>
      </c>
    </row>
    <row r="845">
      <c r="A845" s="11" t="inlineStr">
        <is>
          <t>UNIT</t>
        </is>
      </c>
      <c r="B845" s="18" t="inlineStr">
        <is>
          <t>HF_WOODS_CROSS</t>
        </is>
      </c>
      <c r="C845" s="18" t="n">
        <v>4</v>
      </c>
      <c r="D845" s="18" t="inlineStr">
        <is>
          <t>ALKY</t>
        </is>
      </c>
      <c r="E845" s="18" t="inlineStr">
        <is>
          <t>ALKY</t>
        </is>
      </c>
      <c r="F845" s="19" t="n">
        <v>5.3</v>
      </c>
      <c r="G845" s="21">
        <f>IFERROR(IF(INDEX(Effective!$E$3:$R$125,MATCH($B845,Effective!$A$3:$A$125,0),MATCH($D845,Effective!$E$2:$R$2,0))=0,"",INDEX(Effective!$E$3:$R$125,MATCH($B845,Effective!$A$3:$A$125,0),MATCH($D845,Effective!$E$2:$R$2,0))),"")</f>
        <v/>
      </c>
      <c r="H845" s="22" t="inlineStr">
        <is>
          <t>override</t>
        </is>
      </c>
      <c r="I845" s="23" t="n">
        <v>1.1</v>
      </c>
      <c r="J845" s="24">
        <f>IF(AND(IF($H847&lt;&gt;"",$H847,$H845)="override",$I845&lt;&gt;""),$I845,SUMIFS(Assumptions!$K$4:$K$8,Assumptions!$J$4:$J$8,$C845))*Assumptions!$S$10</f>
        <v/>
      </c>
      <c r="K845" s="23" t="n"/>
      <c r="L845" s="25">
        <f>IF(AND(IF($H847&lt;&gt;"",$H847,$H845)="override",$K845&lt;&gt;""),$K845,SUMIFS(Assumptions!$P$4:$P$103,Assumptions!$M$4:$M$103,$C845,Assumptions!$N$4:$N$103,$E845,Assumptions!$O$4:$O$103,"LVN"))</f>
        <v/>
      </c>
      <c r="M845" s="23" t="n"/>
      <c r="N845" s="25">
        <f>IF(AND(IF($H847&lt;&gt;"",$H847,$H845)="override",$M845&lt;&gt;""),$M845,SUMIFS(Assumptions!$P$4:$P$103,Assumptions!$M$4:$M$103,$C845,Assumptions!$N$4:$N$103,$E845,Assumptions!$O$4:$O$103,"HVN"))</f>
        <v/>
      </c>
      <c r="O845" s="25">
        <f>(L845+N845)*Assumptions!$S$11</f>
        <v/>
      </c>
      <c r="P845" s="26">
        <f>$F845*$J845*$O845</f>
        <v/>
      </c>
    </row>
    <row r="846">
      <c r="A846" s="11" t="inlineStr">
        <is>
          <t>UNIT</t>
        </is>
      </c>
      <c r="B846" s="18" t="inlineStr">
        <is>
          <t>HF_WOODS_CROSS</t>
        </is>
      </c>
      <c r="C846" s="18" t="n">
        <v>4</v>
      </c>
      <c r="D846" s="18" t="inlineStr">
        <is>
          <t>NHT</t>
        </is>
      </c>
      <c r="E846" s="18" t="inlineStr">
        <is>
          <t>NHT</t>
        </is>
      </c>
      <c r="F846" s="19" t="n">
        <v>12.5</v>
      </c>
      <c r="G846" s="21">
        <f>IFERROR(IF(INDEX(Effective!$E$3:$R$125,MATCH($B846,Effective!$A$3:$A$125,0),MATCH($D846,Effective!$E$2:$R$2,0))=0,"",INDEX(Effective!$E$3:$R$125,MATCH($B846,Effective!$A$3:$A$125,0),MATCH($D846,Effective!$E$2:$R$2,0))),"")</f>
        <v/>
      </c>
      <c r="H846" s="22" t="inlineStr">
        <is>
          <t>override</t>
        </is>
      </c>
      <c r="I846" s="23" t="n">
        <v>0.647</v>
      </c>
      <c r="J846" s="24">
        <f>IF(AND(IF($H847&lt;&gt;"",$H847,$H846)="override",$I846&lt;&gt;""),$I846,SUMIFS(Assumptions!$K$4:$K$8,Assumptions!$J$4:$J$8,$C846))*Assumptions!$S$10</f>
        <v/>
      </c>
      <c r="K846" s="23" t="n"/>
      <c r="L846" s="25">
        <f>IF(AND(IF($H847&lt;&gt;"",$H847,$H846)="override",$K846&lt;&gt;""),$K846,SUMIFS(Assumptions!$P$4:$P$103,Assumptions!$M$4:$M$103,$C846,Assumptions!$N$4:$N$103,$E846,Assumptions!$O$4:$O$103,"LVN"))</f>
        <v/>
      </c>
      <c r="M846" s="23" t="n"/>
      <c r="N846" s="25">
        <f>IF(AND(IF($H847&lt;&gt;"",$H847,$H846)="override",$M846&lt;&gt;""),$M846,SUMIFS(Assumptions!$P$4:$P$103,Assumptions!$M$4:$M$103,$C846,Assumptions!$N$4:$N$103,$E846,Assumptions!$O$4:$O$103,"HVN"))</f>
        <v/>
      </c>
      <c r="O846" s="25">
        <f>(L846+N846)*Assumptions!$S$11</f>
        <v/>
      </c>
      <c r="P846" s="26">
        <f>$F846*$J846*$O846</f>
        <v/>
      </c>
    </row>
    <row r="847">
      <c r="A847" s="27" t="inlineStr">
        <is>
          <t>TOTAL</t>
        </is>
      </c>
      <c r="B847" s="28" t="inlineStr">
        <is>
          <t>HF_WOODS_CROSS</t>
        </is>
      </c>
      <c r="C847" s="28" t="n">
        <v>4</v>
      </c>
      <c r="D847" s="28" t="inlineStr">
        <is>
          <t>NET NAPHTHA</t>
        </is>
      </c>
      <c r="H847" s="22" t="n"/>
      <c r="P847" s="29">
        <f>SUM(P840:P846)</f>
        <v/>
      </c>
    </row>
    <row r="849" ht="20" customHeight="1">
      <c r="A849" s="8">
        <f>"  Big West Oil Co North Slaterville Canal  [BIG_NORTH_SLATERVILLE_CANAL]   —   Flying J   —   PADD 4   —   crude "&amp;TEXT(SUMIFS(Data!$G$3:$G$125,Data!$A$3:$A$125,"BIG_NORTH_SLATERVILLE_CANAL"),"#,##0")&amp;" kbd"</f>
        <v/>
      </c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</row>
    <row r="850">
      <c r="A850" s="11" t="inlineStr">
        <is>
          <t>UNIT</t>
        </is>
      </c>
      <c r="B850" s="18" t="inlineStr">
        <is>
          <t>BIG_NORTH_SLATERVILLE_CANAL</t>
        </is>
      </c>
      <c r="C850" s="18" t="n">
        <v>4</v>
      </c>
      <c r="D850" s="18" t="inlineStr">
        <is>
          <t>CDU</t>
        </is>
      </c>
      <c r="E850" s="18" t="inlineStr">
        <is>
          <t>CDU</t>
        </is>
      </c>
      <c r="F850" s="19" t="n">
        <v>33</v>
      </c>
      <c r="G850" s="21">
        <f>IFERROR(IF(INDEX(Effective!$E$3:$R$125,MATCH($B850,Effective!$A$3:$A$125,0),MATCH($D850,Effective!$E$2:$R$2,0))=0,"",INDEX(Effective!$E$3:$R$125,MATCH($B850,Effective!$A$3:$A$125,0),MATCH($D850,Effective!$E$2:$R$2,0))),"")</f>
        <v/>
      </c>
      <c r="H850" s="22" t="inlineStr">
        <is>
          <t>override</t>
        </is>
      </c>
      <c r="I850" s="23" t="n">
        <v>0.9389999999999999</v>
      </c>
      <c r="J850" s="24">
        <f>IF(AND(IF($H856&lt;&gt;"",$H856,$H850)="override",$I850&lt;&gt;""),$I850,SUMIFS(Assumptions!$K$4:$K$8,Assumptions!$J$4:$J$8,$C850))*Assumptions!$S$10</f>
        <v/>
      </c>
      <c r="K850" s="23" t="n"/>
      <c r="L850" s="25">
        <f>IF(AND(IF($H856&lt;&gt;"",$H856,$H850)="override",$K850&lt;&gt;""),$K850,SUMIFS(Assumptions!$P$4:$P$103,Assumptions!$M$4:$M$103,$C850,Assumptions!$N$4:$N$103,$E850,Assumptions!$O$4:$O$103,"LVN"))</f>
        <v/>
      </c>
      <c r="M850" s="23" t="n"/>
      <c r="N850" s="25">
        <f>IF(AND(IF($H856&lt;&gt;"",$H856,$H850)="override",$M850&lt;&gt;""),$M850,SUMIFS(Assumptions!$P$4:$P$103,Assumptions!$M$4:$M$103,$C850,Assumptions!$N$4:$N$103,$E850,Assumptions!$O$4:$O$103,"HVN"))</f>
        <v/>
      </c>
      <c r="O850" s="25">
        <f>(L850+N850)*Assumptions!$S$11</f>
        <v/>
      </c>
      <c r="P850" s="26">
        <f>$F850*$J850*$O850</f>
        <v/>
      </c>
    </row>
    <row r="851">
      <c r="A851" s="11" t="inlineStr">
        <is>
          <t>UNIT</t>
        </is>
      </c>
      <c r="B851" s="18" t="inlineStr">
        <is>
          <t>BIG_NORTH_SLATERVILLE_CANAL</t>
        </is>
      </c>
      <c r="C851" s="18" t="n">
        <v>4</v>
      </c>
      <c r="D851" s="18" t="inlineStr">
        <is>
          <t>FCC</t>
        </is>
      </c>
      <c r="E851" s="18" t="inlineStr">
        <is>
          <t>FCC</t>
        </is>
      </c>
      <c r="F851" s="19" t="n">
        <v>12.5</v>
      </c>
      <c r="G851" s="21">
        <f>IFERROR(IF(INDEX(Effective!$E$3:$R$125,MATCH($B851,Effective!$A$3:$A$125,0),MATCH($D851,Effective!$E$2:$R$2,0))=0,"",INDEX(Effective!$E$3:$R$125,MATCH($B851,Effective!$A$3:$A$125,0),MATCH($D851,Effective!$E$2:$R$2,0))),"")</f>
        <v/>
      </c>
      <c r="H851" s="22" t="inlineStr">
        <is>
          <t>override</t>
        </is>
      </c>
      <c r="I851" s="23" t="n">
        <v>0.982</v>
      </c>
      <c r="J851" s="24">
        <f>IF(AND(IF($H856&lt;&gt;"",$H856,$H851)="override",$I851&lt;&gt;""),$I851,SUMIFS(Assumptions!$K$4:$K$8,Assumptions!$J$4:$J$8,$C851))*Assumptions!$S$10</f>
        <v/>
      </c>
      <c r="K851" s="23" t="n"/>
      <c r="L851" s="25">
        <f>IF(AND(IF($H856&lt;&gt;"",$H856,$H851)="override",$K851&lt;&gt;""),$K851,SUMIFS(Assumptions!$P$4:$P$103,Assumptions!$M$4:$M$103,$C851,Assumptions!$N$4:$N$103,$E851,Assumptions!$O$4:$O$103,"LVN"))</f>
        <v/>
      </c>
      <c r="M851" s="23" t="n"/>
      <c r="N851" s="25">
        <f>IF(AND(IF($H856&lt;&gt;"",$H856,$H851)="override",$M851&lt;&gt;""),$M851,SUMIFS(Assumptions!$P$4:$P$103,Assumptions!$M$4:$M$103,$C851,Assumptions!$N$4:$N$103,$E851,Assumptions!$O$4:$O$103,"HVN"))</f>
        <v/>
      </c>
      <c r="O851" s="25">
        <f>(L851+N851)*Assumptions!$S$11</f>
        <v/>
      </c>
      <c r="P851" s="26">
        <f>$F851*$J851*$O851</f>
        <v/>
      </c>
    </row>
    <row r="852">
      <c r="A852" s="11" t="inlineStr">
        <is>
          <t>UNIT</t>
        </is>
      </c>
      <c r="B852" s="18" t="inlineStr">
        <is>
          <t>BIG_NORTH_SLATERVILLE_CANAL</t>
        </is>
      </c>
      <c r="C852" s="18" t="n">
        <v>4</v>
      </c>
      <c r="D852" s="18" t="inlineStr">
        <is>
          <t>REF</t>
        </is>
      </c>
      <c r="E852" s="18" t="inlineStr">
        <is>
          <t>REFORMER</t>
        </is>
      </c>
      <c r="F852" s="19" t="n">
        <v>8.5</v>
      </c>
      <c r="G852" s="21">
        <f>IFERROR(IF(INDEX(Effective!$E$3:$R$125,MATCH($B852,Effective!$A$3:$A$125,0),MATCH($D852,Effective!$E$2:$R$2,0))=0,"",INDEX(Effective!$E$3:$R$125,MATCH($B852,Effective!$A$3:$A$125,0),MATCH($D852,Effective!$E$2:$R$2,0))),"")</f>
        <v/>
      </c>
      <c r="H852" s="22" t="inlineStr">
        <is>
          <t>override</t>
        </is>
      </c>
      <c r="I852" s="23" t="n"/>
      <c r="J852" s="24">
        <f>IF(AND(IF($H856&lt;&gt;"",$H856,$H852)="override",$I852&lt;&gt;""),$I852,SUMIFS(Assumptions!$K$4:$K$8,Assumptions!$J$4:$J$8,$C852))*Assumptions!$S$10</f>
        <v/>
      </c>
      <c r="K852" s="23" t="n"/>
      <c r="L852" s="25">
        <f>IF(AND(IF($H856&lt;&gt;"",$H856,$H852)="override",$K852&lt;&gt;""),$K852,SUMIFS(Assumptions!$P$4:$P$103,Assumptions!$M$4:$M$103,$C852,Assumptions!$N$4:$N$103,$E852,Assumptions!$O$4:$O$103,"LVN"))</f>
        <v/>
      </c>
      <c r="M852" s="23" t="n"/>
      <c r="N852" s="25">
        <f>IF(AND(IF($H856&lt;&gt;"",$H856,$H852)="override",$M852&lt;&gt;""),$M852,SUMIFS(Assumptions!$P$4:$P$103,Assumptions!$M$4:$M$103,$C852,Assumptions!$N$4:$N$103,$E852,Assumptions!$O$4:$O$103,"HVN"))</f>
        <v/>
      </c>
      <c r="O852" s="25">
        <f>(L852+N852)*Assumptions!$S$11</f>
        <v/>
      </c>
      <c r="P852" s="26">
        <f>$F852*$J852*$O852</f>
        <v/>
      </c>
    </row>
    <row r="853">
      <c r="A853" s="11" t="inlineStr">
        <is>
          <t>UNIT</t>
        </is>
      </c>
      <c r="B853" s="18" t="inlineStr">
        <is>
          <t>BIG_NORTH_SLATERVILLE_CANAL</t>
        </is>
      </c>
      <c r="C853" s="18" t="n">
        <v>4</v>
      </c>
      <c r="D853" s="18" t="inlineStr">
        <is>
          <t>ISOM</t>
        </is>
      </c>
      <c r="E853" s="18" t="inlineStr">
        <is>
          <t>ISOM</t>
        </is>
      </c>
      <c r="F853" s="19" t="n">
        <v>3</v>
      </c>
      <c r="G853" s="21">
        <f>IFERROR(IF(INDEX(Effective!$E$3:$R$125,MATCH($B853,Effective!$A$3:$A$125,0),MATCH($D853,Effective!$E$2:$R$2,0))=0,"",INDEX(Effective!$E$3:$R$125,MATCH($B853,Effective!$A$3:$A$125,0),MATCH($D853,Effective!$E$2:$R$2,0))),"")</f>
        <v/>
      </c>
      <c r="H853" s="22" t="inlineStr">
        <is>
          <t>override</t>
        </is>
      </c>
      <c r="I853" s="23" t="n">
        <v>0.742</v>
      </c>
      <c r="J853" s="24">
        <f>IF(AND(IF($H856&lt;&gt;"",$H856,$H853)="override",$I853&lt;&gt;""),$I853,SUMIFS(Assumptions!$K$4:$K$8,Assumptions!$J$4:$J$8,$C853))*Assumptions!$S$10</f>
        <v/>
      </c>
      <c r="K853" s="23" t="n"/>
      <c r="L853" s="25">
        <f>IF(AND(IF($H856&lt;&gt;"",$H856,$H853)="override",$K853&lt;&gt;""),$K853,SUMIFS(Assumptions!$P$4:$P$103,Assumptions!$M$4:$M$103,$C853,Assumptions!$N$4:$N$103,$E853,Assumptions!$O$4:$O$103,"LVN"))</f>
        <v/>
      </c>
      <c r="M853" s="23" t="n"/>
      <c r="N853" s="25">
        <f>IF(AND(IF($H856&lt;&gt;"",$H856,$H853)="override",$M853&lt;&gt;""),$M853,SUMIFS(Assumptions!$P$4:$P$103,Assumptions!$M$4:$M$103,$C853,Assumptions!$N$4:$N$103,$E853,Assumptions!$O$4:$O$103,"HVN"))</f>
        <v/>
      </c>
      <c r="O853" s="25">
        <f>(L853+N853)*Assumptions!$S$11</f>
        <v/>
      </c>
      <c r="P853" s="26">
        <f>$F853*$J853*$O853</f>
        <v/>
      </c>
    </row>
    <row r="854">
      <c r="A854" s="11" t="inlineStr">
        <is>
          <t>UNIT</t>
        </is>
      </c>
      <c r="B854" s="18" t="inlineStr">
        <is>
          <t>BIG_NORTH_SLATERVILLE_CANAL</t>
        </is>
      </c>
      <c r="C854" s="18" t="n">
        <v>4</v>
      </c>
      <c r="D854" s="18" t="inlineStr">
        <is>
          <t>ALKY</t>
        </is>
      </c>
      <c r="E854" s="18" t="inlineStr">
        <is>
          <t>ALKY</t>
        </is>
      </c>
      <c r="F854" s="19" t="n">
        <v>3.1</v>
      </c>
      <c r="G854" s="21">
        <f>IFERROR(IF(INDEX(Effective!$E$3:$R$125,MATCH($B854,Effective!$A$3:$A$125,0),MATCH($D854,Effective!$E$2:$R$2,0))=0,"",INDEX(Effective!$E$3:$R$125,MATCH($B854,Effective!$A$3:$A$125,0),MATCH($D854,Effective!$E$2:$R$2,0))),"")</f>
        <v/>
      </c>
      <c r="H854" s="22" t="inlineStr">
        <is>
          <t>override</t>
        </is>
      </c>
      <c r="I854" s="23" t="n">
        <v>0.866</v>
      </c>
      <c r="J854" s="24">
        <f>IF(AND(IF($H856&lt;&gt;"",$H856,$H854)="override",$I854&lt;&gt;""),$I854,SUMIFS(Assumptions!$K$4:$K$8,Assumptions!$J$4:$J$8,$C854))*Assumptions!$S$10</f>
        <v/>
      </c>
      <c r="K854" s="23" t="n"/>
      <c r="L854" s="25">
        <f>IF(AND(IF($H856&lt;&gt;"",$H856,$H854)="override",$K854&lt;&gt;""),$K854,SUMIFS(Assumptions!$P$4:$P$103,Assumptions!$M$4:$M$103,$C854,Assumptions!$N$4:$N$103,$E854,Assumptions!$O$4:$O$103,"LVN"))</f>
        <v/>
      </c>
      <c r="M854" s="23" t="n"/>
      <c r="N854" s="25">
        <f>IF(AND(IF($H856&lt;&gt;"",$H856,$H854)="override",$M854&lt;&gt;""),$M854,SUMIFS(Assumptions!$P$4:$P$103,Assumptions!$M$4:$M$103,$C854,Assumptions!$N$4:$N$103,$E854,Assumptions!$O$4:$O$103,"HVN"))</f>
        <v/>
      </c>
      <c r="O854" s="25">
        <f>(L854+N854)*Assumptions!$S$11</f>
        <v/>
      </c>
      <c r="P854" s="26">
        <f>$F854*$J854*$O854</f>
        <v/>
      </c>
    </row>
    <row r="855">
      <c r="A855" s="11" t="inlineStr">
        <is>
          <t>UNIT</t>
        </is>
      </c>
      <c r="B855" s="18" t="inlineStr">
        <is>
          <t>BIG_NORTH_SLATERVILLE_CANAL</t>
        </is>
      </c>
      <c r="C855" s="18" t="n">
        <v>4</v>
      </c>
      <c r="D855" s="18" t="inlineStr">
        <is>
          <t>NHT</t>
        </is>
      </c>
      <c r="E855" s="18" t="inlineStr">
        <is>
          <t>NHT</t>
        </is>
      </c>
      <c r="F855" s="19" t="n">
        <v>11.8</v>
      </c>
      <c r="G855" s="21">
        <f>IFERROR(IF(INDEX(Effective!$E$3:$R$125,MATCH($B855,Effective!$A$3:$A$125,0),MATCH($D855,Effective!$E$2:$R$2,0))=0,"",INDEX(Effective!$E$3:$R$125,MATCH($B855,Effective!$A$3:$A$125,0),MATCH($D855,Effective!$E$2:$R$2,0))),"")</f>
        <v/>
      </c>
      <c r="H855" s="22" t="inlineStr">
        <is>
          <t>override</t>
        </is>
      </c>
      <c r="I855" s="23" t="n">
        <v>0.618</v>
      </c>
      <c r="J855" s="24">
        <f>IF(AND(IF($H856&lt;&gt;"",$H856,$H855)="override",$I855&lt;&gt;""),$I855,SUMIFS(Assumptions!$K$4:$K$8,Assumptions!$J$4:$J$8,$C855))*Assumptions!$S$10</f>
        <v/>
      </c>
      <c r="K855" s="23" t="n"/>
      <c r="L855" s="25">
        <f>IF(AND(IF($H856&lt;&gt;"",$H856,$H855)="override",$K855&lt;&gt;""),$K855,SUMIFS(Assumptions!$P$4:$P$103,Assumptions!$M$4:$M$103,$C855,Assumptions!$N$4:$N$103,$E855,Assumptions!$O$4:$O$103,"LVN"))</f>
        <v/>
      </c>
      <c r="M855" s="23" t="n"/>
      <c r="N855" s="25">
        <f>IF(AND(IF($H856&lt;&gt;"",$H856,$H855)="override",$M855&lt;&gt;""),$M855,SUMIFS(Assumptions!$P$4:$P$103,Assumptions!$M$4:$M$103,$C855,Assumptions!$N$4:$N$103,$E855,Assumptions!$O$4:$O$103,"HVN"))</f>
        <v/>
      </c>
      <c r="O855" s="25">
        <f>(L855+N855)*Assumptions!$S$11</f>
        <v/>
      </c>
      <c r="P855" s="26">
        <f>$F855*$J855*$O855</f>
        <v/>
      </c>
    </row>
    <row r="856">
      <c r="A856" s="27" t="inlineStr">
        <is>
          <t>TOTAL</t>
        </is>
      </c>
      <c r="B856" s="28" t="inlineStr">
        <is>
          <t>BIG_NORTH_SLATERVILLE_CANAL</t>
        </is>
      </c>
      <c r="C856" s="28" t="n">
        <v>4</v>
      </c>
      <c r="D856" s="28" t="inlineStr">
        <is>
          <t>NET NAPHTHA</t>
        </is>
      </c>
      <c r="H856" s="22" t="n"/>
      <c r="P856" s="29">
        <f>SUM(P850:P855)</f>
        <v/>
      </c>
    </row>
    <row r="858" ht="20" customHeight="1">
      <c r="A858" s="8">
        <f>"  HF Sinclair Casper  [HF_CASPER]   —   HF Sinclair   —   PADD 4   —   crude "&amp;TEXT(SUMIFS(Data!$G$3:$G$125,Data!$A$3:$A$125,"HF_CASPER"),"#,##0")&amp;" kbd"</f>
        <v/>
      </c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</row>
    <row r="859">
      <c r="A859" s="11" t="inlineStr">
        <is>
          <t>UNIT</t>
        </is>
      </c>
      <c r="B859" s="18" t="inlineStr">
        <is>
          <t>HF_CASPER</t>
        </is>
      </c>
      <c r="C859" s="18" t="n">
        <v>4</v>
      </c>
      <c r="D859" s="18" t="inlineStr">
        <is>
          <t>CDU</t>
        </is>
      </c>
      <c r="E859" s="18" t="inlineStr">
        <is>
          <t>CDU</t>
        </is>
      </c>
      <c r="F859" s="19" t="n">
        <v>30</v>
      </c>
      <c r="G859" s="21">
        <f>IFERROR(IF(INDEX(Effective!$E$3:$R$125,MATCH($B859,Effective!$A$3:$A$125,0),MATCH($D859,Effective!$E$2:$R$2,0))=0,"",INDEX(Effective!$E$3:$R$125,MATCH($B859,Effective!$A$3:$A$125,0),MATCH($D859,Effective!$E$2:$R$2,0))),"")</f>
        <v/>
      </c>
      <c r="H859" s="22" t="inlineStr">
        <is>
          <t>override</t>
        </is>
      </c>
      <c r="I859" s="23" t="n"/>
      <c r="J859" s="24">
        <f>IF(AND(IF($H863&lt;&gt;"",$H863,$H859)="override",$I859&lt;&gt;""),$I859,SUMIFS(Assumptions!$K$4:$K$8,Assumptions!$J$4:$J$8,$C859))*Assumptions!$S$10</f>
        <v/>
      </c>
      <c r="K859" s="23" t="n"/>
      <c r="L859" s="25">
        <f>IF(AND(IF($H863&lt;&gt;"",$H863,$H859)="override",$K859&lt;&gt;""),$K859,SUMIFS(Assumptions!$P$4:$P$103,Assumptions!$M$4:$M$103,$C859,Assumptions!$N$4:$N$103,$E859,Assumptions!$O$4:$O$103,"LVN"))</f>
        <v/>
      </c>
      <c r="M859" s="23" t="n"/>
      <c r="N859" s="25">
        <f>IF(AND(IF($H863&lt;&gt;"",$H863,$H859)="override",$M859&lt;&gt;""),$M859,SUMIFS(Assumptions!$P$4:$P$103,Assumptions!$M$4:$M$103,$C859,Assumptions!$N$4:$N$103,$E859,Assumptions!$O$4:$O$103,"HVN"))</f>
        <v/>
      </c>
      <c r="O859" s="25">
        <f>(L859+N859)*Assumptions!$S$11</f>
        <v/>
      </c>
      <c r="P859" s="26">
        <f>$F859*$J859*$O859</f>
        <v/>
      </c>
    </row>
    <row r="860">
      <c r="A860" s="11" t="inlineStr">
        <is>
          <t>UNIT</t>
        </is>
      </c>
      <c r="B860" s="18" t="inlineStr">
        <is>
          <t>HF_CASPER</t>
        </is>
      </c>
      <c r="C860" s="18" t="n">
        <v>4</v>
      </c>
      <c r="D860" s="18" t="inlineStr">
        <is>
          <t>FCC</t>
        </is>
      </c>
      <c r="E860" s="18" t="inlineStr">
        <is>
          <t>FCC</t>
        </is>
      </c>
      <c r="F860" s="19" t="n">
        <v>10.5</v>
      </c>
      <c r="G860" s="21">
        <f>IFERROR(IF(INDEX(Effective!$E$3:$R$125,MATCH($B860,Effective!$A$3:$A$125,0),MATCH($D860,Effective!$E$2:$R$2,0))=0,"",INDEX(Effective!$E$3:$R$125,MATCH($B860,Effective!$A$3:$A$125,0),MATCH($D860,Effective!$E$2:$R$2,0))),"")</f>
        <v/>
      </c>
      <c r="H860" s="22" t="inlineStr">
        <is>
          <t>override</t>
        </is>
      </c>
      <c r="I860" s="23" t="n"/>
      <c r="J860" s="24">
        <f>IF(AND(IF($H863&lt;&gt;"",$H863,$H860)="override",$I860&lt;&gt;""),$I860,SUMIFS(Assumptions!$K$4:$K$8,Assumptions!$J$4:$J$8,$C860))*Assumptions!$S$10</f>
        <v/>
      </c>
      <c r="K860" s="23" t="n"/>
      <c r="L860" s="25">
        <f>IF(AND(IF($H863&lt;&gt;"",$H863,$H860)="override",$K860&lt;&gt;""),$K860,SUMIFS(Assumptions!$P$4:$P$103,Assumptions!$M$4:$M$103,$C860,Assumptions!$N$4:$N$103,$E860,Assumptions!$O$4:$O$103,"LVN"))</f>
        <v/>
      </c>
      <c r="M860" s="23" t="n"/>
      <c r="N860" s="25">
        <f>IF(AND(IF($H863&lt;&gt;"",$H863,$H860)="override",$M860&lt;&gt;""),$M860,SUMIFS(Assumptions!$P$4:$P$103,Assumptions!$M$4:$M$103,$C860,Assumptions!$N$4:$N$103,$E860,Assumptions!$O$4:$O$103,"HVN"))</f>
        <v/>
      </c>
      <c r="O860" s="25">
        <f>(L860+N860)*Assumptions!$S$11</f>
        <v/>
      </c>
      <c r="P860" s="26">
        <f>$F860*$J860*$O860</f>
        <v/>
      </c>
    </row>
    <row r="861">
      <c r="A861" s="11" t="inlineStr">
        <is>
          <t>UNIT</t>
        </is>
      </c>
      <c r="B861" s="18" t="inlineStr">
        <is>
          <t>HF_CASPER</t>
        </is>
      </c>
      <c r="C861" s="18" t="n">
        <v>4</v>
      </c>
      <c r="D861" s="18" t="inlineStr">
        <is>
          <t>CCR</t>
        </is>
      </c>
      <c r="E861" s="18" t="inlineStr">
        <is>
          <t>REFORMER</t>
        </is>
      </c>
      <c r="F861" s="19" t="n">
        <v>5</v>
      </c>
      <c r="G861" s="21">
        <f>IFERROR(IF(INDEX(Effective!$E$3:$R$125,MATCH($B861,Effective!$A$3:$A$125,0),MATCH($D861,Effective!$E$2:$R$2,0))=0,"",INDEX(Effective!$E$3:$R$125,MATCH($B861,Effective!$A$3:$A$125,0),MATCH($D861,Effective!$E$2:$R$2,0))),"")</f>
        <v/>
      </c>
      <c r="H861" s="22" t="inlineStr">
        <is>
          <t>override</t>
        </is>
      </c>
      <c r="I861" s="23" t="n"/>
      <c r="J861" s="24">
        <f>IF(AND(IF($H863&lt;&gt;"",$H863,$H861)="override",$I861&lt;&gt;""),$I861,SUMIFS(Assumptions!$K$4:$K$8,Assumptions!$J$4:$J$8,$C861))*Assumptions!$S$10</f>
        <v/>
      </c>
      <c r="K861" s="23" t="n"/>
      <c r="L861" s="25">
        <f>IF(AND(IF($H863&lt;&gt;"",$H863,$H861)="override",$K861&lt;&gt;""),$K861,SUMIFS(Assumptions!$P$4:$P$103,Assumptions!$M$4:$M$103,$C861,Assumptions!$N$4:$N$103,$E861,Assumptions!$O$4:$O$103,"LVN"))</f>
        <v/>
      </c>
      <c r="M861" s="23" t="n"/>
      <c r="N861" s="25">
        <f>IF(AND(IF($H863&lt;&gt;"",$H863,$H861)="override",$M861&lt;&gt;""),$M861,SUMIFS(Assumptions!$P$4:$P$103,Assumptions!$M$4:$M$103,$C861,Assumptions!$N$4:$N$103,$E861,Assumptions!$O$4:$O$103,"HVN"))</f>
        <v/>
      </c>
      <c r="O861" s="25">
        <f>(L861+N861)*Assumptions!$S$11</f>
        <v/>
      </c>
      <c r="P861" s="26">
        <f>$F861*$J861*$O861</f>
        <v/>
      </c>
    </row>
    <row r="862">
      <c r="A862" s="11" t="inlineStr">
        <is>
          <t>UNIT</t>
        </is>
      </c>
      <c r="B862" s="18" t="inlineStr">
        <is>
          <t>HF_CASPER</t>
        </is>
      </c>
      <c r="C862" s="18" t="n">
        <v>4</v>
      </c>
      <c r="D862" s="18" t="inlineStr">
        <is>
          <t>NHT</t>
        </is>
      </c>
      <c r="E862" s="18" t="inlineStr">
        <is>
          <t>NHT</t>
        </is>
      </c>
      <c r="F862" s="19" t="n">
        <v>8.199999999999999</v>
      </c>
      <c r="G862" s="21">
        <f>IFERROR(IF(INDEX(Effective!$E$3:$R$125,MATCH($B862,Effective!$A$3:$A$125,0),MATCH($D862,Effective!$E$2:$R$2,0))=0,"",INDEX(Effective!$E$3:$R$125,MATCH($B862,Effective!$A$3:$A$125,0),MATCH($D862,Effective!$E$2:$R$2,0))),"")</f>
        <v/>
      </c>
      <c r="H862" s="22" t="inlineStr">
        <is>
          <t>override</t>
        </is>
      </c>
      <c r="I862" s="23" t="n"/>
      <c r="J862" s="24">
        <f>IF(AND(IF($H863&lt;&gt;"",$H863,$H862)="override",$I862&lt;&gt;""),$I862,SUMIFS(Assumptions!$K$4:$K$8,Assumptions!$J$4:$J$8,$C862))*Assumptions!$S$10</f>
        <v/>
      </c>
      <c r="K862" s="23" t="n"/>
      <c r="L862" s="25">
        <f>IF(AND(IF($H863&lt;&gt;"",$H863,$H862)="override",$K862&lt;&gt;""),$K862,SUMIFS(Assumptions!$P$4:$P$103,Assumptions!$M$4:$M$103,$C862,Assumptions!$N$4:$N$103,$E862,Assumptions!$O$4:$O$103,"LVN"))</f>
        <v/>
      </c>
      <c r="M862" s="23" t="n"/>
      <c r="N862" s="25">
        <f>IF(AND(IF($H863&lt;&gt;"",$H863,$H862)="override",$M862&lt;&gt;""),$M862,SUMIFS(Assumptions!$P$4:$P$103,Assumptions!$M$4:$M$103,$C862,Assumptions!$N$4:$N$103,$E862,Assumptions!$O$4:$O$103,"HVN"))</f>
        <v/>
      </c>
      <c r="O862" s="25">
        <f>(L862+N862)*Assumptions!$S$11</f>
        <v/>
      </c>
      <c r="P862" s="26">
        <f>$F862*$J862*$O862</f>
        <v/>
      </c>
    </row>
    <row r="863">
      <c r="A863" s="27" t="inlineStr">
        <is>
          <t>TOTAL</t>
        </is>
      </c>
      <c r="B863" s="28" t="inlineStr">
        <is>
          <t>HF_CASPER</t>
        </is>
      </c>
      <c r="C863" s="28" t="n">
        <v>4</v>
      </c>
      <c r="D863" s="28" t="inlineStr">
        <is>
          <t>NET NAPHTHA</t>
        </is>
      </c>
      <c r="H863" s="22" t="n"/>
      <c r="P863" s="29">
        <f>SUM(P859:P862)</f>
        <v/>
      </c>
    </row>
    <row r="865" ht="20" customHeight="1">
      <c r="A865" s="8">
        <f>"  Par Petroleum Newcastle  [PAR_NEWCASTLE]   —   Par Petroleum   —   PADD 4   —   crude "&amp;TEXT(SUMIFS(Data!$G$3:$G$125,Data!$A$3:$A$125,"PAR_NEWCASTLE"),"#,##0")&amp;" kbd"</f>
        <v/>
      </c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</row>
    <row r="866">
      <c r="A866" s="11" t="inlineStr">
        <is>
          <t>UNIT</t>
        </is>
      </c>
      <c r="B866" s="18" t="inlineStr">
        <is>
          <t>PAR_NEWCASTLE</t>
        </is>
      </c>
      <c r="C866" s="18" t="n">
        <v>4</v>
      </c>
      <c r="D866" s="18" t="inlineStr">
        <is>
          <t>CDU</t>
        </is>
      </c>
      <c r="E866" s="18" t="inlineStr">
        <is>
          <t>CDU</t>
        </is>
      </c>
      <c r="F866" s="19" t="n">
        <v>18.5</v>
      </c>
      <c r="G866" s="21">
        <f>IFERROR(IF(INDEX(Effective!$E$3:$R$125,MATCH($B866,Effective!$A$3:$A$125,0),MATCH($D866,Effective!$E$2:$R$2,0))=0,"",INDEX(Effective!$E$3:$R$125,MATCH($B866,Effective!$A$3:$A$125,0),MATCH($D866,Effective!$E$2:$R$2,0))),"")</f>
        <v/>
      </c>
      <c r="H866" s="22" t="inlineStr">
        <is>
          <t>override</t>
        </is>
      </c>
      <c r="I866" s="23" t="n"/>
      <c r="J866" s="24">
        <f>IF(AND(IF($H872&lt;&gt;"",$H872,$H866)="override",$I866&lt;&gt;""),$I866,SUMIFS(Assumptions!$K$4:$K$8,Assumptions!$J$4:$J$8,$C866))*Assumptions!$S$10</f>
        <v/>
      </c>
      <c r="K866" s="23" t="n"/>
      <c r="L866" s="25">
        <f>IF(AND(IF($H872&lt;&gt;"",$H872,$H866)="override",$K866&lt;&gt;""),$K866,SUMIFS(Assumptions!$P$4:$P$103,Assumptions!$M$4:$M$103,$C866,Assumptions!$N$4:$N$103,$E866,Assumptions!$O$4:$O$103,"LVN"))</f>
        <v/>
      </c>
      <c r="M866" s="23" t="n"/>
      <c r="N866" s="25">
        <f>IF(AND(IF($H872&lt;&gt;"",$H872,$H866)="override",$M866&lt;&gt;""),$M866,SUMIFS(Assumptions!$P$4:$P$103,Assumptions!$M$4:$M$103,$C866,Assumptions!$N$4:$N$103,$E866,Assumptions!$O$4:$O$103,"HVN"))</f>
        <v/>
      </c>
      <c r="O866" s="25">
        <f>(L866+N866)*Assumptions!$S$11</f>
        <v/>
      </c>
      <c r="P866" s="26">
        <f>$F866*$J866*$O866</f>
        <v/>
      </c>
    </row>
    <row r="867">
      <c r="A867" s="11" t="inlineStr">
        <is>
          <t>UNIT</t>
        </is>
      </c>
      <c r="B867" s="18" t="inlineStr">
        <is>
          <t>PAR_NEWCASTLE</t>
        </is>
      </c>
      <c r="C867" s="18" t="n">
        <v>4</v>
      </c>
      <c r="D867" s="18" t="inlineStr">
        <is>
          <t>VDU</t>
        </is>
      </c>
      <c r="E867" s="18" t="inlineStr">
        <is>
          <t>VDU</t>
        </is>
      </c>
      <c r="F867" s="19" t="n">
        <v>1.8</v>
      </c>
      <c r="G867" s="21">
        <f>IFERROR(IF(INDEX(Effective!$E$3:$R$125,MATCH($B867,Effective!$A$3:$A$125,0),MATCH($D867,Effective!$E$2:$R$2,0))=0,"",INDEX(Effective!$E$3:$R$125,MATCH($B867,Effective!$A$3:$A$125,0),MATCH($D867,Effective!$E$2:$R$2,0))),"")</f>
        <v/>
      </c>
      <c r="H867" s="22" t="inlineStr">
        <is>
          <t>override</t>
        </is>
      </c>
      <c r="I867" s="23" t="n"/>
      <c r="J867" s="24">
        <f>IF(AND(IF($H872&lt;&gt;"",$H872,$H867)="override",$I867&lt;&gt;""),$I867,SUMIFS(Assumptions!$K$4:$K$8,Assumptions!$J$4:$J$8,$C867))*Assumptions!$S$10</f>
        <v/>
      </c>
      <c r="K867" s="23" t="n"/>
      <c r="L867" s="25">
        <f>IF(AND(IF($H872&lt;&gt;"",$H872,$H867)="override",$K867&lt;&gt;""),$K867,SUMIFS(Assumptions!$P$4:$P$103,Assumptions!$M$4:$M$103,$C867,Assumptions!$N$4:$N$103,$E867,Assumptions!$O$4:$O$103,"LVN"))</f>
        <v/>
      </c>
      <c r="M867" s="23" t="n"/>
      <c r="N867" s="25">
        <f>IF(AND(IF($H872&lt;&gt;"",$H872,$H867)="override",$M867&lt;&gt;""),$M867,SUMIFS(Assumptions!$P$4:$P$103,Assumptions!$M$4:$M$103,$C867,Assumptions!$N$4:$N$103,$E867,Assumptions!$O$4:$O$103,"HVN"))</f>
        <v/>
      </c>
      <c r="O867" s="25">
        <f>(L867+N867)*Assumptions!$S$11</f>
        <v/>
      </c>
      <c r="P867" s="26">
        <f>$F867*$J867*$O867</f>
        <v/>
      </c>
    </row>
    <row r="868">
      <c r="A868" s="11" t="inlineStr">
        <is>
          <t>UNIT</t>
        </is>
      </c>
      <c r="B868" s="18" t="inlineStr">
        <is>
          <t>PAR_NEWCASTLE</t>
        </is>
      </c>
      <c r="C868" s="18" t="n">
        <v>4</v>
      </c>
      <c r="D868" s="18" t="inlineStr">
        <is>
          <t>FCC</t>
        </is>
      </c>
      <c r="E868" s="18" t="inlineStr">
        <is>
          <t>FCC</t>
        </is>
      </c>
      <c r="F868" s="19" t="n">
        <v>7.5</v>
      </c>
      <c r="G868" s="21">
        <f>IFERROR(IF(INDEX(Effective!$E$3:$R$125,MATCH($B868,Effective!$A$3:$A$125,0),MATCH($D868,Effective!$E$2:$R$2,0))=0,"",INDEX(Effective!$E$3:$R$125,MATCH($B868,Effective!$A$3:$A$125,0),MATCH($D868,Effective!$E$2:$R$2,0))),"")</f>
        <v/>
      </c>
      <c r="H868" s="22" t="inlineStr">
        <is>
          <t>override</t>
        </is>
      </c>
      <c r="I868" s="23" t="n"/>
      <c r="J868" s="24">
        <f>IF(AND(IF($H872&lt;&gt;"",$H872,$H868)="override",$I868&lt;&gt;""),$I868,SUMIFS(Assumptions!$K$4:$K$8,Assumptions!$J$4:$J$8,$C868))*Assumptions!$S$10</f>
        <v/>
      </c>
      <c r="K868" s="23" t="n"/>
      <c r="L868" s="25">
        <f>IF(AND(IF($H872&lt;&gt;"",$H872,$H868)="override",$K868&lt;&gt;""),$K868,SUMIFS(Assumptions!$P$4:$P$103,Assumptions!$M$4:$M$103,$C868,Assumptions!$N$4:$N$103,$E868,Assumptions!$O$4:$O$103,"LVN"))</f>
        <v/>
      </c>
      <c r="M868" s="23" t="n"/>
      <c r="N868" s="25">
        <f>IF(AND(IF($H872&lt;&gt;"",$H872,$H868)="override",$M868&lt;&gt;""),$M868,SUMIFS(Assumptions!$P$4:$P$103,Assumptions!$M$4:$M$103,$C868,Assumptions!$N$4:$N$103,$E868,Assumptions!$O$4:$O$103,"HVN"))</f>
        <v/>
      </c>
      <c r="O868" s="25">
        <f>(L868+N868)*Assumptions!$S$11</f>
        <v/>
      </c>
      <c r="P868" s="26">
        <f>$F868*$J868*$O868</f>
        <v/>
      </c>
    </row>
    <row r="869">
      <c r="A869" s="11" t="inlineStr">
        <is>
          <t>UNIT</t>
        </is>
      </c>
      <c r="B869" s="18" t="inlineStr">
        <is>
          <t>PAR_NEWCASTLE</t>
        </is>
      </c>
      <c r="C869" s="18" t="n">
        <v>4</v>
      </c>
      <c r="D869" s="18" t="inlineStr">
        <is>
          <t>REF</t>
        </is>
      </c>
      <c r="E869" s="18" t="inlineStr">
        <is>
          <t>REFORMER</t>
        </is>
      </c>
      <c r="F869" s="19" t="n">
        <v>4</v>
      </c>
      <c r="G869" s="21">
        <f>IFERROR(IF(INDEX(Effective!$E$3:$R$125,MATCH($B869,Effective!$A$3:$A$125,0),MATCH($D869,Effective!$E$2:$R$2,0))=0,"",INDEX(Effective!$E$3:$R$125,MATCH($B869,Effective!$A$3:$A$125,0),MATCH($D869,Effective!$E$2:$R$2,0))),"")</f>
        <v/>
      </c>
      <c r="H869" s="22" t="inlineStr">
        <is>
          <t>override</t>
        </is>
      </c>
      <c r="I869" s="23" t="n"/>
      <c r="J869" s="24">
        <f>IF(AND(IF($H872&lt;&gt;"",$H872,$H869)="override",$I869&lt;&gt;""),$I869,SUMIFS(Assumptions!$K$4:$K$8,Assumptions!$J$4:$J$8,$C869))*Assumptions!$S$10</f>
        <v/>
      </c>
      <c r="K869" s="23" t="n"/>
      <c r="L869" s="25">
        <f>IF(AND(IF($H872&lt;&gt;"",$H872,$H869)="override",$K869&lt;&gt;""),$K869,SUMIFS(Assumptions!$P$4:$P$103,Assumptions!$M$4:$M$103,$C869,Assumptions!$N$4:$N$103,$E869,Assumptions!$O$4:$O$103,"LVN"))</f>
        <v/>
      </c>
      <c r="M869" s="23" t="n"/>
      <c r="N869" s="25">
        <f>IF(AND(IF($H872&lt;&gt;"",$H872,$H869)="override",$M869&lt;&gt;""),$M869,SUMIFS(Assumptions!$P$4:$P$103,Assumptions!$M$4:$M$103,$C869,Assumptions!$N$4:$N$103,$E869,Assumptions!$O$4:$O$103,"HVN"))</f>
        <v/>
      </c>
      <c r="O869" s="25">
        <f>(L869+N869)*Assumptions!$S$11</f>
        <v/>
      </c>
      <c r="P869" s="26">
        <f>$F869*$J869*$O869</f>
        <v/>
      </c>
    </row>
    <row r="870">
      <c r="A870" s="11" t="inlineStr">
        <is>
          <t>UNIT</t>
        </is>
      </c>
      <c r="B870" s="18" t="inlineStr">
        <is>
          <t>PAR_NEWCASTLE</t>
        </is>
      </c>
      <c r="C870" s="18" t="n">
        <v>4</v>
      </c>
      <c r="D870" s="18" t="inlineStr">
        <is>
          <t>ALKY</t>
        </is>
      </c>
      <c r="E870" s="18" t="inlineStr">
        <is>
          <t>ALKY</t>
        </is>
      </c>
      <c r="F870" s="19" t="n">
        <v>1.3</v>
      </c>
      <c r="G870" s="21">
        <f>IFERROR(IF(INDEX(Effective!$E$3:$R$125,MATCH($B870,Effective!$A$3:$A$125,0),MATCH($D870,Effective!$E$2:$R$2,0))=0,"",INDEX(Effective!$E$3:$R$125,MATCH($B870,Effective!$A$3:$A$125,0),MATCH($D870,Effective!$E$2:$R$2,0))),"")</f>
        <v/>
      </c>
      <c r="H870" s="22" t="inlineStr">
        <is>
          <t>override</t>
        </is>
      </c>
      <c r="I870" s="23" t="n"/>
      <c r="J870" s="24">
        <f>IF(AND(IF($H872&lt;&gt;"",$H872,$H870)="override",$I870&lt;&gt;""),$I870,SUMIFS(Assumptions!$K$4:$K$8,Assumptions!$J$4:$J$8,$C870))*Assumptions!$S$10</f>
        <v/>
      </c>
      <c r="K870" s="23" t="n"/>
      <c r="L870" s="25">
        <f>IF(AND(IF($H872&lt;&gt;"",$H872,$H870)="override",$K870&lt;&gt;""),$K870,SUMIFS(Assumptions!$P$4:$P$103,Assumptions!$M$4:$M$103,$C870,Assumptions!$N$4:$N$103,$E870,Assumptions!$O$4:$O$103,"LVN"))</f>
        <v/>
      </c>
      <c r="M870" s="23" t="n"/>
      <c r="N870" s="25">
        <f>IF(AND(IF($H872&lt;&gt;"",$H872,$H870)="override",$M870&lt;&gt;""),$M870,SUMIFS(Assumptions!$P$4:$P$103,Assumptions!$M$4:$M$103,$C870,Assumptions!$N$4:$N$103,$E870,Assumptions!$O$4:$O$103,"HVN"))</f>
        <v/>
      </c>
      <c r="O870" s="25">
        <f>(L870+N870)*Assumptions!$S$11</f>
        <v/>
      </c>
      <c r="P870" s="26">
        <f>$F870*$J870*$O870</f>
        <v/>
      </c>
    </row>
    <row r="871">
      <c r="A871" s="11" t="inlineStr">
        <is>
          <t>UNIT</t>
        </is>
      </c>
      <c r="B871" s="18" t="inlineStr">
        <is>
          <t>PAR_NEWCASTLE</t>
        </is>
      </c>
      <c r="C871" s="18" t="n">
        <v>4</v>
      </c>
      <c r="D871" s="18" t="inlineStr">
        <is>
          <t>NHT</t>
        </is>
      </c>
      <c r="E871" s="18" t="inlineStr">
        <is>
          <t>NHT</t>
        </is>
      </c>
      <c r="F871" s="19" t="n">
        <v>4</v>
      </c>
      <c r="G871" s="21">
        <f>IFERROR(IF(INDEX(Effective!$E$3:$R$125,MATCH($B871,Effective!$A$3:$A$125,0),MATCH($D871,Effective!$E$2:$R$2,0))=0,"",INDEX(Effective!$E$3:$R$125,MATCH($B871,Effective!$A$3:$A$125,0),MATCH($D871,Effective!$E$2:$R$2,0))),"")</f>
        <v/>
      </c>
      <c r="H871" s="22" t="inlineStr">
        <is>
          <t>override</t>
        </is>
      </c>
      <c r="I871" s="23" t="n"/>
      <c r="J871" s="24">
        <f>IF(AND(IF($H872&lt;&gt;"",$H872,$H871)="override",$I871&lt;&gt;""),$I871,SUMIFS(Assumptions!$K$4:$K$8,Assumptions!$J$4:$J$8,$C871))*Assumptions!$S$10</f>
        <v/>
      </c>
      <c r="K871" s="23" t="n"/>
      <c r="L871" s="25">
        <f>IF(AND(IF($H872&lt;&gt;"",$H872,$H871)="override",$K871&lt;&gt;""),$K871,SUMIFS(Assumptions!$P$4:$P$103,Assumptions!$M$4:$M$103,$C871,Assumptions!$N$4:$N$103,$E871,Assumptions!$O$4:$O$103,"LVN"))</f>
        <v/>
      </c>
      <c r="M871" s="23" t="n"/>
      <c r="N871" s="25">
        <f>IF(AND(IF($H872&lt;&gt;"",$H872,$H871)="override",$M871&lt;&gt;""),$M871,SUMIFS(Assumptions!$P$4:$P$103,Assumptions!$M$4:$M$103,$C871,Assumptions!$N$4:$N$103,$E871,Assumptions!$O$4:$O$103,"HVN"))</f>
        <v/>
      </c>
      <c r="O871" s="25">
        <f>(L871+N871)*Assumptions!$S$11</f>
        <v/>
      </c>
      <c r="P871" s="26">
        <f>$F871*$J871*$O871</f>
        <v/>
      </c>
    </row>
    <row r="872">
      <c r="A872" s="27" t="inlineStr">
        <is>
          <t>TOTAL</t>
        </is>
      </c>
      <c r="B872" s="28" t="inlineStr">
        <is>
          <t>PAR_NEWCASTLE</t>
        </is>
      </c>
      <c r="C872" s="28" t="n">
        <v>4</v>
      </c>
      <c r="D872" s="28" t="inlineStr">
        <is>
          <t>NET NAPHTHA</t>
        </is>
      </c>
      <c r="H872" s="22" t="n"/>
      <c r="P872" s="29">
        <f>SUM(P866:P871)</f>
        <v/>
      </c>
    </row>
    <row r="874" ht="20" customHeight="1">
      <c r="A874" s="8">
        <f>"  Montana Refining Co. Great Falls  [MONTANA_GREAT_FALLS]   —   Calumet Lubricants Co.   —   PADD 4   —   crude "&amp;TEXT(SUMIFS(Data!$G$3:$G$125,Data!$A$3:$A$125,"MONTANA_GREAT_FALLS"),"#,##0")&amp;" kbd"</f>
        <v/>
      </c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</row>
    <row r="875">
      <c r="A875" s="11" t="inlineStr">
        <is>
          <t>UNIT</t>
        </is>
      </c>
      <c r="B875" s="18" t="inlineStr">
        <is>
          <t>MONTANA_GREAT_FALLS</t>
        </is>
      </c>
      <c r="C875" s="18" t="n">
        <v>4</v>
      </c>
      <c r="D875" s="18" t="inlineStr">
        <is>
          <t>CDU</t>
        </is>
      </c>
      <c r="E875" s="18" t="inlineStr">
        <is>
          <t>CDU</t>
        </is>
      </c>
      <c r="F875" s="19" t="n">
        <v>27</v>
      </c>
      <c r="G875" s="21">
        <f>IFERROR(IF(INDEX(Effective!$E$3:$R$125,MATCH($B875,Effective!$A$3:$A$125,0),MATCH($D875,Effective!$E$2:$R$2,0))=0,"",INDEX(Effective!$E$3:$R$125,MATCH($B875,Effective!$A$3:$A$125,0),MATCH($D875,Effective!$E$2:$R$2,0))),"")</f>
        <v/>
      </c>
      <c r="H875" s="22" t="inlineStr">
        <is>
          <t>override</t>
        </is>
      </c>
      <c r="I875" s="23" t="n"/>
      <c r="J875" s="24">
        <f>IF(AND(IF($H882&lt;&gt;"",$H882,$H875)="override",$I875&lt;&gt;""),$I875,SUMIFS(Assumptions!$K$4:$K$8,Assumptions!$J$4:$J$8,$C875))*Assumptions!$S$10</f>
        <v/>
      </c>
      <c r="K875" s="23" t="n"/>
      <c r="L875" s="25">
        <f>IF(AND(IF($H882&lt;&gt;"",$H882,$H875)="override",$K875&lt;&gt;""),$K875,SUMIFS(Assumptions!$P$4:$P$103,Assumptions!$M$4:$M$103,$C875,Assumptions!$N$4:$N$103,$E875,Assumptions!$O$4:$O$103,"LVN"))</f>
        <v/>
      </c>
      <c r="M875" s="23" t="n"/>
      <c r="N875" s="25">
        <f>IF(AND(IF($H882&lt;&gt;"",$H882,$H875)="override",$M875&lt;&gt;""),$M875,SUMIFS(Assumptions!$P$4:$P$103,Assumptions!$M$4:$M$103,$C875,Assumptions!$N$4:$N$103,$E875,Assumptions!$O$4:$O$103,"HVN"))</f>
        <v/>
      </c>
      <c r="O875" s="25">
        <f>(L875+N875)*Assumptions!$S$11</f>
        <v/>
      </c>
      <c r="P875" s="26">
        <f>$F875*$J875*$O875</f>
        <v/>
      </c>
    </row>
    <row r="876">
      <c r="A876" s="11" t="inlineStr">
        <is>
          <t>UNIT</t>
        </is>
      </c>
      <c r="B876" s="18" t="inlineStr">
        <is>
          <t>MONTANA_GREAT_FALLS</t>
        </is>
      </c>
      <c r="C876" s="18" t="n">
        <v>4</v>
      </c>
      <c r="D876" s="18" t="inlineStr">
        <is>
          <t>VDU</t>
        </is>
      </c>
      <c r="E876" s="18" t="inlineStr">
        <is>
          <t>VDU</t>
        </is>
      </c>
      <c r="F876" s="19" t="n">
        <v>20</v>
      </c>
      <c r="G876" s="21">
        <f>IFERROR(IF(INDEX(Effective!$E$3:$R$125,MATCH($B876,Effective!$A$3:$A$125,0),MATCH($D876,Effective!$E$2:$R$2,0))=0,"",INDEX(Effective!$E$3:$R$125,MATCH($B876,Effective!$A$3:$A$125,0),MATCH($D876,Effective!$E$2:$R$2,0))),"")</f>
        <v/>
      </c>
      <c r="H876" s="22" t="inlineStr">
        <is>
          <t>override</t>
        </is>
      </c>
      <c r="I876" s="23" t="n"/>
      <c r="J876" s="24">
        <f>IF(AND(IF($H882&lt;&gt;"",$H882,$H876)="override",$I876&lt;&gt;""),$I876,SUMIFS(Assumptions!$K$4:$K$8,Assumptions!$J$4:$J$8,$C876))*Assumptions!$S$10</f>
        <v/>
      </c>
      <c r="K876" s="23" t="n"/>
      <c r="L876" s="25">
        <f>IF(AND(IF($H882&lt;&gt;"",$H882,$H876)="override",$K876&lt;&gt;""),$K876,SUMIFS(Assumptions!$P$4:$P$103,Assumptions!$M$4:$M$103,$C876,Assumptions!$N$4:$N$103,$E876,Assumptions!$O$4:$O$103,"LVN"))</f>
        <v/>
      </c>
      <c r="M876" s="23" t="n"/>
      <c r="N876" s="25">
        <f>IF(AND(IF($H882&lt;&gt;"",$H882,$H876)="override",$M876&lt;&gt;""),$M876,SUMIFS(Assumptions!$P$4:$P$103,Assumptions!$M$4:$M$103,$C876,Assumptions!$N$4:$N$103,$E876,Assumptions!$O$4:$O$103,"HVN"))</f>
        <v/>
      </c>
      <c r="O876" s="25">
        <f>(L876+N876)*Assumptions!$S$11</f>
        <v/>
      </c>
      <c r="P876" s="26">
        <f>$F876*$J876*$O876</f>
        <v/>
      </c>
    </row>
    <row r="877">
      <c r="A877" s="11" t="inlineStr">
        <is>
          <t>UNIT</t>
        </is>
      </c>
      <c r="B877" s="18" t="inlineStr">
        <is>
          <t>MONTANA_GREAT_FALLS</t>
        </is>
      </c>
      <c r="C877" s="18" t="n">
        <v>4</v>
      </c>
      <c r="D877" s="18" t="inlineStr">
        <is>
          <t>FCC</t>
        </is>
      </c>
      <c r="E877" s="18" t="inlineStr">
        <is>
          <t>FCC</t>
        </is>
      </c>
      <c r="F877" s="19" t="n">
        <v>3</v>
      </c>
      <c r="G877" s="21">
        <f>IFERROR(IF(INDEX(Effective!$E$3:$R$125,MATCH($B877,Effective!$A$3:$A$125,0),MATCH($D877,Effective!$E$2:$R$2,0))=0,"",INDEX(Effective!$E$3:$R$125,MATCH($B877,Effective!$A$3:$A$125,0),MATCH($D877,Effective!$E$2:$R$2,0))),"")</f>
        <v/>
      </c>
      <c r="H877" s="22" t="inlineStr">
        <is>
          <t>override</t>
        </is>
      </c>
      <c r="I877" s="23" t="n"/>
      <c r="J877" s="24">
        <f>IF(AND(IF($H882&lt;&gt;"",$H882,$H877)="override",$I877&lt;&gt;""),$I877,SUMIFS(Assumptions!$K$4:$K$8,Assumptions!$J$4:$J$8,$C877))*Assumptions!$S$10</f>
        <v/>
      </c>
      <c r="K877" s="23" t="n"/>
      <c r="L877" s="25">
        <f>IF(AND(IF($H882&lt;&gt;"",$H882,$H877)="override",$K877&lt;&gt;""),$K877,SUMIFS(Assumptions!$P$4:$P$103,Assumptions!$M$4:$M$103,$C877,Assumptions!$N$4:$N$103,$E877,Assumptions!$O$4:$O$103,"LVN"))</f>
        <v/>
      </c>
      <c r="M877" s="23" t="n"/>
      <c r="N877" s="25">
        <f>IF(AND(IF($H882&lt;&gt;"",$H882,$H877)="override",$M877&lt;&gt;""),$M877,SUMIFS(Assumptions!$P$4:$P$103,Assumptions!$M$4:$M$103,$C877,Assumptions!$N$4:$N$103,$E877,Assumptions!$O$4:$O$103,"HVN"))</f>
        <v/>
      </c>
      <c r="O877" s="25">
        <f>(L877+N877)*Assumptions!$S$11</f>
        <v/>
      </c>
      <c r="P877" s="26">
        <f>$F877*$J877*$O877</f>
        <v/>
      </c>
    </row>
    <row r="878">
      <c r="A878" s="11" t="inlineStr">
        <is>
          <t>UNIT</t>
        </is>
      </c>
      <c r="B878" s="18" t="inlineStr">
        <is>
          <t>MONTANA_GREAT_FALLS</t>
        </is>
      </c>
      <c r="C878" s="18" t="n">
        <v>4</v>
      </c>
      <c r="D878" s="18" t="inlineStr">
        <is>
          <t>REF</t>
        </is>
      </c>
      <c r="E878" s="18" t="inlineStr">
        <is>
          <t>REFORMER</t>
        </is>
      </c>
      <c r="F878" s="19" t="n">
        <v>1.5</v>
      </c>
      <c r="G878" s="21">
        <f>IFERROR(IF(INDEX(Effective!$E$3:$R$125,MATCH($B878,Effective!$A$3:$A$125,0),MATCH($D878,Effective!$E$2:$R$2,0))=0,"",INDEX(Effective!$E$3:$R$125,MATCH($B878,Effective!$A$3:$A$125,0),MATCH($D878,Effective!$E$2:$R$2,0))),"")</f>
        <v/>
      </c>
      <c r="H878" s="22" t="inlineStr">
        <is>
          <t>override</t>
        </is>
      </c>
      <c r="I878" s="23" t="n"/>
      <c r="J878" s="24">
        <f>IF(AND(IF($H882&lt;&gt;"",$H882,$H878)="override",$I878&lt;&gt;""),$I878,SUMIFS(Assumptions!$K$4:$K$8,Assumptions!$J$4:$J$8,$C878))*Assumptions!$S$10</f>
        <v/>
      </c>
      <c r="K878" s="23" t="n"/>
      <c r="L878" s="25">
        <f>IF(AND(IF($H882&lt;&gt;"",$H882,$H878)="override",$K878&lt;&gt;""),$K878,SUMIFS(Assumptions!$P$4:$P$103,Assumptions!$M$4:$M$103,$C878,Assumptions!$N$4:$N$103,$E878,Assumptions!$O$4:$O$103,"LVN"))</f>
        <v/>
      </c>
      <c r="M878" s="23" t="n"/>
      <c r="N878" s="25">
        <f>IF(AND(IF($H882&lt;&gt;"",$H882,$H878)="override",$M878&lt;&gt;""),$M878,SUMIFS(Assumptions!$P$4:$P$103,Assumptions!$M$4:$M$103,$C878,Assumptions!$N$4:$N$103,$E878,Assumptions!$O$4:$O$103,"HVN"))</f>
        <v/>
      </c>
      <c r="O878" s="25">
        <f>(L878+N878)*Assumptions!$S$11</f>
        <v/>
      </c>
      <c r="P878" s="26">
        <f>$F878*$J878*$O878</f>
        <v/>
      </c>
    </row>
    <row r="879">
      <c r="A879" s="11" t="inlineStr">
        <is>
          <t>UNIT</t>
        </is>
      </c>
      <c r="B879" s="18" t="inlineStr">
        <is>
          <t>MONTANA_GREAT_FALLS</t>
        </is>
      </c>
      <c r="C879" s="18" t="n">
        <v>4</v>
      </c>
      <c r="D879" s="18" t="inlineStr">
        <is>
          <t>ISOM</t>
        </is>
      </c>
      <c r="E879" s="18" t="inlineStr">
        <is>
          <t>ISOM</t>
        </is>
      </c>
      <c r="F879" s="19" t="n">
        <v>1.5</v>
      </c>
      <c r="G879" s="21">
        <f>IFERROR(IF(INDEX(Effective!$E$3:$R$125,MATCH($B879,Effective!$A$3:$A$125,0),MATCH($D879,Effective!$E$2:$R$2,0))=0,"",INDEX(Effective!$E$3:$R$125,MATCH($B879,Effective!$A$3:$A$125,0),MATCH($D879,Effective!$E$2:$R$2,0))),"")</f>
        <v/>
      </c>
      <c r="H879" s="22" t="inlineStr">
        <is>
          <t>override</t>
        </is>
      </c>
      <c r="I879" s="23" t="n"/>
      <c r="J879" s="24">
        <f>IF(AND(IF($H882&lt;&gt;"",$H882,$H879)="override",$I879&lt;&gt;""),$I879,SUMIFS(Assumptions!$K$4:$K$8,Assumptions!$J$4:$J$8,$C879))*Assumptions!$S$10</f>
        <v/>
      </c>
      <c r="K879" s="23" t="n"/>
      <c r="L879" s="25">
        <f>IF(AND(IF($H882&lt;&gt;"",$H882,$H879)="override",$K879&lt;&gt;""),$K879,SUMIFS(Assumptions!$P$4:$P$103,Assumptions!$M$4:$M$103,$C879,Assumptions!$N$4:$N$103,$E879,Assumptions!$O$4:$O$103,"LVN"))</f>
        <v/>
      </c>
      <c r="M879" s="23" t="n"/>
      <c r="N879" s="25">
        <f>IF(AND(IF($H882&lt;&gt;"",$H882,$H879)="override",$M879&lt;&gt;""),$M879,SUMIFS(Assumptions!$P$4:$P$103,Assumptions!$M$4:$M$103,$C879,Assumptions!$N$4:$N$103,$E879,Assumptions!$O$4:$O$103,"HVN"))</f>
        <v/>
      </c>
      <c r="O879" s="25">
        <f>(L879+N879)*Assumptions!$S$11</f>
        <v/>
      </c>
      <c r="P879" s="26">
        <f>$F879*$J879*$O879</f>
        <v/>
      </c>
    </row>
    <row r="880">
      <c r="A880" s="11" t="inlineStr">
        <is>
          <t>UNIT</t>
        </is>
      </c>
      <c r="B880" s="18" t="inlineStr">
        <is>
          <t>MONTANA_GREAT_FALLS</t>
        </is>
      </c>
      <c r="C880" s="18" t="n">
        <v>4</v>
      </c>
      <c r="D880" s="18" t="inlineStr">
        <is>
          <t>ALKY</t>
        </is>
      </c>
      <c r="E880" s="18" t="inlineStr">
        <is>
          <t>ALKY</t>
        </is>
      </c>
      <c r="F880" s="19" t="n">
        <v>0.8</v>
      </c>
      <c r="G880" s="21">
        <f>IFERROR(IF(INDEX(Effective!$E$3:$R$125,MATCH($B880,Effective!$A$3:$A$125,0),MATCH($D880,Effective!$E$2:$R$2,0))=0,"",INDEX(Effective!$E$3:$R$125,MATCH($B880,Effective!$A$3:$A$125,0),MATCH($D880,Effective!$E$2:$R$2,0))),"")</f>
        <v/>
      </c>
      <c r="H880" s="22" t="inlineStr">
        <is>
          <t>override</t>
        </is>
      </c>
      <c r="I880" s="23" t="n"/>
      <c r="J880" s="24">
        <f>IF(AND(IF($H882&lt;&gt;"",$H882,$H880)="override",$I880&lt;&gt;""),$I880,SUMIFS(Assumptions!$K$4:$K$8,Assumptions!$J$4:$J$8,$C880))*Assumptions!$S$10</f>
        <v/>
      </c>
      <c r="K880" s="23" t="n"/>
      <c r="L880" s="25">
        <f>IF(AND(IF($H882&lt;&gt;"",$H882,$H880)="override",$K880&lt;&gt;""),$K880,SUMIFS(Assumptions!$P$4:$P$103,Assumptions!$M$4:$M$103,$C880,Assumptions!$N$4:$N$103,$E880,Assumptions!$O$4:$O$103,"LVN"))</f>
        <v/>
      </c>
      <c r="M880" s="23" t="n"/>
      <c r="N880" s="25">
        <f>IF(AND(IF($H882&lt;&gt;"",$H882,$H880)="override",$M880&lt;&gt;""),$M880,SUMIFS(Assumptions!$P$4:$P$103,Assumptions!$M$4:$M$103,$C880,Assumptions!$N$4:$N$103,$E880,Assumptions!$O$4:$O$103,"HVN"))</f>
        <v/>
      </c>
      <c r="O880" s="25">
        <f>(L880+N880)*Assumptions!$S$11</f>
        <v/>
      </c>
      <c r="P880" s="26">
        <f>$F880*$J880*$O880</f>
        <v/>
      </c>
    </row>
    <row r="881">
      <c r="A881" s="11" t="inlineStr">
        <is>
          <t>UNIT</t>
        </is>
      </c>
      <c r="B881" s="18" t="inlineStr">
        <is>
          <t>MONTANA_GREAT_FALLS</t>
        </is>
      </c>
      <c r="C881" s="18" t="n">
        <v>4</v>
      </c>
      <c r="D881" s="18" t="inlineStr">
        <is>
          <t>NHT</t>
        </is>
      </c>
      <c r="E881" s="18" t="inlineStr">
        <is>
          <t>NHT</t>
        </is>
      </c>
      <c r="F881" s="19" t="n">
        <v>2.75</v>
      </c>
      <c r="G881" s="21">
        <f>IFERROR(IF(INDEX(Effective!$E$3:$R$125,MATCH($B881,Effective!$A$3:$A$125,0),MATCH($D881,Effective!$E$2:$R$2,0))=0,"",INDEX(Effective!$E$3:$R$125,MATCH($B881,Effective!$A$3:$A$125,0),MATCH($D881,Effective!$E$2:$R$2,0))),"")</f>
        <v/>
      </c>
      <c r="H881" s="22" t="inlineStr">
        <is>
          <t>override</t>
        </is>
      </c>
      <c r="I881" s="23" t="n"/>
      <c r="J881" s="24">
        <f>IF(AND(IF($H882&lt;&gt;"",$H882,$H881)="override",$I881&lt;&gt;""),$I881,SUMIFS(Assumptions!$K$4:$K$8,Assumptions!$J$4:$J$8,$C881))*Assumptions!$S$10</f>
        <v/>
      </c>
      <c r="K881" s="23" t="n"/>
      <c r="L881" s="25">
        <f>IF(AND(IF($H882&lt;&gt;"",$H882,$H881)="override",$K881&lt;&gt;""),$K881,SUMIFS(Assumptions!$P$4:$P$103,Assumptions!$M$4:$M$103,$C881,Assumptions!$N$4:$N$103,$E881,Assumptions!$O$4:$O$103,"LVN"))</f>
        <v/>
      </c>
      <c r="M881" s="23" t="n"/>
      <c r="N881" s="25">
        <f>IF(AND(IF($H882&lt;&gt;"",$H882,$H881)="override",$M881&lt;&gt;""),$M881,SUMIFS(Assumptions!$P$4:$P$103,Assumptions!$M$4:$M$103,$C881,Assumptions!$N$4:$N$103,$E881,Assumptions!$O$4:$O$103,"HVN"))</f>
        <v/>
      </c>
      <c r="O881" s="25">
        <f>(L881+N881)*Assumptions!$S$11</f>
        <v/>
      </c>
      <c r="P881" s="26">
        <f>$F881*$J881*$O881</f>
        <v/>
      </c>
    </row>
    <row r="882">
      <c r="A882" s="27" t="inlineStr">
        <is>
          <t>TOTAL</t>
        </is>
      </c>
      <c r="B882" s="28" t="inlineStr">
        <is>
          <t>MONTANA_GREAT_FALLS</t>
        </is>
      </c>
      <c r="C882" s="28" t="n">
        <v>4</v>
      </c>
      <c r="D882" s="28" t="inlineStr">
        <is>
          <t>NET NAPHTHA</t>
        </is>
      </c>
      <c r="H882" s="22" t="n"/>
      <c r="P882" s="29">
        <f>SUM(P875:P881)</f>
        <v/>
      </c>
    </row>
    <row r="884" ht="20" customHeight="1">
      <c r="A884" s="8">
        <f>"  Silver Eagle Refining Woods Cross  [SILVER_WOODS_CROSS]   —   Silver Eagle Refining   —   PADD 4   —   crude "&amp;TEXT(SUMIFS(Data!$G$3:$G$125,Data!$A$3:$A$125,"SILVER_WOODS_CROSS"),"#,##0")&amp;" kbd"</f>
        <v/>
      </c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</row>
    <row r="885">
      <c r="A885" s="11" t="inlineStr">
        <is>
          <t>UNIT</t>
        </is>
      </c>
      <c r="B885" s="18" t="inlineStr">
        <is>
          <t>SILVER_WOODS_CROSS</t>
        </is>
      </c>
      <c r="C885" s="18" t="n">
        <v>4</v>
      </c>
      <c r="D885" s="18" t="inlineStr">
        <is>
          <t>CDU</t>
        </is>
      </c>
      <c r="E885" s="18" t="inlineStr">
        <is>
          <t>CDU</t>
        </is>
      </c>
      <c r="F885" s="19" t="n">
        <v>15.7</v>
      </c>
      <c r="G885" s="21">
        <f>IFERROR(IF(INDEX(Effective!$E$3:$R$125,MATCH($B885,Effective!$A$3:$A$125,0),MATCH($D885,Effective!$E$2:$R$2,0))=0,"",INDEX(Effective!$E$3:$R$125,MATCH($B885,Effective!$A$3:$A$125,0),MATCH($D885,Effective!$E$2:$R$2,0))),"")</f>
        <v/>
      </c>
      <c r="H885" s="22" t="inlineStr">
        <is>
          <t>override</t>
        </is>
      </c>
      <c r="I885" s="23" t="n"/>
      <c r="J885" s="24">
        <f>IF(AND(IF($H889&lt;&gt;"",$H889,$H885)="override",$I885&lt;&gt;""),$I885,SUMIFS(Assumptions!$K$4:$K$8,Assumptions!$J$4:$J$8,$C885))*Assumptions!$S$10</f>
        <v/>
      </c>
      <c r="K885" s="23" t="n"/>
      <c r="L885" s="25">
        <f>IF(AND(IF($H889&lt;&gt;"",$H889,$H885)="override",$K885&lt;&gt;""),$K885,SUMIFS(Assumptions!$P$4:$P$103,Assumptions!$M$4:$M$103,$C885,Assumptions!$N$4:$N$103,$E885,Assumptions!$O$4:$O$103,"LVN"))</f>
        <v/>
      </c>
      <c r="M885" s="23" t="n"/>
      <c r="N885" s="25">
        <f>IF(AND(IF($H889&lt;&gt;"",$H889,$H885)="override",$M885&lt;&gt;""),$M885,SUMIFS(Assumptions!$P$4:$P$103,Assumptions!$M$4:$M$103,$C885,Assumptions!$N$4:$N$103,$E885,Assumptions!$O$4:$O$103,"HVN"))</f>
        <v/>
      </c>
      <c r="O885" s="25">
        <f>(L885+N885)*Assumptions!$S$11</f>
        <v/>
      </c>
      <c r="P885" s="26">
        <f>$F885*$J885*$O885</f>
        <v/>
      </c>
    </row>
    <row r="886">
      <c r="A886" s="11" t="inlineStr">
        <is>
          <t>UNIT</t>
        </is>
      </c>
      <c r="B886" s="18" t="inlineStr">
        <is>
          <t>SILVER_WOODS_CROSS</t>
        </is>
      </c>
      <c r="C886" s="18" t="n">
        <v>4</v>
      </c>
      <c r="D886" s="18" t="inlineStr">
        <is>
          <t>VDU</t>
        </is>
      </c>
      <c r="E886" s="18" t="inlineStr">
        <is>
          <t>VDU</t>
        </is>
      </c>
      <c r="F886" s="19" t="n">
        <v>7</v>
      </c>
      <c r="G886" s="21">
        <f>IFERROR(IF(INDEX(Effective!$E$3:$R$125,MATCH($B886,Effective!$A$3:$A$125,0),MATCH($D886,Effective!$E$2:$R$2,0))=0,"",INDEX(Effective!$E$3:$R$125,MATCH($B886,Effective!$A$3:$A$125,0),MATCH($D886,Effective!$E$2:$R$2,0))),"")</f>
        <v/>
      </c>
      <c r="H886" s="22" t="inlineStr">
        <is>
          <t>override</t>
        </is>
      </c>
      <c r="I886" s="23" t="n"/>
      <c r="J886" s="24">
        <f>IF(AND(IF($H889&lt;&gt;"",$H889,$H886)="override",$I886&lt;&gt;""),$I886,SUMIFS(Assumptions!$K$4:$K$8,Assumptions!$J$4:$J$8,$C886))*Assumptions!$S$10</f>
        <v/>
      </c>
      <c r="K886" s="23" t="n"/>
      <c r="L886" s="25">
        <f>IF(AND(IF($H889&lt;&gt;"",$H889,$H886)="override",$K886&lt;&gt;""),$K886,SUMIFS(Assumptions!$P$4:$P$103,Assumptions!$M$4:$M$103,$C886,Assumptions!$N$4:$N$103,$E886,Assumptions!$O$4:$O$103,"LVN"))</f>
        <v/>
      </c>
      <c r="M886" s="23" t="n"/>
      <c r="N886" s="25">
        <f>IF(AND(IF($H889&lt;&gt;"",$H889,$H886)="override",$M886&lt;&gt;""),$M886,SUMIFS(Assumptions!$P$4:$P$103,Assumptions!$M$4:$M$103,$C886,Assumptions!$N$4:$N$103,$E886,Assumptions!$O$4:$O$103,"HVN"))</f>
        <v/>
      </c>
      <c r="O886" s="25">
        <f>(L886+N886)*Assumptions!$S$11</f>
        <v/>
      </c>
      <c r="P886" s="26">
        <f>$F886*$J886*$O886</f>
        <v/>
      </c>
    </row>
    <row r="887">
      <c r="A887" s="11" t="inlineStr">
        <is>
          <t>UNIT</t>
        </is>
      </c>
      <c r="B887" s="18" t="inlineStr">
        <is>
          <t>SILVER_WOODS_CROSS</t>
        </is>
      </c>
      <c r="C887" s="18" t="n">
        <v>4</v>
      </c>
      <c r="D887" s="18" t="inlineStr">
        <is>
          <t>REF</t>
        </is>
      </c>
      <c r="E887" s="18" t="inlineStr">
        <is>
          <t>REFORMER</t>
        </is>
      </c>
      <c r="F887" s="19" t="n">
        <v>2.2</v>
      </c>
      <c r="G887" s="21">
        <f>IFERROR(IF(INDEX(Effective!$E$3:$R$125,MATCH($B887,Effective!$A$3:$A$125,0),MATCH($D887,Effective!$E$2:$R$2,0))=0,"",INDEX(Effective!$E$3:$R$125,MATCH($B887,Effective!$A$3:$A$125,0),MATCH($D887,Effective!$E$2:$R$2,0))),"")</f>
        <v/>
      </c>
      <c r="H887" s="22" t="inlineStr">
        <is>
          <t>override</t>
        </is>
      </c>
      <c r="I887" s="23" t="n"/>
      <c r="J887" s="24">
        <f>IF(AND(IF($H889&lt;&gt;"",$H889,$H887)="override",$I887&lt;&gt;""),$I887,SUMIFS(Assumptions!$K$4:$K$8,Assumptions!$J$4:$J$8,$C887))*Assumptions!$S$10</f>
        <v/>
      </c>
      <c r="K887" s="23" t="n"/>
      <c r="L887" s="25">
        <f>IF(AND(IF($H889&lt;&gt;"",$H889,$H887)="override",$K887&lt;&gt;""),$K887,SUMIFS(Assumptions!$P$4:$P$103,Assumptions!$M$4:$M$103,$C887,Assumptions!$N$4:$N$103,$E887,Assumptions!$O$4:$O$103,"LVN"))</f>
        <v/>
      </c>
      <c r="M887" s="23" t="n"/>
      <c r="N887" s="25">
        <f>IF(AND(IF($H889&lt;&gt;"",$H889,$H887)="override",$M887&lt;&gt;""),$M887,SUMIFS(Assumptions!$P$4:$P$103,Assumptions!$M$4:$M$103,$C887,Assumptions!$N$4:$N$103,$E887,Assumptions!$O$4:$O$103,"HVN"))</f>
        <v/>
      </c>
      <c r="O887" s="25">
        <f>(L887+N887)*Assumptions!$S$11</f>
        <v/>
      </c>
      <c r="P887" s="26">
        <f>$F887*$J887*$O887</f>
        <v/>
      </c>
    </row>
    <row r="888">
      <c r="A888" s="11" t="inlineStr">
        <is>
          <t>UNIT</t>
        </is>
      </c>
      <c r="B888" s="18" t="inlineStr">
        <is>
          <t>SILVER_WOODS_CROSS</t>
        </is>
      </c>
      <c r="C888" s="18" t="n">
        <v>4</v>
      </c>
      <c r="D888" s="18" t="inlineStr">
        <is>
          <t>NHT</t>
        </is>
      </c>
      <c r="E888" s="18" t="inlineStr">
        <is>
          <t>NHT</t>
        </is>
      </c>
      <c r="F888" s="19" t="n">
        <v>1</v>
      </c>
      <c r="G888" s="21">
        <f>IFERROR(IF(INDEX(Effective!$E$3:$R$125,MATCH($B888,Effective!$A$3:$A$125,0),MATCH($D888,Effective!$E$2:$R$2,0))=0,"",INDEX(Effective!$E$3:$R$125,MATCH($B888,Effective!$A$3:$A$125,0),MATCH($D888,Effective!$E$2:$R$2,0))),"")</f>
        <v/>
      </c>
      <c r="H888" s="22" t="inlineStr">
        <is>
          <t>override</t>
        </is>
      </c>
      <c r="I888" s="23" t="n"/>
      <c r="J888" s="24">
        <f>IF(AND(IF($H889&lt;&gt;"",$H889,$H888)="override",$I888&lt;&gt;""),$I888,SUMIFS(Assumptions!$K$4:$K$8,Assumptions!$J$4:$J$8,$C888))*Assumptions!$S$10</f>
        <v/>
      </c>
      <c r="K888" s="23" t="n"/>
      <c r="L888" s="25">
        <f>IF(AND(IF($H889&lt;&gt;"",$H889,$H888)="override",$K888&lt;&gt;""),$K888,SUMIFS(Assumptions!$P$4:$P$103,Assumptions!$M$4:$M$103,$C888,Assumptions!$N$4:$N$103,$E888,Assumptions!$O$4:$O$103,"LVN"))</f>
        <v/>
      </c>
      <c r="M888" s="23" t="n"/>
      <c r="N888" s="25">
        <f>IF(AND(IF($H889&lt;&gt;"",$H889,$H888)="override",$M888&lt;&gt;""),$M888,SUMIFS(Assumptions!$P$4:$P$103,Assumptions!$M$4:$M$103,$C888,Assumptions!$N$4:$N$103,$E888,Assumptions!$O$4:$O$103,"HVN"))</f>
        <v/>
      </c>
      <c r="O888" s="25">
        <f>(L888+N888)*Assumptions!$S$11</f>
        <v/>
      </c>
      <c r="P888" s="26">
        <f>$F888*$J888*$O888</f>
        <v/>
      </c>
    </row>
    <row r="889">
      <c r="A889" s="27" t="inlineStr">
        <is>
          <t>TOTAL</t>
        </is>
      </c>
      <c r="B889" s="28" t="inlineStr">
        <is>
          <t>SILVER_WOODS_CROSS</t>
        </is>
      </c>
      <c r="C889" s="28" t="n">
        <v>4</v>
      </c>
      <c r="D889" s="28" t="inlineStr">
        <is>
          <t>NET NAPHTHA</t>
        </is>
      </c>
      <c r="H889" s="22" t="n"/>
      <c r="P889" s="29">
        <f>SUM(P885:P888)</f>
        <v/>
      </c>
    </row>
    <row r="891" ht="20" customHeight="1">
      <c r="A891" s="8">
        <f>"  Wyoming Refining Evanston  [WYOMING_EVANSTON]   —   Silver Eagle Refining   —   PADD 4   —   crude "&amp;TEXT(SUMIFS(Data!$G$3:$G$125,Data!$A$3:$A$125,"WYOMING_EVANSTON"),"#,##0")&amp;" kbd"</f>
        <v/>
      </c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</row>
    <row r="892">
      <c r="A892" s="11" t="inlineStr">
        <is>
          <t>UNIT</t>
        </is>
      </c>
      <c r="B892" s="18" t="inlineStr">
        <is>
          <t>WYOMING_EVANSTON</t>
        </is>
      </c>
      <c r="C892" s="18" t="n">
        <v>4</v>
      </c>
      <c r="D892" s="18" t="inlineStr">
        <is>
          <t>CDU</t>
        </is>
      </c>
      <c r="E892" s="18" t="inlineStr">
        <is>
          <t>CDU</t>
        </is>
      </c>
      <c r="F892" s="19" t="n">
        <v>3.4</v>
      </c>
      <c r="G892" s="21">
        <f>IFERROR(IF(INDEX(Effective!$E$3:$R$125,MATCH($B892,Effective!$A$3:$A$125,0),MATCH($D892,Effective!$E$2:$R$2,0))=0,"",INDEX(Effective!$E$3:$R$125,MATCH($B892,Effective!$A$3:$A$125,0),MATCH($D892,Effective!$E$2:$R$2,0))),"")</f>
        <v/>
      </c>
      <c r="H892" s="22" t="inlineStr">
        <is>
          <t>override</t>
        </is>
      </c>
      <c r="I892" s="23" t="n"/>
      <c r="J892" s="24">
        <f>IF(AND(IF($H895&lt;&gt;"",$H895,$H892)="override",$I892&lt;&gt;""),$I892,SUMIFS(Assumptions!$K$4:$K$8,Assumptions!$J$4:$J$8,$C892))*Assumptions!$S$10</f>
        <v/>
      </c>
      <c r="K892" s="23" t="n"/>
      <c r="L892" s="25">
        <f>IF(AND(IF($H895&lt;&gt;"",$H895,$H892)="override",$K892&lt;&gt;""),$K892,SUMIFS(Assumptions!$P$4:$P$103,Assumptions!$M$4:$M$103,$C892,Assumptions!$N$4:$N$103,$E892,Assumptions!$O$4:$O$103,"LVN"))</f>
        <v/>
      </c>
      <c r="M892" s="23" t="n"/>
      <c r="N892" s="25">
        <f>IF(AND(IF($H895&lt;&gt;"",$H895,$H892)="override",$M892&lt;&gt;""),$M892,SUMIFS(Assumptions!$P$4:$P$103,Assumptions!$M$4:$M$103,$C892,Assumptions!$N$4:$N$103,$E892,Assumptions!$O$4:$O$103,"HVN"))</f>
        <v/>
      </c>
      <c r="O892" s="25">
        <f>(L892+N892)*Assumptions!$S$11</f>
        <v/>
      </c>
      <c r="P892" s="26">
        <f>$F892*$J892*$O892</f>
        <v/>
      </c>
    </row>
    <row r="893">
      <c r="A893" s="11" t="inlineStr">
        <is>
          <t>UNIT</t>
        </is>
      </c>
      <c r="B893" s="18" t="inlineStr">
        <is>
          <t>WYOMING_EVANSTON</t>
        </is>
      </c>
      <c r="C893" s="18" t="n">
        <v>4</v>
      </c>
      <c r="D893" s="18" t="inlineStr">
        <is>
          <t>REF</t>
        </is>
      </c>
      <c r="E893" s="18" t="inlineStr">
        <is>
          <t>REFORMER</t>
        </is>
      </c>
      <c r="F893" s="19" t="n">
        <v>2.9</v>
      </c>
      <c r="G893" s="21">
        <f>IFERROR(IF(INDEX(Effective!$E$3:$R$125,MATCH($B893,Effective!$A$3:$A$125,0),MATCH($D893,Effective!$E$2:$R$2,0))=0,"",INDEX(Effective!$E$3:$R$125,MATCH($B893,Effective!$A$3:$A$125,0),MATCH($D893,Effective!$E$2:$R$2,0))),"")</f>
        <v/>
      </c>
      <c r="H893" s="22" t="inlineStr">
        <is>
          <t>override</t>
        </is>
      </c>
      <c r="I893" s="23" t="n"/>
      <c r="J893" s="24">
        <f>IF(AND(IF($H895&lt;&gt;"",$H895,$H893)="override",$I893&lt;&gt;""),$I893,SUMIFS(Assumptions!$K$4:$K$8,Assumptions!$J$4:$J$8,$C893))*Assumptions!$S$10</f>
        <v/>
      </c>
      <c r="K893" s="23" t="n"/>
      <c r="L893" s="25">
        <f>IF(AND(IF($H895&lt;&gt;"",$H895,$H893)="override",$K893&lt;&gt;""),$K893,SUMIFS(Assumptions!$P$4:$P$103,Assumptions!$M$4:$M$103,$C893,Assumptions!$N$4:$N$103,$E893,Assumptions!$O$4:$O$103,"LVN"))</f>
        <v/>
      </c>
      <c r="M893" s="23" t="n"/>
      <c r="N893" s="25">
        <f>IF(AND(IF($H895&lt;&gt;"",$H895,$H893)="override",$M893&lt;&gt;""),$M893,SUMIFS(Assumptions!$P$4:$P$103,Assumptions!$M$4:$M$103,$C893,Assumptions!$N$4:$N$103,$E893,Assumptions!$O$4:$O$103,"HVN"))</f>
        <v/>
      </c>
      <c r="O893" s="25">
        <f>(L893+N893)*Assumptions!$S$11</f>
        <v/>
      </c>
      <c r="P893" s="26">
        <f>$F893*$J893*$O893</f>
        <v/>
      </c>
    </row>
    <row r="894">
      <c r="A894" s="11" t="inlineStr">
        <is>
          <t>UNIT</t>
        </is>
      </c>
      <c r="B894" s="18" t="inlineStr">
        <is>
          <t>WYOMING_EVANSTON</t>
        </is>
      </c>
      <c r="C894" s="18" t="n">
        <v>4</v>
      </c>
      <c r="D894" s="18" t="inlineStr">
        <is>
          <t>NHT</t>
        </is>
      </c>
      <c r="E894" s="18" t="inlineStr">
        <is>
          <t>NHT</t>
        </is>
      </c>
      <c r="F894" s="19" t="n">
        <v>4</v>
      </c>
      <c r="G894" s="21">
        <f>IFERROR(IF(INDEX(Effective!$E$3:$R$125,MATCH($B894,Effective!$A$3:$A$125,0),MATCH($D894,Effective!$E$2:$R$2,0))=0,"",INDEX(Effective!$E$3:$R$125,MATCH($B894,Effective!$A$3:$A$125,0),MATCH($D894,Effective!$E$2:$R$2,0))),"")</f>
        <v/>
      </c>
      <c r="H894" s="22" t="inlineStr">
        <is>
          <t>override</t>
        </is>
      </c>
      <c r="I894" s="23" t="n"/>
      <c r="J894" s="24">
        <f>IF(AND(IF($H895&lt;&gt;"",$H895,$H894)="override",$I894&lt;&gt;""),$I894,SUMIFS(Assumptions!$K$4:$K$8,Assumptions!$J$4:$J$8,$C894))*Assumptions!$S$10</f>
        <v/>
      </c>
      <c r="K894" s="23" t="n"/>
      <c r="L894" s="25">
        <f>IF(AND(IF($H895&lt;&gt;"",$H895,$H894)="override",$K894&lt;&gt;""),$K894,SUMIFS(Assumptions!$P$4:$P$103,Assumptions!$M$4:$M$103,$C894,Assumptions!$N$4:$N$103,$E894,Assumptions!$O$4:$O$103,"LVN"))</f>
        <v/>
      </c>
      <c r="M894" s="23" t="n"/>
      <c r="N894" s="25">
        <f>IF(AND(IF($H895&lt;&gt;"",$H895,$H894)="override",$M894&lt;&gt;""),$M894,SUMIFS(Assumptions!$P$4:$P$103,Assumptions!$M$4:$M$103,$C894,Assumptions!$N$4:$N$103,$E894,Assumptions!$O$4:$O$103,"HVN"))</f>
        <v/>
      </c>
      <c r="O894" s="25">
        <f>(L894+N894)*Assumptions!$S$11</f>
        <v/>
      </c>
      <c r="P894" s="26">
        <f>$F894*$J894*$O894</f>
        <v/>
      </c>
    </row>
    <row r="895">
      <c r="A895" s="27" t="inlineStr">
        <is>
          <t>TOTAL</t>
        </is>
      </c>
      <c r="B895" s="28" t="inlineStr">
        <is>
          <t>WYOMING_EVANSTON</t>
        </is>
      </c>
      <c r="C895" s="28" t="n">
        <v>4</v>
      </c>
      <c r="D895" s="28" t="inlineStr">
        <is>
          <t>NET NAPHTHA</t>
        </is>
      </c>
      <c r="H895" s="22" t="n"/>
      <c r="P895" s="29">
        <f>SUM(P892:P894)</f>
        <v/>
      </c>
    </row>
    <row r="897" ht="20" customHeight="1">
      <c r="A897" s="8">
        <f>"  Slate Douglas  [SLATE_DOUGLAS]   —   Slate   —   PADD 4   —   crude "&amp;TEXT(SUMIFS(Data!$G$3:$G$125,Data!$A$3:$A$125,"SLATE_DOUGLAS"),"#,##0")&amp;" kbd"</f>
        <v/>
      </c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</row>
    <row r="898">
      <c r="A898" s="11" t="inlineStr">
        <is>
          <t>UNIT</t>
        </is>
      </c>
      <c r="B898" s="18" t="inlineStr">
        <is>
          <t>SLATE_DOUGLAS</t>
        </is>
      </c>
      <c r="C898" s="18" t="n">
        <v>4</v>
      </c>
      <c r="D898" s="18" t="inlineStr">
        <is>
          <t>CRUDE-EST</t>
        </is>
      </c>
      <c r="E898" s="18" t="inlineStr">
        <is>
          <t>est. yield</t>
        </is>
      </c>
      <c r="F898" s="21">
        <f>SUMIFS(Data!$G$3:$G$125,Data!$A$3:$A$125,$B898)</f>
        <v/>
      </c>
      <c r="G898" s="21">
        <f>IFERROR(IF(INDEX(Effective!$E$3:$R$125,MATCH($B898,Effective!$A$3:$A$125,0),MATCH($D898,Effective!$E$2:$R$2,0))=0,"",INDEX(Effective!$E$3:$R$125,MATCH($B898,Effective!$A$3:$A$125,0),MATCH($D898,Effective!$E$2:$R$2,0))),"")</f>
        <v/>
      </c>
      <c r="H898" s="22" t="inlineStr">
        <is>
          <t>override</t>
        </is>
      </c>
      <c r="I898" s="23" t="n"/>
      <c r="J898" s="24">
        <f>IF(AND(IF($H899&lt;&gt;"",$H899,$H898)="override",$I898&lt;&gt;""),$I898,SUMIFS(Assumptions!$K$4:$K$8,Assumptions!$J$4:$J$8,$C898))*Assumptions!$S$10</f>
        <v/>
      </c>
      <c r="K898" s="23" t="n"/>
      <c r="L898" s="25">
        <f>IF(AND(IF($H899&lt;&gt;"",$H899,$H898)="override",$K898&lt;&gt;""),$K898,SUMIFS(Data!$N$3:$N$125,Data!$A$3:$A$125,$B898)*Assumptions!$S$4)</f>
        <v/>
      </c>
      <c r="M898" s="23" t="n"/>
      <c r="N898" s="25">
        <f>IF(AND(IF($H899&lt;&gt;"",$H899,$H898)="override",$M898&lt;&gt;""),$M898,SUMIFS(Data!$N$3:$N$125,Data!$A$3:$A$125,$B898)*Assumptions!$S$5)</f>
        <v/>
      </c>
      <c r="O898" s="25">
        <f>(L898+N898)*Assumptions!$S$11</f>
        <v/>
      </c>
      <c r="P898" s="26">
        <f>$F898*$J898*$O898</f>
        <v/>
      </c>
    </row>
    <row r="899">
      <c r="A899" s="27" t="inlineStr">
        <is>
          <t>TOTAL</t>
        </is>
      </c>
      <c r="B899" s="28" t="inlineStr">
        <is>
          <t>SLATE_DOUGLAS</t>
        </is>
      </c>
      <c r="C899" s="28" t="n">
        <v>4</v>
      </c>
      <c r="D899" s="28" t="inlineStr">
        <is>
          <t>NET NAPHTHA</t>
        </is>
      </c>
      <c r="H899" s="22" t="n"/>
      <c r="P899" s="29">
        <f>SUM(P898:P898)</f>
        <v/>
      </c>
    </row>
    <row r="901" ht="20" customHeight="1">
      <c r="A901" s="8">
        <f>"  Chevron El Segundo  [CHEVRON_EL_SEGUNDO]   —   Chevron   —   PADD 5   —   crude "&amp;TEXT(SUMIFS(Data!$G$3:$G$125,Data!$A$3:$A$125,"CHEVRON_EL_SEGUNDO"),"#,##0")&amp;" kbd"</f>
        <v/>
      </c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</row>
    <row r="902">
      <c r="A902" s="11" t="inlineStr">
        <is>
          <t>UNIT</t>
        </is>
      </c>
      <c r="B902" s="18" t="inlineStr">
        <is>
          <t>CHEVRON_EL_SEGUNDO</t>
        </is>
      </c>
      <c r="C902" s="18" t="n">
        <v>5</v>
      </c>
      <c r="D902" s="18" t="inlineStr">
        <is>
          <t>CDU</t>
        </is>
      </c>
      <c r="E902" s="18" t="inlineStr">
        <is>
          <t>CDU</t>
        </is>
      </c>
      <c r="F902" s="19" t="n">
        <v>290.5</v>
      </c>
      <c r="G902" s="21">
        <f>IFERROR(IF(INDEX(Effective!$E$3:$R$125,MATCH($B902,Effective!$A$3:$A$125,0),MATCH($D902,Effective!$E$2:$R$2,0))=0,"",INDEX(Effective!$E$3:$R$125,MATCH($B902,Effective!$A$3:$A$125,0),MATCH($D902,Effective!$E$2:$R$2,0))),"")</f>
        <v/>
      </c>
      <c r="H902" s="22" t="inlineStr">
        <is>
          <t>override</t>
        </is>
      </c>
      <c r="I902" s="23" t="n">
        <v>0.772</v>
      </c>
      <c r="J902" s="24">
        <f>IF(AND(IF($H911&lt;&gt;"",$H911,$H902)="override",$I902&lt;&gt;""),$I902,SUMIFS(Assumptions!$K$4:$K$8,Assumptions!$J$4:$J$8,$C902))*Assumptions!$S$10</f>
        <v/>
      </c>
      <c r="K902" s="23" t="n"/>
      <c r="L902" s="25">
        <f>IF(AND(IF($H911&lt;&gt;"",$H911,$H902)="override",$K902&lt;&gt;""),$K902,SUMIFS(Assumptions!$P$4:$P$103,Assumptions!$M$4:$M$103,$C902,Assumptions!$N$4:$N$103,$E902,Assumptions!$O$4:$O$103,"LVN"))</f>
        <v/>
      </c>
      <c r="M902" s="23" t="n"/>
      <c r="N902" s="25">
        <f>IF(AND(IF($H911&lt;&gt;"",$H911,$H902)="override",$M902&lt;&gt;""),$M902,SUMIFS(Assumptions!$P$4:$P$103,Assumptions!$M$4:$M$103,$C902,Assumptions!$N$4:$N$103,$E902,Assumptions!$O$4:$O$103,"HVN"))</f>
        <v/>
      </c>
      <c r="O902" s="25">
        <f>(L902+N902)*Assumptions!$S$11</f>
        <v/>
      </c>
      <c r="P902" s="26">
        <f>$F902*$J902*$O902</f>
        <v/>
      </c>
    </row>
    <row r="903">
      <c r="A903" s="11" t="inlineStr">
        <is>
          <t>UNIT</t>
        </is>
      </c>
      <c r="B903" s="18" t="inlineStr">
        <is>
          <t>CHEVRON_EL_SEGUNDO</t>
        </is>
      </c>
      <c r="C903" s="18" t="n">
        <v>5</v>
      </c>
      <c r="D903" s="18" t="inlineStr">
        <is>
          <t>VDU</t>
        </is>
      </c>
      <c r="E903" s="18" t="inlineStr">
        <is>
          <t>VDU</t>
        </is>
      </c>
      <c r="F903" s="19" t="n">
        <v>169.1</v>
      </c>
      <c r="G903" s="21">
        <f>IFERROR(IF(INDEX(Effective!$E$3:$R$125,MATCH($B903,Effective!$A$3:$A$125,0),MATCH($D903,Effective!$E$2:$R$2,0))=0,"",INDEX(Effective!$E$3:$R$125,MATCH($B903,Effective!$A$3:$A$125,0),MATCH($D903,Effective!$E$2:$R$2,0))),"")</f>
        <v/>
      </c>
      <c r="H903" s="22" t="inlineStr">
        <is>
          <t>override</t>
        </is>
      </c>
      <c r="I903" s="23" t="n">
        <v>0.61</v>
      </c>
      <c r="J903" s="24">
        <f>IF(AND(IF($H911&lt;&gt;"",$H911,$H903)="override",$I903&lt;&gt;""),$I903,SUMIFS(Assumptions!$K$4:$K$8,Assumptions!$J$4:$J$8,$C903))*Assumptions!$S$10</f>
        <v/>
      </c>
      <c r="K903" s="23" t="n"/>
      <c r="L903" s="25">
        <f>IF(AND(IF($H911&lt;&gt;"",$H911,$H903)="override",$K903&lt;&gt;""),$K903,SUMIFS(Assumptions!$P$4:$P$103,Assumptions!$M$4:$M$103,$C903,Assumptions!$N$4:$N$103,$E903,Assumptions!$O$4:$O$103,"LVN"))</f>
        <v/>
      </c>
      <c r="M903" s="23" t="n"/>
      <c r="N903" s="25">
        <f>IF(AND(IF($H911&lt;&gt;"",$H911,$H903)="override",$M903&lt;&gt;""),$M903,SUMIFS(Assumptions!$P$4:$P$103,Assumptions!$M$4:$M$103,$C903,Assumptions!$N$4:$N$103,$E903,Assumptions!$O$4:$O$103,"HVN"))</f>
        <v/>
      </c>
      <c r="O903" s="25">
        <f>(L903+N903)*Assumptions!$S$11</f>
        <v/>
      </c>
      <c r="P903" s="26">
        <f>$F903*$J903*$O903</f>
        <v/>
      </c>
    </row>
    <row r="904">
      <c r="A904" s="11" t="inlineStr">
        <is>
          <t>UNIT</t>
        </is>
      </c>
      <c r="B904" s="18" t="inlineStr">
        <is>
          <t>CHEVRON_EL_SEGUNDO</t>
        </is>
      </c>
      <c r="C904" s="18" t="n">
        <v>5</v>
      </c>
      <c r="D904" s="18" t="inlineStr">
        <is>
          <t>FCC</t>
        </is>
      </c>
      <c r="E904" s="18" t="inlineStr">
        <is>
          <t>FCC</t>
        </is>
      </c>
      <c r="F904" s="19" t="n">
        <v>73.8</v>
      </c>
      <c r="G904" s="21">
        <f>IFERROR(IF(INDEX(Effective!$E$3:$R$125,MATCH($B904,Effective!$A$3:$A$125,0),MATCH($D904,Effective!$E$2:$R$2,0))=0,"",INDEX(Effective!$E$3:$R$125,MATCH($B904,Effective!$A$3:$A$125,0),MATCH($D904,Effective!$E$2:$R$2,0))),"")</f>
        <v/>
      </c>
      <c r="H904" s="22" t="inlineStr">
        <is>
          <t>override</t>
        </is>
      </c>
      <c r="I904" s="23" t="n">
        <v>0.5639999999999999</v>
      </c>
      <c r="J904" s="24">
        <f>IF(AND(IF($H911&lt;&gt;"",$H911,$H904)="override",$I904&lt;&gt;""),$I904,SUMIFS(Assumptions!$K$4:$K$8,Assumptions!$J$4:$J$8,$C904))*Assumptions!$S$10</f>
        <v/>
      </c>
      <c r="K904" s="23" t="n"/>
      <c r="L904" s="25">
        <f>IF(AND(IF($H911&lt;&gt;"",$H911,$H904)="override",$K904&lt;&gt;""),$K904,SUMIFS(Assumptions!$P$4:$P$103,Assumptions!$M$4:$M$103,$C904,Assumptions!$N$4:$N$103,$E904,Assumptions!$O$4:$O$103,"LVN"))</f>
        <v/>
      </c>
      <c r="M904" s="23" t="n"/>
      <c r="N904" s="25">
        <f>IF(AND(IF($H911&lt;&gt;"",$H911,$H904)="override",$M904&lt;&gt;""),$M904,SUMIFS(Assumptions!$P$4:$P$103,Assumptions!$M$4:$M$103,$C904,Assumptions!$N$4:$N$103,$E904,Assumptions!$O$4:$O$103,"HVN"))</f>
        <v/>
      </c>
      <c r="O904" s="25">
        <f>(L904+N904)*Assumptions!$S$11</f>
        <v/>
      </c>
      <c r="P904" s="26">
        <f>$F904*$J904*$O904</f>
        <v/>
      </c>
    </row>
    <row r="905">
      <c r="A905" s="11" t="inlineStr">
        <is>
          <t>UNIT</t>
        </is>
      </c>
      <c r="B905" s="18" t="inlineStr">
        <is>
          <t>CHEVRON_EL_SEGUNDO</t>
        </is>
      </c>
      <c r="C905" s="18" t="n">
        <v>5</v>
      </c>
      <c r="D905" s="18" t="inlineStr">
        <is>
          <t>DHCU</t>
        </is>
      </c>
      <c r="E905" s="18" t="inlineStr">
        <is>
          <t>HYDROCRACKER</t>
        </is>
      </c>
      <c r="F905" s="19" t="n">
        <v>55</v>
      </c>
      <c r="G905" s="21">
        <f>IFERROR(IF(INDEX(Effective!$E$3:$R$125,MATCH($B905,Effective!$A$3:$A$125,0),MATCH($D905,Effective!$E$2:$R$2,0))=0,"",INDEX(Effective!$E$3:$R$125,MATCH($B905,Effective!$A$3:$A$125,0),MATCH($D905,Effective!$E$2:$R$2,0))),"")</f>
        <v/>
      </c>
      <c r="H905" s="22" t="inlineStr">
        <is>
          <t>override</t>
        </is>
      </c>
      <c r="I905" s="23" t="n">
        <v>0.877</v>
      </c>
      <c r="J905" s="24">
        <f>IF(AND(IF($H911&lt;&gt;"",$H911,$H905)="override",$I905&lt;&gt;""),$I905,SUMIFS(Assumptions!$K$4:$K$8,Assumptions!$J$4:$J$8,$C905))*Assumptions!$S$10</f>
        <v/>
      </c>
      <c r="K905" s="23" t="n"/>
      <c r="L905" s="25">
        <f>IF(AND(IF($H911&lt;&gt;"",$H911,$H905)="override",$K905&lt;&gt;""),$K905,SUMIFS(Assumptions!$P$4:$P$103,Assumptions!$M$4:$M$103,$C905,Assumptions!$N$4:$N$103,$E905,Assumptions!$O$4:$O$103,"LVN"))</f>
        <v/>
      </c>
      <c r="M905" s="23" t="n"/>
      <c r="N905" s="25">
        <f>IF(AND(IF($H911&lt;&gt;"",$H911,$H905)="override",$M905&lt;&gt;""),$M905,SUMIFS(Assumptions!$P$4:$P$103,Assumptions!$M$4:$M$103,$C905,Assumptions!$N$4:$N$103,$E905,Assumptions!$O$4:$O$103,"HVN"))</f>
        <v/>
      </c>
      <c r="O905" s="25">
        <f>(L905+N905)*Assumptions!$S$11</f>
        <v/>
      </c>
      <c r="P905" s="26">
        <f>$F905*$J905*$O905</f>
        <v/>
      </c>
    </row>
    <row r="906">
      <c r="A906" s="11" t="inlineStr">
        <is>
          <t>UNIT</t>
        </is>
      </c>
      <c r="B906" s="18" t="inlineStr">
        <is>
          <t>CHEVRON_EL_SEGUNDO</t>
        </is>
      </c>
      <c r="C906" s="18" t="n">
        <v>5</v>
      </c>
      <c r="D906" s="18" t="inlineStr">
        <is>
          <t>COKER</t>
        </is>
      </c>
      <c r="E906" s="18" t="inlineStr">
        <is>
          <t>COKER</t>
        </is>
      </c>
      <c r="F906" s="19" t="n">
        <v>76.7</v>
      </c>
      <c r="G906" s="21">
        <f>IFERROR(IF(INDEX(Effective!$E$3:$R$125,MATCH($B906,Effective!$A$3:$A$125,0),MATCH($D906,Effective!$E$2:$R$2,0))=0,"",INDEX(Effective!$E$3:$R$125,MATCH($B906,Effective!$A$3:$A$125,0),MATCH($D906,Effective!$E$2:$R$2,0))),"")</f>
        <v/>
      </c>
      <c r="H906" s="22" t="inlineStr">
        <is>
          <t>override</t>
        </is>
      </c>
      <c r="I906" s="23" t="n">
        <v>0.429</v>
      </c>
      <c r="J906" s="24">
        <f>IF(AND(IF($H911&lt;&gt;"",$H911,$H906)="override",$I906&lt;&gt;""),$I906,SUMIFS(Assumptions!$K$4:$K$8,Assumptions!$J$4:$J$8,$C906))*Assumptions!$S$10</f>
        <v/>
      </c>
      <c r="K906" s="23" t="n"/>
      <c r="L906" s="25">
        <f>IF(AND(IF($H911&lt;&gt;"",$H911,$H906)="override",$K906&lt;&gt;""),$K906,SUMIFS(Assumptions!$P$4:$P$103,Assumptions!$M$4:$M$103,$C906,Assumptions!$N$4:$N$103,$E906,Assumptions!$O$4:$O$103,"LVN"))</f>
        <v/>
      </c>
      <c r="M906" s="23" t="n"/>
      <c r="N906" s="25">
        <f>IF(AND(IF($H911&lt;&gt;"",$H911,$H906)="override",$M906&lt;&gt;""),$M906,SUMIFS(Assumptions!$P$4:$P$103,Assumptions!$M$4:$M$103,$C906,Assumptions!$N$4:$N$103,$E906,Assumptions!$O$4:$O$103,"HVN"))</f>
        <v/>
      </c>
      <c r="O906" s="25">
        <f>(L906+N906)*Assumptions!$S$11</f>
        <v/>
      </c>
      <c r="P906" s="26">
        <f>$F906*$J906*$O906</f>
        <v/>
      </c>
    </row>
    <row r="907">
      <c r="A907" s="11" t="inlineStr">
        <is>
          <t>UNIT</t>
        </is>
      </c>
      <c r="B907" s="18" t="inlineStr">
        <is>
          <t>CHEVRON_EL_SEGUNDO</t>
        </is>
      </c>
      <c r="C907" s="18" t="n">
        <v>5</v>
      </c>
      <c r="D907" s="18" t="inlineStr">
        <is>
          <t>CCR</t>
        </is>
      </c>
      <c r="E907" s="18" t="inlineStr">
        <is>
          <t>REFORMER</t>
        </is>
      </c>
      <c r="F907" s="19" t="n">
        <v>49</v>
      </c>
      <c r="G907" s="21">
        <f>IFERROR(IF(INDEX(Effective!$E$3:$R$125,MATCH($B907,Effective!$A$3:$A$125,0),MATCH($D907,Effective!$E$2:$R$2,0))=0,"",INDEX(Effective!$E$3:$R$125,MATCH($B907,Effective!$A$3:$A$125,0),MATCH($D907,Effective!$E$2:$R$2,0))),"")</f>
        <v/>
      </c>
      <c r="H907" s="22" t="inlineStr">
        <is>
          <t>override</t>
        </is>
      </c>
      <c r="I907" s="23" t="n">
        <v>0.819</v>
      </c>
      <c r="J907" s="24">
        <f>IF(AND(IF($H911&lt;&gt;"",$H911,$H907)="override",$I907&lt;&gt;""),$I907,SUMIFS(Assumptions!$K$4:$K$8,Assumptions!$J$4:$J$8,$C907))*Assumptions!$S$10</f>
        <v/>
      </c>
      <c r="K907" s="23" t="n"/>
      <c r="L907" s="25">
        <f>IF(AND(IF($H911&lt;&gt;"",$H911,$H907)="override",$K907&lt;&gt;""),$K907,SUMIFS(Assumptions!$P$4:$P$103,Assumptions!$M$4:$M$103,$C907,Assumptions!$N$4:$N$103,$E907,Assumptions!$O$4:$O$103,"LVN"))</f>
        <v/>
      </c>
      <c r="M907" s="23" t="n"/>
      <c r="N907" s="25">
        <f>IF(AND(IF($H911&lt;&gt;"",$H911,$H907)="override",$M907&lt;&gt;""),$M907,SUMIFS(Assumptions!$P$4:$P$103,Assumptions!$M$4:$M$103,$C907,Assumptions!$N$4:$N$103,$E907,Assumptions!$O$4:$O$103,"HVN"))</f>
        <v/>
      </c>
      <c r="O907" s="25">
        <f>(L907+N907)*Assumptions!$S$11</f>
        <v/>
      </c>
      <c r="P907" s="26">
        <f>$F907*$J907*$O907</f>
        <v/>
      </c>
    </row>
    <row r="908">
      <c r="A908" s="11" t="inlineStr">
        <is>
          <t>UNIT</t>
        </is>
      </c>
      <c r="B908" s="18" t="inlineStr">
        <is>
          <t>CHEVRON_EL_SEGUNDO</t>
        </is>
      </c>
      <c r="C908" s="18" t="n">
        <v>5</v>
      </c>
      <c r="D908" s="18" t="inlineStr">
        <is>
          <t>ISOM</t>
        </is>
      </c>
      <c r="E908" s="18" t="inlineStr">
        <is>
          <t>ISOM</t>
        </is>
      </c>
      <c r="F908" s="19" t="n">
        <v>22.3</v>
      </c>
      <c r="G908" s="21">
        <f>IFERROR(IF(INDEX(Effective!$E$3:$R$125,MATCH($B908,Effective!$A$3:$A$125,0),MATCH($D908,Effective!$E$2:$R$2,0))=0,"",INDEX(Effective!$E$3:$R$125,MATCH($B908,Effective!$A$3:$A$125,0),MATCH($D908,Effective!$E$2:$R$2,0))),"")</f>
        <v/>
      </c>
      <c r="H908" s="22" t="inlineStr">
        <is>
          <t>override</t>
        </is>
      </c>
      <c r="I908" s="23" t="n">
        <v>0.63</v>
      </c>
      <c r="J908" s="24">
        <f>IF(AND(IF($H911&lt;&gt;"",$H911,$H908)="override",$I908&lt;&gt;""),$I908,SUMIFS(Assumptions!$K$4:$K$8,Assumptions!$J$4:$J$8,$C908))*Assumptions!$S$10</f>
        <v/>
      </c>
      <c r="K908" s="23" t="n"/>
      <c r="L908" s="25">
        <f>IF(AND(IF($H911&lt;&gt;"",$H911,$H908)="override",$K908&lt;&gt;""),$K908,SUMIFS(Assumptions!$P$4:$P$103,Assumptions!$M$4:$M$103,$C908,Assumptions!$N$4:$N$103,$E908,Assumptions!$O$4:$O$103,"LVN"))</f>
        <v/>
      </c>
      <c r="M908" s="23" t="n"/>
      <c r="N908" s="25">
        <f>IF(AND(IF($H911&lt;&gt;"",$H911,$H908)="override",$M908&lt;&gt;""),$M908,SUMIFS(Assumptions!$P$4:$P$103,Assumptions!$M$4:$M$103,$C908,Assumptions!$N$4:$N$103,$E908,Assumptions!$O$4:$O$103,"HVN"))</f>
        <v/>
      </c>
      <c r="O908" s="25">
        <f>(L908+N908)*Assumptions!$S$11</f>
        <v/>
      </c>
      <c r="P908" s="26">
        <f>$F908*$J908*$O908</f>
        <v/>
      </c>
    </row>
    <row r="909">
      <c r="A909" s="11" t="inlineStr">
        <is>
          <t>UNIT</t>
        </is>
      </c>
      <c r="B909" s="18" t="inlineStr">
        <is>
          <t>CHEVRON_EL_SEGUNDO</t>
        </is>
      </c>
      <c r="C909" s="18" t="n">
        <v>5</v>
      </c>
      <c r="D909" s="18" t="inlineStr">
        <is>
          <t>ALKY</t>
        </is>
      </c>
      <c r="E909" s="18" t="inlineStr">
        <is>
          <t>ALKY</t>
        </is>
      </c>
      <c r="F909" s="19" t="n">
        <v>33.3</v>
      </c>
      <c r="G909" s="21">
        <f>IFERROR(IF(INDEX(Effective!$E$3:$R$125,MATCH($B909,Effective!$A$3:$A$125,0),MATCH($D909,Effective!$E$2:$R$2,0))=0,"",INDEX(Effective!$E$3:$R$125,MATCH($B909,Effective!$A$3:$A$125,0),MATCH($D909,Effective!$E$2:$R$2,0))),"")</f>
        <v/>
      </c>
      <c r="H909" s="22" t="inlineStr">
        <is>
          <t>override</t>
        </is>
      </c>
      <c r="I909" s="23" t="n">
        <v>0.505</v>
      </c>
      <c r="J909" s="24">
        <f>IF(AND(IF($H911&lt;&gt;"",$H911,$H909)="override",$I909&lt;&gt;""),$I909,SUMIFS(Assumptions!$K$4:$K$8,Assumptions!$J$4:$J$8,$C909))*Assumptions!$S$10</f>
        <v/>
      </c>
      <c r="K909" s="23" t="n"/>
      <c r="L909" s="25">
        <f>IF(AND(IF($H911&lt;&gt;"",$H911,$H909)="override",$K909&lt;&gt;""),$K909,SUMIFS(Assumptions!$P$4:$P$103,Assumptions!$M$4:$M$103,$C909,Assumptions!$N$4:$N$103,$E909,Assumptions!$O$4:$O$103,"LVN"))</f>
        <v/>
      </c>
      <c r="M909" s="23" t="n"/>
      <c r="N909" s="25">
        <f>IF(AND(IF($H911&lt;&gt;"",$H911,$H909)="override",$M909&lt;&gt;""),$M909,SUMIFS(Assumptions!$P$4:$P$103,Assumptions!$M$4:$M$103,$C909,Assumptions!$N$4:$N$103,$E909,Assumptions!$O$4:$O$103,"HVN"))</f>
        <v/>
      </c>
      <c r="O909" s="25">
        <f>(L909+N909)*Assumptions!$S$11</f>
        <v/>
      </c>
      <c r="P909" s="26">
        <f>$F909*$J909*$O909</f>
        <v/>
      </c>
    </row>
    <row r="910">
      <c r="A910" s="11" t="inlineStr">
        <is>
          <t>UNIT</t>
        </is>
      </c>
      <c r="B910" s="18" t="inlineStr">
        <is>
          <t>CHEVRON_EL_SEGUNDO</t>
        </is>
      </c>
      <c r="C910" s="18" t="n">
        <v>5</v>
      </c>
      <c r="D910" s="18" t="inlineStr">
        <is>
          <t>NHT</t>
        </is>
      </c>
      <c r="E910" s="18" t="inlineStr">
        <is>
          <t>NHT</t>
        </is>
      </c>
      <c r="F910" s="19" t="n">
        <v>62.5</v>
      </c>
      <c r="G910" s="21">
        <f>IFERROR(IF(INDEX(Effective!$E$3:$R$125,MATCH($B910,Effective!$A$3:$A$125,0),MATCH($D910,Effective!$E$2:$R$2,0))=0,"",INDEX(Effective!$E$3:$R$125,MATCH($B910,Effective!$A$3:$A$125,0),MATCH($D910,Effective!$E$2:$R$2,0))),"")</f>
        <v/>
      </c>
      <c r="H910" s="22" t="inlineStr">
        <is>
          <t>override</t>
        </is>
      </c>
      <c r="I910" s="23" t="n">
        <v>0.759</v>
      </c>
      <c r="J910" s="24">
        <f>IF(AND(IF($H911&lt;&gt;"",$H911,$H910)="override",$I910&lt;&gt;""),$I910,SUMIFS(Assumptions!$K$4:$K$8,Assumptions!$J$4:$J$8,$C910))*Assumptions!$S$10</f>
        <v/>
      </c>
      <c r="K910" s="23" t="n"/>
      <c r="L910" s="25">
        <f>IF(AND(IF($H911&lt;&gt;"",$H911,$H910)="override",$K910&lt;&gt;""),$K910,SUMIFS(Assumptions!$P$4:$P$103,Assumptions!$M$4:$M$103,$C910,Assumptions!$N$4:$N$103,$E910,Assumptions!$O$4:$O$103,"LVN"))</f>
        <v/>
      </c>
      <c r="M910" s="23" t="n"/>
      <c r="N910" s="25">
        <f>IF(AND(IF($H911&lt;&gt;"",$H911,$H910)="override",$M910&lt;&gt;""),$M910,SUMIFS(Assumptions!$P$4:$P$103,Assumptions!$M$4:$M$103,$C910,Assumptions!$N$4:$N$103,$E910,Assumptions!$O$4:$O$103,"HVN"))</f>
        <v/>
      </c>
      <c r="O910" s="25">
        <f>(L910+N910)*Assumptions!$S$11</f>
        <v/>
      </c>
      <c r="P910" s="26">
        <f>$F910*$J910*$O910</f>
        <v/>
      </c>
    </row>
    <row r="911">
      <c r="A911" s="27" t="inlineStr">
        <is>
          <t>TOTAL</t>
        </is>
      </c>
      <c r="B911" s="28" t="inlineStr">
        <is>
          <t>CHEVRON_EL_SEGUNDO</t>
        </is>
      </c>
      <c r="C911" s="28" t="n">
        <v>5</v>
      </c>
      <c r="D911" s="28" t="inlineStr">
        <is>
          <t>NET NAPHTHA</t>
        </is>
      </c>
      <c r="H911" s="22" t="n"/>
      <c r="P911" s="29">
        <f>SUM(P902:P910)</f>
        <v/>
      </c>
    </row>
    <row r="913" ht="20" customHeight="1">
      <c r="A913" s="8">
        <f>"  Marathon Petroleum Carson  [MARATHON_CARSON]   —   Marathon Petroleum   —   PADD 5   —   crude "&amp;TEXT(SUMIFS(Data!$G$3:$G$125,Data!$A$3:$A$125,"MARATHON_CARSON"),"#,##0")&amp;" kbd"</f>
        <v/>
      </c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</row>
    <row r="914">
      <c r="A914" s="11" t="inlineStr">
        <is>
          <t>UNIT</t>
        </is>
      </c>
      <c r="B914" s="18" t="inlineStr">
        <is>
          <t>MARATHON_CARSON</t>
        </is>
      </c>
      <c r="C914" s="18" t="n">
        <v>5</v>
      </c>
      <c r="D914" s="18" t="inlineStr">
        <is>
          <t>CRUDE-EST</t>
        </is>
      </c>
      <c r="E914" s="18" t="inlineStr">
        <is>
          <t>est. yield</t>
        </is>
      </c>
      <c r="F914" s="21">
        <f>SUMIFS(Data!$G$3:$G$125,Data!$A$3:$A$125,$B914)</f>
        <v/>
      </c>
      <c r="G914" s="21">
        <f>IFERROR(IF(INDEX(Effective!$E$3:$R$125,MATCH($B914,Effective!$A$3:$A$125,0),MATCH($D914,Effective!$E$2:$R$2,0))=0,"",INDEX(Effective!$E$3:$R$125,MATCH($B914,Effective!$A$3:$A$125,0),MATCH($D914,Effective!$E$2:$R$2,0))),"")</f>
        <v/>
      </c>
      <c r="H914" s="22" t="inlineStr">
        <is>
          <t>override</t>
        </is>
      </c>
      <c r="I914" s="23" t="n"/>
      <c r="J914" s="24">
        <f>IF(AND(IF($H915&lt;&gt;"",$H915,$H914)="override",$I914&lt;&gt;""),$I914,SUMIFS(Assumptions!$K$4:$K$8,Assumptions!$J$4:$J$8,$C914))*Assumptions!$S$10</f>
        <v/>
      </c>
      <c r="K914" s="23" t="n"/>
      <c r="L914" s="25">
        <f>IF(AND(IF($H915&lt;&gt;"",$H915,$H914)="override",$K914&lt;&gt;""),$K914,SUMIFS(Data!$N$3:$N$125,Data!$A$3:$A$125,$B914)*Assumptions!$S$4)</f>
        <v/>
      </c>
      <c r="M914" s="23" t="n"/>
      <c r="N914" s="25">
        <f>IF(AND(IF($H915&lt;&gt;"",$H915,$H914)="override",$M914&lt;&gt;""),$M914,SUMIFS(Data!$N$3:$N$125,Data!$A$3:$A$125,$B914)*Assumptions!$S$5)</f>
        <v/>
      </c>
      <c r="O914" s="25">
        <f>(L914+N914)*Assumptions!$S$11</f>
        <v/>
      </c>
      <c r="P914" s="26">
        <f>$F914*$J914*$O914</f>
        <v/>
      </c>
    </row>
    <row r="915">
      <c r="A915" s="27" t="inlineStr">
        <is>
          <t>TOTAL</t>
        </is>
      </c>
      <c r="B915" s="28" t="inlineStr">
        <is>
          <t>MARATHON_CARSON</t>
        </is>
      </c>
      <c r="C915" s="28" t="n">
        <v>5</v>
      </c>
      <c r="D915" s="28" t="inlineStr">
        <is>
          <t>NET NAPHTHA</t>
        </is>
      </c>
      <c r="H915" s="22" t="n"/>
      <c r="P915" s="29">
        <f>SUM(P914:P914)</f>
        <v/>
      </c>
    </row>
    <row r="917" ht="20" customHeight="1">
      <c r="A917" s="8">
        <f>"  Chevron Richmond  [CHEVRON_RICHMOND]   —   Chevron   —   PADD 5   —   crude "&amp;TEXT(SUMIFS(Data!$G$3:$G$125,Data!$A$3:$A$125,"CHEVRON_RICHMOND"),"#,##0")&amp;" kbd"</f>
        <v/>
      </c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</row>
    <row r="918">
      <c r="A918" s="11" t="inlineStr">
        <is>
          <t>UNIT</t>
        </is>
      </c>
      <c r="B918" s="18" t="inlineStr">
        <is>
          <t>CHEVRON_RICHMOND</t>
        </is>
      </c>
      <c r="C918" s="18" t="n">
        <v>5</v>
      </c>
      <c r="D918" s="18" t="inlineStr">
        <is>
          <t>CDU</t>
        </is>
      </c>
      <c r="E918" s="18" t="inlineStr">
        <is>
          <t>CDU</t>
        </is>
      </c>
      <c r="F918" s="19" t="n">
        <v>257.2</v>
      </c>
      <c r="G918" s="21">
        <f>IFERROR(IF(INDEX(Effective!$E$3:$R$125,MATCH($B918,Effective!$A$3:$A$125,0),MATCH($D918,Effective!$E$2:$R$2,0))=0,"",INDEX(Effective!$E$3:$R$125,MATCH($B918,Effective!$A$3:$A$125,0),MATCH($D918,Effective!$E$2:$R$2,0))),"")</f>
        <v/>
      </c>
      <c r="H918" s="22" t="inlineStr">
        <is>
          <t>override</t>
        </is>
      </c>
      <c r="I918" s="23" t="n">
        <v>0.9419999999999999</v>
      </c>
      <c r="J918" s="24">
        <f>IF(AND(IF($H926&lt;&gt;"",$H926,$H918)="override",$I918&lt;&gt;""),$I918,SUMIFS(Assumptions!$K$4:$K$8,Assumptions!$J$4:$J$8,$C918))*Assumptions!$S$10</f>
        <v/>
      </c>
      <c r="K918" s="23" t="n"/>
      <c r="L918" s="25">
        <f>IF(AND(IF($H926&lt;&gt;"",$H926,$H918)="override",$K918&lt;&gt;""),$K918,SUMIFS(Assumptions!$P$4:$P$103,Assumptions!$M$4:$M$103,$C918,Assumptions!$N$4:$N$103,$E918,Assumptions!$O$4:$O$103,"LVN"))</f>
        <v/>
      </c>
      <c r="M918" s="23" t="n"/>
      <c r="N918" s="25">
        <f>IF(AND(IF($H926&lt;&gt;"",$H926,$H918)="override",$M918&lt;&gt;""),$M918,SUMIFS(Assumptions!$P$4:$P$103,Assumptions!$M$4:$M$103,$C918,Assumptions!$N$4:$N$103,$E918,Assumptions!$O$4:$O$103,"HVN"))</f>
        <v/>
      </c>
      <c r="O918" s="25">
        <f>(L918+N918)*Assumptions!$S$11</f>
        <v/>
      </c>
      <c r="P918" s="26">
        <f>$F918*$J918*$O918</f>
        <v/>
      </c>
    </row>
    <row r="919">
      <c r="A919" s="11" t="inlineStr">
        <is>
          <t>UNIT</t>
        </is>
      </c>
      <c r="B919" s="18" t="inlineStr">
        <is>
          <t>CHEVRON_RICHMOND</t>
        </is>
      </c>
      <c r="C919" s="18" t="n">
        <v>5</v>
      </c>
      <c r="D919" s="18" t="inlineStr">
        <is>
          <t>VDU</t>
        </is>
      </c>
      <c r="E919" s="18" t="inlineStr">
        <is>
          <t>VDU</t>
        </is>
      </c>
      <c r="F919" s="19" t="n">
        <v>123.46</v>
      </c>
      <c r="G919" s="21">
        <f>IFERROR(IF(INDEX(Effective!$E$3:$R$125,MATCH($B919,Effective!$A$3:$A$125,0),MATCH($D919,Effective!$E$2:$R$2,0))=0,"",INDEX(Effective!$E$3:$R$125,MATCH($B919,Effective!$A$3:$A$125,0),MATCH($D919,Effective!$E$2:$R$2,0))),"")</f>
        <v/>
      </c>
      <c r="H919" s="22" t="inlineStr">
        <is>
          <t>override</t>
        </is>
      </c>
      <c r="I919" s="23" t="n">
        <v>0.8149999999999999</v>
      </c>
      <c r="J919" s="24">
        <f>IF(AND(IF($H926&lt;&gt;"",$H926,$H919)="override",$I919&lt;&gt;""),$I919,SUMIFS(Assumptions!$K$4:$K$8,Assumptions!$J$4:$J$8,$C919))*Assumptions!$S$10</f>
        <v/>
      </c>
      <c r="K919" s="23" t="n"/>
      <c r="L919" s="25">
        <f>IF(AND(IF($H926&lt;&gt;"",$H926,$H919)="override",$K919&lt;&gt;""),$K919,SUMIFS(Assumptions!$P$4:$P$103,Assumptions!$M$4:$M$103,$C919,Assumptions!$N$4:$N$103,$E919,Assumptions!$O$4:$O$103,"LVN"))</f>
        <v/>
      </c>
      <c r="M919" s="23" t="n"/>
      <c r="N919" s="25">
        <f>IF(AND(IF($H926&lt;&gt;"",$H926,$H919)="override",$M919&lt;&gt;""),$M919,SUMIFS(Assumptions!$P$4:$P$103,Assumptions!$M$4:$M$103,$C919,Assumptions!$N$4:$N$103,$E919,Assumptions!$O$4:$O$103,"HVN"))</f>
        <v/>
      </c>
      <c r="O919" s="25">
        <f>(L919+N919)*Assumptions!$S$11</f>
        <v/>
      </c>
      <c r="P919" s="26">
        <f>$F919*$J919*$O919</f>
        <v/>
      </c>
    </row>
    <row r="920">
      <c r="A920" s="11" t="inlineStr">
        <is>
          <t>UNIT</t>
        </is>
      </c>
      <c r="B920" s="18" t="inlineStr">
        <is>
          <t>CHEVRON_RICHMOND</t>
        </is>
      </c>
      <c r="C920" s="18" t="n">
        <v>5</v>
      </c>
      <c r="D920" s="18" t="inlineStr">
        <is>
          <t>FCC</t>
        </is>
      </c>
      <c r="E920" s="18" t="inlineStr">
        <is>
          <t>FCC</t>
        </is>
      </c>
      <c r="F920" s="19" t="n">
        <v>90</v>
      </c>
      <c r="G920" s="21">
        <f>IFERROR(IF(INDEX(Effective!$E$3:$R$125,MATCH($B920,Effective!$A$3:$A$125,0),MATCH($D920,Effective!$E$2:$R$2,0))=0,"",INDEX(Effective!$E$3:$R$125,MATCH($B920,Effective!$A$3:$A$125,0),MATCH($D920,Effective!$E$2:$R$2,0))),"")</f>
        <v/>
      </c>
      <c r="H920" s="22" t="inlineStr">
        <is>
          <t>override</t>
        </is>
      </c>
      <c r="I920" s="23" t="n">
        <v>0.597</v>
      </c>
      <c r="J920" s="24">
        <f>IF(AND(IF($H926&lt;&gt;"",$H926,$H920)="override",$I920&lt;&gt;""),$I920,SUMIFS(Assumptions!$K$4:$K$8,Assumptions!$J$4:$J$8,$C920))*Assumptions!$S$10</f>
        <v/>
      </c>
      <c r="K920" s="23" t="n"/>
      <c r="L920" s="25">
        <f>IF(AND(IF($H926&lt;&gt;"",$H926,$H920)="override",$K920&lt;&gt;""),$K920,SUMIFS(Assumptions!$P$4:$P$103,Assumptions!$M$4:$M$103,$C920,Assumptions!$N$4:$N$103,$E920,Assumptions!$O$4:$O$103,"LVN"))</f>
        <v/>
      </c>
      <c r="M920" s="23" t="n"/>
      <c r="N920" s="25">
        <f>IF(AND(IF($H926&lt;&gt;"",$H926,$H920)="override",$M920&lt;&gt;""),$M920,SUMIFS(Assumptions!$P$4:$P$103,Assumptions!$M$4:$M$103,$C920,Assumptions!$N$4:$N$103,$E920,Assumptions!$O$4:$O$103,"HVN"))</f>
        <v/>
      </c>
      <c r="O920" s="25">
        <f>(L920+N920)*Assumptions!$S$11</f>
        <v/>
      </c>
      <c r="P920" s="26">
        <f>$F920*$J920*$O920</f>
        <v/>
      </c>
    </row>
    <row r="921">
      <c r="A921" s="11" t="inlineStr">
        <is>
          <t>UNIT</t>
        </is>
      </c>
      <c r="B921" s="18" t="inlineStr">
        <is>
          <t>CHEVRON_RICHMOND</t>
        </is>
      </c>
      <c r="C921" s="18" t="n">
        <v>5</v>
      </c>
      <c r="D921" s="18" t="inlineStr">
        <is>
          <t>DHCU</t>
        </is>
      </c>
      <c r="E921" s="18" t="inlineStr">
        <is>
          <t>HYDROCRACKER</t>
        </is>
      </c>
      <c r="F921" s="19" t="n">
        <v>103.4</v>
      </c>
      <c r="G921" s="21">
        <f>IFERROR(IF(INDEX(Effective!$E$3:$R$125,MATCH($B921,Effective!$A$3:$A$125,0),MATCH($D921,Effective!$E$2:$R$2,0))=0,"",INDEX(Effective!$E$3:$R$125,MATCH($B921,Effective!$A$3:$A$125,0),MATCH($D921,Effective!$E$2:$R$2,0))),"")</f>
        <v/>
      </c>
      <c r="H921" s="22" t="inlineStr">
        <is>
          <t>override</t>
        </is>
      </c>
      <c r="I921" s="23" t="n">
        <v>0.493</v>
      </c>
      <c r="J921" s="24">
        <f>IF(AND(IF($H926&lt;&gt;"",$H926,$H921)="override",$I921&lt;&gt;""),$I921,SUMIFS(Assumptions!$K$4:$K$8,Assumptions!$J$4:$J$8,$C921))*Assumptions!$S$10</f>
        <v/>
      </c>
      <c r="K921" s="23" t="n"/>
      <c r="L921" s="25">
        <f>IF(AND(IF($H926&lt;&gt;"",$H926,$H921)="override",$K921&lt;&gt;""),$K921,SUMIFS(Assumptions!$P$4:$P$103,Assumptions!$M$4:$M$103,$C921,Assumptions!$N$4:$N$103,$E921,Assumptions!$O$4:$O$103,"LVN"))</f>
        <v/>
      </c>
      <c r="M921" s="23" t="n"/>
      <c r="N921" s="25">
        <f>IF(AND(IF($H926&lt;&gt;"",$H926,$H921)="override",$M921&lt;&gt;""),$M921,SUMIFS(Assumptions!$P$4:$P$103,Assumptions!$M$4:$M$103,$C921,Assumptions!$N$4:$N$103,$E921,Assumptions!$O$4:$O$103,"HVN"))</f>
        <v/>
      </c>
      <c r="O921" s="25">
        <f>(L921+N921)*Assumptions!$S$11</f>
        <v/>
      </c>
      <c r="P921" s="26">
        <f>$F921*$J921*$O921</f>
        <v/>
      </c>
    </row>
    <row r="922">
      <c r="A922" s="11" t="inlineStr">
        <is>
          <t>UNIT</t>
        </is>
      </c>
      <c r="B922" s="18" t="inlineStr">
        <is>
          <t>CHEVRON_RICHMOND</t>
        </is>
      </c>
      <c r="C922" s="18" t="n">
        <v>5</v>
      </c>
      <c r="D922" s="18" t="inlineStr">
        <is>
          <t>CCR</t>
        </is>
      </c>
      <c r="E922" s="18" t="inlineStr">
        <is>
          <t>REFORMER</t>
        </is>
      </c>
      <c r="F922" s="19" t="n">
        <v>71.3</v>
      </c>
      <c r="G922" s="21">
        <f>IFERROR(IF(INDEX(Effective!$E$3:$R$125,MATCH($B922,Effective!$A$3:$A$125,0),MATCH($D922,Effective!$E$2:$R$2,0))=0,"",INDEX(Effective!$E$3:$R$125,MATCH($B922,Effective!$A$3:$A$125,0),MATCH($D922,Effective!$E$2:$R$2,0))),"")</f>
        <v/>
      </c>
      <c r="H922" s="22" t="inlineStr">
        <is>
          <t>override</t>
        </is>
      </c>
      <c r="I922" s="23" t="n"/>
      <c r="J922" s="24">
        <f>IF(AND(IF($H926&lt;&gt;"",$H926,$H922)="override",$I922&lt;&gt;""),$I922,SUMIFS(Assumptions!$K$4:$K$8,Assumptions!$J$4:$J$8,$C922))*Assumptions!$S$10</f>
        <v/>
      </c>
      <c r="K922" s="23" t="n"/>
      <c r="L922" s="25">
        <f>IF(AND(IF($H926&lt;&gt;"",$H926,$H922)="override",$K922&lt;&gt;""),$K922,SUMIFS(Assumptions!$P$4:$P$103,Assumptions!$M$4:$M$103,$C922,Assumptions!$N$4:$N$103,$E922,Assumptions!$O$4:$O$103,"LVN"))</f>
        <v/>
      </c>
      <c r="M922" s="23" t="n"/>
      <c r="N922" s="25">
        <f>IF(AND(IF($H926&lt;&gt;"",$H926,$H922)="override",$M922&lt;&gt;""),$M922,SUMIFS(Assumptions!$P$4:$P$103,Assumptions!$M$4:$M$103,$C922,Assumptions!$N$4:$N$103,$E922,Assumptions!$O$4:$O$103,"HVN"))</f>
        <v/>
      </c>
      <c r="O922" s="25">
        <f>(L922+N922)*Assumptions!$S$11</f>
        <v/>
      </c>
      <c r="P922" s="26">
        <f>$F922*$J922*$O922</f>
        <v/>
      </c>
    </row>
    <row r="923">
      <c r="A923" s="11" t="inlineStr">
        <is>
          <t>UNIT</t>
        </is>
      </c>
      <c r="B923" s="18" t="inlineStr">
        <is>
          <t>CHEVRON_RICHMOND</t>
        </is>
      </c>
      <c r="C923" s="18" t="n">
        <v>5</v>
      </c>
      <c r="D923" s="18" t="inlineStr">
        <is>
          <t>ISOM</t>
        </is>
      </c>
      <c r="E923" s="18" t="inlineStr">
        <is>
          <t>ISOM</t>
        </is>
      </c>
      <c r="F923" s="19" t="n">
        <v>46</v>
      </c>
      <c r="G923" s="21">
        <f>IFERROR(IF(INDEX(Effective!$E$3:$R$125,MATCH($B923,Effective!$A$3:$A$125,0),MATCH($D923,Effective!$E$2:$R$2,0))=0,"",INDEX(Effective!$E$3:$R$125,MATCH($B923,Effective!$A$3:$A$125,0),MATCH($D923,Effective!$E$2:$R$2,0))),"")</f>
        <v/>
      </c>
      <c r="H923" s="22" t="inlineStr">
        <is>
          <t>override</t>
        </is>
      </c>
      <c r="I923" s="23" t="n">
        <v>0.455</v>
      </c>
      <c r="J923" s="24">
        <f>IF(AND(IF($H926&lt;&gt;"",$H926,$H923)="override",$I923&lt;&gt;""),$I923,SUMIFS(Assumptions!$K$4:$K$8,Assumptions!$J$4:$J$8,$C923))*Assumptions!$S$10</f>
        <v/>
      </c>
      <c r="K923" s="23" t="n"/>
      <c r="L923" s="25">
        <f>IF(AND(IF($H926&lt;&gt;"",$H926,$H923)="override",$K923&lt;&gt;""),$K923,SUMIFS(Assumptions!$P$4:$P$103,Assumptions!$M$4:$M$103,$C923,Assumptions!$N$4:$N$103,$E923,Assumptions!$O$4:$O$103,"LVN"))</f>
        <v/>
      </c>
      <c r="M923" s="23" t="n"/>
      <c r="N923" s="25">
        <f>IF(AND(IF($H926&lt;&gt;"",$H926,$H923)="override",$M923&lt;&gt;""),$M923,SUMIFS(Assumptions!$P$4:$P$103,Assumptions!$M$4:$M$103,$C923,Assumptions!$N$4:$N$103,$E923,Assumptions!$O$4:$O$103,"HVN"))</f>
        <v/>
      </c>
      <c r="O923" s="25">
        <f>(L923+N923)*Assumptions!$S$11</f>
        <v/>
      </c>
      <c r="P923" s="26">
        <f>$F923*$J923*$O923</f>
        <v/>
      </c>
    </row>
    <row r="924">
      <c r="A924" s="11" t="inlineStr">
        <is>
          <t>UNIT</t>
        </is>
      </c>
      <c r="B924" s="18" t="inlineStr">
        <is>
          <t>CHEVRON_RICHMOND</t>
        </is>
      </c>
      <c r="C924" s="18" t="n">
        <v>5</v>
      </c>
      <c r="D924" s="18" t="inlineStr">
        <is>
          <t>ALKY</t>
        </is>
      </c>
      <c r="E924" s="18" t="inlineStr">
        <is>
          <t>ALKY</t>
        </is>
      </c>
      <c r="F924" s="19" t="n">
        <v>32.66</v>
      </c>
      <c r="G924" s="21">
        <f>IFERROR(IF(INDEX(Effective!$E$3:$R$125,MATCH($B924,Effective!$A$3:$A$125,0),MATCH($D924,Effective!$E$2:$R$2,0))=0,"",INDEX(Effective!$E$3:$R$125,MATCH($B924,Effective!$A$3:$A$125,0),MATCH($D924,Effective!$E$2:$R$2,0))),"")</f>
        <v/>
      </c>
      <c r="H924" s="22" t="inlineStr">
        <is>
          <t>override</t>
        </is>
      </c>
      <c r="I924" s="23" t="n">
        <v>0.62</v>
      </c>
      <c r="J924" s="24">
        <f>IF(AND(IF($H926&lt;&gt;"",$H926,$H924)="override",$I924&lt;&gt;""),$I924,SUMIFS(Assumptions!$K$4:$K$8,Assumptions!$J$4:$J$8,$C924))*Assumptions!$S$10</f>
        <v/>
      </c>
      <c r="K924" s="23" t="n"/>
      <c r="L924" s="25">
        <f>IF(AND(IF($H926&lt;&gt;"",$H926,$H924)="override",$K924&lt;&gt;""),$K924,SUMIFS(Assumptions!$P$4:$P$103,Assumptions!$M$4:$M$103,$C924,Assumptions!$N$4:$N$103,$E924,Assumptions!$O$4:$O$103,"LVN"))</f>
        <v/>
      </c>
      <c r="M924" s="23" t="n"/>
      <c r="N924" s="25">
        <f>IF(AND(IF($H926&lt;&gt;"",$H926,$H924)="override",$M924&lt;&gt;""),$M924,SUMIFS(Assumptions!$P$4:$P$103,Assumptions!$M$4:$M$103,$C924,Assumptions!$N$4:$N$103,$E924,Assumptions!$O$4:$O$103,"HVN"))</f>
        <v/>
      </c>
      <c r="O924" s="25">
        <f>(L924+N924)*Assumptions!$S$11</f>
        <v/>
      </c>
      <c r="P924" s="26">
        <f>$F924*$J924*$O924</f>
        <v/>
      </c>
    </row>
    <row r="925">
      <c r="A925" s="11" t="inlineStr">
        <is>
          <t>UNIT</t>
        </is>
      </c>
      <c r="B925" s="18" t="inlineStr">
        <is>
          <t>CHEVRON_RICHMOND</t>
        </is>
      </c>
      <c r="C925" s="18" t="n">
        <v>5</v>
      </c>
      <c r="D925" s="18" t="inlineStr">
        <is>
          <t>NHT</t>
        </is>
      </c>
      <c r="E925" s="18" t="inlineStr">
        <is>
          <t>NHT</t>
        </is>
      </c>
      <c r="F925" s="19" t="n">
        <v>57.6</v>
      </c>
      <c r="G925" s="21">
        <f>IFERROR(IF(INDEX(Effective!$E$3:$R$125,MATCH($B925,Effective!$A$3:$A$125,0),MATCH($D925,Effective!$E$2:$R$2,0))=0,"",INDEX(Effective!$E$3:$R$125,MATCH($B925,Effective!$A$3:$A$125,0),MATCH($D925,Effective!$E$2:$R$2,0))),"")</f>
        <v/>
      </c>
      <c r="H925" s="22" t="inlineStr">
        <is>
          <t>override</t>
        </is>
      </c>
      <c r="I925" s="23" t="n">
        <v>1</v>
      </c>
      <c r="J925" s="24">
        <f>IF(AND(IF($H926&lt;&gt;"",$H926,$H925)="override",$I925&lt;&gt;""),$I925,SUMIFS(Assumptions!$K$4:$K$8,Assumptions!$J$4:$J$8,$C925))*Assumptions!$S$10</f>
        <v/>
      </c>
      <c r="K925" s="23" t="n"/>
      <c r="L925" s="25">
        <f>IF(AND(IF($H926&lt;&gt;"",$H926,$H925)="override",$K925&lt;&gt;""),$K925,SUMIFS(Assumptions!$P$4:$P$103,Assumptions!$M$4:$M$103,$C925,Assumptions!$N$4:$N$103,$E925,Assumptions!$O$4:$O$103,"LVN"))</f>
        <v/>
      </c>
      <c r="M925" s="23" t="n"/>
      <c r="N925" s="25">
        <f>IF(AND(IF($H926&lt;&gt;"",$H926,$H925)="override",$M925&lt;&gt;""),$M925,SUMIFS(Assumptions!$P$4:$P$103,Assumptions!$M$4:$M$103,$C925,Assumptions!$N$4:$N$103,$E925,Assumptions!$O$4:$O$103,"HVN"))</f>
        <v/>
      </c>
      <c r="O925" s="25">
        <f>(L925+N925)*Assumptions!$S$11</f>
        <v/>
      </c>
      <c r="P925" s="26">
        <f>$F925*$J925*$O925</f>
        <v/>
      </c>
    </row>
    <row r="926">
      <c r="A926" s="27" t="inlineStr">
        <is>
          <t>TOTAL</t>
        </is>
      </c>
      <c r="B926" s="28" t="inlineStr">
        <is>
          <t>CHEVRON_RICHMOND</t>
        </is>
      </c>
      <c r="C926" s="28" t="n">
        <v>5</v>
      </c>
      <c r="D926" s="28" t="inlineStr">
        <is>
          <t>NET NAPHTHA</t>
        </is>
      </c>
      <c r="H926" s="22" t="n"/>
      <c r="P926" s="29">
        <f>SUM(P918:P925)</f>
        <v/>
      </c>
    </row>
    <row r="928" ht="20" customHeight="1">
      <c r="A928" s="8">
        <f>"  BP Ferndale  [BP_FERNDALE]   —   BP   —   PADD 5   —   crude "&amp;TEXT(SUMIFS(Data!$G$3:$G$125,Data!$A$3:$A$125,"BP_FERNDALE"),"#,##0")&amp;" kbd"</f>
        <v/>
      </c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</row>
    <row r="929">
      <c r="A929" s="11" t="inlineStr">
        <is>
          <t>UNIT</t>
        </is>
      </c>
      <c r="B929" s="18" t="inlineStr">
        <is>
          <t>BP_FERNDALE</t>
        </is>
      </c>
      <c r="C929" s="18" t="n">
        <v>5</v>
      </c>
      <c r="D929" s="18" t="inlineStr">
        <is>
          <t>CDU</t>
        </is>
      </c>
      <c r="E929" s="18" t="inlineStr">
        <is>
          <t>CDU</t>
        </is>
      </c>
      <c r="F929" s="19" t="n">
        <v>251</v>
      </c>
      <c r="G929" s="21">
        <f>IFERROR(IF(INDEX(Effective!$E$3:$R$125,MATCH($B929,Effective!$A$3:$A$125,0),MATCH($D929,Effective!$E$2:$R$2,0))=0,"",INDEX(Effective!$E$3:$R$125,MATCH($B929,Effective!$A$3:$A$125,0),MATCH($D929,Effective!$E$2:$R$2,0))),"")</f>
        <v/>
      </c>
      <c r="H929" s="22" t="inlineStr">
        <is>
          <t>override</t>
        </is>
      </c>
      <c r="I929" s="23" t="n">
        <v>0.9330000000000001</v>
      </c>
      <c r="J929" s="24">
        <f>IF(AND(IF($H936&lt;&gt;"",$H936,$H929)="override",$I929&lt;&gt;""),$I929,SUMIFS(Assumptions!$K$4:$K$8,Assumptions!$J$4:$J$8,$C929))*Assumptions!$S$10</f>
        <v/>
      </c>
      <c r="K929" s="23" t="n"/>
      <c r="L929" s="25">
        <f>IF(AND(IF($H936&lt;&gt;"",$H936,$H929)="override",$K929&lt;&gt;""),$K929,SUMIFS(Assumptions!$P$4:$P$103,Assumptions!$M$4:$M$103,$C929,Assumptions!$N$4:$N$103,$E929,Assumptions!$O$4:$O$103,"LVN"))</f>
        <v/>
      </c>
      <c r="M929" s="23" t="n"/>
      <c r="N929" s="25">
        <f>IF(AND(IF($H936&lt;&gt;"",$H936,$H929)="override",$M929&lt;&gt;""),$M929,SUMIFS(Assumptions!$P$4:$P$103,Assumptions!$M$4:$M$103,$C929,Assumptions!$N$4:$N$103,$E929,Assumptions!$O$4:$O$103,"HVN"))</f>
        <v/>
      </c>
      <c r="O929" s="25">
        <f>(L929+N929)*Assumptions!$S$11</f>
        <v/>
      </c>
      <c r="P929" s="26">
        <f>$F929*$J929*$O929</f>
        <v/>
      </c>
    </row>
    <row r="930">
      <c r="A930" s="11" t="inlineStr">
        <is>
          <t>UNIT</t>
        </is>
      </c>
      <c r="B930" s="18" t="inlineStr">
        <is>
          <t>BP_FERNDALE</t>
        </is>
      </c>
      <c r="C930" s="18" t="n">
        <v>5</v>
      </c>
      <c r="D930" s="18" t="inlineStr">
        <is>
          <t>VDU</t>
        </is>
      </c>
      <c r="E930" s="18" t="inlineStr">
        <is>
          <t>VDU</t>
        </is>
      </c>
      <c r="F930" s="19" t="n">
        <v>139</v>
      </c>
      <c r="G930" s="21">
        <f>IFERROR(IF(INDEX(Effective!$E$3:$R$125,MATCH($B930,Effective!$A$3:$A$125,0),MATCH($D930,Effective!$E$2:$R$2,0))=0,"",INDEX(Effective!$E$3:$R$125,MATCH($B930,Effective!$A$3:$A$125,0),MATCH($D930,Effective!$E$2:$R$2,0))),"")</f>
        <v/>
      </c>
      <c r="H930" s="22" t="inlineStr">
        <is>
          <t>override</t>
        </is>
      </c>
      <c r="I930" s="23" t="n">
        <v>0.6899999999999999</v>
      </c>
      <c r="J930" s="24">
        <f>IF(AND(IF($H936&lt;&gt;"",$H936,$H930)="override",$I930&lt;&gt;""),$I930,SUMIFS(Assumptions!$K$4:$K$8,Assumptions!$J$4:$J$8,$C930))*Assumptions!$S$10</f>
        <v/>
      </c>
      <c r="K930" s="23" t="n"/>
      <c r="L930" s="25">
        <f>IF(AND(IF($H936&lt;&gt;"",$H936,$H930)="override",$K930&lt;&gt;""),$K930,SUMIFS(Assumptions!$P$4:$P$103,Assumptions!$M$4:$M$103,$C930,Assumptions!$N$4:$N$103,$E930,Assumptions!$O$4:$O$103,"LVN"))</f>
        <v/>
      </c>
      <c r="M930" s="23" t="n"/>
      <c r="N930" s="25">
        <f>IF(AND(IF($H936&lt;&gt;"",$H936,$H930)="override",$M930&lt;&gt;""),$M930,SUMIFS(Assumptions!$P$4:$P$103,Assumptions!$M$4:$M$103,$C930,Assumptions!$N$4:$N$103,$E930,Assumptions!$O$4:$O$103,"HVN"))</f>
        <v/>
      </c>
      <c r="O930" s="25">
        <f>(L930+N930)*Assumptions!$S$11</f>
        <v/>
      </c>
      <c r="P930" s="26">
        <f>$F930*$J930*$O930</f>
        <v/>
      </c>
    </row>
    <row r="931">
      <c r="A931" s="11" t="inlineStr">
        <is>
          <t>UNIT</t>
        </is>
      </c>
      <c r="B931" s="18" t="inlineStr">
        <is>
          <t>BP_FERNDALE</t>
        </is>
      </c>
      <c r="C931" s="18" t="n">
        <v>5</v>
      </c>
      <c r="D931" s="18" t="inlineStr">
        <is>
          <t>DHCU</t>
        </is>
      </c>
      <c r="E931" s="18" t="inlineStr">
        <is>
          <t>HYDROCRACKER</t>
        </is>
      </c>
      <c r="F931" s="19" t="n">
        <v>65</v>
      </c>
      <c r="G931" s="21">
        <f>IFERROR(IF(INDEX(Effective!$E$3:$R$125,MATCH($B931,Effective!$A$3:$A$125,0),MATCH($D931,Effective!$E$2:$R$2,0))=0,"",INDEX(Effective!$E$3:$R$125,MATCH($B931,Effective!$A$3:$A$125,0),MATCH($D931,Effective!$E$2:$R$2,0))),"")</f>
        <v/>
      </c>
      <c r="H931" s="22" t="inlineStr">
        <is>
          <t>override</t>
        </is>
      </c>
      <c r="I931" s="23" t="n">
        <v>0.998</v>
      </c>
      <c r="J931" s="24">
        <f>IF(AND(IF($H936&lt;&gt;"",$H936,$H931)="override",$I931&lt;&gt;""),$I931,SUMIFS(Assumptions!$K$4:$K$8,Assumptions!$J$4:$J$8,$C931))*Assumptions!$S$10</f>
        <v/>
      </c>
      <c r="K931" s="23" t="n"/>
      <c r="L931" s="25">
        <f>IF(AND(IF($H936&lt;&gt;"",$H936,$H931)="override",$K931&lt;&gt;""),$K931,SUMIFS(Assumptions!$P$4:$P$103,Assumptions!$M$4:$M$103,$C931,Assumptions!$N$4:$N$103,$E931,Assumptions!$O$4:$O$103,"LVN"))</f>
        <v/>
      </c>
      <c r="M931" s="23" t="n"/>
      <c r="N931" s="25">
        <f>IF(AND(IF($H936&lt;&gt;"",$H936,$H931)="override",$M931&lt;&gt;""),$M931,SUMIFS(Assumptions!$P$4:$P$103,Assumptions!$M$4:$M$103,$C931,Assumptions!$N$4:$N$103,$E931,Assumptions!$O$4:$O$103,"HVN"))</f>
        <v/>
      </c>
      <c r="O931" s="25">
        <f>(L931+N931)*Assumptions!$S$11</f>
        <v/>
      </c>
      <c r="P931" s="26">
        <f>$F931*$J931*$O931</f>
        <v/>
      </c>
    </row>
    <row r="932">
      <c r="A932" s="11" t="inlineStr">
        <is>
          <t>UNIT</t>
        </is>
      </c>
      <c r="B932" s="18" t="inlineStr">
        <is>
          <t>BP_FERNDALE</t>
        </is>
      </c>
      <c r="C932" s="18" t="n">
        <v>5</v>
      </c>
      <c r="D932" s="18" t="inlineStr">
        <is>
          <t>COKER</t>
        </is>
      </c>
      <c r="E932" s="18" t="inlineStr">
        <is>
          <t>COKER</t>
        </is>
      </c>
      <c r="F932" s="19" t="n">
        <v>61.5</v>
      </c>
      <c r="G932" s="21">
        <f>IFERROR(IF(INDEX(Effective!$E$3:$R$125,MATCH($B932,Effective!$A$3:$A$125,0),MATCH($D932,Effective!$E$2:$R$2,0))=0,"",INDEX(Effective!$E$3:$R$125,MATCH($B932,Effective!$A$3:$A$125,0),MATCH($D932,Effective!$E$2:$R$2,0))),"")</f>
        <v/>
      </c>
      <c r="H932" s="22" t="inlineStr">
        <is>
          <t>override</t>
        </is>
      </c>
      <c r="I932" s="23" t="n">
        <v>0.647</v>
      </c>
      <c r="J932" s="24">
        <f>IF(AND(IF($H936&lt;&gt;"",$H936,$H932)="override",$I932&lt;&gt;""),$I932,SUMIFS(Assumptions!$K$4:$K$8,Assumptions!$J$4:$J$8,$C932))*Assumptions!$S$10</f>
        <v/>
      </c>
      <c r="K932" s="23" t="n"/>
      <c r="L932" s="25">
        <f>IF(AND(IF($H936&lt;&gt;"",$H936,$H932)="override",$K932&lt;&gt;""),$K932,SUMIFS(Assumptions!$P$4:$P$103,Assumptions!$M$4:$M$103,$C932,Assumptions!$N$4:$N$103,$E932,Assumptions!$O$4:$O$103,"LVN"))</f>
        <v/>
      </c>
      <c r="M932" s="23" t="n"/>
      <c r="N932" s="25">
        <f>IF(AND(IF($H936&lt;&gt;"",$H936,$H932)="override",$M932&lt;&gt;""),$M932,SUMIFS(Assumptions!$P$4:$P$103,Assumptions!$M$4:$M$103,$C932,Assumptions!$N$4:$N$103,$E932,Assumptions!$O$4:$O$103,"HVN"))</f>
        <v/>
      </c>
      <c r="O932" s="25">
        <f>(L932+N932)*Assumptions!$S$11</f>
        <v/>
      </c>
      <c r="P932" s="26">
        <f>$F932*$J932*$O932</f>
        <v/>
      </c>
    </row>
    <row r="933">
      <c r="A933" s="11" t="inlineStr">
        <is>
          <t>UNIT</t>
        </is>
      </c>
      <c r="B933" s="18" t="inlineStr">
        <is>
          <t>BP_FERNDALE</t>
        </is>
      </c>
      <c r="C933" s="18" t="n">
        <v>5</v>
      </c>
      <c r="D933" s="18" t="inlineStr">
        <is>
          <t>CCR</t>
        </is>
      </c>
      <c r="E933" s="18" t="inlineStr">
        <is>
          <t>REFORMER</t>
        </is>
      </c>
      <c r="F933" s="19" t="n">
        <v>65</v>
      </c>
      <c r="G933" s="21">
        <f>IFERROR(IF(INDEX(Effective!$E$3:$R$125,MATCH($B933,Effective!$A$3:$A$125,0),MATCH($D933,Effective!$E$2:$R$2,0))=0,"",INDEX(Effective!$E$3:$R$125,MATCH($B933,Effective!$A$3:$A$125,0),MATCH($D933,Effective!$E$2:$R$2,0))),"")</f>
        <v/>
      </c>
      <c r="H933" s="22" t="inlineStr">
        <is>
          <t>override</t>
        </is>
      </c>
      <c r="I933" s="23" t="n">
        <v>0.881</v>
      </c>
      <c r="J933" s="24">
        <f>IF(AND(IF($H936&lt;&gt;"",$H936,$H933)="override",$I933&lt;&gt;""),$I933,SUMIFS(Assumptions!$K$4:$K$8,Assumptions!$J$4:$J$8,$C933))*Assumptions!$S$10</f>
        <v/>
      </c>
      <c r="K933" s="23" t="n"/>
      <c r="L933" s="25">
        <f>IF(AND(IF($H936&lt;&gt;"",$H936,$H933)="override",$K933&lt;&gt;""),$K933,SUMIFS(Assumptions!$P$4:$P$103,Assumptions!$M$4:$M$103,$C933,Assumptions!$N$4:$N$103,$E933,Assumptions!$O$4:$O$103,"LVN"))</f>
        <v/>
      </c>
      <c r="M933" s="23" t="n"/>
      <c r="N933" s="25">
        <f>IF(AND(IF($H936&lt;&gt;"",$H936,$H933)="override",$M933&lt;&gt;""),$M933,SUMIFS(Assumptions!$P$4:$P$103,Assumptions!$M$4:$M$103,$C933,Assumptions!$N$4:$N$103,$E933,Assumptions!$O$4:$O$103,"HVN"))</f>
        <v/>
      </c>
      <c r="O933" s="25">
        <f>(L933+N933)*Assumptions!$S$11</f>
        <v/>
      </c>
      <c r="P933" s="26">
        <f>$F933*$J933*$O933</f>
        <v/>
      </c>
    </row>
    <row r="934">
      <c r="A934" s="11" t="inlineStr">
        <is>
          <t>UNIT</t>
        </is>
      </c>
      <c r="B934" s="18" t="inlineStr">
        <is>
          <t>BP_FERNDALE</t>
        </is>
      </c>
      <c r="C934" s="18" t="n">
        <v>5</v>
      </c>
      <c r="D934" s="18" t="inlineStr">
        <is>
          <t>ISOM</t>
        </is>
      </c>
      <c r="E934" s="18" t="inlineStr">
        <is>
          <t>ISOM</t>
        </is>
      </c>
      <c r="F934" s="19" t="n">
        <v>26</v>
      </c>
      <c r="G934" s="21">
        <f>IFERROR(IF(INDEX(Effective!$E$3:$R$125,MATCH($B934,Effective!$A$3:$A$125,0),MATCH($D934,Effective!$E$2:$R$2,0))=0,"",INDEX(Effective!$E$3:$R$125,MATCH($B934,Effective!$A$3:$A$125,0),MATCH($D934,Effective!$E$2:$R$2,0))),"")</f>
        <v/>
      </c>
      <c r="H934" s="22" t="inlineStr">
        <is>
          <t>override</t>
        </is>
      </c>
      <c r="I934" s="23" t="n">
        <v>0.826</v>
      </c>
      <c r="J934" s="24">
        <f>IF(AND(IF($H936&lt;&gt;"",$H936,$H934)="override",$I934&lt;&gt;""),$I934,SUMIFS(Assumptions!$K$4:$K$8,Assumptions!$J$4:$J$8,$C934))*Assumptions!$S$10</f>
        <v/>
      </c>
      <c r="K934" s="23" t="n"/>
      <c r="L934" s="25">
        <f>IF(AND(IF($H936&lt;&gt;"",$H936,$H934)="override",$K934&lt;&gt;""),$K934,SUMIFS(Assumptions!$P$4:$P$103,Assumptions!$M$4:$M$103,$C934,Assumptions!$N$4:$N$103,$E934,Assumptions!$O$4:$O$103,"LVN"))</f>
        <v/>
      </c>
      <c r="M934" s="23" t="n"/>
      <c r="N934" s="25">
        <f>IF(AND(IF($H936&lt;&gt;"",$H936,$H934)="override",$M934&lt;&gt;""),$M934,SUMIFS(Assumptions!$P$4:$P$103,Assumptions!$M$4:$M$103,$C934,Assumptions!$N$4:$N$103,$E934,Assumptions!$O$4:$O$103,"HVN"))</f>
        <v/>
      </c>
      <c r="O934" s="25">
        <f>(L934+N934)*Assumptions!$S$11</f>
        <v/>
      </c>
      <c r="P934" s="26">
        <f>$F934*$J934*$O934</f>
        <v/>
      </c>
    </row>
    <row r="935">
      <c r="A935" s="11" t="inlineStr">
        <is>
          <t>UNIT</t>
        </is>
      </c>
      <c r="B935" s="18" t="inlineStr">
        <is>
          <t>BP_FERNDALE</t>
        </is>
      </c>
      <c r="C935" s="18" t="n">
        <v>5</v>
      </c>
      <c r="D935" s="18" t="inlineStr">
        <is>
          <t>NHT</t>
        </is>
      </c>
      <c r="E935" s="18" t="inlineStr">
        <is>
          <t>NHT</t>
        </is>
      </c>
      <c r="F935" s="19" t="n">
        <v>100.5</v>
      </c>
      <c r="G935" s="21">
        <f>IFERROR(IF(INDEX(Effective!$E$3:$R$125,MATCH($B935,Effective!$A$3:$A$125,0),MATCH($D935,Effective!$E$2:$R$2,0))=0,"",INDEX(Effective!$E$3:$R$125,MATCH($B935,Effective!$A$3:$A$125,0),MATCH($D935,Effective!$E$2:$R$2,0))),"")</f>
        <v/>
      </c>
      <c r="H935" s="22" t="inlineStr">
        <is>
          <t>override</t>
        </is>
      </c>
      <c r="I935" s="23" t="n">
        <v>0.6</v>
      </c>
      <c r="J935" s="24">
        <f>IF(AND(IF($H936&lt;&gt;"",$H936,$H935)="override",$I935&lt;&gt;""),$I935,SUMIFS(Assumptions!$K$4:$K$8,Assumptions!$J$4:$J$8,$C935))*Assumptions!$S$10</f>
        <v/>
      </c>
      <c r="K935" s="23" t="n"/>
      <c r="L935" s="25">
        <f>IF(AND(IF($H936&lt;&gt;"",$H936,$H935)="override",$K935&lt;&gt;""),$K935,SUMIFS(Assumptions!$P$4:$P$103,Assumptions!$M$4:$M$103,$C935,Assumptions!$N$4:$N$103,$E935,Assumptions!$O$4:$O$103,"LVN"))</f>
        <v/>
      </c>
      <c r="M935" s="23" t="n"/>
      <c r="N935" s="25">
        <f>IF(AND(IF($H936&lt;&gt;"",$H936,$H935)="override",$M935&lt;&gt;""),$M935,SUMIFS(Assumptions!$P$4:$P$103,Assumptions!$M$4:$M$103,$C935,Assumptions!$N$4:$N$103,$E935,Assumptions!$O$4:$O$103,"HVN"))</f>
        <v/>
      </c>
      <c r="O935" s="25">
        <f>(L935+N935)*Assumptions!$S$11</f>
        <v/>
      </c>
      <c r="P935" s="26">
        <f>$F935*$J935*$O935</f>
        <v/>
      </c>
    </row>
    <row r="936">
      <c r="A936" s="27" t="inlineStr">
        <is>
          <t>TOTAL</t>
        </is>
      </c>
      <c r="B936" s="28" t="inlineStr">
        <is>
          <t>BP_FERNDALE</t>
        </is>
      </c>
      <c r="C936" s="28" t="n">
        <v>5</v>
      </c>
      <c r="D936" s="28" t="inlineStr">
        <is>
          <t>NET NAPHTHA</t>
        </is>
      </c>
      <c r="H936" s="22" t="n"/>
      <c r="P936" s="29">
        <f>SUM(P929:P935)</f>
        <v/>
      </c>
    </row>
    <row r="938" ht="20" customHeight="1">
      <c r="A938" s="8">
        <f>"  PBF Energy Company LLC Torrance  [PBF_TORRANCE]   —   PBF Energy Company LLC   —   PADD 5   —   crude "&amp;TEXT(SUMIFS(Data!$G$3:$G$125,Data!$A$3:$A$125,"PBF_TORRANCE"),"#,##0")&amp;" kbd"</f>
        <v/>
      </c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</row>
    <row r="939">
      <c r="A939" s="11" t="inlineStr">
        <is>
          <t>UNIT</t>
        </is>
      </c>
      <c r="B939" s="18" t="inlineStr">
        <is>
          <t>PBF_TORRANCE</t>
        </is>
      </c>
      <c r="C939" s="18" t="n">
        <v>5</v>
      </c>
      <c r="D939" s="18" t="inlineStr">
        <is>
          <t>CDU</t>
        </is>
      </c>
      <c r="E939" s="18" t="inlineStr">
        <is>
          <t>CDU</t>
        </is>
      </c>
      <c r="F939" s="19" t="n">
        <v>166.2</v>
      </c>
      <c r="G939" s="21">
        <f>IFERROR(IF(INDEX(Effective!$E$3:$R$125,MATCH($B939,Effective!$A$3:$A$125,0),MATCH($D939,Effective!$E$2:$R$2,0))=0,"",INDEX(Effective!$E$3:$R$125,MATCH($B939,Effective!$A$3:$A$125,0),MATCH($D939,Effective!$E$2:$R$2,0))),"")</f>
        <v/>
      </c>
      <c r="H939" s="22" t="inlineStr">
        <is>
          <t>override</t>
        </is>
      </c>
      <c r="I939" s="23" t="n">
        <v>0.77</v>
      </c>
      <c r="J939" s="24">
        <f>IF(AND(IF($H947&lt;&gt;"",$H947,$H939)="override",$I939&lt;&gt;""),$I939,SUMIFS(Assumptions!$K$4:$K$8,Assumptions!$J$4:$J$8,$C939))*Assumptions!$S$10</f>
        <v/>
      </c>
      <c r="K939" s="23" t="n"/>
      <c r="L939" s="25">
        <f>IF(AND(IF($H947&lt;&gt;"",$H947,$H939)="override",$K939&lt;&gt;""),$K939,SUMIFS(Assumptions!$P$4:$P$103,Assumptions!$M$4:$M$103,$C939,Assumptions!$N$4:$N$103,$E939,Assumptions!$O$4:$O$103,"LVN"))</f>
        <v/>
      </c>
      <c r="M939" s="23" t="n"/>
      <c r="N939" s="25">
        <f>IF(AND(IF($H947&lt;&gt;"",$H947,$H939)="override",$M939&lt;&gt;""),$M939,SUMIFS(Assumptions!$P$4:$P$103,Assumptions!$M$4:$M$103,$C939,Assumptions!$N$4:$N$103,$E939,Assumptions!$O$4:$O$103,"HVN"))</f>
        <v/>
      </c>
      <c r="O939" s="25">
        <f>(L939+N939)*Assumptions!$S$11</f>
        <v/>
      </c>
      <c r="P939" s="26">
        <f>$F939*$J939*$O939</f>
        <v/>
      </c>
    </row>
    <row r="940">
      <c r="A940" s="11" t="inlineStr">
        <is>
          <t>UNIT</t>
        </is>
      </c>
      <c r="B940" s="18" t="inlineStr">
        <is>
          <t>PBF_TORRANCE</t>
        </is>
      </c>
      <c r="C940" s="18" t="n">
        <v>5</v>
      </c>
      <c r="D940" s="18" t="inlineStr">
        <is>
          <t>VDU</t>
        </is>
      </c>
      <c r="E940" s="18" t="inlineStr">
        <is>
          <t>VDU</t>
        </is>
      </c>
      <c r="F940" s="19" t="n">
        <v>102.3</v>
      </c>
      <c r="G940" s="21">
        <f>IFERROR(IF(INDEX(Effective!$E$3:$R$125,MATCH($B940,Effective!$A$3:$A$125,0),MATCH($D940,Effective!$E$2:$R$2,0))=0,"",INDEX(Effective!$E$3:$R$125,MATCH($B940,Effective!$A$3:$A$125,0),MATCH($D940,Effective!$E$2:$R$2,0))),"")</f>
        <v/>
      </c>
      <c r="H940" s="22" t="inlineStr">
        <is>
          <t>override</t>
        </is>
      </c>
      <c r="I940" s="23" t="n">
        <v>0.708</v>
      </c>
      <c r="J940" s="24">
        <f>IF(AND(IF($H947&lt;&gt;"",$H947,$H940)="override",$I940&lt;&gt;""),$I940,SUMIFS(Assumptions!$K$4:$K$8,Assumptions!$J$4:$J$8,$C940))*Assumptions!$S$10</f>
        <v/>
      </c>
      <c r="K940" s="23" t="n"/>
      <c r="L940" s="25">
        <f>IF(AND(IF($H947&lt;&gt;"",$H947,$H940)="override",$K940&lt;&gt;""),$K940,SUMIFS(Assumptions!$P$4:$P$103,Assumptions!$M$4:$M$103,$C940,Assumptions!$N$4:$N$103,$E940,Assumptions!$O$4:$O$103,"LVN"))</f>
        <v/>
      </c>
      <c r="M940" s="23" t="n"/>
      <c r="N940" s="25">
        <f>IF(AND(IF($H947&lt;&gt;"",$H947,$H940)="override",$M940&lt;&gt;""),$M940,SUMIFS(Assumptions!$P$4:$P$103,Assumptions!$M$4:$M$103,$C940,Assumptions!$N$4:$N$103,$E940,Assumptions!$O$4:$O$103,"HVN"))</f>
        <v/>
      </c>
      <c r="O940" s="25">
        <f>(L940+N940)*Assumptions!$S$11</f>
        <v/>
      </c>
      <c r="P940" s="26">
        <f>$F940*$J940*$O940</f>
        <v/>
      </c>
    </row>
    <row r="941">
      <c r="A941" s="11" t="inlineStr">
        <is>
          <t>UNIT</t>
        </is>
      </c>
      <c r="B941" s="18" t="inlineStr">
        <is>
          <t>PBF_TORRANCE</t>
        </is>
      </c>
      <c r="C941" s="18" t="n">
        <v>5</v>
      </c>
      <c r="D941" s="18" t="inlineStr">
        <is>
          <t>FCC</t>
        </is>
      </c>
      <c r="E941" s="18" t="inlineStr">
        <is>
          <t>FCC</t>
        </is>
      </c>
      <c r="F941" s="19" t="n">
        <v>90</v>
      </c>
      <c r="G941" s="21">
        <f>IFERROR(IF(INDEX(Effective!$E$3:$R$125,MATCH($B941,Effective!$A$3:$A$125,0),MATCH($D941,Effective!$E$2:$R$2,0))=0,"",INDEX(Effective!$E$3:$R$125,MATCH($B941,Effective!$A$3:$A$125,0),MATCH($D941,Effective!$E$2:$R$2,0))),"")</f>
        <v/>
      </c>
      <c r="H941" s="22" t="inlineStr">
        <is>
          <t>override</t>
        </is>
      </c>
      <c r="I941" s="23" t="n">
        <v>0.407</v>
      </c>
      <c r="J941" s="24">
        <f>IF(AND(IF($H947&lt;&gt;"",$H947,$H941)="override",$I941&lt;&gt;""),$I941,SUMIFS(Assumptions!$K$4:$K$8,Assumptions!$J$4:$J$8,$C941))*Assumptions!$S$10</f>
        <v/>
      </c>
      <c r="K941" s="23" t="n"/>
      <c r="L941" s="25">
        <f>IF(AND(IF($H947&lt;&gt;"",$H947,$H941)="override",$K941&lt;&gt;""),$K941,SUMIFS(Assumptions!$P$4:$P$103,Assumptions!$M$4:$M$103,$C941,Assumptions!$N$4:$N$103,$E941,Assumptions!$O$4:$O$103,"LVN"))</f>
        <v/>
      </c>
      <c r="M941" s="23" t="n"/>
      <c r="N941" s="25">
        <f>IF(AND(IF($H947&lt;&gt;"",$H947,$H941)="override",$M941&lt;&gt;""),$M941,SUMIFS(Assumptions!$P$4:$P$103,Assumptions!$M$4:$M$103,$C941,Assumptions!$N$4:$N$103,$E941,Assumptions!$O$4:$O$103,"HVN"))</f>
        <v/>
      </c>
      <c r="O941" s="25">
        <f>(L941+N941)*Assumptions!$S$11</f>
        <v/>
      </c>
      <c r="P941" s="26">
        <f>$F941*$J941*$O941</f>
        <v/>
      </c>
    </row>
    <row r="942">
      <c r="A942" s="11" t="inlineStr">
        <is>
          <t>UNIT</t>
        </is>
      </c>
      <c r="B942" s="18" t="inlineStr">
        <is>
          <t>PBF_TORRANCE</t>
        </is>
      </c>
      <c r="C942" s="18" t="n">
        <v>5</v>
      </c>
      <c r="D942" s="18" t="inlineStr">
        <is>
          <t>DHCU</t>
        </is>
      </c>
      <c r="E942" s="18" t="inlineStr">
        <is>
          <t>HYDROCRACKER</t>
        </is>
      </c>
      <c r="F942" s="19" t="n">
        <v>28.3</v>
      </c>
      <c r="G942" s="21">
        <f>IFERROR(IF(INDEX(Effective!$E$3:$R$125,MATCH($B942,Effective!$A$3:$A$125,0),MATCH($D942,Effective!$E$2:$R$2,0))=0,"",INDEX(Effective!$E$3:$R$125,MATCH($B942,Effective!$A$3:$A$125,0),MATCH($D942,Effective!$E$2:$R$2,0))),"")</f>
        <v/>
      </c>
      <c r="H942" s="22" t="inlineStr">
        <is>
          <t>override</t>
        </is>
      </c>
      <c r="I942" s="23" t="n">
        <v>0.978</v>
      </c>
      <c r="J942" s="24">
        <f>IF(AND(IF($H947&lt;&gt;"",$H947,$H942)="override",$I942&lt;&gt;""),$I942,SUMIFS(Assumptions!$K$4:$K$8,Assumptions!$J$4:$J$8,$C942))*Assumptions!$S$10</f>
        <v/>
      </c>
      <c r="K942" s="23" t="n"/>
      <c r="L942" s="25">
        <f>IF(AND(IF($H947&lt;&gt;"",$H947,$H942)="override",$K942&lt;&gt;""),$K942,SUMIFS(Assumptions!$P$4:$P$103,Assumptions!$M$4:$M$103,$C942,Assumptions!$N$4:$N$103,$E942,Assumptions!$O$4:$O$103,"LVN"))</f>
        <v/>
      </c>
      <c r="M942" s="23" t="n"/>
      <c r="N942" s="25">
        <f>IF(AND(IF($H947&lt;&gt;"",$H947,$H942)="override",$M942&lt;&gt;""),$M942,SUMIFS(Assumptions!$P$4:$P$103,Assumptions!$M$4:$M$103,$C942,Assumptions!$N$4:$N$103,$E942,Assumptions!$O$4:$O$103,"HVN"))</f>
        <v/>
      </c>
      <c r="O942" s="25">
        <f>(L942+N942)*Assumptions!$S$11</f>
        <v/>
      </c>
      <c r="P942" s="26">
        <f>$F942*$J942*$O942</f>
        <v/>
      </c>
    </row>
    <row r="943">
      <c r="A943" s="11" t="inlineStr">
        <is>
          <t>UNIT</t>
        </is>
      </c>
      <c r="B943" s="18" t="inlineStr">
        <is>
          <t>PBF_TORRANCE</t>
        </is>
      </c>
      <c r="C943" s="18" t="n">
        <v>5</v>
      </c>
      <c r="D943" s="18" t="inlineStr">
        <is>
          <t>COKER</t>
        </is>
      </c>
      <c r="E943" s="18" t="inlineStr">
        <is>
          <t>COKER</t>
        </is>
      </c>
      <c r="F943" s="19" t="n">
        <v>62</v>
      </c>
      <c r="G943" s="21">
        <f>IFERROR(IF(INDEX(Effective!$E$3:$R$125,MATCH($B943,Effective!$A$3:$A$125,0),MATCH($D943,Effective!$E$2:$R$2,0))=0,"",INDEX(Effective!$E$3:$R$125,MATCH($B943,Effective!$A$3:$A$125,0),MATCH($D943,Effective!$E$2:$R$2,0))),"")</f>
        <v/>
      </c>
      <c r="H943" s="22" t="inlineStr">
        <is>
          <t>override</t>
        </is>
      </c>
      <c r="I943" s="23" t="n">
        <v>0.521</v>
      </c>
      <c r="J943" s="24">
        <f>IF(AND(IF($H947&lt;&gt;"",$H947,$H943)="override",$I943&lt;&gt;""),$I943,SUMIFS(Assumptions!$K$4:$K$8,Assumptions!$J$4:$J$8,$C943))*Assumptions!$S$10</f>
        <v/>
      </c>
      <c r="K943" s="23" t="n"/>
      <c r="L943" s="25">
        <f>IF(AND(IF($H947&lt;&gt;"",$H947,$H943)="override",$K943&lt;&gt;""),$K943,SUMIFS(Assumptions!$P$4:$P$103,Assumptions!$M$4:$M$103,$C943,Assumptions!$N$4:$N$103,$E943,Assumptions!$O$4:$O$103,"LVN"))</f>
        <v/>
      </c>
      <c r="M943" s="23" t="n"/>
      <c r="N943" s="25">
        <f>IF(AND(IF($H947&lt;&gt;"",$H947,$H943)="override",$M943&lt;&gt;""),$M943,SUMIFS(Assumptions!$P$4:$P$103,Assumptions!$M$4:$M$103,$C943,Assumptions!$N$4:$N$103,$E943,Assumptions!$O$4:$O$103,"HVN"))</f>
        <v/>
      </c>
      <c r="O943" s="25">
        <f>(L943+N943)*Assumptions!$S$11</f>
        <v/>
      </c>
      <c r="P943" s="26">
        <f>$F943*$J943*$O943</f>
        <v/>
      </c>
    </row>
    <row r="944">
      <c r="A944" s="11" t="inlineStr">
        <is>
          <t>UNIT</t>
        </is>
      </c>
      <c r="B944" s="18" t="inlineStr">
        <is>
          <t>PBF_TORRANCE</t>
        </is>
      </c>
      <c r="C944" s="18" t="n">
        <v>5</v>
      </c>
      <c r="D944" s="18" t="inlineStr">
        <is>
          <t>REF</t>
        </is>
      </c>
      <c r="E944" s="18" t="inlineStr">
        <is>
          <t>REFORMER</t>
        </is>
      </c>
      <c r="F944" s="19" t="n">
        <v>20</v>
      </c>
      <c r="G944" s="21">
        <f>IFERROR(IF(INDEX(Effective!$E$3:$R$125,MATCH($B944,Effective!$A$3:$A$125,0),MATCH($D944,Effective!$E$2:$R$2,0))=0,"",INDEX(Effective!$E$3:$R$125,MATCH($B944,Effective!$A$3:$A$125,0),MATCH($D944,Effective!$E$2:$R$2,0))),"")</f>
        <v/>
      </c>
      <c r="H944" s="22" t="inlineStr">
        <is>
          <t>override</t>
        </is>
      </c>
      <c r="I944" s="23" t="n">
        <v>0.99</v>
      </c>
      <c r="J944" s="24">
        <f>IF(AND(IF($H947&lt;&gt;"",$H947,$H944)="override",$I944&lt;&gt;""),$I944,SUMIFS(Assumptions!$K$4:$K$8,Assumptions!$J$4:$J$8,$C944))*Assumptions!$S$10</f>
        <v/>
      </c>
      <c r="K944" s="23" t="n"/>
      <c r="L944" s="25">
        <f>IF(AND(IF($H947&lt;&gt;"",$H947,$H944)="override",$K944&lt;&gt;""),$K944,SUMIFS(Assumptions!$P$4:$P$103,Assumptions!$M$4:$M$103,$C944,Assumptions!$N$4:$N$103,$E944,Assumptions!$O$4:$O$103,"LVN"))</f>
        <v/>
      </c>
      <c r="M944" s="23" t="n"/>
      <c r="N944" s="25">
        <f>IF(AND(IF($H947&lt;&gt;"",$H947,$H944)="override",$M944&lt;&gt;""),$M944,SUMIFS(Assumptions!$P$4:$P$103,Assumptions!$M$4:$M$103,$C944,Assumptions!$N$4:$N$103,$E944,Assumptions!$O$4:$O$103,"HVN"))</f>
        <v/>
      </c>
      <c r="O944" s="25">
        <f>(L944+N944)*Assumptions!$S$11</f>
        <v/>
      </c>
      <c r="P944" s="26">
        <f>$F944*$J944*$O944</f>
        <v/>
      </c>
    </row>
    <row r="945">
      <c r="A945" s="11" t="inlineStr">
        <is>
          <t>UNIT</t>
        </is>
      </c>
      <c r="B945" s="18" t="inlineStr">
        <is>
          <t>PBF_TORRANCE</t>
        </is>
      </c>
      <c r="C945" s="18" t="n">
        <v>5</v>
      </c>
      <c r="D945" s="18" t="inlineStr">
        <is>
          <t>ALKY</t>
        </is>
      </c>
      <c r="E945" s="18" t="inlineStr">
        <is>
          <t>ALKY</t>
        </is>
      </c>
      <c r="F945" s="19" t="n">
        <v>30</v>
      </c>
      <c r="G945" s="21">
        <f>IFERROR(IF(INDEX(Effective!$E$3:$R$125,MATCH($B945,Effective!$A$3:$A$125,0),MATCH($D945,Effective!$E$2:$R$2,0))=0,"",INDEX(Effective!$E$3:$R$125,MATCH($B945,Effective!$A$3:$A$125,0),MATCH($D945,Effective!$E$2:$R$2,0))),"")</f>
        <v/>
      </c>
      <c r="H945" s="22" t="inlineStr">
        <is>
          <t>override</t>
        </is>
      </c>
      <c r="I945" s="23" t="n">
        <v>0.39</v>
      </c>
      <c r="J945" s="24">
        <f>IF(AND(IF($H947&lt;&gt;"",$H947,$H945)="override",$I945&lt;&gt;""),$I945,SUMIFS(Assumptions!$K$4:$K$8,Assumptions!$J$4:$J$8,$C945))*Assumptions!$S$10</f>
        <v/>
      </c>
      <c r="K945" s="23" t="n"/>
      <c r="L945" s="25">
        <f>IF(AND(IF($H947&lt;&gt;"",$H947,$H945)="override",$K945&lt;&gt;""),$K945,SUMIFS(Assumptions!$P$4:$P$103,Assumptions!$M$4:$M$103,$C945,Assumptions!$N$4:$N$103,$E945,Assumptions!$O$4:$O$103,"LVN"))</f>
        <v/>
      </c>
      <c r="M945" s="23" t="n"/>
      <c r="N945" s="25">
        <f>IF(AND(IF($H947&lt;&gt;"",$H947,$H945)="override",$M945&lt;&gt;""),$M945,SUMIFS(Assumptions!$P$4:$P$103,Assumptions!$M$4:$M$103,$C945,Assumptions!$N$4:$N$103,$E945,Assumptions!$O$4:$O$103,"HVN"))</f>
        <v/>
      </c>
      <c r="O945" s="25">
        <f>(L945+N945)*Assumptions!$S$11</f>
        <v/>
      </c>
      <c r="P945" s="26">
        <f>$F945*$J945*$O945</f>
        <v/>
      </c>
    </row>
    <row r="946">
      <c r="A946" s="11" t="inlineStr">
        <is>
          <t>UNIT</t>
        </is>
      </c>
      <c r="B946" s="18" t="inlineStr">
        <is>
          <t>PBF_TORRANCE</t>
        </is>
      </c>
      <c r="C946" s="18" t="n">
        <v>5</v>
      </c>
      <c r="D946" s="18" t="inlineStr">
        <is>
          <t>NHT</t>
        </is>
      </c>
      <c r="E946" s="18" t="inlineStr">
        <is>
          <t>NHT</t>
        </is>
      </c>
      <c r="F946" s="19" t="n">
        <v>25.3</v>
      </c>
      <c r="G946" s="21">
        <f>IFERROR(IF(INDEX(Effective!$E$3:$R$125,MATCH($B946,Effective!$A$3:$A$125,0),MATCH($D946,Effective!$E$2:$R$2,0))=0,"",INDEX(Effective!$E$3:$R$125,MATCH($B946,Effective!$A$3:$A$125,0),MATCH($D946,Effective!$E$2:$R$2,0))),"")</f>
        <v/>
      </c>
      <c r="H946" s="22" t="inlineStr">
        <is>
          <t>override</t>
        </is>
      </c>
      <c r="I946" s="23" t="n">
        <v>0.881</v>
      </c>
      <c r="J946" s="24">
        <f>IF(AND(IF($H947&lt;&gt;"",$H947,$H946)="override",$I946&lt;&gt;""),$I946,SUMIFS(Assumptions!$K$4:$K$8,Assumptions!$J$4:$J$8,$C946))*Assumptions!$S$10</f>
        <v/>
      </c>
      <c r="K946" s="23" t="n"/>
      <c r="L946" s="25">
        <f>IF(AND(IF($H947&lt;&gt;"",$H947,$H946)="override",$K946&lt;&gt;""),$K946,SUMIFS(Assumptions!$P$4:$P$103,Assumptions!$M$4:$M$103,$C946,Assumptions!$N$4:$N$103,$E946,Assumptions!$O$4:$O$103,"LVN"))</f>
        <v/>
      </c>
      <c r="M946" s="23" t="n"/>
      <c r="N946" s="25">
        <f>IF(AND(IF($H947&lt;&gt;"",$H947,$H946)="override",$M946&lt;&gt;""),$M946,SUMIFS(Assumptions!$P$4:$P$103,Assumptions!$M$4:$M$103,$C946,Assumptions!$N$4:$N$103,$E946,Assumptions!$O$4:$O$103,"HVN"))</f>
        <v/>
      </c>
      <c r="O946" s="25">
        <f>(L946+N946)*Assumptions!$S$11</f>
        <v/>
      </c>
      <c r="P946" s="26">
        <f>$F946*$J946*$O946</f>
        <v/>
      </c>
    </row>
    <row r="947">
      <c r="A947" s="27" t="inlineStr">
        <is>
          <t>TOTAL</t>
        </is>
      </c>
      <c r="B947" s="28" t="inlineStr">
        <is>
          <t>PBF_TORRANCE</t>
        </is>
      </c>
      <c r="C947" s="28" t="n">
        <v>5</v>
      </c>
      <c r="D947" s="28" t="inlineStr">
        <is>
          <t>NET NAPHTHA</t>
        </is>
      </c>
      <c r="H947" s="22" t="n"/>
      <c r="P947" s="29">
        <f>SUM(P939:P946)</f>
        <v/>
      </c>
    </row>
    <row r="949" ht="20" customHeight="1">
      <c r="A949" s="8">
        <f>"  PBF Energy Company LLC Martinez  [PBF_MARTINEZ]   —   PBF Energy Company LLC   —   PADD 5   —   crude "&amp;TEXT(SUMIFS(Data!$G$3:$G$125,Data!$A$3:$A$125,"PBF_MARTINEZ"),"#,##0")&amp;" kbd"</f>
        <v/>
      </c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</row>
    <row r="950">
      <c r="A950" s="11" t="inlineStr">
        <is>
          <t>UNIT</t>
        </is>
      </c>
      <c r="B950" s="18" t="inlineStr">
        <is>
          <t>PBF_MARTINEZ</t>
        </is>
      </c>
      <c r="C950" s="18" t="n">
        <v>5</v>
      </c>
      <c r="D950" s="18" t="inlineStr">
        <is>
          <t>CDU</t>
        </is>
      </c>
      <c r="E950" s="18" t="inlineStr">
        <is>
          <t>CDU</t>
        </is>
      </c>
      <c r="F950" s="19" t="n">
        <v>157</v>
      </c>
      <c r="G950" s="21">
        <f>IFERROR(IF(INDEX(Effective!$E$3:$R$125,MATCH($B950,Effective!$A$3:$A$125,0),MATCH($D950,Effective!$E$2:$R$2,0))=0,"",INDEX(Effective!$E$3:$R$125,MATCH($B950,Effective!$A$3:$A$125,0),MATCH($D950,Effective!$E$2:$R$2,0))),"")</f>
        <v/>
      </c>
      <c r="H950" s="22" t="inlineStr">
        <is>
          <t>override</t>
        </is>
      </c>
      <c r="I950" s="23" t="n">
        <v>0.78</v>
      </c>
      <c r="J950" s="24">
        <f>IF(AND(IF($H960&lt;&gt;"",$H960,$H950)="override",$I950&lt;&gt;""),$I950,SUMIFS(Assumptions!$K$4:$K$8,Assumptions!$J$4:$J$8,$C950))*Assumptions!$S$10</f>
        <v/>
      </c>
      <c r="K950" s="23" t="n"/>
      <c r="L950" s="25">
        <f>IF(AND(IF($H960&lt;&gt;"",$H960,$H950)="override",$K950&lt;&gt;""),$K950,SUMIFS(Assumptions!$P$4:$P$103,Assumptions!$M$4:$M$103,$C950,Assumptions!$N$4:$N$103,$E950,Assumptions!$O$4:$O$103,"LVN"))</f>
        <v/>
      </c>
      <c r="M950" s="23" t="n"/>
      <c r="N950" s="25">
        <f>IF(AND(IF($H960&lt;&gt;"",$H960,$H950)="override",$M950&lt;&gt;""),$M950,SUMIFS(Assumptions!$P$4:$P$103,Assumptions!$M$4:$M$103,$C950,Assumptions!$N$4:$N$103,$E950,Assumptions!$O$4:$O$103,"HVN"))</f>
        <v/>
      </c>
      <c r="O950" s="25">
        <f>(L950+N950)*Assumptions!$S$11</f>
        <v/>
      </c>
      <c r="P950" s="26">
        <f>$F950*$J950*$O950</f>
        <v/>
      </c>
    </row>
    <row r="951">
      <c r="A951" s="11" t="inlineStr">
        <is>
          <t>UNIT</t>
        </is>
      </c>
      <c r="B951" s="18" t="inlineStr">
        <is>
          <t>PBF_MARTINEZ</t>
        </is>
      </c>
      <c r="C951" s="18" t="n">
        <v>5</v>
      </c>
      <c r="D951" s="18" t="inlineStr">
        <is>
          <t>VDU</t>
        </is>
      </c>
      <c r="E951" s="18" t="inlineStr">
        <is>
          <t>VDU</t>
        </is>
      </c>
      <c r="F951" s="19" t="n">
        <v>101</v>
      </c>
      <c r="G951" s="21">
        <f>IFERROR(IF(INDEX(Effective!$E$3:$R$125,MATCH($B951,Effective!$A$3:$A$125,0),MATCH($D951,Effective!$E$2:$R$2,0))=0,"",INDEX(Effective!$E$3:$R$125,MATCH($B951,Effective!$A$3:$A$125,0),MATCH($D951,Effective!$E$2:$R$2,0))),"")</f>
        <v/>
      </c>
      <c r="H951" s="22" t="inlineStr">
        <is>
          <t>override</t>
        </is>
      </c>
      <c r="I951" s="23" t="n">
        <v>0.543</v>
      </c>
      <c r="J951" s="24">
        <f>IF(AND(IF($H960&lt;&gt;"",$H960,$H951)="override",$I951&lt;&gt;""),$I951,SUMIFS(Assumptions!$K$4:$K$8,Assumptions!$J$4:$J$8,$C951))*Assumptions!$S$10</f>
        <v/>
      </c>
      <c r="K951" s="23" t="n"/>
      <c r="L951" s="25">
        <f>IF(AND(IF($H960&lt;&gt;"",$H960,$H951)="override",$K951&lt;&gt;""),$K951,SUMIFS(Assumptions!$P$4:$P$103,Assumptions!$M$4:$M$103,$C951,Assumptions!$N$4:$N$103,$E951,Assumptions!$O$4:$O$103,"LVN"))</f>
        <v/>
      </c>
      <c r="M951" s="23" t="n"/>
      <c r="N951" s="25">
        <f>IF(AND(IF($H960&lt;&gt;"",$H960,$H951)="override",$M951&lt;&gt;""),$M951,SUMIFS(Assumptions!$P$4:$P$103,Assumptions!$M$4:$M$103,$C951,Assumptions!$N$4:$N$103,$E951,Assumptions!$O$4:$O$103,"HVN"))</f>
        <v/>
      </c>
      <c r="O951" s="25">
        <f>(L951+N951)*Assumptions!$S$11</f>
        <v/>
      </c>
      <c r="P951" s="26">
        <f>$F951*$J951*$O951</f>
        <v/>
      </c>
    </row>
    <row r="952">
      <c r="A952" s="11" t="inlineStr">
        <is>
          <t>UNIT</t>
        </is>
      </c>
      <c r="B952" s="18" t="inlineStr">
        <is>
          <t>PBF_MARTINEZ</t>
        </is>
      </c>
      <c r="C952" s="18" t="n">
        <v>5</v>
      </c>
      <c r="D952" s="18" t="inlineStr">
        <is>
          <t>FCC</t>
        </is>
      </c>
      <c r="E952" s="18" t="inlineStr">
        <is>
          <t>FCC</t>
        </is>
      </c>
      <c r="F952" s="19" t="n">
        <v>72</v>
      </c>
      <c r="G952" s="21">
        <f>IFERROR(IF(INDEX(Effective!$E$3:$R$125,MATCH($B952,Effective!$A$3:$A$125,0),MATCH($D952,Effective!$E$2:$R$2,0))=0,"",INDEX(Effective!$E$3:$R$125,MATCH($B952,Effective!$A$3:$A$125,0),MATCH($D952,Effective!$E$2:$R$2,0))),"")</f>
        <v/>
      </c>
      <c r="H952" s="22" t="inlineStr">
        <is>
          <t>override</t>
        </is>
      </c>
      <c r="I952" s="23" t="n">
        <v>0.776</v>
      </c>
      <c r="J952" s="24">
        <f>IF(AND(IF($H960&lt;&gt;"",$H960,$H952)="override",$I952&lt;&gt;""),$I952,SUMIFS(Assumptions!$K$4:$K$8,Assumptions!$J$4:$J$8,$C952))*Assumptions!$S$10</f>
        <v/>
      </c>
      <c r="K952" s="23" t="n"/>
      <c r="L952" s="25">
        <f>IF(AND(IF($H960&lt;&gt;"",$H960,$H952)="override",$K952&lt;&gt;""),$K952,SUMIFS(Assumptions!$P$4:$P$103,Assumptions!$M$4:$M$103,$C952,Assumptions!$N$4:$N$103,$E952,Assumptions!$O$4:$O$103,"LVN"))</f>
        <v/>
      </c>
      <c r="M952" s="23" t="n"/>
      <c r="N952" s="25">
        <f>IF(AND(IF($H960&lt;&gt;"",$H960,$H952)="override",$M952&lt;&gt;""),$M952,SUMIFS(Assumptions!$P$4:$P$103,Assumptions!$M$4:$M$103,$C952,Assumptions!$N$4:$N$103,$E952,Assumptions!$O$4:$O$103,"HVN"))</f>
        <v/>
      </c>
      <c r="O952" s="25">
        <f>(L952+N952)*Assumptions!$S$11</f>
        <v/>
      </c>
      <c r="P952" s="26">
        <f>$F952*$J952*$O952</f>
        <v/>
      </c>
    </row>
    <row r="953">
      <c r="A953" s="11" t="inlineStr">
        <is>
          <t>UNIT</t>
        </is>
      </c>
      <c r="B953" s="18" t="inlineStr">
        <is>
          <t>PBF_MARTINEZ</t>
        </is>
      </c>
      <c r="C953" s="18" t="n">
        <v>5</v>
      </c>
      <c r="D953" s="18" t="inlineStr">
        <is>
          <t>DHCU</t>
        </is>
      </c>
      <c r="E953" s="18" t="inlineStr">
        <is>
          <t>HYDROCRACKER</t>
        </is>
      </c>
      <c r="F953" s="19" t="n">
        <v>42.9</v>
      </c>
      <c r="G953" s="21">
        <f>IFERROR(IF(INDEX(Effective!$E$3:$R$125,MATCH($B953,Effective!$A$3:$A$125,0),MATCH($D953,Effective!$E$2:$R$2,0))=0,"",INDEX(Effective!$E$3:$R$125,MATCH($B953,Effective!$A$3:$A$125,0),MATCH($D953,Effective!$E$2:$R$2,0))),"")</f>
        <v/>
      </c>
      <c r="H953" s="22" t="inlineStr">
        <is>
          <t>override</t>
        </is>
      </c>
      <c r="I953" s="23" t="n">
        <v>0.604</v>
      </c>
      <c r="J953" s="24">
        <f>IF(AND(IF($H960&lt;&gt;"",$H960,$H953)="override",$I953&lt;&gt;""),$I953,SUMIFS(Assumptions!$K$4:$K$8,Assumptions!$J$4:$J$8,$C953))*Assumptions!$S$10</f>
        <v/>
      </c>
      <c r="K953" s="23" t="n"/>
      <c r="L953" s="25">
        <f>IF(AND(IF($H960&lt;&gt;"",$H960,$H953)="override",$K953&lt;&gt;""),$K953,SUMIFS(Assumptions!$P$4:$P$103,Assumptions!$M$4:$M$103,$C953,Assumptions!$N$4:$N$103,$E953,Assumptions!$O$4:$O$103,"LVN"))</f>
        <v/>
      </c>
      <c r="M953" s="23" t="n"/>
      <c r="N953" s="25">
        <f>IF(AND(IF($H960&lt;&gt;"",$H960,$H953)="override",$M953&lt;&gt;""),$M953,SUMIFS(Assumptions!$P$4:$P$103,Assumptions!$M$4:$M$103,$C953,Assumptions!$N$4:$N$103,$E953,Assumptions!$O$4:$O$103,"HVN"))</f>
        <v/>
      </c>
      <c r="O953" s="25">
        <f>(L953+N953)*Assumptions!$S$11</f>
        <v/>
      </c>
      <c r="P953" s="26">
        <f>$F953*$J953*$O953</f>
        <v/>
      </c>
    </row>
    <row r="954">
      <c r="A954" s="11" t="inlineStr">
        <is>
          <t>UNIT</t>
        </is>
      </c>
      <c r="B954" s="18" t="inlineStr">
        <is>
          <t>PBF_MARTINEZ</t>
        </is>
      </c>
      <c r="C954" s="18" t="n">
        <v>5</v>
      </c>
      <c r="D954" s="18" t="inlineStr">
        <is>
          <t>COKER</t>
        </is>
      </c>
      <c r="E954" s="18" t="inlineStr">
        <is>
          <t>COKER</t>
        </is>
      </c>
      <c r="F954" s="19" t="n">
        <v>26.8</v>
      </c>
      <c r="G954" s="21">
        <f>IFERROR(IF(INDEX(Effective!$E$3:$R$125,MATCH($B954,Effective!$A$3:$A$125,0),MATCH($D954,Effective!$E$2:$R$2,0))=0,"",INDEX(Effective!$E$3:$R$125,MATCH($B954,Effective!$A$3:$A$125,0),MATCH($D954,Effective!$E$2:$R$2,0))),"")</f>
        <v/>
      </c>
      <c r="H954" s="22" t="inlineStr">
        <is>
          <t>override</t>
        </is>
      </c>
      <c r="I954" s="23" t="n">
        <v>0.597</v>
      </c>
      <c r="J954" s="24">
        <f>IF(AND(IF($H960&lt;&gt;"",$H960,$H954)="override",$I954&lt;&gt;""),$I954,SUMIFS(Assumptions!$K$4:$K$8,Assumptions!$J$4:$J$8,$C954))*Assumptions!$S$10</f>
        <v/>
      </c>
      <c r="K954" s="23" t="n"/>
      <c r="L954" s="25">
        <f>IF(AND(IF($H960&lt;&gt;"",$H960,$H954)="override",$K954&lt;&gt;""),$K954,SUMIFS(Assumptions!$P$4:$P$103,Assumptions!$M$4:$M$103,$C954,Assumptions!$N$4:$N$103,$E954,Assumptions!$O$4:$O$103,"LVN"))</f>
        <v/>
      </c>
      <c r="M954" s="23" t="n"/>
      <c r="N954" s="25">
        <f>IF(AND(IF($H960&lt;&gt;"",$H960,$H954)="override",$M954&lt;&gt;""),$M954,SUMIFS(Assumptions!$P$4:$P$103,Assumptions!$M$4:$M$103,$C954,Assumptions!$N$4:$N$103,$E954,Assumptions!$O$4:$O$103,"HVN"))</f>
        <v/>
      </c>
      <c r="O954" s="25">
        <f>(L954+N954)*Assumptions!$S$11</f>
        <v/>
      </c>
      <c r="P954" s="26">
        <f>$F954*$J954*$O954</f>
        <v/>
      </c>
    </row>
    <row r="955">
      <c r="A955" s="11" t="inlineStr">
        <is>
          <t>UNIT</t>
        </is>
      </c>
      <c r="B955" s="18" t="inlineStr">
        <is>
          <t>PBF_MARTINEZ</t>
        </is>
      </c>
      <c r="C955" s="18" t="n">
        <v>5</v>
      </c>
      <c r="D955" s="18" t="inlineStr">
        <is>
          <t>FCOKER</t>
        </is>
      </c>
      <c r="E955" s="18" t="inlineStr">
        <is>
          <t>COKER</t>
        </is>
      </c>
      <c r="F955" s="19" t="n">
        <v>22.5</v>
      </c>
      <c r="G955" s="21">
        <f>IFERROR(IF(INDEX(Effective!$E$3:$R$125,MATCH($B955,Effective!$A$3:$A$125,0),MATCH($D955,Effective!$E$2:$R$2,0))=0,"",INDEX(Effective!$E$3:$R$125,MATCH($B955,Effective!$A$3:$A$125,0),MATCH($D955,Effective!$E$2:$R$2,0))),"")</f>
        <v/>
      </c>
      <c r="H955" s="22" t="inlineStr">
        <is>
          <t>override</t>
        </is>
      </c>
      <c r="I955" s="23" t="n">
        <v>0.257</v>
      </c>
      <c r="J955" s="24">
        <f>IF(AND(IF($H960&lt;&gt;"",$H960,$H955)="override",$I955&lt;&gt;""),$I955,SUMIFS(Assumptions!$K$4:$K$8,Assumptions!$J$4:$J$8,$C955))*Assumptions!$S$10</f>
        <v/>
      </c>
      <c r="K955" s="23" t="n"/>
      <c r="L955" s="25">
        <f>IF(AND(IF($H960&lt;&gt;"",$H960,$H955)="override",$K955&lt;&gt;""),$K955,SUMIFS(Assumptions!$P$4:$P$103,Assumptions!$M$4:$M$103,$C955,Assumptions!$N$4:$N$103,$E955,Assumptions!$O$4:$O$103,"LVN"))</f>
        <v/>
      </c>
      <c r="M955" s="23" t="n"/>
      <c r="N955" s="25">
        <f>IF(AND(IF($H960&lt;&gt;"",$H960,$H955)="override",$M955&lt;&gt;""),$M955,SUMIFS(Assumptions!$P$4:$P$103,Assumptions!$M$4:$M$103,$C955,Assumptions!$N$4:$N$103,$E955,Assumptions!$O$4:$O$103,"HVN"))</f>
        <v/>
      </c>
      <c r="O955" s="25">
        <f>(L955+N955)*Assumptions!$S$11</f>
        <v/>
      </c>
      <c r="P955" s="26">
        <f>$F955*$J955*$O955</f>
        <v/>
      </c>
    </row>
    <row r="956">
      <c r="A956" s="11" t="inlineStr">
        <is>
          <t>UNIT</t>
        </is>
      </c>
      <c r="B956" s="18" t="inlineStr">
        <is>
          <t>PBF_MARTINEZ</t>
        </is>
      </c>
      <c r="C956" s="18" t="n">
        <v>5</v>
      </c>
      <c r="D956" s="18" t="inlineStr">
        <is>
          <t>CCR</t>
        </is>
      </c>
      <c r="E956" s="18" t="inlineStr">
        <is>
          <t>REFORMER</t>
        </is>
      </c>
      <c r="F956" s="19" t="n">
        <v>31</v>
      </c>
      <c r="G956" s="21">
        <f>IFERROR(IF(INDEX(Effective!$E$3:$R$125,MATCH($B956,Effective!$A$3:$A$125,0),MATCH($D956,Effective!$E$2:$R$2,0))=0,"",INDEX(Effective!$E$3:$R$125,MATCH($B956,Effective!$A$3:$A$125,0),MATCH($D956,Effective!$E$2:$R$2,0))),"")</f>
        <v/>
      </c>
      <c r="H956" s="22" t="inlineStr">
        <is>
          <t>override</t>
        </is>
      </c>
      <c r="I956" s="23" t="n">
        <v>0.995</v>
      </c>
      <c r="J956" s="24">
        <f>IF(AND(IF($H960&lt;&gt;"",$H960,$H956)="override",$I956&lt;&gt;""),$I956,SUMIFS(Assumptions!$K$4:$K$8,Assumptions!$J$4:$J$8,$C956))*Assumptions!$S$10</f>
        <v/>
      </c>
      <c r="K956" s="23" t="n"/>
      <c r="L956" s="25">
        <f>IF(AND(IF($H960&lt;&gt;"",$H960,$H956)="override",$K956&lt;&gt;""),$K956,SUMIFS(Assumptions!$P$4:$P$103,Assumptions!$M$4:$M$103,$C956,Assumptions!$N$4:$N$103,$E956,Assumptions!$O$4:$O$103,"LVN"))</f>
        <v/>
      </c>
      <c r="M956" s="23" t="n"/>
      <c r="N956" s="25">
        <f>IF(AND(IF($H960&lt;&gt;"",$H960,$H956)="override",$M956&lt;&gt;""),$M956,SUMIFS(Assumptions!$P$4:$P$103,Assumptions!$M$4:$M$103,$C956,Assumptions!$N$4:$N$103,$E956,Assumptions!$O$4:$O$103,"HVN"))</f>
        <v/>
      </c>
      <c r="O956" s="25">
        <f>(L956+N956)*Assumptions!$S$11</f>
        <v/>
      </c>
      <c r="P956" s="26">
        <f>$F956*$J956*$O956</f>
        <v/>
      </c>
    </row>
    <row r="957">
      <c r="A957" s="11" t="inlineStr">
        <is>
          <t>UNIT</t>
        </is>
      </c>
      <c r="B957" s="18" t="inlineStr">
        <is>
          <t>PBF_MARTINEZ</t>
        </is>
      </c>
      <c r="C957" s="18" t="n">
        <v>5</v>
      </c>
      <c r="D957" s="18" t="inlineStr">
        <is>
          <t>ISOM</t>
        </is>
      </c>
      <c r="E957" s="18" t="inlineStr">
        <is>
          <t>ISOM</t>
        </is>
      </c>
      <c r="F957" s="19" t="n">
        <v>15</v>
      </c>
      <c r="G957" s="21">
        <f>IFERROR(IF(INDEX(Effective!$E$3:$R$125,MATCH($B957,Effective!$A$3:$A$125,0),MATCH($D957,Effective!$E$2:$R$2,0))=0,"",INDEX(Effective!$E$3:$R$125,MATCH($B957,Effective!$A$3:$A$125,0),MATCH($D957,Effective!$E$2:$R$2,0))),"")</f>
        <v/>
      </c>
      <c r="H957" s="22" t="inlineStr">
        <is>
          <t>override</t>
        </is>
      </c>
      <c r="I957" s="23" t="n">
        <v>0.495</v>
      </c>
      <c r="J957" s="24">
        <f>IF(AND(IF($H960&lt;&gt;"",$H960,$H957)="override",$I957&lt;&gt;""),$I957,SUMIFS(Assumptions!$K$4:$K$8,Assumptions!$J$4:$J$8,$C957))*Assumptions!$S$10</f>
        <v/>
      </c>
      <c r="K957" s="23" t="n"/>
      <c r="L957" s="25">
        <f>IF(AND(IF($H960&lt;&gt;"",$H960,$H957)="override",$K957&lt;&gt;""),$K957,SUMIFS(Assumptions!$P$4:$P$103,Assumptions!$M$4:$M$103,$C957,Assumptions!$N$4:$N$103,$E957,Assumptions!$O$4:$O$103,"LVN"))</f>
        <v/>
      </c>
      <c r="M957" s="23" t="n"/>
      <c r="N957" s="25">
        <f>IF(AND(IF($H960&lt;&gt;"",$H960,$H957)="override",$M957&lt;&gt;""),$M957,SUMIFS(Assumptions!$P$4:$P$103,Assumptions!$M$4:$M$103,$C957,Assumptions!$N$4:$N$103,$E957,Assumptions!$O$4:$O$103,"HVN"))</f>
        <v/>
      </c>
      <c r="O957" s="25">
        <f>(L957+N957)*Assumptions!$S$11</f>
        <v/>
      </c>
      <c r="P957" s="26">
        <f>$F957*$J957*$O957</f>
        <v/>
      </c>
    </row>
    <row r="958">
      <c r="A958" s="11" t="inlineStr">
        <is>
          <t>UNIT</t>
        </is>
      </c>
      <c r="B958" s="18" t="inlineStr">
        <is>
          <t>PBF_MARTINEZ</t>
        </is>
      </c>
      <c r="C958" s="18" t="n">
        <v>5</v>
      </c>
      <c r="D958" s="18" t="inlineStr">
        <is>
          <t>ALKY</t>
        </is>
      </c>
      <c r="E958" s="18" t="inlineStr">
        <is>
          <t>ALKY</t>
        </is>
      </c>
      <c r="F958" s="19" t="n">
        <v>12.8</v>
      </c>
      <c r="G958" s="21">
        <f>IFERROR(IF(INDEX(Effective!$E$3:$R$125,MATCH($B958,Effective!$A$3:$A$125,0),MATCH($D958,Effective!$E$2:$R$2,0))=0,"",INDEX(Effective!$E$3:$R$125,MATCH($B958,Effective!$A$3:$A$125,0),MATCH($D958,Effective!$E$2:$R$2,0))),"")</f>
        <v/>
      </c>
      <c r="H958" s="22" t="inlineStr">
        <is>
          <t>override</t>
        </is>
      </c>
      <c r="I958" s="23" t="n">
        <v>1.1</v>
      </c>
      <c r="J958" s="24">
        <f>IF(AND(IF($H960&lt;&gt;"",$H960,$H958)="override",$I958&lt;&gt;""),$I958,SUMIFS(Assumptions!$K$4:$K$8,Assumptions!$J$4:$J$8,$C958))*Assumptions!$S$10</f>
        <v/>
      </c>
      <c r="K958" s="23" t="n"/>
      <c r="L958" s="25">
        <f>IF(AND(IF($H960&lt;&gt;"",$H960,$H958)="override",$K958&lt;&gt;""),$K958,SUMIFS(Assumptions!$P$4:$P$103,Assumptions!$M$4:$M$103,$C958,Assumptions!$N$4:$N$103,$E958,Assumptions!$O$4:$O$103,"LVN"))</f>
        <v/>
      </c>
      <c r="M958" s="23" t="n"/>
      <c r="N958" s="25">
        <f>IF(AND(IF($H960&lt;&gt;"",$H960,$H958)="override",$M958&lt;&gt;""),$M958,SUMIFS(Assumptions!$P$4:$P$103,Assumptions!$M$4:$M$103,$C958,Assumptions!$N$4:$N$103,$E958,Assumptions!$O$4:$O$103,"HVN"))</f>
        <v/>
      </c>
      <c r="O958" s="25">
        <f>(L958+N958)*Assumptions!$S$11</f>
        <v/>
      </c>
      <c r="P958" s="26">
        <f>$F958*$J958*$O958</f>
        <v/>
      </c>
    </row>
    <row r="959">
      <c r="A959" s="11" t="inlineStr">
        <is>
          <t>UNIT</t>
        </is>
      </c>
      <c r="B959" s="18" t="inlineStr">
        <is>
          <t>PBF_MARTINEZ</t>
        </is>
      </c>
      <c r="C959" s="18" t="n">
        <v>5</v>
      </c>
      <c r="D959" s="18" t="inlineStr">
        <is>
          <t>NHT</t>
        </is>
      </c>
      <c r="E959" s="18" t="inlineStr">
        <is>
          <t>NHT</t>
        </is>
      </c>
      <c r="F959" s="19" t="n">
        <v>28</v>
      </c>
      <c r="G959" s="21">
        <f>IFERROR(IF(INDEX(Effective!$E$3:$R$125,MATCH($B959,Effective!$A$3:$A$125,0),MATCH($D959,Effective!$E$2:$R$2,0))=0,"",INDEX(Effective!$E$3:$R$125,MATCH($B959,Effective!$A$3:$A$125,0),MATCH($D959,Effective!$E$2:$R$2,0))),"")</f>
        <v/>
      </c>
      <c r="H959" s="22" t="inlineStr">
        <is>
          <t>override</t>
        </is>
      </c>
      <c r="I959" s="23" t="n">
        <v>0.555</v>
      </c>
      <c r="J959" s="24">
        <f>IF(AND(IF($H960&lt;&gt;"",$H960,$H959)="override",$I959&lt;&gt;""),$I959,SUMIFS(Assumptions!$K$4:$K$8,Assumptions!$J$4:$J$8,$C959))*Assumptions!$S$10</f>
        <v/>
      </c>
      <c r="K959" s="23" t="n"/>
      <c r="L959" s="25">
        <f>IF(AND(IF($H960&lt;&gt;"",$H960,$H959)="override",$K959&lt;&gt;""),$K959,SUMIFS(Assumptions!$P$4:$P$103,Assumptions!$M$4:$M$103,$C959,Assumptions!$N$4:$N$103,$E959,Assumptions!$O$4:$O$103,"LVN"))</f>
        <v/>
      </c>
      <c r="M959" s="23" t="n"/>
      <c r="N959" s="25">
        <f>IF(AND(IF($H960&lt;&gt;"",$H960,$H959)="override",$M959&lt;&gt;""),$M959,SUMIFS(Assumptions!$P$4:$P$103,Assumptions!$M$4:$M$103,$C959,Assumptions!$N$4:$N$103,$E959,Assumptions!$O$4:$O$103,"HVN"))</f>
        <v/>
      </c>
      <c r="O959" s="25">
        <f>(L959+N959)*Assumptions!$S$11</f>
        <v/>
      </c>
      <c r="P959" s="26">
        <f>$F959*$J959*$O959</f>
        <v/>
      </c>
    </row>
    <row r="960">
      <c r="A960" s="27" t="inlineStr">
        <is>
          <t>TOTAL</t>
        </is>
      </c>
      <c r="B960" s="28" t="inlineStr">
        <is>
          <t>PBF_MARTINEZ</t>
        </is>
      </c>
      <c r="C960" s="28" t="n">
        <v>5</v>
      </c>
      <c r="D960" s="28" t="inlineStr">
        <is>
          <t>NET NAPHTHA</t>
        </is>
      </c>
      <c r="H960" s="22" t="n"/>
      <c r="P960" s="29">
        <f>SUM(P950:P959)</f>
        <v/>
      </c>
    </row>
    <row r="962" ht="20" customHeight="1">
      <c r="A962" s="8">
        <f>"  HF Sinclair Anacortes  [HF_ANACORTES]   —   HF Sinclair   —   PADD 5   —   crude "&amp;TEXT(SUMIFS(Data!$G$3:$G$125,Data!$A$3:$A$125,"HF_ANACORTES"),"#,##0")&amp;" kbd"</f>
        <v/>
      </c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</row>
    <row r="963">
      <c r="A963" s="11" t="inlineStr">
        <is>
          <t>UNIT</t>
        </is>
      </c>
      <c r="B963" s="18" t="inlineStr">
        <is>
          <t>HF_ANACORTES</t>
        </is>
      </c>
      <c r="C963" s="18" t="n">
        <v>5</v>
      </c>
      <c r="D963" s="18" t="inlineStr">
        <is>
          <t>CDU</t>
        </is>
      </c>
      <c r="E963" s="18" t="inlineStr">
        <is>
          <t>CDU</t>
        </is>
      </c>
      <c r="F963" s="19" t="n">
        <v>149</v>
      </c>
      <c r="G963" s="21">
        <f>IFERROR(IF(INDEX(Effective!$E$3:$R$125,MATCH($B963,Effective!$A$3:$A$125,0),MATCH($D963,Effective!$E$2:$R$2,0))=0,"",INDEX(Effective!$E$3:$R$125,MATCH($B963,Effective!$A$3:$A$125,0),MATCH($D963,Effective!$E$2:$R$2,0))),"")</f>
        <v/>
      </c>
      <c r="H963" s="22" t="inlineStr">
        <is>
          <t>override</t>
        </is>
      </c>
      <c r="I963" s="23" t="n">
        <v>0.65</v>
      </c>
      <c r="J963" s="24">
        <f>IF(AND(IF($H970&lt;&gt;"",$H970,$H963)="override",$I963&lt;&gt;""),$I963,SUMIFS(Assumptions!$K$4:$K$8,Assumptions!$J$4:$J$8,$C963))*Assumptions!$S$10</f>
        <v/>
      </c>
      <c r="K963" s="23" t="n"/>
      <c r="L963" s="25">
        <f>IF(AND(IF($H970&lt;&gt;"",$H970,$H963)="override",$K963&lt;&gt;""),$K963,SUMIFS(Assumptions!$P$4:$P$103,Assumptions!$M$4:$M$103,$C963,Assumptions!$N$4:$N$103,$E963,Assumptions!$O$4:$O$103,"LVN"))</f>
        <v/>
      </c>
      <c r="M963" s="23" t="n"/>
      <c r="N963" s="25">
        <f>IF(AND(IF($H970&lt;&gt;"",$H970,$H963)="override",$M963&lt;&gt;""),$M963,SUMIFS(Assumptions!$P$4:$P$103,Assumptions!$M$4:$M$103,$C963,Assumptions!$N$4:$N$103,$E963,Assumptions!$O$4:$O$103,"HVN"))</f>
        <v/>
      </c>
      <c r="O963" s="25">
        <f>(L963+N963)*Assumptions!$S$11</f>
        <v/>
      </c>
      <c r="P963" s="26">
        <f>$F963*$J963*$O963</f>
        <v/>
      </c>
    </row>
    <row r="964">
      <c r="A964" s="11" t="inlineStr">
        <is>
          <t>UNIT</t>
        </is>
      </c>
      <c r="B964" s="18" t="inlineStr">
        <is>
          <t>HF_ANACORTES</t>
        </is>
      </c>
      <c r="C964" s="18" t="n">
        <v>5</v>
      </c>
      <c r="D964" s="18" t="inlineStr">
        <is>
          <t>VDU</t>
        </is>
      </c>
      <c r="E964" s="18" t="inlineStr">
        <is>
          <t>VDU</t>
        </is>
      </c>
      <c r="F964" s="19" t="n">
        <v>65.8</v>
      </c>
      <c r="G964" s="21">
        <f>IFERROR(IF(INDEX(Effective!$E$3:$R$125,MATCH($B964,Effective!$A$3:$A$125,0),MATCH($D964,Effective!$E$2:$R$2,0))=0,"",INDEX(Effective!$E$3:$R$125,MATCH($B964,Effective!$A$3:$A$125,0),MATCH($D964,Effective!$E$2:$R$2,0))),"")</f>
        <v/>
      </c>
      <c r="H964" s="22" t="inlineStr">
        <is>
          <t>override</t>
        </is>
      </c>
      <c r="I964" s="23" t="n">
        <v>0.591</v>
      </c>
      <c r="J964" s="24">
        <f>IF(AND(IF($H970&lt;&gt;"",$H970,$H964)="override",$I964&lt;&gt;""),$I964,SUMIFS(Assumptions!$K$4:$K$8,Assumptions!$J$4:$J$8,$C964))*Assumptions!$S$10</f>
        <v/>
      </c>
      <c r="K964" s="23" t="n"/>
      <c r="L964" s="25">
        <f>IF(AND(IF($H970&lt;&gt;"",$H970,$H964)="override",$K964&lt;&gt;""),$K964,SUMIFS(Assumptions!$P$4:$P$103,Assumptions!$M$4:$M$103,$C964,Assumptions!$N$4:$N$103,$E964,Assumptions!$O$4:$O$103,"LVN"))</f>
        <v/>
      </c>
      <c r="M964" s="23" t="n"/>
      <c r="N964" s="25">
        <f>IF(AND(IF($H970&lt;&gt;"",$H970,$H964)="override",$M964&lt;&gt;""),$M964,SUMIFS(Assumptions!$P$4:$P$103,Assumptions!$M$4:$M$103,$C964,Assumptions!$N$4:$N$103,$E964,Assumptions!$O$4:$O$103,"HVN"))</f>
        <v/>
      </c>
      <c r="O964" s="25">
        <f>(L964+N964)*Assumptions!$S$11</f>
        <v/>
      </c>
      <c r="P964" s="26">
        <f>$F964*$J964*$O964</f>
        <v/>
      </c>
    </row>
    <row r="965">
      <c r="A965" s="11" t="inlineStr">
        <is>
          <t>UNIT</t>
        </is>
      </c>
      <c r="B965" s="18" t="inlineStr">
        <is>
          <t>HF_ANACORTES</t>
        </is>
      </c>
      <c r="C965" s="18" t="n">
        <v>5</v>
      </c>
      <c r="D965" s="18" t="inlineStr">
        <is>
          <t>FCC</t>
        </is>
      </c>
      <c r="E965" s="18" t="inlineStr">
        <is>
          <t>FCC</t>
        </is>
      </c>
      <c r="F965" s="19" t="n">
        <v>57.9</v>
      </c>
      <c r="G965" s="21">
        <f>IFERROR(IF(INDEX(Effective!$E$3:$R$125,MATCH($B965,Effective!$A$3:$A$125,0),MATCH($D965,Effective!$E$2:$R$2,0))=0,"",INDEX(Effective!$E$3:$R$125,MATCH($B965,Effective!$A$3:$A$125,0),MATCH($D965,Effective!$E$2:$R$2,0))),"")</f>
        <v/>
      </c>
      <c r="H965" s="22" t="inlineStr">
        <is>
          <t>override</t>
        </is>
      </c>
      <c r="I965" s="23" t="n">
        <v>0.513</v>
      </c>
      <c r="J965" s="24">
        <f>IF(AND(IF($H970&lt;&gt;"",$H970,$H965)="override",$I965&lt;&gt;""),$I965,SUMIFS(Assumptions!$K$4:$K$8,Assumptions!$J$4:$J$8,$C965))*Assumptions!$S$10</f>
        <v/>
      </c>
      <c r="K965" s="23" t="n"/>
      <c r="L965" s="25">
        <f>IF(AND(IF($H970&lt;&gt;"",$H970,$H965)="override",$K965&lt;&gt;""),$K965,SUMIFS(Assumptions!$P$4:$P$103,Assumptions!$M$4:$M$103,$C965,Assumptions!$N$4:$N$103,$E965,Assumptions!$O$4:$O$103,"LVN"))</f>
        <v/>
      </c>
      <c r="M965" s="23" t="n"/>
      <c r="N965" s="25">
        <f>IF(AND(IF($H970&lt;&gt;"",$H970,$H965)="override",$M965&lt;&gt;""),$M965,SUMIFS(Assumptions!$P$4:$P$103,Assumptions!$M$4:$M$103,$C965,Assumptions!$N$4:$N$103,$E965,Assumptions!$O$4:$O$103,"HVN"))</f>
        <v/>
      </c>
      <c r="O965" s="25">
        <f>(L965+N965)*Assumptions!$S$11</f>
        <v/>
      </c>
      <c r="P965" s="26">
        <f>$F965*$J965*$O965</f>
        <v/>
      </c>
    </row>
    <row r="966">
      <c r="A966" s="11" t="inlineStr">
        <is>
          <t>UNIT</t>
        </is>
      </c>
      <c r="B966" s="18" t="inlineStr">
        <is>
          <t>HF_ANACORTES</t>
        </is>
      </c>
      <c r="C966" s="18" t="n">
        <v>5</v>
      </c>
      <c r="D966" s="18" t="inlineStr">
        <is>
          <t>COKER</t>
        </is>
      </c>
      <c r="E966" s="18" t="inlineStr">
        <is>
          <t>COKER</t>
        </is>
      </c>
      <c r="F966" s="19" t="n">
        <v>25.3</v>
      </c>
      <c r="G966" s="21">
        <f>IFERROR(IF(INDEX(Effective!$E$3:$R$125,MATCH($B966,Effective!$A$3:$A$125,0),MATCH($D966,Effective!$E$2:$R$2,0))=0,"",INDEX(Effective!$E$3:$R$125,MATCH($B966,Effective!$A$3:$A$125,0),MATCH($D966,Effective!$E$2:$R$2,0))),"")</f>
        <v/>
      </c>
      <c r="H966" s="22" t="inlineStr">
        <is>
          <t>override</t>
        </is>
      </c>
      <c r="I966" s="23" t="n">
        <v>0.48</v>
      </c>
      <c r="J966" s="24">
        <f>IF(AND(IF($H970&lt;&gt;"",$H970,$H966)="override",$I966&lt;&gt;""),$I966,SUMIFS(Assumptions!$K$4:$K$8,Assumptions!$J$4:$J$8,$C966))*Assumptions!$S$10</f>
        <v/>
      </c>
      <c r="K966" s="23" t="n"/>
      <c r="L966" s="25">
        <f>IF(AND(IF($H970&lt;&gt;"",$H970,$H966)="override",$K966&lt;&gt;""),$K966,SUMIFS(Assumptions!$P$4:$P$103,Assumptions!$M$4:$M$103,$C966,Assumptions!$N$4:$N$103,$E966,Assumptions!$O$4:$O$103,"LVN"))</f>
        <v/>
      </c>
      <c r="M966" s="23" t="n"/>
      <c r="N966" s="25">
        <f>IF(AND(IF($H970&lt;&gt;"",$H970,$H966)="override",$M966&lt;&gt;""),$M966,SUMIFS(Assumptions!$P$4:$P$103,Assumptions!$M$4:$M$103,$C966,Assumptions!$N$4:$N$103,$E966,Assumptions!$O$4:$O$103,"HVN"))</f>
        <v/>
      </c>
      <c r="O966" s="25">
        <f>(L966+N966)*Assumptions!$S$11</f>
        <v/>
      </c>
      <c r="P966" s="26">
        <f>$F966*$J966*$O966</f>
        <v/>
      </c>
    </row>
    <row r="967">
      <c r="A967" s="11" t="inlineStr">
        <is>
          <t>UNIT</t>
        </is>
      </c>
      <c r="B967" s="18" t="inlineStr">
        <is>
          <t>HF_ANACORTES</t>
        </is>
      </c>
      <c r="C967" s="18" t="n">
        <v>5</v>
      </c>
      <c r="D967" s="18" t="inlineStr">
        <is>
          <t>REF</t>
        </is>
      </c>
      <c r="E967" s="18" t="inlineStr">
        <is>
          <t>REFORMER</t>
        </is>
      </c>
      <c r="F967" s="19" t="n">
        <v>21.7</v>
      </c>
      <c r="G967" s="21">
        <f>IFERROR(IF(INDEX(Effective!$E$3:$R$125,MATCH($B967,Effective!$A$3:$A$125,0),MATCH($D967,Effective!$E$2:$R$2,0))=0,"",INDEX(Effective!$E$3:$R$125,MATCH($B967,Effective!$A$3:$A$125,0),MATCH($D967,Effective!$E$2:$R$2,0))),"")</f>
        <v/>
      </c>
      <c r="H967" s="22" t="inlineStr">
        <is>
          <t>override</t>
        </is>
      </c>
      <c r="I967" s="23" t="n">
        <v>0.504</v>
      </c>
      <c r="J967" s="24">
        <f>IF(AND(IF($H970&lt;&gt;"",$H970,$H967)="override",$I967&lt;&gt;""),$I967,SUMIFS(Assumptions!$K$4:$K$8,Assumptions!$J$4:$J$8,$C967))*Assumptions!$S$10</f>
        <v/>
      </c>
      <c r="K967" s="23" t="n"/>
      <c r="L967" s="25">
        <f>IF(AND(IF($H970&lt;&gt;"",$H970,$H967)="override",$K967&lt;&gt;""),$K967,SUMIFS(Assumptions!$P$4:$P$103,Assumptions!$M$4:$M$103,$C967,Assumptions!$N$4:$N$103,$E967,Assumptions!$O$4:$O$103,"LVN"))</f>
        <v/>
      </c>
      <c r="M967" s="23" t="n"/>
      <c r="N967" s="25">
        <f>IF(AND(IF($H970&lt;&gt;"",$H970,$H967)="override",$M967&lt;&gt;""),$M967,SUMIFS(Assumptions!$P$4:$P$103,Assumptions!$M$4:$M$103,$C967,Assumptions!$N$4:$N$103,$E967,Assumptions!$O$4:$O$103,"HVN"))</f>
        <v/>
      </c>
      <c r="O967" s="25">
        <f>(L967+N967)*Assumptions!$S$11</f>
        <v/>
      </c>
      <c r="P967" s="26">
        <f>$F967*$J967*$O967</f>
        <v/>
      </c>
    </row>
    <row r="968">
      <c r="A968" s="11" t="inlineStr">
        <is>
          <t>UNIT</t>
        </is>
      </c>
      <c r="B968" s="18" t="inlineStr">
        <is>
          <t>HF_ANACORTES</t>
        </is>
      </c>
      <c r="C968" s="18" t="n">
        <v>5</v>
      </c>
      <c r="D968" s="18" t="inlineStr">
        <is>
          <t>ALKY</t>
        </is>
      </c>
      <c r="E968" s="18" t="inlineStr">
        <is>
          <t>ALKY</t>
        </is>
      </c>
      <c r="F968" s="19" t="n">
        <v>12.5</v>
      </c>
      <c r="G968" s="21">
        <f>IFERROR(IF(INDEX(Effective!$E$3:$R$125,MATCH($B968,Effective!$A$3:$A$125,0),MATCH($D968,Effective!$E$2:$R$2,0))=0,"",INDEX(Effective!$E$3:$R$125,MATCH($B968,Effective!$A$3:$A$125,0),MATCH($D968,Effective!$E$2:$R$2,0))),"")</f>
        <v/>
      </c>
      <c r="H968" s="22" t="inlineStr">
        <is>
          <t>override</t>
        </is>
      </c>
      <c r="I968" s="23" t="n">
        <v>0.675</v>
      </c>
      <c r="J968" s="24">
        <f>IF(AND(IF($H970&lt;&gt;"",$H970,$H968)="override",$I968&lt;&gt;""),$I968,SUMIFS(Assumptions!$K$4:$K$8,Assumptions!$J$4:$J$8,$C968))*Assumptions!$S$10</f>
        <v/>
      </c>
      <c r="K968" s="23" t="n"/>
      <c r="L968" s="25">
        <f>IF(AND(IF($H970&lt;&gt;"",$H970,$H968)="override",$K968&lt;&gt;""),$K968,SUMIFS(Assumptions!$P$4:$P$103,Assumptions!$M$4:$M$103,$C968,Assumptions!$N$4:$N$103,$E968,Assumptions!$O$4:$O$103,"LVN"))</f>
        <v/>
      </c>
      <c r="M968" s="23" t="n"/>
      <c r="N968" s="25">
        <f>IF(AND(IF($H970&lt;&gt;"",$H970,$H968)="override",$M968&lt;&gt;""),$M968,SUMIFS(Assumptions!$P$4:$P$103,Assumptions!$M$4:$M$103,$C968,Assumptions!$N$4:$N$103,$E968,Assumptions!$O$4:$O$103,"HVN"))</f>
        <v/>
      </c>
      <c r="O968" s="25">
        <f>(L968+N968)*Assumptions!$S$11</f>
        <v/>
      </c>
      <c r="P968" s="26">
        <f>$F968*$J968*$O968</f>
        <v/>
      </c>
    </row>
    <row r="969">
      <c r="A969" s="11" t="inlineStr">
        <is>
          <t>UNIT</t>
        </is>
      </c>
      <c r="B969" s="18" t="inlineStr">
        <is>
          <t>HF_ANACORTES</t>
        </is>
      </c>
      <c r="C969" s="18" t="n">
        <v>5</v>
      </c>
      <c r="D969" s="18" t="inlineStr">
        <is>
          <t>NHT</t>
        </is>
      </c>
      <c r="E969" s="18" t="inlineStr">
        <is>
          <t>NHT</t>
        </is>
      </c>
      <c r="F969" s="19" t="n">
        <v>21.7</v>
      </c>
      <c r="G969" s="21">
        <f>IFERROR(IF(INDEX(Effective!$E$3:$R$125,MATCH($B969,Effective!$A$3:$A$125,0),MATCH($D969,Effective!$E$2:$R$2,0))=0,"",INDEX(Effective!$E$3:$R$125,MATCH($B969,Effective!$A$3:$A$125,0),MATCH($D969,Effective!$E$2:$R$2,0))),"")</f>
        <v/>
      </c>
      <c r="H969" s="22" t="inlineStr">
        <is>
          <t>override</t>
        </is>
      </c>
      <c r="I969" s="23" t="n">
        <v>0.549</v>
      </c>
      <c r="J969" s="24">
        <f>IF(AND(IF($H970&lt;&gt;"",$H970,$H969)="override",$I969&lt;&gt;""),$I969,SUMIFS(Assumptions!$K$4:$K$8,Assumptions!$J$4:$J$8,$C969))*Assumptions!$S$10</f>
        <v/>
      </c>
      <c r="K969" s="23" t="n"/>
      <c r="L969" s="25">
        <f>IF(AND(IF($H970&lt;&gt;"",$H970,$H969)="override",$K969&lt;&gt;""),$K969,SUMIFS(Assumptions!$P$4:$P$103,Assumptions!$M$4:$M$103,$C969,Assumptions!$N$4:$N$103,$E969,Assumptions!$O$4:$O$103,"LVN"))</f>
        <v/>
      </c>
      <c r="M969" s="23" t="n"/>
      <c r="N969" s="25">
        <f>IF(AND(IF($H970&lt;&gt;"",$H970,$H969)="override",$M969&lt;&gt;""),$M969,SUMIFS(Assumptions!$P$4:$P$103,Assumptions!$M$4:$M$103,$C969,Assumptions!$N$4:$N$103,$E969,Assumptions!$O$4:$O$103,"HVN"))</f>
        <v/>
      </c>
      <c r="O969" s="25">
        <f>(L969+N969)*Assumptions!$S$11</f>
        <v/>
      </c>
      <c r="P969" s="26">
        <f>$F969*$J969*$O969</f>
        <v/>
      </c>
    </row>
    <row r="970">
      <c r="A970" s="27" t="inlineStr">
        <is>
          <t>TOTAL</t>
        </is>
      </c>
      <c r="B970" s="28" t="inlineStr">
        <is>
          <t>HF_ANACORTES</t>
        </is>
      </c>
      <c r="C970" s="28" t="n">
        <v>5</v>
      </c>
      <c r="D970" s="28" t="inlineStr">
        <is>
          <t>NET NAPHTHA</t>
        </is>
      </c>
      <c r="H970" s="22" t="n"/>
      <c r="P970" s="29">
        <f>SUM(P963:P969)</f>
        <v/>
      </c>
    </row>
    <row r="972" ht="20" customHeight="1">
      <c r="A972" s="8">
        <f>"  Marathon Petroleum Anacortes  [MARATHON_ANACORTES]   —   Marathon Petroleum   —   PADD 5   —   crude "&amp;TEXT(SUMIFS(Data!$G$3:$G$125,Data!$A$3:$A$125,"MARATHON_ANACORTES"),"#,##0")&amp;" kbd"</f>
        <v/>
      </c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</row>
    <row r="973">
      <c r="A973" s="11" t="inlineStr">
        <is>
          <t>UNIT</t>
        </is>
      </c>
      <c r="B973" s="18" t="inlineStr">
        <is>
          <t>MARATHON_ANACORTES</t>
        </is>
      </c>
      <c r="C973" s="18" t="n">
        <v>5</v>
      </c>
      <c r="D973" s="18" t="inlineStr">
        <is>
          <t>CDU</t>
        </is>
      </c>
      <c r="E973" s="18" t="inlineStr">
        <is>
          <t>CDU</t>
        </is>
      </c>
      <c r="F973" s="19" t="n">
        <v>125.26</v>
      </c>
      <c r="G973" s="21">
        <f>IFERROR(IF(INDEX(Effective!$E$3:$R$125,MATCH($B973,Effective!$A$3:$A$125,0),MATCH($D973,Effective!$E$2:$R$2,0))=0,"",INDEX(Effective!$E$3:$R$125,MATCH($B973,Effective!$A$3:$A$125,0),MATCH($D973,Effective!$E$2:$R$2,0))),"")</f>
        <v/>
      </c>
      <c r="H973" s="22" t="inlineStr">
        <is>
          <t>override</t>
        </is>
      </c>
      <c r="I973" s="23" t="n">
        <v>0.907</v>
      </c>
      <c r="J973" s="24">
        <f>IF(AND(IF($H979&lt;&gt;"",$H979,$H973)="override",$I973&lt;&gt;""),$I973,SUMIFS(Assumptions!$K$4:$K$8,Assumptions!$J$4:$J$8,$C973))*Assumptions!$S$10</f>
        <v/>
      </c>
      <c r="K973" s="23" t="n"/>
      <c r="L973" s="25">
        <f>IF(AND(IF($H979&lt;&gt;"",$H979,$H973)="override",$K973&lt;&gt;""),$K973,SUMIFS(Assumptions!$P$4:$P$103,Assumptions!$M$4:$M$103,$C973,Assumptions!$N$4:$N$103,$E973,Assumptions!$O$4:$O$103,"LVN"))</f>
        <v/>
      </c>
      <c r="M973" s="23" t="n"/>
      <c r="N973" s="25">
        <f>IF(AND(IF($H979&lt;&gt;"",$H979,$H973)="override",$M973&lt;&gt;""),$M973,SUMIFS(Assumptions!$P$4:$P$103,Assumptions!$M$4:$M$103,$C973,Assumptions!$N$4:$N$103,$E973,Assumptions!$O$4:$O$103,"HVN"))</f>
        <v/>
      </c>
      <c r="O973" s="25">
        <f>(L973+N973)*Assumptions!$S$11</f>
        <v/>
      </c>
      <c r="P973" s="26">
        <f>$F973*$J973*$O973</f>
        <v/>
      </c>
    </row>
    <row r="974">
      <c r="A974" s="11" t="inlineStr">
        <is>
          <t>UNIT</t>
        </is>
      </c>
      <c r="B974" s="18" t="inlineStr">
        <is>
          <t>MARATHON_ANACORTES</t>
        </is>
      </c>
      <c r="C974" s="18" t="n">
        <v>5</v>
      </c>
      <c r="D974" s="18" t="inlineStr">
        <is>
          <t>VDU</t>
        </is>
      </c>
      <c r="E974" s="18" t="inlineStr">
        <is>
          <t>VDU</t>
        </is>
      </c>
      <c r="F974" s="19" t="n">
        <v>47</v>
      </c>
      <c r="G974" s="21">
        <f>IFERROR(IF(INDEX(Effective!$E$3:$R$125,MATCH($B974,Effective!$A$3:$A$125,0),MATCH($D974,Effective!$E$2:$R$2,0))=0,"",INDEX(Effective!$E$3:$R$125,MATCH($B974,Effective!$A$3:$A$125,0),MATCH($D974,Effective!$E$2:$R$2,0))),"")</f>
        <v/>
      </c>
      <c r="H974" s="22" t="inlineStr">
        <is>
          <t>override</t>
        </is>
      </c>
      <c r="I974" s="23" t="n">
        <v>0.849</v>
      </c>
      <c r="J974" s="24">
        <f>IF(AND(IF($H979&lt;&gt;"",$H979,$H974)="override",$I974&lt;&gt;""),$I974,SUMIFS(Assumptions!$K$4:$K$8,Assumptions!$J$4:$J$8,$C974))*Assumptions!$S$10</f>
        <v/>
      </c>
      <c r="K974" s="23" t="n"/>
      <c r="L974" s="25">
        <f>IF(AND(IF($H979&lt;&gt;"",$H979,$H974)="override",$K974&lt;&gt;""),$K974,SUMIFS(Assumptions!$P$4:$P$103,Assumptions!$M$4:$M$103,$C974,Assumptions!$N$4:$N$103,$E974,Assumptions!$O$4:$O$103,"LVN"))</f>
        <v/>
      </c>
      <c r="M974" s="23" t="n"/>
      <c r="N974" s="25">
        <f>IF(AND(IF($H979&lt;&gt;"",$H979,$H974)="override",$M974&lt;&gt;""),$M974,SUMIFS(Assumptions!$P$4:$P$103,Assumptions!$M$4:$M$103,$C974,Assumptions!$N$4:$N$103,$E974,Assumptions!$O$4:$O$103,"HVN"))</f>
        <v/>
      </c>
      <c r="O974" s="25">
        <f>(L974+N974)*Assumptions!$S$11</f>
        <v/>
      </c>
      <c r="P974" s="26">
        <f>$F974*$J974*$O974</f>
        <v/>
      </c>
    </row>
    <row r="975">
      <c r="A975" s="11" t="inlineStr">
        <is>
          <t>UNIT</t>
        </is>
      </c>
      <c r="B975" s="18" t="inlineStr">
        <is>
          <t>MARATHON_ANACORTES</t>
        </is>
      </c>
      <c r="C975" s="18" t="n">
        <v>5</v>
      </c>
      <c r="D975" s="18" t="inlineStr">
        <is>
          <t>FCC</t>
        </is>
      </c>
      <c r="E975" s="18" t="inlineStr">
        <is>
          <t>FCC</t>
        </is>
      </c>
      <c r="F975" s="19" t="n">
        <v>51.5</v>
      </c>
      <c r="G975" s="21">
        <f>IFERROR(IF(INDEX(Effective!$E$3:$R$125,MATCH($B975,Effective!$A$3:$A$125,0),MATCH($D975,Effective!$E$2:$R$2,0))=0,"",INDEX(Effective!$E$3:$R$125,MATCH($B975,Effective!$A$3:$A$125,0),MATCH($D975,Effective!$E$2:$R$2,0))),"")</f>
        <v/>
      </c>
      <c r="H975" s="22" t="inlineStr">
        <is>
          <t>override</t>
        </is>
      </c>
      <c r="I975" s="23" t="n">
        <v>0.9330000000000001</v>
      </c>
      <c r="J975" s="24">
        <f>IF(AND(IF($H979&lt;&gt;"",$H979,$H975)="override",$I975&lt;&gt;""),$I975,SUMIFS(Assumptions!$K$4:$K$8,Assumptions!$J$4:$J$8,$C975))*Assumptions!$S$10</f>
        <v/>
      </c>
      <c r="K975" s="23" t="n"/>
      <c r="L975" s="25">
        <f>IF(AND(IF($H979&lt;&gt;"",$H979,$H975)="override",$K975&lt;&gt;""),$K975,SUMIFS(Assumptions!$P$4:$P$103,Assumptions!$M$4:$M$103,$C975,Assumptions!$N$4:$N$103,$E975,Assumptions!$O$4:$O$103,"LVN"))</f>
        <v/>
      </c>
      <c r="M975" s="23" t="n"/>
      <c r="N975" s="25">
        <f>IF(AND(IF($H979&lt;&gt;"",$H979,$H975)="override",$M975&lt;&gt;""),$M975,SUMIFS(Assumptions!$P$4:$P$103,Assumptions!$M$4:$M$103,$C975,Assumptions!$N$4:$N$103,$E975,Assumptions!$O$4:$O$103,"HVN"))</f>
        <v/>
      </c>
      <c r="O975" s="25">
        <f>(L975+N975)*Assumptions!$S$11</f>
        <v/>
      </c>
      <c r="P975" s="26">
        <f>$F975*$J975*$O975</f>
        <v/>
      </c>
    </row>
    <row r="976">
      <c r="A976" s="11" t="inlineStr">
        <is>
          <t>UNIT</t>
        </is>
      </c>
      <c r="B976" s="18" t="inlineStr">
        <is>
          <t>MARATHON_ANACORTES</t>
        </is>
      </c>
      <c r="C976" s="18" t="n">
        <v>5</v>
      </c>
      <c r="D976" s="18" t="inlineStr">
        <is>
          <t>CCR</t>
        </is>
      </c>
      <c r="E976" s="18" t="inlineStr">
        <is>
          <t>REFORMER</t>
        </is>
      </c>
      <c r="F976" s="19" t="n">
        <v>28.5</v>
      </c>
      <c r="G976" s="21">
        <f>IFERROR(IF(INDEX(Effective!$E$3:$R$125,MATCH($B976,Effective!$A$3:$A$125,0),MATCH($D976,Effective!$E$2:$R$2,0))=0,"",INDEX(Effective!$E$3:$R$125,MATCH($B976,Effective!$A$3:$A$125,0),MATCH($D976,Effective!$E$2:$R$2,0))),"")</f>
        <v/>
      </c>
      <c r="H976" s="22" t="inlineStr">
        <is>
          <t>override</t>
        </is>
      </c>
      <c r="I976" s="23" t="n">
        <v>0.537</v>
      </c>
      <c r="J976" s="24">
        <f>IF(AND(IF($H979&lt;&gt;"",$H979,$H976)="override",$I976&lt;&gt;""),$I976,SUMIFS(Assumptions!$K$4:$K$8,Assumptions!$J$4:$J$8,$C976))*Assumptions!$S$10</f>
        <v/>
      </c>
      <c r="K976" s="23" t="n"/>
      <c r="L976" s="25">
        <f>IF(AND(IF($H979&lt;&gt;"",$H979,$H976)="override",$K976&lt;&gt;""),$K976,SUMIFS(Assumptions!$P$4:$P$103,Assumptions!$M$4:$M$103,$C976,Assumptions!$N$4:$N$103,$E976,Assumptions!$O$4:$O$103,"LVN"))</f>
        <v/>
      </c>
      <c r="M976" s="23" t="n"/>
      <c r="N976" s="25">
        <f>IF(AND(IF($H979&lt;&gt;"",$H979,$H976)="override",$M976&lt;&gt;""),$M976,SUMIFS(Assumptions!$P$4:$P$103,Assumptions!$M$4:$M$103,$C976,Assumptions!$N$4:$N$103,$E976,Assumptions!$O$4:$O$103,"HVN"))</f>
        <v/>
      </c>
      <c r="O976" s="25">
        <f>(L976+N976)*Assumptions!$S$11</f>
        <v/>
      </c>
      <c r="P976" s="26">
        <f>$F976*$J976*$O976</f>
        <v/>
      </c>
    </row>
    <row r="977">
      <c r="A977" s="11" t="inlineStr">
        <is>
          <t>UNIT</t>
        </is>
      </c>
      <c r="B977" s="18" t="inlineStr">
        <is>
          <t>MARATHON_ANACORTES</t>
        </is>
      </c>
      <c r="C977" s="18" t="n">
        <v>5</v>
      </c>
      <c r="D977" s="18" t="inlineStr">
        <is>
          <t>ALKY</t>
        </is>
      </c>
      <c r="E977" s="18" t="inlineStr">
        <is>
          <t>ALKY</t>
        </is>
      </c>
      <c r="F977" s="19" t="n">
        <v>17</v>
      </c>
      <c r="G977" s="21">
        <f>IFERROR(IF(INDEX(Effective!$E$3:$R$125,MATCH($B977,Effective!$A$3:$A$125,0),MATCH($D977,Effective!$E$2:$R$2,0))=0,"",INDEX(Effective!$E$3:$R$125,MATCH($B977,Effective!$A$3:$A$125,0),MATCH($D977,Effective!$E$2:$R$2,0))),"")</f>
        <v/>
      </c>
      <c r="H977" s="22" t="inlineStr">
        <is>
          <t>override</t>
        </is>
      </c>
      <c r="I977" s="23" t="n">
        <v>0.748</v>
      </c>
      <c r="J977" s="24">
        <f>IF(AND(IF($H979&lt;&gt;"",$H979,$H977)="override",$I977&lt;&gt;""),$I977,SUMIFS(Assumptions!$K$4:$K$8,Assumptions!$J$4:$J$8,$C977))*Assumptions!$S$10</f>
        <v/>
      </c>
      <c r="K977" s="23" t="n"/>
      <c r="L977" s="25">
        <f>IF(AND(IF($H979&lt;&gt;"",$H979,$H977)="override",$K977&lt;&gt;""),$K977,SUMIFS(Assumptions!$P$4:$P$103,Assumptions!$M$4:$M$103,$C977,Assumptions!$N$4:$N$103,$E977,Assumptions!$O$4:$O$103,"LVN"))</f>
        <v/>
      </c>
      <c r="M977" s="23" t="n"/>
      <c r="N977" s="25">
        <f>IF(AND(IF($H979&lt;&gt;"",$H979,$H977)="override",$M977&lt;&gt;""),$M977,SUMIFS(Assumptions!$P$4:$P$103,Assumptions!$M$4:$M$103,$C977,Assumptions!$N$4:$N$103,$E977,Assumptions!$O$4:$O$103,"HVN"))</f>
        <v/>
      </c>
      <c r="O977" s="25">
        <f>(L977+N977)*Assumptions!$S$11</f>
        <v/>
      </c>
      <c r="P977" s="26">
        <f>$F977*$J977*$O977</f>
        <v/>
      </c>
    </row>
    <row r="978">
      <c r="A978" s="11" t="inlineStr">
        <is>
          <t>UNIT</t>
        </is>
      </c>
      <c r="B978" s="18" t="inlineStr">
        <is>
          <t>MARATHON_ANACORTES</t>
        </is>
      </c>
      <c r="C978" s="18" t="n">
        <v>5</v>
      </c>
      <c r="D978" s="18" t="inlineStr">
        <is>
          <t>NHT</t>
        </is>
      </c>
      <c r="E978" s="18" t="inlineStr">
        <is>
          <t>NHT</t>
        </is>
      </c>
      <c r="F978" s="19" t="n">
        <v>46</v>
      </c>
      <c r="G978" s="21">
        <f>IFERROR(IF(INDEX(Effective!$E$3:$R$125,MATCH($B978,Effective!$A$3:$A$125,0),MATCH($D978,Effective!$E$2:$R$2,0))=0,"",INDEX(Effective!$E$3:$R$125,MATCH($B978,Effective!$A$3:$A$125,0),MATCH($D978,Effective!$E$2:$R$2,0))),"")</f>
        <v/>
      </c>
      <c r="H978" s="22" t="inlineStr">
        <is>
          <t>override</t>
        </is>
      </c>
      <c r="I978" s="23" t="n">
        <v>0.514</v>
      </c>
      <c r="J978" s="24">
        <f>IF(AND(IF($H979&lt;&gt;"",$H979,$H978)="override",$I978&lt;&gt;""),$I978,SUMIFS(Assumptions!$K$4:$K$8,Assumptions!$J$4:$J$8,$C978))*Assumptions!$S$10</f>
        <v/>
      </c>
      <c r="K978" s="23" t="n"/>
      <c r="L978" s="25">
        <f>IF(AND(IF($H979&lt;&gt;"",$H979,$H978)="override",$K978&lt;&gt;""),$K978,SUMIFS(Assumptions!$P$4:$P$103,Assumptions!$M$4:$M$103,$C978,Assumptions!$N$4:$N$103,$E978,Assumptions!$O$4:$O$103,"LVN"))</f>
        <v/>
      </c>
      <c r="M978" s="23" t="n"/>
      <c r="N978" s="25">
        <f>IF(AND(IF($H979&lt;&gt;"",$H979,$H978)="override",$M978&lt;&gt;""),$M978,SUMIFS(Assumptions!$P$4:$P$103,Assumptions!$M$4:$M$103,$C978,Assumptions!$N$4:$N$103,$E978,Assumptions!$O$4:$O$103,"HVN"))</f>
        <v/>
      </c>
      <c r="O978" s="25">
        <f>(L978+N978)*Assumptions!$S$11</f>
        <v/>
      </c>
      <c r="P978" s="26">
        <f>$F978*$J978*$O978</f>
        <v/>
      </c>
    </row>
    <row r="979">
      <c r="A979" s="27" t="inlineStr">
        <is>
          <t>TOTAL</t>
        </is>
      </c>
      <c r="B979" s="28" t="inlineStr">
        <is>
          <t>MARATHON_ANACORTES</t>
        </is>
      </c>
      <c r="C979" s="28" t="n">
        <v>5</v>
      </c>
      <c r="D979" s="28" t="inlineStr">
        <is>
          <t>NET NAPHTHA</t>
        </is>
      </c>
      <c r="H979" s="22" t="n"/>
      <c r="P979" s="29">
        <f>SUM(P973:P978)</f>
        <v/>
      </c>
    </row>
    <row r="981" ht="20" customHeight="1">
      <c r="A981" s="8">
        <f>"  Phillips 66 Co. Ferndale  [PHILLIPS_FERNDALE]   —   Phillips 66 Co.   —   PADD 5   —   crude "&amp;TEXT(SUMIFS(Data!$G$3:$G$125,Data!$A$3:$A$125,"PHILLIPS_FERNDALE"),"#,##0")&amp;" kbd"</f>
        <v/>
      </c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</row>
    <row r="982">
      <c r="A982" s="11" t="inlineStr">
        <is>
          <t>UNIT</t>
        </is>
      </c>
      <c r="B982" s="18" t="inlineStr">
        <is>
          <t>PHILLIPS_FERNDALE</t>
        </is>
      </c>
      <c r="C982" s="18" t="n">
        <v>5</v>
      </c>
      <c r="D982" s="18" t="inlineStr">
        <is>
          <t>CDU</t>
        </is>
      </c>
      <c r="E982" s="18" t="inlineStr">
        <is>
          <t>CDU</t>
        </is>
      </c>
      <c r="F982" s="19" t="n">
        <v>110.5</v>
      </c>
      <c r="G982" s="21">
        <f>IFERROR(IF(INDEX(Effective!$E$3:$R$125,MATCH($B982,Effective!$A$3:$A$125,0),MATCH($D982,Effective!$E$2:$R$2,0))=0,"",INDEX(Effective!$E$3:$R$125,MATCH($B982,Effective!$A$3:$A$125,0),MATCH($D982,Effective!$E$2:$R$2,0))),"")</f>
        <v/>
      </c>
      <c r="H982" s="22" t="inlineStr">
        <is>
          <t>override</t>
        </is>
      </c>
      <c r="I982" s="23" t="n">
        <v>0.884</v>
      </c>
      <c r="J982" s="24">
        <f>IF(AND(IF($H988&lt;&gt;"",$H988,$H982)="override",$I982&lt;&gt;""),$I982,SUMIFS(Assumptions!$K$4:$K$8,Assumptions!$J$4:$J$8,$C982))*Assumptions!$S$10</f>
        <v/>
      </c>
      <c r="K982" s="23" t="n"/>
      <c r="L982" s="25">
        <f>IF(AND(IF($H988&lt;&gt;"",$H988,$H982)="override",$K982&lt;&gt;""),$K982,SUMIFS(Assumptions!$P$4:$P$103,Assumptions!$M$4:$M$103,$C982,Assumptions!$N$4:$N$103,$E982,Assumptions!$O$4:$O$103,"LVN"))</f>
        <v/>
      </c>
      <c r="M982" s="23" t="n"/>
      <c r="N982" s="25">
        <f>IF(AND(IF($H988&lt;&gt;"",$H988,$H982)="override",$M982&lt;&gt;""),$M982,SUMIFS(Assumptions!$P$4:$P$103,Assumptions!$M$4:$M$103,$C982,Assumptions!$N$4:$N$103,$E982,Assumptions!$O$4:$O$103,"HVN"))</f>
        <v/>
      </c>
      <c r="O982" s="25">
        <f>(L982+N982)*Assumptions!$S$11</f>
        <v/>
      </c>
      <c r="P982" s="26">
        <f>$F982*$J982*$O982</f>
        <v/>
      </c>
    </row>
    <row r="983">
      <c r="A983" s="11" t="inlineStr">
        <is>
          <t>UNIT</t>
        </is>
      </c>
      <c r="B983" s="18" t="inlineStr">
        <is>
          <t>PHILLIPS_FERNDALE</t>
        </is>
      </c>
      <c r="C983" s="18" t="n">
        <v>5</v>
      </c>
      <c r="D983" s="18" t="inlineStr">
        <is>
          <t>VDU</t>
        </is>
      </c>
      <c r="E983" s="18" t="inlineStr">
        <is>
          <t>VDU</t>
        </is>
      </c>
      <c r="F983" s="19" t="n">
        <v>48.1</v>
      </c>
      <c r="G983" s="21">
        <f>IFERROR(IF(INDEX(Effective!$E$3:$R$125,MATCH($B983,Effective!$A$3:$A$125,0),MATCH($D983,Effective!$E$2:$R$2,0))=0,"",INDEX(Effective!$E$3:$R$125,MATCH($B983,Effective!$A$3:$A$125,0),MATCH($D983,Effective!$E$2:$R$2,0))),"")</f>
        <v/>
      </c>
      <c r="H983" s="22" t="inlineStr">
        <is>
          <t>override</t>
        </is>
      </c>
      <c r="I983" s="23" t="n">
        <v>0.613</v>
      </c>
      <c r="J983" s="24">
        <f>IF(AND(IF($H988&lt;&gt;"",$H988,$H983)="override",$I983&lt;&gt;""),$I983,SUMIFS(Assumptions!$K$4:$K$8,Assumptions!$J$4:$J$8,$C983))*Assumptions!$S$10</f>
        <v/>
      </c>
      <c r="K983" s="23" t="n"/>
      <c r="L983" s="25">
        <f>IF(AND(IF($H988&lt;&gt;"",$H988,$H983)="override",$K983&lt;&gt;""),$K983,SUMIFS(Assumptions!$P$4:$P$103,Assumptions!$M$4:$M$103,$C983,Assumptions!$N$4:$N$103,$E983,Assumptions!$O$4:$O$103,"LVN"))</f>
        <v/>
      </c>
      <c r="M983" s="23" t="n"/>
      <c r="N983" s="25">
        <f>IF(AND(IF($H988&lt;&gt;"",$H988,$H983)="override",$M983&lt;&gt;""),$M983,SUMIFS(Assumptions!$P$4:$P$103,Assumptions!$M$4:$M$103,$C983,Assumptions!$N$4:$N$103,$E983,Assumptions!$O$4:$O$103,"HVN"))</f>
        <v/>
      </c>
      <c r="O983" s="25">
        <f>(L983+N983)*Assumptions!$S$11</f>
        <v/>
      </c>
      <c r="P983" s="26">
        <f>$F983*$J983*$O983</f>
        <v/>
      </c>
    </row>
    <row r="984">
      <c r="A984" s="11" t="inlineStr">
        <is>
          <t>UNIT</t>
        </is>
      </c>
      <c r="B984" s="18" t="inlineStr">
        <is>
          <t>PHILLIPS_FERNDALE</t>
        </is>
      </c>
      <c r="C984" s="18" t="n">
        <v>5</v>
      </c>
      <c r="D984" s="18" t="inlineStr">
        <is>
          <t>FCC</t>
        </is>
      </c>
      <c r="E984" s="18" t="inlineStr">
        <is>
          <t>FCC</t>
        </is>
      </c>
      <c r="F984" s="19" t="n">
        <v>38</v>
      </c>
      <c r="G984" s="21">
        <f>IFERROR(IF(INDEX(Effective!$E$3:$R$125,MATCH($B984,Effective!$A$3:$A$125,0),MATCH($D984,Effective!$E$2:$R$2,0))=0,"",INDEX(Effective!$E$3:$R$125,MATCH($B984,Effective!$A$3:$A$125,0),MATCH($D984,Effective!$E$2:$R$2,0))),"")</f>
        <v/>
      </c>
      <c r="H984" s="22" t="inlineStr">
        <is>
          <t>override</t>
        </is>
      </c>
      <c r="I984" s="23" t="n">
        <v>0.999</v>
      </c>
      <c r="J984" s="24">
        <f>IF(AND(IF($H988&lt;&gt;"",$H988,$H984)="override",$I984&lt;&gt;""),$I984,SUMIFS(Assumptions!$K$4:$K$8,Assumptions!$J$4:$J$8,$C984))*Assumptions!$S$10</f>
        <v/>
      </c>
      <c r="K984" s="23" t="n"/>
      <c r="L984" s="25">
        <f>IF(AND(IF($H988&lt;&gt;"",$H988,$H984)="override",$K984&lt;&gt;""),$K984,SUMIFS(Assumptions!$P$4:$P$103,Assumptions!$M$4:$M$103,$C984,Assumptions!$N$4:$N$103,$E984,Assumptions!$O$4:$O$103,"LVN"))</f>
        <v/>
      </c>
      <c r="M984" s="23" t="n"/>
      <c r="N984" s="25">
        <f>IF(AND(IF($H988&lt;&gt;"",$H988,$H984)="override",$M984&lt;&gt;""),$M984,SUMIFS(Assumptions!$P$4:$P$103,Assumptions!$M$4:$M$103,$C984,Assumptions!$N$4:$N$103,$E984,Assumptions!$O$4:$O$103,"HVN"))</f>
        <v/>
      </c>
      <c r="O984" s="25">
        <f>(L984+N984)*Assumptions!$S$11</f>
        <v/>
      </c>
      <c r="P984" s="26">
        <f>$F984*$J984*$O984</f>
        <v/>
      </c>
    </row>
    <row r="985">
      <c r="A985" s="11" t="inlineStr">
        <is>
          <t>UNIT</t>
        </is>
      </c>
      <c r="B985" s="18" t="inlineStr">
        <is>
          <t>PHILLIPS_FERNDALE</t>
        </is>
      </c>
      <c r="C985" s="18" t="n">
        <v>5</v>
      </c>
      <c r="D985" s="18" t="inlineStr">
        <is>
          <t>CCR</t>
        </is>
      </c>
      <c r="E985" s="18" t="inlineStr">
        <is>
          <t>REFORMER</t>
        </is>
      </c>
      <c r="F985" s="19" t="n">
        <v>18.5</v>
      </c>
      <c r="G985" s="21">
        <f>IFERROR(IF(INDEX(Effective!$E$3:$R$125,MATCH($B985,Effective!$A$3:$A$125,0),MATCH($D985,Effective!$E$2:$R$2,0))=0,"",INDEX(Effective!$E$3:$R$125,MATCH($B985,Effective!$A$3:$A$125,0),MATCH($D985,Effective!$E$2:$R$2,0))),"")</f>
        <v/>
      </c>
      <c r="H985" s="22" t="inlineStr">
        <is>
          <t>override</t>
        </is>
      </c>
      <c r="I985" s="23" t="n">
        <v>0.591</v>
      </c>
      <c r="J985" s="24">
        <f>IF(AND(IF($H988&lt;&gt;"",$H988,$H985)="override",$I985&lt;&gt;""),$I985,SUMIFS(Assumptions!$K$4:$K$8,Assumptions!$J$4:$J$8,$C985))*Assumptions!$S$10</f>
        <v/>
      </c>
      <c r="K985" s="23" t="n"/>
      <c r="L985" s="25">
        <f>IF(AND(IF($H988&lt;&gt;"",$H988,$H985)="override",$K985&lt;&gt;""),$K985,SUMIFS(Assumptions!$P$4:$P$103,Assumptions!$M$4:$M$103,$C985,Assumptions!$N$4:$N$103,$E985,Assumptions!$O$4:$O$103,"LVN"))</f>
        <v/>
      </c>
      <c r="M985" s="23" t="n"/>
      <c r="N985" s="25">
        <f>IF(AND(IF($H988&lt;&gt;"",$H988,$H985)="override",$M985&lt;&gt;""),$M985,SUMIFS(Assumptions!$P$4:$P$103,Assumptions!$M$4:$M$103,$C985,Assumptions!$N$4:$N$103,$E985,Assumptions!$O$4:$O$103,"HVN"))</f>
        <v/>
      </c>
      <c r="O985" s="25">
        <f>(L985+N985)*Assumptions!$S$11</f>
        <v/>
      </c>
      <c r="P985" s="26">
        <f>$F985*$J985*$O985</f>
        <v/>
      </c>
    </row>
    <row r="986">
      <c r="A986" s="11" t="inlineStr">
        <is>
          <t>UNIT</t>
        </is>
      </c>
      <c r="B986" s="18" t="inlineStr">
        <is>
          <t>PHILLIPS_FERNDALE</t>
        </is>
      </c>
      <c r="C986" s="18" t="n">
        <v>5</v>
      </c>
      <c r="D986" s="18" t="inlineStr">
        <is>
          <t>ALKY</t>
        </is>
      </c>
      <c r="E986" s="18" t="inlineStr">
        <is>
          <t>ALKY</t>
        </is>
      </c>
      <c r="F986" s="19" t="n">
        <v>12.7</v>
      </c>
      <c r="G986" s="21">
        <f>IFERROR(IF(INDEX(Effective!$E$3:$R$125,MATCH($B986,Effective!$A$3:$A$125,0),MATCH($D986,Effective!$E$2:$R$2,0))=0,"",INDEX(Effective!$E$3:$R$125,MATCH($B986,Effective!$A$3:$A$125,0),MATCH($D986,Effective!$E$2:$R$2,0))),"")</f>
        <v/>
      </c>
      <c r="H986" s="22" t="inlineStr">
        <is>
          <t>override</t>
        </is>
      </c>
      <c r="I986" s="23" t="n">
        <v>1.1</v>
      </c>
      <c r="J986" s="24">
        <f>IF(AND(IF($H988&lt;&gt;"",$H988,$H986)="override",$I986&lt;&gt;""),$I986,SUMIFS(Assumptions!$K$4:$K$8,Assumptions!$J$4:$J$8,$C986))*Assumptions!$S$10</f>
        <v/>
      </c>
      <c r="K986" s="23" t="n"/>
      <c r="L986" s="25">
        <f>IF(AND(IF($H988&lt;&gt;"",$H988,$H986)="override",$K986&lt;&gt;""),$K986,SUMIFS(Assumptions!$P$4:$P$103,Assumptions!$M$4:$M$103,$C986,Assumptions!$N$4:$N$103,$E986,Assumptions!$O$4:$O$103,"LVN"))</f>
        <v/>
      </c>
      <c r="M986" s="23" t="n"/>
      <c r="N986" s="25">
        <f>IF(AND(IF($H988&lt;&gt;"",$H988,$H986)="override",$M986&lt;&gt;""),$M986,SUMIFS(Assumptions!$P$4:$P$103,Assumptions!$M$4:$M$103,$C986,Assumptions!$N$4:$N$103,$E986,Assumptions!$O$4:$O$103,"HVN"))</f>
        <v/>
      </c>
      <c r="O986" s="25">
        <f>(L986+N986)*Assumptions!$S$11</f>
        <v/>
      </c>
      <c r="P986" s="26">
        <f>$F986*$J986*$O986</f>
        <v/>
      </c>
    </row>
    <row r="987">
      <c r="A987" s="11" t="inlineStr">
        <is>
          <t>UNIT</t>
        </is>
      </c>
      <c r="B987" s="18" t="inlineStr">
        <is>
          <t>PHILLIPS_FERNDALE</t>
        </is>
      </c>
      <c r="C987" s="18" t="n">
        <v>5</v>
      </c>
      <c r="D987" s="18" t="inlineStr">
        <is>
          <t>NHT</t>
        </is>
      </c>
      <c r="E987" s="18" t="inlineStr">
        <is>
          <t>NHT</t>
        </is>
      </c>
      <c r="F987" s="19" t="n">
        <v>19.4</v>
      </c>
      <c r="G987" s="21">
        <f>IFERROR(IF(INDEX(Effective!$E$3:$R$125,MATCH($B987,Effective!$A$3:$A$125,0),MATCH($D987,Effective!$E$2:$R$2,0))=0,"",INDEX(Effective!$E$3:$R$125,MATCH($B987,Effective!$A$3:$A$125,0),MATCH($D987,Effective!$E$2:$R$2,0))),"")</f>
        <v/>
      </c>
      <c r="H987" s="22" t="inlineStr">
        <is>
          <t>override</t>
        </is>
      </c>
      <c r="I987" s="23" t="n">
        <v>0.574</v>
      </c>
      <c r="J987" s="24">
        <f>IF(AND(IF($H988&lt;&gt;"",$H988,$H987)="override",$I987&lt;&gt;""),$I987,SUMIFS(Assumptions!$K$4:$K$8,Assumptions!$J$4:$J$8,$C987))*Assumptions!$S$10</f>
        <v/>
      </c>
      <c r="K987" s="23" t="n"/>
      <c r="L987" s="25">
        <f>IF(AND(IF($H988&lt;&gt;"",$H988,$H987)="override",$K987&lt;&gt;""),$K987,SUMIFS(Assumptions!$P$4:$P$103,Assumptions!$M$4:$M$103,$C987,Assumptions!$N$4:$N$103,$E987,Assumptions!$O$4:$O$103,"LVN"))</f>
        <v/>
      </c>
      <c r="M987" s="23" t="n"/>
      <c r="N987" s="25">
        <f>IF(AND(IF($H988&lt;&gt;"",$H988,$H987)="override",$M987&lt;&gt;""),$M987,SUMIFS(Assumptions!$P$4:$P$103,Assumptions!$M$4:$M$103,$C987,Assumptions!$N$4:$N$103,$E987,Assumptions!$O$4:$O$103,"HVN"))</f>
        <v/>
      </c>
      <c r="O987" s="25">
        <f>(L987+N987)*Assumptions!$S$11</f>
        <v/>
      </c>
      <c r="P987" s="26">
        <f>$F987*$J987*$O987</f>
        <v/>
      </c>
    </row>
    <row r="988">
      <c r="A988" s="27" t="inlineStr">
        <is>
          <t>TOTAL</t>
        </is>
      </c>
      <c r="B988" s="28" t="inlineStr">
        <is>
          <t>PHILLIPS_FERNDALE</t>
        </is>
      </c>
      <c r="C988" s="28" t="n">
        <v>5</v>
      </c>
      <c r="D988" s="28" t="inlineStr">
        <is>
          <t>NET NAPHTHA</t>
        </is>
      </c>
      <c r="H988" s="22" t="n"/>
      <c r="P988" s="29">
        <f>SUM(P982:P987)</f>
        <v/>
      </c>
    </row>
    <row r="990" ht="20" customHeight="1">
      <c r="A990" s="8">
        <f>"  Marathon Petroleum Los Angeles  [MARATHON_LOS_ANGELES]   —   Marathon Petroleum   —   PADD 5   —   crude "&amp;TEXT(SUMIFS(Data!$G$3:$G$125,Data!$A$3:$A$125,"MARATHON_LOS_ANGELES"),"#,##0")&amp;" kbd"</f>
        <v/>
      </c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</row>
    <row r="991">
      <c r="A991" s="11" t="inlineStr">
        <is>
          <t>UNIT</t>
        </is>
      </c>
      <c r="B991" s="18" t="inlineStr">
        <is>
          <t>MARATHON_LOS_ANGELES</t>
        </is>
      </c>
      <c r="C991" s="18" t="n">
        <v>5</v>
      </c>
      <c r="D991" s="18" t="inlineStr">
        <is>
          <t>CRUDE-EST</t>
        </is>
      </c>
      <c r="E991" s="18" t="inlineStr">
        <is>
          <t>est. yield</t>
        </is>
      </c>
      <c r="F991" s="21">
        <f>SUMIFS(Data!$G$3:$G$125,Data!$A$3:$A$125,$B991)</f>
        <v/>
      </c>
      <c r="G991" s="21">
        <f>IFERROR(IF(INDEX(Effective!$E$3:$R$125,MATCH($B991,Effective!$A$3:$A$125,0),MATCH($D991,Effective!$E$2:$R$2,0))=0,"",INDEX(Effective!$E$3:$R$125,MATCH($B991,Effective!$A$3:$A$125,0),MATCH($D991,Effective!$E$2:$R$2,0))),"")</f>
        <v/>
      </c>
      <c r="H991" s="22" t="inlineStr">
        <is>
          <t>override</t>
        </is>
      </c>
      <c r="I991" s="23" t="n"/>
      <c r="J991" s="24">
        <f>IF(AND(IF($H992&lt;&gt;"",$H992,$H991)="override",$I991&lt;&gt;""),$I991,SUMIFS(Assumptions!$K$4:$K$8,Assumptions!$J$4:$J$8,$C991))*Assumptions!$S$10</f>
        <v/>
      </c>
      <c r="K991" s="23" t="n"/>
      <c r="L991" s="25">
        <f>IF(AND(IF($H992&lt;&gt;"",$H992,$H991)="override",$K991&lt;&gt;""),$K991,SUMIFS(Data!$N$3:$N$125,Data!$A$3:$A$125,$B991)*Assumptions!$S$4)</f>
        <v/>
      </c>
      <c r="M991" s="23" t="n"/>
      <c r="N991" s="25">
        <f>IF(AND(IF($H992&lt;&gt;"",$H992,$H991)="override",$M991&lt;&gt;""),$M991,SUMIFS(Data!$N$3:$N$125,Data!$A$3:$A$125,$B991)*Assumptions!$S$5)</f>
        <v/>
      </c>
      <c r="O991" s="25">
        <f>(L991+N991)*Assumptions!$S$11</f>
        <v/>
      </c>
      <c r="P991" s="26">
        <f>$F991*$J991*$O991</f>
        <v/>
      </c>
    </row>
    <row r="992">
      <c r="A992" s="27" t="inlineStr">
        <is>
          <t>TOTAL</t>
        </is>
      </c>
      <c r="B992" s="28" t="inlineStr">
        <is>
          <t>MARATHON_LOS_ANGELES</t>
        </is>
      </c>
      <c r="C992" s="28" t="n">
        <v>5</v>
      </c>
      <c r="D992" s="28" t="inlineStr">
        <is>
          <t>NET NAPHTHA</t>
        </is>
      </c>
      <c r="H992" s="22" t="n"/>
      <c r="P992" s="29">
        <f>SUM(P991:P991)</f>
        <v/>
      </c>
    </row>
    <row r="994" ht="20" customHeight="1">
      <c r="A994" s="8">
        <f>"  Par Petroleum Ewa Beach  [PAR_EWA_BEACH]   —   Par Petroleum   —   PADD 5   —   crude "&amp;TEXT(SUMIFS(Data!$G$3:$G$125,Data!$A$3:$A$125,"PAR_EWA_BEACH"),"#,##0")&amp;" kbd"</f>
        <v/>
      </c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</row>
    <row r="995">
      <c r="A995" s="11" t="inlineStr">
        <is>
          <t>UNIT</t>
        </is>
      </c>
      <c r="B995" s="18" t="inlineStr">
        <is>
          <t>PAR_EWA_BEACH</t>
        </is>
      </c>
      <c r="C995" s="18" t="n">
        <v>5</v>
      </c>
      <c r="D995" s="18" t="inlineStr">
        <is>
          <t>CDU</t>
        </is>
      </c>
      <c r="E995" s="18" t="inlineStr">
        <is>
          <t>CDU</t>
        </is>
      </c>
      <c r="F995" s="19" t="n">
        <v>94</v>
      </c>
      <c r="G995" s="21">
        <f>IFERROR(IF(INDEX(Effective!$E$3:$R$125,MATCH($B995,Effective!$A$3:$A$125,0),MATCH($D995,Effective!$E$2:$R$2,0))=0,"",INDEX(Effective!$E$3:$R$125,MATCH($B995,Effective!$A$3:$A$125,0),MATCH($D995,Effective!$E$2:$R$2,0))),"")</f>
        <v/>
      </c>
      <c r="H995" s="22" t="inlineStr">
        <is>
          <t>override</t>
        </is>
      </c>
      <c r="I995" s="23" t="n">
        <v>0.86</v>
      </c>
      <c r="J995" s="24">
        <f>IF(AND(IF($H1002&lt;&gt;"",$H1002,$H995)="override",$I995&lt;&gt;""),$I995,SUMIFS(Assumptions!$K$4:$K$8,Assumptions!$J$4:$J$8,$C995))*Assumptions!$S$10</f>
        <v/>
      </c>
      <c r="K995" s="23" t="n"/>
      <c r="L995" s="25">
        <f>IF(AND(IF($H1002&lt;&gt;"",$H1002,$H995)="override",$K995&lt;&gt;""),$K995,SUMIFS(Assumptions!$P$4:$P$103,Assumptions!$M$4:$M$103,$C995,Assumptions!$N$4:$N$103,$E995,Assumptions!$O$4:$O$103,"LVN"))</f>
        <v/>
      </c>
      <c r="M995" s="23" t="n"/>
      <c r="N995" s="25">
        <f>IF(AND(IF($H1002&lt;&gt;"",$H1002,$H995)="override",$M995&lt;&gt;""),$M995,SUMIFS(Assumptions!$P$4:$P$103,Assumptions!$M$4:$M$103,$C995,Assumptions!$N$4:$N$103,$E995,Assumptions!$O$4:$O$103,"HVN"))</f>
        <v/>
      </c>
      <c r="O995" s="25">
        <f>(L995+N995)*Assumptions!$S$11</f>
        <v/>
      </c>
      <c r="P995" s="26">
        <f>$F995*$J995*$O995</f>
        <v/>
      </c>
    </row>
    <row r="996">
      <c r="A996" s="11" t="inlineStr">
        <is>
          <t>UNIT</t>
        </is>
      </c>
      <c r="B996" s="18" t="inlineStr">
        <is>
          <t>PAR_EWA_BEACH</t>
        </is>
      </c>
      <c r="C996" s="18" t="n">
        <v>5</v>
      </c>
      <c r="D996" s="18" t="inlineStr">
        <is>
          <t>VDU</t>
        </is>
      </c>
      <c r="E996" s="18" t="inlineStr">
        <is>
          <t>VDU</t>
        </is>
      </c>
      <c r="F996" s="19" t="n">
        <v>71</v>
      </c>
      <c r="G996" s="21">
        <f>IFERROR(IF(INDEX(Effective!$E$3:$R$125,MATCH($B996,Effective!$A$3:$A$125,0),MATCH($D996,Effective!$E$2:$R$2,0))=0,"",INDEX(Effective!$E$3:$R$125,MATCH($B996,Effective!$A$3:$A$125,0),MATCH($D996,Effective!$E$2:$R$2,0))),"")</f>
        <v/>
      </c>
      <c r="H996" s="22" t="inlineStr">
        <is>
          <t>override</t>
        </is>
      </c>
      <c r="I996" s="23" t="n">
        <v>0.459</v>
      </c>
      <c r="J996" s="24">
        <f>IF(AND(IF($H1002&lt;&gt;"",$H1002,$H996)="override",$I996&lt;&gt;""),$I996,SUMIFS(Assumptions!$K$4:$K$8,Assumptions!$J$4:$J$8,$C996))*Assumptions!$S$10</f>
        <v/>
      </c>
      <c r="K996" s="23" t="n"/>
      <c r="L996" s="25">
        <f>IF(AND(IF($H1002&lt;&gt;"",$H1002,$H996)="override",$K996&lt;&gt;""),$K996,SUMIFS(Assumptions!$P$4:$P$103,Assumptions!$M$4:$M$103,$C996,Assumptions!$N$4:$N$103,$E996,Assumptions!$O$4:$O$103,"LVN"))</f>
        <v/>
      </c>
      <c r="M996" s="23" t="n"/>
      <c r="N996" s="25">
        <f>IF(AND(IF($H1002&lt;&gt;"",$H1002,$H996)="override",$M996&lt;&gt;""),$M996,SUMIFS(Assumptions!$P$4:$P$103,Assumptions!$M$4:$M$103,$C996,Assumptions!$N$4:$N$103,$E996,Assumptions!$O$4:$O$103,"HVN"))</f>
        <v/>
      </c>
      <c r="O996" s="25">
        <f>(L996+N996)*Assumptions!$S$11</f>
        <v/>
      </c>
      <c r="P996" s="26">
        <f>$F996*$J996*$O996</f>
        <v/>
      </c>
    </row>
    <row r="997">
      <c r="A997" s="11" t="inlineStr">
        <is>
          <t>UNIT</t>
        </is>
      </c>
      <c r="B997" s="18" t="inlineStr">
        <is>
          <t>PAR_EWA_BEACH</t>
        </is>
      </c>
      <c r="C997" s="18" t="n">
        <v>5</v>
      </c>
      <c r="D997" s="18" t="inlineStr">
        <is>
          <t>FCC</t>
        </is>
      </c>
      <c r="E997" s="18" t="inlineStr">
        <is>
          <t>FCC</t>
        </is>
      </c>
      <c r="F997" s="19" t="n">
        <v>22</v>
      </c>
      <c r="G997" s="21">
        <f>IFERROR(IF(INDEX(Effective!$E$3:$R$125,MATCH($B997,Effective!$A$3:$A$125,0),MATCH($D997,Effective!$E$2:$R$2,0))=0,"",INDEX(Effective!$E$3:$R$125,MATCH($B997,Effective!$A$3:$A$125,0),MATCH($D997,Effective!$E$2:$R$2,0))),"")</f>
        <v/>
      </c>
      <c r="H997" s="22" t="inlineStr">
        <is>
          <t>override</t>
        </is>
      </c>
      <c r="I997" s="23" t="n">
        <v>0.399</v>
      </c>
      <c r="J997" s="24">
        <f>IF(AND(IF($H1002&lt;&gt;"",$H1002,$H997)="override",$I997&lt;&gt;""),$I997,SUMIFS(Assumptions!$K$4:$K$8,Assumptions!$J$4:$J$8,$C997))*Assumptions!$S$10</f>
        <v/>
      </c>
      <c r="K997" s="23" t="n"/>
      <c r="L997" s="25">
        <f>IF(AND(IF($H1002&lt;&gt;"",$H1002,$H997)="override",$K997&lt;&gt;""),$K997,SUMIFS(Assumptions!$P$4:$P$103,Assumptions!$M$4:$M$103,$C997,Assumptions!$N$4:$N$103,$E997,Assumptions!$O$4:$O$103,"LVN"))</f>
        <v/>
      </c>
      <c r="M997" s="23" t="n"/>
      <c r="N997" s="25">
        <f>IF(AND(IF($H1002&lt;&gt;"",$H1002,$H997)="override",$M997&lt;&gt;""),$M997,SUMIFS(Assumptions!$P$4:$P$103,Assumptions!$M$4:$M$103,$C997,Assumptions!$N$4:$N$103,$E997,Assumptions!$O$4:$O$103,"HVN"))</f>
        <v/>
      </c>
      <c r="O997" s="25">
        <f>(L997+N997)*Assumptions!$S$11</f>
        <v/>
      </c>
      <c r="P997" s="26">
        <f>$F997*$J997*$O997</f>
        <v/>
      </c>
    </row>
    <row r="998">
      <c r="A998" s="11" t="inlineStr">
        <is>
          <t>UNIT</t>
        </is>
      </c>
      <c r="B998" s="18" t="inlineStr">
        <is>
          <t>PAR_EWA_BEACH</t>
        </is>
      </c>
      <c r="C998" s="18" t="n">
        <v>5</v>
      </c>
      <c r="D998" s="18" t="inlineStr">
        <is>
          <t>DHCU</t>
        </is>
      </c>
      <c r="E998" s="18" t="inlineStr">
        <is>
          <t>HYDROCRACKER</t>
        </is>
      </c>
      <c r="F998" s="19" t="n">
        <v>18</v>
      </c>
      <c r="G998" s="21">
        <f>IFERROR(IF(INDEX(Effective!$E$3:$R$125,MATCH($B998,Effective!$A$3:$A$125,0),MATCH($D998,Effective!$E$2:$R$2,0))=0,"",INDEX(Effective!$E$3:$R$125,MATCH($B998,Effective!$A$3:$A$125,0),MATCH($D998,Effective!$E$2:$R$2,0))),"")</f>
        <v/>
      </c>
      <c r="H998" s="22" t="inlineStr">
        <is>
          <t>override</t>
        </is>
      </c>
      <c r="I998" s="23" t="n">
        <v>0.741</v>
      </c>
      <c r="J998" s="24">
        <f>IF(AND(IF($H1002&lt;&gt;"",$H1002,$H998)="override",$I998&lt;&gt;""),$I998,SUMIFS(Assumptions!$K$4:$K$8,Assumptions!$J$4:$J$8,$C998))*Assumptions!$S$10</f>
        <v/>
      </c>
      <c r="K998" s="23" t="n"/>
      <c r="L998" s="25">
        <f>IF(AND(IF($H1002&lt;&gt;"",$H1002,$H998)="override",$K998&lt;&gt;""),$K998,SUMIFS(Assumptions!$P$4:$P$103,Assumptions!$M$4:$M$103,$C998,Assumptions!$N$4:$N$103,$E998,Assumptions!$O$4:$O$103,"LVN"))</f>
        <v/>
      </c>
      <c r="M998" s="23" t="n"/>
      <c r="N998" s="25">
        <f>IF(AND(IF($H1002&lt;&gt;"",$H1002,$H998)="override",$M998&lt;&gt;""),$M998,SUMIFS(Assumptions!$P$4:$P$103,Assumptions!$M$4:$M$103,$C998,Assumptions!$N$4:$N$103,$E998,Assumptions!$O$4:$O$103,"HVN"))</f>
        <v/>
      </c>
      <c r="O998" s="25">
        <f>(L998+N998)*Assumptions!$S$11</f>
        <v/>
      </c>
      <c r="P998" s="26">
        <f>$F998*$J998*$O998</f>
        <v/>
      </c>
    </row>
    <row r="999">
      <c r="A999" s="11" t="inlineStr">
        <is>
          <t>UNIT</t>
        </is>
      </c>
      <c r="B999" s="18" t="inlineStr">
        <is>
          <t>PAR_EWA_BEACH</t>
        </is>
      </c>
      <c r="C999" s="18" t="n">
        <v>5</v>
      </c>
      <c r="D999" s="18" t="inlineStr">
        <is>
          <t>CCR</t>
        </is>
      </c>
      <c r="E999" s="18" t="inlineStr">
        <is>
          <t>REFORMER</t>
        </is>
      </c>
      <c r="F999" s="19" t="n">
        <v>13.5</v>
      </c>
      <c r="G999" s="21">
        <f>IFERROR(IF(INDEX(Effective!$E$3:$R$125,MATCH($B999,Effective!$A$3:$A$125,0),MATCH($D999,Effective!$E$2:$R$2,0))=0,"",INDEX(Effective!$E$3:$R$125,MATCH($B999,Effective!$A$3:$A$125,0),MATCH($D999,Effective!$E$2:$R$2,0))),"")</f>
        <v/>
      </c>
      <c r="H999" s="22" t="inlineStr">
        <is>
          <t>override</t>
        </is>
      </c>
      <c r="I999" s="23" t="n">
        <v>0.867</v>
      </c>
      <c r="J999" s="24">
        <f>IF(AND(IF($H1002&lt;&gt;"",$H1002,$H999)="override",$I999&lt;&gt;""),$I999,SUMIFS(Assumptions!$K$4:$K$8,Assumptions!$J$4:$J$8,$C999))*Assumptions!$S$10</f>
        <v/>
      </c>
      <c r="K999" s="23" t="n"/>
      <c r="L999" s="25">
        <f>IF(AND(IF($H1002&lt;&gt;"",$H1002,$H999)="override",$K999&lt;&gt;""),$K999,SUMIFS(Assumptions!$P$4:$P$103,Assumptions!$M$4:$M$103,$C999,Assumptions!$N$4:$N$103,$E999,Assumptions!$O$4:$O$103,"LVN"))</f>
        <v/>
      </c>
      <c r="M999" s="23" t="n"/>
      <c r="N999" s="25">
        <f>IF(AND(IF($H1002&lt;&gt;"",$H1002,$H999)="override",$M999&lt;&gt;""),$M999,SUMIFS(Assumptions!$P$4:$P$103,Assumptions!$M$4:$M$103,$C999,Assumptions!$N$4:$N$103,$E999,Assumptions!$O$4:$O$103,"HVN"))</f>
        <v/>
      </c>
      <c r="O999" s="25">
        <f>(L999+N999)*Assumptions!$S$11</f>
        <v/>
      </c>
      <c r="P999" s="26">
        <f>$F999*$J999*$O999</f>
        <v/>
      </c>
    </row>
    <row r="1000">
      <c r="A1000" s="11" t="inlineStr">
        <is>
          <t>UNIT</t>
        </is>
      </c>
      <c r="B1000" s="18" t="inlineStr">
        <is>
          <t>PAR_EWA_BEACH</t>
        </is>
      </c>
      <c r="C1000" s="18" t="n">
        <v>5</v>
      </c>
      <c r="D1000" s="18" t="inlineStr">
        <is>
          <t>ALKY</t>
        </is>
      </c>
      <c r="E1000" s="18" t="inlineStr">
        <is>
          <t>ALKY</t>
        </is>
      </c>
      <c r="F1000" s="19" t="n">
        <v>5</v>
      </c>
      <c r="G1000" s="21">
        <f>IFERROR(IF(INDEX(Effective!$E$3:$R$125,MATCH($B1000,Effective!$A$3:$A$125,0),MATCH($D1000,Effective!$E$2:$R$2,0))=0,"",INDEX(Effective!$E$3:$R$125,MATCH($B1000,Effective!$A$3:$A$125,0),MATCH($D1000,Effective!$E$2:$R$2,0))),"")</f>
        <v/>
      </c>
      <c r="H1000" s="22" t="inlineStr">
        <is>
          <t>override</t>
        </is>
      </c>
      <c r="I1000" s="23" t="n">
        <v>0.122</v>
      </c>
      <c r="J1000" s="24">
        <f>IF(AND(IF($H1002&lt;&gt;"",$H1002,$H1000)="override",$I1000&lt;&gt;""),$I1000,SUMIFS(Assumptions!$K$4:$K$8,Assumptions!$J$4:$J$8,$C1000))*Assumptions!$S$10</f>
        <v/>
      </c>
      <c r="K1000" s="23" t="n"/>
      <c r="L1000" s="25">
        <f>IF(AND(IF($H1002&lt;&gt;"",$H1002,$H1000)="override",$K1000&lt;&gt;""),$K1000,SUMIFS(Assumptions!$P$4:$P$103,Assumptions!$M$4:$M$103,$C1000,Assumptions!$N$4:$N$103,$E1000,Assumptions!$O$4:$O$103,"LVN"))</f>
        <v/>
      </c>
      <c r="M1000" s="23" t="n"/>
      <c r="N1000" s="25">
        <f>IF(AND(IF($H1002&lt;&gt;"",$H1002,$H1000)="override",$M1000&lt;&gt;""),$M1000,SUMIFS(Assumptions!$P$4:$P$103,Assumptions!$M$4:$M$103,$C1000,Assumptions!$N$4:$N$103,$E1000,Assumptions!$O$4:$O$103,"HVN"))</f>
        <v/>
      </c>
      <c r="O1000" s="25">
        <f>(L1000+N1000)*Assumptions!$S$11</f>
        <v/>
      </c>
      <c r="P1000" s="26">
        <f>$F1000*$J1000*$O1000</f>
        <v/>
      </c>
    </row>
    <row r="1001">
      <c r="A1001" s="11" t="inlineStr">
        <is>
          <t>UNIT</t>
        </is>
      </c>
      <c r="B1001" s="18" t="inlineStr">
        <is>
          <t>PAR_EWA_BEACH</t>
        </is>
      </c>
      <c r="C1001" s="18" t="n">
        <v>5</v>
      </c>
      <c r="D1001" s="18" t="inlineStr">
        <is>
          <t>NHT</t>
        </is>
      </c>
      <c r="E1001" s="18" t="inlineStr">
        <is>
          <t>NHT</t>
        </is>
      </c>
      <c r="F1001" s="19" t="n">
        <v>13</v>
      </c>
      <c r="G1001" s="21">
        <f>IFERROR(IF(INDEX(Effective!$E$3:$R$125,MATCH($B1001,Effective!$A$3:$A$125,0),MATCH($D1001,Effective!$E$2:$R$2,0))=0,"",INDEX(Effective!$E$3:$R$125,MATCH($B1001,Effective!$A$3:$A$125,0),MATCH($D1001,Effective!$E$2:$R$2,0))),"")</f>
        <v/>
      </c>
      <c r="H1001" s="22" t="inlineStr">
        <is>
          <t>override</t>
        </is>
      </c>
      <c r="I1001" s="23" t="n">
        <v>1.062</v>
      </c>
      <c r="J1001" s="24">
        <f>IF(AND(IF($H1002&lt;&gt;"",$H1002,$H1001)="override",$I1001&lt;&gt;""),$I1001,SUMIFS(Assumptions!$K$4:$K$8,Assumptions!$J$4:$J$8,$C1001))*Assumptions!$S$10</f>
        <v/>
      </c>
      <c r="K1001" s="23" t="n"/>
      <c r="L1001" s="25">
        <f>IF(AND(IF($H1002&lt;&gt;"",$H1002,$H1001)="override",$K1001&lt;&gt;""),$K1001,SUMIFS(Assumptions!$P$4:$P$103,Assumptions!$M$4:$M$103,$C1001,Assumptions!$N$4:$N$103,$E1001,Assumptions!$O$4:$O$103,"LVN"))</f>
        <v/>
      </c>
      <c r="M1001" s="23" t="n"/>
      <c r="N1001" s="25">
        <f>IF(AND(IF($H1002&lt;&gt;"",$H1002,$H1001)="override",$M1001&lt;&gt;""),$M1001,SUMIFS(Assumptions!$P$4:$P$103,Assumptions!$M$4:$M$103,$C1001,Assumptions!$N$4:$N$103,$E1001,Assumptions!$O$4:$O$103,"HVN"))</f>
        <v/>
      </c>
      <c r="O1001" s="25">
        <f>(L1001+N1001)*Assumptions!$S$11</f>
        <v/>
      </c>
      <c r="P1001" s="26">
        <f>$F1001*$J1001*$O1001</f>
        <v/>
      </c>
    </row>
    <row r="1002">
      <c r="A1002" s="27" t="inlineStr">
        <is>
          <t>TOTAL</t>
        </is>
      </c>
      <c r="B1002" s="28" t="inlineStr">
        <is>
          <t>PAR_EWA_BEACH</t>
        </is>
      </c>
      <c r="C1002" s="28" t="n">
        <v>5</v>
      </c>
      <c r="D1002" s="28" t="inlineStr">
        <is>
          <t>NET NAPHTHA</t>
        </is>
      </c>
      <c r="H1002" s="22" t="n"/>
      <c r="P1002" s="29">
        <f>SUM(P995:P1001)</f>
        <v/>
      </c>
    </row>
    <row r="1004" ht="20" customHeight="1">
      <c r="A1004" s="8">
        <f>"  Valero Los Angeles  [VALERO_LOS_ANGELES]   —   Valero   —   PADD 5   —   crude "&amp;TEXT(SUMIFS(Data!$G$3:$G$125,Data!$A$3:$A$125,"VALERO_LOS_ANGELES"),"#,##0")&amp;" kbd"</f>
        <v/>
      </c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</row>
    <row r="1005">
      <c r="A1005" s="11" t="inlineStr">
        <is>
          <t>UNIT</t>
        </is>
      </c>
      <c r="B1005" s="18" t="inlineStr">
        <is>
          <t>VALERO_LOS_ANGELES</t>
        </is>
      </c>
      <c r="C1005" s="18" t="n">
        <v>5</v>
      </c>
      <c r="D1005" s="18" t="inlineStr">
        <is>
          <t>CDU</t>
        </is>
      </c>
      <c r="E1005" s="18" t="inlineStr">
        <is>
          <t>CDU</t>
        </is>
      </c>
      <c r="F1005" s="19" t="n">
        <v>87</v>
      </c>
      <c r="G1005" s="21">
        <f>IFERROR(IF(INDEX(Effective!$E$3:$R$125,MATCH($B1005,Effective!$A$3:$A$125,0),MATCH($D1005,Effective!$E$2:$R$2,0))=0,"",INDEX(Effective!$E$3:$R$125,MATCH($B1005,Effective!$A$3:$A$125,0),MATCH($D1005,Effective!$E$2:$R$2,0))),"")</f>
        <v/>
      </c>
      <c r="H1005" s="22" t="inlineStr">
        <is>
          <t>override</t>
        </is>
      </c>
      <c r="I1005" s="23" t="n">
        <v>0.9399999999999999</v>
      </c>
      <c r="J1005" s="24">
        <f>IF(AND(IF($H1012&lt;&gt;"",$H1012,$H1005)="override",$I1005&lt;&gt;""),$I1005,SUMIFS(Assumptions!$K$4:$K$8,Assumptions!$J$4:$J$8,$C1005))*Assumptions!$S$10</f>
        <v/>
      </c>
      <c r="K1005" s="23" t="n"/>
      <c r="L1005" s="25">
        <f>IF(AND(IF($H1012&lt;&gt;"",$H1012,$H1005)="override",$K1005&lt;&gt;""),$K1005,SUMIFS(Assumptions!$P$4:$P$103,Assumptions!$M$4:$M$103,$C1005,Assumptions!$N$4:$N$103,$E1005,Assumptions!$O$4:$O$103,"LVN"))</f>
        <v/>
      </c>
      <c r="M1005" s="23" t="n"/>
      <c r="N1005" s="25">
        <f>IF(AND(IF($H1012&lt;&gt;"",$H1012,$H1005)="override",$M1005&lt;&gt;""),$M1005,SUMIFS(Assumptions!$P$4:$P$103,Assumptions!$M$4:$M$103,$C1005,Assumptions!$N$4:$N$103,$E1005,Assumptions!$O$4:$O$103,"HVN"))</f>
        <v/>
      </c>
      <c r="O1005" s="25">
        <f>(L1005+N1005)*Assumptions!$S$11</f>
        <v/>
      </c>
      <c r="P1005" s="26">
        <f>$F1005*$J1005*$O1005</f>
        <v/>
      </c>
    </row>
    <row r="1006">
      <c r="A1006" s="11" t="inlineStr">
        <is>
          <t>UNIT</t>
        </is>
      </c>
      <c r="B1006" s="18" t="inlineStr">
        <is>
          <t>VALERO_LOS_ANGELES</t>
        </is>
      </c>
      <c r="C1006" s="18" t="n">
        <v>5</v>
      </c>
      <c r="D1006" s="18" t="inlineStr">
        <is>
          <t>VDU</t>
        </is>
      </c>
      <c r="E1006" s="18" t="inlineStr">
        <is>
          <t>VDU</t>
        </is>
      </c>
      <c r="F1006" s="19" t="n">
        <v>46</v>
      </c>
      <c r="G1006" s="21">
        <f>IFERROR(IF(INDEX(Effective!$E$3:$R$125,MATCH($B1006,Effective!$A$3:$A$125,0),MATCH($D1006,Effective!$E$2:$R$2,0))=0,"",INDEX(Effective!$E$3:$R$125,MATCH($B1006,Effective!$A$3:$A$125,0),MATCH($D1006,Effective!$E$2:$R$2,0))),"")</f>
        <v/>
      </c>
      <c r="H1006" s="22" t="inlineStr">
        <is>
          <t>override</t>
        </is>
      </c>
      <c r="I1006" s="23" t="n">
        <v>0.8179999999999999</v>
      </c>
      <c r="J1006" s="24">
        <f>IF(AND(IF($H1012&lt;&gt;"",$H1012,$H1006)="override",$I1006&lt;&gt;""),$I1006,SUMIFS(Assumptions!$K$4:$K$8,Assumptions!$J$4:$J$8,$C1006))*Assumptions!$S$10</f>
        <v/>
      </c>
      <c r="K1006" s="23" t="n"/>
      <c r="L1006" s="25">
        <f>IF(AND(IF($H1012&lt;&gt;"",$H1012,$H1006)="override",$K1006&lt;&gt;""),$K1006,SUMIFS(Assumptions!$P$4:$P$103,Assumptions!$M$4:$M$103,$C1006,Assumptions!$N$4:$N$103,$E1006,Assumptions!$O$4:$O$103,"LVN"))</f>
        <v/>
      </c>
      <c r="M1006" s="23" t="n"/>
      <c r="N1006" s="25">
        <f>IF(AND(IF($H1012&lt;&gt;"",$H1012,$H1006)="override",$M1006&lt;&gt;""),$M1006,SUMIFS(Assumptions!$P$4:$P$103,Assumptions!$M$4:$M$103,$C1006,Assumptions!$N$4:$N$103,$E1006,Assumptions!$O$4:$O$103,"HVN"))</f>
        <v/>
      </c>
      <c r="O1006" s="25">
        <f>(L1006+N1006)*Assumptions!$S$11</f>
        <v/>
      </c>
      <c r="P1006" s="26">
        <f>$F1006*$J1006*$O1006</f>
        <v/>
      </c>
    </row>
    <row r="1007">
      <c r="A1007" s="11" t="inlineStr">
        <is>
          <t>UNIT</t>
        </is>
      </c>
      <c r="B1007" s="18" t="inlineStr">
        <is>
          <t>VALERO_LOS_ANGELES</t>
        </is>
      </c>
      <c r="C1007" s="18" t="n">
        <v>5</v>
      </c>
      <c r="D1007" s="18" t="inlineStr">
        <is>
          <t>FCC</t>
        </is>
      </c>
      <c r="E1007" s="18" t="inlineStr">
        <is>
          <t>FCC</t>
        </is>
      </c>
      <c r="F1007" s="19" t="n">
        <v>56.3</v>
      </c>
      <c r="G1007" s="21">
        <f>IFERROR(IF(INDEX(Effective!$E$3:$R$125,MATCH($B1007,Effective!$A$3:$A$125,0),MATCH($D1007,Effective!$E$2:$R$2,0))=0,"",INDEX(Effective!$E$3:$R$125,MATCH($B1007,Effective!$A$3:$A$125,0),MATCH($D1007,Effective!$E$2:$R$2,0))),"")</f>
        <v/>
      </c>
      <c r="H1007" s="22" t="inlineStr">
        <is>
          <t>override</t>
        </is>
      </c>
      <c r="I1007" s="23" t="n">
        <v>0.676</v>
      </c>
      <c r="J1007" s="24">
        <f>IF(AND(IF($H1012&lt;&gt;"",$H1012,$H1007)="override",$I1007&lt;&gt;""),$I1007,SUMIFS(Assumptions!$K$4:$K$8,Assumptions!$J$4:$J$8,$C1007))*Assumptions!$S$10</f>
        <v/>
      </c>
      <c r="K1007" s="23" t="n"/>
      <c r="L1007" s="25">
        <f>IF(AND(IF($H1012&lt;&gt;"",$H1012,$H1007)="override",$K1007&lt;&gt;""),$K1007,SUMIFS(Assumptions!$P$4:$P$103,Assumptions!$M$4:$M$103,$C1007,Assumptions!$N$4:$N$103,$E1007,Assumptions!$O$4:$O$103,"LVN"))</f>
        <v/>
      </c>
      <c r="M1007" s="23" t="n"/>
      <c r="N1007" s="25">
        <f>IF(AND(IF($H1012&lt;&gt;"",$H1012,$H1007)="override",$M1007&lt;&gt;""),$M1007,SUMIFS(Assumptions!$P$4:$P$103,Assumptions!$M$4:$M$103,$C1007,Assumptions!$N$4:$N$103,$E1007,Assumptions!$O$4:$O$103,"HVN"))</f>
        <v/>
      </c>
      <c r="O1007" s="25">
        <f>(L1007+N1007)*Assumptions!$S$11</f>
        <v/>
      </c>
      <c r="P1007" s="26">
        <f>$F1007*$J1007*$O1007</f>
        <v/>
      </c>
    </row>
    <row r="1008">
      <c r="A1008" s="11" t="inlineStr">
        <is>
          <t>UNIT</t>
        </is>
      </c>
      <c r="B1008" s="18" t="inlineStr">
        <is>
          <t>VALERO_LOS_ANGELES</t>
        </is>
      </c>
      <c r="C1008" s="18" t="n">
        <v>5</v>
      </c>
      <c r="D1008" s="18" t="inlineStr">
        <is>
          <t>COKER</t>
        </is>
      </c>
      <c r="E1008" s="18" t="inlineStr">
        <is>
          <t>COKER</t>
        </is>
      </c>
      <c r="F1008" s="19" t="n">
        <v>28.8</v>
      </c>
      <c r="G1008" s="21">
        <f>IFERROR(IF(INDEX(Effective!$E$3:$R$125,MATCH($B1008,Effective!$A$3:$A$125,0),MATCH($D1008,Effective!$E$2:$R$2,0))=0,"",INDEX(Effective!$E$3:$R$125,MATCH($B1008,Effective!$A$3:$A$125,0),MATCH($D1008,Effective!$E$2:$R$2,0))),"")</f>
        <v/>
      </c>
      <c r="H1008" s="22" t="inlineStr">
        <is>
          <t>override</t>
        </is>
      </c>
      <c r="I1008" s="23" t="n">
        <v>0.536</v>
      </c>
      <c r="J1008" s="24">
        <f>IF(AND(IF($H1012&lt;&gt;"",$H1012,$H1008)="override",$I1008&lt;&gt;""),$I1008,SUMIFS(Assumptions!$K$4:$K$8,Assumptions!$J$4:$J$8,$C1008))*Assumptions!$S$10</f>
        <v/>
      </c>
      <c r="K1008" s="23" t="n"/>
      <c r="L1008" s="25">
        <f>IF(AND(IF($H1012&lt;&gt;"",$H1012,$H1008)="override",$K1008&lt;&gt;""),$K1008,SUMIFS(Assumptions!$P$4:$P$103,Assumptions!$M$4:$M$103,$C1008,Assumptions!$N$4:$N$103,$E1008,Assumptions!$O$4:$O$103,"LVN"))</f>
        <v/>
      </c>
      <c r="M1008" s="23" t="n"/>
      <c r="N1008" s="25">
        <f>IF(AND(IF($H1012&lt;&gt;"",$H1012,$H1008)="override",$M1008&lt;&gt;""),$M1008,SUMIFS(Assumptions!$P$4:$P$103,Assumptions!$M$4:$M$103,$C1008,Assumptions!$N$4:$N$103,$E1008,Assumptions!$O$4:$O$103,"HVN"))</f>
        <v/>
      </c>
      <c r="O1008" s="25">
        <f>(L1008+N1008)*Assumptions!$S$11</f>
        <v/>
      </c>
      <c r="P1008" s="26">
        <f>$F1008*$J1008*$O1008</f>
        <v/>
      </c>
    </row>
    <row r="1009">
      <c r="A1009" s="11" t="inlineStr">
        <is>
          <t>UNIT</t>
        </is>
      </c>
      <c r="B1009" s="18" t="inlineStr">
        <is>
          <t>VALERO_LOS_ANGELES</t>
        </is>
      </c>
      <c r="C1009" s="18" t="n">
        <v>5</v>
      </c>
      <c r="D1009" s="18" t="inlineStr">
        <is>
          <t>CCR</t>
        </is>
      </c>
      <c r="E1009" s="18" t="inlineStr">
        <is>
          <t>REFORMER</t>
        </is>
      </c>
      <c r="F1009" s="19" t="n">
        <v>18</v>
      </c>
      <c r="G1009" s="21">
        <f>IFERROR(IF(INDEX(Effective!$E$3:$R$125,MATCH($B1009,Effective!$A$3:$A$125,0),MATCH($D1009,Effective!$E$2:$R$2,0))=0,"",INDEX(Effective!$E$3:$R$125,MATCH($B1009,Effective!$A$3:$A$125,0),MATCH($D1009,Effective!$E$2:$R$2,0))),"")</f>
        <v/>
      </c>
      <c r="H1009" s="22" t="inlineStr">
        <is>
          <t>override</t>
        </is>
      </c>
      <c r="I1009" s="23" t="n">
        <v>0.853</v>
      </c>
      <c r="J1009" s="24">
        <f>IF(AND(IF($H1012&lt;&gt;"",$H1012,$H1009)="override",$I1009&lt;&gt;""),$I1009,SUMIFS(Assumptions!$K$4:$K$8,Assumptions!$J$4:$J$8,$C1009))*Assumptions!$S$10</f>
        <v/>
      </c>
      <c r="K1009" s="23" t="n"/>
      <c r="L1009" s="25">
        <f>IF(AND(IF($H1012&lt;&gt;"",$H1012,$H1009)="override",$K1009&lt;&gt;""),$K1009,SUMIFS(Assumptions!$P$4:$P$103,Assumptions!$M$4:$M$103,$C1009,Assumptions!$N$4:$N$103,$E1009,Assumptions!$O$4:$O$103,"LVN"))</f>
        <v/>
      </c>
      <c r="M1009" s="23" t="n"/>
      <c r="N1009" s="25">
        <f>IF(AND(IF($H1012&lt;&gt;"",$H1012,$H1009)="override",$M1009&lt;&gt;""),$M1009,SUMIFS(Assumptions!$P$4:$P$103,Assumptions!$M$4:$M$103,$C1009,Assumptions!$N$4:$N$103,$E1009,Assumptions!$O$4:$O$103,"HVN"))</f>
        <v/>
      </c>
      <c r="O1009" s="25">
        <f>(L1009+N1009)*Assumptions!$S$11</f>
        <v/>
      </c>
      <c r="P1009" s="26">
        <f>$F1009*$J1009*$O1009</f>
        <v/>
      </c>
    </row>
    <row r="1010">
      <c r="A1010" s="11" t="inlineStr">
        <is>
          <t>UNIT</t>
        </is>
      </c>
      <c r="B1010" s="18" t="inlineStr">
        <is>
          <t>VALERO_LOS_ANGELES</t>
        </is>
      </c>
      <c r="C1010" s="18" t="n">
        <v>5</v>
      </c>
      <c r="D1010" s="18" t="inlineStr">
        <is>
          <t>ALKY</t>
        </is>
      </c>
      <c r="E1010" s="18" t="inlineStr">
        <is>
          <t>ALKY</t>
        </is>
      </c>
      <c r="F1010" s="19" t="n">
        <v>22</v>
      </c>
      <c r="G1010" s="21">
        <f>IFERROR(IF(INDEX(Effective!$E$3:$R$125,MATCH($B1010,Effective!$A$3:$A$125,0),MATCH($D1010,Effective!$E$2:$R$2,0))=0,"",INDEX(Effective!$E$3:$R$125,MATCH($B1010,Effective!$A$3:$A$125,0),MATCH($D1010,Effective!$E$2:$R$2,0))),"")</f>
        <v/>
      </c>
      <c r="H1010" s="22" t="inlineStr">
        <is>
          <t>override</t>
        </is>
      </c>
      <c r="I1010" s="23" t="n">
        <v>0.428</v>
      </c>
      <c r="J1010" s="24">
        <f>IF(AND(IF($H1012&lt;&gt;"",$H1012,$H1010)="override",$I1010&lt;&gt;""),$I1010,SUMIFS(Assumptions!$K$4:$K$8,Assumptions!$J$4:$J$8,$C1010))*Assumptions!$S$10</f>
        <v/>
      </c>
      <c r="K1010" s="23" t="n"/>
      <c r="L1010" s="25">
        <f>IF(AND(IF($H1012&lt;&gt;"",$H1012,$H1010)="override",$K1010&lt;&gt;""),$K1010,SUMIFS(Assumptions!$P$4:$P$103,Assumptions!$M$4:$M$103,$C1010,Assumptions!$N$4:$N$103,$E1010,Assumptions!$O$4:$O$103,"LVN"))</f>
        <v/>
      </c>
      <c r="M1010" s="23" t="n"/>
      <c r="N1010" s="25">
        <f>IF(AND(IF($H1012&lt;&gt;"",$H1012,$H1010)="override",$M1010&lt;&gt;""),$M1010,SUMIFS(Assumptions!$P$4:$P$103,Assumptions!$M$4:$M$103,$C1010,Assumptions!$N$4:$N$103,$E1010,Assumptions!$O$4:$O$103,"HVN"))</f>
        <v/>
      </c>
      <c r="O1010" s="25">
        <f>(L1010+N1010)*Assumptions!$S$11</f>
        <v/>
      </c>
      <c r="P1010" s="26">
        <f>$F1010*$J1010*$O1010</f>
        <v/>
      </c>
    </row>
    <row r="1011">
      <c r="A1011" s="11" t="inlineStr">
        <is>
          <t>UNIT</t>
        </is>
      </c>
      <c r="B1011" s="18" t="inlineStr">
        <is>
          <t>VALERO_LOS_ANGELES</t>
        </is>
      </c>
      <c r="C1011" s="18" t="n">
        <v>5</v>
      </c>
      <c r="D1011" s="18" t="inlineStr">
        <is>
          <t>NHT</t>
        </is>
      </c>
      <c r="E1011" s="18" t="inlineStr">
        <is>
          <t>NHT</t>
        </is>
      </c>
      <c r="F1011" s="19" t="n">
        <v>32</v>
      </c>
      <c r="G1011" s="21">
        <f>IFERROR(IF(INDEX(Effective!$E$3:$R$125,MATCH($B1011,Effective!$A$3:$A$125,0),MATCH($D1011,Effective!$E$2:$R$2,0))=0,"",INDEX(Effective!$E$3:$R$125,MATCH($B1011,Effective!$A$3:$A$125,0),MATCH($D1011,Effective!$E$2:$R$2,0))),"")</f>
        <v/>
      </c>
      <c r="H1011" s="22" t="inlineStr">
        <is>
          <t>override</t>
        </is>
      </c>
      <c r="I1011" s="23" t="n">
        <v>0.717</v>
      </c>
      <c r="J1011" s="24">
        <f>IF(AND(IF($H1012&lt;&gt;"",$H1012,$H1011)="override",$I1011&lt;&gt;""),$I1011,SUMIFS(Assumptions!$K$4:$K$8,Assumptions!$J$4:$J$8,$C1011))*Assumptions!$S$10</f>
        <v/>
      </c>
      <c r="K1011" s="23" t="n"/>
      <c r="L1011" s="25">
        <f>IF(AND(IF($H1012&lt;&gt;"",$H1012,$H1011)="override",$K1011&lt;&gt;""),$K1011,SUMIFS(Assumptions!$P$4:$P$103,Assumptions!$M$4:$M$103,$C1011,Assumptions!$N$4:$N$103,$E1011,Assumptions!$O$4:$O$103,"LVN"))</f>
        <v/>
      </c>
      <c r="M1011" s="23" t="n"/>
      <c r="N1011" s="25">
        <f>IF(AND(IF($H1012&lt;&gt;"",$H1012,$H1011)="override",$M1011&lt;&gt;""),$M1011,SUMIFS(Assumptions!$P$4:$P$103,Assumptions!$M$4:$M$103,$C1011,Assumptions!$N$4:$N$103,$E1011,Assumptions!$O$4:$O$103,"HVN"))</f>
        <v/>
      </c>
      <c r="O1011" s="25">
        <f>(L1011+N1011)*Assumptions!$S$11</f>
        <v/>
      </c>
      <c r="P1011" s="26">
        <f>$F1011*$J1011*$O1011</f>
        <v/>
      </c>
    </row>
    <row r="1012">
      <c r="A1012" s="27" t="inlineStr">
        <is>
          <t>TOTAL</t>
        </is>
      </c>
      <c r="B1012" s="28" t="inlineStr">
        <is>
          <t>VALERO_LOS_ANGELES</t>
        </is>
      </c>
      <c r="C1012" s="28" t="n">
        <v>5</v>
      </c>
      <c r="D1012" s="28" t="inlineStr">
        <is>
          <t>NET NAPHTHA</t>
        </is>
      </c>
      <c r="H1012" s="22" t="n"/>
      <c r="P1012" s="29">
        <f>SUM(P1005:P1011)</f>
        <v/>
      </c>
    </row>
    <row r="1014" ht="20" customHeight="1">
      <c r="A1014" s="8">
        <f>"  Marathon Petroleum Nikiski  [MARATHON_NIKISKI]   —   Marathon Petroleum   —   PADD 5   —   crude "&amp;TEXT(SUMIFS(Data!$G$3:$G$125,Data!$A$3:$A$125,"MARATHON_NIKISKI"),"#,##0")&amp;" kbd"</f>
        <v/>
      </c>
      <c r="B1014" s="9" t="n"/>
      <c r="C1014" s="9" t="n"/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9" t="n"/>
      <c r="P1014" s="9" t="n"/>
    </row>
    <row r="1015">
      <c r="A1015" s="11" t="inlineStr">
        <is>
          <t>UNIT</t>
        </is>
      </c>
      <c r="B1015" s="18" t="inlineStr">
        <is>
          <t>MARATHON_NIKISKI</t>
        </is>
      </c>
      <c r="C1015" s="18" t="n">
        <v>5</v>
      </c>
      <c r="D1015" s="18" t="inlineStr">
        <is>
          <t>CDU</t>
        </is>
      </c>
      <c r="E1015" s="18" t="inlineStr">
        <is>
          <t>CDU</t>
        </is>
      </c>
      <c r="F1015" s="19" t="n">
        <v>72</v>
      </c>
      <c r="G1015" s="21">
        <f>IFERROR(IF(INDEX(Effective!$E$3:$R$125,MATCH($B1015,Effective!$A$3:$A$125,0),MATCH($D1015,Effective!$E$2:$R$2,0))=0,"",INDEX(Effective!$E$3:$R$125,MATCH($B1015,Effective!$A$3:$A$125,0),MATCH($D1015,Effective!$E$2:$R$2,0))),"")</f>
        <v/>
      </c>
      <c r="H1015" s="22" t="inlineStr">
        <is>
          <t>override</t>
        </is>
      </c>
      <c r="I1015" s="23" t="n">
        <v>0.92</v>
      </c>
      <c r="J1015" s="24">
        <f>IF(AND(IF($H1022&lt;&gt;"",$H1022,$H1015)="override",$I1015&lt;&gt;""),$I1015,SUMIFS(Assumptions!$K$4:$K$8,Assumptions!$J$4:$J$8,$C1015))*Assumptions!$S$10</f>
        <v/>
      </c>
      <c r="K1015" s="23" t="n"/>
      <c r="L1015" s="25">
        <f>IF(AND(IF($H1022&lt;&gt;"",$H1022,$H1015)="override",$K1015&lt;&gt;""),$K1015,SUMIFS(Assumptions!$P$4:$P$103,Assumptions!$M$4:$M$103,$C1015,Assumptions!$N$4:$N$103,$E1015,Assumptions!$O$4:$O$103,"LVN"))</f>
        <v/>
      </c>
      <c r="M1015" s="23" t="n"/>
      <c r="N1015" s="25">
        <f>IF(AND(IF($H1022&lt;&gt;"",$H1022,$H1015)="override",$M1015&lt;&gt;""),$M1015,SUMIFS(Assumptions!$P$4:$P$103,Assumptions!$M$4:$M$103,$C1015,Assumptions!$N$4:$N$103,$E1015,Assumptions!$O$4:$O$103,"HVN"))</f>
        <v/>
      </c>
      <c r="O1015" s="25">
        <f>(L1015+N1015)*Assumptions!$S$11</f>
        <v/>
      </c>
      <c r="P1015" s="26">
        <f>$F1015*$J1015*$O1015</f>
        <v/>
      </c>
    </row>
    <row r="1016">
      <c r="A1016" s="11" t="inlineStr">
        <is>
          <t>UNIT</t>
        </is>
      </c>
      <c r="B1016" s="18" t="inlineStr">
        <is>
          <t>MARATHON_NIKISKI</t>
        </is>
      </c>
      <c r="C1016" s="18" t="n">
        <v>5</v>
      </c>
      <c r="D1016" s="18" t="inlineStr">
        <is>
          <t>VDU</t>
        </is>
      </c>
      <c r="E1016" s="18" t="inlineStr">
        <is>
          <t>VDU</t>
        </is>
      </c>
      <c r="F1016" s="19" t="n">
        <v>26</v>
      </c>
      <c r="G1016" s="21">
        <f>IFERROR(IF(INDEX(Effective!$E$3:$R$125,MATCH($B1016,Effective!$A$3:$A$125,0),MATCH($D1016,Effective!$E$2:$R$2,0))=0,"",INDEX(Effective!$E$3:$R$125,MATCH($B1016,Effective!$A$3:$A$125,0),MATCH($D1016,Effective!$E$2:$R$2,0))),"")</f>
        <v/>
      </c>
      <c r="H1016" s="22" t="inlineStr">
        <is>
          <t>override</t>
        </is>
      </c>
      <c r="I1016" s="23" t="n">
        <v>0.999</v>
      </c>
      <c r="J1016" s="24">
        <f>IF(AND(IF($H1022&lt;&gt;"",$H1022,$H1016)="override",$I1016&lt;&gt;""),$I1016,SUMIFS(Assumptions!$K$4:$K$8,Assumptions!$J$4:$J$8,$C1016))*Assumptions!$S$10</f>
        <v/>
      </c>
      <c r="K1016" s="23" t="n"/>
      <c r="L1016" s="25">
        <f>IF(AND(IF($H1022&lt;&gt;"",$H1022,$H1016)="override",$K1016&lt;&gt;""),$K1016,SUMIFS(Assumptions!$P$4:$P$103,Assumptions!$M$4:$M$103,$C1016,Assumptions!$N$4:$N$103,$E1016,Assumptions!$O$4:$O$103,"LVN"))</f>
        <v/>
      </c>
      <c r="M1016" s="23" t="n"/>
      <c r="N1016" s="25">
        <f>IF(AND(IF($H1022&lt;&gt;"",$H1022,$H1016)="override",$M1016&lt;&gt;""),$M1016,SUMIFS(Assumptions!$P$4:$P$103,Assumptions!$M$4:$M$103,$C1016,Assumptions!$N$4:$N$103,$E1016,Assumptions!$O$4:$O$103,"HVN"))</f>
        <v/>
      </c>
      <c r="O1016" s="25">
        <f>(L1016+N1016)*Assumptions!$S$11</f>
        <v/>
      </c>
      <c r="P1016" s="26">
        <f>$F1016*$J1016*$O1016</f>
        <v/>
      </c>
    </row>
    <row r="1017">
      <c r="A1017" s="11" t="inlineStr">
        <is>
          <t>UNIT</t>
        </is>
      </c>
      <c r="B1017" s="18" t="inlineStr">
        <is>
          <t>MARATHON_NIKISKI</t>
        </is>
      </c>
      <c r="C1017" s="18" t="n">
        <v>5</v>
      </c>
      <c r="D1017" s="18" t="inlineStr">
        <is>
          <t>DHCU</t>
        </is>
      </c>
      <c r="E1017" s="18" t="inlineStr">
        <is>
          <t>HYDROCRACKER</t>
        </is>
      </c>
      <c r="F1017" s="19" t="n">
        <v>13</v>
      </c>
      <c r="G1017" s="21">
        <f>IFERROR(IF(INDEX(Effective!$E$3:$R$125,MATCH($B1017,Effective!$A$3:$A$125,0),MATCH($D1017,Effective!$E$2:$R$2,0))=0,"",INDEX(Effective!$E$3:$R$125,MATCH($B1017,Effective!$A$3:$A$125,0),MATCH($D1017,Effective!$E$2:$R$2,0))),"")</f>
        <v/>
      </c>
      <c r="H1017" s="22" t="inlineStr">
        <is>
          <t>override</t>
        </is>
      </c>
      <c r="I1017" s="23" t="n">
        <v>0.999</v>
      </c>
      <c r="J1017" s="24">
        <f>IF(AND(IF($H1022&lt;&gt;"",$H1022,$H1017)="override",$I1017&lt;&gt;""),$I1017,SUMIFS(Assumptions!$K$4:$K$8,Assumptions!$J$4:$J$8,$C1017))*Assumptions!$S$10</f>
        <v/>
      </c>
      <c r="K1017" s="23" t="n"/>
      <c r="L1017" s="25">
        <f>IF(AND(IF($H1022&lt;&gt;"",$H1022,$H1017)="override",$K1017&lt;&gt;""),$K1017,SUMIFS(Assumptions!$P$4:$P$103,Assumptions!$M$4:$M$103,$C1017,Assumptions!$N$4:$N$103,$E1017,Assumptions!$O$4:$O$103,"LVN"))</f>
        <v/>
      </c>
      <c r="M1017" s="23" t="n"/>
      <c r="N1017" s="25">
        <f>IF(AND(IF($H1022&lt;&gt;"",$H1022,$H1017)="override",$M1017&lt;&gt;""),$M1017,SUMIFS(Assumptions!$P$4:$P$103,Assumptions!$M$4:$M$103,$C1017,Assumptions!$N$4:$N$103,$E1017,Assumptions!$O$4:$O$103,"HVN"))</f>
        <v/>
      </c>
      <c r="O1017" s="25">
        <f>(L1017+N1017)*Assumptions!$S$11</f>
        <v/>
      </c>
      <c r="P1017" s="26">
        <f>$F1017*$J1017*$O1017</f>
        <v/>
      </c>
    </row>
    <row r="1018">
      <c r="A1018" s="11" t="inlineStr">
        <is>
          <t>UNIT</t>
        </is>
      </c>
      <c r="B1018" s="18" t="inlineStr">
        <is>
          <t>MARATHON_NIKISKI</t>
        </is>
      </c>
      <c r="C1018" s="18" t="n">
        <v>5</v>
      </c>
      <c r="D1018" s="18" t="inlineStr">
        <is>
          <t>CCR</t>
        </is>
      </c>
      <c r="E1018" s="18" t="inlineStr">
        <is>
          <t>REFORMER</t>
        </is>
      </c>
      <c r="F1018" s="19" t="n">
        <v>13.5</v>
      </c>
      <c r="G1018" s="21">
        <f>IFERROR(IF(INDEX(Effective!$E$3:$R$125,MATCH($B1018,Effective!$A$3:$A$125,0),MATCH($D1018,Effective!$E$2:$R$2,0))=0,"",INDEX(Effective!$E$3:$R$125,MATCH($B1018,Effective!$A$3:$A$125,0),MATCH($D1018,Effective!$E$2:$R$2,0))),"")</f>
        <v/>
      </c>
      <c r="H1018" s="22" t="inlineStr">
        <is>
          <t>override</t>
        </is>
      </c>
      <c r="I1018" s="23" t="n">
        <v>0.967</v>
      </c>
      <c r="J1018" s="24">
        <f>IF(AND(IF($H1022&lt;&gt;"",$H1022,$H1018)="override",$I1018&lt;&gt;""),$I1018,SUMIFS(Assumptions!$K$4:$K$8,Assumptions!$J$4:$J$8,$C1018))*Assumptions!$S$10</f>
        <v/>
      </c>
      <c r="K1018" s="23" t="n"/>
      <c r="L1018" s="25">
        <f>IF(AND(IF($H1022&lt;&gt;"",$H1022,$H1018)="override",$K1018&lt;&gt;""),$K1018,SUMIFS(Assumptions!$P$4:$P$103,Assumptions!$M$4:$M$103,$C1018,Assumptions!$N$4:$N$103,$E1018,Assumptions!$O$4:$O$103,"LVN"))</f>
        <v/>
      </c>
      <c r="M1018" s="23" t="n"/>
      <c r="N1018" s="25">
        <f>IF(AND(IF($H1022&lt;&gt;"",$H1022,$H1018)="override",$M1018&lt;&gt;""),$M1018,SUMIFS(Assumptions!$P$4:$P$103,Assumptions!$M$4:$M$103,$C1018,Assumptions!$N$4:$N$103,$E1018,Assumptions!$O$4:$O$103,"HVN"))</f>
        <v/>
      </c>
      <c r="O1018" s="25">
        <f>(L1018+N1018)*Assumptions!$S$11</f>
        <v/>
      </c>
      <c r="P1018" s="26">
        <f>$F1018*$J1018*$O1018</f>
        <v/>
      </c>
    </row>
    <row r="1019">
      <c r="A1019" s="11" t="inlineStr">
        <is>
          <t>UNIT</t>
        </is>
      </c>
      <c r="B1019" s="18" t="inlineStr">
        <is>
          <t>MARATHON_NIKISKI</t>
        </is>
      </c>
      <c r="C1019" s="18" t="n">
        <v>5</v>
      </c>
      <c r="D1019" s="18" t="inlineStr">
        <is>
          <t>REF</t>
        </is>
      </c>
      <c r="E1019" s="18" t="inlineStr">
        <is>
          <t>REFORMER</t>
        </is>
      </c>
      <c r="F1019" s="19" t="n">
        <v>14.2</v>
      </c>
      <c r="G1019" s="21">
        <f>IFERROR(IF(INDEX(Effective!$E$3:$R$125,MATCH($B1019,Effective!$A$3:$A$125,0),MATCH($D1019,Effective!$E$2:$R$2,0))=0,"",INDEX(Effective!$E$3:$R$125,MATCH($B1019,Effective!$A$3:$A$125,0),MATCH($D1019,Effective!$E$2:$R$2,0))),"")</f>
        <v/>
      </c>
      <c r="H1019" s="22" t="inlineStr">
        <is>
          <t>override</t>
        </is>
      </c>
      <c r="I1019" s="23" t="n"/>
      <c r="J1019" s="24">
        <f>IF(AND(IF($H1022&lt;&gt;"",$H1022,$H1019)="override",$I1019&lt;&gt;""),$I1019,SUMIFS(Assumptions!$K$4:$K$8,Assumptions!$J$4:$J$8,$C1019))*Assumptions!$S$10</f>
        <v/>
      </c>
      <c r="K1019" s="23" t="n"/>
      <c r="L1019" s="25">
        <f>IF(AND(IF($H1022&lt;&gt;"",$H1022,$H1019)="override",$K1019&lt;&gt;""),$K1019,SUMIFS(Assumptions!$P$4:$P$103,Assumptions!$M$4:$M$103,$C1019,Assumptions!$N$4:$N$103,$E1019,Assumptions!$O$4:$O$103,"LVN"))</f>
        <v/>
      </c>
      <c r="M1019" s="23" t="n"/>
      <c r="N1019" s="25">
        <f>IF(AND(IF($H1022&lt;&gt;"",$H1022,$H1019)="override",$M1019&lt;&gt;""),$M1019,SUMIFS(Assumptions!$P$4:$P$103,Assumptions!$M$4:$M$103,$C1019,Assumptions!$N$4:$N$103,$E1019,Assumptions!$O$4:$O$103,"HVN"))</f>
        <v/>
      </c>
      <c r="O1019" s="25">
        <f>(L1019+N1019)*Assumptions!$S$11</f>
        <v/>
      </c>
      <c r="P1019" s="26">
        <f>$F1019*$J1019*$O1019</f>
        <v/>
      </c>
    </row>
    <row r="1020">
      <c r="A1020" s="11" t="inlineStr">
        <is>
          <t>UNIT</t>
        </is>
      </c>
      <c r="B1020" s="18" t="inlineStr">
        <is>
          <t>MARATHON_NIKISKI</t>
        </is>
      </c>
      <c r="C1020" s="18" t="n">
        <v>5</v>
      </c>
      <c r="D1020" s="18" t="inlineStr">
        <is>
          <t>ISOM</t>
        </is>
      </c>
      <c r="E1020" s="18" t="inlineStr">
        <is>
          <t>ISOM</t>
        </is>
      </c>
      <c r="F1020" s="19" t="n">
        <v>5</v>
      </c>
      <c r="G1020" s="21">
        <f>IFERROR(IF(INDEX(Effective!$E$3:$R$125,MATCH($B1020,Effective!$A$3:$A$125,0),MATCH($D1020,Effective!$E$2:$R$2,0))=0,"",INDEX(Effective!$E$3:$R$125,MATCH($B1020,Effective!$A$3:$A$125,0),MATCH($D1020,Effective!$E$2:$R$2,0))),"")</f>
        <v/>
      </c>
      <c r="H1020" s="22" t="inlineStr">
        <is>
          <t>override</t>
        </is>
      </c>
      <c r="I1020" s="23" t="n">
        <v>1.099</v>
      </c>
      <c r="J1020" s="24">
        <f>IF(AND(IF($H1022&lt;&gt;"",$H1022,$H1020)="override",$I1020&lt;&gt;""),$I1020,SUMIFS(Assumptions!$K$4:$K$8,Assumptions!$J$4:$J$8,$C1020))*Assumptions!$S$10</f>
        <v/>
      </c>
      <c r="K1020" s="23" t="n"/>
      <c r="L1020" s="25">
        <f>IF(AND(IF($H1022&lt;&gt;"",$H1022,$H1020)="override",$K1020&lt;&gt;""),$K1020,SUMIFS(Assumptions!$P$4:$P$103,Assumptions!$M$4:$M$103,$C1020,Assumptions!$N$4:$N$103,$E1020,Assumptions!$O$4:$O$103,"LVN"))</f>
        <v/>
      </c>
      <c r="M1020" s="23" t="n"/>
      <c r="N1020" s="25">
        <f>IF(AND(IF($H1022&lt;&gt;"",$H1022,$H1020)="override",$M1020&lt;&gt;""),$M1020,SUMIFS(Assumptions!$P$4:$P$103,Assumptions!$M$4:$M$103,$C1020,Assumptions!$N$4:$N$103,$E1020,Assumptions!$O$4:$O$103,"HVN"))</f>
        <v/>
      </c>
      <c r="O1020" s="25">
        <f>(L1020+N1020)*Assumptions!$S$11</f>
        <v/>
      </c>
      <c r="P1020" s="26">
        <f>$F1020*$J1020*$O1020</f>
        <v/>
      </c>
    </row>
    <row r="1021">
      <c r="A1021" s="11" t="inlineStr">
        <is>
          <t>UNIT</t>
        </is>
      </c>
      <c r="B1021" s="18" t="inlineStr">
        <is>
          <t>MARATHON_NIKISKI</t>
        </is>
      </c>
      <c r="C1021" s="18" t="n">
        <v>5</v>
      </c>
      <c r="D1021" s="18" t="inlineStr">
        <is>
          <t>NHT</t>
        </is>
      </c>
      <c r="E1021" s="18" t="inlineStr">
        <is>
          <t>NHT</t>
        </is>
      </c>
      <c r="F1021" s="19" t="n">
        <v>13</v>
      </c>
      <c r="G1021" s="21">
        <f>IFERROR(IF(INDEX(Effective!$E$3:$R$125,MATCH($B1021,Effective!$A$3:$A$125,0),MATCH($D1021,Effective!$E$2:$R$2,0))=0,"",INDEX(Effective!$E$3:$R$125,MATCH($B1021,Effective!$A$3:$A$125,0),MATCH($D1021,Effective!$E$2:$R$2,0))),"")</f>
        <v/>
      </c>
      <c r="H1021" s="22" t="inlineStr">
        <is>
          <t>override</t>
        </is>
      </c>
      <c r="I1021" s="23" t="n">
        <v>0.989</v>
      </c>
      <c r="J1021" s="24">
        <f>IF(AND(IF($H1022&lt;&gt;"",$H1022,$H1021)="override",$I1021&lt;&gt;""),$I1021,SUMIFS(Assumptions!$K$4:$K$8,Assumptions!$J$4:$J$8,$C1021))*Assumptions!$S$10</f>
        <v/>
      </c>
      <c r="K1021" s="23" t="n"/>
      <c r="L1021" s="25">
        <f>IF(AND(IF($H1022&lt;&gt;"",$H1022,$H1021)="override",$K1021&lt;&gt;""),$K1021,SUMIFS(Assumptions!$P$4:$P$103,Assumptions!$M$4:$M$103,$C1021,Assumptions!$N$4:$N$103,$E1021,Assumptions!$O$4:$O$103,"LVN"))</f>
        <v/>
      </c>
      <c r="M1021" s="23" t="n"/>
      <c r="N1021" s="25">
        <f>IF(AND(IF($H1022&lt;&gt;"",$H1022,$H1021)="override",$M1021&lt;&gt;""),$M1021,SUMIFS(Assumptions!$P$4:$P$103,Assumptions!$M$4:$M$103,$C1021,Assumptions!$N$4:$N$103,$E1021,Assumptions!$O$4:$O$103,"HVN"))</f>
        <v/>
      </c>
      <c r="O1021" s="25">
        <f>(L1021+N1021)*Assumptions!$S$11</f>
        <v/>
      </c>
      <c r="P1021" s="26">
        <f>$F1021*$J1021*$O1021</f>
        <v/>
      </c>
    </row>
    <row r="1022">
      <c r="A1022" s="27" t="inlineStr">
        <is>
          <t>TOTAL</t>
        </is>
      </c>
      <c r="B1022" s="28" t="inlineStr">
        <is>
          <t>MARATHON_NIKISKI</t>
        </is>
      </c>
      <c r="C1022" s="28" t="n">
        <v>5</v>
      </c>
      <c r="D1022" s="28" t="inlineStr">
        <is>
          <t>NET NAPHTHA</t>
        </is>
      </c>
      <c r="H1022" s="22" t="n"/>
      <c r="P1022" s="29">
        <f>SUM(P1015:P1021)</f>
        <v/>
      </c>
    </row>
    <row r="1024" ht="20" customHeight="1">
      <c r="A1024" s="8">
        <f>"  Petro Star Inc. Valdez  [PETRO_VALDEZ]   —   Petro Star Inc.   —   PADD 5   —   crude "&amp;TEXT(SUMIFS(Data!$G$3:$G$125,Data!$A$3:$A$125,"PETRO_VALDEZ"),"#,##0")&amp;" kbd"</f>
        <v/>
      </c>
      <c r="B1024" s="9" t="n"/>
      <c r="C1024" s="9" t="n"/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/>
      <c r="M1024" s="9" t="n"/>
      <c r="N1024" s="9" t="n"/>
      <c r="O1024" s="9" t="n"/>
      <c r="P1024" s="9" t="n"/>
    </row>
    <row r="1025">
      <c r="A1025" s="11" t="inlineStr">
        <is>
          <t>UNIT</t>
        </is>
      </c>
      <c r="B1025" s="18" t="inlineStr">
        <is>
          <t>PETRO_VALDEZ</t>
        </is>
      </c>
      <c r="C1025" s="18" t="n">
        <v>5</v>
      </c>
      <c r="D1025" s="18" t="inlineStr">
        <is>
          <t>CDU</t>
        </is>
      </c>
      <c r="E1025" s="18" t="inlineStr">
        <is>
          <t>CDU</t>
        </is>
      </c>
      <c r="F1025" s="19" t="n">
        <v>60</v>
      </c>
      <c r="G1025" s="21">
        <f>IFERROR(IF(INDEX(Effective!$E$3:$R$125,MATCH($B1025,Effective!$A$3:$A$125,0),MATCH($D1025,Effective!$E$2:$R$2,0))=0,"",INDEX(Effective!$E$3:$R$125,MATCH($B1025,Effective!$A$3:$A$125,0),MATCH($D1025,Effective!$E$2:$R$2,0))),"")</f>
        <v/>
      </c>
      <c r="H1025" s="22" t="inlineStr">
        <is>
          <t>override</t>
        </is>
      </c>
      <c r="I1025" s="23" t="n"/>
      <c r="J1025" s="24">
        <f>IF(AND(IF($H1026&lt;&gt;"",$H1026,$H1025)="override",$I1025&lt;&gt;""),$I1025,SUMIFS(Assumptions!$K$4:$K$8,Assumptions!$J$4:$J$8,$C1025))*Assumptions!$S$10</f>
        <v/>
      </c>
      <c r="K1025" s="23" t="n"/>
      <c r="L1025" s="25">
        <f>IF(AND(IF($H1026&lt;&gt;"",$H1026,$H1025)="override",$K1025&lt;&gt;""),$K1025,SUMIFS(Assumptions!$P$4:$P$103,Assumptions!$M$4:$M$103,$C1025,Assumptions!$N$4:$N$103,$E1025,Assumptions!$O$4:$O$103,"LVN"))</f>
        <v/>
      </c>
      <c r="M1025" s="23" t="n"/>
      <c r="N1025" s="25">
        <f>IF(AND(IF($H1026&lt;&gt;"",$H1026,$H1025)="override",$M1025&lt;&gt;""),$M1025,SUMIFS(Assumptions!$P$4:$P$103,Assumptions!$M$4:$M$103,$C1025,Assumptions!$N$4:$N$103,$E1025,Assumptions!$O$4:$O$103,"HVN"))</f>
        <v/>
      </c>
      <c r="O1025" s="25">
        <f>(L1025+N1025)*Assumptions!$S$11</f>
        <v/>
      </c>
      <c r="P1025" s="26">
        <f>$F1025*$J1025*$O1025</f>
        <v/>
      </c>
    </row>
    <row r="1026">
      <c r="A1026" s="27" t="inlineStr">
        <is>
          <t>TOTAL</t>
        </is>
      </c>
      <c r="B1026" s="28" t="inlineStr">
        <is>
          <t>PETRO_VALDEZ</t>
        </is>
      </c>
      <c r="C1026" s="28" t="n">
        <v>5</v>
      </c>
      <c r="D1026" s="28" t="inlineStr">
        <is>
          <t>NET NAPHTHA</t>
        </is>
      </c>
      <c r="H1026" s="22" t="n"/>
      <c r="P1026" s="29">
        <f>SUM(P1025:P1025)</f>
        <v/>
      </c>
    </row>
    <row r="1028" ht="20" customHeight="1">
      <c r="A1028" s="8">
        <f>"  Par Petroleum Tacoma  [PAR_TACOMA]   —   Par Petroleum   —   PADD 5   —   crude "&amp;TEXT(SUMIFS(Data!$G$3:$G$125,Data!$A$3:$A$125,"PAR_TACOMA"),"#,##0")&amp;" kbd"</f>
        <v/>
      </c>
      <c r="B1028" s="9" t="n"/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/>
      <c r="M1028" s="9" t="n"/>
      <c r="N1028" s="9" t="n"/>
      <c r="O1028" s="9" t="n"/>
      <c r="P1028" s="9" t="n"/>
    </row>
    <row r="1029">
      <c r="A1029" s="11" t="inlineStr">
        <is>
          <t>UNIT</t>
        </is>
      </c>
      <c r="B1029" s="18" t="inlineStr">
        <is>
          <t>PAR_TACOMA</t>
        </is>
      </c>
      <c r="C1029" s="18" t="n">
        <v>5</v>
      </c>
      <c r="D1029" s="18" t="inlineStr">
        <is>
          <t>CDU</t>
        </is>
      </c>
      <c r="E1029" s="18" t="inlineStr">
        <is>
          <t>CDU</t>
        </is>
      </c>
      <c r="F1029" s="19" t="n">
        <v>42</v>
      </c>
      <c r="G1029" s="21">
        <f>IFERROR(IF(INDEX(Effective!$E$3:$R$125,MATCH($B1029,Effective!$A$3:$A$125,0),MATCH($D1029,Effective!$E$2:$R$2,0))=0,"",INDEX(Effective!$E$3:$R$125,MATCH($B1029,Effective!$A$3:$A$125,0),MATCH($D1029,Effective!$E$2:$R$2,0))),"")</f>
        <v/>
      </c>
      <c r="H1029" s="22" t="inlineStr">
        <is>
          <t>override</t>
        </is>
      </c>
      <c r="I1029" s="23" t="n"/>
      <c r="J1029" s="24">
        <f>IF(AND(IF($H1034&lt;&gt;"",$H1034,$H1029)="override",$I1029&lt;&gt;""),$I1029,SUMIFS(Assumptions!$K$4:$K$8,Assumptions!$J$4:$J$8,$C1029))*Assumptions!$S$10</f>
        <v/>
      </c>
      <c r="K1029" s="23" t="n"/>
      <c r="L1029" s="25">
        <f>IF(AND(IF($H1034&lt;&gt;"",$H1034,$H1029)="override",$K1029&lt;&gt;""),$K1029,SUMIFS(Assumptions!$P$4:$P$103,Assumptions!$M$4:$M$103,$C1029,Assumptions!$N$4:$N$103,$E1029,Assumptions!$O$4:$O$103,"LVN"))</f>
        <v/>
      </c>
      <c r="M1029" s="23" t="n"/>
      <c r="N1029" s="25">
        <f>IF(AND(IF($H1034&lt;&gt;"",$H1034,$H1029)="override",$M1029&lt;&gt;""),$M1029,SUMIFS(Assumptions!$P$4:$P$103,Assumptions!$M$4:$M$103,$C1029,Assumptions!$N$4:$N$103,$E1029,Assumptions!$O$4:$O$103,"HVN"))</f>
        <v/>
      </c>
      <c r="O1029" s="25">
        <f>(L1029+N1029)*Assumptions!$S$11</f>
        <v/>
      </c>
      <c r="P1029" s="26">
        <f>$F1029*$J1029*$O1029</f>
        <v/>
      </c>
    </row>
    <row r="1030">
      <c r="A1030" s="11" t="inlineStr">
        <is>
          <t>UNIT</t>
        </is>
      </c>
      <c r="B1030" s="18" t="inlineStr">
        <is>
          <t>PAR_TACOMA</t>
        </is>
      </c>
      <c r="C1030" s="18" t="n">
        <v>5</v>
      </c>
      <c r="D1030" s="18" t="inlineStr">
        <is>
          <t>VDU</t>
        </is>
      </c>
      <c r="E1030" s="18" t="inlineStr">
        <is>
          <t>VDU</t>
        </is>
      </c>
      <c r="F1030" s="19" t="n">
        <v>19.2</v>
      </c>
      <c r="G1030" s="21">
        <f>IFERROR(IF(INDEX(Effective!$E$3:$R$125,MATCH($B1030,Effective!$A$3:$A$125,0),MATCH($D1030,Effective!$E$2:$R$2,0))=0,"",INDEX(Effective!$E$3:$R$125,MATCH($B1030,Effective!$A$3:$A$125,0),MATCH($D1030,Effective!$E$2:$R$2,0))),"")</f>
        <v/>
      </c>
      <c r="H1030" s="22" t="inlineStr">
        <is>
          <t>override</t>
        </is>
      </c>
      <c r="I1030" s="23" t="n"/>
      <c r="J1030" s="24">
        <f>IF(AND(IF($H1034&lt;&gt;"",$H1034,$H1030)="override",$I1030&lt;&gt;""),$I1030,SUMIFS(Assumptions!$K$4:$K$8,Assumptions!$J$4:$J$8,$C1030))*Assumptions!$S$10</f>
        <v/>
      </c>
      <c r="K1030" s="23" t="n"/>
      <c r="L1030" s="25">
        <f>IF(AND(IF($H1034&lt;&gt;"",$H1034,$H1030)="override",$K1030&lt;&gt;""),$K1030,SUMIFS(Assumptions!$P$4:$P$103,Assumptions!$M$4:$M$103,$C1030,Assumptions!$N$4:$N$103,$E1030,Assumptions!$O$4:$O$103,"LVN"))</f>
        <v/>
      </c>
      <c r="M1030" s="23" t="n"/>
      <c r="N1030" s="25">
        <f>IF(AND(IF($H1034&lt;&gt;"",$H1034,$H1030)="override",$M1030&lt;&gt;""),$M1030,SUMIFS(Assumptions!$P$4:$P$103,Assumptions!$M$4:$M$103,$C1030,Assumptions!$N$4:$N$103,$E1030,Assumptions!$O$4:$O$103,"HVN"))</f>
        <v/>
      </c>
      <c r="O1030" s="25">
        <f>(L1030+N1030)*Assumptions!$S$11</f>
        <v/>
      </c>
      <c r="P1030" s="26">
        <f>$F1030*$J1030*$O1030</f>
        <v/>
      </c>
    </row>
    <row r="1031">
      <c r="A1031" s="11" t="inlineStr">
        <is>
          <t>UNIT</t>
        </is>
      </c>
      <c r="B1031" s="18" t="inlineStr">
        <is>
          <t>PAR_TACOMA</t>
        </is>
      </c>
      <c r="C1031" s="18" t="n">
        <v>5</v>
      </c>
      <c r="D1031" s="18" t="inlineStr">
        <is>
          <t>REF</t>
        </is>
      </c>
      <c r="E1031" s="18" t="inlineStr">
        <is>
          <t>REFORMER</t>
        </is>
      </c>
      <c r="F1031" s="19" t="n">
        <v>6.8</v>
      </c>
      <c r="G1031" s="21">
        <f>IFERROR(IF(INDEX(Effective!$E$3:$R$125,MATCH($B1031,Effective!$A$3:$A$125,0),MATCH($D1031,Effective!$E$2:$R$2,0))=0,"",INDEX(Effective!$E$3:$R$125,MATCH($B1031,Effective!$A$3:$A$125,0),MATCH($D1031,Effective!$E$2:$R$2,0))),"")</f>
        <v/>
      </c>
      <c r="H1031" s="22" t="inlineStr">
        <is>
          <t>override</t>
        </is>
      </c>
      <c r="I1031" s="23" t="n"/>
      <c r="J1031" s="24">
        <f>IF(AND(IF($H1034&lt;&gt;"",$H1034,$H1031)="override",$I1031&lt;&gt;""),$I1031,SUMIFS(Assumptions!$K$4:$K$8,Assumptions!$J$4:$J$8,$C1031))*Assumptions!$S$10</f>
        <v/>
      </c>
      <c r="K1031" s="23" t="n"/>
      <c r="L1031" s="25">
        <f>IF(AND(IF($H1034&lt;&gt;"",$H1034,$H1031)="override",$K1031&lt;&gt;""),$K1031,SUMIFS(Assumptions!$P$4:$P$103,Assumptions!$M$4:$M$103,$C1031,Assumptions!$N$4:$N$103,$E1031,Assumptions!$O$4:$O$103,"LVN"))</f>
        <v/>
      </c>
      <c r="M1031" s="23" t="n"/>
      <c r="N1031" s="25">
        <f>IF(AND(IF($H1034&lt;&gt;"",$H1034,$H1031)="override",$M1031&lt;&gt;""),$M1031,SUMIFS(Assumptions!$P$4:$P$103,Assumptions!$M$4:$M$103,$C1031,Assumptions!$N$4:$N$103,$E1031,Assumptions!$O$4:$O$103,"HVN"))</f>
        <v/>
      </c>
      <c r="O1031" s="25">
        <f>(L1031+N1031)*Assumptions!$S$11</f>
        <v/>
      </c>
      <c r="P1031" s="26">
        <f>$F1031*$J1031*$O1031</f>
        <v/>
      </c>
    </row>
    <row r="1032">
      <c r="A1032" s="11" t="inlineStr">
        <is>
          <t>UNIT</t>
        </is>
      </c>
      <c r="B1032" s="18" t="inlineStr">
        <is>
          <t>PAR_TACOMA</t>
        </is>
      </c>
      <c r="C1032" s="18" t="n">
        <v>5</v>
      </c>
      <c r="D1032" s="18" t="inlineStr">
        <is>
          <t>ISOM</t>
        </is>
      </c>
      <c r="E1032" s="18" t="inlineStr">
        <is>
          <t>ISOM</t>
        </is>
      </c>
      <c r="F1032" s="19" t="n">
        <v>4.5</v>
      </c>
      <c r="G1032" s="21">
        <f>IFERROR(IF(INDEX(Effective!$E$3:$R$125,MATCH($B1032,Effective!$A$3:$A$125,0),MATCH($D1032,Effective!$E$2:$R$2,0))=0,"",INDEX(Effective!$E$3:$R$125,MATCH($B1032,Effective!$A$3:$A$125,0),MATCH($D1032,Effective!$E$2:$R$2,0))),"")</f>
        <v/>
      </c>
      <c r="H1032" s="22" t="inlineStr">
        <is>
          <t>override</t>
        </is>
      </c>
      <c r="I1032" s="23" t="n"/>
      <c r="J1032" s="24">
        <f>IF(AND(IF($H1034&lt;&gt;"",$H1034,$H1032)="override",$I1032&lt;&gt;""),$I1032,SUMIFS(Assumptions!$K$4:$K$8,Assumptions!$J$4:$J$8,$C1032))*Assumptions!$S$10</f>
        <v/>
      </c>
      <c r="K1032" s="23" t="n"/>
      <c r="L1032" s="25">
        <f>IF(AND(IF($H1034&lt;&gt;"",$H1034,$H1032)="override",$K1032&lt;&gt;""),$K1032,SUMIFS(Assumptions!$P$4:$P$103,Assumptions!$M$4:$M$103,$C1032,Assumptions!$N$4:$N$103,$E1032,Assumptions!$O$4:$O$103,"LVN"))</f>
        <v/>
      </c>
      <c r="M1032" s="23" t="n"/>
      <c r="N1032" s="25">
        <f>IF(AND(IF($H1034&lt;&gt;"",$H1034,$H1032)="override",$M1032&lt;&gt;""),$M1032,SUMIFS(Assumptions!$P$4:$P$103,Assumptions!$M$4:$M$103,$C1032,Assumptions!$N$4:$N$103,$E1032,Assumptions!$O$4:$O$103,"HVN"))</f>
        <v/>
      </c>
      <c r="O1032" s="25">
        <f>(L1032+N1032)*Assumptions!$S$11</f>
        <v/>
      </c>
      <c r="P1032" s="26">
        <f>$F1032*$J1032*$O1032</f>
        <v/>
      </c>
    </row>
    <row r="1033">
      <c r="A1033" s="11" t="inlineStr">
        <is>
          <t>UNIT</t>
        </is>
      </c>
      <c r="B1033" s="18" t="inlineStr">
        <is>
          <t>PAR_TACOMA</t>
        </is>
      </c>
      <c r="C1033" s="18" t="n">
        <v>5</v>
      </c>
      <c r="D1033" s="18" t="inlineStr">
        <is>
          <t>NHT</t>
        </is>
      </c>
      <c r="E1033" s="18" t="inlineStr">
        <is>
          <t>NHT</t>
        </is>
      </c>
      <c r="F1033" s="19" t="n">
        <v>10.4</v>
      </c>
      <c r="G1033" s="21">
        <f>IFERROR(IF(INDEX(Effective!$E$3:$R$125,MATCH($B1033,Effective!$A$3:$A$125,0),MATCH($D1033,Effective!$E$2:$R$2,0))=0,"",INDEX(Effective!$E$3:$R$125,MATCH($B1033,Effective!$A$3:$A$125,0),MATCH($D1033,Effective!$E$2:$R$2,0))),"")</f>
        <v/>
      </c>
      <c r="H1033" s="22" t="inlineStr">
        <is>
          <t>override</t>
        </is>
      </c>
      <c r="I1033" s="23" t="n"/>
      <c r="J1033" s="24">
        <f>IF(AND(IF($H1034&lt;&gt;"",$H1034,$H1033)="override",$I1033&lt;&gt;""),$I1033,SUMIFS(Assumptions!$K$4:$K$8,Assumptions!$J$4:$J$8,$C1033))*Assumptions!$S$10</f>
        <v/>
      </c>
      <c r="K1033" s="23" t="n"/>
      <c r="L1033" s="25">
        <f>IF(AND(IF($H1034&lt;&gt;"",$H1034,$H1033)="override",$K1033&lt;&gt;""),$K1033,SUMIFS(Assumptions!$P$4:$P$103,Assumptions!$M$4:$M$103,$C1033,Assumptions!$N$4:$N$103,$E1033,Assumptions!$O$4:$O$103,"LVN"))</f>
        <v/>
      </c>
      <c r="M1033" s="23" t="n"/>
      <c r="N1033" s="25">
        <f>IF(AND(IF($H1034&lt;&gt;"",$H1034,$H1033)="override",$M1033&lt;&gt;""),$M1033,SUMIFS(Assumptions!$P$4:$P$103,Assumptions!$M$4:$M$103,$C1033,Assumptions!$N$4:$N$103,$E1033,Assumptions!$O$4:$O$103,"HVN"))</f>
        <v/>
      </c>
      <c r="O1033" s="25">
        <f>(L1033+N1033)*Assumptions!$S$11</f>
        <v/>
      </c>
      <c r="P1033" s="26">
        <f>$F1033*$J1033*$O1033</f>
        <v/>
      </c>
    </row>
    <row r="1034">
      <c r="A1034" s="27" t="inlineStr">
        <is>
          <t>TOTAL</t>
        </is>
      </c>
      <c r="B1034" s="28" t="inlineStr">
        <is>
          <t>PAR_TACOMA</t>
        </is>
      </c>
      <c r="C1034" s="28" t="n">
        <v>5</v>
      </c>
      <c r="D1034" s="28" t="inlineStr">
        <is>
          <t>NET NAPHTHA</t>
        </is>
      </c>
      <c r="H1034" s="22" t="n"/>
      <c r="P1034" s="29">
        <f>SUM(P1029:P1033)</f>
        <v/>
      </c>
    </row>
    <row r="1036" ht="20" customHeight="1">
      <c r="A1036" s="8">
        <f>"  Kern Oil Bakersfield  [KERN_BAKERSFIELD]   —   Kern Oil   —   PADD 5   —   crude "&amp;TEXT(SUMIFS(Data!$G$3:$G$125,Data!$A$3:$A$125,"KERN_BAKERSFIELD"),"#,##0")&amp;" kbd"</f>
        <v/>
      </c>
      <c r="B1036" s="9" t="n"/>
      <c r="C1036" s="9" t="n"/>
      <c r="D1036" s="9" t="n"/>
      <c r="E1036" s="9" t="n"/>
      <c r="F1036" s="9" t="n"/>
      <c r="G1036" s="9" t="n"/>
      <c r="H1036" s="9" t="n"/>
      <c r="I1036" s="9" t="n"/>
      <c r="J1036" s="9" t="n"/>
      <c r="K1036" s="9" t="n"/>
      <c r="L1036" s="9" t="n"/>
      <c r="M1036" s="9" t="n"/>
      <c r="N1036" s="9" t="n"/>
      <c r="O1036" s="9" t="n"/>
      <c r="P1036" s="9" t="n"/>
    </row>
    <row r="1037">
      <c r="A1037" s="11" t="inlineStr">
        <is>
          <t>UNIT</t>
        </is>
      </c>
      <c r="B1037" s="18" t="inlineStr">
        <is>
          <t>KERN_BAKERSFIELD</t>
        </is>
      </c>
      <c r="C1037" s="18" t="n">
        <v>5</v>
      </c>
      <c r="D1037" s="18" t="inlineStr">
        <is>
          <t>CDU</t>
        </is>
      </c>
      <c r="E1037" s="18" t="inlineStr">
        <is>
          <t>CDU</t>
        </is>
      </c>
      <c r="F1037" s="19" t="n">
        <v>27</v>
      </c>
      <c r="G1037" s="21">
        <f>IFERROR(IF(INDEX(Effective!$E$3:$R$125,MATCH($B1037,Effective!$A$3:$A$125,0),MATCH($D1037,Effective!$E$2:$R$2,0))=0,"",INDEX(Effective!$E$3:$R$125,MATCH($B1037,Effective!$A$3:$A$125,0),MATCH($D1037,Effective!$E$2:$R$2,0))),"")</f>
        <v/>
      </c>
      <c r="H1037" s="22" t="inlineStr">
        <is>
          <t>override</t>
        </is>
      </c>
      <c r="I1037" s="23" t="n"/>
      <c r="J1037" s="24">
        <f>IF(AND(IF($H1041&lt;&gt;"",$H1041,$H1037)="override",$I1037&lt;&gt;""),$I1037,SUMIFS(Assumptions!$K$4:$K$8,Assumptions!$J$4:$J$8,$C1037))*Assumptions!$S$10</f>
        <v/>
      </c>
      <c r="K1037" s="23" t="n"/>
      <c r="L1037" s="25">
        <f>IF(AND(IF($H1041&lt;&gt;"",$H1041,$H1037)="override",$K1037&lt;&gt;""),$K1037,SUMIFS(Assumptions!$P$4:$P$103,Assumptions!$M$4:$M$103,$C1037,Assumptions!$N$4:$N$103,$E1037,Assumptions!$O$4:$O$103,"LVN"))</f>
        <v/>
      </c>
      <c r="M1037" s="23" t="n"/>
      <c r="N1037" s="25">
        <f>IF(AND(IF($H1041&lt;&gt;"",$H1041,$H1037)="override",$M1037&lt;&gt;""),$M1037,SUMIFS(Assumptions!$P$4:$P$103,Assumptions!$M$4:$M$103,$C1037,Assumptions!$N$4:$N$103,$E1037,Assumptions!$O$4:$O$103,"HVN"))</f>
        <v/>
      </c>
      <c r="O1037" s="25">
        <f>(L1037+N1037)*Assumptions!$S$11</f>
        <v/>
      </c>
      <c r="P1037" s="26">
        <f>$F1037*$J1037*$O1037</f>
        <v/>
      </c>
    </row>
    <row r="1038">
      <c r="A1038" s="11" t="inlineStr">
        <is>
          <t>UNIT</t>
        </is>
      </c>
      <c r="B1038" s="18" t="inlineStr">
        <is>
          <t>KERN_BAKERSFIELD</t>
        </is>
      </c>
      <c r="C1038" s="18" t="n">
        <v>5</v>
      </c>
      <c r="D1038" s="18" t="inlineStr">
        <is>
          <t>CCR</t>
        </is>
      </c>
      <c r="E1038" s="18" t="inlineStr">
        <is>
          <t>REFORMER</t>
        </is>
      </c>
      <c r="F1038" s="19" t="n">
        <v>2.5</v>
      </c>
      <c r="G1038" s="21">
        <f>IFERROR(IF(INDEX(Effective!$E$3:$R$125,MATCH($B1038,Effective!$A$3:$A$125,0),MATCH($D1038,Effective!$E$2:$R$2,0))=0,"",INDEX(Effective!$E$3:$R$125,MATCH($B1038,Effective!$A$3:$A$125,0),MATCH($D1038,Effective!$E$2:$R$2,0))),"")</f>
        <v/>
      </c>
      <c r="H1038" s="22" t="inlineStr">
        <is>
          <t>override</t>
        </is>
      </c>
      <c r="I1038" s="23" t="n"/>
      <c r="J1038" s="24">
        <f>IF(AND(IF($H1041&lt;&gt;"",$H1041,$H1038)="override",$I1038&lt;&gt;""),$I1038,SUMIFS(Assumptions!$K$4:$K$8,Assumptions!$J$4:$J$8,$C1038))*Assumptions!$S$10</f>
        <v/>
      </c>
      <c r="K1038" s="23" t="n"/>
      <c r="L1038" s="25">
        <f>IF(AND(IF($H1041&lt;&gt;"",$H1041,$H1038)="override",$K1038&lt;&gt;""),$K1038,SUMIFS(Assumptions!$P$4:$P$103,Assumptions!$M$4:$M$103,$C1038,Assumptions!$N$4:$N$103,$E1038,Assumptions!$O$4:$O$103,"LVN"))</f>
        <v/>
      </c>
      <c r="M1038" s="23" t="n"/>
      <c r="N1038" s="25">
        <f>IF(AND(IF($H1041&lt;&gt;"",$H1041,$H1038)="override",$M1038&lt;&gt;""),$M1038,SUMIFS(Assumptions!$P$4:$P$103,Assumptions!$M$4:$M$103,$C1038,Assumptions!$N$4:$N$103,$E1038,Assumptions!$O$4:$O$103,"HVN"))</f>
        <v/>
      </c>
      <c r="O1038" s="25">
        <f>(L1038+N1038)*Assumptions!$S$11</f>
        <v/>
      </c>
      <c r="P1038" s="26">
        <f>$F1038*$J1038*$O1038</f>
        <v/>
      </c>
    </row>
    <row r="1039">
      <c r="A1039" s="11" t="inlineStr">
        <is>
          <t>UNIT</t>
        </is>
      </c>
      <c r="B1039" s="18" t="inlineStr">
        <is>
          <t>KERN_BAKERSFIELD</t>
        </is>
      </c>
      <c r="C1039" s="18" t="n">
        <v>5</v>
      </c>
      <c r="D1039" s="18" t="inlineStr">
        <is>
          <t>REF</t>
        </is>
      </c>
      <c r="E1039" s="18" t="inlineStr">
        <is>
          <t>REFORMER</t>
        </is>
      </c>
      <c r="F1039" s="19" t="n">
        <v>3.3</v>
      </c>
      <c r="G1039" s="21">
        <f>IFERROR(IF(INDEX(Effective!$E$3:$R$125,MATCH($B1039,Effective!$A$3:$A$125,0),MATCH($D1039,Effective!$E$2:$R$2,0))=0,"",INDEX(Effective!$E$3:$R$125,MATCH($B1039,Effective!$A$3:$A$125,0),MATCH($D1039,Effective!$E$2:$R$2,0))),"")</f>
        <v/>
      </c>
      <c r="H1039" s="22" t="inlineStr">
        <is>
          <t>override</t>
        </is>
      </c>
      <c r="I1039" s="23" t="n"/>
      <c r="J1039" s="24">
        <f>IF(AND(IF($H1041&lt;&gt;"",$H1041,$H1039)="override",$I1039&lt;&gt;""),$I1039,SUMIFS(Assumptions!$K$4:$K$8,Assumptions!$J$4:$J$8,$C1039))*Assumptions!$S$10</f>
        <v/>
      </c>
      <c r="K1039" s="23" t="n"/>
      <c r="L1039" s="25">
        <f>IF(AND(IF($H1041&lt;&gt;"",$H1041,$H1039)="override",$K1039&lt;&gt;""),$K1039,SUMIFS(Assumptions!$P$4:$P$103,Assumptions!$M$4:$M$103,$C1039,Assumptions!$N$4:$N$103,$E1039,Assumptions!$O$4:$O$103,"LVN"))</f>
        <v/>
      </c>
      <c r="M1039" s="23" t="n"/>
      <c r="N1039" s="25">
        <f>IF(AND(IF($H1041&lt;&gt;"",$H1041,$H1039)="override",$M1039&lt;&gt;""),$M1039,SUMIFS(Assumptions!$P$4:$P$103,Assumptions!$M$4:$M$103,$C1039,Assumptions!$N$4:$N$103,$E1039,Assumptions!$O$4:$O$103,"HVN"))</f>
        <v/>
      </c>
      <c r="O1039" s="25">
        <f>(L1039+N1039)*Assumptions!$S$11</f>
        <v/>
      </c>
      <c r="P1039" s="26">
        <f>$F1039*$J1039*$O1039</f>
        <v/>
      </c>
    </row>
    <row r="1040">
      <c r="A1040" s="11" t="inlineStr">
        <is>
          <t>UNIT</t>
        </is>
      </c>
      <c r="B1040" s="18" t="inlineStr">
        <is>
          <t>KERN_BAKERSFIELD</t>
        </is>
      </c>
      <c r="C1040" s="18" t="n">
        <v>5</v>
      </c>
      <c r="D1040" s="18" t="inlineStr">
        <is>
          <t>NHT</t>
        </is>
      </c>
      <c r="E1040" s="18" t="inlineStr">
        <is>
          <t>NHT</t>
        </is>
      </c>
      <c r="F1040" s="19" t="n">
        <v>5</v>
      </c>
      <c r="G1040" s="21">
        <f>IFERROR(IF(INDEX(Effective!$E$3:$R$125,MATCH($B1040,Effective!$A$3:$A$125,0),MATCH($D1040,Effective!$E$2:$R$2,0))=0,"",INDEX(Effective!$E$3:$R$125,MATCH($B1040,Effective!$A$3:$A$125,0),MATCH($D1040,Effective!$E$2:$R$2,0))),"")</f>
        <v/>
      </c>
      <c r="H1040" s="22" t="inlineStr">
        <is>
          <t>override</t>
        </is>
      </c>
      <c r="I1040" s="23" t="n"/>
      <c r="J1040" s="24">
        <f>IF(AND(IF($H1041&lt;&gt;"",$H1041,$H1040)="override",$I1040&lt;&gt;""),$I1040,SUMIFS(Assumptions!$K$4:$K$8,Assumptions!$J$4:$J$8,$C1040))*Assumptions!$S$10</f>
        <v/>
      </c>
      <c r="K1040" s="23" t="n"/>
      <c r="L1040" s="25">
        <f>IF(AND(IF($H1041&lt;&gt;"",$H1041,$H1040)="override",$K1040&lt;&gt;""),$K1040,SUMIFS(Assumptions!$P$4:$P$103,Assumptions!$M$4:$M$103,$C1040,Assumptions!$N$4:$N$103,$E1040,Assumptions!$O$4:$O$103,"LVN"))</f>
        <v/>
      </c>
      <c r="M1040" s="23" t="n"/>
      <c r="N1040" s="25">
        <f>IF(AND(IF($H1041&lt;&gt;"",$H1041,$H1040)="override",$M1040&lt;&gt;""),$M1040,SUMIFS(Assumptions!$P$4:$P$103,Assumptions!$M$4:$M$103,$C1040,Assumptions!$N$4:$N$103,$E1040,Assumptions!$O$4:$O$103,"HVN"))</f>
        <v/>
      </c>
      <c r="O1040" s="25">
        <f>(L1040+N1040)*Assumptions!$S$11</f>
        <v/>
      </c>
      <c r="P1040" s="26">
        <f>$F1040*$J1040*$O1040</f>
        <v/>
      </c>
    </row>
    <row r="1041">
      <c r="A1041" s="27" t="inlineStr">
        <is>
          <t>TOTAL</t>
        </is>
      </c>
      <c r="B1041" s="28" t="inlineStr">
        <is>
          <t>KERN_BAKERSFIELD</t>
        </is>
      </c>
      <c r="C1041" s="28" t="n">
        <v>5</v>
      </c>
      <c r="D1041" s="28" t="inlineStr">
        <is>
          <t>NET NAPHTHA</t>
        </is>
      </c>
      <c r="H1041" s="22" t="n"/>
      <c r="P1041" s="29">
        <f>SUM(P1037:P1040)</f>
        <v/>
      </c>
    </row>
    <row r="1043" ht="20" customHeight="1">
      <c r="A1043" s="8">
        <f>"  San Joaquin Refining Bakersfield  [SAN_BAKERSFIELD]   —   San Joaquin Refining   —   PADD 5   —   crude "&amp;TEXT(SUMIFS(Data!$G$3:$G$125,Data!$A$3:$A$125,"SAN_BAKERSFIELD"),"#,##0")&amp;" kbd"</f>
        <v/>
      </c>
      <c r="B1043" s="9" t="n"/>
      <c r="C1043" s="9" t="n"/>
      <c r="D1043" s="9" t="n"/>
      <c r="E1043" s="9" t="n"/>
      <c r="F1043" s="9" t="n"/>
      <c r="G1043" s="9" t="n"/>
      <c r="H1043" s="9" t="n"/>
      <c r="I1043" s="9" t="n"/>
      <c r="J1043" s="9" t="n"/>
      <c r="K1043" s="9" t="n"/>
      <c r="L1043" s="9" t="n"/>
      <c r="M1043" s="9" t="n"/>
      <c r="N1043" s="9" t="n"/>
      <c r="O1043" s="9" t="n"/>
      <c r="P1043" s="9" t="n"/>
    </row>
    <row r="1044">
      <c r="A1044" s="11" t="inlineStr">
        <is>
          <t>UNIT</t>
        </is>
      </c>
      <c r="B1044" s="18" t="inlineStr">
        <is>
          <t>SAN_BAKERSFIELD</t>
        </is>
      </c>
      <c r="C1044" s="18" t="n">
        <v>5</v>
      </c>
      <c r="D1044" s="18" t="inlineStr">
        <is>
          <t>CDU</t>
        </is>
      </c>
      <c r="E1044" s="18" t="inlineStr">
        <is>
          <t>CDU</t>
        </is>
      </c>
      <c r="F1044" s="19" t="n">
        <v>25</v>
      </c>
      <c r="G1044" s="21">
        <f>IFERROR(IF(INDEX(Effective!$E$3:$R$125,MATCH($B1044,Effective!$A$3:$A$125,0),MATCH($D1044,Effective!$E$2:$R$2,0))=0,"",INDEX(Effective!$E$3:$R$125,MATCH($B1044,Effective!$A$3:$A$125,0),MATCH($D1044,Effective!$E$2:$R$2,0))),"")</f>
        <v/>
      </c>
      <c r="H1044" s="22" t="inlineStr">
        <is>
          <t>override</t>
        </is>
      </c>
      <c r="I1044" s="23" t="n"/>
      <c r="J1044" s="24">
        <f>IF(AND(IF($H1046&lt;&gt;"",$H1046,$H1044)="override",$I1044&lt;&gt;""),$I1044,SUMIFS(Assumptions!$K$4:$K$8,Assumptions!$J$4:$J$8,$C1044))*Assumptions!$S$10</f>
        <v/>
      </c>
      <c r="K1044" s="23" t="n"/>
      <c r="L1044" s="25">
        <f>IF(AND(IF($H1046&lt;&gt;"",$H1046,$H1044)="override",$K1044&lt;&gt;""),$K1044,SUMIFS(Assumptions!$P$4:$P$103,Assumptions!$M$4:$M$103,$C1044,Assumptions!$N$4:$N$103,$E1044,Assumptions!$O$4:$O$103,"LVN"))</f>
        <v/>
      </c>
      <c r="M1044" s="23" t="n"/>
      <c r="N1044" s="25">
        <f>IF(AND(IF($H1046&lt;&gt;"",$H1046,$H1044)="override",$M1044&lt;&gt;""),$M1044,SUMIFS(Assumptions!$P$4:$P$103,Assumptions!$M$4:$M$103,$C1044,Assumptions!$N$4:$N$103,$E1044,Assumptions!$O$4:$O$103,"HVN"))</f>
        <v/>
      </c>
      <c r="O1044" s="25">
        <f>(L1044+N1044)*Assumptions!$S$11</f>
        <v/>
      </c>
      <c r="P1044" s="26">
        <f>$F1044*$J1044*$O1044</f>
        <v/>
      </c>
    </row>
    <row r="1045">
      <c r="A1045" s="11" t="inlineStr">
        <is>
          <t>UNIT</t>
        </is>
      </c>
      <c r="B1045" s="18" t="inlineStr">
        <is>
          <t>SAN_BAKERSFIELD</t>
        </is>
      </c>
      <c r="C1045" s="18" t="n">
        <v>5</v>
      </c>
      <c r="D1045" s="18" t="inlineStr">
        <is>
          <t>VDU</t>
        </is>
      </c>
      <c r="E1045" s="18" t="inlineStr">
        <is>
          <t>VDU</t>
        </is>
      </c>
      <c r="F1045" s="19" t="n">
        <v>14.3</v>
      </c>
      <c r="G1045" s="21">
        <f>IFERROR(IF(INDEX(Effective!$E$3:$R$125,MATCH($B1045,Effective!$A$3:$A$125,0),MATCH($D1045,Effective!$E$2:$R$2,0))=0,"",INDEX(Effective!$E$3:$R$125,MATCH($B1045,Effective!$A$3:$A$125,0),MATCH($D1045,Effective!$E$2:$R$2,0))),"")</f>
        <v/>
      </c>
      <c r="H1045" s="22" t="inlineStr">
        <is>
          <t>override</t>
        </is>
      </c>
      <c r="I1045" s="23" t="n"/>
      <c r="J1045" s="24">
        <f>IF(AND(IF($H1046&lt;&gt;"",$H1046,$H1045)="override",$I1045&lt;&gt;""),$I1045,SUMIFS(Assumptions!$K$4:$K$8,Assumptions!$J$4:$J$8,$C1045))*Assumptions!$S$10</f>
        <v/>
      </c>
      <c r="K1045" s="23" t="n"/>
      <c r="L1045" s="25">
        <f>IF(AND(IF($H1046&lt;&gt;"",$H1046,$H1045)="override",$K1045&lt;&gt;""),$K1045,SUMIFS(Assumptions!$P$4:$P$103,Assumptions!$M$4:$M$103,$C1045,Assumptions!$N$4:$N$103,$E1045,Assumptions!$O$4:$O$103,"LVN"))</f>
        <v/>
      </c>
      <c r="M1045" s="23" t="n"/>
      <c r="N1045" s="25">
        <f>IF(AND(IF($H1046&lt;&gt;"",$H1046,$H1045)="override",$M1045&lt;&gt;""),$M1045,SUMIFS(Assumptions!$P$4:$P$103,Assumptions!$M$4:$M$103,$C1045,Assumptions!$N$4:$N$103,$E1045,Assumptions!$O$4:$O$103,"HVN"))</f>
        <v/>
      </c>
      <c r="O1045" s="25">
        <f>(L1045+N1045)*Assumptions!$S$11</f>
        <v/>
      </c>
      <c r="P1045" s="26">
        <f>$F1045*$J1045*$O1045</f>
        <v/>
      </c>
    </row>
    <row r="1046">
      <c r="A1046" s="27" t="inlineStr">
        <is>
          <t>TOTAL</t>
        </is>
      </c>
      <c r="B1046" s="28" t="inlineStr">
        <is>
          <t>SAN_BAKERSFIELD</t>
        </is>
      </c>
      <c r="C1046" s="28" t="n">
        <v>5</v>
      </c>
      <c r="D1046" s="28" t="inlineStr">
        <is>
          <t>NET NAPHTHA</t>
        </is>
      </c>
      <c r="H1046" s="22" t="n"/>
      <c r="P1046" s="29">
        <f>SUM(P1044:P1045)</f>
        <v/>
      </c>
    </row>
    <row r="1048" ht="20" customHeight="1">
      <c r="A1048" s="8">
        <f>"  Petro Star Inc. North Pole  [PETRO_NORTH_POLE]   —   Petro Star Inc.   —   PADD 5   —   crude "&amp;TEXT(SUMIFS(Data!$G$3:$G$125,Data!$A$3:$A$125,"PETRO_NORTH_POLE"),"#,##0")&amp;" kbd"</f>
        <v/>
      </c>
      <c r="B1048" s="9" t="n"/>
      <c r="C1048" s="9" t="n"/>
      <c r="D1048" s="9" t="n"/>
      <c r="E1048" s="9" t="n"/>
      <c r="F1048" s="9" t="n"/>
      <c r="G1048" s="9" t="n"/>
      <c r="H1048" s="9" t="n"/>
      <c r="I1048" s="9" t="n"/>
      <c r="J1048" s="9" t="n"/>
      <c r="K1048" s="9" t="n"/>
      <c r="L1048" s="9" t="n"/>
      <c r="M1048" s="9" t="n"/>
      <c r="N1048" s="9" t="n"/>
      <c r="O1048" s="9" t="n"/>
      <c r="P1048" s="9" t="n"/>
    </row>
    <row r="1049">
      <c r="A1049" s="11" t="inlineStr">
        <is>
          <t>UNIT</t>
        </is>
      </c>
      <c r="B1049" s="18" t="inlineStr">
        <is>
          <t>PETRO_NORTH_POLE</t>
        </is>
      </c>
      <c r="C1049" s="18" t="n">
        <v>5</v>
      </c>
      <c r="D1049" s="18" t="inlineStr">
        <is>
          <t>CDU</t>
        </is>
      </c>
      <c r="E1049" s="18" t="inlineStr">
        <is>
          <t>CDU</t>
        </is>
      </c>
      <c r="F1049" s="19" t="n">
        <v>22.5</v>
      </c>
      <c r="G1049" s="21">
        <f>IFERROR(IF(INDEX(Effective!$E$3:$R$125,MATCH($B1049,Effective!$A$3:$A$125,0),MATCH($D1049,Effective!$E$2:$R$2,0))=0,"",INDEX(Effective!$E$3:$R$125,MATCH($B1049,Effective!$A$3:$A$125,0),MATCH($D1049,Effective!$E$2:$R$2,0))),"")</f>
        <v/>
      </c>
      <c r="H1049" s="22" t="inlineStr">
        <is>
          <t>override</t>
        </is>
      </c>
      <c r="I1049" s="23" t="n"/>
      <c r="J1049" s="24">
        <f>IF(AND(IF($H1050&lt;&gt;"",$H1050,$H1049)="override",$I1049&lt;&gt;""),$I1049,SUMIFS(Assumptions!$K$4:$K$8,Assumptions!$J$4:$J$8,$C1049))*Assumptions!$S$10</f>
        <v/>
      </c>
      <c r="K1049" s="23" t="n"/>
      <c r="L1049" s="25">
        <f>IF(AND(IF($H1050&lt;&gt;"",$H1050,$H1049)="override",$K1049&lt;&gt;""),$K1049,SUMIFS(Assumptions!$P$4:$P$103,Assumptions!$M$4:$M$103,$C1049,Assumptions!$N$4:$N$103,$E1049,Assumptions!$O$4:$O$103,"LVN"))</f>
        <v/>
      </c>
      <c r="M1049" s="23" t="n"/>
      <c r="N1049" s="25">
        <f>IF(AND(IF($H1050&lt;&gt;"",$H1050,$H1049)="override",$M1049&lt;&gt;""),$M1049,SUMIFS(Assumptions!$P$4:$P$103,Assumptions!$M$4:$M$103,$C1049,Assumptions!$N$4:$N$103,$E1049,Assumptions!$O$4:$O$103,"HVN"))</f>
        <v/>
      </c>
      <c r="O1049" s="25">
        <f>(L1049+N1049)*Assumptions!$S$11</f>
        <v/>
      </c>
      <c r="P1049" s="26">
        <f>$F1049*$J1049*$O1049</f>
        <v/>
      </c>
    </row>
    <row r="1050">
      <c r="A1050" s="27" t="inlineStr">
        <is>
          <t>TOTAL</t>
        </is>
      </c>
      <c r="B1050" s="28" t="inlineStr">
        <is>
          <t>PETRO_NORTH_POLE</t>
        </is>
      </c>
      <c r="C1050" s="28" t="n">
        <v>5</v>
      </c>
      <c r="D1050" s="28" t="inlineStr">
        <is>
          <t>NET NAPHTHA</t>
        </is>
      </c>
      <c r="H1050" s="22" t="n"/>
      <c r="P1050" s="29">
        <f>SUM(P1049:P1049)</f>
        <v/>
      </c>
    </row>
    <row r="1052" ht="20" customHeight="1">
      <c r="A1052" s="8">
        <f>"  BP Prudhoe Bay  [BP_PRUDHOE_BAY]   —   BP   —   PADD 5   —   crude "&amp;TEXT(SUMIFS(Data!$G$3:$G$125,Data!$A$3:$A$125,"BP_PRUDHOE_BAY"),"#,##0")&amp;" kbd"</f>
        <v/>
      </c>
      <c r="B1052" s="9" t="n"/>
      <c r="C1052" s="9" t="n"/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9" t="n"/>
      <c r="P1052" s="9" t="n"/>
    </row>
    <row r="1053">
      <c r="A1053" s="11" t="inlineStr">
        <is>
          <t>UNIT</t>
        </is>
      </c>
      <c r="B1053" s="18" t="inlineStr">
        <is>
          <t>BP_PRUDHOE_BAY</t>
        </is>
      </c>
      <c r="C1053" s="18" t="n">
        <v>5</v>
      </c>
      <c r="D1053" s="18" t="inlineStr">
        <is>
          <t>CDU</t>
        </is>
      </c>
      <c r="E1053" s="18" t="inlineStr">
        <is>
          <t>CDU</t>
        </is>
      </c>
      <c r="F1053" s="19" t="n">
        <v>8</v>
      </c>
      <c r="G1053" s="21">
        <f>IFERROR(IF(INDEX(Effective!$E$3:$R$125,MATCH($B1053,Effective!$A$3:$A$125,0),MATCH($D1053,Effective!$E$2:$R$2,0))=0,"",INDEX(Effective!$E$3:$R$125,MATCH($B1053,Effective!$A$3:$A$125,0),MATCH($D1053,Effective!$E$2:$R$2,0))),"")</f>
        <v/>
      </c>
      <c r="H1053" s="22" t="inlineStr">
        <is>
          <t>override</t>
        </is>
      </c>
      <c r="I1053" s="23" t="n"/>
      <c r="J1053" s="24">
        <f>IF(AND(IF($H1054&lt;&gt;"",$H1054,$H1053)="override",$I1053&lt;&gt;""),$I1053,SUMIFS(Assumptions!$K$4:$K$8,Assumptions!$J$4:$J$8,$C1053))*Assumptions!$S$10</f>
        <v/>
      </c>
      <c r="K1053" s="23" t="n"/>
      <c r="L1053" s="25">
        <f>IF(AND(IF($H1054&lt;&gt;"",$H1054,$H1053)="override",$K1053&lt;&gt;""),$K1053,SUMIFS(Assumptions!$P$4:$P$103,Assumptions!$M$4:$M$103,$C1053,Assumptions!$N$4:$N$103,$E1053,Assumptions!$O$4:$O$103,"LVN"))</f>
        <v/>
      </c>
      <c r="M1053" s="23" t="n"/>
      <c r="N1053" s="25">
        <f>IF(AND(IF($H1054&lt;&gt;"",$H1054,$H1053)="override",$M1053&lt;&gt;""),$M1053,SUMIFS(Assumptions!$P$4:$P$103,Assumptions!$M$4:$M$103,$C1053,Assumptions!$N$4:$N$103,$E1053,Assumptions!$O$4:$O$103,"HVN"))</f>
        <v/>
      </c>
      <c r="O1053" s="25">
        <f>(L1053+N1053)*Assumptions!$S$11</f>
        <v/>
      </c>
      <c r="P1053" s="26">
        <f>$F1053*$J1053*$O1053</f>
        <v/>
      </c>
    </row>
    <row r="1054">
      <c r="A1054" s="27" t="inlineStr">
        <is>
          <t>TOTAL</t>
        </is>
      </c>
      <c r="B1054" s="28" t="inlineStr">
        <is>
          <t>BP_PRUDHOE_BAY</t>
        </is>
      </c>
      <c r="C1054" s="28" t="n">
        <v>5</v>
      </c>
      <c r="D1054" s="28" t="inlineStr">
        <is>
          <t>NET NAPHTHA</t>
        </is>
      </c>
      <c r="H1054" s="22" t="n"/>
      <c r="P1054" s="29">
        <f>SUM(P1053:P1053)</f>
        <v/>
      </c>
    </row>
    <row r="1056" ht="20" customHeight="1">
      <c r="A1056" s="8">
        <f>"  ConocoPhillips Anchorage  [CONOCOPHILLIPS_ANCHORAGE]   —   Phillips Petroleum   —   PADD 5   —   crude "&amp;TEXT(SUMIFS(Data!$G$3:$G$125,Data!$A$3:$A$125,"CONOCOPHILLIPS_ANCHORAGE"),"#,##0")&amp;" kbd"</f>
        <v/>
      </c>
      <c r="B1056" s="9" t="n"/>
      <c r="C1056" s="9" t="n"/>
      <c r="D1056" s="9" t="n"/>
      <c r="E1056" s="9" t="n"/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9" t="n"/>
    </row>
    <row r="1057">
      <c r="A1057" s="11" t="inlineStr">
        <is>
          <t>UNIT</t>
        </is>
      </c>
      <c r="B1057" s="18" t="inlineStr">
        <is>
          <t>CONOCOPHILLIPS_ANCHORAGE</t>
        </is>
      </c>
      <c r="C1057" s="18" t="n">
        <v>5</v>
      </c>
      <c r="D1057" s="18" t="inlineStr">
        <is>
          <t>CDU</t>
        </is>
      </c>
      <c r="E1057" s="18" t="inlineStr">
        <is>
          <t>CDU</t>
        </is>
      </c>
      <c r="F1057" s="19" t="n">
        <v>16</v>
      </c>
      <c r="G1057" s="21">
        <f>IFERROR(IF(INDEX(Effective!$E$3:$R$125,MATCH($B1057,Effective!$A$3:$A$125,0),MATCH($D1057,Effective!$E$2:$R$2,0))=0,"",INDEX(Effective!$E$3:$R$125,MATCH($B1057,Effective!$A$3:$A$125,0),MATCH($D1057,Effective!$E$2:$R$2,0))),"")</f>
        <v/>
      </c>
      <c r="H1057" s="22" t="inlineStr">
        <is>
          <t>override</t>
        </is>
      </c>
      <c r="I1057" s="23" t="n"/>
      <c r="J1057" s="24">
        <f>IF(AND(IF($H1058&lt;&gt;"",$H1058,$H1057)="override",$I1057&lt;&gt;""),$I1057,SUMIFS(Assumptions!$K$4:$K$8,Assumptions!$J$4:$J$8,$C1057))*Assumptions!$S$10</f>
        <v/>
      </c>
      <c r="K1057" s="23" t="n"/>
      <c r="L1057" s="25">
        <f>IF(AND(IF($H1058&lt;&gt;"",$H1058,$H1057)="override",$K1057&lt;&gt;""),$K1057,SUMIFS(Assumptions!$P$4:$P$103,Assumptions!$M$4:$M$103,$C1057,Assumptions!$N$4:$N$103,$E1057,Assumptions!$O$4:$O$103,"LVN"))</f>
        <v/>
      </c>
      <c r="M1057" s="23" t="n"/>
      <c r="N1057" s="25">
        <f>IF(AND(IF($H1058&lt;&gt;"",$H1058,$H1057)="override",$M1057&lt;&gt;""),$M1057,SUMIFS(Assumptions!$P$4:$P$103,Assumptions!$M$4:$M$103,$C1057,Assumptions!$N$4:$N$103,$E1057,Assumptions!$O$4:$O$103,"HVN"))</f>
        <v/>
      </c>
      <c r="O1057" s="25">
        <f>(L1057+N1057)*Assumptions!$S$11</f>
        <v/>
      </c>
      <c r="P1057" s="26">
        <f>$F1057*$J1057*$O1057</f>
        <v/>
      </c>
    </row>
    <row r="1058">
      <c r="A1058" s="27" t="inlineStr">
        <is>
          <t>TOTAL</t>
        </is>
      </c>
      <c r="B1058" s="28" t="inlineStr">
        <is>
          <t>CONOCOPHILLIPS_ANCHORAGE</t>
        </is>
      </c>
      <c r="C1058" s="28" t="n">
        <v>5</v>
      </c>
      <c r="D1058" s="28" t="inlineStr">
        <is>
          <t>NET NAPHTHA</t>
        </is>
      </c>
      <c r="H1058" s="22" t="n"/>
      <c r="P1058" s="29">
        <f>SUM(P1057:P1057)</f>
        <v/>
      </c>
    </row>
    <row r="1060" ht="20" customHeight="1">
      <c r="A1060" s="8">
        <f>"  Lunday-Thagard Oil Co. South Gate  [LUNDAYTHAGARD_SOUTH_GATE]   —   Lunday-Thagard Oil Co.   —   PADD 5   —   crude "&amp;TEXT(SUMIFS(Data!$G$3:$G$125,Data!$A$3:$A$125,"LUNDAYTHAGARD_SOUTH_GATE"),"#,##0")&amp;" kbd"</f>
        <v/>
      </c>
      <c r="B1060" s="9" t="n"/>
      <c r="C1060" s="9" t="n"/>
      <c r="D1060" s="9" t="n"/>
      <c r="E1060" s="9" t="n"/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9" t="n"/>
      <c r="P1060" s="9" t="n"/>
    </row>
    <row r="1061">
      <c r="A1061" s="11" t="inlineStr">
        <is>
          <t>UNIT</t>
        </is>
      </c>
      <c r="B1061" s="18" t="inlineStr">
        <is>
          <t>LUNDAYTHAGARD_SOUTH_GATE</t>
        </is>
      </c>
      <c r="C1061" s="18" t="n">
        <v>5</v>
      </c>
      <c r="D1061" s="18" t="inlineStr">
        <is>
          <t>CDU</t>
        </is>
      </c>
      <c r="E1061" s="18" t="inlineStr">
        <is>
          <t>CDU</t>
        </is>
      </c>
      <c r="F1061" s="19" t="n">
        <v>10</v>
      </c>
      <c r="G1061" s="21">
        <f>IFERROR(IF(INDEX(Effective!$E$3:$R$125,MATCH($B1061,Effective!$A$3:$A$125,0),MATCH($D1061,Effective!$E$2:$R$2,0))=0,"",INDEX(Effective!$E$3:$R$125,MATCH($B1061,Effective!$A$3:$A$125,0),MATCH($D1061,Effective!$E$2:$R$2,0))),"")</f>
        <v/>
      </c>
      <c r="H1061" s="22" t="inlineStr">
        <is>
          <t>override</t>
        </is>
      </c>
      <c r="I1061" s="23" t="n"/>
      <c r="J1061" s="24">
        <f>IF(AND(IF($H1063&lt;&gt;"",$H1063,$H1061)="override",$I1061&lt;&gt;""),$I1061,SUMIFS(Assumptions!$K$4:$K$8,Assumptions!$J$4:$J$8,$C1061))*Assumptions!$S$10</f>
        <v/>
      </c>
      <c r="K1061" s="23" t="n"/>
      <c r="L1061" s="25">
        <f>IF(AND(IF($H1063&lt;&gt;"",$H1063,$H1061)="override",$K1061&lt;&gt;""),$K1061,SUMIFS(Assumptions!$P$4:$P$103,Assumptions!$M$4:$M$103,$C1061,Assumptions!$N$4:$N$103,$E1061,Assumptions!$O$4:$O$103,"LVN"))</f>
        <v/>
      </c>
      <c r="M1061" s="23" t="n"/>
      <c r="N1061" s="25">
        <f>IF(AND(IF($H1063&lt;&gt;"",$H1063,$H1061)="override",$M1061&lt;&gt;""),$M1061,SUMIFS(Assumptions!$P$4:$P$103,Assumptions!$M$4:$M$103,$C1061,Assumptions!$N$4:$N$103,$E1061,Assumptions!$O$4:$O$103,"HVN"))</f>
        <v/>
      </c>
      <c r="O1061" s="25">
        <f>(L1061+N1061)*Assumptions!$S$11</f>
        <v/>
      </c>
      <c r="P1061" s="26">
        <f>$F1061*$J1061*$O1061</f>
        <v/>
      </c>
    </row>
    <row r="1062">
      <c r="A1062" s="11" t="inlineStr">
        <is>
          <t>UNIT</t>
        </is>
      </c>
      <c r="B1062" s="18" t="inlineStr">
        <is>
          <t>LUNDAYTHAGARD_SOUTH_GATE</t>
        </is>
      </c>
      <c r="C1062" s="18" t="n">
        <v>5</v>
      </c>
      <c r="D1062" s="18" t="inlineStr">
        <is>
          <t>VDU</t>
        </is>
      </c>
      <c r="E1062" s="18" t="inlineStr">
        <is>
          <t>VDU</t>
        </is>
      </c>
      <c r="F1062" s="19" t="n">
        <v>5</v>
      </c>
      <c r="G1062" s="21">
        <f>IFERROR(IF(INDEX(Effective!$E$3:$R$125,MATCH($B1062,Effective!$A$3:$A$125,0),MATCH($D1062,Effective!$E$2:$R$2,0))=0,"",INDEX(Effective!$E$3:$R$125,MATCH($B1062,Effective!$A$3:$A$125,0),MATCH($D1062,Effective!$E$2:$R$2,0))),"")</f>
        <v/>
      </c>
      <c r="H1062" s="22" t="inlineStr">
        <is>
          <t>override</t>
        </is>
      </c>
      <c r="I1062" s="23" t="n"/>
      <c r="J1062" s="24">
        <f>IF(AND(IF($H1063&lt;&gt;"",$H1063,$H1062)="override",$I1062&lt;&gt;""),$I1062,SUMIFS(Assumptions!$K$4:$K$8,Assumptions!$J$4:$J$8,$C1062))*Assumptions!$S$10</f>
        <v/>
      </c>
      <c r="K1062" s="23" t="n"/>
      <c r="L1062" s="25">
        <f>IF(AND(IF($H1063&lt;&gt;"",$H1063,$H1062)="override",$K1062&lt;&gt;""),$K1062,SUMIFS(Assumptions!$P$4:$P$103,Assumptions!$M$4:$M$103,$C1062,Assumptions!$N$4:$N$103,$E1062,Assumptions!$O$4:$O$103,"LVN"))</f>
        <v/>
      </c>
      <c r="M1062" s="23" t="n"/>
      <c r="N1062" s="25">
        <f>IF(AND(IF($H1063&lt;&gt;"",$H1063,$H1062)="override",$M1062&lt;&gt;""),$M1062,SUMIFS(Assumptions!$P$4:$P$103,Assumptions!$M$4:$M$103,$C1062,Assumptions!$N$4:$N$103,$E1062,Assumptions!$O$4:$O$103,"HVN"))</f>
        <v/>
      </c>
      <c r="O1062" s="25">
        <f>(L1062+N1062)*Assumptions!$S$11</f>
        <v/>
      </c>
      <c r="P1062" s="26">
        <f>$F1062*$J1062*$O1062</f>
        <v/>
      </c>
    </row>
    <row r="1063">
      <c r="A1063" s="27" t="inlineStr">
        <is>
          <t>TOTAL</t>
        </is>
      </c>
      <c r="B1063" s="28" t="inlineStr">
        <is>
          <t>LUNDAYTHAGARD_SOUTH_GATE</t>
        </is>
      </c>
      <c r="C1063" s="28" t="n">
        <v>5</v>
      </c>
      <c r="D1063" s="28" t="inlineStr">
        <is>
          <t>NET NAPHTHA</t>
        </is>
      </c>
      <c r="H1063" s="22" t="n"/>
      <c r="P1063" s="29">
        <f>SUM(P1061:P1062)</f>
        <v/>
      </c>
    </row>
    <row r="1065" ht="20" customHeight="1">
      <c r="A1065" s="8">
        <f>"  Foreland Corp Tonopah  [FORELAND_TONOPAH]   —   Energy Income Fund   —   PADD 5   —   crude "&amp;TEXT(SUMIFS(Data!$G$3:$G$125,Data!$A$3:$A$125,"FORELAND_TONOPAH"),"#,##0")&amp;" kbd"</f>
        <v/>
      </c>
      <c r="B1065" s="9" t="n"/>
      <c r="C1065" s="9" t="n"/>
      <c r="D1065" s="9" t="n"/>
      <c r="E1065" s="9" t="n"/>
      <c r="F1065" s="9" t="n"/>
      <c r="G1065" s="9" t="n"/>
      <c r="H1065" s="9" t="n"/>
      <c r="I1065" s="9" t="n"/>
      <c r="J1065" s="9" t="n"/>
      <c r="K1065" s="9" t="n"/>
      <c r="L1065" s="9" t="n"/>
      <c r="M1065" s="9" t="n"/>
      <c r="N1065" s="9" t="n"/>
      <c r="O1065" s="9" t="n"/>
      <c r="P1065" s="9" t="n"/>
    </row>
    <row r="1066">
      <c r="A1066" s="11" t="inlineStr">
        <is>
          <t>UNIT</t>
        </is>
      </c>
      <c r="B1066" s="18" t="inlineStr">
        <is>
          <t>FORELAND_TONOPAH</t>
        </is>
      </c>
      <c r="C1066" s="18" t="n">
        <v>5</v>
      </c>
      <c r="D1066" s="18" t="inlineStr">
        <is>
          <t>CDU</t>
        </is>
      </c>
      <c r="E1066" s="18" t="inlineStr">
        <is>
          <t>CDU</t>
        </is>
      </c>
      <c r="F1066" s="19" t="n">
        <v>5</v>
      </c>
      <c r="G1066" s="21">
        <f>IFERROR(IF(INDEX(Effective!$E$3:$R$125,MATCH($B1066,Effective!$A$3:$A$125,0),MATCH($D1066,Effective!$E$2:$R$2,0))=0,"",INDEX(Effective!$E$3:$R$125,MATCH($B1066,Effective!$A$3:$A$125,0),MATCH($D1066,Effective!$E$2:$R$2,0))),"")</f>
        <v/>
      </c>
      <c r="H1066" s="22" t="inlineStr">
        <is>
          <t>override</t>
        </is>
      </c>
      <c r="I1066" s="23" t="n"/>
      <c r="J1066" s="24">
        <f>IF(AND(IF($H1068&lt;&gt;"",$H1068,$H1066)="override",$I1066&lt;&gt;""),$I1066,SUMIFS(Assumptions!$K$4:$K$8,Assumptions!$J$4:$J$8,$C1066))*Assumptions!$S$10</f>
        <v/>
      </c>
      <c r="K1066" s="23" t="n"/>
      <c r="L1066" s="25">
        <f>IF(AND(IF($H1068&lt;&gt;"",$H1068,$H1066)="override",$K1066&lt;&gt;""),$K1066,SUMIFS(Assumptions!$P$4:$P$103,Assumptions!$M$4:$M$103,$C1066,Assumptions!$N$4:$N$103,$E1066,Assumptions!$O$4:$O$103,"LVN"))</f>
        <v/>
      </c>
      <c r="M1066" s="23" t="n"/>
      <c r="N1066" s="25">
        <f>IF(AND(IF($H1068&lt;&gt;"",$H1068,$H1066)="override",$M1066&lt;&gt;""),$M1066,SUMIFS(Assumptions!$P$4:$P$103,Assumptions!$M$4:$M$103,$C1066,Assumptions!$N$4:$N$103,$E1066,Assumptions!$O$4:$O$103,"HVN"))</f>
        <v/>
      </c>
      <c r="O1066" s="25">
        <f>(L1066+N1066)*Assumptions!$S$11</f>
        <v/>
      </c>
      <c r="P1066" s="26">
        <f>$F1066*$J1066*$O1066</f>
        <v/>
      </c>
    </row>
    <row r="1067">
      <c r="A1067" s="11" t="inlineStr">
        <is>
          <t>UNIT</t>
        </is>
      </c>
      <c r="B1067" s="18" t="inlineStr">
        <is>
          <t>FORELAND_TONOPAH</t>
        </is>
      </c>
      <c r="C1067" s="18" t="n">
        <v>5</v>
      </c>
      <c r="D1067" s="18" t="inlineStr">
        <is>
          <t>VDU</t>
        </is>
      </c>
      <c r="E1067" s="18" t="inlineStr">
        <is>
          <t>VDU</t>
        </is>
      </c>
      <c r="F1067" s="19" t="n">
        <v>2.75</v>
      </c>
      <c r="G1067" s="21">
        <f>IFERROR(IF(INDEX(Effective!$E$3:$R$125,MATCH($B1067,Effective!$A$3:$A$125,0),MATCH($D1067,Effective!$E$2:$R$2,0))=0,"",INDEX(Effective!$E$3:$R$125,MATCH($B1067,Effective!$A$3:$A$125,0),MATCH($D1067,Effective!$E$2:$R$2,0))),"")</f>
        <v/>
      </c>
      <c r="H1067" s="22" t="inlineStr">
        <is>
          <t>override</t>
        </is>
      </c>
      <c r="I1067" s="23" t="n"/>
      <c r="J1067" s="24">
        <f>IF(AND(IF($H1068&lt;&gt;"",$H1068,$H1067)="override",$I1067&lt;&gt;""),$I1067,SUMIFS(Assumptions!$K$4:$K$8,Assumptions!$J$4:$J$8,$C1067))*Assumptions!$S$10</f>
        <v/>
      </c>
      <c r="K1067" s="23" t="n"/>
      <c r="L1067" s="25">
        <f>IF(AND(IF($H1068&lt;&gt;"",$H1068,$H1067)="override",$K1067&lt;&gt;""),$K1067,SUMIFS(Assumptions!$P$4:$P$103,Assumptions!$M$4:$M$103,$C1067,Assumptions!$N$4:$N$103,$E1067,Assumptions!$O$4:$O$103,"LVN"))</f>
        <v/>
      </c>
      <c r="M1067" s="23" t="n"/>
      <c r="N1067" s="25">
        <f>IF(AND(IF($H1068&lt;&gt;"",$H1068,$H1067)="override",$M1067&lt;&gt;""),$M1067,SUMIFS(Assumptions!$P$4:$P$103,Assumptions!$M$4:$M$103,$C1067,Assumptions!$N$4:$N$103,$E1067,Assumptions!$O$4:$O$103,"HVN"))</f>
        <v/>
      </c>
      <c r="O1067" s="25">
        <f>(L1067+N1067)*Assumptions!$S$11</f>
        <v/>
      </c>
      <c r="P1067" s="26">
        <f>$F1067*$J1067*$O1067</f>
        <v/>
      </c>
    </row>
    <row r="1068">
      <c r="A1068" s="27" t="inlineStr">
        <is>
          <t>TOTAL</t>
        </is>
      </c>
      <c r="B1068" s="28" t="inlineStr">
        <is>
          <t>FORELAND_TONOPAH</t>
        </is>
      </c>
      <c r="C1068" s="28" t="n">
        <v>5</v>
      </c>
      <c r="D1068" s="28" t="inlineStr">
        <is>
          <t>NET NAPHTHA</t>
        </is>
      </c>
      <c r="H1068" s="22" t="n"/>
      <c r="P1068" s="29">
        <f>SUM(P1066:P1067)</f>
        <v/>
      </c>
    </row>
    <row r="1070" ht="20" customHeight="1">
      <c r="A1070" s="8">
        <f>"  Phillips 66 Co. Los Angeles  [PHILLIPS_LOS_ANGELES]   —   Phillips 66 Co.   —   PADD 5   —   crude "&amp;TEXT(SUMIFS(Data!$G$3:$G$125,Data!$A$3:$A$125,"PHILLIPS_LOS_ANGELES"),"#,##0")&amp;" kbd"</f>
        <v/>
      </c>
      <c r="B1070" s="9" t="n"/>
      <c r="C1070" s="9" t="n"/>
      <c r="D1070" s="9" t="n"/>
      <c r="E1070" s="9" t="n"/>
      <c r="F1070" s="9" t="n"/>
      <c r="G1070" s="9" t="n"/>
      <c r="H1070" s="9" t="n"/>
      <c r="I1070" s="9" t="n"/>
      <c r="J1070" s="9" t="n"/>
      <c r="K1070" s="9" t="n"/>
      <c r="L1070" s="9" t="n"/>
      <c r="M1070" s="9" t="n"/>
      <c r="N1070" s="9" t="n"/>
      <c r="O1070" s="9" t="n"/>
      <c r="P1070" s="9" t="n"/>
    </row>
    <row r="1071">
      <c r="A1071" s="11" t="inlineStr">
        <is>
          <t>UNIT</t>
        </is>
      </c>
      <c r="B1071" s="18" t="inlineStr">
        <is>
          <t>PHILLIPS_LOS_ANGELES</t>
        </is>
      </c>
      <c r="C1071" s="18" t="n">
        <v>5</v>
      </c>
      <c r="D1071" s="18" t="inlineStr">
        <is>
          <t>CRUDE-EST</t>
        </is>
      </c>
      <c r="E1071" s="18" t="inlineStr">
        <is>
          <t>est. yield</t>
        </is>
      </c>
      <c r="F1071" s="21">
        <f>SUMIFS(Data!$G$3:$G$125,Data!$A$3:$A$125,$B1071)</f>
        <v/>
      </c>
      <c r="G1071" s="21">
        <f>IFERROR(IF(INDEX(Effective!$E$3:$R$125,MATCH($B1071,Effective!$A$3:$A$125,0),MATCH($D1071,Effective!$E$2:$R$2,0))=0,"",INDEX(Effective!$E$3:$R$125,MATCH($B1071,Effective!$A$3:$A$125,0),MATCH($D1071,Effective!$E$2:$R$2,0))),"")</f>
        <v/>
      </c>
      <c r="H1071" s="22" t="inlineStr">
        <is>
          <t>override</t>
        </is>
      </c>
      <c r="I1071" s="23" t="n"/>
      <c r="J1071" s="24">
        <f>IF(AND(IF($H1072&lt;&gt;"",$H1072,$H1071)="override",$I1071&lt;&gt;""),$I1071,SUMIFS(Assumptions!$K$4:$K$8,Assumptions!$J$4:$J$8,$C1071))*Assumptions!$S$10</f>
        <v/>
      </c>
      <c r="K1071" s="23" t="n"/>
      <c r="L1071" s="25">
        <f>IF(AND(IF($H1072&lt;&gt;"",$H1072,$H1071)="override",$K1071&lt;&gt;""),$K1071,SUMIFS(Data!$N$3:$N$125,Data!$A$3:$A$125,$B1071)*Assumptions!$S$4)</f>
        <v/>
      </c>
      <c r="M1071" s="23" t="n"/>
      <c r="N1071" s="25">
        <f>IF(AND(IF($H1072&lt;&gt;"",$H1072,$H1071)="override",$M1071&lt;&gt;""),$M1071,SUMIFS(Data!$N$3:$N$125,Data!$A$3:$A$125,$B1071)*Assumptions!$S$5)</f>
        <v/>
      </c>
      <c r="O1071" s="25">
        <f>(L1071+N1071)*Assumptions!$S$11</f>
        <v/>
      </c>
      <c r="P1071" s="26">
        <f>$F1071*$J1071*$O1071</f>
        <v/>
      </c>
    </row>
    <row r="1072">
      <c r="A1072" s="27" t="inlineStr">
        <is>
          <t>TOTAL</t>
        </is>
      </c>
      <c r="B1072" s="28" t="inlineStr">
        <is>
          <t>PHILLIPS_LOS_ANGELES</t>
        </is>
      </c>
      <c r="C1072" s="28" t="n">
        <v>5</v>
      </c>
      <c r="D1072" s="28" t="inlineStr">
        <is>
          <t>NET NAPHTHA</t>
        </is>
      </c>
      <c r="H1072" s="22" t="n"/>
      <c r="P1072" s="29">
        <f>SUM(P1071:P1071)</f>
        <v/>
      </c>
    </row>
    <row r="1074" ht="20" customHeight="1">
      <c r="A1074" s="8">
        <f>"  Valero Benicia  [VALERO_BENICIA]   —   Valero   —   PADD 5   —   crude "&amp;TEXT(SUMIFS(Data!$G$3:$G$125,Data!$A$3:$A$125,"VALERO_BENICIA"),"#,##0")&amp;" kbd"</f>
        <v/>
      </c>
      <c r="B1074" s="9" t="n"/>
      <c r="C1074" s="9" t="n"/>
      <c r="D1074" s="9" t="n"/>
      <c r="E1074" s="9" t="n"/>
      <c r="F1074" s="9" t="n"/>
      <c r="G1074" s="9" t="n"/>
      <c r="H1074" s="9" t="n"/>
      <c r="I1074" s="9" t="n"/>
      <c r="J1074" s="9" t="n"/>
      <c r="K1074" s="9" t="n"/>
      <c r="L1074" s="9" t="n"/>
      <c r="M1074" s="9" t="n"/>
      <c r="N1074" s="9" t="n"/>
      <c r="O1074" s="9" t="n"/>
      <c r="P1074" s="9" t="n"/>
    </row>
    <row r="1075">
      <c r="A1075" s="11" t="inlineStr">
        <is>
          <t>UNIT</t>
        </is>
      </c>
      <c r="B1075" s="18" t="inlineStr">
        <is>
          <t>VALERO_BENICIA</t>
        </is>
      </c>
      <c r="C1075" s="18" t="n">
        <v>5</v>
      </c>
      <c r="D1075" s="18" t="inlineStr">
        <is>
          <t>CDU</t>
        </is>
      </c>
      <c r="E1075" s="18" t="inlineStr">
        <is>
          <t>CDU</t>
        </is>
      </c>
      <c r="F1075" s="19" t="n">
        <v>149</v>
      </c>
      <c r="G1075" s="21">
        <f>IFERROR(IF(INDEX(Effective!$E$3:$R$125,MATCH($B1075,Effective!$A$3:$A$125,0),MATCH($D1075,Effective!$E$2:$R$2,0))=0,"",INDEX(Effective!$E$3:$R$125,MATCH($B1075,Effective!$A$3:$A$125,0),MATCH($D1075,Effective!$E$2:$R$2,0))),"")</f>
        <v/>
      </c>
      <c r="H1075" s="22" t="inlineStr">
        <is>
          <t>override</t>
        </is>
      </c>
      <c r="I1075" s="23" t="n">
        <v>0.62</v>
      </c>
      <c r="J1075" s="24">
        <f>IF(AND(IF($H1083&lt;&gt;"",$H1083,$H1075)="override",$I1075&lt;&gt;""),$I1075,SUMIFS(Assumptions!$K$4:$K$8,Assumptions!$J$4:$J$8,$C1075))*Assumptions!$S$10</f>
        <v/>
      </c>
      <c r="K1075" s="23" t="n"/>
      <c r="L1075" s="25">
        <f>IF(AND(IF($H1083&lt;&gt;"",$H1083,$H1075)="override",$K1075&lt;&gt;""),$K1075,SUMIFS(Assumptions!$P$4:$P$103,Assumptions!$M$4:$M$103,$C1075,Assumptions!$N$4:$N$103,$E1075,Assumptions!$O$4:$O$103,"LVN"))</f>
        <v/>
      </c>
      <c r="M1075" s="23" t="n"/>
      <c r="N1075" s="25">
        <f>IF(AND(IF($H1083&lt;&gt;"",$H1083,$H1075)="override",$M1075&lt;&gt;""),$M1075,SUMIFS(Assumptions!$P$4:$P$103,Assumptions!$M$4:$M$103,$C1075,Assumptions!$N$4:$N$103,$E1075,Assumptions!$O$4:$O$103,"HVN"))</f>
        <v/>
      </c>
      <c r="O1075" s="25">
        <f>(L1075+N1075)*Assumptions!$S$11</f>
        <v/>
      </c>
      <c r="P1075" s="26">
        <f>$F1075*$J1075*$O1075</f>
        <v/>
      </c>
    </row>
    <row r="1076">
      <c r="A1076" s="11" t="inlineStr">
        <is>
          <t>UNIT</t>
        </is>
      </c>
      <c r="B1076" s="18" t="inlineStr">
        <is>
          <t>VALERO_BENICIA</t>
        </is>
      </c>
      <c r="C1076" s="18" t="n">
        <v>5</v>
      </c>
      <c r="D1076" s="18" t="inlineStr">
        <is>
          <t>VDU</t>
        </is>
      </c>
      <c r="E1076" s="18" t="inlineStr">
        <is>
          <t>VDU</t>
        </is>
      </c>
      <c r="F1076" s="19" t="n">
        <v>85.5</v>
      </c>
      <c r="G1076" s="21">
        <f>IFERROR(IF(INDEX(Effective!$E$3:$R$125,MATCH($B1076,Effective!$A$3:$A$125,0),MATCH($D1076,Effective!$E$2:$R$2,0))=0,"",INDEX(Effective!$E$3:$R$125,MATCH($B1076,Effective!$A$3:$A$125,0),MATCH($D1076,Effective!$E$2:$R$2,0))),"")</f>
        <v/>
      </c>
      <c r="H1076" s="22" t="inlineStr">
        <is>
          <t>override</t>
        </is>
      </c>
      <c r="I1076" s="23" t="n">
        <v>0.515</v>
      </c>
      <c r="J1076" s="24">
        <f>IF(AND(IF($H1083&lt;&gt;"",$H1083,$H1076)="override",$I1076&lt;&gt;""),$I1076,SUMIFS(Assumptions!$K$4:$K$8,Assumptions!$J$4:$J$8,$C1076))*Assumptions!$S$10</f>
        <v/>
      </c>
      <c r="K1076" s="23" t="n"/>
      <c r="L1076" s="25">
        <f>IF(AND(IF($H1083&lt;&gt;"",$H1083,$H1076)="override",$K1076&lt;&gt;""),$K1076,SUMIFS(Assumptions!$P$4:$P$103,Assumptions!$M$4:$M$103,$C1076,Assumptions!$N$4:$N$103,$E1076,Assumptions!$O$4:$O$103,"LVN"))</f>
        <v/>
      </c>
      <c r="M1076" s="23" t="n"/>
      <c r="N1076" s="25">
        <f>IF(AND(IF($H1083&lt;&gt;"",$H1083,$H1076)="override",$M1076&lt;&gt;""),$M1076,SUMIFS(Assumptions!$P$4:$P$103,Assumptions!$M$4:$M$103,$C1076,Assumptions!$N$4:$N$103,$E1076,Assumptions!$O$4:$O$103,"HVN"))</f>
        <v/>
      </c>
      <c r="O1076" s="25">
        <f>(L1076+N1076)*Assumptions!$S$11</f>
        <v/>
      </c>
      <c r="P1076" s="26">
        <f>$F1076*$J1076*$O1076</f>
        <v/>
      </c>
    </row>
    <row r="1077">
      <c r="A1077" s="11" t="inlineStr">
        <is>
          <t>UNIT</t>
        </is>
      </c>
      <c r="B1077" s="18" t="inlineStr">
        <is>
          <t>VALERO_BENICIA</t>
        </is>
      </c>
      <c r="C1077" s="18" t="n">
        <v>5</v>
      </c>
      <c r="D1077" s="18" t="inlineStr">
        <is>
          <t>FCC</t>
        </is>
      </c>
      <c r="E1077" s="18" t="inlineStr">
        <is>
          <t>FCC</t>
        </is>
      </c>
      <c r="F1077" s="19" t="n">
        <v>75.3</v>
      </c>
      <c r="G1077" s="21">
        <f>IFERROR(IF(INDEX(Effective!$E$3:$R$125,MATCH($B1077,Effective!$A$3:$A$125,0),MATCH($D1077,Effective!$E$2:$R$2,0))=0,"",INDEX(Effective!$E$3:$R$125,MATCH($B1077,Effective!$A$3:$A$125,0),MATCH($D1077,Effective!$E$2:$R$2,0))),"")</f>
        <v/>
      </c>
      <c r="H1077" s="22" t="inlineStr">
        <is>
          <t>override</t>
        </is>
      </c>
      <c r="I1077" s="23" t="n">
        <v>0.6860000000000001</v>
      </c>
      <c r="J1077" s="24">
        <f>IF(AND(IF($H1083&lt;&gt;"",$H1083,$H1077)="override",$I1077&lt;&gt;""),$I1077,SUMIFS(Assumptions!$K$4:$K$8,Assumptions!$J$4:$J$8,$C1077))*Assumptions!$S$10</f>
        <v/>
      </c>
      <c r="K1077" s="23" t="n"/>
      <c r="L1077" s="25">
        <f>IF(AND(IF($H1083&lt;&gt;"",$H1083,$H1077)="override",$K1077&lt;&gt;""),$K1077,SUMIFS(Assumptions!$P$4:$P$103,Assumptions!$M$4:$M$103,$C1077,Assumptions!$N$4:$N$103,$E1077,Assumptions!$O$4:$O$103,"LVN"))</f>
        <v/>
      </c>
      <c r="M1077" s="23" t="n"/>
      <c r="N1077" s="25">
        <f>IF(AND(IF($H1083&lt;&gt;"",$H1083,$H1077)="override",$M1077&lt;&gt;""),$M1077,SUMIFS(Assumptions!$P$4:$P$103,Assumptions!$M$4:$M$103,$C1077,Assumptions!$N$4:$N$103,$E1077,Assumptions!$O$4:$O$103,"HVN"))</f>
        <v/>
      </c>
      <c r="O1077" s="25">
        <f>(L1077+N1077)*Assumptions!$S$11</f>
        <v/>
      </c>
      <c r="P1077" s="26">
        <f>$F1077*$J1077*$O1077</f>
        <v/>
      </c>
    </row>
    <row r="1078">
      <c r="A1078" s="11" t="inlineStr">
        <is>
          <t>UNIT</t>
        </is>
      </c>
      <c r="B1078" s="18" t="inlineStr">
        <is>
          <t>VALERO_BENICIA</t>
        </is>
      </c>
      <c r="C1078" s="18" t="n">
        <v>5</v>
      </c>
      <c r="D1078" s="18" t="inlineStr">
        <is>
          <t>DHCU</t>
        </is>
      </c>
      <c r="E1078" s="18" t="inlineStr">
        <is>
          <t>HYDROCRACKER</t>
        </is>
      </c>
      <c r="F1078" s="19" t="n">
        <v>34</v>
      </c>
      <c r="G1078" s="21">
        <f>IFERROR(IF(INDEX(Effective!$E$3:$R$125,MATCH($B1078,Effective!$A$3:$A$125,0),MATCH($D1078,Effective!$E$2:$R$2,0))=0,"",INDEX(Effective!$E$3:$R$125,MATCH($B1078,Effective!$A$3:$A$125,0),MATCH($D1078,Effective!$E$2:$R$2,0))),"")</f>
        <v/>
      </c>
      <c r="H1078" s="22" t="inlineStr">
        <is>
          <t>override</t>
        </is>
      </c>
      <c r="I1078" s="23" t="n">
        <v>0.311</v>
      </c>
      <c r="J1078" s="24">
        <f>IF(AND(IF($H1083&lt;&gt;"",$H1083,$H1078)="override",$I1078&lt;&gt;""),$I1078,SUMIFS(Assumptions!$K$4:$K$8,Assumptions!$J$4:$J$8,$C1078))*Assumptions!$S$10</f>
        <v/>
      </c>
      <c r="K1078" s="23" t="n"/>
      <c r="L1078" s="25">
        <f>IF(AND(IF($H1083&lt;&gt;"",$H1083,$H1078)="override",$K1078&lt;&gt;""),$K1078,SUMIFS(Assumptions!$P$4:$P$103,Assumptions!$M$4:$M$103,$C1078,Assumptions!$N$4:$N$103,$E1078,Assumptions!$O$4:$O$103,"LVN"))</f>
        <v/>
      </c>
      <c r="M1078" s="23" t="n"/>
      <c r="N1078" s="25">
        <f>IF(AND(IF($H1083&lt;&gt;"",$H1083,$H1078)="override",$M1078&lt;&gt;""),$M1078,SUMIFS(Assumptions!$P$4:$P$103,Assumptions!$M$4:$M$103,$C1078,Assumptions!$N$4:$N$103,$E1078,Assumptions!$O$4:$O$103,"HVN"))</f>
        <v/>
      </c>
      <c r="O1078" s="25">
        <f>(L1078+N1078)*Assumptions!$S$11</f>
        <v/>
      </c>
      <c r="P1078" s="26">
        <f>$F1078*$J1078*$O1078</f>
        <v/>
      </c>
    </row>
    <row r="1079">
      <c r="A1079" s="11" t="inlineStr">
        <is>
          <t>UNIT</t>
        </is>
      </c>
      <c r="B1079" s="18" t="inlineStr">
        <is>
          <t>VALERO_BENICIA</t>
        </is>
      </c>
      <c r="C1079" s="18" t="n">
        <v>5</v>
      </c>
      <c r="D1079" s="18" t="inlineStr">
        <is>
          <t>FCOKER</t>
        </is>
      </c>
      <c r="E1079" s="18" t="inlineStr">
        <is>
          <t>COKER</t>
        </is>
      </c>
      <c r="F1079" s="19" t="n">
        <v>29.5</v>
      </c>
      <c r="G1079" s="21">
        <f>IFERROR(IF(INDEX(Effective!$E$3:$R$125,MATCH($B1079,Effective!$A$3:$A$125,0),MATCH($D1079,Effective!$E$2:$R$2,0))=0,"",INDEX(Effective!$E$3:$R$125,MATCH($B1079,Effective!$A$3:$A$125,0),MATCH($D1079,Effective!$E$2:$R$2,0))),"")</f>
        <v/>
      </c>
      <c r="H1079" s="22" t="inlineStr">
        <is>
          <t>override</t>
        </is>
      </c>
      <c r="I1079" s="23" t="n">
        <v>0.274</v>
      </c>
      <c r="J1079" s="24">
        <f>IF(AND(IF($H1083&lt;&gt;"",$H1083,$H1079)="override",$I1079&lt;&gt;""),$I1079,SUMIFS(Assumptions!$K$4:$K$8,Assumptions!$J$4:$J$8,$C1079))*Assumptions!$S$10</f>
        <v/>
      </c>
      <c r="K1079" s="23" t="n"/>
      <c r="L1079" s="25">
        <f>IF(AND(IF($H1083&lt;&gt;"",$H1083,$H1079)="override",$K1079&lt;&gt;""),$K1079,SUMIFS(Assumptions!$P$4:$P$103,Assumptions!$M$4:$M$103,$C1079,Assumptions!$N$4:$N$103,$E1079,Assumptions!$O$4:$O$103,"LVN"))</f>
        <v/>
      </c>
      <c r="M1079" s="23" t="n"/>
      <c r="N1079" s="25">
        <f>IF(AND(IF($H1083&lt;&gt;"",$H1083,$H1079)="override",$M1079&lt;&gt;""),$M1079,SUMIFS(Assumptions!$P$4:$P$103,Assumptions!$M$4:$M$103,$C1079,Assumptions!$N$4:$N$103,$E1079,Assumptions!$O$4:$O$103,"HVN"))</f>
        <v/>
      </c>
      <c r="O1079" s="25">
        <f>(L1079+N1079)*Assumptions!$S$11</f>
        <v/>
      </c>
      <c r="P1079" s="26">
        <f>$F1079*$J1079*$O1079</f>
        <v/>
      </c>
    </row>
    <row r="1080">
      <c r="A1080" s="11" t="inlineStr">
        <is>
          <t>UNIT</t>
        </is>
      </c>
      <c r="B1080" s="18" t="inlineStr">
        <is>
          <t>VALERO_BENICIA</t>
        </is>
      </c>
      <c r="C1080" s="18" t="n">
        <v>5</v>
      </c>
      <c r="D1080" s="18" t="inlineStr">
        <is>
          <t>REF</t>
        </is>
      </c>
      <c r="E1080" s="18" t="inlineStr">
        <is>
          <t>REFORMER</t>
        </is>
      </c>
      <c r="F1080" s="19" t="n">
        <v>37.2</v>
      </c>
      <c r="G1080" s="21">
        <f>IFERROR(IF(INDEX(Effective!$E$3:$R$125,MATCH($B1080,Effective!$A$3:$A$125,0),MATCH($D1080,Effective!$E$2:$R$2,0))=0,"",INDEX(Effective!$E$3:$R$125,MATCH($B1080,Effective!$A$3:$A$125,0),MATCH($D1080,Effective!$E$2:$R$2,0))),"")</f>
        <v/>
      </c>
      <c r="H1080" s="22" t="inlineStr">
        <is>
          <t>override</t>
        </is>
      </c>
      <c r="I1080" s="23" t="n">
        <v>0.487</v>
      </c>
      <c r="J1080" s="24">
        <f>IF(AND(IF($H1083&lt;&gt;"",$H1083,$H1080)="override",$I1080&lt;&gt;""),$I1080,SUMIFS(Assumptions!$K$4:$K$8,Assumptions!$J$4:$J$8,$C1080))*Assumptions!$S$10</f>
        <v/>
      </c>
      <c r="K1080" s="23" t="n"/>
      <c r="L1080" s="25">
        <f>IF(AND(IF($H1083&lt;&gt;"",$H1083,$H1080)="override",$K1080&lt;&gt;""),$K1080,SUMIFS(Assumptions!$P$4:$P$103,Assumptions!$M$4:$M$103,$C1080,Assumptions!$N$4:$N$103,$E1080,Assumptions!$O$4:$O$103,"LVN"))</f>
        <v/>
      </c>
      <c r="M1080" s="23" t="n"/>
      <c r="N1080" s="25">
        <f>IF(AND(IF($H1083&lt;&gt;"",$H1083,$H1080)="override",$M1080&lt;&gt;""),$M1080,SUMIFS(Assumptions!$P$4:$P$103,Assumptions!$M$4:$M$103,$C1080,Assumptions!$N$4:$N$103,$E1080,Assumptions!$O$4:$O$103,"HVN"))</f>
        <v/>
      </c>
      <c r="O1080" s="25">
        <f>(L1080+N1080)*Assumptions!$S$11</f>
        <v/>
      </c>
      <c r="P1080" s="26">
        <f>$F1080*$J1080*$O1080</f>
        <v/>
      </c>
    </row>
    <row r="1081">
      <c r="A1081" s="11" t="inlineStr">
        <is>
          <t>UNIT</t>
        </is>
      </c>
      <c r="B1081" s="18" t="inlineStr">
        <is>
          <t>VALERO_BENICIA</t>
        </is>
      </c>
      <c r="C1081" s="18" t="n">
        <v>5</v>
      </c>
      <c r="D1081" s="18" t="inlineStr">
        <is>
          <t>ALKY</t>
        </is>
      </c>
      <c r="E1081" s="18" t="inlineStr">
        <is>
          <t>ALKY</t>
        </is>
      </c>
      <c r="F1081" s="19" t="n">
        <v>17.1</v>
      </c>
      <c r="G1081" s="21">
        <f>IFERROR(IF(INDEX(Effective!$E$3:$R$125,MATCH($B1081,Effective!$A$3:$A$125,0),MATCH($D1081,Effective!$E$2:$R$2,0))=0,"",INDEX(Effective!$E$3:$R$125,MATCH($B1081,Effective!$A$3:$A$125,0),MATCH($D1081,Effective!$E$2:$R$2,0))),"")</f>
        <v/>
      </c>
      <c r="H1081" s="22" t="inlineStr">
        <is>
          <t>override</t>
        </is>
      </c>
      <c r="I1081" s="23" t="n">
        <v>0.8169999999999999</v>
      </c>
      <c r="J1081" s="24">
        <f>IF(AND(IF($H1083&lt;&gt;"",$H1083,$H1081)="override",$I1081&lt;&gt;""),$I1081,SUMIFS(Assumptions!$K$4:$K$8,Assumptions!$J$4:$J$8,$C1081))*Assumptions!$S$10</f>
        <v/>
      </c>
      <c r="K1081" s="23" t="n"/>
      <c r="L1081" s="25">
        <f>IF(AND(IF($H1083&lt;&gt;"",$H1083,$H1081)="override",$K1081&lt;&gt;""),$K1081,SUMIFS(Assumptions!$P$4:$P$103,Assumptions!$M$4:$M$103,$C1081,Assumptions!$N$4:$N$103,$E1081,Assumptions!$O$4:$O$103,"LVN"))</f>
        <v/>
      </c>
      <c r="M1081" s="23" t="n"/>
      <c r="N1081" s="25">
        <f>IF(AND(IF($H1083&lt;&gt;"",$H1083,$H1081)="override",$M1081&lt;&gt;""),$M1081,SUMIFS(Assumptions!$P$4:$P$103,Assumptions!$M$4:$M$103,$C1081,Assumptions!$N$4:$N$103,$E1081,Assumptions!$O$4:$O$103,"HVN"))</f>
        <v/>
      </c>
      <c r="O1081" s="25">
        <f>(L1081+N1081)*Assumptions!$S$11</f>
        <v/>
      </c>
      <c r="P1081" s="26">
        <f>$F1081*$J1081*$O1081</f>
        <v/>
      </c>
    </row>
    <row r="1082">
      <c r="A1082" s="11" t="inlineStr">
        <is>
          <t>UNIT</t>
        </is>
      </c>
      <c r="B1082" s="18" t="inlineStr">
        <is>
          <t>VALERO_BENICIA</t>
        </is>
      </c>
      <c r="C1082" s="18" t="n">
        <v>5</v>
      </c>
      <c r="D1082" s="18" t="inlineStr">
        <is>
          <t>NHT</t>
        </is>
      </c>
      <c r="E1082" s="18" t="inlineStr">
        <is>
          <t>NHT</t>
        </is>
      </c>
      <c r="F1082" s="19" t="n">
        <v>30</v>
      </c>
      <c r="G1082" s="21">
        <f>IFERROR(IF(INDEX(Effective!$E$3:$R$125,MATCH($B1082,Effective!$A$3:$A$125,0),MATCH($D1082,Effective!$E$2:$R$2,0))=0,"",INDEX(Effective!$E$3:$R$125,MATCH($B1082,Effective!$A$3:$A$125,0),MATCH($D1082,Effective!$E$2:$R$2,0))),"")</f>
        <v/>
      </c>
      <c r="H1082" s="22" t="inlineStr">
        <is>
          <t>override</t>
        </is>
      </c>
      <c r="I1082" s="23" t="n">
        <v>0.695</v>
      </c>
      <c r="J1082" s="24">
        <f>IF(AND(IF($H1083&lt;&gt;"",$H1083,$H1082)="override",$I1082&lt;&gt;""),$I1082,SUMIFS(Assumptions!$K$4:$K$8,Assumptions!$J$4:$J$8,$C1082))*Assumptions!$S$10</f>
        <v/>
      </c>
      <c r="K1082" s="23" t="n"/>
      <c r="L1082" s="25">
        <f>IF(AND(IF($H1083&lt;&gt;"",$H1083,$H1082)="override",$K1082&lt;&gt;""),$K1082,SUMIFS(Assumptions!$P$4:$P$103,Assumptions!$M$4:$M$103,$C1082,Assumptions!$N$4:$N$103,$E1082,Assumptions!$O$4:$O$103,"LVN"))</f>
        <v/>
      </c>
      <c r="M1082" s="23" t="n"/>
      <c r="N1082" s="25">
        <f>IF(AND(IF($H1083&lt;&gt;"",$H1083,$H1082)="override",$M1082&lt;&gt;""),$M1082,SUMIFS(Assumptions!$P$4:$P$103,Assumptions!$M$4:$M$103,$C1082,Assumptions!$N$4:$N$103,$E1082,Assumptions!$O$4:$O$103,"HVN"))</f>
        <v/>
      </c>
      <c r="O1082" s="25">
        <f>(L1082+N1082)*Assumptions!$S$11</f>
        <v/>
      </c>
      <c r="P1082" s="26">
        <f>$F1082*$J1082*$O1082</f>
        <v/>
      </c>
    </row>
    <row r="1083">
      <c r="A1083" s="27" t="inlineStr">
        <is>
          <t>TOTAL</t>
        </is>
      </c>
      <c r="B1083" s="28" t="inlineStr">
        <is>
          <t>VALERO_BENICIA</t>
        </is>
      </c>
      <c r="C1083" s="28" t="n">
        <v>5</v>
      </c>
      <c r="D1083" s="28" t="inlineStr">
        <is>
          <t>NET NAPHTHA</t>
        </is>
      </c>
      <c r="H1083" s="22" t="n"/>
      <c r="P1083" s="29">
        <f>SUM(P1075:P1082)</f>
        <v/>
      </c>
    </row>
  </sheetData>
  <mergeCells count="124">
    <mergeCell ref="A440:P440"/>
    <mergeCell ref="A1014:P1014"/>
    <mergeCell ref="A22:P22"/>
    <mergeCell ref="A392:P392"/>
    <mergeCell ref="A789:P789"/>
    <mergeCell ref="A913:P913"/>
    <mergeCell ref="A603:P603"/>
    <mergeCell ref="A30:P30"/>
    <mergeCell ref="A403:P403"/>
    <mergeCell ref="A692:P692"/>
    <mergeCell ref="A990:P990"/>
    <mergeCell ref="A766:P766"/>
    <mergeCell ref="A928:P928"/>
    <mergeCell ref="A142:P142"/>
    <mergeCell ref="A182:P182"/>
    <mergeCell ref="A703:P703"/>
    <mergeCell ref="A153:P153"/>
    <mergeCell ref="A582:P582"/>
    <mergeCell ref="A379:P379"/>
    <mergeCell ref="A89:P89"/>
    <mergeCell ref="A664:P664"/>
    <mergeCell ref="A891:P891"/>
    <mergeCell ref="A192:P192"/>
    <mergeCell ref="A729:P729"/>
    <mergeCell ref="A26:P26"/>
    <mergeCell ref="A630:P630"/>
    <mergeCell ref="A415:P415"/>
    <mergeCell ref="A897:P897"/>
    <mergeCell ref="A949:P949"/>
    <mergeCell ref="A100:P100"/>
    <mergeCell ref="A171:P171"/>
    <mergeCell ref="A818:P818"/>
    <mergeCell ref="A529:P529"/>
    <mergeCell ref="A1060:P1060"/>
    <mergeCell ref="A981:P981"/>
    <mergeCell ref="A308:P308"/>
    <mergeCell ref="A344:P344"/>
    <mergeCell ref="A829:P829"/>
    <mergeCell ref="A599:P599"/>
    <mergeCell ref="A739:P739"/>
    <mergeCell ref="A368:P368"/>
    <mergeCell ref="A608:P608"/>
    <mergeCell ref="A884:P884"/>
    <mergeCell ref="A797:P797"/>
    <mergeCell ref="A1:P1"/>
    <mergeCell ref="A78:P78"/>
    <mergeCell ref="A427:P427"/>
    <mergeCell ref="A205:P205"/>
    <mergeCell ref="A498:P498"/>
    <mergeCell ref="A65:P65"/>
    <mergeCell ref="A652:P652"/>
    <mergeCell ref="A1028:P1028"/>
    <mergeCell ref="A758:P758"/>
    <mergeCell ref="A356:P356"/>
    <mergeCell ref="A1056:P1056"/>
    <mergeCell ref="A938:P938"/>
    <mergeCell ref="A12:P12"/>
    <mergeCell ref="A807:P807"/>
    <mergeCell ref="A1065:P1065"/>
    <mergeCell ref="A1074:P1074"/>
    <mergeCell ref="A1043:P1043"/>
    <mergeCell ref="A248:P248"/>
    <mergeCell ref="A1004:P1004"/>
    <mergeCell ref="A332:P332"/>
    <mergeCell ref="A454:P454"/>
    <mergeCell ref="A696:P696"/>
    <mergeCell ref="A874:P874"/>
    <mergeCell ref="A901:P901"/>
    <mergeCell ref="A994:P994"/>
    <mergeCell ref="A770:P770"/>
    <mergeCell ref="A972:P972"/>
    <mergeCell ref="A40:P40"/>
    <mergeCell ref="A509:P509"/>
    <mergeCell ref="A858:P858"/>
    <mergeCell ref="A275:P275"/>
    <mergeCell ref="A707:P707"/>
    <mergeCell ref="A520:P520"/>
    <mergeCell ref="A132:P132"/>
    <mergeCell ref="A552:P552"/>
    <mergeCell ref="A733:P733"/>
    <mergeCell ref="A717:P717"/>
    <mergeCell ref="A487:P487"/>
    <mergeCell ref="A238:P238"/>
    <mergeCell ref="A465:P465"/>
    <mergeCell ref="A749:P749"/>
    <mergeCell ref="A3:P3"/>
    <mergeCell ref="A562:P562"/>
    <mergeCell ref="A1048:P1048"/>
    <mergeCell ref="A47:P47"/>
    <mergeCell ref="A122:P122"/>
    <mergeCell ref="A215:P215"/>
    <mergeCell ref="A591:P591"/>
    <mergeCell ref="A573:P573"/>
    <mergeCell ref="A744:P744"/>
    <mergeCell ref="A849:P849"/>
    <mergeCell ref="A112:P112"/>
    <mergeCell ref="A839:P839"/>
    <mergeCell ref="A962:P962"/>
    <mergeCell ref="A320:P320"/>
    <mergeCell ref="A673:P673"/>
    <mergeCell ref="A648:P648"/>
    <mergeCell ref="A304:P304"/>
    <mergeCell ref="A257:P257"/>
    <mergeCell ref="A226:P226"/>
    <mergeCell ref="A540:P540"/>
    <mergeCell ref="A638:P638"/>
    <mergeCell ref="A476:P476"/>
    <mergeCell ref="A778:P778"/>
    <mergeCell ref="A1036:P1036"/>
    <mergeCell ref="A917:P917"/>
    <mergeCell ref="A162:P162"/>
    <mergeCell ref="A1070:P1070"/>
    <mergeCell ref="A54:P54"/>
    <mergeCell ref="A762:P762"/>
    <mergeCell ref="A619:P619"/>
    <mergeCell ref="A865:P865"/>
    <mergeCell ref="A267:P267"/>
    <mergeCell ref="A285:P285"/>
    <mergeCell ref="A683:P683"/>
    <mergeCell ref="A754:P754"/>
    <mergeCell ref="A294:P294"/>
    <mergeCell ref="A723:P723"/>
    <mergeCell ref="A1052:P1052"/>
    <mergeCell ref="A1024:P1024"/>
  </mergeCells>
  <dataValidations count="1">
    <dataValidation sqref="H3:H1084" showDropDown="0" showInputMessage="0" showErrorMessage="0" allowBlank="1" type="list">
      <formula1>"override,assumption"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S10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18" max="18"/>
    <col width="10" customWidth="1" min="19" max="19"/>
  </cols>
  <sheetData>
    <row r="1" ht="20" customHeight="1">
      <c r="A1" s="8" t="inlineStr">
        <is>
          <t>Assumptions — blue cells are inputs. Yields are % of unit throughput; consumers (reformer/isom) are NEGATIVE. Edits flow straight into the Boxes sheet.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3" ht="20" customHeight="1">
      <c r="A3" s="8" t="inlineStr">
        <is>
          <t>PADD 1 — East Coast</t>
        </is>
      </c>
      <c r="B3" s="9" t="n"/>
      <c r="C3" s="9" t="n"/>
      <c r="D3" s="9" t="n"/>
      <c r="E3" s="9" t="n"/>
      <c r="F3" s="9" t="n"/>
      <c r="G3" s="9" t="n"/>
      <c r="H3" s="9" t="n"/>
      <c r="J3" s="17" t="inlineStr">
        <is>
          <t>padd</t>
        </is>
      </c>
      <c r="K3" s="17" t="inlineStr">
        <is>
          <t>util</t>
        </is>
      </c>
      <c r="M3" s="17" t="inlineStr">
        <is>
          <t>padd</t>
        </is>
      </c>
      <c r="N3" s="17" t="inlineStr">
        <is>
          <t>unit_type</t>
        </is>
      </c>
      <c r="O3" s="17" t="inlineStr">
        <is>
          <t>cut</t>
        </is>
      </c>
      <c r="P3" s="17" t="inlineStr">
        <is>
          <t>yield</t>
        </is>
      </c>
      <c r="R3" s="17" t="inlineStr">
        <is>
          <t>Yield-mode cut split</t>
        </is>
      </c>
      <c r="S3" s="17" t="inlineStr">
        <is>
          <t>share</t>
        </is>
      </c>
    </row>
    <row r="4">
      <c r="A4" s="27" t="inlineStr">
        <is>
          <t>Utilization</t>
        </is>
      </c>
      <c r="B4" s="30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11" t="inlineStr">
        <is>
          <t>LVN</t>
        </is>
      </c>
      <c r="S4" s="31" t="n">
        <v>0.35</v>
      </c>
    </row>
    <row r="5">
      <c r="J5" t="n">
        <v>2</v>
      </c>
      <c r="K5">
        <f>B20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11" t="inlineStr">
        <is>
          <t>HVN</t>
        </is>
      </c>
      <c r="S5" s="31" t="n">
        <v>0.65</v>
      </c>
    </row>
    <row r="6">
      <c r="A6" s="17" t="inlineStr">
        <is>
          <t>Unit type</t>
        </is>
      </c>
      <c r="B6" s="17" t="inlineStr">
        <is>
          <t>LVN</t>
        </is>
      </c>
      <c r="C6" s="17" t="inlineStr">
        <is>
          <t>HVN</t>
        </is>
      </c>
      <c r="J6" t="n">
        <v>3</v>
      </c>
      <c r="K6">
        <f>B36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11" t="inlineStr">
        <is>
          <t>CDU</t>
        </is>
      </c>
      <c r="B7" s="30" t="n">
        <v>0.05</v>
      </c>
      <c r="C7" s="30" t="n">
        <v>0.13</v>
      </c>
      <c r="J7" t="n">
        <v>4</v>
      </c>
      <c r="K7">
        <f>B52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11" t="inlineStr">
        <is>
          <t>how a yield-mode refinery's 2024 net yield splits across cuts</t>
        </is>
      </c>
    </row>
    <row r="8">
      <c r="A8" s="11" t="inlineStr">
        <is>
          <t>VDU</t>
        </is>
      </c>
      <c r="B8" s="30" t="n">
        <v>0</v>
      </c>
      <c r="C8" s="30" t="n">
        <v>0.01</v>
      </c>
      <c r="J8" t="n">
        <v>5</v>
      </c>
      <c r="K8">
        <f>B68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11" t="inlineStr">
        <is>
          <t>FCC</t>
        </is>
      </c>
      <c r="B9" s="30" t="n">
        <v>0.02</v>
      </c>
      <c r="C9" s="30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  <c r="R9" s="17" t="inlineStr">
        <is>
          <t>MASTER DIALS — one cell flexes the whole model</t>
        </is>
      </c>
      <c r="S9" s="17" t="inlineStr">
        <is>
          <t>x</t>
        </is>
      </c>
    </row>
    <row r="10">
      <c r="A10" s="11" t="inlineStr">
        <is>
          <t>COKER</t>
        </is>
      </c>
      <c r="B10" s="30" t="n">
        <v>0.02</v>
      </c>
      <c r="C10" s="30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  <c r="R10" s="11" t="inlineStr">
        <is>
          <t>Utilization scaler (100% = as-is)</t>
        </is>
      </c>
      <c r="S10" s="31" t="n">
        <v>1</v>
      </c>
    </row>
    <row r="11">
      <c r="A11" s="11" t="inlineStr">
        <is>
          <t>HYDROCRACKER</t>
        </is>
      </c>
      <c r="B11" s="30" t="n">
        <v>0.05</v>
      </c>
      <c r="C11" s="30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  <c r="R11" s="11" t="inlineStr">
        <is>
          <t>Naphtha yield scaler (100% = as-is)</t>
        </is>
      </c>
      <c r="S11" s="31" t="n">
        <v>1</v>
      </c>
    </row>
    <row r="12">
      <c r="A12" s="11" t="inlineStr">
        <is>
          <t>REFORMER</t>
        </is>
      </c>
      <c r="B12" s="30" t="n">
        <v>0</v>
      </c>
      <c r="C12" s="30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</row>
    <row r="13">
      <c r="A13" s="11" t="inlineStr">
        <is>
          <t>ISOM</t>
        </is>
      </c>
      <c r="B13" s="30" t="n">
        <v>-1</v>
      </c>
      <c r="C13" s="30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  <c r="R13" s="17" t="inlineStr">
        <is>
          <t>Prices ($/bbl) — fill to activate BlendEcon</t>
        </is>
      </c>
      <c r="S13" s="17" t="inlineStr">
        <is>
          <t>$/bbl</t>
        </is>
      </c>
    </row>
    <row r="14">
      <c r="A14" s="11" t="inlineStr">
        <is>
          <t>ALKY</t>
        </is>
      </c>
      <c r="B14" s="30" t="n">
        <v>0</v>
      </c>
      <c r="C14" s="30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  <c r="R14" s="11" t="inlineStr">
        <is>
          <t>Gasoline (RBOB)</t>
        </is>
      </c>
      <c r="S14" s="32" t="n"/>
    </row>
    <row r="15">
      <c r="A15" s="11" t="inlineStr">
        <is>
          <t>SPLITTER</t>
        </is>
      </c>
      <c r="B15" s="30" t="n">
        <v>0.25</v>
      </c>
      <c r="C15" s="30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  <c r="R15" s="11" t="inlineStr">
        <is>
          <t>Naphtha USGC (HVN)</t>
        </is>
      </c>
      <c r="S15" s="32" t="n"/>
    </row>
    <row r="16">
      <c r="A16" s="11" t="inlineStr">
        <is>
          <t>NHT</t>
        </is>
      </c>
      <c r="B16" s="30" t="n">
        <v>0</v>
      </c>
      <c r="C16" s="30" t="n">
        <v>0</v>
      </c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  <c r="R16" s="11" t="inlineStr">
        <is>
          <t>Naphtha LVN USGC</t>
        </is>
      </c>
      <c r="S16" s="32" t="n"/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  <c r="R17" s="11" t="inlineStr">
        <is>
          <t>Naphtha NWE (CIF)</t>
        </is>
      </c>
      <c r="S17" s="32" t="n"/>
    </row>
    <row r="18"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  <c r="R18" s="11" t="inlineStr">
        <is>
          <t>Naphtha Asia (C+F Japan)</t>
        </is>
      </c>
      <c r="S18" s="32" t="n"/>
    </row>
    <row r="19" ht="20" customHeight="1">
      <c r="A19" s="8" t="inlineStr">
        <is>
          <t>PADD 2 — Midwest</t>
        </is>
      </c>
      <c r="B19" s="9" t="n"/>
      <c r="C19" s="9" t="n"/>
      <c r="D19" s="9" t="n"/>
      <c r="E19" s="9" t="n"/>
      <c r="F19" s="9" t="n"/>
      <c r="G19" s="9" t="n"/>
      <c r="H19" s="9" t="n"/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  <c r="R19" s="11" t="inlineStr">
        <is>
          <t>Reformate</t>
        </is>
      </c>
      <c r="S19" s="32" t="n"/>
    </row>
    <row r="20">
      <c r="A20" s="27" t="inlineStr">
        <is>
          <t>Utilization</t>
        </is>
      </c>
      <c r="B20" s="30" t="n">
        <v>0.9</v>
      </c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  <c r="R20" s="11" t="inlineStr">
        <is>
          <t>WTI</t>
        </is>
      </c>
      <c r="S20" s="32" t="n"/>
    </row>
    <row r="21"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  <c r="R21" s="11" t="inlineStr">
        <is>
          <t>Brent</t>
        </is>
      </c>
      <c r="S21" s="32" t="n"/>
    </row>
    <row r="22">
      <c r="A22" s="17" t="inlineStr">
        <is>
          <t>Unit type</t>
        </is>
      </c>
      <c r="B22" s="17" t="inlineStr">
        <is>
          <t>LVN</t>
        </is>
      </c>
      <c r="C22" s="17" t="inlineStr">
        <is>
          <t>HVN</t>
        </is>
      </c>
      <c r="M22" t="n">
        <v>1</v>
      </c>
      <c r="N22" t="inlineStr">
        <is>
          <t>NHT</t>
        </is>
      </c>
      <c r="O22" t="inlineStr">
        <is>
          <t>LVN</t>
        </is>
      </c>
      <c r="P22">
        <f>B16</f>
        <v/>
      </c>
      <c r="R22" s="11" t="inlineStr">
        <is>
          <t>WCS diff to WTI</t>
        </is>
      </c>
      <c r="S22" s="32" t="n"/>
    </row>
    <row r="23">
      <c r="A23" s="11" t="inlineStr">
        <is>
          <t>CDU</t>
        </is>
      </c>
      <c r="B23" s="30" t="n">
        <v>0.05</v>
      </c>
      <c r="C23" s="30" t="n">
        <v>0.13</v>
      </c>
      <c r="M23" t="n">
        <v>1</v>
      </c>
      <c r="N23" t="inlineStr">
        <is>
          <t>NHT</t>
        </is>
      </c>
      <c r="O23" t="inlineStr">
        <is>
          <t>HVN</t>
        </is>
      </c>
      <c r="P23">
        <f>C16</f>
        <v/>
      </c>
      <c r="R23" s="11" t="inlineStr">
        <is>
          <t>Condensate diff</t>
        </is>
      </c>
      <c r="S23" s="32" t="n"/>
    </row>
    <row r="24">
      <c r="A24" s="11" t="inlineStr">
        <is>
          <t>VDU</t>
        </is>
      </c>
      <c r="B24" s="30" t="n">
        <v>0</v>
      </c>
      <c r="C24" s="30" t="n">
        <v>0.01</v>
      </c>
      <c r="M24" t="n">
        <v>2</v>
      </c>
      <c r="N24" t="inlineStr">
        <is>
          <t>CDU</t>
        </is>
      </c>
      <c r="O24" t="inlineStr">
        <is>
          <t>LVN</t>
        </is>
      </c>
      <c r="P24">
        <f>B23</f>
        <v/>
      </c>
    </row>
    <row r="25">
      <c r="A25" s="11" t="inlineStr">
        <is>
          <t>FCC</t>
        </is>
      </c>
      <c r="B25" s="30" t="n">
        <v>0.02</v>
      </c>
      <c r="C25" s="30" t="n">
        <v>0.04</v>
      </c>
      <c r="M25" t="n">
        <v>2</v>
      </c>
      <c r="N25" t="inlineStr">
        <is>
          <t>CDU</t>
        </is>
      </c>
      <c r="O25" t="inlineStr">
        <is>
          <t>HVN</t>
        </is>
      </c>
      <c r="P25">
        <f>C23</f>
        <v/>
      </c>
      <c r="R25" s="17" t="inlineStr">
        <is>
          <t>Logistics / freight ($/bbl)</t>
        </is>
      </c>
      <c r="S25" s="17" t="inlineStr">
        <is>
          <t>$/bbl</t>
        </is>
      </c>
    </row>
    <row r="26">
      <c r="A26" s="11" t="inlineStr">
        <is>
          <t>COKER</t>
        </is>
      </c>
      <c r="B26" s="30" t="n">
        <v>0.02</v>
      </c>
      <c r="C26" s="30" t="n">
        <v>0.08</v>
      </c>
      <c r="M26" t="n">
        <v>2</v>
      </c>
      <c r="N26" t="inlineStr">
        <is>
          <t>VDU</t>
        </is>
      </c>
      <c r="O26" t="inlineStr">
        <is>
          <t>LVN</t>
        </is>
      </c>
      <c r="P26">
        <f>B24</f>
        <v/>
      </c>
      <c r="R26" s="11" t="inlineStr">
        <is>
          <t>USGC -&gt; Asia</t>
        </is>
      </c>
      <c r="S26" s="32" t="n"/>
    </row>
    <row r="27">
      <c r="A27" s="11" t="inlineStr">
        <is>
          <t>HYDROCRACKER</t>
        </is>
      </c>
      <c r="B27" s="30" t="n">
        <v>0.05</v>
      </c>
      <c r="C27" s="30" t="n">
        <v>0.15</v>
      </c>
      <c r="M27" t="n">
        <v>2</v>
      </c>
      <c r="N27" t="inlineStr">
        <is>
          <t>VDU</t>
        </is>
      </c>
      <c r="O27" t="inlineStr">
        <is>
          <t>HVN</t>
        </is>
      </c>
      <c r="P27">
        <f>C24</f>
        <v/>
      </c>
      <c r="R27" s="11" t="inlineStr">
        <is>
          <t>USGC -&gt; NWE</t>
        </is>
      </c>
      <c r="S27" s="32" t="n"/>
    </row>
    <row r="28">
      <c r="A28" s="11" t="inlineStr">
        <is>
          <t>REFORMER</t>
        </is>
      </c>
      <c r="B28" s="30" t="n">
        <v>0</v>
      </c>
      <c r="C28" s="30" t="n">
        <v>-1</v>
      </c>
      <c r="M28" t="n">
        <v>2</v>
      </c>
      <c r="N28" t="inlineStr">
        <is>
          <t>FCC</t>
        </is>
      </c>
      <c r="O28" t="inlineStr">
        <is>
          <t>LVN</t>
        </is>
      </c>
      <c r="P28">
        <f>B25</f>
        <v/>
      </c>
      <c r="R28" s="11" t="inlineStr">
        <is>
          <t>NWE -&gt; USGC</t>
        </is>
      </c>
      <c r="S28" s="32" t="n"/>
    </row>
    <row r="29">
      <c r="A29" s="11" t="inlineStr">
        <is>
          <t>ISOM</t>
        </is>
      </c>
      <c r="B29" s="30" t="n">
        <v>-1</v>
      </c>
      <c r="C29" s="30" t="n">
        <v>0</v>
      </c>
      <c r="M29" t="n">
        <v>2</v>
      </c>
      <c r="N29" t="inlineStr">
        <is>
          <t>FCC</t>
        </is>
      </c>
      <c r="O29" t="inlineStr">
        <is>
          <t>HVN</t>
        </is>
      </c>
      <c r="P29">
        <f>C25</f>
        <v/>
      </c>
      <c r="R29" s="11" t="inlineStr">
        <is>
          <t>USGC -&gt; USAC (Jones Act)</t>
        </is>
      </c>
      <c r="S29" s="32" t="n"/>
    </row>
    <row r="30">
      <c r="A30" s="11" t="inlineStr">
        <is>
          <t>ALKY</t>
        </is>
      </c>
      <c r="B30" s="30" t="n">
        <v>0</v>
      </c>
      <c r="C30" s="30" t="n">
        <v>0</v>
      </c>
      <c r="M30" t="n">
        <v>2</v>
      </c>
      <c r="N30" t="inlineStr">
        <is>
          <t>COKER</t>
        </is>
      </c>
      <c r="O30" t="inlineStr">
        <is>
          <t>LVN</t>
        </is>
      </c>
      <c r="P30">
        <f>B26</f>
        <v/>
      </c>
      <c r="R30" s="11" t="inlineStr">
        <is>
          <t>PADD3 -&gt; PADD2 pipeline</t>
        </is>
      </c>
      <c r="S30" s="32" t="n"/>
    </row>
    <row r="31">
      <c r="A31" s="11" t="inlineStr">
        <is>
          <t>SPLITTER</t>
        </is>
      </c>
      <c r="B31" s="30" t="n">
        <v>0.25</v>
      </c>
      <c r="C31" s="30" t="n">
        <v>0.35</v>
      </c>
      <c r="M31" t="n">
        <v>2</v>
      </c>
      <c r="N31" t="inlineStr">
        <is>
          <t>COKER</t>
        </is>
      </c>
      <c r="O31" t="inlineStr">
        <is>
          <t>HVN</t>
        </is>
      </c>
      <c r="P31">
        <f>C26</f>
        <v/>
      </c>
      <c r="R31" s="11" t="inlineStr">
        <is>
          <t>Storage ($/bbl/month)</t>
        </is>
      </c>
      <c r="S31" s="32" t="n"/>
    </row>
    <row r="32">
      <c r="A32" s="11" t="inlineStr">
        <is>
          <t>NHT</t>
        </is>
      </c>
      <c r="B32" s="30" t="n">
        <v>0</v>
      </c>
      <c r="C32" s="30" t="n">
        <v>0</v>
      </c>
      <c r="M32" t="n">
        <v>2</v>
      </c>
      <c r="N32" t="inlineStr">
        <is>
          <t>HYDROCRACKER</t>
        </is>
      </c>
      <c r="O32" t="inlineStr">
        <is>
          <t>LVN</t>
        </is>
      </c>
      <c r="P32">
        <f>B27</f>
        <v/>
      </c>
    </row>
    <row r="33">
      <c r="M33" t="n">
        <v>2</v>
      </c>
      <c r="N33" t="inlineStr">
        <is>
          <t>HYDROCRACKER</t>
        </is>
      </c>
      <c r="O33" t="inlineStr">
        <is>
          <t>HVN</t>
        </is>
      </c>
      <c r="P33">
        <f>C27</f>
        <v/>
      </c>
      <c r="R33" s="17" t="inlineStr">
        <is>
          <t>Blend scenario assumptions</t>
        </is>
      </c>
      <c r="S33" s="17" t="inlineStr">
        <is>
          <t>value</t>
        </is>
      </c>
    </row>
    <row r="34">
      <c r="M34" t="n">
        <v>2</v>
      </c>
      <c r="N34" t="inlineStr">
        <is>
          <t>REFORMER</t>
        </is>
      </c>
      <c r="O34" t="inlineStr">
        <is>
          <t>LVN</t>
        </is>
      </c>
      <c r="P34">
        <f>B28</f>
        <v/>
      </c>
      <c r="R34" s="11" t="inlineStr">
        <is>
          <t>Max-light: naphtha yield uplift (pts on crude)</t>
        </is>
      </c>
      <c r="S34" s="32" t="n"/>
    </row>
    <row r="35" ht="20" customHeight="1">
      <c r="A35" s="8" t="inlineStr">
        <is>
          <t>PADD 3 — Gulf Coast</t>
        </is>
      </c>
      <c r="B35" s="9" t="n"/>
      <c r="C35" s="9" t="n"/>
      <c r="D35" s="9" t="n"/>
      <c r="E35" s="9" t="n"/>
      <c r="F35" s="9" t="n"/>
      <c r="G35" s="9" t="n"/>
      <c r="H35" s="9" t="n"/>
      <c r="M35" t="n">
        <v>2</v>
      </c>
      <c r="N35" t="inlineStr">
        <is>
          <t>REFORMER</t>
        </is>
      </c>
      <c r="O35" t="inlineStr">
        <is>
          <t>HVN</t>
        </is>
      </c>
      <c r="P35">
        <f>C28</f>
        <v/>
      </c>
      <c r="R35" s="11" t="inlineStr">
        <is>
          <t>Max-heavy: naphtha yield reduction (pts on crude)</t>
        </is>
      </c>
      <c r="S35" s="32" t="n"/>
    </row>
    <row r="36">
      <c r="A36" s="27" t="inlineStr">
        <is>
          <t>Utilization</t>
        </is>
      </c>
      <c r="B36" s="30" t="n">
        <v>0.93</v>
      </c>
      <c r="M36" t="n">
        <v>2</v>
      </c>
      <c r="N36" t="inlineStr">
        <is>
          <t>ISOM</t>
        </is>
      </c>
      <c r="O36" t="inlineStr">
        <is>
          <t>LVN</t>
        </is>
      </c>
      <c r="P36">
        <f>B29</f>
        <v/>
      </c>
      <c r="R36" s="11" t="inlineStr">
        <is>
          <t>Max slate shift (% of crude runs)</t>
        </is>
      </c>
      <c r="S36" s="32" t="n"/>
    </row>
    <row r="37">
      <c r="M37" t="n">
        <v>2</v>
      </c>
      <c r="N37" t="inlineStr">
        <is>
          <t>ISOM</t>
        </is>
      </c>
      <c r="O37" t="inlineStr">
        <is>
          <t>HVN</t>
        </is>
      </c>
      <c r="P37">
        <f>C29</f>
        <v/>
      </c>
    </row>
    <row r="38">
      <c r="A38" s="17" t="inlineStr">
        <is>
          <t>Unit type</t>
        </is>
      </c>
      <c r="B38" s="17" t="inlineStr">
        <is>
          <t>LVN</t>
        </is>
      </c>
      <c r="C38" s="17" t="inlineStr">
        <is>
          <t>HVN</t>
        </is>
      </c>
      <c r="M38" t="n">
        <v>2</v>
      </c>
      <c r="N38" t="inlineStr">
        <is>
          <t>ALKY</t>
        </is>
      </c>
      <c r="O38" t="inlineStr">
        <is>
          <t>LVN</t>
        </is>
      </c>
      <c r="P38">
        <f>B30</f>
        <v/>
      </c>
    </row>
    <row r="39">
      <c r="A39" s="11" t="inlineStr">
        <is>
          <t>CDU</t>
        </is>
      </c>
      <c r="B39" s="30" t="n">
        <v>0.055</v>
      </c>
      <c r="C39" s="30" t="n">
        <v>0.135</v>
      </c>
      <c r="M39" t="n">
        <v>2</v>
      </c>
      <c r="N39" t="inlineStr">
        <is>
          <t>ALKY</t>
        </is>
      </c>
      <c r="O39" t="inlineStr">
        <is>
          <t>HVN</t>
        </is>
      </c>
      <c r="P39">
        <f>C30</f>
        <v/>
      </c>
    </row>
    <row r="40">
      <c r="A40" s="11" t="inlineStr">
        <is>
          <t>VDU</t>
        </is>
      </c>
      <c r="B40" s="30" t="n">
        <v>0</v>
      </c>
      <c r="C40" s="30" t="n">
        <v>0.01</v>
      </c>
      <c r="M40" t="n">
        <v>2</v>
      </c>
      <c r="N40" t="inlineStr">
        <is>
          <t>SPLITTER</t>
        </is>
      </c>
      <c r="O40" t="inlineStr">
        <is>
          <t>LVN</t>
        </is>
      </c>
      <c r="P40">
        <f>B31</f>
        <v/>
      </c>
    </row>
    <row r="41">
      <c r="A41" s="11" t="inlineStr">
        <is>
          <t>FCC</t>
        </is>
      </c>
      <c r="B41" s="30" t="n">
        <v>0.02</v>
      </c>
      <c r="C41" s="30" t="n">
        <v>0.04</v>
      </c>
      <c r="M41" t="n">
        <v>2</v>
      </c>
      <c r="N41" t="inlineStr">
        <is>
          <t>SPLITTER</t>
        </is>
      </c>
      <c r="O41" t="inlineStr">
        <is>
          <t>HVN</t>
        </is>
      </c>
      <c r="P41">
        <f>C31</f>
        <v/>
      </c>
    </row>
    <row r="42">
      <c r="A42" s="11" t="inlineStr">
        <is>
          <t>COKER</t>
        </is>
      </c>
      <c r="B42" s="30" t="n">
        <v>0.02</v>
      </c>
      <c r="C42" s="30" t="n">
        <v>0.08</v>
      </c>
      <c r="M42" t="n">
        <v>2</v>
      </c>
      <c r="N42" t="inlineStr">
        <is>
          <t>NHT</t>
        </is>
      </c>
      <c r="O42" t="inlineStr">
        <is>
          <t>LVN</t>
        </is>
      </c>
      <c r="P42">
        <f>B32</f>
        <v/>
      </c>
    </row>
    <row r="43">
      <c r="A43" s="11" t="inlineStr">
        <is>
          <t>HYDROCRACKER</t>
        </is>
      </c>
      <c r="B43" s="30" t="n">
        <v>0.05</v>
      </c>
      <c r="C43" s="30" t="n">
        <v>0.15</v>
      </c>
      <c r="M43" t="n">
        <v>2</v>
      </c>
      <c r="N43" t="inlineStr">
        <is>
          <t>NHT</t>
        </is>
      </c>
      <c r="O43" t="inlineStr">
        <is>
          <t>HVN</t>
        </is>
      </c>
      <c r="P43">
        <f>C32</f>
        <v/>
      </c>
    </row>
    <row r="44">
      <c r="A44" s="11" t="inlineStr">
        <is>
          <t>REFORMER</t>
        </is>
      </c>
      <c r="B44" s="30" t="n">
        <v>0</v>
      </c>
      <c r="C44" s="30" t="n">
        <v>-1</v>
      </c>
      <c r="M44" t="n">
        <v>3</v>
      </c>
      <c r="N44" t="inlineStr">
        <is>
          <t>CDU</t>
        </is>
      </c>
      <c r="O44" t="inlineStr">
        <is>
          <t>LVN</t>
        </is>
      </c>
      <c r="P44">
        <f>B39</f>
        <v/>
      </c>
    </row>
    <row r="45">
      <c r="A45" s="11" t="inlineStr">
        <is>
          <t>ISOM</t>
        </is>
      </c>
      <c r="B45" s="30" t="n">
        <v>-1</v>
      </c>
      <c r="C45" s="30" t="n">
        <v>0</v>
      </c>
      <c r="M45" t="n">
        <v>3</v>
      </c>
      <c r="N45" t="inlineStr">
        <is>
          <t>CDU</t>
        </is>
      </c>
      <c r="O45" t="inlineStr">
        <is>
          <t>HVN</t>
        </is>
      </c>
      <c r="P45">
        <f>C39</f>
        <v/>
      </c>
    </row>
    <row r="46">
      <c r="A46" s="11" t="inlineStr">
        <is>
          <t>ALKY</t>
        </is>
      </c>
      <c r="B46" s="30" t="n">
        <v>0</v>
      </c>
      <c r="C46" s="30" t="n">
        <v>0</v>
      </c>
      <c r="M46" t="n">
        <v>3</v>
      </c>
      <c r="N46" t="inlineStr">
        <is>
          <t>VDU</t>
        </is>
      </c>
      <c r="O46" t="inlineStr">
        <is>
          <t>LVN</t>
        </is>
      </c>
      <c r="P46">
        <f>B40</f>
        <v/>
      </c>
    </row>
    <row r="47">
      <c r="A47" s="11" t="inlineStr">
        <is>
          <t>SPLITTER</t>
        </is>
      </c>
      <c r="B47" s="30" t="n">
        <v>0.25</v>
      </c>
      <c r="C47" s="30" t="n">
        <v>0.35</v>
      </c>
      <c r="M47" t="n">
        <v>3</v>
      </c>
      <c r="N47" t="inlineStr">
        <is>
          <t>VDU</t>
        </is>
      </c>
      <c r="O47" t="inlineStr">
        <is>
          <t>HVN</t>
        </is>
      </c>
      <c r="P47">
        <f>C40</f>
        <v/>
      </c>
    </row>
    <row r="48">
      <c r="A48" s="11" t="inlineStr">
        <is>
          <t>NHT</t>
        </is>
      </c>
      <c r="B48" s="30" t="n">
        <v>0</v>
      </c>
      <c r="C48" s="30" t="n">
        <v>0</v>
      </c>
      <c r="M48" t="n">
        <v>3</v>
      </c>
      <c r="N48" t="inlineStr">
        <is>
          <t>FCC</t>
        </is>
      </c>
      <c r="O48" t="inlineStr">
        <is>
          <t>LVN</t>
        </is>
      </c>
      <c r="P48">
        <f>B41</f>
        <v/>
      </c>
    </row>
    <row r="49">
      <c r="M49" t="n">
        <v>3</v>
      </c>
      <c r="N49" t="inlineStr">
        <is>
          <t>FCC</t>
        </is>
      </c>
      <c r="O49" t="inlineStr">
        <is>
          <t>HVN</t>
        </is>
      </c>
      <c r="P49">
        <f>C41</f>
        <v/>
      </c>
    </row>
    <row r="50">
      <c r="M50" t="n">
        <v>3</v>
      </c>
      <c r="N50" t="inlineStr">
        <is>
          <t>COKER</t>
        </is>
      </c>
      <c r="O50" t="inlineStr">
        <is>
          <t>LVN</t>
        </is>
      </c>
      <c r="P50">
        <f>B42</f>
        <v/>
      </c>
    </row>
    <row r="51" ht="20" customHeight="1">
      <c r="A51" s="8" t="inlineStr">
        <is>
          <t>PADD 4 — Rocky Mountains</t>
        </is>
      </c>
      <c r="B51" s="9" t="n"/>
      <c r="C51" s="9" t="n"/>
      <c r="D51" s="9" t="n"/>
      <c r="E51" s="9" t="n"/>
      <c r="F51" s="9" t="n"/>
      <c r="G51" s="9" t="n"/>
      <c r="H51" s="9" t="n"/>
      <c r="M51" t="n">
        <v>3</v>
      </c>
      <c r="N51" t="inlineStr">
        <is>
          <t>COKER</t>
        </is>
      </c>
      <c r="O51" t="inlineStr">
        <is>
          <t>HVN</t>
        </is>
      </c>
      <c r="P51">
        <f>C42</f>
        <v/>
      </c>
    </row>
    <row r="52">
      <c r="A52" s="27" t="inlineStr">
        <is>
          <t>Utilization</t>
        </is>
      </c>
      <c r="B52" s="30" t="n">
        <v>0.9</v>
      </c>
      <c r="M52" t="n">
        <v>3</v>
      </c>
      <c r="N52" t="inlineStr">
        <is>
          <t>HYDROCRACKER</t>
        </is>
      </c>
      <c r="O52" t="inlineStr">
        <is>
          <t>LVN</t>
        </is>
      </c>
      <c r="P52">
        <f>B43</f>
        <v/>
      </c>
    </row>
    <row r="53">
      <c r="M53" t="n">
        <v>3</v>
      </c>
      <c r="N53" t="inlineStr">
        <is>
          <t>HYDROCRACKER</t>
        </is>
      </c>
      <c r="O53" t="inlineStr">
        <is>
          <t>HVN</t>
        </is>
      </c>
      <c r="P53">
        <f>C43</f>
        <v/>
      </c>
    </row>
    <row r="54">
      <c r="A54" s="17" t="inlineStr">
        <is>
          <t>Unit type</t>
        </is>
      </c>
      <c r="B54" s="17" t="inlineStr">
        <is>
          <t>LVN</t>
        </is>
      </c>
      <c r="C54" s="17" t="inlineStr">
        <is>
          <t>HVN</t>
        </is>
      </c>
      <c r="M54" t="n">
        <v>3</v>
      </c>
      <c r="N54" t="inlineStr">
        <is>
          <t>REFORMER</t>
        </is>
      </c>
      <c r="O54" t="inlineStr">
        <is>
          <t>LVN</t>
        </is>
      </c>
      <c r="P54">
        <f>B44</f>
        <v/>
      </c>
    </row>
    <row r="55">
      <c r="A55" s="11" t="inlineStr">
        <is>
          <t>CDU</t>
        </is>
      </c>
      <c r="B55" s="30" t="n">
        <v>0.05</v>
      </c>
      <c r="C55" s="30" t="n">
        <v>0.13</v>
      </c>
      <c r="M55" t="n">
        <v>3</v>
      </c>
      <c r="N55" t="inlineStr">
        <is>
          <t>REFORMER</t>
        </is>
      </c>
      <c r="O55" t="inlineStr">
        <is>
          <t>HVN</t>
        </is>
      </c>
      <c r="P55">
        <f>C44</f>
        <v/>
      </c>
    </row>
    <row r="56">
      <c r="A56" s="11" t="inlineStr">
        <is>
          <t>VDU</t>
        </is>
      </c>
      <c r="B56" s="30" t="n">
        <v>0</v>
      </c>
      <c r="C56" s="30" t="n">
        <v>0.01</v>
      </c>
      <c r="M56" t="n">
        <v>3</v>
      </c>
      <c r="N56" t="inlineStr">
        <is>
          <t>ISOM</t>
        </is>
      </c>
      <c r="O56" t="inlineStr">
        <is>
          <t>LVN</t>
        </is>
      </c>
      <c r="P56">
        <f>B45</f>
        <v/>
      </c>
    </row>
    <row r="57">
      <c r="A57" s="11" t="inlineStr">
        <is>
          <t>FCC</t>
        </is>
      </c>
      <c r="B57" s="30" t="n">
        <v>0.02</v>
      </c>
      <c r="C57" s="30" t="n">
        <v>0.04</v>
      </c>
      <c r="M57" t="n">
        <v>3</v>
      </c>
      <c r="N57" t="inlineStr">
        <is>
          <t>ISOM</t>
        </is>
      </c>
      <c r="O57" t="inlineStr">
        <is>
          <t>HVN</t>
        </is>
      </c>
      <c r="P57">
        <f>C45</f>
        <v/>
      </c>
    </row>
    <row r="58">
      <c r="A58" s="11" t="inlineStr">
        <is>
          <t>COKER</t>
        </is>
      </c>
      <c r="B58" s="30" t="n">
        <v>0.02</v>
      </c>
      <c r="C58" s="30" t="n">
        <v>0.08</v>
      </c>
      <c r="M58" t="n">
        <v>3</v>
      </c>
      <c r="N58" t="inlineStr">
        <is>
          <t>ALKY</t>
        </is>
      </c>
      <c r="O58" t="inlineStr">
        <is>
          <t>LVN</t>
        </is>
      </c>
      <c r="P58">
        <f>B46</f>
        <v/>
      </c>
    </row>
    <row r="59">
      <c r="A59" s="11" t="inlineStr">
        <is>
          <t>HYDROCRACKER</t>
        </is>
      </c>
      <c r="B59" s="30" t="n">
        <v>0.05</v>
      </c>
      <c r="C59" s="30" t="n">
        <v>0.15</v>
      </c>
      <c r="M59" t="n">
        <v>3</v>
      </c>
      <c r="N59" t="inlineStr">
        <is>
          <t>ALKY</t>
        </is>
      </c>
      <c r="O59" t="inlineStr">
        <is>
          <t>HVN</t>
        </is>
      </c>
      <c r="P59">
        <f>C46</f>
        <v/>
      </c>
    </row>
    <row r="60">
      <c r="A60" s="11" t="inlineStr">
        <is>
          <t>REFORMER</t>
        </is>
      </c>
      <c r="B60" s="30" t="n">
        <v>0</v>
      </c>
      <c r="C60" s="30" t="n">
        <v>-1</v>
      </c>
      <c r="M60" t="n">
        <v>3</v>
      </c>
      <c r="N60" t="inlineStr">
        <is>
          <t>SPLITTER</t>
        </is>
      </c>
      <c r="O60" t="inlineStr">
        <is>
          <t>LVN</t>
        </is>
      </c>
      <c r="P60">
        <f>B47</f>
        <v/>
      </c>
    </row>
    <row r="61">
      <c r="A61" s="11" t="inlineStr">
        <is>
          <t>ISOM</t>
        </is>
      </c>
      <c r="B61" s="30" t="n">
        <v>-1</v>
      </c>
      <c r="C61" s="30" t="n">
        <v>0</v>
      </c>
      <c r="M61" t="n">
        <v>3</v>
      </c>
      <c r="N61" t="inlineStr">
        <is>
          <t>SPLITTER</t>
        </is>
      </c>
      <c r="O61" t="inlineStr">
        <is>
          <t>HVN</t>
        </is>
      </c>
      <c r="P61">
        <f>C47</f>
        <v/>
      </c>
    </row>
    <row r="62">
      <c r="A62" s="11" t="inlineStr">
        <is>
          <t>ALKY</t>
        </is>
      </c>
      <c r="B62" s="30" t="n">
        <v>0</v>
      </c>
      <c r="C62" s="30" t="n">
        <v>0</v>
      </c>
      <c r="M62" t="n">
        <v>3</v>
      </c>
      <c r="N62" t="inlineStr">
        <is>
          <t>NHT</t>
        </is>
      </c>
      <c r="O62" t="inlineStr">
        <is>
          <t>LVN</t>
        </is>
      </c>
      <c r="P62">
        <f>B48</f>
        <v/>
      </c>
    </row>
    <row r="63">
      <c r="A63" s="11" t="inlineStr">
        <is>
          <t>SPLITTER</t>
        </is>
      </c>
      <c r="B63" s="30" t="n">
        <v>0.25</v>
      </c>
      <c r="C63" s="30" t="n">
        <v>0.35</v>
      </c>
      <c r="M63" t="n">
        <v>3</v>
      </c>
      <c r="N63" t="inlineStr">
        <is>
          <t>NHT</t>
        </is>
      </c>
      <c r="O63" t="inlineStr">
        <is>
          <t>HVN</t>
        </is>
      </c>
      <c r="P63">
        <f>C48</f>
        <v/>
      </c>
    </row>
    <row r="64">
      <c r="A64" s="11" t="inlineStr">
        <is>
          <t>NHT</t>
        </is>
      </c>
      <c r="B64" s="30" t="n">
        <v>0</v>
      </c>
      <c r="C64" s="30" t="n">
        <v>0</v>
      </c>
      <c r="M64" t="n">
        <v>4</v>
      </c>
      <c r="N64" t="inlineStr">
        <is>
          <t>CDU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CDU</t>
        </is>
      </c>
      <c r="O65" t="inlineStr">
        <is>
          <t>HVN</t>
        </is>
      </c>
      <c r="P65">
        <f>C55</f>
        <v/>
      </c>
    </row>
    <row r="66">
      <c r="M66" t="n">
        <v>4</v>
      </c>
      <c r="N66" t="inlineStr">
        <is>
          <t>VDU</t>
        </is>
      </c>
      <c r="O66" t="inlineStr">
        <is>
          <t>LVN</t>
        </is>
      </c>
      <c r="P66">
        <f>B56</f>
        <v/>
      </c>
    </row>
    <row r="67" ht="20" customHeight="1">
      <c r="A67" s="8" t="inlineStr">
        <is>
          <t>PADD 5 — West Coast</t>
        </is>
      </c>
      <c r="B67" s="9" t="n"/>
      <c r="C67" s="9" t="n"/>
      <c r="D67" s="9" t="n"/>
      <c r="E67" s="9" t="n"/>
      <c r="F67" s="9" t="n"/>
      <c r="G67" s="9" t="n"/>
      <c r="H67" s="9" t="n"/>
      <c r="M67" t="n">
        <v>4</v>
      </c>
      <c r="N67" t="inlineStr">
        <is>
          <t>VDU</t>
        </is>
      </c>
      <c r="O67" t="inlineStr">
        <is>
          <t>HVN</t>
        </is>
      </c>
      <c r="P67">
        <f>C56</f>
        <v/>
      </c>
    </row>
    <row r="68">
      <c r="A68" s="27" t="inlineStr">
        <is>
          <t>Utilization</t>
        </is>
      </c>
      <c r="B68" s="30" t="n">
        <v>0.9</v>
      </c>
      <c r="M68" t="n">
        <v>4</v>
      </c>
      <c r="N68" t="inlineStr">
        <is>
          <t>FCC</t>
        </is>
      </c>
      <c r="O68" t="inlineStr">
        <is>
          <t>LVN</t>
        </is>
      </c>
      <c r="P68">
        <f>B57</f>
        <v/>
      </c>
    </row>
    <row r="69">
      <c r="M69" t="n">
        <v>4</v>
      </c>
      <c r="N69" t="inlineStr">
        <is>
          <t>FCC</t>
        </is>
      </c>
      <c r="O69" t="inlineStr">
        <is>
          <t>HVN</t>
        </is>
      </c>
      <c r="P69">
        <f>C57</f>
        <v/>
      </c>
    </row>
    <row r="70">
      <c r="A70" s="17" t="inlineStr">
        <is>
          <t>Unit type</t>
        </is>
      </c>
      <c r="B70" s="17" t="inlineStr">
        <is>
          <t>LVN</t>
        </is>
      </c>
      <c r="C70" s="17" t="inlineStr">
        <is>
          <t>HVN</t>
        </is>
      </c>
      <c r="M70" t="n">
        <v>4</v>
      </c>
      <c r="N70" t="inlineStr">
        <is>
          <t>COKER</t>
        </is>
      </c>
      <c r="O70" t="inlineStr">
        <is>
          <t>LVN</t>
        </is>
      </c>
      <c r="P70">
        <f>B58</f>
        <v/>
      </c>
    </row>
    <row r="71">
      <c r="A71" s="11" t="inlineStr">
        <is>
          <t>CDU</t>
        </is>
      </c>
      <c r="B71" s="30" t="n">
        <v>0.05</v>
      </c>
      <c r="C71" s="30" t="n">
        <v>0.13</v>
      </c>
      <c r="M71" t="n">
        <v>4</v>
      </c>
      <c r="N71" t="inlineStr">
        <is>
          <t>COKER</t>
        </is>
      </c>
      <c r="O71" t="inlineStr">
        <is>
          <t>HVN</t>
        </is>
      </c>
      <c r="P71">
        <f>C58</f>
        <v/>
      </c>
    </row>
    <row r="72">
      <c r="A72" s="11" t="inlineStr">
        <is>
          <t>VDU</t>
        </is>
      </c>
      <c r="B72" s="30" t="n">
        <v>0</v>
      </c>
      <c r="C72" s="30" t="n">
        <v>0.01</v>
      </c>
      <c r="M72" t="n">
        <v>4</v>
      </c>
      <c r="N72" t="inlineStr">
        <is>
          <t>HYDROCRACKER</t>
        </is>
      </c>
      <c r="O72" t="inlineStr">
        <is>
          <t>LVN</t>
        </is>
      </c>
      <c r="P72">
        <f>B59</f>
        <v/>
      </c>
    </row>
    <row r="73">
      <c r="A73" s="11" t="inlineStr">
        <is>
          <t>FCC</t>
        </is>
      </c>
      <c r="B73" s="30" t="n">
        <v>0.02</v>
      </c>
      <c r="C73" s="30" t="n">
        <v>0.04</v>
      </c>
      <c r="M73" t="n">
        <v>4</v>
      </c>
      <c r="N73" t="inlineStr">
        <is>
          <t>HYDROCRACKER</t>
        </is>
      </c>
      <c r="O73" t="inlineStr">
        <is>
          <t>HVN</t>
        </is>
      </c>
      <c r="P73">
        <f>C59</f>
        <v/>
      </c>
    </row>
    <row r="74">
      <c r="A74" s="11" t="inlineStr">
        <is>
          <t>COKER</t>
        </is>
      </c>
      <c r="B74" s="30" t="n">
        <v>0.02</v>
      </c>
      <c r="C74" s="30" t="n">
        <v>0.08</v>
      </c>
      <c r="M74" t="n">
        <v>4</v>
      </c>
      <c r="N74" t="inlineStr">
        <is>
          <t>REFORMER</t>
        </is>
      </c>
      <c r="O74" t="inlineStr">
        <is>
          <t>LVN</t>
        </is>
      </c>
      <c r="P74">
        <f>B60</f>
        <v/>
      </c>
    </row>
    <row r="75">
      <c r="A75" s="11" t="inlineStr">
        <is>
          <t>HYDROCRACKER</t>
        </is>
      </c>
      <c r="B75" s="30" t="n">
        <v>0.05</v>
      </c>
      <c r="C75" s="30" t="n">
        <v>0.15</v>
      </c>
      <c r="M75" t="n">
        <v>4</v>
      </c>
      <c r="N75" t="inlineStr">
        <is>
          <t>REFORMER</t>
        </is>
      </c>
      <c r="O75" t="inlineStr">
        <is>
          <t>HVN</t>
        </is>
      </c>
      <c r="P75">
        <f>C60</f>
        <v/>
      </c>
    </row>
    <row r="76">
      <c r="A76" s="11" t="inlineStr">
        <is>
          <t>REFORMER</t>
        </is>
      </c>
      <c r="B76" s="30" t="n">
        <v>0</v>
      </c>
      <c r="C76" s="30" t="n">
        <v>-1</v>
      </c>
      <c r="M76" t="n">
        <v>4</v>
      </c>
      <c r="N76" t="inlineStr">
        <is>
          <t>ISOM</t>
        </is>
      </c>
      <c r="O76" t="inlineStr">
        <is>
          <t>LVN</t>
        </is>
      </c>
      <c r="P76">
        <f>B61</f>
        <v/>
      </c>
    </row>
    <row r="77">
      <c r="A77" s="11" t="inlineStr">
        <is>
          <t>ISOM</t>
        </is>
      </c>
      <c r="B77" s="30" t="n">
        <v>-1</v>
      </c>
      <c r="C77" s="30" t="n">
        <v>0</v>
      </c>
      <c r="M77" t="n">
        <v>4</v>
      </c>
      <c r="N77" t="inlineStr">
        <is>
          <t>ISOM</t>
        </is>
      </c>
      <c r="O77" t="inlineStr">
        <is>
          <t>HVN</t>
        </is>
      </c>
      <c r="P77">
        <f>C61</f>
        <v/>
      </c>
    </row>
    <row r="78">
      <c r="A78" s="11" t="inlineStr">
        <is>
          <t>ALKY</t>
        </is>
      </c>
      <c r="B78" s="30" t="n">
        <v>0</v>
      </c>
      <c r="C78" s="30" t="n">
        <v>0</v>
      </c>
      <c r="M78" t="n">
        <v>4</v>
      </c>
      <c r="N78" t="inlineStr">
        <is>
          <t>ALKY</t>
        </is>
      </c>
      <c r="O78" t="inlineStr">
        <is>
          <t>LVN</t>
        </is>
      </c>
      <c r="P78">
        <f>B62</f>
        <v/>
      </c>
    </row>
    <row r="79">
      <c r="A79" s="11" t="inlineStr">
        <is>
          <t>SPLITTER</t>
        </is>
      </c>
      <c r="B79" s="30" t="n">
        <v>0.25</v>
      </c>
      <c r="C79" s="30" t="n">
        <v>0.35</v>
      </c>
      <c r="M79" t="n">
        <v>4</v>
      </c>
      <c r="N79" t="inlineStr">
        <is>
          <t>ALKY</t>
        </is>
      </c>
      <c r="O79" t="inlineStr">
        <is>
          <t>HVN</t>
        </is>
      </c>
      <c r="P79">
        <f>C62</f>
        <v/>
      </c>
    </row>
    <row r="80">
      <c r="A80" s="11" t="inlineStr">
        <is>
          <t>NHT</t>
        </is>
      </c>
      <c r="B80" s="30" t="n">
        <v>0</v>
      </c>
      <c r="C80" s="30" t="n">
        <v>0</v>
      </c>
      <c r="M80" t="n">
        <v>4</v>
      </c>
      <c r="N80" t="inlineStr">
        <is>
          <t>SPLITTER</t>
        </is>
      </c>
      <c r="O80" t="inlineStr">
        <is>
          <t>LVN</t>
        </is>
      </c>
      <c r="P80">
        <f>B63</f>
        <v/>
      </c>
    </row>
    <row r="81">
      <c r="M81" t="n">
        <v>4</v>
      </c>
      <c r="N81" t="inlineStr">
        <is>
          <t>SPLITTER</t>
        </is>
      </c>
      <c r="O81" t="inlineStr">
        <is>
          <t>HVN</t>
        </is>
      </c>
      <c r="P81">
        <f>C63</f>
        <v/>
      </c>
    </row>
    <row r="82">
      <c r="M82" t="n">
        <v>4</v>
      </c>
      <c r="N82" t="inlineStr">
        <is>
          <t>NHT</t>
        </is>
      </c>
      <c r="O82" t="inlineStr">
        <is>
          <t>LVN</t>
        </is>
      </c>
      <c r="P82">
        <f>B64</f>
        <v/>
      </c>
    </row>
    <row r="83">
      <c r="M83" t="n">
        <v>4</v>
      </c>
      <c r="N83" t="inlineStr">
        <is>
          <t>NHT</t>
        </is>
      </c>
      <c r="O83" t="inlineStr">
        <is>
          <t>HVN</t>
        </is>
      </c>
      <c r="P83">
        <f>C64</f>
        <v/>
      </c>
    </row>
    <row r="84">
      <c r="M84" t="n">
        <v>5</v>
      </c>
      <c r="N84" t="inlineStr">
        <is>
          <t>CDU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CDU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VDU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VDU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FCC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FCC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COKER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COKER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HYDROCRACKER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HYDROCRACKER</t>
        </is>
      </c>
      <c r="O93" t="inlineStr">
        <is>
          <t>HVN</t>
        </is>
      </c>
      <c r="P93">
        <f>C75</f>
        <v/>
      </c>
    </row>
    <row r="94">
      <c r="M94" t="n">
        <v>5</v>
      </c>
      <c r="N94" t="inlineStr">
        <is>
          <t>REFORMER</t>
        </is>
      </c>
      <c r="O94" t="inlineStr">
        <is>
          <t>LVN</t>
        </is>
      </c>
      <c r="P94">
        <f>B76</f>
        <v/>
      </c>
    </row>
    <row r="95">
      <c r="M95" t="n">
        <v>5</v>
      </c>
      <c r="N95" t="inlineStr">
        <is>
          <t>REFORMER</t>
        </is>
      </c>
      <c r="O95" t="inlineStr">
        <is>
          <t>HVN</t>
        </is>
      </c>
      <c r="P95">
        <f>C76</f>
        <v/>
      </c>
    </row>
    <row r="96">
      <c r="M96" t="n">
        <v>5</v>
      </c>
      <c r="N96" t="inlineStr">
        <is>
          <t>ISOM</t>
        </is>
      </c>
      <c r="O96" t="inlineStr">
        <is>
          <t>LVN</t>
        </is>
      </c>
      <c r="P96">
        <f>B77</f>
        <v/>
      </c>
    </row>
    <row r="97">
      <c r="M97" t="n">
        <v>5</v>
      </c>
      <c r="N97" t="inlineStr">
        <is>
          <t>ISOM</t>
        </is>
      </c>
      <c r="O97" t="inlineStr">
        <is>
          <t>HVN</t>
        </is>
      </c>
      <c r="P97">
        <f>C77</f>
        <v/>
      </c>
    </row>
    <row r="98">
      <c r="M98" t="n">
        <v>5</v>
      </c>
      <c r="N98" t="inlineStr">
        <is>
          <t>ALKY</t>
        </is>
      </c>
      <c r="O98" t="inlineStr">
        <is>
          <t>LVN</t>
        </is>
      </c>
      <c r="P98">
        <f>B78</f>
        <v/>
      </c>
    </row>
    <row r="99">
      <c r="M99" t="n">
        <v>5</v>
      </c>
      <c r="N99" t="inlineStr">
        <is>
          <t>ALKY</t>
        </is>
      </c>
      <c r="O99" t="inlineStr">
        <is>
          <t>HVN</t>
        </is>
      </c>
      <c r="P99">
        <f>C78</f>
        <v/>
      </c>
    </row>
    <row r="100">
      <c r="M100" t="n">
        <v>5</v>
      </c>
      <c r="N100" t="inlineStr">
        <is>
          <t>SPLITTER</t>
        </is>
      </c>
      <c r="O100" t="inlineStr">
        <is>
          <t>LVN</t>
        </is>
      </c>
      <c r="P100">
        <f>B79</f>
        <v/>
      </c>
    </row>
    <row r="101">
      <c r="M101" t="n">
        <v>5</v>
      </c>
      <c r="N101" t="inlineStr">
        <is>
          <t>SPLITTER</t>
        </is>
      </c>
      <c r="O101" t="inlineStr">
        <is>
          <t>HVN</t>
        </is>
      </c>
      <c r="P101">
        <f>C79</f>
        <v/>
      </c>
    </row>
    <row r="102">
      <c r="M102" t="n">
        <v>5</v>
      </c>
      <c r="N102" t="inlineStr">
        <is>
          <t>NHT</t>
        </is>
      </c>
      <c r="O102" t="inlineStr">
        <is>
          <t>LVN</t>
        </is>
      </c>
      <c r="P102">
        <f>B80</f>
        <v/>
      </c>
    </row>
    <row r="103">
      <c r="M103" t="n">
        <v>5</v>
      </c>
      <c r="N103" t="inlineStr">
        <is>
          <t>NHT</t>
        </is>
      </c>
      <c r="O103" t="inlineStr">
        <is>
          <t>HVN</t>
        </is>
      </c>
      <c r="P103">
        <f>C80</f>
        <v/>
      </c>
    </row>
  </sheetData>
  <mergeCells count="6">
    <mergeCell ref="A67:H67"/>
    <mergeCell ref="A3:H3"/>
    <mergeCell ref="A35:H35"/>
    <mergeCell ref="A1:P1"/>
    <mergeCell ref="A51:H51"/>
    <mergeCell ref="A19:H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8677"/>
    <outlinePr summaryBelow="1" summaryRight="1"/>
    <pageSetUpPr/>
  </sheetPr>
  <dimension ref="A1:S132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 ht="20" customHeight="1">
      <c r="A1" s="8" t="inlineStr">
        <is>
          <t>Nameplate capacity (kbd) — stated unit capacities, live from the Boxes sheet. This is what's on paper; see Effective for what units have actually demonstrated.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</row>
    <row r="2">
      <c r="A2" s="17" t="inlineStr">
        <is>
          <t>refinery_id</t>
        </is>
      </c>
      <c r="B2" s="17" t="inlineStr">
        <is>
          <t>name</t>
        </is>
      </c>
      <c r="C2" s="17" t="inlineStr">
        <is>
          <t>padd</t>
        </is>
      </c>
      <c r="D2" s="17" t="inlineStr">
        <is>
          <t>crude kbd</t>
        </is>
      </c>
      <c r="E2" s="17" t="inlineStr">
        <is>
          <t>CDU</t>
        </is>
      </c>
      <c r="F2" s="17" t="inlineStr">
        <is>
          <t>VDU</t>
        </is>
      </c>
      <c r="G2" s="17" t="inlineStr">
        <is>
          <t>FCC</t>
        </is>
      </c>
      <c r="H2" s="17" t="inlineStr">
        <is>
          <t>RCC</t>
        </is>
      </c>
      <c r="I2" s="17" t="inlineStr">
        <is>
          <t>COKER</t>
        </is>
      </c>
      <c r="J2" s="17" t="inlineStr">
        <is>
          <t>FCOKER</t>
        </is>
      </c>
      <c r="K2" s="17" t="inlineStr">
        <is>
          <t>DHCU</t>
        </is>
      </c>
      <c r="L2" s="17" t="inlineStr">
        <is>
          <t>RHCU</t>
        </is>
      </c>
      <c r="M2" s="17" t="inlineStr">
        <is>
          <t>REF</t>
        </is>
      </c>
      <c r="N2" s="17" t="inlineStr">
        <is>
          <t>CCR</t>
        </is>
      </c>
      <c r="O2" s="17" t="inlineStr">
        <is>
          <t>ISOM</t>
        </is>
      </c>
      <c r="P2" s="17" t="inlineStr">
        <is>
          <t>ALKY</t>
        </is>
      </c>
      <c r="Q2" s="17" t="inlineStr">
        <is>
          <t>NSPL</t>
        </is>
      </c>
      <c r="R2" s="17" t="inlineStr">
        <is>
          <t>NHT</t>
        </is>
      </c>
    </row>
    <row r="3">
      <c r="A3" s="18" t="inlineStr">
        <is>
          <t>PHILLIPS_LINDEN</t>
        </is>
      </c>
      <c r="B3" s="18" t="inlineStr">
        <is>
          <t>Phillips 66 Co. Linden</t>
        </is>
      </c>
      <c r="C3" s="18" t="n">
        <v>1</v>
      </c>
      <c r="D3" s="21">
        <f>SUMIFS(Data!$G$3:$G$125,Data!$A$3:$A$125,$A3)</f>
        <v/>
      </c>
      <c r="E3" s="21">
        <f>SUMIFS(Boxes!$F$3:$F$1084,Boxes!$B$3:$B$1084,$A3,Boxes!$D$3:$D$1084,"CDU")</f>
        <v/>
      </c>
      <c r="F3" s="21">
        <f>SUMIFS(Boxes!$F$3:$F$1084,Boxes!$B$3:$B$1084,$A3,Boxes!$D$3:$D$1084,"VDU")</f>
        <v/>
      </c>
      <c r="G3" s="21">
        <f>SUMIFS(Boxes!$F$3:$F$1084,Boxes!$B$3:$B$1084,$A3,Boxes!$D$3:$D$1084,"FCC")</f>
        <v/>
      </c>
      <c r="H3" s="21">
        <f>SUMIFS(Boxes!$F$3:$F$1084,Boxes!$B$3:$B$1084,$A3,Boxes!$D$3:$D$1084,"RCC")</f>
        <v/>
      </c>
      <c r="I3" s="21">
        <f>SUMIFS(Boxes!$F$3:$F$1084,Boxes!$B$3:$B$1084,$A3,Boxes!$D$3:$D$1084,"COKER")</f>
        <v/>
      </c>
      <c r="J3" s="21">
        <f>SUMIFS(Boxes!$F$3:$F$1084,Boxes!$B$3:$B$1084,$A3,Boxes!$D$3:$D$1084,"FCOKER")</f>
        <v/>
      </c>
      <c r="K3" s="21">
        <f>SUMIFS(Boxes!$F$3:$F$1084,Boxes!$B$3:$B$1084,$A3,Boxes!$D$3:$D$1084,"DHCU")</f>
        <v/>
      </c>
      <c r="L3" s="21">
        <f>SUMIFS(Boxes!$F$3:$F$1084,Boxes!$B$3:$B$1084,$A3,Boxes!$D$3:$D$1084,"RHCU")</f>
        <v/>
      </c>
      <c r="M3" s="21">
        <f>SUMIFS(Boxes!$F$3:$F$1084,Boxes!$B$3:$B$1084,$A3,Boxes!$D$3:$D$1084,"REF")</f>
        <v/>
      </c>
      <c r="N3" s="21">
        <f>SUMIFS(Boxes!$F$3:$F$1084,Boxes!$B$3:$B$1084,$A3,Boxes!$D$3:$D$1084,"CCR")</f>
        <v/>
      </c>
      <c r="O3" s="21">
        <f>SUMIFS(Boxes!$F$3:$F$1084,Boxes!$B$3:$B$1084,$A3,Boxes!$D$3:$D$1084,"ISOM")</f>
        <v/>
      </c>
      <c r="P3" s="21">
        <f>SUMIFS(Boxes!$F$3:$F$1084,Boxes!$B$3:$B$1084,$A3,Boxes!$D$3:$D$1084,"ALKY")</f>
        <v/>
      </c>
      <c r="Q3" s="21">
        <f>SUMIFS(Boxes!$F$3:$F$1084,Boxes!$B$3:$B$1084,$A3,Boxes!$D$3:$D$1084,"NSPL")</f>
        <v/>
      </c>
      <c r="R3" s="21">
        <f>SUMIFS(Boxes!$F$3:$F$1084,Boxes!$B$3:$B$1084,$A3,Boxes!$D$3:$D$1084,"NHT")</f>
        <v/>
      </c>
    </row>
    <row r="4">
      <c r="A4" s="18" t="inlineStr">
        <is>
          <t>MONROE_TRAINER</t>
        </is>
      </c>
      <c r="B4" s="18" t="inlineStr">
        <is>
          <t>Monroe Energy Trainer</t>
        </is>
      </c>
      <c r="C4" s="18" t="n">
        <v>1</v>
      </c>
      <c r="D4" s="21">
        <f>SUMIFS(Data!$G$3:$G$125,Data!$A$3:$A$125,$A4)</f>
        <v/>
      </c>
      <c r="E4" s="21">
        <f>SUMIFS(Boxes!$F$3:$F$1084,Boxes!$B$3:$B$1084,$A4,Boxes!$D$3:$D$1084,"CDU")</f>
        <v/>
      </c>
      <c r="F4" s="21">
        <f>SUMIFS(Boxes!$F$3:$F$1084,Boxes!$B$3:$B$1084,$A4,Boxes!$D$3:$D$1084,"VDU")</f>
        <v/>
      </c>
      <c r="G4" s="21">
        <f>SUMIFS(Boxes!$F$3:$F$1084,Boxes!$B$3:$B$1084,$A4,Boxes!$D$3:$D$1084,"FCC")</f>
        <v/>
      </c>
      <c r="H4" s="21">
        <f>SUMIFS(Boxes!$F$3:$F$1084,Boxes!$B$3:$B$1084,$A4,Boxes!$D$3:$D$1084,"RCC")</f>
        <v/>
      </c>
      <c r="I4" s="21">
        <f>SUMIFS(Boxes!$F$3:$F$1084,Boxes!$B$3:$B$1084,$A4,Boxes!$D$3:$D$1084,"COKER")</f>
        <v/>
      </c>
      <c r="J4" s="21">
        <f>SUMIFS(Boxes!$F$3:$F$1084,Boxes!$B$3:$B$1084,$A4,Boxes!$D$3:$D$1084,"FCOKER")</f>
        <v/>
      </c>
      <c r="K4" s="21">
        <f>SUMIFS(Boxes!$F$3:$F$1084,Boxes!$B$3:$B$1084,$A4,Boxes!$D$3:$D$1084,"DHCU")</f>
        <v/>
      </c>
      <c r="L4" s="21">
        <f>SUMIFS(Boxes!$F$3:$F$1084,Boxes!$B$3:$B$1084,$A4,Boxes!$D$3:$D$1084,"RHCU")</f>
        <v/>
      </c>
      <c r="M4" s="21">
        <f>SUMIFS(Boxes!$F$3:$F$1084,Boxes!$B$3:$B$1084,$A4,Boxes!$D$3:$D$1084,"REF")</f>
        <v/>
      </c>
      <c r="N4" s="21">
        <f>SUMIFS(Boxes!$F$3:$F$1084,Boxes!$B$3:$B$1084,$A4,Boxes!$D$3:$D$1084,"CCR")</f>
        <v/>
      </c>
      <c r="O4" s="21">
        <f>SUMIFS(Boxes!$F$3:$F$1084,Boxes!$B$3:$B$1084,$A4,Boxes!$D$3:$D$1084,"ISOM")</f>
        <v/>
      </c>
      <c r="P4" s="21">
        <f>SUMIFS(Boxes!$F$3:$F$1084,Boxes!$B$3:$B$1084,$A4,Boxes!$D$3:$D$1084,"ALKY")</f>
        <v/>
      </c>
      <c r="Q4" s="21">
        <f>SUMIFS(Boxes!$F$3:$F$1084,Boxes!$B$3:$B$1084,$A4,Boxes!$D$3:$D$1084,"NSPL")</f>
        <v/>
      </c>
      <c r="R4" s="21">
        <f>SUMIFS(Boxes!$F$3:$F$1084,Boxes!$B$3:$B$1084,$A4,Boxes!$D$3:$D$1084,"NHT")</f>
        <v/>
      </c>
    </row>
    <row r="5">
      <c r="A5" s="18" t="inlineStr">
        <is>
          <t>PBF_DELAWARE_CITY</t>
        </is>
      </c>
      <c r="B5" s="18" t="inlineStr">
        <is>
          <t>PBF Energy Company LLC Delaware City</t>
        </is>
      </c>
      <c r="C5" s="18" t="n">
        <v>1</v>
      </c>
      <c r="D5" s="21">
        <f>SUMIFS(Data!$G$3:$G$125,Data!$A$3:$A$125,$A5)</f>
        <v/>
      </c>
      <c r="E5" s="21">
        <f>SUMIFS(Boxes!$F$3:$F$1084,Boxes!$B$3:$B$1084,$A5,Boxes!$D$3:$D$1084,"CDU")</f>
        <v/>
      </c>
      <c r="F5" s="21">
        <f>SUMIFS(Boxes!$F$3:$F$1084,Boxes!$B$3:$B$1084,$A5,Boxes!$D$3:$D$1084,"VDU")</f>
        <v/>
      </c>
      <c r="G5" s="21">
        <f>SUMIFS(Boxes!$F$3:$F$1084,Boxes!$B$3:$B$1084,$A5,Boxes!$D$3:$D$1084,"FCC")</f>
        <v/>
      </c>
      <c r="H5" s="21">
        <f>SUMIFS(Boxes!$F$3:$F$1084,Boxes!$B$3:$B$1084,$A5,Boxes!$D$3:$D$1084,"RCC")</f>
        <v/>
      </c>
      <c r="I5" s="21">
        <f>SUMIFS(Boxes!$F$3:$F$1084,Boxes!$B$3:$B$1084,$A5,Boxes!$D$3:$D$1084,"COKER")</f>
        <v/>
      </c>
      <c r="J5" s="21">
        <f>SUMIFS(Boxes!$F$3:$F$1084,Boxes!$B$3:$B$1084,$A5,Boxes!$D$3:$D$1084,"FCOKER")</f>
        <v/>
      </c>
      <c r="K5" s="21">
        <f>SUMIFS(Boxes!$F$3:$F$1084,Boxes!$B$3:$B$1084,$A5,Boxes!$D$3:$D$1084,"DHCU")</f>
        <v/>
      </c>
      <c r="L5" s="21">
        <f>SUMIFS(Boxes!$F$3:$F$1084,Boxes!$B$3:$B$1084,$A5,Boxes!$D$3:$D$1084,"RHCU")</f>
        <v/>
      </c>
      <c r="M5" s="21">
        <f>SUMIFS(Boxes!$F$3:$F$1084,Boxes!$B$3:$B$1084,$A5,Boxes!$D$3:$D$1084,"REF")</f>
        <v/>
      </c>
      <c r="N5" s="21">
        <f>SUMIFS(Boxes!$F$3:$F$1084,Boxes!$B$3:$B$1084,$A5,Boxes!$D$3:$D$1084,"CCR")</f>
        <v/>
      </c>
      <c r="O5" s="21">
        <f>SUMIFS(Boxes!$F$3:$F$1084,Boxes!$B$3:$B$1084,$A5,Boxes!$D$3:$D$1084,"ISOM")</f>
        <v/>
      </c>
      <c r="P5" s="21">
        <f>SUMIFS(Boxes!$F$3:$F$1084,Boxes!$B$3:$B$1084,$A5,Boxes!$D$3:$D$1084,"ALKY")</f>
        <v/>
      </c>
      <c r="Q5" s="21">
        <f>SUMIFS(Boxes!$F$3:$F$1084,Boxes!$B$3:$B$1084,$A5,Boxes!$D$3:$D$1084,"NSPL")</f>
        <v/>
      </c>
      <c r="R5" s="21">
        <f>SUMIFS(Boxes!$F$3:$F$1084,Boxes!$B$3:$B$1084,$A5,Boxes!$D$3:$D$1084,"NHT")</f>
        <v/>
      </c>
    </row>
    <row r="6">
      <c r="A6" s="18" t="inlineStr">
        <is>
          <t>PBF_PAULSBORO</t>
        </is>
      </c>
      <c r="B6" s="18" t="inlineStr">
        <is>
          <t>PBF Energy Company LLC Paulsboro</t>
        </is>
      </c>
      <c r="C6" s="18" t="n">
        <v>1</v>
      </c>
      <c r="D6" s="21">
        <f>SUMIFS(Data!$G$3:$G$125,Data!$A$3:$A$125,$A6)</f>
        <v/>
      </c>
      <c r="E6" s="21">
        <f>SUMIFS(Boxes!$F$3:$F$1084,Boxes!$B$3:$B$1084,$A6,Boxes!$D$3:$D$1084,"CDU")</f>
        <v/>
      </c>
      <c r="F6" s="21">
        <f>SUMIFS(Boxes!$F$3:$F$1084,Boxes!$B$3:$B$1084,$A6,Boxes!$D$3:$D$1084,"VDU")</f>
        <v/>
      </c>
      <c r="G6" s="21">
        <f>SUMIFS(Boxes!$F$3:$F$1084,Boxes!$B$3:$B$1084,$A6,Boxes!$D$3:$D$1084,"FCC")</f>
        <v/>
      </c>
      <c r="H6" s="21">
        <f>SUMIFS(Boxes!$F$3:$F$1084,Boxes!$B$3:$B$1084,$A6,Boxes!$D$3:$D$1084,"RCC")</f>
        <v/>
      </c>
      <c r="I6" s="21">
        <f>SUMIFS(Boxes!$F$3:$F$1084,Boxes!$B$3:$B$1084,$A6,Boxes!$D$3:$D$1084,"COKER")</f>
        <v/>
      </c>
      <c r="J6" s="21">
        <f>SUMIFS(Boxes!$F$3:$F$1084,Boxes!$B$3:$B$1084,$A6,Boxes!$D$3:$D$1084,"FCOKER")</f>
        <v/>
      </c>
      <c r="K6" s="21">
        <f>SUMIFS(Boxes!$F$3:$F$1084,Boxes!$B$3:$B$1084,$A6,Boxes!$D$3:$D$1084,"DHCU")</f>
        <v/>
      </c>
      <c r="L6" s="21">
        <f>SUMIFS(Boxes!$F$3:$F$1084,Boxes!$B$3:$B$1084,$A6,Boxes!$D$3:$D$1084,"RHCU")</f>
        <v/>
      </c>
      <c r="M6" s="21">
        <f>SUMIFS(Boxes!$F$3:$F$1084,Boxes!$B$3:$B$1084,$A6,Boxes!$D$3:$D$1084,"REF")</f>
        <v/>
      </c>
      <c r="N6" s="21">
        <f>SUMIFS(Boxes!$F$3:$F$1084,Boxes!$B$3:$B$1084,$A6,Boxes!$D$3:$D$1084,"CCR")</f>
        <v/>
      </c>
      <c r="O6" s="21">
        <f>SUMIFS(Boxes!$F$3:$F$1084,Boxes!$B$3:$B$1084,$A6,Boxes!$D$3:$D$1084,"ISOM")</f>
        <v/>
      </c>
      <c r="P6" s="21">
        <f>SUMIFS(Boxes!$F$3:$F$1084,Boxes!$B$3:$B$1084,$A6,Boxes!$D$3:$D$1084,"ALKY")</f>
        <v/>
      </c>
      <c r="Q6" s="21">
        <f>SUMIFS(Boxes!$F$3:$F$1084,Boxes!$B$3:$B$1084,$A6,Boxes!$D$3:$D$1084,"NSPL")</f>
        <v/>
      </c>
      <c r="R6" s="21">
        <f>SUMIFS(Boxes!$F$3:$F$1084,Boxes!$B$3:$B$1084,$A6,Boxes!$D$3:$D$1084,"NHT")</f>
        <v/>
      </c>
    </row>
    <row r="7">
      <c r="A7" s="18" t="inlineStr">
        <is>
          <t>UNITED_WARREN</t>
        </is>
      </c>
      <c r="B7" s="18" t="inlineStr">
        <is>
          <t>United Refining Warren</t>
        </is>
      </c>
      <c r="C7" s="18" t="n">
        <v>1</v>
      </c>
      <c r="D7" s="21">
        <f>SUMIFS(Data!$G$3:$G$125,Data!$A$3:$A$125,$A7)</f>
        <v/>
      </c>
      <c r="E7" s="21">
        <f>SUMIFS(Boxes!$F$3:$F$1084,Boxes!$B$3:$B$1084,$A7,Boxes!$D$3:$D$1084,"CDU")</f>
        <v/>
      </c>
      <c r="F7" s="21">
        <f>SUMIFS(Boxes!$F$3:$F$1084,Boxes!$B$3:$B$1084,$A7,Boxes!$D$3:$D$1084,"VDU")</f>
        <v/>
      </c>
      <c r="G7" s="21">
        <f>SUMIFS(Boxes!$F$3:$F$1084,Boxes!$B$3:$B$1084,$A7,Boxes!$D$3:$D$1084,"FCC")</f>
        <v/>
      </c>
      <c r="H7" s="21">
        <f>SUMIFS(Boxes!$F$3:$F$1084,Boxes!$B$3:$B$1084,$A7,Boxes!$D$3:$D$1084,"RCC")</f>
        <v/>
      </c>
      <c r="I7" s="21">
        <f>SUMIFS(Boxes!$F$3:$F$1084,Boxes!$B$3:$B$1084,$A7,Boxes!$D$3:$D$1084,"COKER")</f>
        <v/>
      </c>
      <c r="J7" s="21">
        <f>SUMIFS(Boxes!$F$3:$F$1084,Boxes!$B$3:$B$1084,$A7,Boxes!$D$3:$D$1084,"FCOKER")</f>
        <v/>
      </c>
      <c r="K7" s="21">
        <f>SUMIFS(Boxes!$F$3:$F$1084,Boxes!$B$3:$B$1084,$A7,Boxes!$D$3:$D$1084,"DHCU")</f>
        <v/>
      </c>
      <c r="L7" s="21">
        <f>SUMIFS(Boxes!$F$3:$F$1084,Boxes!$B$3:$B$1084,$A7,Boxes!$D$3:$D$1084,"RHCU")</f>
        <v/>
      </c>
      <c r="M7" s="21">
        <f>SUMIFS(Boxes!$F$3:$F$1084,Boxes!$B$3:$B$1084,$A7,Boxes!$D$3:$D$1084,"REF")</f>
        <v/>
      </c>
      <c r="N7" s="21">
        <f>SUMIFS(Boxes!$F$3:$F$1084,Boxes!$B$3:$B$1084,$A7,Boxes!$D$3:$D$1084,"CCR")</f>
        <v/>
      </c>
      <c r="O7" s="21">
        <f>SUMIFS(Boxes!$F$3:$F$1084,Boxes!$B$3:$B$1084,$A7,Boxes!$D$3:$D$1084,"ISOM")</f>
        <v/>
      </c>
      <c r="P7" s="21">
        <f>SUMIFS(Boxes!$F$3:$F$1084,Boxes!$B$3:$B$1084,$A7,Boxes!$D$3:$D$1084,"ALKY")</f>
        <v/>
      </c>
      <c r="Q7" s="21">
        <f>SUMIFS(Boxes!$F$3:$F$1084,Boxes!$B$3:$B$1084,$A7,Boxes!$D$3:$D$1084,"NSPL")</f>
        <v/>
      </c>
      <c r="R7" s="21">
        <f>SUMIFS(Boxes!$F$3:$F$1084,Boxes!$B$3:$B$1084,$A7,Boxes!$D$3:$D$1084,"NHT")</f>
        <v/>
      </c>
    </row>
    <row r="8">
      <c r="A8" s="18" t="inlineStr">
        <is>
          <t>ERGON_NEWELL</t>
        </is>
      </c>
      <c r="B8" s="18" t="inlineStr">
        <is>
          <t>Ergon Newell</t>
        </is>
      </c>
      <c r="C8" s="18" t="n">
        <v>1</v>
      </c>
      <c r="D8" s="21">
        <f>SUMIFS(Data!$G$3:$G$125,Data!$A$3:$A$125,$A8)</f>
        <v/>
      </c>
      <c r="E8" s="21">
        <f>SUMIFS(Boxes!$F$3:$F$1084,Boxes!$B$3:$B$1084,$A8,Boxes!$D$3:$D$1084,"CDU")</f>
        <v/>
      </c>
      <c r="F8" s="21">
        <f>SUMIFS(Boxes!$F$3:$F$1084,Boxes!$B$3:$B$1084,$A8,Boxes!$D$3:$D$1084,"VDU")</f>
        <v/>
      </c>
      <c r="G8" s="21">
        <f>SUMIFS(Boxes!$F$3:$F$1084,Boxes!$B$3:$B$1084,$A8,Boxes!$D$3:$D$1084,"FCC")</f>
        <v/>
      </c>
      <c r="H8" s="21">
        <f>SUMIFS(Boxes!$F$3:$F$1084,Boxes!$B$3:$B$1084,$A8,Boxes!$D$3:$D$1084,"RCC")</f>
        <v/>
      </c>
      <c r="I8" s="21">
        <f>SUMIFS(Boxes!$F$3:$F$1084,Boxes!$B$3:$B$1084,$A8,Boxes!$D$3:$D$1084,"COKER")</f>
        <v/>
      </c>
      <c r="J8" s="21">
        <f>SUMIFS(Boxes!$F$3:$F$1084,Boxes!$B$3:$B$1084,$A8,Boxes!$D$3:$D$1084,"FCOKER")</f>
        <v/>
      </c>
      <c r="K8" s="21">
        <f>SUMIFS(Boxes!$F$3:$F$1084,Boxes!$B$3:$B$1084,$A8,Boxes!$D$3:$D$1084,"DHCU")</f>
        <v/>
      </c>
      <c r="L8" s="21">
        <f>SUMIFS(Boxes!$F$3:$F$1084,Boxes!$B$3:$B$1084,$A8,Boxes!$D$3:$D$1084,"RHCU")</f>
        <v/>
      </c>
      <c r="M8" s="21">
        <f>SUMIFS(Boxes!$F$3:$F$1084,Boxes!$B$3:$B$1084,$A8,Boxes!$D$3:$D$1084,"REF")</f>
        <v/>
      </c>
      <c r="N8" s="21">
        <f>SUMIFS(Boxes!$F$3:$F$1084,Boxes!$B$3:$B$1084,$A8,Boxes!$D$3:$D$1084,"CCR")</f>
        <v/>
      </c>
      <c r="O8" s="21">
        <f>SUMIFS(Boxes!$F$3:$F$1084,Boxes!$B$3:$B$1084,$A8,Boxes!$D$3:$D$1084,"ISOM")</f>
        <v/>
      </c>
      <c r="P8" s="21">
        <f>SUMIFS(Boxes!$F$3:$F$1084,Boxes!$B$3:$B$1084,$A8,Boxes!$D$3:$D$1084,"ALKY")</f>
        <v/>
      </c>
      <c r="Q8" s="21">
        <f>SUMIFS(Boxes!$F$3:$F$1084,Boxes!$B$3:$B$1084,$A8,Boxes!$D$3:$D$1084,"NSPL")</f>
        <v/>
      </c>
      <c r="R8" s="21">
        <f>SUMIFS(Boxes!$F$3:$F$1084,Boxes!$B$3:$B$1084,$A8,Boxes!$D$3:$D$1084,"NHT")</f>
        <v/>
      </c>
    </row>
    <row r="9">
      <c r="A9" s="18" t="inlineStr">
        <is>
          <t>AMERICAN_BRADFORD</t>
        </is>
      </c>
      <c r="B9" s="18" t="inlineStr">
        <is>
          <t>American Refining Group Bradford</t>
        </is>
      </c>
      <c r="C9" s="18" t="n">
        <v>1</v>
      </c>
      <c r="D9" s="21">
        <f>SUMIFS(Data!$G$3:$G$125,Data!$A$3:$A$125,$A9)</f>
        <v/>
      </c>
      <c r="E9" s="21">
        <f>SUMIFS(Boxes!$F$3:$F$1084,Boxes!$B$3:$B$1084,$A9,Boxes!$D$3:$D$1084,"CDU")</f>
        <v/>
      </c>
      <c r="F9" s="21">
        <f>SUMIFS(Boxes!$F$3:$F$1084,Boxes!$B$3:$B$1084,$A9,Boxes!$D$3:$D$1084,"VDU")</f>
        <v/>
      </c>
      <c r="G9" s="21">
        <f>SUMIFS(Boxes!$F$3:$F$1084,Boxes!$B$3:$B$1084,$A9,Boxes!$D$3:$D$1084,"FCC")</f>
        <v/>
      </c>
      <c r="H9" s="21">
        <f>SUMIFS(Boxes!$F$3:$F$1084,Boxes!$B$3:$B$1084,$A9,Boxes!$D$3:$D$1084,"RCC")</f>
        <v/>
      </c>
      <c r="I9" s="21">
        <f>SUMIFS(Boxes!$F$3:$F$1084,Boxes!$B$3:$B$1084,$A9,Boxes!$D$3:$D$1084,"COKER")</f>
        <v/>
      </c>
      <c r="J9" s="21">
        <f>SUMIFS(Boxes!$F$3:$F$1084,Boxes!$B$3:$B$1084,$A9,Boxes!$D$3:$D$1084,"FCOKER")</f>
        <v/>
      </c>
      <c r="K9" s="21">
        <f>SUMIFS(Boxes!$F$3:$F$1084,Boxes!$B$3:$B$1084,$A9,Boxes!$D$3:$D$1084,"DHCU")</f>
        <v/>
      </c>
      <c r="L9" s="21">
        <f>SUMIFS(Boxes!$F$3:$F$1084,Boxes!$B$3:$B$1084,$A9,Boxes!$D$3:$D$1084,"RHCU")</f>
        <v/>
      </c>
      <c r="M9" s="21">
        <f>SUMIFS(Boxes!$F$3:$F$1084,Boxes!$B$3:$B$1084,$A9,Boxes!$D$3:$D$1084,"REF")</f>
        <v/>
      </c>
      <c r="N9" s="21">
        <f>SUMIFS(Boxes!$F$3:$F$1084,Boxes!$B$3:$B$1084,$A9,Boxes!$D$3:$D$1084,"CCR")</f>
        <v/>
      </c>
      <c r="O9" s="21">
        <f>SUMIFS(Boxes!$F$3:$F$1084,Boxes!$B$3:$B$1084,$A9,Boxes!$D$3:$D$1084,"ISOM")</f>
        <v/>
      </c>
      <c r="P9" s="21">
        <f>SUMIFS(Boxes!$F$3:$F$1084,Boxes!$B$3:$B$1084,$A9,Boxes!$D$3:$D$1084,"ALKY")</f>
        <v/>
      </c>
      <c r="Q9" s="21">
        <f>SUMIFS(Boxes!$F$3:$F$1084,Boxes!$B$3:$B$1084,$A9,Boxes!$D$3:$D$1084,"NSPL")</f>
        <v/>
      </c>
      <c r="R9" s="21">
        <f>SUMIFS(Boxes!$F$3:$F$1084,Boxes!$B$3:$B$1084,$A9,Boxes!$D$3:$D$1084,"NHT")</f>
        <v/>
      </c>
    </row>
    <row r="10">
      <c r="A10" s="18" t="inlineStr">
        <is>
          <t>BP_WHITING</t>
        </is>
      </c>
      <c r="B10" s="18" t="inlineStr">
        <is>
          <t>BP Whiting</t>
        </is>
      </c>
      <c r="C10" s="18" t="n">
        <v>2</v>
      </c>
      <c r="D10" s="21">
        <f>SUMIFS(Data!$G$3:$G$125,Data!$A$3:$A$125,$A10)</f>
        <v/>
      </c>
      <c r="E10" s="21">
        <f>SUMIFS(Boxes!$F$3:$F$1084,Boxes!$B$3:$B$1084,$A10,Boxes!$D$3:$D$1084,"CDU")</f>
        <v/>
      </c>
      <c r="F10" s="21">
        <f>SUMIFS(Boxes!$F$3:$F$1084,Boxes!$B$3:$B$1084,$A10,Boxes!$D$3:$D$1084,"VDU")</f>
        <v/>
      </c>
      <c r="G10" s="21">
        <f>SUMIFS(Boxes!$F$3:$F$1084,Boxes!$B$3:$B$1084,$A10,Boxes!$D$3:$D$1084,"FCC")</f>
        <v/>
      </c>
      <c r="H10" s="21">
        <f>SUMIFS(Boxes!$F$3:$F$1084,Boxes!$B$3:$B$1084,$A10,Boxes!$D$3:$D$1084,"RCC")</f>
        <v/>
      </c>
      <c r="I10" s="21">
        <f>SUMIFS(Boxes!$F$3:$F$1084,Boxes!$B$3:$B$1084,$A10,Boxes!$D$3:$D$1084,"COKER")</f>
        <v/>
      </c>
      <c r="J10" s="21">
        <f>SUMIFS(Boxes!$F$3:$F$1084,Boxes!$B$3:$B$1084,$A10,Boxes!$D$3:$D$1084,"FCOKER")</f>
        <v/>
      </c>
      <c r="K10" s="21">
        <f>SUMIFS(Boxes!$F$3:$F$1084,Boxes!$B$3:$B$1084,$A10,Boxes!$D$3:$D$1084,"DHCU")</f>
        <v/>
      </c>
      <c r="L10" s="21">
        <f>SUMIFS(Boxes!$F$3:$F$1084,Boxes!$B$3:$B$1084,$A10,Boxes!$D$3:$D$1084,"RHCU")</f>
        <v/>
      </c>
      <c r="M10" s="21">
        <f>SUMIFS(Boxes!$F$3:$F$1084,Boxes!$B$3:$B$1084,$A10,Boxes!$D$3:$D$1084,"REF")</f>
        <v/>
      </c>
      <c r="N10" s="21">
        <f>SUMIFS(Boxes!$F$3:$F$1084,Boxes!$B$3:$B$1084,$A10,Boxes!$D$3:$D$1084,"CCR")</f>
        <v/>
      </c>
      <c r="O10" s="21">
        <f>SUMIFS(Boxes!$F$3:$F$1084,Boxes!$B$3:$B$1084,$A10,Boxes!$D$3:$D$1084,"ISOM")</f>
        <v/>
      </c>
      <c r="P10" s="21">
        <f>SUMIFS(Boxes!$F$3:$F$1084,Boxes!$B$3:$B$1084,$A10,Boxes!$D$3:$D$1084,"ALKY")</f>
        <v/>
      </c>
      <c r="Q10" s="21">
        <f>SUMIFS(Boxes!$F$3:$F$1084,Boxes!$B$3:$B$1084,$A10,Boxes!$D$3:$D$1084,"NSPL")</f>
        <v/>
      </c>
      <c r="R10" s="21">
        <f>SUMIFS(Boxes!$F$3:$F$1084,Boxes!$B$3:$B$1084,$A10,Boxes!$D$3:$D$1084,"NHT")</f>
        <v/>
      </c>
    </row>
    <row r="11">
      <c r="A11" s="18" t="inlineStr">
        <is>
          <t>FLINT_ROSEMOUNT</t>
        </is>
      </c>
      <c r="B11" s="18" t="inlineStr">
        <is>
          <t>Flint Hills Resources Rosemount</t>
        </is>
      </c>
      <c r="C11" s="18" t="n">
        <v>2</v>
      </c>
      <c r="D11" s="21">
        <f>SUMIFS(Data!$G$3:$G$125,Data!$A$3:$A$125,$A11)</f>
        <v/>
      </c>
      <c r="E11" s="21">
        <f>SUMIFS(Boxes!$F$3:$F$1084,Boxes!$B$3:$B$1084,$A11,Boxes!$D$3:$D$1084,"CDU")</f>
        <v/>
      </c>
      <c r="F11" s="21">
        <f>SUMIFS(Boxes!$F$3:$F$1084,Boxes!$B$3:$B$1084,$A11,Boxes!$D$3:$D$1084,"VDU")</f>
        <v/>
      </c>
      <c r="G11" s="21">
        <f>SUMIFS(Boxes!$F$3:$F$1084,Boxes!$B$3:$B$1084,$A11,Boxes!$D$3:$D$1084,"FCC")</f>
        <v/>
      </c>
      <c r="H11" s="21">
        <f>SUMIFS(Boxes!$F$3:$F$1084,Boxes!$B$3:$B$1084,$A11,Boxes!$D$3:$D$1084,"RCC")</f>
        <v/>
      </c>
      <c r="I11" s="21">
        <f>SUMIFS(Boxes!$F$3:$F$1084,Boxes!$B$3:$B$1084,$A11,Boxes!$D$3:$D$1084,"COKER")</f>
        <v/>
      </c>
      <c r="J11" s="21">
        <f>SUMIFS(Boxes!$F$3:$F$1084,Boxes!$B$3:$B$1084,$A11,Boxes!$D$3:$D$1084,"FCOKER")</f>
        <v/>
      </c>
      <c r="K11" s="21">
        <f>SUMIFS(Boxes!$F$3:$F$1084,Boxes!$B$3:$B$1084,$A11,Boxes!$D$3:$D$1084,"DHCU")</f>
        <v/>
      </c>
      <c r="L11" s="21">
        <f>SUMIFS(Boxes!$F$3:$F$1084,Boxes!$B$3:$B$1084,$A11,Boxes!$D$3:$D$1084,"RHCU")</f>
        <v/>
      </c>
      <c r="M11" s="21">
        <f>SUMIFS(Boxes!$F$3:$F$1084,Boxes!$B$3:$B$1084,$A11,Boxes!$D$3:$D$1084,"REF")</f>
        <v/>
      </c>
      <c r="N11" s="21">
        <f>SUMIFS(Boxes!$F$3:$F$1084,Boxes!$B$3:$B$1084,$A11,Boxes!$D$3:$D$1084,"CCR")</f>
        <v/>
      </c>
      <c r="O11" s="21">
        <f>SUMIFS(Boxes!$F$3:$F$1084,Boxes!$B$3:$B$1084,$A11,Boxes!$D$3:$D$1084,"ISOM")</f>
        <v/>
      </c>
      <c r="P11" s="21">
        <f>SUMIFS(Boxes!$F$3:$F$1084,Boxes!$B$3:$B$1084,$A11,Boxes!$D$3:$D$1084,"ALKY")</f>
        <v/>
      </c>
      <c r="Q11" s="21">
        <f>SUMIFS(Boxes!$F$3:$F$1084,Boxes!$B$3:$B$1084,$A11,Boxes!$D$3:$D$1084,"NSPL")</f>
        <v/>
      </c>
      <c r="R11" s="21">
        <f>SUMIFS(Boxes!$F$3:$F$1084,Boxes!$B$3:$B$1084,$A11,Boxes!$D$3:$D$1084,"NHT")</f>
        <v/>
      </c>
    </row>
    <row r="12">
      <c r="A12" s="18" t="inlineStr">
        <is>
          <t>CENOVUS_WOOD_RIVER</t>
        </is>
      </c>
      <c r="B12" s="18" t="inlineStr">
        <is>
          <t>Cenovus Wood River</t>
        </is>
      </c>
      <c r="C12" s="18" t="n">
        <v>2</v>
      </c>
      <c r="D12" s="21">
        <f>SUMIFS(Data!$G$3:$G$125,Data!$A$3:$A$125,$A12)</f>
        <v/>
      </c>
      <c r="E12" s="21">
        <f>SUMIFS(Boxes!$F$3:$F$1084,Boxes!$B$3:$B$1084,$A12,Boxes!$D$3:$D$1084,"CDU")</f>
        <v/>
      </c>
      <c r="F12" s="21">
        <f>SUMIFS(Boxes!$F$3:$F$1084,Boxes!$B$3:$B$1084,$A12,Boxes!$D$3:$D$1084,"VDU")</f>
        <v/>
      </c>
      <c r="G12" s="21">
        <f>SUMIFS(Boxes!$F$3:$F$1084,Boxes!$B$3:$B$1084,$A12,Boxes!$D$3:$D$1084,"FCC")</f>
        <v/>
      </c>
      <c r="H12" s="21">
        <f>SUMIFS(Boxes!$F$3:$F$1084,Boxes!$B$3:$B$1084,$A12,Boxes!$D$3:$D$1084,"RCC")</f>
        <v/>
      </c>
      <c r="I12" s="21">
        <f>SUMIFS(Boxes!$F$3:$F$1084,Boxes!$B$3:$B$1084,$A12,Boxes!$D$3:$D$1084,"COKER")</f>
        <v/>
      </c>
      <c r="J12" s="21">
        <f>SUMIFS(Boxes!$F$3:$F$1084,Boxes!$B$3:$B$1084,$A12,Boxes!$D$3:$D$1084,"FCOKER")</f>
        <v/>
      </c>
      <c r="K12" s="21">
        <f>SUMIFS(Boxes!$F$3:$F$1084,Boxes!$B$3:$B$1084,$A12,Boxes!$D$3:$D$1084,"DHCU")</f>
        <v/>
      </c>
      <c r="L12" s="21">
        <f>SUMIFS(Boxes!$F$3:$F$1084,Boxes!$B$3:$B$1084,$A12,Boxes!$D$3:$D$1084,"RHCU")</f>
        <v/>
      </c>
      <c r="M12" s="21">
        <f>SUMIFS(Boxes!$F$3:$F$1084,Boxes!$B$3:$B$1084,$A12,Boxes!$D$3:$D$1084,"REF")</f>
        <v/>
      </c>
      <c r="N12" s="21">
        <f>SUMIFS(Boxes!$F$3:$F$1084,Boxes!$B$3:$B$1084,$A12,Boxes!$D$3:$D$1084,"CCR")</f>
        <v/>
      </c>
      <c r="O12" s="21">
        <f>SUMIFS(Boxes!$F$3:$F$1084,Boxes!$B$3:$B$1084,$A12,Boxes!$D$3:$D$1084,"ISOM")</f>
        <v/>
      </c>
      <c r="P12" s="21">
        <f>SUMIFS(Boxes!$F$3:$F$1084,Boxes!$B$3:$B$1084,$A12,Boxes!$D$3:$D$1084,"ALKY")</f>
        <v/>
      </c>
      <c r="Q12" s="21">
        <f>SUMIFS(Boxes!$F$3:$F$1084,Boxes!$B$3:$B$1084,$A12,Boxes!$D$3:$D$1084,"NSPL")</f>
        <v/>
      </c>
      <c r="R12" s="21">
        <f>SUMIFS(Boxes!$F$3:$F$1084,Boxes!$B$3:$B$1084,$A12,Boxes!$D$3:$D$1084,"NHT")</f>
        <v/>
      </c>
    </row>
    <row r="13">
      <c r="A13" s="18" t="inlineStr">
        <is>
          <t>MARATHON_CATLETTSBURG</t>
        </is>
      </c>
      <c r="B13" s="18" t="inlineStr">
        <is>
          <t>Marathon Petroleum Catlettsburg</t>
        </is>
      </c>
      <c r="C13" s="18" t="n">
        <v>2</v>
      </c>
      <c r="D13" s="21">
        <f>SUMIFS(Data!$G$3:$G$125,Data!$A$3:$A$125,$A13)</f>
        <v/>
      </c>
      <c r="E13" s="21">
        <f>SUMIFS(Boxes!$F$3:$F$1084,Boxes!$B$3:$B$1084,$A13,Boxes!$D$3:$D$1084,"CDU")</f>
        <v/>
      </c>
      <c r="F13" s="21">
        <f>SUMIFS(Boxes!$F$3:$F$1084,Boxes!$B$3:$B$1084,$A13,Boxes!$D$3:$D$1084,"VDU")</f>
        <v/>
      </c>
      <c r="G13" s="21">
        <f>SUMIFS(Boxes!$F$3:$F$1084,Boxes!$B$3:$B$1084,$A13,Boxes!$D$3:$D$1084,"FCC")</f>
        <v/>
      </c>
      <c r="H13" s="21">
        <f>SUMIFS(Boxes!$F$3:$F$1084,Boxes!$B$3:$B$1084,$A13,Boxes!$D$3:$D$1084,"RCC")</f>
        <v/>
      </c>
      <c r="I13" s="21">
        <f>SUMIFS(Boxes!$F$3:$F$1084,Boxes!$B$3:$B$1084,$A13,Boxes!$D$3:$D$1084,"COKER")</f>
        <v/>
      </c>
      <c r="J13" s="21">
        <f>SUMIFS(Boxes!$F$3:$F$1084,Boxes!$B$3:$B$1084,$A13,Boxes!$D$3:$D$1084,"FCOKER")</f>
        <v/>
      </c>
      <c r="K13" s="21">
        <f>SUMIFS(Boxes!$F$3:$F$1084,Boxes!$B$3:$B$1084,$A13,Boxes!$D$3:$D$1084,"DHCU")</f>
        <v/>
      </c>
      <c r="L13" s="21">
        <f>SUMIFS(Boxes!$F$3:$F$1084,Boxes!$B$3:$B$1084,$A13,Boxes!$D$3:$D$1084,"RHCU")</f>
        <v/>
      </c>
      <c r="M13" s="21">
        <f>SUMIFS(Boxes!$F$3:$F$1084,Boxes!$B$3:$B$1084,$A13,Boxes!$D$3:$D$1084,"REF")</f>
        <v/>
      </c>
      <c r="N13" s="21">
        <f>SUMIFS(Boxes!$F$3:$F$1084,Boxes!$B$3:$B$1084,$A13,Boxes!$D$3:$D$1084,"CCR")</f>
        <v/>
      </c>
      <c r="O13" s="21">
        <f>SUMIFS(Boxes!$F$3:$F$1084,Boxes!$B$3:$B$1084,$A13,Boxes!$D$3:$D$1084,"ISOM")</f>
        <v/>
      </c>
      <c r="P13" s="21">
        <f>SUMIFS(Boxes!$F$3:$F$1084,Boxes!$B$3:$B$1084,$A13,Boxes!$D$3:$D$1084,"ALKY")</f>
        <v/>
      </c>
      <c r="Q13" s="21">
        <f>SUMIFS(Boxes!$F$3:$F$1084,Boxes!$B$3:$B$1084,$A13,Boxes!$D$3:$D$1084,"NSPL")</f>
        <v/>
      </c>
      <c r="R13" s="21">
        <f>SUMIFS(Boxes!$F$3:$F$1084,Boxes!$B$3:$B$1084,$A13,Boxes!$D$3:$D$1084,"NHT")</f>
        <v/>
      </c>
    </row>
    <row r="14">
      <c r="A14" s="18" t="inlineStr">
        <is>
          <t>MARATHON_ROBINSON</t>
        </is>
      </c>
      <c r="B14" s="18" t="inlineStr">
        <is>
          <t>Marathon Petroleum Robinson</t>
        </is>
      </c>
      <c r="C14" s="18" t="n">
        <v>2</v>
      </c>
      <c r="D14" s="21">
        <f>SUMIFS(Data!$G$3:$G$125,Data!$A$3:$A$125,$A14)</f>
        <v/>
      </c>
      <c r="E14" s="21">
        <f>SUMIFS(Boxes!$F$3:$F$1084,Boxes!$B$3:$B$1084,$A14,Boxes!$D$3:$D$1084,"CDU")</f>
        <v/>
      </c>
      <c r="F14" s="21">
        <f>SUMIFS(Boxes!$F$3:$F$1084,Boxes!$B$3:$B$1084,$A14,Boxes!$D$3:$D$1084,"VDU")</f>
        <v/>
      </c>
      <c r="G14" s="21">
        <f>SUMIFS(Boxes!$F$3:$F$1084,Boxes!$B$3:$B$1084,$A14,Boxes!$D$3:$D$1084,"FCC")</f>
        <v/>
      </c>
      <c r="H14" s="21">
        <f>SUMIFS(Boxes!$F$3:$F$1084,Boxes!$B$3:$B$1084,$A14,Boxes!$D$3:$D$1084,"RCC")</f>
        <v/>
      </c>
      <c r="I14" s="21">
        <f>SUMIFS(Boxes!$F$3:$F$1084,Boxes!$B$3:$B$1084,$A14,Boxes!$D$3:$D$1084,"COKER")</f>
        <v/>
      </c>
      <c r="J14" s="21">
        <f>SUMIFS(Boxes!$F$3:$F$1084,Boxes!$B$3:$B$1084,$A14,Boxes!$D$3:$D$1084,"FCOKER")</f>
        <v/>
      </c>
      <c r="K14" s="21">
        <f>SUMIFS(Boxes!$F$3:$F$1084,Boxes!$B$3:$B$1084,$A14,Boxes!$D$3:$D$1084,"DHCU")</f>
        <v/>
      </c>
      <c r="L14" s="21">
        <f>SUMIFS(Boxes!$F$3:$F$1084,Boxes!$B$3:$B$1084,$A14,Boxes!$D$3:$D$1084,"RHCU")</f>
        <v/>
      </c>
      <c r="M14" s="21">
        <f>SUMIFS(Boxes!$F$3:$F$1084,Boxes!$B$3:$B$1084,$A14,Boxes!$D$3:$D$1084,"REF")</f>
        <v/>
      </c>
      <c r="N14" s="21">
        <f>SUMIFS(Boxes!$F$3:$F$1084,Boxes!$B$3:$B$1084,$A14,Boxes!$D$3:$D$1084,"CCR")</f>
        <v/>
      </c>
      <c r="O14" s="21">
        <f>SUMIFS(Boxes!$F$3:$F$1084,Boxes!$B$3:$B$1084,$A14,Boxes!$D$3:$D$1084,"ISOM")</f>
        <v/>
      </c>
      <c r="P14" s="21">
        <f>SUMIFS(Boxes!$F$3:$F$1084,Boxes!$B$3:$B$1084,$A14,Boxes!$D$3:$D$1084,"ALKY")</f>
        <v/>
      </c>
      <c r="Q14" s="21">
        <f>SUMIFS(Boxes!$F$3:$F$1084,Boxes!$B$3:$B$1084,$A14,Boxes!$D$3:$D$1084,"NSPL")</f>
        <v/>
      </c>
      <c r="R14" s="21">
        <f>SUMIFS(Boxes!$F$3:$F$1084,Boxes!$B$3:$B$1084,$A14,Boxes!$D$3:$D$1084,"NHT")</f>
        <v/>
      </c>
    </row>
    <row r="15">
      <c r="A15" s="18" t="inlineStr">
        <is>
          <t>EXXONMOBIL_JOLIET</t>
        </is>
      </c>
      <c r="B15" s="18" t="inlineStr">
        <is>
          <t>ExxonMobil Joliet</t>
        </is>
      </c>
      <c r="C15" s="18" t="n">
        <v>2</v>
      </c>
      <c r="D15" s="21">
        <f>SUMIFS(Data!$G$3:$G$125,Data!$A$3:$A$125,$A15)</f>
        <v/>
      </c>
      <c r="E15" s="21">
        <f>SUMIFS(Boxes!$F$3:$F$1084,Boxes!$B$3:$B$1084,$A15,Boxes!$D$3:$D$1084,"CDU")</f>
        <v/>
      </c>
      <c r="F15" s="21">
        <f>SUMIFS(Boxes!$F$3:$F$1084,Boxes!$B$3:$B$1084,$A15,Boxes!$D$3:$D$1084,"VDU")</f>
        <v/>
      </c>
      <c r="G15" s="21">
        <f>SUMIFS(Boxes!$F$3:$F$1084,Boxes!$B$3:$B$1084,$A15,Boxes!$D$3:$D$1084,"FCC")</f>
        <v/>
      </c>
      <c r="H15" s="21">
        <f>SUMIFS(Boxes!$F$3:$F$1084,Boxes!$B$3:$B$1084,$A15,Boxes!$D$3:$D$1084,"RCC")</f>
        <v/>
      </c>
      <c r="I15" s="21">
        <f>SUMIFS(Boxes!$F$3:$F$1084,Boxes!$B$3:$B$1084,$A15,Boxes!$D$3:$D$1084,"COKER")</f>
        <v/>
      </c>
      <c r="J15" s="21">
        <f>SUMIFS(Boxes!$F$3:$F$1084,Boxes!$B$3:$B$1084,$A15,Boxes!$D$3:$D$1084,"FCOKER")</f>
        <v/>
      </c>
      <c r="K15" s="21">
        <f>SUMIFS(Boxes!$F$3:$F$1084,Boxes!$B$3:$B$1084,$A15,Boxes!$D$3:$D$1084,"DHCU")</f>
        <v/>
      </c>
      <c r="L15" s="21">
        <f>SUMIFS(Boxes!$F$3:$F$1084,Boxes!$B$3:$B$1084,$A15,Boxes!$D$3:$D$1084,"RHCU")</f>
        <v/>
      </c>
      <c r="M15" s="21">
        <f>SUMIFS(Boxes!$F$3:$F$1084,Boxes!$B$3:$B$1084,$A15,Boxes!$D$3:$D$1084,"REF")</f>
        <v/>
      </c>
      <c r="N15" s="21">
        <f>SUMIFS(Boxes!$F$3:$F$1084,Boxes!$B$3:$B$1084,$A15,Boxes!$D$3:$D$1084,"CCR")</f>
        <v/>
      </c>
      <c r="O15" s="21">
        <f>SUMIFS(Boxes!$F$3:$F$1084,Boxes!$B$3:$B$1084,$A15,Boxes!$D$3:$D$1084,"ISOM")</f>
        <v/>
      </c>
      <c r="P15" s="21">
        <f>SUMIFS(Boxes!$F$3:$F$1084,Boxes!$B$3:$B$1084,$A15,Boxes!$D$3:$D$1084,"ALKY")</f>
        <v/>
      </c>
      <c r="Q15" s="21">
        <f>SUMIFS(Boxes!$F$3:$F$1084,Boxes!$B$3:$B$1084,$A15,Boxes!$D$3:$D$1084,"NSPL")</f>
        <v/>
      </c>
      <c r="R15" s="21">
        <f>SUMIFS(Boxes!$F$3:$F$1084,Boxes!$B$3:$B$1084,$A15,Boxes!$D$3:$D$1084,"NHT")</f>
        <v/>
      </c>
    </row>
    <row r="16">
      <c r="A16" s="18" t="inlineStr">
        <is>
          <t>PHILLIPS_PONCA_CITY</t>
        </is>
      </c>
      <c r="B16" s="18" t="inlineStr">
        <is>
          <t>Phillips 66 Co. Ponca City</t>
        </is>
      </c>
      <c r="C16" s="18" t="n">
        <v>2</v>
      </c>
      <c r="D16" s="21">
        <f>SUMIFS(Data!$G$3:$G$125,Data!$A$3:$A$125,$A16)</f>
        <v/>
      </c>
      <c r="E16" s="21">
        <f>SUMIFS(Boxes!$F$3:$F$1084,Boxes!$B$3:$B$1084,$A16,Boxes!$D$3:$D$1084,"CDU")</f>
        <v/>
      </c>
      <c r="F16" s="21">
        <f>SUMIFS(Boxes!$F$3:$F$1084,Boxes!$B$3:$B$1084,$A16,Boxes!$D$3:$D$1084,"VDU")</f>
        <v/>
      </c>
      <c r="G16" s="21">
        <f>SUMIFS(Boxes!$F$3:$F$1084,Boxes!$B$3:$B$1084,$A16,Boxes!$D$3:$D$1084,"FCC")</f>
        <v/>
      </c>
      <c r="H16" s="21">
        <f>SUMIFS(Boxes!$F$3:$F$1084,Boxes!$B$3:$B$1084,$A16,Boxes!$D$3:$D$1084,"RCC")</f>
        <v/>
      </c>
      <c r="I16" s="21">
        <f>SUMIFS(Boxes!$F$3:$F$1084,Boxes!$B$3:$B$1084,$A16,Boxes!$D$3:$D$1084,"COKER")</f>
        <v/>
      </c>
      <c r="J16" s="21">
        <f>SUMIFS(Boxes!$F$3:$F$1084,Boxes!$B$3:$B$1084,$A16,Boxes!$D$3:$D$1084,"FCOKER")</f>
        <v/>
      </c>
      <c r="K16" s="21">
        <f>SUMIFS(Boxes!$F$3:$F$1084,Boxes!$B$3:$B$1084,$A16,Boxes!$D$3:$D$1084,"DHCU")</f>
        <v/>
      </c>
      <c r="L16" s="21">
        <f>SUMIFS(Boxes!$F$3:$F$1084,Boxes!$B$3:$B$1084,$A16,Boxes!$D$3:$D$1084,"RHCU")</f>
        <v/>
      </c>
      <c r="M16" s="21">
        <f>SUMIFS(Boxes!$F$3:$F$1084,Boxes!$B$3:$B$1084,$A16,Boxes!$D$3:$D$1084,"REF")</f>
        <v/>
      </c>
      <c r="N16" s="21">
        <f>SUMIFS(Boxes!$F$3:$F$1084,Boxes!$B$3:$B$1084,$A16,Boxes!$D$3:$D$1084,"CCR")</f>
        <v/>
      </c>
      <c r="O16" s="21">
        <f>SUMIFS(Boxes!$F$3:$F$1084,Boxes!$B$3:$B$1084,$A16,Boxes!$D$3:$D$1084,"ISOM")</f>
        <v/>
      </c>
      <c r="P16" s="21">
        <f>SUMIFS(Boxes!$F$3:$F$1084,Boxes!$B$3:$B$1084,$A16,Boxes!$D$3:$D$1084,"ALKY")</f>
        <v/>
      </c>
      <c r="Q16" s="21">
        <f>SUMIFS(Boxes!$F$3:$F$1084,Boxes!$B$3:$B$1084,$A16,Boxes!$D$3:$D$1084,"NSPL")</f>
        <v/>
      </c>
      <c r="R16" s="21">
        <f>SUMIFS(Boxes!$F$3:$F$1084,Boxes!$B$3:$B$1084,$A16,Boxes!$D$3:$D$1084,"NHT")</f>
        <v/>
      </c>
    </row>
    <row r="17">
      <c r="A17" s="18" t="inlineStr">
        <is>
          <t>CITGO_LEMONT</t>
        </is>
      </c>
      <c r="B17" s="18" t="inlineStr">
        <is>
          <t>Citgo Lemont</t>
        </is>
      </c>
      <c r="C17" s="18" t="n">
        <v>2</v>
      </c>
      <c r="D17" s="21">
        <f>SUMIFS(Data!$G$3:$G$125,Data!$A$3:$A$125,$A17)</f>
        <v/>
      </c>
      <c r="E17" s="21">
        <f>SUMIFS(Boxes!$F$3:$F$1084,Boxes!$B$3:$B$1084,$A17,Boxes!$D$3:$D$1084,"CDU")</f>
        <v/>
      </c>
      <c r="F17" s="21">
        <f>SUMIFS(Boxes!$F$3:$F$1084,Boxes!$B$3:$B$1084,$A17,Boxes!$D$3:$D$1084,"VDU")</f>
        <v/>
      </c>
      <c r="G17" s="21">
        <f>SUMIFS(Boxes!$F$3:$F$1084,Boxes!$B$3:$B$1084,$A17,Boxes!$D$3:$D$1084,"FCC")</f>
        <v/>
      </c>
      <c r="H17" s="21">
        <f>SUMIFS(Boxes!$F$3:$F$1084,Boxes!$B$3:$B$1084,$A17,Boxes!$D$3:$D$1084,"RCC")</f>
        <v/>
      </c>
      <c r="I17" s="21">
        <f>SUMIFS(Boxes!$F$3:$F$1084,Boxes!$B$3:$B$1084,$A17,Boxes!$D$3:$D$1084,"COKER")</f>
        <v/>
      </c>
      <c r="J17" s="21">
        <f>SUMIFS(Boxes!$F$3:$F$1084,Boxes!$B$3:$B$1084,$A17,Boxes!$D$3:$D$1084,"FCOKER")</f>
        <v/>
      </c>
      <c r="K17" s="21">
        <f>SUMIFS(Boxes!$F$3:$F$1084,Boxes!$B$3:$B$1084,$A17,Boxes!$D$3:$D$1084,"DHCU")</f>
        <v/>
      </c>
      <c r="L17" s="21">
        <f>SUMIFS(Boxes!$F$3:$F$1084,Boxes!$B$3:$B$1084,$A17,Boxes!$D$3:$D$1084,"RHCU")</f>
        <v/>
      </c>
      <c r="M17" s="21">
        <f>SUMIFS(Boxes!$F$3:$F$1084,Boxes!$B$3:$B$1084,$A17,Boxes!$D$3:$D$1084,"REF")</f>
        <v/>
      </c>
      <c r="N17" s="21">
        <f>SUMIFS(Boxes!$F$3:$F$1084,Boxes!$B$3:$B$1084,$A17,Boxes!$D$3:$D$1084,"CCR")</f>
        <v/>
      </c>
      <c r="O17" s="21">
        <f>SUMIFS(Boxes!$F$3:$F$1084,Boxes!$B$3:$B$1084,$A17,Boxes!$D$3:$D$1084,"ISOM")</f>
        <v/>
      </c>
      <c r="P17" s="21">
        <f>SUMIFS(Boxes!$F$3:$F$1084,Boxes!$B$3:$B$1084,$A17,Boxes!$D$3:$D$1084,"ALKY")</f>
        <v/>
      </c>
      <c r="Q17" s="21">
        <f>SUMIFS(Boxes!$F$3:$F$1084,Boxes!$B$3:$B$1084,$A17,Boxes!$D$3:$D$1084,"NSPL")</f>
        <v/>
      </c>
      <c r="R17" s="21">
        <f>SUMIFS(Boxes!$F$3:$F$1084,Boxes!$B$3:$B$1084,$A17,Boxes!$D$3:$D$1084,"NHT")</f>
        <v/>
      </c>
    </row>
    <row r="18">
      <c r="A18" s="18" t="inlineStr">
        <is>
          <t>CENOVUS_LIMA</t>
        </is>
      </c>
      <c r="B18" s="18" t="inlineStr">
        <is>
          <t>Cenovus Lima</t>
        </is>
      </c>
      <c r="C18" s="18" t="n">
        <v>2</v>
      </c>
      <c r="D18" s="21">
        <f>SUMIFS(Data!$G$3:$G$125,Data!$A$3:$A$125,$A18)</f>
        <v/>
      </c>
      <c r="E18" s="21">
        <f>SUMIFS(Boxes!$F$3:$F$1084,Boxes!$B$3:$B$1084,$A18,Boxes!$D$3:$D$1084,"CDU")</f>
        <v/>
      </c>
      <c r="F18" s="21">
        <f>SUMIFS(Boxes!$F$3:$F$1084,Boxes!$B$3:$B$1084,$A18,Boxes!$D$3:$D$1084,"VDU")</f>
        <v/>
      </c>
      <c r="G18" s="21">
        <f>SUMIFS(Boxes!$F$3:$F$1084,Boxes!$B$3:$B$1084,$A18,Boxes!$D$3:$D$1084,"FCC")</f>
        <v/>
      </c>
      <c r="H18" s="21">
        <f>SUMIFS(Boxes!$F$3:$F$1084,Boxes!$B$3:$B$1084,$A18,Boxes!$D$3:$D$1084,"RCC")</f>
        <v/>
      </c>
      <c r="I18" s="21">
        <f>SUMIFS(Boxes!$F$3:$F$1084,Boxes!$B$3:$B$1084,$A18,Boxes!$D$3:$D$1084,"COKER")</f>
        <v/>
      </c>
      <c r="J18" s="21">
        <f>SUMIFS(Boxes!$F$3:$F$1084,Boxes!$B$3:$B$1084,$A18,Boxes!$D$3:$D$1084,"FCOKER")</f>
        <v/>
      </c>
      <c r="K18" s="21">
        <f>SUMIFS(Boxes!$F$3:$F$1084,Boxes!$B$3:$B$1084,$A18,Boxes!$D$3:$D$1084,"DHCU")</f>
        <v/>
      </c>
      <c r="L18" s="21">
        <f>SUMIFS(Boxes!$F$3:$F$1084,Boxes!$B$3:$B$1084,$A18,Boxes!$D$3:$D$1084,"RHCU")</f>
        <v/>
      </c>
      <c r="M18" s="21">
        <f>SUMIFS(Boxes!$F$3:$F$1084,Boxes!$B$3:$B$1084,$A18,Boxes!$D$3:$D$1084,"REF")</f>
        <v/>
      </c>
      <c r="N18" s="21">
        <f>SUMIFS(Boxes!$F$3:$F$1084,Boxes!$B$3:$B$1084,$A18,Boxes!$D$3:$D$1084,"CCR")</f>
        <v/>
      </c>
      <c r="O18" s="21">
        <f>SUMIFS(Boxes!$F$3:$F$1084,Boxes!$B$3:$B$1084,$A18,Boxes!$D$3:$D$1084,"ISOM")</f>
        <v/>
      </c>
      <c r="P18" s="21">
        <f>SUMIFS(Boxes!$F$3:$F$1084,Boxes!$B$3:$B$1084,$A18,Boxes!$D$3:$D$1084,"ALKY")</f>
        <v/>
      </c>
      <c r="Q18" s="21">
        <f>SUMIFS(Boxes!$F$3:$F$1084,Boxes!$B$3:$B$1084,$A18,Boxes!$D$3:$D$1084,"NSPL")</f>
        <v/>
      </c>
      <c r="R18" s="21">
        <f>SUMIFS(Boxes!$F$3:$F$1084,Boxes!$B$3:$B$1084,$A18,Boxes!$D$3:$D$1084,"NHT")</f>
        <v/>
      </c>
    </row>
    <row r="19">
      <c r="A19" s="18" t="inlineStr">
        <is>
          <t>PBF_TOLEDO</t>
        </is>
      </c>
      <c r="B19" s="18" t="inlineStr">
        <is>
          <t>PBF Energy Company LLC Toledo</t>
        </is>
      </c>
      <c r="C19" s="18" t="n">
        <v>2</v>
      </c>
      <c r="D19" s="21">
        <f>SUMIFS(Data!$G$3:$G$125,Data!$A$3:$A$125,$A19)</f>
        <v/>
      </c>
      <c r="E19" s="21">
        <f>SUMIFS(Boxes!$F$3:$F$1084,Boxes!$B$3:$B$1084,$A19,Boxes!$D$3:$D$1084,"CDU")</f>
        <v/>
      </c>
      <c r="F19" s="21">
        <f>SUMIFS(Boxes!$F$3:$F$1084,Boxes!$B$3:$B$1084,$A19,Boxes!$D$3:$D$1084,"VDU")</f>
        <v/>
      </c>
      <c r="G19" s="21">
        <f>SUMIFS(Boxes!$F$3:$F$1084,Boxes!$B$3:$B$1084,$A19,Boxes!$D$3:$D$1084,"FCC")</f>
        <v/>
      </c>
      <c r="H19" s="21">
        <f>SUMIFS(Boxes!$F$3:$F$1084,Boxes!$B$3:$B$1084,$A19,Boxes!$D$3:$D$1084,"RCC")</f>
        <v/>
      </c>
      <c r="I19" s="21">
        <f>SUMIFS(Boxes!$F$3:$F$1084,Boxes!$B$3:$B$1084,$A19,Boxes!$D$3:$D$1084,"COKER")</f>
        <v/>
      </c>
      <c r="J19" s="21">
        <f>SUMIFS(Boxes!$F$3:$F$1084,Boxes!$B$3:$B$1084,$A19,Boxes!$D$3:$D$1084,"FCOKER")</f>
        <v/>
      </c>
      <c r="K19" s="21">
        <f>SUMIFS(Boxes!$F$3:$F$1084,Boxes!$B$3:$B$1084,$A19,Boxes!$D$3:$D$1084,"DHCU")</f>
        <v/>
      </c>
      <c r="L19" s="21">
        <f>SUMIFS(Boxes!$F$3:$F$1084,Boxes!$B$3:$B$1084,$A19,Boxes!$D$3:$D$1084,"RHCU")</f>
        <v/>
      </c>
      <c r="M19" s="21">
        <f>SUMIFS(Boxes!$F$3:$F$1084,Boxes!$B$3:$B$1084,$A19,Boxes!$D$3:$D$1084,"REF")</f>
        <v/>
      </c>
      <c r="N19" s="21">
        <f>SUMIFS(Boxes!$F$3:$F$1084,Boxes!$B$3:$B$1084,$A19,Boxes!$D$3:$D$1084,"CCR")</f>
        <v/>
      </c>
      <c r="O19" s="21">
        <f>SUMIFS(Boxes!$F$3:$F$1084,Boxes!$B$3:$B$1084,$A19,Boxes!$D$3:$D$1084,"ISOM")</f>
        <v/>
      </c>
      <c r="P19" s="21">
        <f>SUMIFS(Boxes!$F$3:$F$1084,Boxes!$B$3:$B$1084,$A19,Boxes!$D$3:$D$1084,"ALKY")</f>
        <v/>
      </c>
      <c r="Q19" s="21">
        <f>SUMIFS(Boxes!$F$3:$F$1084,Boxes!$B$3:$B$1084,$A19,Boxes!$D$3:$D$1084,"NSPL")</f>
        <v/>
      </c>
      <c r="R19" s="21">
        <f>SUMIFS(Boxes!$F$3:$F$1084,Boxes!$B$3:$B$1084,$A19,Boxes!$D$3:$D$1084,"NHT")</f>
        <v/>
      </c>
    </row>
    <row r="20">
      <c r="A20" s="18" t="inlineStr">
        <is>
          <t>VALERO_MEMPHIS</t>
        </is>
      </c>
      <c r="B20" s="18" t="inlineStr">
        <is>
          <t>Valero Memphis</t>
        </is>
      </c>
      <c r="C20" s="18" t="n">
        <v>2</v>
      </c>
      <c r="D20" s="21">
        <f>SUMIFS(Data!$G$3:$G$125,Data!$A$3:$A$125,$A20)</f>
        <v/>
      </c>
      <c r="E20" s="21">
        <f>SUMIFS(Boxes!$F$3:$F$1084,Boxes!$B$3:$B$1084,$A20,Boxes!$D$3:$D$1084,"CDU")</f>
        <v/>
      </c>
      <c r="F20" s="21">
        <f>SUMIFS(Boxes!$F$3:$F$1084,Boxes!$B$3:$B$1084,$A20,Boxes!$D$3:$D$1084,"VDU")</f>
        <v/>
      </c>
      <c r="G20" s="21">
        <f>SUMIFS(Boxes!$F$3:$F$1084,Boxes!$B$3:$B$1084,$A20,Boxes!$D$3:$D$1084,"FCC")</f>
        <v/>
      </c>
      <c r="H20" s="21">
        <f>SUMIFS(Boxes!$F$3:$F$1084,Boxes!$B$3:$B$1084,$A20,Boxes!$D$3:$D$1084,"RCC")</f>
        <v/>
      </c>
      <c r="I20" s="21">
        <f>SUMIFS(Boxes!$F$3:$F$1084,Boxes!$B$3:$B$1084,$A20,Boxes!$D$3:$D$1084,"COKER")</f>
        <v/>
      </c>
      <c r="J20" s="21">
        <f>SUMIFS(Boxes!$F$3:$F$1084,Boxes!$B$3:$B$1084,$A20,Boxes!$D$3:$D$1084,"FCOKER")</f>
        <v/>
      </c>
      <c r="K20" s="21">
        <f>SUMIFS(Boxes!$F$3:$F$1084,Boxes!$B$3:$B$1084,$A20,Boxes!$D$3:$D$1084,"DHCU")</f>
        <v/>
      </c>
      <c r="L20" s="21">
        <f>SUMIFS(Boxes!$F$3:$F$1084,Boxes!$B$3:$B$1084,$A20,Boxes!$D$3:$D$1084,"RHCU")</f>
        <v/>
      </c>
      <c r="M20" s="21">
        <f>SUMIFS(Boxes!$F$3:$F$1084,Boxes!$B$3:$B$1084,$A20,Boxes!$D$3:$D$1084,"REF")</f>
        <v/>
      </c>
      <c r="N20" s="21">
        <f>SUMIFS(Boxes!$F$3:$F$1084,Boxes!$B$3:$B$1084,$A20,Boxes!$D$3:$D$1084,"CCR")</f>
        <v/>
      </c>
      <c r="O20" s="21">
        <f>SUMIFS(Boxes!$F$3:$F$1084,Boxes!$B$3:$B$1084,$A20,Boxes!$D$3:$D$1084,"ISOM")</f>
        <v/>
      </c>
      <c r="P20" s="21">
        <f>SUMIFS(Boxes!$F$3:$F$1084,Boxes!$B$3:$B$1084,$A20,Boxes!$D$3:$D$1084,"ALKY")</f>
        <v/>
      </c>
      <c r="Q20" s="21">
        <f>SUMIFS(Boxes!$F$3:$F$1084,Boxes!$B$3:$B$1084,$A20,Boxes!$D$3:$D$1084,"NSPL")</f>
        <v/>
      </c>
      <c r="R20" s="21">
        <f>SUMIFS(Boxes!$F$3:$F$1084,Boxes!$B$3:$B$1084,$A20,Boxes!$D$3:$D$1084,"NHT")</f>
        <v/>
      </c>
    </row>
    <row r="21">
      <c r="A21" s="18" t="inlineStr">
        <is>
          <t>CENOVUS_TOLEDO</t>
        </is>
      </c>
      <c r="B21" s="18" t="inlineStr">
        <is>
          <t>Cenovus Toledo</t>
        </is>
      </c>
      <c r="C21" s="18" t="n">
        <v>2</v>
      </c>
      <c r="D21" s="21">
        <f>SUMIFS(Data!$G$3:$G$125,Data!$A$3:$A$125,$A21)</f>
        <v/>
      </c>
      <c r="E21" s="21">
        <f>SUMIFS(Boxes!$F$3:$F$1084,Boxes!$B$3:$B$1084,$A21,Boxes!$D$3:$D$1084,"CDU")</f>
        <v/>
      </c>
      <c r="F21" s="21">
        <f>SUMIFS(Boxes!$F$3:$F$1084,Boxes!$B$3:$B$1084,$A21,Boxes!$D$3:$D$1084,"VDU")</f>
        <v/>
      </c>
      <c r="G21" s="21">
        <f>SUMIFS(Boxes!$F$3:$F$1084,Boxes!$B$3:$B$1084,$A21,Boxes!$D$3:$D$1084,"FCC")</f>
        <v/>
      </c>
      <c r="H21" s="21">
        <f>SUMIFS(Boxes!$F$3:$F$1084,Boxes!$B$3:$B$1084,$A21,Boxes!$D$3:$D$1084,"RCC")</f>
        <v/>
      </c>
      <c r="I21" s="21">
        <f>SUMIFS(Boxes!$F$3:$F$1084,Boxes!$B$3:$B$1084,$A21,Boxes!$D$3:$D$1084,"COKER")</f>
        <v/>
      </c>
      <c r="J21" s="21">
        <f>SUMIFS(Boxes!$F$3:$F$1084,Boxes!$B$3:$B$1084,$A21,Boxes!$D$3:$D$1084,"FCOKER")</f>
        <v/>
      </c>
      <c r="K21" s="21">
        <f>SUMIFS(Boxes!$F$3:$F$1084,Boxes!$B$3:$B$1084,$A21,Boxes!$D$3:$D$1084,"DHCU")</f>
        <v/>
      </c>
      <c r="L21" s="21">
        <f>SUMIFS(Boxes!$F$3:$F$1084,Boxes!$B$3:$B$1084,$A21,Boxes!$D$3:$D$1084,"RHCU")</f>
        <v/>
      </c>
      <c r="M21" s="21">
        <f>SUMIFS(Boxes!$F$3:$F$1084,Boxes!$B$3:$B$1084,$A21,Boxes!$D$3:$D$1084,"REF")</f>
        <v/>
      </c>
      <c r="N21" s="21">
        <f>SUMIFS(Boxes!$F$3:$F$1084,Boxes!$B$3:$B$1084,$A21,Boxes!$D$3:$D$1084,"CCR")</f>
        <v/>
      </c>
      <c r="O21" s="21">
        <f>SUMIFS(Boxes!$F$3:$F$1084,Boxes!$B$3:$B$1084,$A21,Boxes!$D$3:$D$1084,"ISOM")</f>
        <v/>
      </c>
      <c r="P21" s="21">
        <f>SUMIFS(Boxes!$F$3:$F$1084,Boxes!$B$3:$B$1084,$A21,Boxes!$D$3:$D$1084,"ALKY")</f>
        <v/>
      </c>
      <c r="Q21" s="21">
        <f>SUMIFS(Boxes!$F$3:$F$1084,Boxes!$B$3:$B$1084,$A21,Boxes!$D$3:$D$1084,"NSPL")</f>
        <v/>
      </c>
      <c r="R21" s="21">
        <f>SUMIFS(Boxes!$F$3:$F$1084,Boxes!$B$3:$B$1084,$A21,Boxes!$D$3:$D$1084,"NHT")</f>
        <v/>
      </c>
    </row>
    <row r="22">
      <c r="A22" s="18" t="inlineStr">
        <is>
          <t>MARATHON_DETROIT</t>
        </is>
      </c>
      <c r="B22" s="18" t="inlineStr">
        <is>
          <t>Marathon Petroleum Detroit</t>
        </is>
      </c>
      <c r="C22" s="18" t="n">
        <v>2</v>
      </c>
      <c r="D22" s="21">
        <f>SUMIFS(Data!$G$3:$G$125,Data!$A$3:$A$125,$A22)</f>
        <v/>
      </c>
      <c r="E22" s="21">
        <f>SUMIFS(Boxes!$F$3:$F$1084,Boxes!$B$3:$B$1084,$A22,Boxes!$D$3:$D$1084,"CDU")</f>
        <v/>
      </c>
      <c r="F22" s="21">
        <f>SUMIFS(Boxes!$F$3:$F$1084,Boxes!$B$3:$B$1084,$A22,Boxes!$D$3:$D$1084,"VDU")</f>
        <v/>
      </c>
      <c r="G22" s="21">
        <f>SUMIFS(Boxes!$F$3:$F$1084,Boxes!$B$3:$B$1084,$A22,Boxes!$D$3:$D$1084,"FCC")</f>
        <v/>
      </c>
      <c r="H22" s="21">
        <f>SUMIFS(Boxes!$F$3:$F$1084,Boxes!$B$3:$B$1084,$A22,Boxes!$D$3:$D$1084,"RCC")</f>
        <v/>
      </c>
      <c r="I22" s="21">
        <f>SUMIFS(Boxes!$F$3:$F$1084,Boxes!$B$3:$B$1084,$A22,Boxes!$D$3:$D$1084,"COKER")</f>
        <v/>
      </c>
      <c r="J22" s="21">
        <f>SUMIFS(Boxes!$F$3:$F$1084,Boxes!$B$3:$B$1084,$A22,Boxes!$D$3:$D$1084,"FCOKER")</f>
        <v/>
      </c>
      <c r="K22" s="21">
        <f>SUMIFS(Boxes!$F$3:$F$1084,Boxes!$B$3:$B$1084,$A22,Boxes!$D$3:$D$1084,"DHCU")</f>
        <v/>
      </c>
      <c r="L22" s="21">
        <f>SUMIFS(Boxes!$F$3:$F$1084,Boxes!$B$3:$B$1084,$A22,Boxes!$D$3:$D$1084,"RHCU")</f>
        <v/>
      </c>
      <c r="M22" s="21">
        <f>SUMIFS(Boxes!$F$3:$F$1084,Boxes!$B$3:$B$1084,$A22,Boxes!$D$3:$D$1084,"REF")</f>
        <v/>
      </c>
      <c r="N22" s="21">
        <f>SUMIFS(Boxes!$F$3:$F$1084,Boxes!$B$3:$B$1084,$A22,Boxes!$D$3:$D$1084,"CCR")</f>
        <v/>
      </c>
      <c r="O22" s="21">
        <f>SUMIFS(Boxes!$F$3:$F$1084,Boxes!$B$3:$B$1084,$A22,Boxes!$D$3:$D$1084,"ISOM")</f>
        <v/>
      </c>
      <c r="P22" s="21">
        <f>SUMIFS(Boxes!$F$3:$F$1084,Boxes!$B$3:$B$1084,$A22,Boxes!$D$3:$D$1084,"ALKY")</f>
        <v/>
      </c>
      <c r="Q22" s="21">
        <f>SUMIFS(Boxes!$F$3:$F$1084,Boxes!$B$3:$B$1084,$A22,Boxes!$D$3:$D$1084,"NSPL")</f>
        <v/>
      </c>
      <c r="R22" s="21">
        <f>SUMIFS(Boxes!$F$3:$F$1084,Boxes!$B$3:$B$1084,$A22,Boxes!$D$3:$D$1084,"NHT")</f>
        <v/>
      </c>
    </row>
    <row r="23">
      <c r="A23" s="18" t="inlineStr">
        <is>
          <t>HF_EL_DORADO_KS</t>
        </is>
      </c>
      <c r="B23" s="18" t="inlineStr">
        <is>
          <t>HF Sinclair El Dorado (KS)</t>
        </is>
      </c>
      <c r="C23" s="18" t="n">
        <v>2</v>
      </c>
      <c r="D23" s="21">
        <f>SUMIFS(Data!$G$3:$G$125,Data!$A$3:$A$125,$A23)</f>
        <v/>
      </c>
      <c r="E23" s="21">
        <f>SUMIFS(Boxes!$F$3:$F$1084,Boxes!$B$3:$B$1084,$A23,Boxes!$D$3:$D$1084,"CDU")</f>
        <v/>
      </c>
      <c r="F23" s="21">
        <f>SUMIFS(Boxes!$F$3:$F$1084,Boxes!$B$3:$B$1084,$A23,Boxes!$D$3:$D$1084,"VDU")</f>
        <v/>
      </c>
      <c r="G23" s="21">
        <f>SUMIFS(Boxes!$F$3:$F$1084,Boxes!$B$3:$B$1084,$A23,Boxes!$D$3:$D$1084,"FCC")</f>
        <v/>
      </c>
      <c r="H23" s="21">
        <f>SUMIFS(Boxes!$F$3:$F$1084,Boxes!$B$3:$B$1084,$A23,Boxes!$D$3:$D$1084,"RCC")</f>
        <v/>
      </c>
      <c r="I23" s="21">
        <f>SUMIFS(Boxes!$F$3:$F$1084,Boxes!$B$3:$B$1084,$A23,Boxes!$D$3:$D$1084,"COKER")</f>
        <v/>
      </c>
      <c r="J23" s="21">
        <f>SUMIFS(Boxes!$F$3:$F$1084,Boxes!$B$3:$B$1084,$A23,Boxes!$D$3:$D$1084,"FCOKER")</f>
        <v/>
      </c>
      <c r="K23" s="21">
        <f>SUMIFS(Boxes!$F$3:$F$1084,Boxes!$B$3:$B$1084,$A23,Boxes!$D$3:$D$1084,"DHCU")</f>
        <v/>
      </c>
      <c r="L23" s="21">
        <f>SUMIFS(Boxes!$F$3:$F$1084,Boxes!$B$3:$B$1084,$A23,Boxes!$D$3:$D$1084,"RHCU")</f>
        <v/>
      </c>
      <c r="M23" s="21">
        <f>SUMIFS(Boxes!$F$3:$F$1084,Boxes!$B$3:$B$1084,$A23,Boxes!$D$3:$D$1084,"REF")</f>
        <v/>
      </c>
      <c r="N23" s="21">
        <f>SUMIFS(Boxes!$F$3:$F$1084,Boxes!$B$3:$B$1084,$A23,Boxes!$D$3:$D$1084,"CCR")</f>
        <v/>
      </c>
      <c r="O23" s="21">
        <f>SUMIFS(Boxes!$F$3:$F$1084,Boxes!$B$3:$B$1084,$A23,Boxes!$D$3:$D$1084,"ISOM")</f>
        <v/>
      </c>
      <c r="P23" s="21">
        <f>SUMIFS(Boxes!$F$3:$F$1084,Boxes!$B$3:$B$1084,$A23,Boxes!$D$3:$D$1084,"ALKY")</f>
        <v/>
      </c>
      <c r="Q23" s="21">
        <f>SUMIFS(Boxes!$F$3:$F$1084,Boxes!$B$3:$B$1084,$A23,Boxes!$D$3:$D$1084,"NSPL")</f>
        <v/>
      </c>
      <c r="R23" s="21">
        <f>SUMIFS(Boxes!$F$3:$F$1084,Boxes!$B$3:$B$1084,$A23,Boxes!$D$3:$D$1084,"NHT")</f>
        <v/>
      </c>
    </row>
    <row r="24">
      <c r="A24" s="18" t="inlineStr">
        <is>
          <t>CVR_COFFEYVILLE</t>
        </is>
      </c>
      <c r="B24" s="18" t="inlineStr">
        <is>
          <t>CVR Energy Coffeyville</t>
        </is>
      </c>
      <c r="C24" s="18" t="n">
        <v>2</v>
      </c>
      <c r="D24" s="21">
        <f>SUMIFS(Data!$G$3:$G$125,Data!$A$3:$A$125,$A24)</f>
        <v/>
      </c>
      <c r="E24" s="21">
        <f>SUMIFS(Boxes!$F$3:$F$1084,Boxes!$B$3:$B$1084,$A24,Boxes!$D$3:$D$1084,"CDU")</f>
        <v/>
      </c>
      <c r="F24" s="21">
        <f>SUMIFS(Boxes!$F$3:$F$1084,Boxes!$B$3:$B$1084,$A24,Boxes!$D$3:$D$1084,"VDU")</f>
        <v/>
      </c>
      <c r="G24" s="21">
        <f>SUMIFS(Boxes!$F$3:$F$1084,Boxes!$B$3:$B$1084,$A24,Boxes!$D$3:$D$1084,"FCC")</f>
        <v/>
      </c>
      <c r="H24" s="21">
        <f>SUMIFS(Boxes!$F$3:$F$1084,Boxes!$B$3:$B$1084,$A24,Boxes!$D$3:$D$1084,"RCC")</f>
        <v/>
      </c>
      <c r="I24" s="21">
        <f>SUMIFS(Boxes!$F$3:$F$1084,Boxes!$B$3:$B$1084,$A24,Boxes!$D$3:$D$1084,"COKER")</f>
        <v/>
      </c>
      <c r="J24" s="21">
        <f>SUMIFS(Boxes!$F$3:$F$1084,Boxes!$B$3:$B$1084,$A24,Boxes!$D$3:$D$1084,"FCOKER")</f>
        <v/>
      </c>
      <c r="K24" s="21">
        <f>SUMIFS(Boxes!$F$3:$F$1084,Boxes!$B$3:$B$1084,$A24,Boxes!$D$3:$D$1084,"DHCU")</f>
        <v/>
      </c>
      <c r="L24" s="21">
        <f>SUMIFS(Boxes!$F$3:$F$1084,Boxes!$B$3:$B$1084,$A24,Boxes!$D$3:$D$1084,"RHCU")</f>
        <v/>
      </c>
      <c r="M24" s="21">
        <f>SUMIFS(Boxes!$F$3:$F$1084,Boxes!$B$3:$B$1084,$A24,Boxes!$D$3:$D$1084,"REF")</f>
        <v/>
      </c>
      <c r="N24" s="21">
        <f>SUMIFS(Boxes!$F$3:$F$1084,Boxes!$B$3:$B$1084,$A24,Boxes!$D$3:$D$1084,"CCR")</f>
        <v/>
      </c>
      <c r="O24" s="21">
        <f>SUMIFS(Boxes!$F$3:$F$1084,Boxes!$B$3:$B$1084,$A24,Boxes!$D$3:$D$1084,"ISOM")</f>
        <v/>
      </c>
      <c r="P24" s="21">
        <f>SUMIFS(Boxes!$F$3:$F$1084,Boxes!$B$3:$B$1084,$A24,Boxes!$D$3:$D$1084,"ALKY")</f>
        <v/>
      </c>
      <c r="Q24" s="21">
        <f>SUMIFS(Boxes!$F$3:$F$1084,Boxes!$B$3:$B$1084,$A24,Boxes!$D$3:$D$1084,"NSPL")</f>
        <v/>
      </c>
      <c r="R24" s="21">
        <f>SUMIFS(Boxes!$F$3:$F$1084,Boxes!$B$3:$B$1084,$A24,Boxes!$D$3:$D$1084,"NHT")</f>
        <v/>
      </c>
    </row>
    <row r="25">
      <c r="A25" s="18" t="inlineStr">
        <is>
          <t>HF_TULSA</t>
        </is>
      </c>
      <c r="B25" s="18" t="inlineStr">
        <is>
          <t>HF Sinclair Tulsa</t>
        </is>
      </c>
      <c r="C25" s="18" t="n">
        <v>2</v>
      </c>
      <c r="D25" s="21">
        <f>SUMIFS(Data!$G$3:$G$125,Data!$A$3:$A$125,$A25)</f>
        <v/>
      </c>
      <c r="E25" s="21">
        <f>SUMIFS(Boxes!$F$3:$F$1084,Boxes!$B$3:$B$1084,$A25,Boxes!$D$3:$D$1084,"CDU")</f>
        <v/>
      </c>
      <c r="F25" s="21">
        <f>SUMIFS(Boxes!$F$3:$F$1084,Boxes!$B$3:$B$1084,$A25,Boxes!$D$3:$D$1084,"VDU")</f>
        <v/>
      </c>
      <c r="G25" s="21">
        <f>SUMIFS(Boxes!$F$3:$F$1084,Boxes!$B$3:$B$1084,$A25,Boxes!$D$3:$D$1084,"FCC")</f>
        <v/>
      </c>
      <c r="H25" s="21">
        <f>SUMIFS(Boxes!$F$3:$F$1084,Boxes!$B$3:$B$1084,$A25,Boxes!$D$3:$D$1084,"RCC")</f>
        <v/>
      </c>
      <c r="I25" s="21">
        <f>SUMIFS(Boxes!$F$3:$F$1084,Boxes!$B$3:$B$1084,$A25,Boxes!$D$3:$D$1084,"COKER")</f>
        <v/>
      </c>
      <c r="J25" s="21">
        <f>SUMIFS(Boxes!$F$3:$F$1084,Boxes!$B$3:$B$1084,$A25,Boxes!$D$3:$D$1084,"FCOKER")</f>
        <v/>
      </c>
      <c r="K25" s="21">
        <f>SUMIFS(Boxes!$F$3:$F$1084,Boxes!$B$3:$B$1084,$A25,Boxes!$D$3:$D$1084,"DHCU")</f>
        <v/>
      </c>
      <c r="L25" s="21">
        <f>SUMIFS(Boxes!$F$3:$F$1084,Boxes!$B$3:$B$1084,$A25,Boxes!$D$3:$D$1084,"RHCU")</f>
        <v/>
      </c>
      <c r="M25" s="21">
        <f>SUMIFS(Boxes!$F$3:$F$1084,Boxes!$B$3:$B$1084,$A25,Boxes!$D$3:$D$1084,"REF")</f>
        <v/>
      </c>
      <c r="N25" s="21">
        <f>SUMIFS(Boxes!$F$3:$F$1084,Boxes!$B$3:$B$1084,$A25,Boxes!$D$3:$D$1084,"CCR")</f>
        <v/>
      </c>
      <c r="O25" s="21">
        <f>SUMIFS(Boxes!$F$3:$F$1084,Boxes!$B$3:$B$1084,$A25,Boxes!$D$3:$D$1084,"ISOM")</f>
        <v/>
      </c>
      <c r="P25" s="21">
        <f>SUMIFS(Boxes!$F$3:$F$1084,Boxes!$B$3:$B$1084,$A25,Boxes!$D$3:$D$1084,"ALKY")</f>
        <v/>
      </c>
      <c r="Q25" s="21">
        <f>SUMIFS(Boxes!$F$3:$F$1084,Boxes!$B$3:$B$1084,$A25,Boxes!$D$3:$D$1084,"NSPL")</f>
        <v/>
      </c>
      <c r="R25" s="21">
        <f>SUMIFS(Boxes!$F$3:$F$1084,Boxes!$B$3:$B$1084,$A25,Boxes!$D$3:$D$1084,"NHT")</f>
        <v/>
      </c>
    </row>
    <row r="26">
      <c r="A26" s="18" t="inlineStr">
        <is>
          <t>NCRA_MCPHERSON</t>
        </is>
      </c>
      <c r="B26" s="18" t="inlineStr">
        <is>
          <t>NCRA McPherson</t>
        </is>
      </c>
      <c r="C26" s="18" t="n">
        <v>2</v>
      </c>
      <c r="D26" s="21">
        <f>SUMIFS(Data!$G$3:$G$125,Data!$A$3:$A$125,$A26)</f>
        <v/>
      </c>
      <c r="E26" s="21">
        <f>SUMIFS(Boxes!$F$3:$F$1084,Boxes!$B$3:$B$1084,$A26,Boxes!$D$3:$D$1084,"CDU")</f>
        <v/>
      </c>
      <c r="F26" s="21">
        <f>SUMIFS(Boxes!$F$3:$F$1084,Boxes!$B$3:$B$1084,$A26,Boxes!$D$3:$D$1084,"VDU")</f>
        <v/>
      </c>
      <c r="G26" s="21">
        <f>SUMIFS(Boxes!$F$3:$F$1084,Boxes!$B$3:$B$1084,$A26,Boxes!$D$3:$D$1084,"FCC")</f>
        <v/>
      </c>
      <c r="H26" s="21">
        <f>SUMIFS(Boxes!$F$3:$F$1084,Boxes!$B$3:$B$1084,$A26,Boxes!$D$3:$D$1084,"RCC")</f>
        <v/>
      </c>
      <c r="I26" s="21">
        <f>SUMIFS(Boxes!$F$3:$F$1084,Boxes!$B$3:$B$1084,$A26,Boxes!$D$3:$D$1084,"COKER")</f>
        <v/>
      </c>
      <c r="J26" s="21">
        <f>SUMIFS(Boxes!$F$3:$F$1084,Boxes!$B$3:$B$1084,$A26,Boxes!$D$3:$D$1084,"FCOKER")</f>
        <v/>
      </c>
      <c r="K26" s="21">
        <f>SUMIFS(Boxes!$F$3:$F$1084,Boxes!$B$3:$B$1084,$A26,Boxes!$D$3:$D$1084,"DHCU")</f>
        <v/>
      </c>
      <c r="L26" s="21">
        <f>SUMIFS(Boxes!$F$3:$F$1084,Boxes!$B$3:$B$1084,$A26,Boxes!$D$3:$D$1084,"RHCU")</f>
        <v/>
      </c>
      <c r="M26" s="21">
        <f>SUMIFS(Boxes!$F$3:$F$1084,Boxes!$B$3:$B$1084,$A26,Boxes!$D$3:$D$1084,"REF")</f>
        <v/>
      </c>
      <c r="N26" s="21">
        <f>SUMIFS(Boxes!$F$3:$F$1084,Boxes!$B$3:$B$1084,$A26,Boxes!$D$3:$D$1084,"CCR")</f>
        <v/>
      </c>
      <c r="O26" s="21">
        <f>SUMIFS(Boxes!$F$3:$F$1084,Boxes!$B$3:$B$1084,$A26,Boxes!$D$3:$D$1084,"ISOM")</f>
        <v/>
      </c>
      <c r="P26" s="21">
        <f>SUMIFS(Boxes!$F$3:$F$1084,Boxes!$B$3:$B$1084,$A26,Boxes!$D$3:$D$1084,"ALKY")</f>
        <v/>
      </c>
      <c r="Q26" s="21">
        <f>SUMIFS(Boxes!$F$3:$F$1084,Boxes!$B$3:$B$1084,$A26,Boxes!$D$3:$D$1084,"NSPL")</f>
        <v/>
      </c>
      <c r="R26" s="21">
        <f>SUMIFS(Boxes!$F$3:$F$1084,Boxes!$B$3:$B$1084,$A26,Boxes!$D$3:$D$1084,"NHT")</f>
        <v/>
      </c>
    </row>
    <row r="27">
      <c r="A27" s="18" t="inlineStr">
        <is>
          <t>MARATHON_SAINT_PAUL_PARK</t>
        </is>
      </c>
      <c r="B27" s="18" t="inlineStr">
        <is>
          <t>Marathon Petroleum Saint Paul Park</t>
        </is>
      </c>
      <c r="C27" s="18" t="n">
        <v>2</v>
      </c>
      <c r="D27" s="21">
        <f>SUMIFS(Data!$G$3:$G$125,Data!$A$3:$A$125,$A27)</f>
        <v/>
      </c>
      <c r="E27" s="21">
        <f>SUMIFS(Boxes!$F$3:$F$1084,Boxes!$B$3:$B$1084,$A27,Boxes!$D$3:$D$1084,"CDU")</f>
        <v/>
      </c>
      <c r="F27" s="21">
        <f>SUMIFS(Boxes!$F$3:$F$1084,Boxes!$B$3:$B$1084,$A27,Boxes!$D$3:$D$1084,"VDU")</f>
        <v/>
      </c>
      <c r="G27" s="21">
        <f>SUMIFS(Boxes!$F$3:$F$1084,Boxes!$B$3:$B$1084,$A27,Boxes!$D$3:$D$1084,"FCC")</f>
        <v/>
      </c>
      <c r="H27" s="21">
        <f>SUMIFS(Boxes!$F$3:$F$1084,Boxes!$B$3:$B$1084,$A27,Boxes!$D$3:$D$1084,"RCC")</f>
        <v/>
      </c>
      <c r="I27" s="21">
        <f>SUMIFS(Boxes!$F$3:$F$1084,Boxes!$B$3:$B$1084,$A27,Boxes!$D$3:$D$1084,"COKER")</f>
        <v/>
      </c>
      <c r="J27" s="21">
        <f>SUMIFS(Boxes!$F$3:$F$1084,Boxes!$B$3:$B$1084,$A27,Boxes!$D$3:$D$1084,"FCOKER")</f>
        <v/>
      </c>
      <c r="K27" s="21">
        <f>SUMIFS(Boxes!$F$3:$F$1084,Boxes!$B$3:$B$1084,$A27,Boxes!$D$3:$D$1084,"DHCU")</f>
        <v/>
      </c>
      <c r="L27" s="21">
        <f>SUMIFS(Boxes!$F$3:$F$1084,Boxes!$B$3:$B$1084,$A27,Boxes!$D$3:$D$1084,"RHCU")</f>
        <v/>
      </c>
      <c r="M27" s="21">
        <f>SUMIFS(Boxes!$F$3:$F$1084,Boxes!$B$3:$B$1084,$A27,Boxes!$D$3:$D$1084,"REF")</f>
        <v/>
      </c>
      <c r="N27" s="21">
        <f>SUMIFS(Boxes!$F$3:$F$1084,Boxes!$B$3:$B$1084,$A27,Boxes!$D$3:$D$1084,"CCR")</f>
        <v/>
      </c>
      <c r="O27" s="21">
        <f>SUMIFS(Boxes!$F$3:$F$1084,Boxes!$B$3:$B$1084,$A27,Boxes!$D$3:$D$1084,"ISOM")</f>
        <v/>
      </c>
      <c r="P27" s="21">
        <f>SUMIFS(Boxes!$F$3:$F$1084,Boxes!$B$3:$B$1084,$A27,Boxes!$D$3:$D$1084,"ALKY")</f>
        <v/>
      </c>
      <c r="Q27" s="21">
        <f>SUMIFS(Boxes!$F$3:$F$1084,Boxes!$B$3:$B$1084,$A27,Boxes!$D$3:$D$1084,"NSPL")</f>
        <v/>
      </c>
      <c r="R27" s="21">
        <f>SUMIFS(Boxes!$F$3:$F$1084,Boxes!$B$3:$B$1084,$A27,Boxes!$D$3:$D$1084,"NHT")</f>
        <v/>
      </c>
    </row>
    <row r="28">
      <c r="A28" s="18" t="inlineStr">
        <is>
          <t>MARATHON_CANTON</t>
        </is>
      </c>
      <c r="B28" s="18" t="inlineStr">
        <is>
          <t>Marathon Petroleum Canton</t>
        </is>
      </c>
      <c r="C28" s="18" t="n">
        <v>2</v>
      </c>
      <c r="D28" s="21">
        <f>SUMIFS(Data!$G$3:$G$125,Data!$A$3:$A$125,$A28)</f>
        <v/>
      </c>
      <c r="E28" s="21">
        <f>SUMIFS(Boxes!$F$3:$F$1084,Boxes!$B$3:$B$1084,$A28,Boxes!$D$3:$D$1084,"CDU")</f>
        <v/>
      </c>
      <c r="F28" s="21">
        <f>SUMIFS(Boxes!$F$3:$F$1084,Boxes!$B$3:$B$1084,$A28,Boxes!$D$3:$D$1084,"VDU")</f>
        <v/>
      </c>
      <c r="G28" s="21">
        <f>SUMIFS(Boxes!$F$3:$F$1084,Boxes!$B$3:$B$1084,$A28,Boxes!$D$3:$D$1084,"FCC")</f>
        <v/>
      </c>
      <c r="H28" s="21">
        <f>SUMIFS(Boxes!$F$3:$F$1084,Boxes!$B$3:$B$1084,$A28,Boxes!$D$3:$D$1084,"RCC")</f>
        <v/>
      </c>
      <c r="I28" s="21">
        <f>SUMIFS(Boxes!$F$3:$F$1084,Boxes!$B$3:$B$1084,$A28,Boxes!$D$3:$D$1084,"COKER")</f>
        <v/>
      </c>
      <c r="J28" s="21">
        <f>SUMIFS(Boxes!$F$3:$F$1084,Boxes!$B$3:$B$1084,$A28,Boxes!$D$3:$D$1084,"FCOKER")</f>
        <v/>
      </c>
      <c r="K28" s="21">
        <f>SUMIFS(Boxes!$F$3:$F$1084,Boxes!$B$3:$B$1084,$A28,Boxes!$D$3:$D$1084,"DHCU")</f>
        <v/>
      </c>
      <c r="L28" s="21">
        <f>SUMIFS(Boxes!$F$3:$F$1084,Boxes!$B$3:$B$1084,$A28,Boxes!$D$3:$D$1084,"RHCU")</f>
        <v/>
      </c>
      <c r="M28" s="21">
        <f>SUMIFS(Boxes!$F$3:$F$1084,Boxes!$B$3:$B$1084,$A28,Boxes!$D$3:$D$1084,"REF")</f>
        <v/>
      </c>
      <c r="N28" s="21">
        <f>SUMIFS(Boxes!$F$3:$F$1084,Boxes!$B$3:$B$1084,$A28,Boxes!$D$3:$D$1084,"CCR")</f>
        <v/>
      </c>
      <c r="O28" s="21">
        <f>SUMIFS(Boxes!$F$3:$F$1084,Boxes!$B$3:$B$1084,$A28,Boxes!$D$3:$D$1084,"ISOM")</f>
        <v/>
      </c>
      <c r="P28" s="21">
        <f>SUMIFS(Boxes!$F$3:$F$1084,Boxes!$B$3:$B$1084,$A28,Boxes!$D$3:$D$1084,"ALKY")</f>
        <v/>
      </c>
      <c r="Q28" s="21">
        <f>SUMIFS(Boxes!$F$3:$F$1084,Boxes!$B$3:$B$1084,$A28,Boxes!$D$3:$D$1084,"NSPL")</f>
        <v/>
      </c>
      <c r="R28" s="21">
        <f>SUMIFS(Boxes!$F$3:$F$1084,Boxes!$B$3:$B$1084,$A28,Boxes!$D$3:$D$1084,"NHT")</f>
        <v/>
      </c>
    </row>
    <row r="29">
      <c r="A29" s="18" t="inlineStr">
        <is>
          <t>VALERO_ARDMORE</t>
        </is>
      </c>
      <c r="B29" s="18" t="inlineStr">
        <is>
          <t>Valero Ardmore</t>
        </is>
      </c>
      <c r="C29" s="18" t="n">
        <v>2</v>
      </c>
      <c r="D29" s="21">
        <f>SUMIFS(Data!$G$3:$G$125,Data!$A$3:$A$125,$A29)</f>
        <v/>
      </c>
      <c r="E29" s="21">
        <f>SUMIFS(Boxes!$F$3:$F$1084,Boxes!$B$3:$B$1084,$A29,Boxes!$D$3:$D$1084,"CDU")</f>
        <v/>
      </c>
      <c r="F29" s="21">
        <f>SUMIFS(Boxes!$F$3:$F$1084,Boxes!$B$3:$B$1084,$A29,Boxes!$D$3:$D$1084,"VDU")</f>
        <v/>
      </c>
      <c r="G29" s="21">
        <f>SUMIFS(Boxes!$F$3:$F$1084,Boxes!$B$3:$B$1084,$A29,Boxes!$D$3:$D$1084,"FCC")</f>
        <v/>
      </c>
      <c r="H29" s="21">
        <f>SUMIFS(Boxes!$F$3:$F$1084,Boxes!$B$3:$B$1084,$A29,Boxes!$D$3:$D$1084,"RCC")</f>
        <v/>
      </c>
      <c r="I29" s="21">
        <f>SUMIFS(Boxes!$F$3:$F$1084,Boxes!$B$3:$B$1084,$A29,Boxes!$D$3:$D$1084,"COKER")</f>
        <v/>
      </c>
      <c r="J29" s="21">
        <f>SUMIFS(Boxes!$F$3:$F$1084,Boxes!$B$3:$B$1084,$A29,Boxes!$D$3:$D$1084,"FCOKER")</f>
        <v/>
      </c>
      <c r="K29" s="21">
        <f>SUMIFS(Boxes!$F$3:$F$1084,Boxes!$B$3:$B$1084,$A29,Boxes!$D$3:$D$1084,"DHCU")</f>
        <v/>
      </c>
      <c r="L29" s="21">
        <f>SUMIFS(Boxes!$F$3:$F$1084,Boxes!$B$3:$B$1084,$A29,Boxes!$D$3:$D$1084,"RHCU")</f>
        <v/>
      </c>
      <c r="M29" s="21">
        <f>SUMIFS(Boxes!$F$3:$F$1084,Boxes!$B$3:$B$1084,$A29,Boxes!$D$3:$D$1084,"REF")</f>
        <v/>
      </c>
      <c r="N29" s="21">
        <f>SUMIFS(Boxes!$F$3:$F$1084,Boxes!$B$3:$B$1084,$A29,Boxes!$D$3:$D$1084,"CCR")</f>
        <v/>
      </c>
      <c r="O29" s="21">
        <f>SUMIFS(Boxes!$F$3:$F$1084,Boxes!$B$3:$B$1084,$A29,Boxes!$D$3:$D$1084,"ISOM")</f>
        <v/>
      </c>
      <c r="P29" s="21">
        <f>SUMIFS(Boxes!$F$3:$F$1084,Boxes!$B$3:$B$1084,$A29,Boxes!$D$3:$D$1084,"ALKY")</f>
        <v/>
      </c>
      <c r="Q29" s="21">
        <f>SUMIFS(Boxes!$F$3:$F$1084,Boxes!$B$3:$B$1084,$A29,Boxes!$D$3:$D$1084,"NSPL")</f>
        <v/>
      </c>
      <c r="R29" s="21">
        <f>SUMIFS(Boxes!$F$3:$F$1084,Boxes!$B$3:$B$1084,$A29,Boxes!$D$3:$D$1084,"NHT")</f>
        <v/>
      </c>
    </row>
    <row r="30">
      <c r="A30" s="18" t="inlineStr">
        <is>
          <t>MARATHON_MANDAN</t>
        </is>
      </c>
      <c r="B30" s="18" t="inlineStr">
        <is>
          <t>Marathon Petroleum Mandan</t>
        </is>
      </c>
      <c r="C30" s="18" t="n">
        <v>2</v>
      </c>
      <c r="D30" s="21">
        <f>SUMIFS(Data!$G$3:$G$125,Data!$A$3:$A$125,$A30)</f>
        <v/>
      </c>
      <c r="E30" s="21">
        <f>SUMIFS(Boxes!$F$3:$F$1084,Boxes!$B$3:$B$1084,$A30,Boxes!$D$3:$D$1084,"CDU")</f>
        <v/>
      </c>
      <c r="F30" s="21">
        <f>SUMIFS(Boxes!$F$3:$F$1084,Boxes!$B$3:$B$1084,$A30,Boxes!$D$3:$D$1084,"VDU")</f>
        <v/>
      </c>
      <c r="G30" s="21">
        <f>SUMIFS(Boxes!$F$3:$F$1084,Boxes!$B$3:$B$1084,$A30,Boxes!$D$3:$D$1084,"FCC")</f>
        <v/>
      </c>
      <c r="H30" s="21">
        <f>SUMIFS(Boxes!$F$3:$F$1084,Boxes!$B$3:$B$1084,$A30,Boxes!$D$3:$D$1084,"RCC")</f>
        <v/>
      </c>
      <c r="I30" s="21">
        <f>SUMIFS(Boxes!$F$3:$F$1084,Boxes!$B$3:$B$1084,$A30,Boxes!$D$3:$D$1084,"COKER")</f>
        <v/>
      </c>
      <c r="J30" s="21">
        <f>SUMIFS(Boxes!$F$3:$F$1084,Boxes!$B$3:$B$1084,$A30,Boxes!$D$3:$D$1084,"FCOKER")</f>
        <v/>
      </c>
      <c r="K30" s="21">
        <f>SUMIFS(Boxes!$F$3:$F$1084,Boxes!$B$3:$B$1084,$A30,Boxes!$D$3:$D$1084,"DHCU")</f>
        <v/>
      </c>
      <c r="L30" s="21">
        <f>SUMIFS(Boxes!$F$3:$F$1084,Boxes!$B$3:$B$1084,$A30,Boxes!$D$3:$D$1084,"RHCU")</f>
        <v/>
      </c>
      <c r="M30" s="21">
        <f>SUMIFS(Boxes!$F$3:$F$1084,Boxes!$B$3:$B$1084,$A30,Boxes!$D$3:$D$1084,"REF")</f>
        <v/>
      </c>
      <c r="N30" s="21">
        <f>SUMIFS(Boxes!$F$3:$F$1084,Boxes!$B$3:$B$1084,$A30,Boxes!$D$3:$D$1084,"CCR")</f>
        <v/>
      </c>
      <c r="O30" s="21">
        <f>SUMIFS(Boxes!$F$3:$F$1084,Boxes!$B$3:$B$1084,$A30,Boxes!$D$3:$D$1084,"ISOM")</f>
        <v/>
      </c>
      <c r="P30" s="21">
        <f>SUMIFS(Boxes!$F$3:$F$1084,Boxes!$B$3:$B$1084,$A30,Boxes!$D$3:$D$1084,"ALKY")</f>
        <v/>
      </c>
      <c r="Q30" s="21">
        <f>SUMIFS(Boxes!$F$3:$F$1084,Boxes!$B$3:$B$1084,$A30,Boxes!$D$3:$D$1084,"NSPL")</f>
        <v/>
      </c>
      <c r="R30" s="21">
        <f>SUMIFS(Boxes!$F$3:$F$1084,Boxes!$B$3:$B$1084,$A30,Boxes!$D$3:$D$1084,"NHT")</f>
        <v/>
      </c>
    </row>
    <row r="31">
      <c r="A31" s="18" t="inlineStr">
        <is>
          <t>CVR_WYNNEWOOD</t>
        </is>
      </c>
      <c r="B31" s="18" t="inlineStr">
        <is>
          <t>CVR Energy Wynnewood</t>
        </is>
      </c>
      <c r="C31" s="18" t="n">
        <v>2</v>
      </c>
      <c r="D31" s="21">
        <f>SUMIFS(Data!$G$3:$G$125,Data!$A$3:$A$125,$A31)</f>
        <v/>
      </c>
      <c r="E31" s="21">
        <f>SUMIFS(Boxes!$F$3:$F$1084,Boxes!$B$3:$B$1084,$A31,Boxes!$D$3:$D$1084,"CDU")</f>
        <v/>
      </c>
      <c r="F31" s="21">
        <f>SUMIFS(Boxes!$F$3:$F$1084,Boxes!$B$3:$B$1084,$A31,Boxes!$D$3:$D$1084,"VDU")</f>
        <v/>
      </c>
      <c r="G31" s="21">
        <f>SUMIFS(Boxes!$F$3:$F$1084,Boxes!$B$3:$B$1084,$A31,Boxes!$D$3:$D$1084,"FCC")</f>
        <v/>
      </c>
      <c r="H31" s="21">
        <f>SUMIFS(Boxes!$F$3:$F$1084,Boxes!$B$3:$B$1084,$A31,Boxes!$D$3:$D$1084,"RCC")</f>
        <v/>
      </c>
      <c r="I31" s="21">
        <f>SUMIFS(Boxes!$F$3:$F$1084,Boxes!$B$3:$B$1084,$A31,Boxes!$D$3:$D$1084,"COKER")</f>
        <v/>
      </c>
      <c r="J31" s="21">
        <f>SUMIFS(Boxes!$F$3:$F$1084,Boxes!$B$3:$B$1084,$A31,Boxes!$D$3:$D$1084,"FCOKER")</f>
        <v/>
      </c>
      <c r="K31" s="21">
        <f>SUMIFS(Boxes!$F$3:$F$1084,Boxes!$B$3:$B$1084,$A31,Boxes!$D$3:$D$1084,"DHCU")</f>
        <v/>
      </c>
      <c r="L31" s="21">
        <f>SUMIFS(Boxes!$F$3:$F$1084,Boxes!$B$3:$B$1084,$A31,Boxes!$D$3:$D$1084,"RHCU")</f>
        <v/>
      </c>
      <c r="M31" s="21">
        <f>SUMIFS(Boxes!$F$3:$F$1084,Boxes!$B$3:$B$1084,$A31,Boxes!$D$3:$D$1084,"REF")</f>
        <v/>
      </c>
      <c r="N31" s="21">
        <f>SUMIFS(Boxes!$F$3:$F$1084,Boxes!$B$3:$B$1084,$A31,Boxes!$D$3:$D$1084,"CCR")</f>
        <v/>
      </c>
      <c r="O31" s="21">
        <f>SUMIFS(Boxes!$F$3:$F$1084,Boxes!$B$3:$B$1084,$A31,Boxes!$D$3:$D$1084,"ISOM")</f>
        <v/>
      </c>
      <c r="P31" s="21">
        <f>SUMIFS(Boxes!$F$3:$F$1084,Boxes!$B$3:$B$1084,$A31,Boxes!$D$3:$D$1084,"ALKY")</f>
        <v/>
      </c>
      <c r="Q31" s="21">
        <f>SUMIFS(Boxes!$F$3:$F$1084,Boxes!$B$3:$B$1084,$A31,Boxes!$D$3:$D$1084,"NSPL")</f>
        <v/>
      </c>
      <c r="R31" s="21">
        <f>SUMIFS(Boxes!$F$3:$F$1084,Boxes!$B$3:$B$1084,$A31,Boxes!$D$3:$D$1084,"NHT")</f>
        <v/>
      </c>
    </row>
    <row r="32">
      <c r="A32" s="18" t="inlineStr">
        <is>
          <t>CENOVUS_SUPERIOR</t>
        </is>
      </c>
      <c r="B32" s="18" t="inlineStr">
        <is>
          <t>Cenovus Superior</t>
        </is>
      </c>
      <c r="C32" s="18" t="n">
        <v>2</v>
      </c>
      <c r="D32" s="21">
        <f>SUMIFS(Data!$G$3:$G$125,Data!$A$3:$A$125,$A32)</f>
        <v/>
      </c>
      <c r="E32" s="21">
        <f>SUMIFS(Boxes!$F$3:$F$1084,Boxes!$B$3:$B$1084,$A32,Boxes!$D$3:$D$1084,"CDU")</f>
        <v/>
      </c>
      <c r="F32" s="21">
        <f>SUMIFS(Boxes!$F$3:$F$1084,Boxes!$B$3:$B$1084,$A32,Boxes!$D$3:$D$1084,"VDU")</f>
        <v/>
      </c>
      <c r="G32" s="21">
        <f>SUMIFS(Boxes!$F$3:$F$1084,Boxes!$B$3:$B$1084,$A32,Boxes!$D$3:$D$1084,"FCC")</f>
        <v/>
      </c>
      <c r="H32" s="21">
        <f>SUMIFS(Boxes!$F$3:$F$1084,Boxes!$B$3:$B$1084,$A32,Boxes!$D$3:$D$1084,"RCC")</f>
        <v/>
      </c>
      <c r="I32" s="21">
        <f>SUMIFS(Boxes!$F$3:$F$1084,Boxes!$B$3:$B$1084,$A32,Boxes!$D$3:$D$1084,"COKER")</f>
        <v/>
      </c>
      <c r="J32" s="21">
        <f>SUMIFS(Boxes!$F$3:$F$1084,Boxes!$B$3:$B$1084,$A32,Boxes!$D$3:$D$1084,"FCOKER")</f>
        <v/>
      </c>
      <c r="K32" s="21">
        <f>SUMIFS(Boxes!$F$3:$F$1084,Boxes!$B$3:$B$1084,$A32,Boxes!$D$3:$D$1084,"DHCU")</f>
        <v/>
      </c>
      <c r="L32" s="21">
        <f>SUMIFS(Boxes!$F$3:$F$1084,Boxes!$B$3:$B$1084,$A32,Boxes!$D$3:$D$1084,"RHCU")</f>
        <v/>
      </c>
      <c r="M32" s="21">
        <f>SUMIFS(Boxes!$F$3:$F$1084,Boxes!$B$3:$B$1084,$A32,Boxes!$D$3:$D$1084,"REF")</f>
        <v/>
      </c>
      <c r="N32" s="21">
        <f>SUMIFS(Boxes!$F$3:$F$1084,Boxes!$B$3:$B$1084,$A32,Boxes!$D$3:$D$1084,"CCR")</f>
        <v/>
      </c>
      <c r="O32" s="21">
        <f>SUMIFS(Boxes!$F$3:$F$1084,Boxes!$B$3:$B$1084,$A32,Boxes!$D$3:$D$1084,"ISOM")</f>
        <v/>
      </c>
      <c r="P32" s="21">
        <f>SUMIFS(Boxes!$F$3:$F$1084,Boxes!$B$3:$B$1084,$A32,Boxes!$D$3:$D$1084,"ALKY")</f>
        <v/>
      </c>
      <c r="Q32" s="21">
        <f>SUMIFS(Boxes!$F$3:$F$1084,Boxes!$B$3:$B$1084,$A32,Boxes!$D$3:$D$1084,"NSPL")</f>
        <v/>
      </c>
      <c r="R32" s="21">
        <f>SUMIFS(Boxes!$F$3:$F$1084,Boxes!$B$3:$B$1084,$A32,Boxes!$D$3:$D$1084,"NHT")</f>
        <v/>
      </c>
    </row>
    <row r="33">
      <c r="A33" s="18" t="inlineStr">
        <is>
          <t>COUNTRYMARK_MOUNT_VERNON</t>
        </is>
      </c>
      <c r="B33" s="18" t="inlineStr">
        <is>
          <t>Countrymark Cooperative Inc. Mount Vernon</t>
        </is>
      </c>
      <c r="C33" s="18" t="n">
        <v>2</v>
      </c>
      <c r="D33" s="21">
        <f>SUMIFS(Data!$G$3:$G$125,Data!$A$3:$A$125,$A33)</f>
        <v/>
      </c>
      <c r="E33" s="21">
        <f>SUMIFS(Boxes!$F$3:$F$1084,Boxes!$B$3:$B$1084,$A33,Boxes!$D$3:$D$1084,"CDU")</f>
        <v/>
      </c>
      <c r="F33" s="21">
        <f>SUMIFS(Boxes!$F$3:$F$1084,Boxes!$B$3:$B$1084,$A33,Boxes!$D$3:$D$1084,"VDU")</f>
        <v/>
      </c>
      <c r="G33" s="21">
        <f>SUMIFS(Boxes!$F$3:$F$1084,Boxes!$B$3:$B$1084,$A33,Boxes!$D$3:$D$1084,"FCC")</f>
        <v/>
      </c>
      <c r="H33" s="21">
        <f>SUMIFS(Boxes!$F$3:$F$1084,Boxes!$B$3:$B$1084,$A33,Boxes!$D$3:$D$1084,"RCC")</f>
        <v/>
      </c>
      <c r="I33" s="21">
        <f>SUMIFS(Boxes!$F$3:$F$1084,Boxes!$B$3:$B$1084,$A33,Boxes!$D$3:$D$1084,"COKER")</f>
        <v/>
      </c>
      <c r="J33" s="21">
        <f>SUMIFS(Boxes!$F$3:$F$1084,Boxes!$B$3:$B$1084,$A33,Boxes!$D$3:$D$1084,"FCOKER")</f>
        <v/>
      </c>
      <c r="K33" s="21">
        <f>SUMIFS(Boxes!$F$3:$F$1084,Boxes!$B$3:$B$1084,$A33,Boxes!$D$3:$D$1084,"DHCU")</f>
        <v/>
      </c>
      <c r="L33" s="21">
        <f>SUMIFS(Boxes!$F$3:$F$1084,Boxes!$B$3:$B$1084,$A33,Boxes!$D$3:$D$1084,"RHCU")</f>
        <v/>
      </c>
      <c r="M33" s="21">
        <f>SUMIFS(Boxes!$F$3:$F$1084,Boxes!$B$3:$B$1084,$A33,Boxes!$D$3:$D$1084,"REF")</f>
        <v/>
      </c>
      <c r="N33" s="21">
        <f>SUMIFS(Boxes!$F$3:$F$1084,Boxes!$B$3:$B$1084,$A33,Boxes!$D$3:$D$1084,"CCR")</f>
        <v/>
      </c>
      <c r="O33" s="21">
        <f>SUMIFS(Boxes!$F$3:$F$1084,Boxes!$B$3:$B$1084,$A33,Boxes!$D$3:$D$1084,"ISOM")</f>
        <v/>
      </c>
      <c r="P33" s="21">
        <f>SUMIFS(Boxes!$F$3:$F$1084,Boxes!$B$3:$B$1084,$A33,Boxes!$D$3:$D$1084,"ALKY")</f>
        <v/>
      </c>
      <c r="Q33" s="21">
        <f>SUMIFS(Boxes!$F$3:$F$1084,Boxes!$B$3:$B$1084,$A33,Boxes!$D$3:$D$1084,"NSPL")</f>
        <v/>
      </c>
      <c r="R33" s="21">
        <f>SUMIFS(Boxes!$F$3:$F$1084,Boxes!$B$3:$B$1084,$A33,Boxes!$D$3:$D$1084,"NHT")</f>
        <v/>
      </c>
    </row>
    <row r="34">
      <c r="A34" s="18" t="inlineStr">
        <is>
          <t>SOMERSET_SOMERSET</t>
        </is>
      </c>
      <c r="B34" s="18" t="inlineStr">
        <is>
          <t>Somerset Refinery Somerset</t>
        </is>
      </c>
      <c r="C34" s="18" t="n">
        <v>2</v>
      </c>
      <c r="D34" s="21">
        <f>SUMIFS(Data!$G$3:$G$125,Data!$A$3:$A$125,$A34)</f>
        <v/>
      </c>
      <c r="E34" s="21">
        <f>SUMIFS(Boxes!$F$3:$F$1084,Boxes!$B$3:$B$1084,$A34,Boxes!$D$3:$D$1084,"CDU")</f>
        <v/>
      </c>
      <c r="F34" s="21">
        <f>SUMIFS(Boxes!$F$3:$F$1084,Boxes!$B$3:$B$1084,$A34,Boxes!$D$3:$D$1084,"VDU")</f>
        <v/>
      </c>
      <c r="G34" s="21">
        <f>SUMIFS(Boxes!$F$3:$F$1084,Boxes!$B$3:$B$1084,$A34,Boxes!$D$3:$D$1084,"FCC")</f>
        <v/>
      </c>
      <c r="H34" s="21">
        <f>SUMIFS(Boxes!$F$3:$F$1084,Boxes!$B$3:$B$1084,$A34,Boxes!$D$3:$D$1084,"RCC")</f>
        <v/>
      </c>
      <c r="I34" s="21">
        <f>SUMIFS(Boxes!$F$3:$F$1084,Boxes!$B$3:$B$1084,$A34,Boxes!$D$3:$D$1084,"COKER")</f>
        <v/>
      </c>
      <c r="J34" s="21">
        <f>SUMIFS(Boxes!$F$3:$F$1084,Boxes!$B$3:$B$1084,$A34,Boxes!$D$3:$D$1084,"FCOKER")</f>
        <v/>
      </c>
      <c r="K34" s="21">
        <f>SUMIFS(Boxes!$F$3:$F$1084,Boxes!$B$3:$B$1084,$A34,Boxes!$D$3:$D$1084,"DHCU")</f>
        <v/>
      </c>
      <c r="L34" s="21">
        <f>SUMIFS(Boxes!$F$3:$F$1084,Boxes!$B$3:$B$1084,$A34,Boxes!$D$3:$D$1084,"RHCU")</f>
        <v/>
      </c>
      <c r="M34" s="21">
        <f>SUMIFS(Boxes!$F$3:$F$1084,Boxes!$B$3:$B$1084,$A34,Boxes!$D$3:$D$1084,"REF")</f>
        <v/>
      </c>
      <c r="N34" s="21">
        <f>SUMIFS(Boxes!$F$3:$F$1084,Boxes!$B$3:$B$1084,$A34,Boxes!$D$3:$D$1084,"CCR")</f>
        <v/>
      </c>
      <c r="O34" s="21">
        <f>SUMIFS(Boxes!$F$3:$F$1084,Boxes!$B$3:$B$1084,$A34,Boxes!$D$3:$D$1084,"ISOM")</f>
        <v/>
      </c>
      <c r="P34" s="21">
        <f>SUMIFS(Boxes!$F$3:$F$1084,Boxes!$B$3:$B$1084,$A34,Boxes!$D$3:$D$1084,"ALKY")</f>
        <v/>
      </c>
      <c r="Q34" s="21">
        <f>SUMIFS(Boxes!$F$3:$F$1084,Boxes!$B$3:$B$1084,$A34,Boxes!$D$3:$D$1084,"NSPL")</f>
        <v/>
      </c>
      <c r="R34" s="21">
        <f>SUMIFS(Boxes!$F$3:$F$1084,Boxes!$B$3:$B$1084,$A34,Boxes!$D$3:$D$1084,"NHT")</f>
        <v/>
      </c>
    </row>
    <row r="35">
      <c r="A35" s="18" t="inlineStr">
        <is>
          <t>MPC_GALV_BAY</t>
        </is>
      </c>
      <c r="B35" s="18" t="inlineStr">
        <is>
          <t>Galveston Bay Refinery</t>
        </is>
      </c>
      <c r="C35" s="18" t="n">
        <v>3</v>
      </c>
      <c r="D35" s="21">
        <f>SUMIFS(Data!$G$3:$G$125,Data!$A$3:$A$125,$A35)</f>
        <v/>
      </c>
      <c r="E35" s="21">
        <f>SUMIFS(Boxes!$F$3:$F$1084,Boxes!$B$3:$B$1084,$A35,Boxes!$D$3:$D$1084,"CDU")</f>
        <v/>
      </c>
      <c r="F35" s="21">
        <f>SUMIFS(Boxes!$F$3:$F$1084,Boxes!$B$3:$B$1084,$A35,Boxes!$D$3:$D$1084,"VDU")</f>
        <v/>
      </c>
      <c r="G35" s="21">
        <f>SUMIFS(Boxes!$F$3:$F$1084,Boxes!$B$3:$B$1084,$A35,Boxes!$D$3:$D$1084,"FCC")</f>
        <v/>
      </c>
      <c r="H35" s="21">
        <f>SUMIFS(Boxes!$F$3:$F$1084,Boxes!$B$3:$B$1084,$A35,Boxes!$D$3:$D$1084,"RCC")</f>
        <v/>
      </c>
      <c r="I35" s="21">
        <f>SUMIFS(Boxes!$F$3:$F$1084,Boxes!$B$3:$B$1084,$A35,Boxes!$D$3:$D$1084,"COKER")</f>
        <v/>
      </c>
      <c r="J35" s="21">
        <f>SUMIFS(Boxes!$F$3:$F$1084,Boxes!$B$3:$B$1084,$A35,Boxes!$D$3:$D$1084,"FCOKER")</f>
        <v/>
      </c>
      <c r="K35" s="21">
        <f>SUMIFS(Boxes!$F$3:$F$1084,Boxes!$B$3:$B$1084,$A35,Boxes!$D$3:$D$1084,"DHCU")</f>
        <v/>
      </c>
      <c r="L35" s="21">
        <f>SUMIFS(Boxes!$F$3:$F$1084,Boxes!$B$3:$B$1084,$A35,Boxes!$D$3:$D$1084,"RHCU")</f>
        <v/>
      </c>
      <c r="M35" s="21">
        <f>SUMIFS(Boxes!$F$3:$F$1084,Boxes!$B$3:$B$1084,$A35,Boxes!$D$3:$D$1084,"REF")</f>
        <v/>
      </c>
      <c r="N35" s="21">
        <f>SUMIFS(Boxes!$F$3:$F$1084,Boxes!$B$3:$B$1084,$A35,Boxes!$D$3:$D$1084,"CCR")</f>
        <v/>
      </c>
      <c r="O35" s="21">
        <f>SUMIFS(Boxes!$F$3:$F$1084,Boxes!$B$3:$B$1084,$A35,Boxes!$D$3:$D$1084,"ISOM")</f>
        <v/>
      </c>
      <c r="P35" s="21">
        <f>SUMIFS(Boxes!$F$3:$F$1084,Boxes!$B$3:$B$1084,$A35,Boxes!$D$3:$D$1084,"ALKY")</f>
        <v/>
      </c>
      <c r="Q35" s="21">
        <f>SUMIFS(Boxes!$F$3:$F$1084,Boxes!$B$3:$B$1084,$A35,Boxes!$D$3:$D$1084,"NSPL")</f>
        <v/>
      </c>
      <c r="R35" s="21">
        <f>SUMIFS(Boxes!$F$3:$F$1084,Boxes!$B$3:$B$1084,$A35,Boxes!$D$3:$D$1084,"NHT")</f>
        <v/>
      </c>
    </row>
    <row r="36">
      <c r="A36" s="18" t="inlineStr">
        <is>
          <t>MOTIVA_PAR</t>
        </is>
      </c>
      <c r="B36" s="18" t="inlineStr">
        <is>
          <t>Motiva Port Arthur</t>
        </is>
      </c>
      <c r="C36" s="18" t="n">
        <v>3</v>
      </c>
      <c r="D36" s="21">
        <f>SUMIFS(Data!$G$3:$G$125,Data!$A$3:$A$125,$A36)</f>
        <v/>
      </c>
      <c r="E36" s="21">
        <f>SUMIFS(Boxes!$F$3:$F$1084,Boxes!$B$3:$B$1084,$A36,Boxes!$D$3:$D$1084,"CDU")</f>
        <v/>
      </c>
      <c r="F36" s="21">
        <f>SUMIFS(Boxes!$F$3:$F$1084,Boxes!$B$3:$B$1084,$A36,Boxes!$D$3:$D$1084,"VDU")</f>
        <v/>
      </c>
      <c r="G36" s="21">
        <f>SUMIFS(Boxes!$F$3:$F$1084,Boxes!$B$3:$B$1084,$A36,Boxes!$D$3:$D$1084,"FCC")</f>
        <v/>
      </c>
      <c r="H36" s="21">
        <f>SUMIFS(Boxes!$F$3:$F$1084,Boxes!$B$3:$B$1084,$A36,Boxes!$D$3:$D$1084,"RCC")</f>
        <v/>
      </c>
      <c r="I36" s="21">
        <f>SUMIFS(Boxes!$F$3:$F$1084,Boxes!$B$3:$B$1084,$A36,Boxes!$D$3:$D$1084,"COKER")</f>
        <v/>
      </c>
      <c r="J36" s="21">
        <f>SUMIFS(Boxes!$F$3:$F$1084,Boxes!$B$3:$B$1084,$A36,Boxes!$D$3:$D$1084,"FCOKER")</f>
        <v/>
      </c>
      <c r="K36" s="21">
        <f>SUMIFS(Boxes!$F$3:$F$1084,Boxes!$B$3:$B$1084,$A36,Boxes!$D$3:$D$1084,"DHCU")</f>
        <v/>
      </c>
      <c r="L36" s="21">
        <f>SUMIFS(Boxes!$F$3:$F$1084,Boxes!$B$3:$B$1084,$A36,Boxes!$D$3:$D$1084,"RHCU")</f>
        <v/>
      </c>
      <c r="M36" s="21">
        <f>SUMIFS(Boxes!$F$3:$F$1084,Boxes!$B$3:$B$1084,$A36,Boxes!$D$3:$D$1084,"REF")</f>
        <v/>
      </c>
      <c r="N36" s="21">
        <f>SUMIFS(Boxes!$F$3:$F$1084,Boxes!$B$3:$B$1084,$A36,Boxes!$D$3:$D$1084,"CCR")</f>
        <v/>
      </c>
      <c r="O36" s="21">
        <f>SUMIFS(Boxes!$F$3:$F$1084,Boxes!$B$3:$B$1084,$A36,Boxes!$D$3:$D$1084,"ISOM")</f>
        <v/>
      </c>
      <c r="P36" s="21">
        <f>SUMIFS(Boxes!$F$3:$F$1084,Boxes!$B$3:$B$1084,$A36,Boxes!$D$3:$D$1084,"ALKY")</f>
        <v/>
      </c>
      <c r="Q36" s="21">
        <f>SUMIFS(Boxes!$F$3:$F$1084,Boxes!$B$3:$B$1084,$A36,Boxes!$D$3:$D$1084,"NSPL")</f>
        <v/>
      </c>
      <c r="R36" s="21">
        <f>SUMIFS(Boxes!$F$3:$F$1084,Boxes!$B$3:$B$1084,$A36,Boxes!$D$3:$D$1084,"NHT")</f>
        <v/>
      </c>
    </row>
    <row r="37">
      <c r="A37" s="18" t="inlineStr">
        <is>
          <t>EXXONMOBIL_BEAUMONT</t>
        </is>
      </c>
      <c r="B37" s="18" t="inlineStr">
        <is>
          <t>ExxonMobil Beaumont</t>
        </is>
      </c>
      <c r="C37" s="18" t="n">
        <v>3</v>
      </c>
      <c r="D37" s="21">
        <f>SUMIFS(Data!$G$3:$G$125,Data!$A$3:$A$125,$A37)</f>
        <v/>
      </c>
      <c r="E37" s="21">
        <f>SUMIFS(Boxes!$F$3:$F$1084,Boxes!$B$3:$B$1084,$A37,Boxes!$D$3:$D$1084,"CDU")</f>
        <v/>
      </c>
      <c r="F37" s="21">
        <f>SUMIFS(Boxes!$F$3:$F$1084,Boxes!$B$3:$B$1084,$A37,Boxes!$D$3:$D$1084,"VDU")</f>
        <v/>
      </c>
      <c r="G37" s="21">
        <f>SUMIFS(Boxes!$F$3:$F$1084,Boxes!$B$3:$B$1084,$A37,Boxes!$D$3:$D$1084,"FCC")</f>
        <v/>
      </c>
      <c r="H37" s="21">
        <f>SUMIFS(Boxes!$F$3:$F$1084,Boxes!$B$3:$B$1084,$A37,Boxes!$D$3:$D$1084,"RCC")</f>
        <v/>
      </c>
      <c r="I37" s="21">
        <f>SUMIFS(Boxes!$F$3:$F$1084,Boxes!$B$3:$B$1084,$A37,Boxes!$D$3:$D$1084,"COKER")</f>
        <v/>
      </c>
      <c r="J37" s="21">
        <f>SUMIFS(Boxes!$F$3:$F$1084,Boxes!$B$3:$B$1084,$A37,Boxes!$D$3:$D$1084,"FCOKER")</f>
        <v/>
      </c>
      <c r="K37" s="21">
        <f>SUMIFS(Boxes!$F$3:$F$1084,Boxes!$B$3:$B$1084,$A37,Boxes!$D$3:$D$1084,"DHCU")</f>
        <v/>
      </c>
      <c r="L37" s="21">
        <f>SUMIFS(Boxes!$F$3:$F$1084,Boxes!$B$3:$B$1084,$A37,Boxes!$D$3:$D$1084,"RHCU")</f>
        <v/>
      </c>
      <c r="M37" s="21">
        <f>SUMIFS(Boxes!$F$3:$F$1084,Boxes!$B$3:$B$1084,$A37,Boxes!$D$3:$D$1084,"REF")</f>
        <v/>
      </c>
      <c r="N37" s="21">
        <f>SUMIFS(Boxes!$F$3:$F$1084,Boxes!$B$3:$B$1084,$A37,Boxes!$D$3:$D$1084,"CCR")</f>
        <v/>
      </c>
      <c r="O37" s="21">
        <f>SUMIFS(Boxes!$F$3:$F$1084,Boxes!$B$3:$B$1084,$A37,Boxes!$D$3:$D$1084,"ISOM")</f>
        <v/>
      </c>
      <c r="P37" s="21">
        <f>SUMIFS(Boxes!$F$3:$F$1084,Boxes!$B$3:$B$1084,$A37,Boxes!$D$3:$D$1084,"ALKY")</f>
        <v/>
      </c>
      <c r="Q37" s="21">
        <f>SUMIFS(Boxes!$F$3:$F$1084,Boxes!$B$3:$B$1084,$A37,Boxes!$D$3:$D$1084,"NSPL")</f>
        <v/>
      </c>
      <c r="R37" s="21">
        <f>SUMIFS(Boxes!$F$3:$F$1084,Boxes!$B$3:$B$1084,$A37,Boxes!$D$3:$D$1084,"NHT")</f>
        <v/>
      </c>
    </row>
    <row r="38">
      <c r="A38" s="18" t="inlineStr">
        <is>
          <t>MARATHON_GARYVILLE</t>
        </is>
      </c>
      <c r="B38" s="18" t="inlineStr">
        <is>
          <t>Marathon Petroleum Garyville</t>
        </is>
      </c>
      <c r="C38" s="18" t="n">
        <v>3</v>
      </c>
      <c r="D38" s="21">
        <f>SUMIFS(Data!$G$3:$G$125,Data!$A$3:$A$125,$A38)</f>
        <v/>
      </c>
      <c r="E38" s="21">
        <f>SUMIFS(Boxes!$F$3:$F$1084,Boxes!$B$3:$B$1084,$A38,Boxes!$D$3:$D$1084,"CDU")</f>
        <v/>
      </c>
      <c r="F38" s="21">
        <f>SUMIFS(Boxes!$F$3:$F$1084,Boxes!$B$3:$B$1084,$A38,Boxes!$D$3:$D$1084,"VDU")</f>
        <v/>
      </c>
      <c r="G38" s="21">
        <f>SUMIFS(Boxes!$F$3:$F$1084,Boxes!$B$3:$B$1084,$A38,Boxes!$D$3:$D$1084,"FCC")</f>
        <v/>
      </c>
      <c r="H38" s="21">
        <f>SUMIFS(Boxes!$F$3:$F$1084,Boxes!$B$3:$B$1084,$A38,Boxes!$D$3:$D$1084,"RCC")</f>
        <v/>
      </c>
      <c r="I38" s="21">
        <f>SUMIFS(Boxes!$F$3:$F$1084,Boxes!$B$3:$B$1084,$A38,Boxes!$D$3:$D$1084,"COKER")</f>
        <v/>
      </c>
      <c r="J38" s="21">
        <f>SUMIFS(Boxes!$F$3:$F$1084,Boxes!$B$3:$B$1084,$A38,Boxes!$D$3:$D$1084,"FCOKER")</f>
        <v/>
      </c>
      <c r="K38" s="21">
        <f>SUMIFS(Boxes!$F$3:$F$1084,Boxes!$B$3:$B$1084,$A38,Boxes!$D$3:$D$1084,"DHCU")</f>
        <v/>
      </c>
      <c r="L38" s="21">
        <f>SUMIFS(Boxes!$F$3:$F$1084,Boxes!$B$3:$B$1084,$A38,Boxes!$D$3:$D$1084,"RHCU")</f>
        <v/>
      </c>
      <c r="M38" s="21">
        <f>SUMIFS(Boxes!$F$3:$F$1084,Boxes!$B$3:$B$1084,$A38,Boxes!$D$3:$D$1084,"REF")</f>
        <v/>
      </c>
      <c r="N38" s="21">
        <f>SUMIFS(Boxes!$F$3:$F$1084,Boxes!$B$3:$B$1084,$A38,Boxes!$D$3:$D$1084,"CCR")</f>
        <v/>
      </c>
      <c r="O38" s="21">
        <f>SUMIFS(Boxes!$F$3:$F$1084,Boxes!$B$3:$B$1084,$A38,Boxes!$D$3:$D$1084,"ISOM")</f>
        <v/>
      </c>
      <c r="P38" s="21">
        <f>SUMIFS(Boxes!$F$3:$F$1084,Boxes!$B$3:$B$1084,$A38,Boxes!$D$3:$D$1084,"ALKY")</f>
        <v/>
      </c>
      <c r="Q38" s="21">
        <f>SUMIFS(Boxes!$F$3:$F$1084,Boxes!$B$3:$B$1084,$A38,Boxes!$D$3:$D$1084,"NSPL")</f>
        <v/>
      </c>
      <c r="R38" s="21">
        <f>SUMIFS(Boxes!$F$3:$F$1084,Boxes!$B$3:$B$1084,$A38,Boxes!$D$3:$D$1084,"NHT")</f>
        <v/>
      </c>
    </row>
    <row r="39">
      <c r="A39" s="18" t="inlineStr">
        <is>
          <t>XOM_BAYTOWN</t>
        </is>
      </c>
      <c r="B39" s="18" t="inlineStr">
        <is>
          <t>ExxonMobil Baytown</t>
        </is>
      </c>
      <c r="C39" s="18" t="n">
        <v>3</v>
      </c>
      <c r="D39" s="21">
        <f>SUMIFS(Data!$G$3:$G$125,Data!$A$3:$A$125,$A39)</f>
        <v/>
      </c>
      <c r="E39" s="21">
        <f>SUMIFS(Boxes!$F$3:$F$1084,Boxes!$B$3:$B$1084,$A39,Boxes!$D$3:$D$1084,"CDU")</f>
        <v/>
      </c>
      <c r="F39" s="21">
        <f>SUMIFS(Boxes!$F$3:$F$1084,Boxes!$B$3:$B$1084,$A39,Boxes!$D$3:$D$1084,"VDU")</f>
        <v/>
      </c>
      <c r="G39" s="21">
        <f>SUMIFS(Boxes!$F$3:$F$1084,Boxes!$B$3:$B$1084,$A39,Boxes!$D$3:$D$1084,"FCC")</f>
        <v/>
      </c>
      <c r="H39" s="21">
        <f>SUMIFS(Boxes!$F$3:$F$1084,Boxes!$B$3:$B$1084,$A39,Boxes!$D$3:$D$1084,"RCC")</f>
        <v/>
      </c>
      <c r="I39" s="21">
        <f>SUMIFS(Boxes!$F$3:$F$1084,Boxes!$B$3:$B$1084,$A39,Boxes!$D$3:$D$1084,"COKER")</f>
        <v/>
      </c>
      <c r="J39" s="21">
        <f>SUMIFS(Boxes!$F$3:$F$1084,Boxes!$B$3:$B$1084,$A39,Boxes!$D$3:$D$1084,"FCOKER")</f>
        <v/>
      </c>
      <c r="K39" s="21">
        <f>SUMIFS(Boxes!$F$3:$F$1084,Boxes!$B$3:$B$1084,$A39,Boxes!$D$3:$D$1084,"DHCU")</f>
        <v/>
      </c>
      <c r="L39" s="21">
        <f>SUMIFS(Boxes!$F$3:$F$1084,Boxes!$B$3:$B$1084,$A39,Boxes!$D$3:$D$1084,"RHCU")</f>
        <v/>
      </c>
      <c r="M39" s="21">
        <f>SUMIFS(Boxes!$F$3:$F$1084,Boxes!$B$3:$B$1084,$A39,Boxes!$D$3:$D$1084,"REF")</f>
        <v/>
      </c>
      <c r="N39" s="21">
        <f>SUMIFS(Boxes!$F$3:$F$1084,Boxes!$B$3:$B$1084,$A39,Boxes!$D$3:$D$1084,"CCR")</f>
        <v/>
      </c>
      <c r="O39" s="21">
        <f>SUMIFS(Boxes!$F$3:$F$1084,Boxes!$B$3:$B$1084,$A39,Boxes!$D$3:$D$1084,"ISOM")</f>
        <v/>
      </c>
      <c r="P39" s="21">
        <f>SUMIFS(Boxes!$F$3:$F$1084,Boxes!$B$3:$B$1084,$A39,Boxes!$D$3:$D$1084,"ALKY")</f>
        <v/>
      </c>
      <c r="Q39" s="21">
        <f>SUMIFS(Boxes!$F$3:$F$1084,Boxes!$B$3:$B$1084,$A39,Boxes!$D$3:$D$1084,"NSPL")</f>
        <v/>
      </c>
      <c r="R39" s="21">
        <f>SUMIFS(Boxes!$F$3:$F$1084,Boxes!$B$3:$B$1084,$A39,Boxes!$D$3:$D$1084,"NHT")</f>
        <v/>
      </c>
    </row>
    <row r="40">
      <c r="A40" s="18" t="inlineStr">
        <is>
          <t>EXXONMOBIL_BATON_ROUGE</t>
        </is>
      </c>
      <c r="B40" s="18" t="inlineStr">
        <is>
          <t>ExxonMobil Baton Rouge</t>
        </is>
      </c>
      <c r="C40" s="18" t="n">
        <v>3</v>
      </c>
      <c r="D40" s="21">
        <f>SUMIFS(Data!$G$3:$G$125,Data!$A$3:$A$125,$A40)</f>
        <v/>
      </c>
      <c r="E40" s="21">
        <f>SUMIFS(Boxes!$F$3:$F$1084,Boxes!$B$3:$B$1084,$A40,Boxes!$D$3:$D$1084,"CDU")</f>
        <v/>
      </c>
      <c r="F40" s="21">
        <f>SUMIFS(Boxes!$F$3:$F$1084,Boxes!$B$3:$B$1084,$A40,Boxes!$D$3:$D$1084,"VDU")</f>
        <v/>
      </c>
      <c r="G40" s="21">
        <f>SUMIFS(Boxes!$F$3:$F$1084,Boxes!$B$3:$B$1084,$A40,Boxes!$D$3:$D$1084,"FCC")</f>
        <v/>
      </c>
      <c r="H40" s="21">
        <f>SUMIFS(Boxes!$F$3:$F$1084,Boxes!$B$3:$B$1084,$A40,Boxes!$D$3:$D$1084,"RCC")</f>
        <v/>
      </c>
      <c r="I40" s="21">
        <f>SUMIFS(Boxes!$F$3:$F$1084,Boxes!$B$3:$B$1084,$A40,Boxes!$D$3:$D$1084,"COKER")</f>
        <v/>
      </c>
      <c r="J40" s="21">
        <f>SUMIFS(Boxes!$F$3:$F$1084,Boxes!$B$3:$B$1084,$A40,Boxes!$D$3:$D$1084,"FCOKER")</f>
        <v/>
      </c>
      <c r="K40" s="21">
        <f>SUMIFS(Boxes!$F$3:$F$1084,Boxes!$B$3:$B$1084,$A40,Boxes!$D$3:$D$1084,"DHCU")</f>
        <v/>
      </c>
      <c r="L40" s="21">
        <f>SUMIFS(Boxes!$F$3:$F$1084,Boxes!$B$3:$B$1084,$A40,Boxes!$D$3:$D$1084,"RHCU")</f>
        <v/>
      </c>
      <c r="M40" s="21">
        <f>SUMIFS(Boxes!$F$3:$F$1084,Boxes!$B$3:$B$1084,$A40,Boxes!$D$3:$D$1084,"REF")</f>
        <v/>
      </c>
      <c r="N40" s="21">
        <f>SUMIFS(Boxes!$F$3:$F$1084,Boxes!$B$3:$B$1084,$A40,Boxes!$D$3:$D$1084,"CCR")</f>
        <v/>
      </c>
      <c r="O40" s="21">
        <f>SUMIFS(Boxes!$F$3:$F$1084,Boxes!$B$3:$B$1084,$A40,Boxes!$D$3:$D$1084,"ISOM")</f>
        <v/>
      </c>
      <c r="P40" s="21">
        <f>SUMIFS(Boxes!$F$3:$F$1084,Boxes!$B$3:$B$1084,$A40,Boxes!$D$3:$D$1084,"ALKY")</f>
        <v/>
      </c>
      <c r="Q40" s="21">
        <f>SUMIFS(Boxes!$F$3:$F$1084,Boxes!$B$3:$B$1084,$A40,Boxes!$D$3:$D$1084,"NSPL")</f>
        <v/>
      </c>
      <c r="R40" s="21">
        <f>SUMIFS(Boxes!$F$3:$F$1084,Boxes!$B$3:$B$1084,$A40,Boxes!$D$3:$D$1084,"NHT")</f>
        <v/>
      </c>
    </row>
    <row r="41">
      <c r="A41" s="18" t="inlineStr">
        <is>
          <t>CITGO_LAKE_CHARLES</t>
        </is>
      </c>
      <c r="B41" s="18" t="inlineStr">
        <is>
          <t>Citgo Lake Charles</t>
        </is>
      </c>
      <c r="C41" s="18" t="n">
        <v>3</v>
      </c>
      <c r="D41" s="21">
        <f>SUMIFS(Data!$G$3:$G$125,Data!$A$3:$A$125,$A41)</f>
        <v/>
      </c>
      <c r="E41" s="21">
        <f>SUMIFS(Boxes!$F$3:$F$1084,Boxes!$B$3:$B$1084,$A41,Boxes!$D$3:$D$1084,"CDU")</f>
        <v/>
      </c>
      <c r="F41" s="21">
        <f>SUMIFS(Boxes!$F$3:$F$1084,Boxes!$B$3:$B$1084,$A41,Boxes!$D$3:$D$1084,"VDU")</f>
        <v/>
      </c>
      <c r="G41" s="21">
        <f>SUMIFS(Boxes!$F$3:$F$1084,Boxes!$B$3:$B$1084,$A41,Boxes!$D$3:$D$1084,"FCC")</f>
        <v/>
      </c>
      <c r="H41" s="21">
        <f>SUMIFS(Boxes!$F$3:$F$1084,Boxes!$B$3:$B$1084,$A41,Boxes!$D$3:$D$1084,"RCC")</f>
        <v/>
      </c>
      <c r="I41" s="21">
        <f>SUMIFS(Boxes!$F$3:$F$1084,Boxes!$B$3:$B$1084,$A41,Boxes!$D$3:$D$1084,"COKER")</f>
        <v/>
      </c>
      <c r="J41" s="21">
        <f>SUMIFS(Boxes!$F$3:$F$1084,Boxes!$B$3:$B$1084,$A41,Boxes!$D$3:$D$1084,"FCOKER")</f>
        <v/>
      </c>
      <c r="K41" s="21">
        <f>SUMIFS(Boxes!$F$3:$F$1084,Boxes!$B$3:$B$1084,$A41,Boxes!$D$3:$D$1084,"DHCU")</f>
        <v/>
      </c>
      <c r="L41" s="21">
        <f>SUMIFS(Boxes!$F$3:$F$1084,Boxes!$B$3:$B$1084,$A41,Boxes!$D$3:$D$1084,"RHCU")</f>
        <v/>
      </c>
      <c r="M41" s="21">
        <f>SUMIFS(Boxes!$F$3:$F$1084,Boxes!$B$3:$B$1084,$A41,Boxes!$D$3:$D$1084,"REF")</f>
        <v/>
      </c>
      <c r="N41" s="21">
        <f>SUMIFS(Boxes!$F$3:$F$1084,Boxes!$B$3:$B$1084,$A41,Boxes!$D$3:$D$1084,"CCR")</f>
        <v/>
      </c>
      <c r="O41" s="21">
        <f>SUMIFS(Boxes!$F$3:$F$1084,Boxes!$B$3:$B$1084,$A41,Boxes!$D$3:$D$1084,"ISOM")</f>
        <v/>
      </c>
      <c r="P41" s="21">
        <f>SUMIFS(Boxes!$F$3:$F$1084,Boxes!$B$3:$B$1084,$A41,Boxes!$D$3:$D$1084,"ALKY")</f>
        <v/>
      </c>
      <c r="Q41" s="21">
        <f>SUMIFS(Boxes!$F$3:$F$1084,Boxes!$B$3:$B$1084,$A41,Boxes!$D$3:$D$1084,"NSPL")</f>
        <v/>
      </c>
      <c r="R41" s="21">
        <f>SUMIFS(Boxes!$F$3:$F$1084,Boxes!$B$3:$B$1084,$A41,Boxes!$D$3:$D$1084,"NHT")</f>
        <v/>
      </c>
    </row>
    <row r="42">
      <c r="A42" s="18" t="inlineStr">
        <is>
          <t>VALERO_PORT_ARTHUR</t>
        </is>
      </c>
      <c r="B42" s="18" t="inlineStr">
        <is>
          <t>Valero Port Arthur</t>
        </is>
      </c>
      <c r="C42" s="18" t="n">
        <v>3</v>
      </c>
      <c r="D42" s="21">
        <f>SUMIFS(Data!$G$3:$G$125,Data!$A$3:$A$125,$A42)</f>
        <v/>
      </c>
      <c r="E42" s="21">
        <f>SUMIFS(Boxes!$F$3:$F$1084,Boxes!$B$3:$B$1084,$A42,Boxes!$D$3:$D$1084,"CDU")</f>
        <v/>
      </c>
      <c r="F42" s="21">
        <f>SUMIFS(Boxes!$F$3:$F$1084,Boxes!$B$3:$B$1084,$A42,Boxes!$D$3:$D$1084,"VDU")</f>
        <v/>
      </c>
      <c r="G42" s="21">
        <f>SUMIFS(Boxes!$F$3:$F$1084,Boxes!$B$3:$B$1084,$A42,Boxes!$D$3:$D$1084,"FCC")</f>
        <v/>
      </c>
      <c r="H42" s="21">
        <f>SUMIFS(Boxes!$F$3:$F$1084,Boxes!$B$3:$B$1084,$A42,Boxes!$D$3:$D$1084,"RCC")</f>
        <v/>
      </c>
      <c r="I42" s="21">
        <f>SUMIFS(Boxes!$F$3:$F$1084,Boxes!$B$3:$B$1084,$A42,Boxes!$D$3:$D$1084,"COKER")</f>
        <v/>
      </c>
      <c r="J42" s="21">
        <f>SUMIFS(Boxes!$F$3:$F$1084,Boxes!$B$3:$B$1084,$A42,Boxes!$D$3:$D$1084,"FCOKER")</f>
        <v/>
      </c>
      <c r="K42" s="21">
        <f>SUMIFS(Boxes!$F$3:$F$1084,Boxes!$B$3:$B$1084,$A42,Boxes!$D$3:$D$1084,"DHCU")</f>
        <v/>
      </c>
      <c r="L42" s="21">
        <f>SUMIFS(Boxes!$F$3:$F$1084,Boxes!$B$3:$B$1084,$A42,Boxes!$D$3:$D$1084,"RHCU")</f>
        <v/>
      </c>
      <c r="M42" s="21">
        <f>SUMIFS(Boxes!$F$3:$F$1084,Boxes!$B$3:$B$1084,$A42,Boxes!$D$3:$D$1084,"REF")</f>
        <v/>
      </c>
      <c r="N42" s="21">
        <f>SUMIFS(Boxes!$F$3:$F$1084,Boxes!$B$3:$B$1084,$A42,Boxes!$D$3:$D$1084,"CCR")</f>
        <v/>
      </c>
      <c r="O42" s="21">
        <f>SUMIFS(Boxes!$F$3:$F$1084,Boxes!$B$3:$B$1084,$A42,Boxes!$D$3:$D$1084,"ISOM")</f>
        <v/>
      </c>
      <c r="P42" s="21">
        <f>SUMIFS(Boxes!$F$3:$F$1084,Boxes!$B$3:$B$1084,$A42,Boxes!$D$3:$D$1084,"ALKY")</f>
        <v/>
      </c>
      <c r="Q42" s="21">
        <f>SUMIFS(Boxes!$F$3:$F$1084,Boxes!$B$3:$B$1084,$A42,Boxes!$D$3:$D$1084,"NSPL")</f>
        <v/>
      </c>
      <c r="R42" s="21">
        <f>SUMIFS(Boxes!$F$3:$F$1084,Boxes!$B$3:$B$1084,$A42,Boxes!$D$3:$D$1084,"NHT")</f>
        <v/>
      </c>
    </row>
    <row r="43">
      <c r="A43" s="18" t="inlineStr">
        <is>
          <t>CHEVRON_PASCAGOULA</t>
        </is>
      </c>
      <c r="B43" s="18" t="inlineStr">
        <is>
          <t>Chevron Pascagoula</t>
        </is>
      </c>
      <c r="C43" s="18" t="n">
        <v>3</v>
      </c>
      <c r="D43" s="21">
        <f>SUMIFS(Data!$G$3:$G$125,Data!$A$3:$A$125,$A43)</f>
        <v/>
      </c>
      <c r="E43" s="21">
        <f>SUMIFS(Boxes!$F$3:$F$1084,Boxes!$B$3:$B$1084,$A43,Boxes!$D$3:$D$1084,"CDU")</f>
        <v/>
      </c>
      <c r="F43" s="21">
        <f>SUMIFS(Boxes!$F$3:$F$1084,Boxes!$B$3:$B$1084,$A43,Boxes!$D$3:$D$1084,"VDU")</f>
        <v/>
      </c>
      <c r="G43" s="21">
        <f>SUMIFS(Boxes!$F$3:$F$1084,Boxes!$B$3:$B$1084,$A43,Boxes!$D$3:$D$1084,"FCC")</f>
        <v/>
      </c>
      <c r="H43" s="21">
        <f>SUMIFS(Boxes!$F$3:$F$1084,Boxes!$B$3:$B$1084,$A43,Boxes!$D$3:$D$1084,"RCC")</f>
        <v/>
      </c>
      <c r="I43" s="21">
        <f>SUMIFS(Boxes!$F$3:$F$1084,Boxes!$B$3:$B$1084,$A43,Boxes!$D$3:$D$1084,"COKER")</f>
        <v/>
      </c>
      <c r="J43" s="21">
        <f>SUMIFS(Boxes!$F$3:$F$1084,Boxes!$B$3:$B$1084,$A43,Boxes!$D$3:$D$1084,"FCOKER")</f>
        <v/>
      </c>
      <c r="K43" s="21">
        <f>SUMIFS(Boxes!$F$3:$F$1084,Boxes!$B$3:$B$1084,$A43,Boxes!$D$3:$D$1084,"DHCU")</f>
        <v/>
      </c>
      <c r="L43" s="21">
        <f>SUMIFS(Boxes!$F$3:$F$1084,Boxes!$B$3:$B$1084,$A43,Boxes!$D$3:$D$1084,"RHCU")</f>
        <v/>
      </c>
      <c r="M43" s="21">
        <f>SUMIFS(Boxes!$F$3:$F$1084,Boxes!$B$3:$B$1084,$A43,Boxes!$D$3:$D$1084,"REF")</f>
        <v/>
      </c>
      <c r="N43" s="21">
        <f>SUMIFS(Boxes!$F$3:$F$1084,Boxes!$B$3:$B$1084,$A43,Boxes!$D$3:$D$1084,"CCR")</f>
        <v/>
      </c>
      <c r="O43" s="21">
        <f>SUMIFS(Boxes!$F$3:$F$1084,Boxes!$B$3:$B$1084,$A43,Boxes!$D$3:$D$1084,"ISOM")</f>
        <v/>
      </c>
      <c r="P43" s="21">
        <f>SUMIFS(Boxes!$F$3:$F$1084,Boxes!$B$3:$B$1084,$A43,Boxes!$D$3:$D$1084,"ALKY")</f>
        <v/>
      </c>
      <c r="Q43" s="21">
        <f>SUMIFS(Boxes!$F$3:$F$1084,Boxes!$B$3:$B$1084,$A43,Boxes!$D$3:$D$1084,"NSPL")</f>
        <v/>
      </c>
      <c r="R43" s="21">
        <f>SUMIFS(Boxes!$F$3:$F$1084,Boxes!$B$3:$B$1084,$A43,Boxes!$D$3:$D$1084,"NHT")</f>
        <v/>
      </c>
    </row>
    <row r="44">
      <c r="A44" s="18" t="inlineStr">
        <is>
          <t>PEMEX_DEER_PARK</t>
        </is>
      </c>
      <c r="B44" s="18" t="inlineStr">
        <is>
          <t>PEMEX Deer Park</t>
        </is>
      </c>
      <c r="C44" s="18" t="n">
        <v>3</v>
      </c>
      <c r="D44" s="21">
        <f>SUMIFS(Data!$G$3:$G$125,Data!$A$3:$A$125,$A44)</f>
        <v/>
      </c>
      <c r="E44" s="21">
        <f>SUMIFS(Boxes!$F$3:$F$1084,Boxes!$B$3:$B$1084,$A44,Boxes!$D$3:$D$1084,"CDU")</f>
        <v/>
      </c>
      <c r="F44" s="21">
        <f>SUMIFS(Boxes!$F$3:$F$1084,Boxes!$B$3:$B$1084,$A44,Boxes!$D$3:$D$1084,"VDU")</f>
        <v/>
      </c>
      <c r="G44" s="21">
        <f>SUMIFS(Boxes!$F$3:$F$1084,Boxes!$B$3:$B$1084,$A44,Boxes!$D$3:$D$1084,"FCC")</f>
        <v/>
      </c>
      <c r="H44" s="21">
        <f>SUMIFS(Boxes!$F$3:$F$1084,Boxes!$B$3:$B$1084,$A44,Boxes!$D$3:$D$1084,"RCC")</f>
        <v/>
      </c>
      <c r="I44" s="21">
        <f>SUMIFS(Boxes!$F$3:$F$1084,Boxes!$B$3:$B$1084,$A44,Boxes!$D$3:$D$1084,"COKER")</f>
        <v/>
      </c>
      <c r="J44" s="21">
        <f>SUMIFS(Boxes!$F$3:$F$1084,Boxes!$B$3:$B$1084,$A44,Boxes!$D$3:$D$1084,"FCOKER")</f>
        <v/>
      </c>
      <c r="K44" s="21">
        <f>SUMIFS(Boxes!$F$3:$F$1084,Boxes!$B$3:$B$1084,$A44,Boxes!$D$3:$D$1084,"DHCU")</f>
        <v/>
      </c>
      <c r="L44" s="21">
        <f>SUMIFS(Boxes!$F$3:$F$1084,Boxes!$B$3:$B$1084,$A44,Boxes!$D$3:$D$1084,"RHCU")</f>
        <v/>
      </c>
      <c r="M44" s="21">
        <f>SUMIFS(Boxes!$F$3:$F$1084,Boxes!$B$3:$B$1084,$A44,Boxes!$D$3:$D$1084,"REF")</f>
        <v/>
      </c>
      <c r="N44" s="21">
        <f>SUMIFS(Boxes!$F$3:$F$1084,Boxes!$B$3:$B$1084,$A44,Boxes!$D$3:$D$1084,"CCR")</f>
        <v/>
      </c>
      <c r="O44" s="21">
        <f>SUMIFS(Boxes!$F$3:$F$1084,Boxes!$B$3:$B$1084,$A44,Boxes!$D$3:$D$1084,"ISOM")</f>
        <v/>
      </c>
      <c r="P44" s="21">
        <f>SUMIFS(Boxes!$F$3:$F$1084,Boxes!$B$3:$B$1084,$A44,Boxes!$D$3:$D$1084,"ALKY")</f>
        <v/>
      </c>
      <c r="Q44" s="21">
        <f>SUMIFS(Boxes!$F$3:$F$1084,Boxes!$B$3:$B$1084,$A44,Boxes!$D$3:$D$1084,"NSPL")</f>
        <v/>
      </c>
      <c r="R44" s="21">
        <f>SUMIFS(Boxes!$F$3:$F$1084,Boxes!$B$3:$B$1084,$A44,Boxes!$D$3:$D$1084,"NHT")</f>
        <v/>
      </c>
    </row>
    <row r="45">
      <c r="A45" s="18" t="inlineStr">
        <is>
          <t>FLINT_CORPUS_CHRISTI</t>
        </is>
      </c>
      <c r="B45" s="18" t="inlineStr">
        <is>
          <t>Flint Hills Resources Corpus Christi</t>
        </is>
      </c>
      <c r="C45" s="18" t="n">
        <v>3</v>
      </c>
      <c r="D45" s="21">
        <f>SUMIFS(Data!$G$3:$G$125,Data!$A$3:$A$125,$A45)</f>
        <v/>
      </c>
      <c r="E45" s="21">
        <f>SUMIFS(Boxes!$F$3:$F$1084,Boxes!$B$3:$B$1084,$A45,Boxes!$D$3:$D$1084,"CDU")</f>
        <v/>
      </c>
      <c r="F45" s="21">
        <f>SUMIFS(Boxes!$F$3:$F$1084,Boxes!$B$3:$B$1084,$A45,Boxes!$D$3:$D$1084,"VDU")</f>
        <v/>
      </c>
      <c r="G45" s="21">
        <f>SUMIFS(Boxes!$F$3:$F$1084,Boxes!$B$3:$B$1084,$A45,Boxes!$D$3:$D$1084,"FCC")</f>
        <v/>
      </c>
      <c r="H45" s="21">
        <f>SUMIFS(Boxes!$F$3:$F$1084,Boxes!$B$3:$B$1084,$A45,Boxes!$D$3:$D$1084,"RCC")</f>
        <v/>
      </c>
      <c r="I45" s="21">
        <f>SUMIFS(Boxes!$F$3:$F$1084,Boxes!$B$3:$B$1084,$A45,Boxes!$D$3:$D$1084,"COKER")</f>
        <v/>
      </c>
      <c r="J45" s="21">
        <f>SUMIFS(Boxes!$F$3:$F$1084,Boxes!$B$3:$B$1084,$A45,Boxes!$D$3:$D$1084,"FCOKER")</f>
        <v/>
      </c>
      <c r="K45" s="21">
        <f>SUMIFS(Boxes!$F$3:$F$1084,Boxes!$B$3:$B$1084,$A45,Boxes!$D$3:$D$1084,"DHCU")</f>
        <v/>
      </c>
      <c r="L45" s="21">
        <f>SUMIFS(Boxes!$F$3:$F$1084,Boxes!$B$3:$B$1084,$A45,Boxes!$D$3:$D$1084,"RHCU")</f>
        <v/>
      </c>
      <c r="M45" s="21">
        <f>SUMIFS(Boxes!$F$3:$F$1084,Boxes!$B$3:$B$1084,$A45,Boxes!$D$3:$D$1084,"REF")</f>
        <v/>
      </c>
      <c r="N45" s="21">
        <f>SUMIFS(Boxes!$F$3:$F$1084,Boxes!$B$3:$B$1084,$A45,Boxes!$D$3:$D$1084,"CCR")</f>
        <v/>
      </c>
      <c r="O45" s="21">
        <f>SUMIFS(Boxes!$F$3:$F$1084,Boxes!$B$3:$B$1084,$A45,Boxes!$D$3:$D$1084,"ISOM")</f>
        <v/>
      </c>
      <c r="P45" s="21">
        <f>SUMIFS(Boxes!$F$3:$F$1084,Boxes!$B$3:$B$1084,$A45,Boxes!$D$3:$D$1084,"ALKY")</f>
        <v/>
      </c>
      <c r="Q45" s="21">
        <f>SUMIFS(Boxes!$F$3:$F$1084,Boxes!$B$3:$B$1084,$A45,Boxes!$D$3:$D$1084,"NSPL")</f>
        <v/>
      </c>
      <c r="R45" s="21">
        <f>SUMIFS(Boxes!$F$3:$F$1084,Boxes!$B$3:$B$1084,$A45,Boxes!$D$3:$D$1084,"NHT")</f>
        <v/>
      </c>
    </row>
    <row r="46">
      <c r="A46" s="18" t="inlineStr">
        <is>
          <t>VALERO_CORPUS_CHRISTI</t>
        </is>
      </c>
      <c r="B46" s="18" t="inlineStr">
        <is>
          <t>Valero Corpus Christi</t>
        </is>
      </c>
      <c r="C46" s="18" t="n">
        <v>3</v>
      </c>
      <c r="D46" s="21">
        <f>SUMIFS(Data!$G$3:$G$125,Data!$A$3:$A$125,$A46)</f>
        <v/>
      </c>
      <c r="E46" s="21">
        <f>SUMIFS(Boxes!$F$3:$F$1084,Boxes!$B$3:$B$1084,$A46,Boxes!$D$3:$D$1084,"CDU")</f>
        <v/>
      </c>
      <c r="F46" s="21">
        <f>SUMIFS(Boxes!$F$3:$F$1084,Boxes!$B$3:$B$1084,$A46,Boxes!$D$3:$D$1084,"VDU")</f>
        <v/>
      </c>
      <c r="G46" s="21">
        <f>SUMIFS(Boxes!$F$3:$F$1084,Boxes!$B$3:$B$1084,$A46,Boxes!$D$3:$D$1084,"FCC")</f>
        <v/>
      </c>
      <c r="H46" s="21">
        <f>SUMIFS(Boxes!$F$3:$F$1084,Boxes!$B$3:$B$1084,$A46,Boxes!$D$3:$D$1084,"RCC")</f>
        <v/>
      </c>
      <c r="I46" s="21">
        <f>SUMIFS(Boxes!$F$3:$F$1084,Boxes!$B$3:$B$1084,$A46,Boxes!$D$3:$D$1084,"COKER")</f>
        <v/>
      </c>
      <c r="J46" s="21">
        <f>SUMIFS(Boxes!$F$3:$F$1084,Boxes!$B$3:$B$1084,$A46,Boxes!$D$3:$D$1084,"FCOKER")</f>
        <v/>
      </c>
      <c r="K46" s="21">
        <f>SUMIFS(Boxes!$F$3:$F$1084,Boxes!$B$3:$B$1084,$A46,Boxes!$D$3:$D$1084,"DHCU")</f>
        <v/>
      </c>
      <c r="L46" s="21">
        <f>SUMIFS(Boxes!$F$3:$F$1084,Boxes!$B$3:$B$1084,$A46,Boxes!$D$3:$D$1084,"RHCU")</f>
        <v/>
      </c>
      <c r="M46" s="21">
        <f>SUMIFS(Boxes!$F$3:$F$1084,Boxes!$B$3:$B$1084,$A46,Boxes!$D$3:$D$1084,"REF")</f>
        <v/>
      </c>
      <c r="N46" s="21">
        <f>SUMIFS(Boxes!$F$3:$F$1084,Boxes!$B$3:$B$1084,$A46,Boxes!$D$3:$D$1084,"CCR")</f>
        <v/>
      </c>
      <c r="O46" s="21">
        <f>SUMIFS(Boxes!$F$3:$F$1084,Boxes!$B$3:$B$1084,$A46,Boxes!$D$3:$D$1084,"ISOM")</f>
        <v/>
      </c>
      <c r="P46" s="21">
        <f>SUMIFS(Boxes!$F$3:$F$1084,Boxes!$B$3:$B$1084,$A46,Boxes!$D$3:$D$1084,"ALKY")</f>
        <v/>
      </c>
      <c r="Q46" s="21">
        <f>SUMIFS(Boxes!$F$3:$F$1084,Boxes!$B$3:$B$1084,$A46,Boxes!$D$3:$D$1084,"NSPL")</f>
        <v/>
      </c>
      <c r="R46" s="21">
        <f>SUMIFS(Boxes!$F$3:$F$1084,Boxes!$B$3:$B$1084,$A46,Boxes!$D$3:$D$1084,"NHT")</f>
        <v/>
      </c>
    </row>
    <row r="47">
      <c r="A47" s="18" t="inlineStr">
        <is>
          <t>PHILLIPS_WESTLAKE</t>
        </is>
      </c>
      <c r="B47" s="18" t="inlineStr">
        <is>
          <t>Phillips 66 Co. Westlake</t>
        </is>
      </c>
      <c r="C47" s="18" t="n">
        <v>3</v>
      </c>
      <c r="D47" s="21">
        <f>SUMIFS(Data!$G$3:$G$125,Data!$A$3:$A$125,$A47)</f>
        <v/>
      </c>
      <c r="E47" s="21">
        <f>SUMIFS(Boxes!$F$3:$F$1084,Boxes!$B$3:$B$1084,$A47,Boxes!$D$3:$D$1084,"CDU")</f>
        <v/>
      </c>
      <c r="F47" s="21">
        <f>SUMIFS(Boxes!$F$3:$F$1084,Boxes!$B$3:$B$1084,$A47,Boxes!$D$3:$D$1084,"VDU")</f>
        <v/>
      </c>
      <c r="G47" s="21">
        <f>SUMIFS(Boxes!$F$3:$F$1084,Boxes!$B$3:$B$1084,$A47,Boxes!$D$3:$D$1084,"FCC")</f>
        <v/>
      </c>
      <c r="H47" s="21">
        <f>SUMIFS(Boxes!$F$3:$F$1084,Boxes!$B$3:$B$1084,$A47,Boxes!$D$3:$D$1084,"RCC")</f>
        <v/>
      </c>
      <c r="I47" s="21">
        <f>SUMIFS(Boxes!$F$3:$F$1084,Boxes!$B$3:$B$1084,$A47,Boxes!$D$3:$D$1084,"COKER")</f>
        <v/>
      </c>
      <c r="J47" s="21">
        <f>SUMIFS(Boxes!$F$3:$F$1084,Boxes!$B$3:$B$1084,$A47,Boxes!$D$3:$D$1084,"FCOKER")</f>
        <v/>
      </c>
      <c r="K47" s="21">
        <f>SUMIFS(Boxes!$F$3:$F$1084,Boxes!$B$3:$B$1084,$A47,Boxes!$D$3:$D$1084,"DHCU")</f>
        <v/>
      </c>
      <c r="L47" s="21">
        <f>SUMIFS(Boxes!$F$3:$F$1084,Boxes!$B$3:$B$1084,$A47,Boxes!$D$3:$D$1084,"RHCU")</f>
        <v/>
      </c>
      <c r="M47" s="21">
        <f>SUMIFS(Boxes!$F$3:$F$1084,Boxes!$B$3:$B$1084,$A47,Boxes!$D$3:$D$1084,"REF")</f>
        <v/>
      </c>
      <c r="N47" s="21">
        <f>SUMIFS(Boxes!$F$3:$F$1084,Boxes!$B$3:$B$1084,$A47,Boxes!$D$3:$D$1084,"CCR")</f>
        <v/>
      </c>
      <c r="O47" s="21">
        <f>SUMIFS(Boxes!$F$3:$F$1084,Boxes!$B$3:$B$1084,$A47,Boxes!$D$3:$D$1084,"ISOM")</f>
        <v/>
      </c>
      <c r="P47" s="21">
        <f>SUMIFS(Boxes!$F$3:$F$1084,Boxes!$B$3:$B$1084,$A47,Boxes!$D$3:$D$1084,"ALKY")</f>
        <v/>
      </c>
      <c r="Q47" s="21">
        <f>SUMIFS(Boxes!$F$3:$F$1084,Boxes!$B$3:$B$1084,$A47,Boxes!$D$3:$D$1084,"NSPL")</f>
        <v/>
      </c>
      <c r="R47" s="21">
        <f>SUMIFS(Boxes!$F$3:$F$1084,Boxes!$B$3:$B$1084,$A47,Boxes!$D$3:$D$1084,"NHT")</f>
        <v/>
      </c>
    </row>
    <row r="48">
      <c r="A48" s="18" t="inlineStr">
        <is>
          <t>PHILLIPS_SWEENY</t>
        </is>
      </c>
      <c r="B48" s="18" t="inlineStr">
        <is>
          <t>Phillips 66 Co. Sweeny</t>
        </is>
      </c>
      <c r="C48" s="18" t="n">
        <v>3</v>
      </c>
      <c r="D48" s="21">
        <f>SUMIFS(Data!$G$3:$G$125,Data!$A$3:$A$125,$A48)</f>
        <v/>
      </c>
      <c r="E48" s="21">
        <f>SUMIFS(Boxes!$F$3:$F$1084,Boxes!$B$3:$B$1084,$A48,Boxes!$D$3:$D$1084,"CDU")</f>
        <v/>
      </c>
      <c r="F48" s="21">
        <f>SUMIFS(Boxes!$F$3:$F$1084,Boxes!$B$3:$B$1084,$A48,Boxes!$D$3:$D$1084,"VDU")</f>
        <v/>
      </c>
      <c r="G48" s="21">
        <f>SUMIFS(Boxes!$F$3:$F$1084,Boxes!$B$3:$B$1084,$A48,Boxes!$D$3:$D$1084,"FCC")</f>
        <v/>
      </c>
      <c r="H48" s="21">
        <f>SUMIFS(Boxes!$F$3:$F$1084,Boxes!$B$3:$B$1084,$A48,Boxes!$D$3:$D$1084,"RCC")</f>
        <v/>
      </c>
      <c r="I48" s="21">
        <f>SUMIFS(Boxes!$F$3:$F$1084,Boxes!$B$3:$B$1084,$A48,Boxes!$D$3:$D$1084,"COKER")</f>
        <v/>
      </c>
      <c r="J48" s="21">
        <f>SUMIFS(Boxes!$F$3:$F$1084,Boxes!$B$3:$B$1084,$A48,Boxes!$D$3:$D$1084,"FCOKER")</f>
        <v/>
      </c>
      <c r="K48" s="21">
        <f>SUMIFS(Boxes!$F$3:$F$1084,Boxes!$B$3:$B$1084,$A48,Boxes!$D$3:$D$1084,"DHCU")</f>
        <v/>
      </c>
      <c r="L48" s="21">
        <f>SUMIFS(Boxes!$F$3:$F$1084,Boxes!$B$3:$B$1084,$A48,Boxes!$D$3:$D$1084,"RHCU")</f>
        <v/>
      </c>
      <c r="M48" s="21">
        <f>SUMIFS(Boxes!$F$3:$F$1084,Boxes!$B$3:$B$1084,$A48,Boxes!$D$3:$D$1084,"REF")</f>
        <v/>
      </c>
      <c r="N48" s="21">
        <f>SUMIFS(Boxes!$F$3:$F$1084,Boxes!$B$3:$B$1084,$A48,Boxes!$D$3:$D$1084,"CCR")</f>
        <v/>
      </c>
      <c r="O48" s="21">
        <f>SUMIFS(Boxes!$F$3:$F$1084,Boxes!$B$3:$B$1084,$A48,Boxes!$D$3:$D$1084,"ISOM")</f>
        <v/>
      </c>
      <c r="P48" s="21">
        <f>SUMIFS(Boxes!$F$3:$F$1084,Boxes!$B$3:$B$1084,$A48,Boxes!$D$3:$D$1084,"ALKY")</f>
        <v/>
      </c>
      <c r="Q48" s="21">
        <f>SUMIFS(Boxes!$F$3:$F$1084,Boxes!$B$3:$B$1084,$A48,Boxes!$D$3:$D$1084,"NSPL")</f>
        <v/>
      </c>
      <c r="R48" s="21">
        <f>SUMIFS(Boxes!$F$3:$F$1084,Boxes!$B$3:$B$1084,$A48,Boxes!$D$3:$D$1084,"NHT")</f>
        <v/>
      </c>
    </row>
    <row r="49">
      <c r="A49" s="18" t="inlineStr">
        <is>
          <t>VALERO_TEXAS_CITY</t>
        </is>
      </c>
      <c r="B49" s="18" t="inlineStr">
        <is>
          <t>Valero Texas City</t>
        </is>
      </c>
      <c r="C49" s="18" t="n">
        <v>3</v>
      </c>
      <c r="D49" s="21">
        <f>SUMIFS(Data!$G$3:$G$125,Data!$A$3:$A$125,$A49)</f>
        <v/>
      </c>
      <c r="E49" s="21">
        <f>SUMIFS(Boxes!$F$3:$F$1084,Boxes!$B$3:$B$1084,$A49,Boxes!$D$3:$D$1084,"CDU")</f>
        <v/>
      </c>
      <c r="F49" s="21">
        <f>SUMIFS(Boxes!$F$3:$F$1084,Boxes!$B$3:$B$1084,$A49,Boxes!$D$3:$D$1084,"VDU")</f>
        <v/>
      </c>
      <c r="G49" s="21">
        <f>SUMIFS(Boxes!$F$3:$F$1084,Boxes!$B$3:$B$1084,$A49,Boxes!$D$3:$D$1084,"FCC")</f>
        <v/>
      </c>
      <c r="H49" s="21">
        <f>SUMIFS(Boxes!$F$3:$F$1084,Boxes!$B$3:$B$1084,$A49,Boxes!$D$3:$D$1084,"RCC")</f>
        <v/>
      </c>
      <c r="I49" s="21">
        <f>SUMIFS(Boxes!$F$3:$F$1084,Boxes!$B$3:$B$1084,$A49,Boxes!$D$3:$D$1084,"COKER")</f>
        <v/>
      </c>
      <c r="J49" s="21">
        <f>SUMIFS(Boxes!$F$3:$F$1084,Boxes!$B$3:$B$1084,$A49,Boxes!$D$3:$D$1084,"FCOKER")</f>
        <v/>
      </c>
      <c r="K49" s="21">
        <f>SUMIFS(Boxes!$F$3:$F$1084,Boxes!$B$3:$B$1084,$A49,Boxes!$D$3:$D$1084,"DHCU")</f>
        <v/>
      </c>
      <c r="L49" s="21">
        <f>SUMIFS(Boxes!$F$3:$F$1084,Boxes!$B$3:$B$1084,$A49,Boxes!$D$3:$D$1084,"RHCU")</f>
        <v/>
      </c>
      <c r="M49" s="21">
        <f>SUMIFS(Boxes!$F$3:$F$1084,Boxes!$B$3:$B$1084,$A49,Boxes!$D$3:$D$1084,"REF")</f>
        <v/>
      </c>
      <c r="N49" s="21">
        <f>SUMIFS(Boxes!$F$3:$F$1084,Boxes!$B$3:$B$1084,$A49,Boxes!$D$3:$D$1084,"CCR")</f>
        <v/>
      </c>
      <c r="O49" s="21">
        <f>SUMIFS(Boxes!$F$3:$F$1084,Boxes!$B$3:$B$1084,$A49,Boxes!$D$3:$D$1084,"ISOM")</f>
        <v/>
      </c>
      <c r="P49" s="21">
        <f>SUMIFS(Boxes!$F$3:$F$1084,Boxes!$B$3:$B$1084,$A49,Boxes!$D$3:$D$1084,"ALKY")</f>
        <v/>
      </c>
      <c r="Q49" s="21">
        <f>SUMIFS(Boxes!$F$3:$F$1084,Boxes!$B$3:$B$1084,$A49,Boxes!$D$3:$D$1084,"NSPL")</f>
        <v/>
      </c>
      <c r="R49" s="21">
        <f>SUMIFS(Boxes!$F$3:$F$1084,Boxes!$B$3:$B$1084,$A49,Boxes!$D$3:$D$1084,"NHT")</f>
        <v/>
      </c>
    </row>
    <row r="50">
      <c r="A50" s="18" t="inlineStr">
        <is>
          <t>SHELL_NORCO</t>
        </is>
      </c>
      <c r="B50" s="18" t="inlineStr">
        <is>
          <t>Shell Norco</t>
        </is>
      </c>
      <c r="C50" s="18" t="n">
        <v>3</v>
      </c>
      <c r="D50" s="21">
        <f>SUMIFS(Data!$G$3:$G$125,Data!$A$3:$A$125,$A50)</f>
        <v/>
      </c>
      <c r="E50" s="21">
        <f>SUMIFS(Boxes!$F$3:$F$1084,Boxes!$B$3:$B$1084,$A50,Boxes!$D$3:$D$1084,"CDU")</f>
        <v/>
      </c>
      <c r="F50" s="21">
        <f>SUMIFS(Boxes!$F$3:$F$1084,Boxes!$B$3:$B$1084,$A50,Boxes!$D$3:$D$1084,"VDU")</f>
        <v/>
      </c>
      <c r="G50" s="21">
        <f>SUMIFS(Boxes!$F$3:$F$1084,Boxes!$B$3:$B$1084,$A50,Boxes!$D$3:$D$1084,"FCC")</f>
        <v/>
      </c>
      <c r="H50" s="21">
        <f>SUMIFS(Boxes!$F$3:$F$1084,Boxes!$B$3:$B$1084,$A50,Boxes!$D$3:$D$1084,"RCC")</f>
        <v/>
      </c>
      <c r="I50" s="21">
        <f>SUMIFS(Boxes!$F$3:$F$1084,Boxes!$B$3:$B$1084,$A50,Boxes!$D$3:$D$1084,"COKER")</f>
        <v/>
      </c>
      <c r="J50" s="21">
        <f>SUMIFS(Boxes!$F$3:$F$1084,Boxes!$B$3:$B$1084,$A50,Boxes!$D$3:$D$1084,"FCOKER")</f>
        <v/>
      </c>
      <c r="K50" s="21">
        <f>SUMIFS(Boxes!$F$3:$F$1084,Boxes!$B$3:$B$1084,$A50,Boxes!$D$3:$D$1084,"DHCU")</f>
        <v/>
      </c>
      <c r="L50" s="21">
        <f>SUMIFS(Boxes!$F$3:$F$1084,Boxes!$B$3:$B$1084,$A50,Boxes!$D$3:$D$1084,"RHCU")</f>
        <v/>
      </c>
      <c r="M50" s="21">
        <f>SUMIFS(Boxes!$F$3:$F$1084,Boxes!$B$3:$B$1084,$A50,Boxes!$D$3:$D$1084,"REF")</f>
        <v/>
      </c>
      <c r="N50" s="21">
        <f>SUMIFS(Boxes!$F$3:$F$1084,Boxes!$B$3:$B$1084,$A50,Boxes!$D$3:$D$1084,"CCR")</f>
        <v/>
      </c>
      <c r="O50" s="21">
        <f>SUMIFS(Boxes!$F$3:$F$1084,Boxes!$B$3:$B$1084,$A50,Boxes!$D$3:$D$1084,"ISOM")</f>
        <v/>
      </c>
      <c r="P50" s="21">
        <f>SUMIFS(Boxes!$F$3:$F$1084,Boxes!$B$3:$B$1084,$A50,Boxes!$D$3:$D$1084,"ALKY")</f>
        <v/>
      </c>
      <c r="Q50" s="21">
        <f>SUMIFS(Boxes!$F$3:$F$1084,Boxes!$B$3:$B$1084,$A50,Boxes!$D$3:$D$1084,"NSPL")</f>
        <v/>
      </c>
      <c r="R50" s="21">
        <f>SUMIFS(Boxes!$F$3:$F$1084,Boxes!$B$3:$B$1084,$A50,Boxes!$D$3:$D$1084,"NHT")</f>
        <v/>
      </c>
    </row>
    <row r="51">
      <c r="A51" s="18" t="inlineStr">
        <is>
          <t>TOTAL_PORT_ARTHUR</t>
        </is>
      </c>
      <c r="B51" s="18" t="inlineStr">
        <is>
          <t>Total Port Arthur</t>
        </is>
      </c>
      <c r="C51" s="18" t="n">
        <v>3</v>
      </c>
      <c r="D51" s="21">
        <f>SUMIFS(Data!$G$3:$G$125,Data!$A$3:$A$125,$A51)</f>
        <v/>
      </c>
      <c r="E51" s="21">
        <f>SUMIFS(Boxes!$F$3:$F$1084,Boxes!$B$3:$B$1084,$A51,Boxes!$D$3:$D$1084,"CDU")</f>
        <v/>
      </c>
      <c r="F51" s="21">
        <f>SUMIFS(Boxes!$F$3:$F$1084,Boxes!$B$3:$B$1084,$A51,Boxes!$D$3:$D$1084,"VDU")</f>
        <v/>
      </c>
      <c r="G51" s="21">
        <f>SUMIFS(Boxes!$F$3:$F$1084,Boxes!$B$3:$B$1084,$A51,Boxes!$D$3:$D$1084,"FCC")</f>
        <v/>
      </c>
      <c r="H51" s="21">
        <f>SUMIFS(Boxes!$F$3:$F$1084,Boxes!$B$3:$B$1084,$A51,Boxes!$D$3:$D$1084,"RCC")</f>
        <v/>
      </c>
      <c r="I51" s="21">
        <f>SUMIFS(Boxes!$F$3:$F$1084,Boxes!$B$3:$B$1084,$A51,Boxes!$D$3:$D$1084,"COKER")</f>
        <v/>
      </c>
      <c r="J51" s="21">
        <f>SUMIFS(Boxes!$F$3:$F$1084,Boxes!$B$3:$B$1084,$A51,Boxes!$D$3:$D$1084,"FCOKER")</f>
        <v/>
      </c>
      <c r="K51" s="21">
        <f>SUMIFS(Boxes!$F$3:$F$1084,Boxes!$B$3:$B$1084,$A51,Boxes!$D$3:$D$1084,"DHCU")</f>
        <v/>
      </c>
      <c r="L51" s="21">
        <f>SUMIFS(Boxes!$F$3:$F$1084,Boxes!$B$3:$B$1084,$A51,Boxes!$D$3:$D$1084,"RHCU")</f>
        <v/>
      </c>
      <c r="M51" s="21">
        <f>SUMIFS(Boxes!$F$3:$F$1084,Boxes!$B$3:$B$1084,$A51,Boxes!$D$3:$D$1084,"REF")</f>
        <v/>
      </c>
      <c r="N51" s="21">
        <f>SUMIFS(Boxes!$F$3:$F$1084,Boxes!$B$3:$B$1084,$A51,Boxes!$D$3:$D$1084,"CCR")</f>
        <v/>
      </c>
      <c r="O51" s="21">
        <f>SUMIFS(Boxes!$F$3:$F$1084,Boxes!$B$3:$B$1084,$A51,Boxes!$D$3:$D$1084,"ISOM")</f>
        <v/>
      </c>
      <c r="P51" s="21">
        <f>SUMIFS(Boxes!$F$3:$F$1084,Boxes!$B$3:$B$1084,$A51,Boxes!$D$3:$D$1084,"ALKY")</f>
        <v/>
      </c>
      <c r="Q51" s="21">
        <f>SUMIFS(Boxes!$F$3:$F$1084,Boxes!$B$3:$B$1084,$A51,Boxes!$D$3:$D$1084,"NSPL")</f>
        <v/>
      </c>
      <c r="R51" s="21">
        <f>SUMIFS(Boxes!$F$3:$F$1084,Boxes!$B$3:$B$1084,$A51,Boxes!$D$3:$D$1084,"NHT")</f>
        <v/>
      </c>
    </row>
    <row r="52">
      <c r="A52" s="18" t="inlineStr">
        <is>
          <t>VALERO_SAINT_CHARLES</t>
        </is>
      </c>
      <c r="B52" s="18" t="inlineStr">
        <is>
          <t>Valero Saint Charles</t>
        </is>
      </c>
      <c r="C52" s="18" t="n">
        <v>3</v>
      </c>
      <c r="D52" s="21">
        <f>SUMIFS(Data!$G$3:$G$125,Data!$A$3:$A$125,$A52)</f>
        <v/>
      </c>
      <c r="E52" s="21">
        <f>SUMIFS(Boxes!$F$3:$F$1084,Boxes!$B$3:$B$1084,$A52,Boxes!$D$3:$D$1084,"CDU")</f>
        <v/>
      </c>
      <c r="F52" s="21">
        <f>SUMIFS(Boxes!$F$3:$F$1084,Boxes!$B$3:$B$1084,$A52,Boxes!$D$3:$D$1084,"VDU")</f>
        <v/>
      </c>
      <c r="G52" s="21">
        <f>SUMIFS(Boxes!$F$3:$F$1084,Boxes!$B$3:$B$1084,$A52,Boxes!$D$3:$D$1084,"FCC")</f>
        <v/>
      </c>
      <c r="H52" s="21">
        <f>SUMIFS(Boxes!$F$3:$F$1084,Boxes!$B$3:$B$1084,$A52,Boxes!$D$3:$D$1084,"RCC")</f>
        <v/>
      </c>
      <c r="I52" s="21">
        <f>SUMIFS(Boxes!$F$3:$F$1084,Boxes!$B$3:$B$1084,$A52,Boxes!$D$3:$D$1084,"COKER")</f>
        <v/>
      </c>
      <c r="J52" s="21">
        <f>SUMIFS(Boxes!$F$3:$F$1084,Boxes!$B$3:$B$1084,$A52,Boxes!$D$3:$D$1084,"FCOKER")</f>
        <v/>
      </c>
      <c r="K52" s="21">
        <f>SUMIFS(Boxes!$F$3:$F$1084,Boxes!$B$3:$B$1084,$A52,Boxes!$D$3:$D$1084,"DHCU")</f>
        <v/>
      </c>
      <c r="L52" s="21">
        <f>SUMIFS(Boxes!$F$3:$F$1084,Boxes!$B$3:$B$1084,$A52,Boxes!$D$3:$D$1084,"RHCU")</f>
        <v/>
      </c>
      <c r="M52" s="21">
        <f>SUMIFS(Boxes!$F$3:$F$1084,Boxes!$B$3:$B$1084,$A52,Boxes!$D$3:$D$1084,"REF")</f>
        <v/>
      </c>
      <c r="N52" s="21">
        <f>SUMIFS(Boxes!$F$3:$F$1084,Boxes!$B$3:$B$1084,$A52,Boxes!$D$3:$D$1084,"CCR")</f>
        <v/>
      </c>
      <c r="O52" s="21">
        <f>SUMIFS(Boxes!$F$3:$F$1084,Boxes!$B$3:$B$1084,$A52,Boxes!$D$3:$D$1084,"ISOM")</f>
        <v/>
      </c>
      <c r="P52" s="21">
        <f>SUMIFS(Boxes!$F$3:$F$1084,Boxes!$B$3:$B$1084,$A52,Boxes!$D$3:$D$1084,"ALKY")</f>
        <v/>
      </c>
      <c r="Q52" s="21">
        <f>SUMIFS(Boxes!$F$3:$F$1084,Boxes!$B$3:$B$1084,$A52,Boxes!$D$3:$D$1084,"NSPL")</f>
        <v/>
      </c>
      <c r="R52" s="21">
        <f>SUMIFS(Boxes!$F$3:$F$1084,Boxes!$B$3:$B$1084,$A52,Boxes!$D$3:$D$1084,"NHT")</f>
        <v/>
      </c>
    </row>
    <row r="53">
      <c r="A53" s="18" t="inlineStr">
        <is>
          <t>VALERO_HOUSTON</t>
        </is>
      </c>
      <c r="B53" s="18" t="inlineStr">
        <is>
          <t>Valero Houston</t>
        </is>
      </c>
      <c r="C53" s="18" t="n">
        <v>3</v>
      </c>
      <c r="D53" s="21">
        <f>SUMIFS(Data!$G$3:$G$125,Data!$A$3:$A$125,$A53)</f>
        <v/>
      </c>
      <c r="E53" s="21">
        <f>SUMIFS(Boxes!$F$3:$F$1084,Boxes!$B$3:$B$1084,$A53,Boxes!$D$3:$D$1084,"CDU")</f>
        <v/>
      </c>
      <c r="F53" s="21">
        <f>SUMIFS(Boxes!$F$3:$F$1084,Boxes!$B$3:$B$1084,$A53,Boxes!$D$3:$D$1084,"VDU")</f>
        <v/>
      </c>
      <c r="G53" s="21">
        <f>SUMIFS(Boxes!$F$3:$F$1084,Boxes!$B$3:$B$1084,$A53,Boxes!$D$3:$D$1084,"FCC")</f>
        <v/>
      </c>
      <c r="H53" s="21">
        <f>SUMIFS(Boxes!$F$3:$F$1084,Boxes!$B$3:$B$1084,$A53,Boxes!$D$3:$D$1084,"RCC")</f>
        <v/>
      </c>
      <c r="I53" s="21">
        <f>SUMIFS(Boxes!$F$3:$F$1084,Boxes!$B$3:$B$1084,$A53,Boxes!$D$3:$D$1084,"COKER")</f>
        <v/>
      </c>
      <c r="J53" s="21">
        <f>SUMIFS(Boxes!$F$3:$F$1084,Boxes!$B$3:$B$1084,$A53,Boxes!$D$3:$D$1084,"FCOKER")</f>
        <v/>
      </c>
      <c r="K53" s="21">
        <f>SUMIFS(Boxes!$F$3:$F$1084,Boxes!$B$3:$B$1084,$A53,Boxes!$D$3:$D$1084,"DHCU")</f>
        <v/>
      </c>
      <c r="L53" s="21">
        <f>SUMIFS(Boxes!$F$3:$F$1084,Boxes!$B$3:$B$1084,$A53,Boxes!$D$3:$D$1084,"RHCU")</f>
        <v/>
      </c>
      <c r="M53" s="21">
        <f>SUMIFS(Boxes!$F$3:$F$1084,Boxes!$B$3:$B$1084,$A53,Boxes!$D$3:$D$1084,"REF")</f>
        <v/>
      </c>
      <c r="N53" s="21">
        <f>SUMIFS(Boxes!$F$3:$F$1084,Boxes!$B$3:$B$1084,$A53,Boxes!$D$3:$D$1084,"CCR")</f>
        <v/>
      </c>
      <c r="O53" s="21">
        <f>SUMIFS(Boxes!$F$3:$F$1084,Boxes!$B$3:$B$1084,$A53,Boxes!$D$3:$D$1084,"ISOM")</f>
        <v/>
      </c>
      <c r="P53" s="21">
        <f>SUMIFS(Boxes!$F$3:$F$1084,Boxes!$B$3:$B$1084,$A53,Boxes!$D$3:$D$1084,"ALKY")</f>
        <v/>
      </c>
      <c r="Q53" s="21">
        <f>SUMIFS(Boxes!$F$3:$F$1084,Boxes!$B$3:$B$1084,$A53,Boxes!$D$3:$D$1084,"NSPL")</f>
        <v/>
      </c>
      <c r="R53" s="21">
        <f>SUMIFS(Boxes!$F$3:$F$1084,Boxes!$B$3:$B$1084,$A53,Boxes!$D$3:$D$1084,"NHT")</f>
        <v/>
      </c>
    </row>
    <row r="54">
      <c r="A54" s="18" t="inlineStr">
        <is>
          <t>VALERO_SUNRAY</t>
        </is>
      </c>
      <c r="B54" s="18" t="inlineStr">
        <is>
          <t>Valero Sunray</t>
        </is>
      </c>
      <c r="C54" s="18" t="n">
        <v>3</v>
      </c>
      <c r="D54" s="21">
        <f>SUMIFS(Data!$G$3:$G$125,Data!$A$3:$A$125,$A54)</f>
        <v/>
      </c>
      <c r="E54" s="21">
        <f>SUMIFS(Boxes!$F$3:$F$1084,Boxes!$B$3:$B$1084,$A54,Boxes!$D$3:$D$1084,"CDU")</f>
        <v/>
      </c>
      <c r="F54" s="21">
        <f>SUMIFS(Boxes!$F$3:$F$1084,Boxes!$B$3:$B$1084,$A54,Boxes!$D$3:$D$1084,"VDU")</f>
        <v/>
      </c>
      <c r="G54" s="21">
        <f>SUMIFS(Boxes!$F$3:$F$1084,Boxes!$B$3:$B$1084,$A54,Boxes!$D$3:$D$1084,"FCC")</f>
        <v/>
      </c>
      <c r="H54" s="21">
        <f>SUMIFS(Boxes!$F$3:$F$1084,Boxes!$B$3:$B$1084,$A54,Boxes!$D$3:$D$1084,"RCC")</f>
        <v/>
      </c>
      <c r="I54" s="21">
        <f>SUMIFS(Boxes!$F$3:$F$1084,Boxes!$B$3:$B$1084,$A54,Boxes!$D$3:$D$1084,"COKER")</f>
        <v/>
      </c>
      <c r="J54" s="21">
        <f>SUMIFS(Boxes!$F$3:$F$1084,Boxes!$B$3:$B$1084,$A54,Boxes!$D$3:$D$1084,"FCOKER")</f>
        <v/>
      </c>
      <c r="K54" s="21">
        <f>SUMIFS(Boxes!$F$3:$F$1084,Boxes!$B$3:$B$1084,$A54,Boxes!$D$3:$D$1084,"DHCU")</f>
        <v/>
      </c>
      <c r="L54" s="21">
        <f>SUMIFS(Boxes!$F$3:$F$1084,Boxes!$B$3:$B$1084,$A54,Boxes!$D$3:$D$1084,"RHCU")</f>
        <v/>
      </c>
      <c r="M54" s="21">
        <f>SUMIFS(Boxes!$F$3:$F$1084,Boxes!$B$3:$B$1084,$A54,Boxes!$D$3:$D$1084,"REF")</f>
        <v/>
      </c>
      <c r="N54" s="21">
        <f>SUMIFS(Boxes!$F$3:$F$1084,Boxes!$B$3:$B$1084,$A54,Boxes!$D$3:$D$1084,"CCR")</f>
        <v/>
      </c>
      <c r="O54" s="21">
        <f>SUMIFS(Boxes!$F$3:$F$1084,Boxes!$B$3:$B$1084,$A54,Boxes!$D$3:$D$1084,"ISOM")</f>
        <v/>
      </c>
      <c r="P54" s="21">
        <f>SUMIFS(Boxes!$F$3:$F$1084,Boxes!$B$3:$B$1084,$A54,Boxes!$D$3:$D$1084,"ALKY")</f>
        <v/>
      </c>
      <c r="Q54" s="21">
        <f>SUMIFS(Boxes!$F$3:$F$1084,Boxes!$B$3:$B$1084,$A54,Boxes!$D$3:$D$1084,"NSPL")</f>
        <v/>
      </c>
      <c r="R54" s="21">
        <f>SUMIFS(Boxes!$F$3:$F$1084,Boxes!$B$3:$B$1084,$A54,Boxes!$D$3:$D$1084,"NHT")</f>
        <v/>
      </c>
    </row>
    <row r="55">
      <c r="A55" s="18" t="inlineStr">
        <is>
          <t>PBF_CHALMETTE</t>
        </is>
      </c>
      <c r="B55" s="18" t="inlineStr">
        <is>
          <t>PBF Energy Company LLC Chalmette</t>
        </is>
      </c>
      <c r="C55" s="18" t="n">
        <v>3</v>
      </c>
      <c r="D55" s="21">
        <f>SUMIFS(Data!$G$3:$G$125,Data!$A$3:$A$125,$A55)</f>
        <v/>
      </c>
      <c r="E55" s="21">
        <f>SUMIFS(Boxes!$F$3:$F$1084,Boxes!$B$3:$B$1084,$A55,Boxes!$D$3:$D$1084,"CDU")</f>
        <v/>
      </c>
      <c r="F55" s="21">
        <f>SUMIFS(Boxes!$F$3:$F$1084,Boxes!$B$3:$B$1084,$A55,Boxes!$D$3:$D$1084,"VDU")</f>
        <v/>
      </c>
      <c r="G55" s="21">
        <f>SUMIFS(Boxes!$F$3:$F$1084,Boxes!$B$3:$B$1084,$A55,Boxes!$D$3:$D$1084,"FCC")</f>
        <v/>
      </c>
      <c r="H55" s="21">
        <f>SUMIFS(Boxes!$F$3:$F$1084,Boxes!$B$3:$B$1084,$A55,Boxes!$D$3:$D$1084,"RCC")</f>
        <v/>
      </c>
      <c r="I55" s="21">
        <f>SUMIFS(Boxes!$F$3:$F$1084,Boxes!$B$3:$B$1084,$A55,Boxes!$D$3:$D$1084,"COKER")</f>
        <v/>
      </c>
      <c r="J55" s="21">
        <f>SUMIFS(Boxes!$F$3:$F$1084,Boxes!$B$3:$B$1084,$A55,Boxes!$D$3:$D$1084,"FCOKER")</f>
        <v/>
      </c>
      <c r="K55" s="21">
        <f>SUMIFS(Boxes!$F$3:$F$1084,Boxes!$B$3:$B$1084,$A55,Boxes!$D$3:$D$1084,"DHCU")</f>
        <v/>
      </c>
      <c r="L55" s="21">
        <f>SUMIFS(Boxes!$F$3:$F$1084,Boxes!$B$3:$B$1084,$A55,Boxes!$D$3:$D$1084,"RHCU")</f>
        <v/>
      </c>
      <c r="M55" s="21">
        <f>SUMIFS(Boxes!$F$3:$F$1084,Boxes!$B$3:$B$1084,$A55,Boxes!$D$3:$D$1084,"REF")</f>
        <v/>
      </c>
      <c r="N55" s="21">
        <f>SUMIFS(Boxes!$F$3:$F$1084,Boxes!$B$3:$B$1084,$A55,Boxes!$D$3:$D$1084,"CCR")</f>
        <v/>
      </c>
      <c r="O55" s="21">
        <f>SUMIFS(Boxes!$F$3:$F$1084,Boxes!$B$3:$B$1084,$A55,Boxes!$D$3:$D$1084,"ISOM")</f>
        <v/>
      </c>
      <c r="P55" s="21">
        <f>SUMIFS(Boxes!$F$3:$F$1084,Boxes!$B$3:$B$1084,$A55,Boxes!$D$3:$D$1084,"ALKY")</f>
        <v/>
      </c>
      <c r="Q55" s="21">
        <f>SUMIFS(Boxes!$F$3:$F$1084,Boxes!$B$3:$B$1084,$A55,Boxes!$D$3:$D$1084,"NSPL")</f>
        <v/>
      </c>
      <c r="R55" s="21">
        <f>SUMIFS(Boxes!$F$3:$F$1084,Boxes!$B$3:$B$1084,$A55,Boxes!$D$3:$D$1084,"NHT")</f>
        <v/>
      </c>
    </row>
    <row r="56">
      <c r="A56" s="18" t="inlineStr">
        <is>
          <t>CITGO_CORPUS_CHRISTI</t>
        </is>
      </c>
      <c r="B56" s="18" t="inlineStr">
        <is>
          <t>Citgo Corpus Christi</t>
        </is>
      </c>
      <c r="C56" s="18" t="n">
        <v>3</v>
      </c>
      <c r="D56" s="21">
        <f>SUMIFS(Data!$G$3:$G$125,Data!$A$3:$A$125,$A56)</f>
        <v/>
      </c>
      <c r="E56" s="21">
        <f>SUMIFS(Boxes!$F$3:$F$1084,Boxes!$B$3:$B$1084,$A56,Boxes!$D$3:$D$1084,"CDU")</f>
        <v/>
      </c>
      <c r="F56" s="21">
        <f>SUMIFS(Boxes!$F$3:$F$1084,Boxes!$B$3:$B$1084,$A56,Boxes!$D$3:$D$1084,"VDU")</f>
        <v/>
      </c>
      <c r="G56" s="21">
        <f>SUMIFS(Boxes!$F$3:$F$1084,Boxes!$B$3:$B$1084,$A56,Boxes!$D$3:$D$1084,"FCC")</f>
        <v/>
      </c>
      <c r="H56" s="21">
        <f>SUMIFS(Boxes!$F$3:$F$1084,Boxes!$B$3:$B$1084,$A56,Boxes!$D$3:$D$1084,"RCC")</f>
        <v/>
      </c>
      <c r="I56" s="21">
        <f>SUMIFS(Boxes!$F$3:$F$1084,Boxes!$B$3:$B$1084,$A56,Boxes!$D$3:$D$1084,"COKER")</f>
        <v/>
      </c>
      <c r="J56" s="21">
        <f>SUMIFS(Boxes!$F$3:$F$1084,Boxes!$B$3:$B$1084,$A56,Boxes!$D$3:$D$1084,"FCOKER")</f>
        <v/>
      </c>
      <c r="K56" s="21">
        <f>SUMIFS(Boxes!$F$3:$F$1084,Boxes!$B$3:$B$1084,$A56,Boxes!$D$3:$D$1084,"DHCU")</f>
        <v/>
      </c>
      <c r="L56" s="21">
        <f>SUMIFS(Boxes!$F$3:$F$1084,Boxes!$B$3:$B$1084,$A56,Boxes!$D$3:$D$1084,"RHCU")</f>
        <v/>
      </c>
      <c r="M56" s="21">
        <f>SUMIFS(Boxes!$F$3:$F$1084,Boxes!$B$3:$B$1084,$A56,Boxes!$D$3:$D$1084,"REF")</f>
        <v/>
      </c>
      <c r="N56" s="21">
        <f>SUMIFS(Boxes!$F$3:$F$1084,Boxes!$B$3:$B$1084,$A56,Boxes!$D$3:$D$1084,"CCR")</f>
        <v/>
      </c>
      <c r="O56" s="21">
        <f>SUMIFS(Boxes!$F$3:$F$1084,Boxes!$B$3:$B$1084,$A56,Boxes!$D$3:$D$1084,"ISOM")</f>
        <v/>
      </c>
      <c r="P56" s="21">
        <f>SUMIFS(Boxes!$F$3:$F$1084,Boxes!$B$3:$B$1084,$A56,Boxes!$D$3:$D$1084,"ALKY")</f>
        <v/>
      </c>
      <c r="Q56" s="21">
        <f>SUMIFS(Boxes!$F$3:$F$1084,Boxes!$B$3:$B$1084,$A56,Boxes!$D$3:$D$1084,"NSPL")</f>
        <v/>
      </c>
      <c r="R56" s="21">
        <f>SUMIFS(Boxes!$F$3:$F$1084,Boxes!$B$3:$B$1084,$A56,Boxes!$D$3:$D$1084,"NHT")</f>
        <v/>
      </c>
    </row>
    <row r="57">
      <c r="A57" s="18" t="inlineStr">
        <is>
          <t>WRB_BORGER</t>
        </is>
      </c>
      <c r="B57" s="18" t="inlineStr">
        <is>
          <t>WRB Refining Borger</t>
        </is>
      </c>
      <c r="C57" s="18" t="n">
        <v>3</v>
      </c>
      <c r="D57" s="21">
        <f>SUMIFS(Data!$G$3:$G$125,Data!$A$3:$A$125,$A57)</f>
        <v/>
      </c>
      <c r="E57" s="21">
        <f>SUMIFS(Boxes!$F$3:$F$1084,Boxes!$B$3:$B$1084,$A57,Boxes!$D$3:$D$1084,"CDU")</f>
        <v/>
      </c>
      <c r="F57" s="21">
        <f>SUMIFS(Boxes!$F$3:$F$1084,Boxes!$B$3:$B$1084,$A57,Boxes!$D$3:$D$1084,"VDU")</f>
        <v/>
      </c>
      <c r="G57" s="21">
        <f>SUMIFS(Boxes!$F$3:$F$1084,Boxes!$B$3:$B$1084,$A57,Boxes!$D$3:$D$1084,"FCC")</f>
        <v/>
      </c>
      <c r="H57" s="21">
        <f>SUMIFS(Boxes!$F$3:$F$1084,Boxes!$B$3:$B$1084,$A57,Boxes!$D$3:$D$1084,"RCC")</f>
        <v/>
      </c>
      <c r="I57" s="21">
        <f>SUMIFS(Boxes!$F$3:$F$1084,Boxes!$B$3:$B$1084,$A57,Boxes!$D$3:$D$1084,"COKER")</f>
        <v/>
      </c>
      <c r="J57" s="21">
        <f>SUMIFS(Boxes!$F$3:$F$1084,Boxes!$B$3:$B$1084,$A57,Boxes!$D$3:$D$1084,"FCOKER")</f>
        <v/>
      </c>
      <c r="K57" s="21">
        <f>SUMIFS(Boxes!$F$3:$F$1084,Boxes!$B$3:$B$1084,$A57,Boxes!$D$3:$D$1084,"DHCU")</f>
        <v/>
      </c>
      <c r="L57" s="21">
        <f>SUMIFS(Boxes!$F$3:$F$1084,Boxes!$B$3:$B$1084,$A57,Boxes!$D$3:$D$1084,"RHCU")</f>
        <v/>
      </c>
      <c r="M57" s="21">
        <f>SUMIFS(Boxes!$F$3:$F$1084,Boxes!$B$3:$B$1084,$A57,Boxes!$D$3:$D$1084,"REF")</f>
        <v/>
      </c>
      <c r="N57" s="21">
        <f>SUMIFS(Boxes!$F$3:$F$1084,Boxes!$B$3:$B$1084,$A57,Boxes!$D$3:$D$1084,"CCR")</f>
        <v/>
      </c>
      <c r="O57" s="21">
        <f>SUMIFS(Boxes!$F$3:$F$1084,Boxes!$B$3:$B$1084,$A57,Boxes!$D$3:$D$1084,"ISOM")</f>
        <v/>
      </c>
      <c r="P57" s="21">
        <f>SUMIFS(Boxes!$F$3:$F$1084,Boxes!$B$3:$B$1084,$A57,Boxes!$D$3:$D$1084,"ALKY")</f>
        <v/>
      </c>
      <c r="Q57" s="21">
        <f>SUMIFS(Boxes!$F$3:$F$1084,Boxes!$B$3:$B$1084,$A57,Boxes!$D$3:$D$1084,"NSPL")</f>
        <v/>
      </c>
      <c r="R57" s="21">
        <f>SUMIFS(Boxes!$F$3:$F$1084,Boxes!$B$3:$B$1084,$A57,Boxes!$D$3:$D$1084,"NHT")</f>
        <v/>
      </c>
    </row>
    <row r="58">
      <c r="A58" s="18" t="inlineStr">
        <is>
          <t>MARATHON_EL_PASO</t>
        </is>
      </c>
      <c r="B58" s="18" t="inlineStr">
        <is>
          <t>Marathon Petroleum El Paso</t>
        </is>
      </c>
      <c r="C58" s="18" t="n">
        <v>3</v>
      </c>
      <c r="D58" s="21">
        <f>SUMIFS(Data!$G$3:$G$125,Data!$A$3:$A$125,$A58)</f>
        <v/>
      </c>
      <c r="E58" s="21">
        <f>SUMIFS(Boxes!$F$3:$F$1084,Boxes!$B$3:$B$1084,$A58,Boxes!$D$3:$D$1084,"CDU")</f>
        <v/>
      </c>
      <c r="F58" s="21">
        <f>SUMIFS(Boxes!$F$3:$F$1084,Boxes!$B$3:$B$1084,$A58,Boxes!$D$3:$D$1084,"VDU")</f>
        <v/>
      </c>
      <c r="G58" s="21">
        <f>SUMIFS(Boxes!$F$3:$F$1084,Boxes!$B$3:$B$1084,$A58,Boxes!$D$3:$D$1084,"FCC")</f>
        <v/>
      </c>
      <c r="H58" s="21">
        <f>SUMIFS(Boxes!$F$3:$F$1084,Boxes!$B$3:$B$1084,$A58,Boxes!$D$3:$D$1084,"RCC")</f>
        <v/>
      </c>
      <c r="I58" s="21">
        <f>SUMIFS(Boxes!$F$3:$F$1084,Boxes!$B$3:$B$1084,$A58,Boxes!$D$3:$D$1084,"COKER")</f>
        <v/>
      </c>
      <c r="J58" s="21">
        <f>SUMIFS(Boxes!$F$3:$F$1084,Boxes!$B$3:$B$1084,$A58,Boxes!$D$3:$D$1084,"FCOKER")</f>
        <v/>
      </c>
      <c r="K58" s="21">
        <f>SUMIFS(Boxes!$F$3:$F$1084,Boxes!$B$3:$B$1084,$A58,Boxes!$D$3:$D$1084,"DHCU")</f>
        <v/>
      </c>
      <c r="L58" s="21">
        <f>SUMIFS(Boxes!$F$3:$F$1084,Boxes!$B$3:$B$1084,$A58,Boxes!$D$3:$D$1084,"RHCU")</f>
        <v/>
      </c>
      <c r="M58" s="21">
        <f>SUMIFS(Boxes!$F$3:$F$1084,Boxes!$B$3:$B$1084,$A58,Boxes!$D$3:$D$1084,"REF")</f>
        <v/>
      </c>
      <c r="N58" s="21">
        <f>SUMIFS(Boxes!$F$3:$F$1084,Boxes!$B$3:$B$1084,$A58,Boxes!$D$3:$D$1084,"CCR")</f>
        <v/>
      </c>
      <c r="O58" s="21">
        <f>SUMIFS(Boxes!$F$3:$F$1084,Boxes!$B$3:$B$1084,$A58,Boxes!$D$3:$D$1084,"ISOM")</f>
        <v/>
      </c>
      <c r="P58" s="21">
        <f>SUMIFS(Boxes!$F$3:$F$1084,Boxes!$B$3:$B$1084,$A58,Boxes!$D$3:$D$1084,"ALKY")</f>
        <v/>
      </c>
      <c r="Q58" s="21">
        <f>SUMIFS(Boxes!$F$3:$F$1084,Boxes!$B$3:$B$1084,$A58,Boxes!$D$3:$D$1084,"NSPL")</f>
        <v/>
      </c>
      <c r="R58" s="21">
        <f>SUMIFS(Boxes!$F$3:$F$1084,Boxes!$B$3:$B$1084,$A58,Boxes!$D$3:$D$1084,"NHT")</f>
        <v/>
      </c>
    </row>
    <row r="59">
      <c r="A59" s="18" t="inlineStr">
        <is>
          <t>CHEVRON_PASADENA</t>
        </is>
      </c>
      <c r="B59" s="18" t="inlineStr">
        <is>
          <t>Chevron Pasadena</t>
        </is>
      </c>
      <c r="C59" s="18" t="n">
        <v>3</v>
      </c>
      <c r="D59" s="21">
        <f>SUMIFS(Data!$G$3:$G$125,Data!$A$3:$A$125,$A59)</f>
        <v/>
      </c>
      <c r="E59" s="21">
        <f>SUMIFS(Boxes!$F$3:$F$1084,Boxes!$B$3:$B$1084,$A59,Boxes!$D$3:$D$1084,"CDU")</f>
        <v/>
      </c>
      <c r="F59" s="21">
        <f>SUMIFS(Boxes!$F$3:$F$1084,Boxes!$B$3:$B$1084,$A59,Boxes!$D$3:$D$1084,"VDU")</f>
        <v/>
      </c>
      <c r="G59" s="21">
        <f>SUMIFS(Boxes!$F$3:$F$1084,Boxes!$B$3:$B$1084,$A59,Boxes!$D$3:$D$1084,"FCC")</f>
        <v/>
      </c>
      <c r="H59" s="21">
        <f>SUMIFS(Boxes!$F$3:$F$1084,Boxes!$B$3:$B$1084,$A59,Boxes!$D$3:$D$1084,"RCC")</f>
        <v/>
      </c>
      <c r="I59" s="21">
        <f>SUMIFS(Boxes!$F$3:$F$1084,Boxes!$B$3:$B$1084,$A59,Boxes!$D$3:$D$1084,"COKER")</f>
        <v/>
      </c>
      <c r="J59" s="21">
        <f>SUMIFS(Boxes!$F$3:$F$1084,Boxes!$B$3:$B$1084,$A59,Boxes!$D$3:$D$1084,"FCOKER")</f>
        <v/>
      </c>
      <c r="K59" s="21">
        <f>SUMIFS(Boxes!$F$3:$F$1084,Boxes!$B$3:$B$1084,$A59,Boxes!$D$3:$D$1084,"DHCU")</f>
        <v/>
      </c>
      <c r="L59" s="21">
        <f>SUMIFS(Boxes!$F$3:$F$1084,Boxes!$B$3:$B$1084,$A59,Boxes!$D$3:$D$1084,"RHCU")</f>
        <v/>
      </c>
      <c r="M59" s="21">
        <f>SUMIFS(Boxes!$F$3:$F$1084,Boxes!$B$3:$B$1084,$A59,Boxes!$D$3:$D$1084,"REF")</f>
        <v/>
      </c>
      <c r="N59" s="21">
        <f>SUMIFS(Boxes!$F$3:$F$1084,Boxes!$B$3:$B$1084,$A59,Boxes!$D$3:$D$1084,"CCR")</f>
        <v/>
      </c>
      <c r="O59" s="21">
        <f>SUMIFS(Boxes!$F$3:$F$1084,Boxes!$B$3:$B$1084,$A59,Boxes!$D$3:$D$1084,"ISOM")</f>
        <v/>
      </c>
      <c r="P59" s="21">
        <f>SUMIFS(Boxes!$F$3:$F$1084,Boxes!$B$3:$B$1084,$A59,Boxes!$D$3:$D$1084,"ALKY")</f>
        <v/>
      </c>
      <c r="Q59" s="21">
        <f>SUMIFS(Boxes!$F$3:$F$1084,Boxes!$B$3:$B$1084,$A59,Boxes!$D$3:$D$1084,"NSPL")</f>
        <v/>
      </c>
      <c r="R59" s="21">
        <f>SUMIFS(Boxes!$F$3:$F$1084,Boxes!$B$3:$B$1084,$A59,Boxes!$D$3:$D$1084,"NHT")</f>
        <v/>
      </c>
    </row>
    <row r="60">
      <c r="A60" s="18" t="inlineStr">
        <is>
          <t>VALERO_MERAUX</t>
        </is>
      </c>
      <c r="B60" s="18" t="inlineStr">
        <is>
          <t>Valero Meraux</t>
        </is>
      </c>
      <c r="C60" s="18" t="n">
        <v>3</v>
      </c>
      <c r="D60" s="21">
        <f>SUMIFS(Data!$G$3:$G$125,Data!$A$3:$A$125,$A60)</f>
        <v/>
      </c>
      <c r="E60" s="21">
        <f>SUMIFS(Boxes!$F$3:$F$1084,Boxes!$B$3:$B$1084,$A60,Boxes!$D$3:$D$1084,"CDU")</f>
        <v/>
      </c>
      <c r="F60" s="21">
        <f>SUMIFS(Boxes!$F$3:$F$1084,Boxes!$B$3:$B$1084,$A60,Boxes!$D$3:$D$1084,"VDU")</f>
        <v/>
      </c>
      <c r="G60" s="21">
        <f>SUMIFS(Boxes!$F$3:$F$1084,Boxes!$B$3:$B$1084,$A60,Boxes!$D$3:$D$1084,"FCC")</f>
        <v/>
      </c>
      <c r="H60" s="21">
        <f>SUMIFS(Boxes!$F$3:$F$1084,Boxes!$B$3:$B$1084,$A60,Boxes!$D$3:$D$1084,"RCC")</f>
        <v/>
      </c>
      <c r="I60" s="21">
        <f>SUMIFS(Boxes!$F$3:$F$1084,Boxes!$B$3:$B$1084,$A60,Boxes!$D$3:$D$1084,"COKER")</f>
        <v/>
      </c>
      <c r="J60" s="21">
        <f>SUMIFS(Boxes!$F$3:$F$1084,Boxes!$B$3:$B$1084,$A60,Boxes!$D$3:$D$1084,"FCOKER")</f>
        <v/>
      </c>
      <c r="K60" s="21">
        <f>SUMIFS(Boxes!$F$3:$F$1084,Boxes!$B$3:$B$1084,$A60,Boxes!$D$3:$D$1084,"DHCU")</f>
        <v/>
      </c>
      <c r="L60" s="21">
        <f>SUMIFS(Boxes!$F$3:$F$1084,Boxes!$B$3:$B$1084,$A60,Boxes!$D$3:$D$1084,"RHCU")</f>
        <v/>
      </c>
      <c r="M60" s="21">
        <f>SUMIFS(Boxes!$F$3:$F$1084,Boxes!$B$3:$B$1084,$A60,Boxes!$D$3:$D$1084,"REF")</f>
        <v/>
      </c>
      <c r="N60" s="21">
        <f>SUMIFS(Boxes!$F$3:$F$1084,Boxes!$B$3:$B$1084,$A60,Boxes!$D$3:$D$1084,"CCR")</f>
        <v/>
      </c>
      <c r="O60" s="21">
        <f>SUMIFS(Boxes!$F$3:$F$1084,Boxes!$B$3:$B$1084,$A60,Boxes!$D$3:$D$1084,"ISOM")</f>
        <v/>
      </c>
      <c r="P60" s="21">
        <f>SUMIFS(Boxes!$F$3:$F$1084,Boxes!$B$3:$B$1084,$A60,Boxes!$D$3:$D$1084,"ALKY")</f>
        <v/>
      </c>
      <c r="Q60" s="21">
        <f>SUMIFS(Boxes!$F$3:$F$1084,Boxes!$B$3:$B$1084,$A60,Boxes!$D$3:$D$1084,"NSPL")</f>
        <v/>
      </c>
      <c r="R60" s="21">
        <f>SUMIFS(Boxes!$F$3:$F$1084,Boxes!$B$3:$B$1084,$A60,Boxes!$D$3:$D$1084,"NHT")</f>
        <v/>
      </c>
    </row>
    <row r="61">
      <c r="A61" s="18" t="inlineStr">
        <is>
          <t>KINDER_HOUSTON</t>
        </is>
      </c>
      <c r="B61" s="18" t="inlineStr">
        <is>
          <t>Kinder Morgan Houston</t>
        </is>
      </c>
      <c r="C61" s="18" t="n">
        <v>3</v>
      </c>
      <c r="D61" s="21">
        <f>SUMIFS(Data!$G$3:$G$125,Data!$A$3:$A$125,$A61)</f>
        <v/>
      </c>
      <c r="E61" s="21">
        <f>SUMIFS(Boxes!$F$3:$F$1084,Boxes!$B$3:$B$1084,$A61,Boxes!$D$3:$D$1084,"CDU")</f>
        <v/>
      </c>
      <c r="F61" s="21">
        <f>SUMIFS(Boxes!$F$3:$F$1084,Boxes!$B$3:$B$1084,$A61,Boxes!$D$3:$D$1084,"VDU")</f>
        <v/>
      </c>
      <c r="G61" s="21">
        <f>SUMIFS(Boxes!$F$3:$F$1084,Boxes!$B$3:$B$1084,$A61,Boxes!$D$3:$D$1084,"FCC")</f>
        <v/>
      </c>
      <c r="H61" s="21">
        <f>SUMIFS(Boxes!$F$3:$F$1084,Boxes!$B$3:$B$1084,$A61,Boxes!$D$3:$D$1084,"RCC")</f>
        <v/>
      </c>
      <c r="I61" s="21">
        <f>SUMIFS(Boxes!$F$3:$F$1084,Boxes!$B$3:$B$1084,$A61,Boxes!$D$3:$D$1084,"COKER")</f>
        <v/>
      </c>
      <c r="J61" s="21">
        <f>SUMIFS(Boxes!$F$3:$F$1084,Boxes!$B$3:$B$1084,$A61,Boxes!$D$3:$D$1084,"FCOKER")</f>
        <v/>
      </c>
      <c r="K61" s="21">
        <f>SUMIFS(Boxes!$F$3:$F$1084,Boxes!$B$3:$B$1084,$A61,Boxes!$D$3:$D$1084,"DHCU")</f>
        <v/>
      </c>
      <c r="L61" s="21">
        <f>SUMIFS(Boxes!$F$3:$F$1084,Boxes!$B$3:$B$1084,$A61,Boxes!$D$3:$D$1084,"RHCU")</f>
        <v/>
      </c>
      <c r="M61" s="21">
        <f>SUMIFS(Boxes!$F$3:$F$1084,Boxes!$B$3:$B$1084,$A61,Boxes!$D$3:$D$1084,"REF")</f>
        <v/>
      </c>
      <c r="N61" s="21">
        <f>SUMIFS(Boxes!$F$3:$F$1084,Boxes!$B$3:$B$1084,$A61,Boxes!$D$3:$D$1084,"CCR")</f>
        <v/>
      </c>
      <c r="O61" s="21">
        <f>SUMIFS(Boxes!$F$3:$F$1084,Boxes!$B$3:$B$1084,$A61,Boxes!$D$3:$D$1084,"ISOM")</f>
        <v/>
      </c>
      <c r="P61" s="21">
        <f>SUMIFS(Boxes!$F$3:$F$1084,Boxes!$B$3:$B$1084,$A61,Boxes!$D$3:$D$1084,"ALKY")</f>
        <v/>
      </c>
      <c r="Q61" s="21">
        <f>SUMIFS(Boxes!$F$3:$F$1084,Boxes!$B$3:$B$1084,$A61,Boxes!$D$3:$D$1084,"NSPL")</f>
        <v/>
      </c>
      <c r="R61" s="21">
        <f>SUMIFS(Boxes!$F$3:$F$1084,Boxes!$B$3:$B$1084,$A61,Boxes!$D$3:$D$1084,"NHT")</f>
        <v/>
      </c>
    </row>
    <row r="62">
      <c r="A62" s="18" t="inlineStr">
        <is>
          <t>CALCASIEU_LAKE_CHARLES</t>
        </is>
      </c>
      <c r="B62" s="18" t="inlineStr">
        <is>
          <t>Calcasieu Refining Co. Lake Charles</t>
        </is>
      </c>
      <c r="C62" s="18" t="n">
        <v>3</v>
      </c>
      <c r="D62" s="21">
        <f>SUMIFS(Data!$G$3:$G$125,Data!$A$3:$A$125,$A62)</f>
        <v/>
      </c>
      <c r="E62" s="21">
        <f>SUMIFS(Boxes!$F$3:$F$1084,Boxes!$B$3:$B$1084,$A62,Boxes!$D$3:$D$1084,"CDU")</f>
        <v/>
      </c>
      <c r="F62" s="21">
        <f>SUMIFS(Boxes!$F$3:$F$1084,Boxes!$B$3:$B$1084,$A62,Boxes!$D$3:$D$1084,"VDU")</f>
        <v/>
      </c>
      <c r="G62" s="21">
        <f>SUMIFS(Boxes!$F$3:$F$1084,Boxes!$B$3:$B$1084,$A62,Boxes!$D$3:$D$1084,"FCC")</f>
        <v/>
      </c>
      <c r="H62" s="21">
        <f>SUMIFS(Boxes!$F$3:$F$1084,Boxes!$B$3:$B$1084,$A62,Boxes!$D$3:$D$1084,"RCC")</f>
        <v/>
      </c>
      <c r="I62" s="21">
        <f>SUMIFS(Boxes!$F$3:$F$1084,Boxes!$B$3:$B$1084,$A62,Boxes!$D$3:$D$1084,"COKER")</f>
        <v/>
      </c>
      <c r="J62" s="21">
        <f>SUMIFS(Boxes!$F$3:$F$1084,Boxes!$B$3:$B$1084,$A62,Boxes!$D$3:$D$1084,"FCOKER")</f>
        <v/>
      </c>
      <c r="K62" s="21">
        <f>SUMIFS(Boxes!$F$3:$F$1084,Boxes!$B$3:$B$1084,$A62,Boxes!$D$3:$D$1084,"DHCU")</f>
        <v/>
      </c>
      <c r="L62" s="21">
        <f>SUMIFS(Boxes!$F$3:$F$1084,Boxes!$B$3:$B$1084,$A62,Boxes!$D$3:$D$1084,"RHCU")</f>
        <v/>
      </c>
      <c r="M62" s="21">
        <f>SUMIFS(Boxes!$F$3:$F$1084,Boxes!$B$3:$B$1084,$A62,Boxes!$D$3:$D$1084,"REF")</f>
        <v/>
      </c>
      <c r="N62" s="21">
        <f>SUMIFS(Boxes!$F$3:$F$1084,Boxes!$B$3:$B$1084,$A62,Boxes!$D$3:$D$1084,"CCR")</f>
        <v/>
      </c>
      <c r="O62" s="21">
        <f>SUMIFS(Boxes!$F$3:$F$1084,Boxes!$B$3:$B$1084,$A62,Boxes!$D$3:$D$1084,"ISOM")</f>
        <v/>
      </c>
      <c r="P62" s="21">
        <f>SUMIFS(Boxes!$F$3:$F$1084,Boxes!$B$3:$B$1084,$A62,Boxes!$D$3:$D$1084,"ALKY")</f>
        <v/>
      </c>
      <c r="Q62" s="21">
        <f>SUMIFS(Boxes!$F$3:$F$1084,Boxes!$B$3:$B$1084,$A62,Boxes!$D$3:$D$1084,"NSPL")</f>
        <v/>
      </c>
      <c r="R62" s="21">
        <f>SUMIFS(Boxes!$F$3:$F$1084,Boxes!$B$3:$B$1084,$A62,Boxes!$D$3:$D$1084,"NHT")</f>
        <v/>
      </c>
    </row>
    <row r="63">
      <c r="A63" s="18" t="inlineStr">
        <is>
          <t>HF_ARTESIA</t>
        </is>
      </c>
      <c r="B63" s="18" t="inlineStr">
        <is>
          <t>HF Sinclair Artesia</t>
        </is>
      </c>
      <c r="C63" s="18" t="n">
        <v>3</v>
      </c>
      <c r="D63" s="21">
        <f>SUMIFS(Data!$G$3:$G$125,Data!$A$3:$A$125,$A63)</f>
        <v/>
      </c>
      <c r="E63" s="21">
        <f>SUMIFS(Boxes!$F$3:$F$1084,Boxes!$B$3:$B$1084,$A63,Boxes!$D$3:$D$1084,"CDU")</f>
        <v/>
      </c>
      <c r="F63" s="21">
        <f>SUMIFS(Boxes!$F$3:$F$1084,Boxes!$B$3:$B$1084,$A63,Boxes!$D$3:$D$1084,"VDU")</f>
        <v/>
      </c>
      <c r="G63" s="21">
        <f>SUMIFS(Boxes!$F$3:$F$1084,Boxes!$B$3:$B$1084,$A63,Boxes!$D$3:$D$1084,"FCC")</f>
        <v/>
      </c>
      <c r="H63" s="21">
        <f>SUMIFS(Boxes!$F$3:$F$1084,Boxes!$B$3:$B$1084,$A63,Boxes!$D$3:$D$1084,"RCC")</f>
        <v/>
      </c>
      <c r="I63" s="21">
        <f>SUMIFS(Boxes!$F$3:$F$1084,Boxes!$B$3:$B$1084,$A63,Boxes!$D$3:$D$1084,"COKER")</f>
        <v/>
      </c>
      <c r="J63" s="21">
        <f>SUMIFS(Boxes!$F$3:$F$1084,Boxes!$B$3:$B$1084,$A63,Boxes!$D$3:$D$1084,"FCOKER")</f>
        <v/>
      </c>
      <c r="K63" s="21">
        <f>SUMIFS(Boxes!$F$3:$F$1084,Boxes!$B$3:$B$1084,$A63,Boxes!$D$3:$D$1084,"DHCU")</f>
        <v/>
      </c>
      <c r="L63" s="21">
        <f>SUMIFS(Boxes!$F$3:$F$1084,Boxes!$B$3:$B$1084,$A63,Boxes!$D$3:$D$1084,"RHCU")</f>
        <v/>
      </c>
      <c r="M63" s="21">
        <f>SUMIFS(Boxes!$F$3:$F$1084,Boxes!$B$3:$B$1084,$A63,Boxes!$D$3:$D$1084,"REF")</f>
        <v/>
      </c>
      <c r="N63" s="21">
        <f>SUMIFS(Boxes!$F$3:$F$1084,Boxes!$B$3:$B$1084,$A63,Boxes!$D$3:$D$1084,"CCR")</f>
        <v/>
      </c>
      <c r="O63" s="21">
        <f>SUMIFS(Boxes!$F$3:$F$1084,Boxes!$B$3:$B$1084,$A63,Boxes!$D$3:$D$1084,"ISOM")</f>
        <v/>
      </c>
      <c r="P63" s="21">
        <f>SUMIFS(Boxes!$F$3:$F$1084,Boxes!$B$3:$B$1084,$A63,Boxes!$D$3:$D$1084,"ALKY")</f>
        <v/>
      </c>
      <c r="Q63" s="21">
        <f>SUMIFS(Boxes!$F$3:$F$1084,Boxes!$B$3:$B$1084,$A63,Boxes!$D$3:$D$1084,"NSPL")</f>
        <v/>
      </c>
      <c r="R63" s="21">
        <f>SUMIFS(Boxes!$F$3:$F$1084,Boxes!$B$3:$B$1084,$A63,Boxes!$D$3:$D$1084,"NHT")</f>
        <v/>
      </c>
    </row>
    <row r="64">
      <c r="A64" s="18" t="inlineStr">
        <is>
          <t>VALERO_THREE_RIVERS</t>
        </is>
      </c>
      <c r="B64" s="18" t="inlineStr">
        <is>
          <t>Valero Three Rivers</t>
        </is>
      </c>
      <c r="C64" s="18" t="n">
        <v>3</v>
      </c>
      <c r="D64" s="21">
        <f>SUMIFS(Data!$G$3:$G$125,Data!$A$3:$A$125,$A64)</f>
        <v/>
      </c>
      <c r="E64" s="21">
        <f>SUMIFS(Boxes!$F$3:$F$1084,Boxes!$B$3:$B$1084,$A64,Boxes!$D$3:$D$1084,"CDU")</f>
        <v/>
      </c>
      <c r="F64" s="21">
        <f>SUMIFS(Boxes!$F$3:$F$1084,Boxes!$B$3:$B$1084,$A64,Boxes!$D$3:$D$1084,"VDU")</f>
        <v/>
      </c>
      <c r="G64" s="21">
        <f>SUMIFS(Boxes!$F$3:$F$1084,Boxes!$B$3:$B$1084,$A64,Boxes!$D$3:$D$1084,"FCC")</f>
        <v/>
      </c>
      <c r="H64" s="21">
        <f>SUMIFS(Boxes!$F$3:$F$1084,Boxes!$B$3:$B$1084,$A64,Boxes!$D$3:$D$1084,"RCC")</f>
        <v/>
      </c>
      <c r="I64" s="21">
        <f>SUMIFS(Boxes!$F$3:$F$1084,Boxes!$B$3:$B$1084,$A64,Boxes!$D$3:$D$1084,"COKER")</f>
        <v/>
      </c>
      <c r="J64" s="21">
        <f>SUMIFS(Boxes!$F$3:$F$1084,Boxes!$B$3:$B$1084,$A64,Boxes!$D$3:$D$1084,"FCOKER")</f>
        <v/>
      </c>
      <c r="K64" s="21">
        <f>SUMIFS(Boxes!$F$3:$F$1084,Boxes!$B$3:$B$1084,$A64,Boxes!$D$3:$D$1084,"DHCU")</f>
        <v/>
      </c>
      <c r="L64" s="21">
        <f>SUMIFS(Boxes!$F$3:$F$1084,Boxes!$B$3:$B$1084,$A64,Boxes!$D$3:$D$1084,"RHCU")</f>
        <v/>
      </c>
      <c r="M64" s="21">
        <f>SUMIFS(Boxes!$F$3:$F$1084,Boxes!$B$3:$B$1084,$A64,Boxes!$D$3:$D$1084,"REF")</f>
        <v/>
      </c>
      <c r="N64" s="21">
        <f>SUMIFS(Boxes!$F$3:$F$1084,Boxes!$B$3:$B$1084,$A64,Boxes!$D$3:$D$1084,"CCR")</f>
        <v/>
      </c>
      <c r="O64" s="21">
        <f>SUMIFS(Boxes!$F$3:$F$1084,Boxes!$B$3:$B$1084,$A64,Boxes!$D$3:$D$1084,"ISOM")</f>
        <v/>
      </c>
      <c r="P64" s="21">
        <f>SUMIFS(Boxes!$F$3:$F$1084,Boxes!$B$3:$B$1084,$A64,Boxes!$D$3:$D$1084,"ALKY")</f>
        <v/>
      </c>
      <c r="Q64" s="21">
        <f>SUMIFS(Boxes!$F$3:$F$1084,Boxes!$B$3:$B$1084,$A64,Boxes!$D$3:$D$1084,"NSPL")</f>
        <v/>
      </c>
      <c r="R64" s="21">
        <f>SUMIFS(Boxes!$F$3:$F$1084,Boxes!$B$3:$B$1084,$A64,Boxes!$D$3:$D$1084,"NHT")</f>
        <v/>
      </c>
    </row>
    <row r="65">
      <c r="A65" s="18" t="inlineStr">
        <is>
          <t>VERTEX_MOBILE</t>
        </is>
      </c>
      <c r="B65" s="18" t="inlineStr">
        <is>
          <t>Vertex Energy Inc. Mobile</t>
        </is>
      </c>
      <c r="C65" s="18" t="n">
        <v>3</v>
      </c>
      <c r="D65" s="21">
        <f>SUMIFS(Data!$G$3:$G$125,Data!$A$3:$A$125,$A65)</f>
        <v/>
      </c>
      <c r="E65" s="21">
        <f>SUMIFS(Boxes!$F$3:$F$1084,Boxes!$B$3:$B$1084,$A65,Boxes!$D$3:$D$1084,"CDU")</f>
        <v/>
      </c>
      <c r="F65" s="21">
        <f>SUMIFS(Boxes!$F$3:$F$1084,Boxes!$B$3:$B$1084,$A65,Boxes!$D$3:$D$1084,"VDU")</f>
        <v/>
      </c>
      <c r="G65" s="21">
        <f>SUMIFS(Boxes!$F$3:$F$1084,Boxes!$B$3:$B$1084,$A65,Boxes!$D$3:$D$1084,"FCC")</f>
        <v/>
      </c>
      <c r="H65" s="21">
        <f>SUMIFS(Boxes!$F$3:$F$1084,Boxes!$B$3:$B$1084,$A65,Boxes!$D$3:$D$1084,"RCC")</f>
        <v/>
      </c>
      <c r="I65" s="21">
        <f>SUMIFS(Boxes!$F$3:$F$1084,Boxes!$B$3:$B$1084,$A65,Boxes!$D$3:$D$1084,"COKER")</f>
        <v/>
      </c>
      <c r="J65" s="21">
        <f>SUMIFS(Boxes!$F$3:$F$1084,Boxes!$B$3:$B$1084,$A65,Boxes!$D$3:$D$1084,"FCOKER")</f>
        <v/>
      </c>
      <c r="K65" s="21">
        <f>SUMIFS(Boxes!$F$3:$F$1084,Boxes!$B$3:$B$1084,$A65,Boxes!$D$3:$D$1084,"DHCU")</f>
        <v/>
      </c>
      <c r="L65" s="21">
        <f>SUMIFS(Boxes!$F$3:$F$1084,Boxes!$B$3:$B$1084,$A65,Boxes!$D$3:$D$1084,"RHCU")</f>
        <v/>
      </c>
      <c r="M65" s="21">
        <f>SUMIFS(Boxes!$F$3:$F$1084,Boxes!$B$3:$B$1084,$A65,Boxes!$D$3:$D$1084,"REF")</f>
        <v/>
      </c>
      <c r="N65" s="21">
        <f>SUMIFS(Boxes!$F$3:$F$1084,Boxes!$B$3:$B$1084,$A65,Boxes!$D$3:$D$1084,"CCR")</f>
        <v/>
      </c>
      <c r="O65" s="21">
        <f>SUMIFS(Boxes!$F$3:$F$1084,Boxes!$B$3:$B$1084,$A65,Boxes!$D$3:$D$1084,"ISOM")</f>
        <v/>
      </c>
      <c r="P65" s="21">
        <f>SUMIFS(Boxes!$F$3:$F$1084,Boxes!$B$3:$B$1084,$A65,Boxes!$D$3:$D$1084,"ALKY")</f>
        <v/>
      </c>
      <c r="Q65" s="21">
        <f>SUMIFS(Boxes!$F$3:$F$1084,Boxes!$B$3:$B$1084,$A65,Boxes!$D$3:$D$1084,"NSPL")</f>
        <v/>
      </c>
      <c r="R65" s="21">
        <f>SUMIFS(Boxes!$F$3:$F$1084,Boxes!$B$3:$B$1084,$A65,Boxes!$D$3:$D$1084,"NHT")</f>
        <v/>
      </c>
    </row>
    <row r="66">
      <c r="A66" s="18" t="inlineStr">
        <is>
          <t>DELEK_EL_DORADO_AR</t>
        </is>
      </c>
      <c r="B66" s="18" t="inlineStr">
        <is>
          <t>Delek Group El Dorado (AR)</t>
        </is>
      </c>
      <c r="C66" s="18" t="n">
        <v>3</v>
      </c>
      <c r="D66" s="21">
        <f>SUMIFS(Data!$G$3:$G$125,Data!$A$3:$A$125,$A66)</f>
        <v/>
      </c>
      <c r="E66" s="21">
        <f>SUMIFS(Boxes!$F$3:$F$1084,Boxes!$B$3:$B$1084,$A66,Boxes!$D$3:$D$1084,"CDU")</f>
        <v/>
      </c>
      <c r="F66" s="21">
        <f>SUMIFS(Boxes!$F$3:$F$1084,Boxes!$B$3:$B$1084,$A66,Boxes!$D$3:$D$1084,"VDU")</f>
        <v/>
      </c>
      <c r="G66" s="21">
        <f>SUMIFS(Boxes!$F$3:$F$1084,Boxes!$B$3:$B$1084,$A66,Boxes!$D$3:$D$1084,"FCC")</f>
        <v/>
      </c>
      <c r="H66" s="21">
        <f>SUMIFS(Boxes!$F$3:$F$1084,Boxes!$B$3:$B$1084,$A66,Boxes!$D$3:$D$1084,"RCC")</f>
        <v/>
      </c>
      <c r="I66" s="21">
        <f>SUMIFS(Boxes!$F$3:$F$1084,Boxes!$B$3:$B$1084,$A66,Boxes!$D$3:$D$1084,"COKER")</f>
        <v/>
      </c>
      <c r="J66" s="21">
        <f>SUMIFS(Boxes!$F$3:$F$1084,Boxes!$B$3:$B$1084,$A66,Boxes!$D$3:$D$1084,"FCOKER")</f>
        <v/>
      </c>
      <c r="K66" s="21">
        <f>SUMIFS(Boxes!$F$3:$F$1084,Boxes!$B$3:$B$1084,$A66,Boxes!$D$3:$D$1084,"DHCU")</f>
        <v/>
      </c>
      <c r="L66" s="21">
        <f>SUMIFS(Boxes!$F$3:$F$1084,Boxes!$B$3:$B$1084,$A66,Boxes!$D$3:$D$1084,"RHCU")</f>
        <v/>
      </c>
      <c r="M66" s="21">
        <f>SUMIFS(Boxes!$F$3:$F$1084,Boxes!$B$3:$B$1084,$A66,Boxes!$D$3:$D$1084,"REF")</f>
        <v/>
      </c>
      <c r="N66" s="21">
        <f>SUMIFS(Boxes!$F$3:$F$1084,Boxes!$B$3:$B$1084,$A66,Boxes!$D$3:$D$1084,"CCR")</f>
        <v/>
      </c>
      <c r="O66" s="21">
        <f>SUMIFS(Boxes!$F$3:$F$1084,Boxes!$B$3:$B$1084,$A66,Boxes!$D$3:$D$1084,"ISOM")</f>
        <v/>
      </c>
      <c r="P66" s="21">
        <f>SUMIFS(Boxes!$F$3:$F$1084,Boxes!$B$3:$B$1084,$A66,Boxes!$D$3:$D$1084,"ALKY")</f>
        <v/>
      </c>
      <c r="Q66" s="21">
        <f>SUMIFS(Boxes!$F$3:$F$1084,Boxes!$B$3:$B$1084,$A66,Boxes!$D$3:$D$1084,"NSPL")</f>
        <v/>
      </c>
      <c r="R66" s="21">
        <f>SUMIFS(Boxes!$F$3:$F$1084,Boxes!$B$3:$B$1084,$A66,Boxes!$D$3:$D$1084,"NHT")</f>
        <v/>
      </c>
    </row>
    <row r="67">
      <c r="A67" s="18" t="inlineStr">
        <is>
          <t>BASF_PORT_ARTHUR</t>
        </is>
      </c>
      <c r="B67" s="18" t="inlineStr">
        <is>
          <t>BASF FINA Petrochemicals Port Arthur</t>
        </is>
      </c>
      <c r="C67" s="18" t="n">
        <v>3</v>
      </c>
      <c r="D67" s="21">
        <f>SUMIFS(Data!$G$3:$G$125,Data!$A$3:$A$125,$A67)</f>
        <v/>
      </c>
      <c r="E67" s="21">
        <f>SUMIFS(Boxes!$F$3:$F$1084,Boxes!$B$3:$B$1084,$A67,Boxes!$D$3:$D$1084,"CDU")</f>
        <v/>
      </c>
      <c r="F67" s="21">
        <f>SUMIFS(Boxes!$F$3:$F$1084,Boxes!$B$3:$B$1084,$A67,Boxes!$D$3:$D$1084,"VDU")</f>
        <v/>
      </c>
      <c r="G67" s="21">
        <f>SUMIFS(Boxes!$F$3:$F$1084,Boxes!$B$3:$B$1084,$A67,Boxes!$D$3:$D$1084,"FCC")</f>
        <v/>
      </c>
      <c r="H67" s="21">
        <f>SUMIFS(Boxes!$F$3:$F$1084,Boxes!$B$3:$B$1084,$A67,Boxes!$D$3:$D$1084,"RCC")</f>
        <v/>
      </c>
      <c r="I67" s="21">
        <f>SUMIFS(Boxes!$F$3:$F$1084,Boxes!$B$3:$B$1084,$A67,Boxes!$D$3:$D$1084,"COKER")</f>
        <v/>
      </c>
      <c r="J67" s="21">
        <f>SUMIFS(Boxes!$F$3:$F$1084,Boxes!$B$3:$B$1084,$A67,Boxes!$D$3:$D$1084,"FCOKER")</f>
        <v/>
      </c>
      <c r="K67" s="21">
        <f>SUMIFS(Boxes!$F$3:$F$1084,Boxes!$B$3:$B$1084,$A67,Boxes!$D$3:$D$1084,"DHCU")</f>
        <v/>
      </c>
      <c r="L67" s="21">
        <f>SUMIFS(Boxes!$F$3:$F$1084,Boxes!$B$3:$B$1084,$A67,Boxes!$D$3:$D$1084,"RHCU")</f>
        <v/>
      </c>
      <c r="M67" s="21">
        <f>SUMIFS(Boxes!$F$3:$F$1084,Boxes!$B$3:$B$1084,$A67,Boxes!$D$3:$D$1084,"REF")</f>
        <v/>
      </c>
      <c r="N67" s="21">
        <f>SUMIFS(Boxes!$F$3:$F$1084,Boxes!$B$3:$B$1084,$A67,Boxes!$D$3:$D$1084,"CCR")</f>
        <v/>
      </c>
      <c r="O67" s="21">
        <f>SUMIFS(Boxes!$F$3:$F$1084,Boxes!$B$3:$B$1084,$A67,Boxes!$D$3:$D$1084,"ISOM")</f>
        <v/>
      </c>
      <c r="P67" s="21">
        <f>SUMIFS(Boxes!$F$3:$F$1084,Boxes!$B$3:$B$1084,$A67,Boxes!$D$3:$D$1084,"ALKY")</f>
        <v/>
      </c>
      <c r="Q67" s="21">
        <f>SUMIFS(Boxes!$F$3:$F$1084,Boxes!$B$3:$B$1084,$A67,Boxes!$D$3:$D$1084,"NSPL")</f>
        <v/>
      </c>
      <c r="R67" s="21">
        <f>SUMIFS(Boxes!$F$3:$F$1084,Boxes!$B$3:$B$1084,$A67,Boxes!$D$3:$D$1084,"NHT")</f>
        <v/>
      </c>
    </row>
    <row r="68">
      <c r="A68" s="18" t="inlineStr">
        <is>
          <t>DELEK_TYLER</t>
        </is>
      </c>
      <c r="B68" s="18" t="inlineStr">
        <is>
          <t>Delek Refining Ltd. Tyler</t>
        </is>
      </c>
      <c r="C68" s="18" t="n">
        <v>3</v>
      </c>
      <c r="D68" s="21">
        <f>SUMIFS(Data!$G$3:$G$125,Data!$A$3:$A$125,$A68)</f>
        <v/>
      </c>
      <c r="E68" s="21">
        <f>SUMIFS(Boxes!$F$3:$F$1084,Boxes!$B$3:$B$1084,$A68,Boxes!$D$3:$D$1084,"CDU")</f>
        <v/>
      </c>
      <c r="F68" s="21">
        <f>SUMIFS(Boxes!$F$3:$F$1084,Boxes!$B$3:$B$1084,$A68,Boxes!$D$3:$D$1084,"VDU")</f>
        <v/>
      </c>
      <c r="G68" s="21">
        <f>SUMIFS(Boxes!$F$3:$F$1084,Boxes!$B$3:$B$1084,$A68,Boxes!$D$3:$D$1084,"FCC")</f>
        <v/>
      </c>
      <c r="H68" s="21">
        <f>SUMIFS(Boxes!$F$3:$F$1084,Boxes!$B$3:$B$1084,$A68,Boxes!$D$3:$D$1084,"RCC")</f>
        <v/>
      </c>
      <c r="I68" s="21">
        <f>SUMIFS(Boxes!$F$3:$F$1084,Boxes!$B$3:$B$1084,$A68,Boxes!$D$3:$D$1084,"COKER")</f>
        <v/>
      </c>
      <c r="J68" s="21">
        <f>SUMIFS(Boxes!$F$3:$F$1084,Boxes!$B$3:$B$1084,$A68,Boxes!$D$3:$D$1084,"FCOKER")</f>
        <v/>
      </c>
      <c r="K68" s="21">
        <f>SUMIFS(Boxes!$F$3:$F$1084,Boxes!$B$3:$B$1084,$A68,Boxes!$D$3:$D$1084,"DHCU")</f>
        <v/>
      </c>
      <c r="L68" s="21">
        <f>SUMIFS(Boxes!$F$3:$F$1084,Boxes!$B$3:$B$1084,$A68,Boxes!$D$3:$D$1084,"RHCU")</f>
        <v/>
      </c>
      <c r="M68" s="21">
        <f>SUMIFS(Boxes!$F$3:$F$1084,Boxes!$B$3:$B$1084,$A68,Boxes!$D$3:$D$1084,"REF")</f>
        <v/>
      </c>
      <c r="N68" s="21">
        <f>SUMIFS(Boxes!$F$3:$F$1084,Boxes!$B$3:$B$1084,$A68,Boxes!$D$3:$D$1084,"CCR")</f>
        <v/>
      </c>
      <c r="O68" s="21">
        <f>SUMIFS(Boxes!$F$3:$F$1084,Boxes!$B$3:$B$1084,$A68,Boxes!$D$3:$D$1084,"ISOM")</f>
        <v/>
      </c>
      <c r="P68" s="21">
        <f>SUMIFS(Boxes!$F$3:$F$1084,Boxes!$B$3:$B$1084,$A68,Boxes!$D$3:$D$1084,"ALKY")</f>
        <v/>
      </c>
      <c r="Q68" s="21">
        <f>SUMIFS(Boxes!$F$3:$F$1084,Boxes!$B$3:$B$1084,$A68,Boxes!$D$3:$D$1084,"NSPL")</f>
        <v/>
      </c>
      <c r="R68" s="21">
        <f>SUMIFS(Boxes!$F$3:$F$1084,Boxes!$B$3:$B$1084,$A68,Boxes!$D$3:$D$1084,"NHT")</f>
        <v/>
      </c>
    </row>
    <row r="69">
      <c r="A69" s="18" t="inlineStr">
        <is>
          <t>PLACID_PORT_ALLEN</t>
        </is>
      </c>
      <c r="B69" s="18" t="inlineStr">
        <is>
          <t>Placid Refining Port Allen</t>
        </is>
      </c>
      <c r="C69" s="18" t="n">
        <v>3</v>
      </c>
      <c r="D69" s="21">
        <f>SUMIFS(Data!$G$3:$G$125,Data!$A$3:$A$125,$A69)</f>
        <v/>
      </c>
      <c r="E69" s="21">
        <f>SUMIFS(Boxes!$F$3:$F$1084,Boxes!$B$3:$B$1084,$A69,Boxes!$D$3:$D$1084,"CDU")</f>
        <v/>
      </c>
      <c r="F69" s="21">
        <f>SUMIFS(Boxes!$F$3:$F$1084,Boxes!$B$3:$B$1084,$A69,Boxes!$D$3:$D$1084,"VDU")</f>
        <v/>
      </c>
      <c r="G69" s="21">
        <f>SUMIFS(Boxes!$F$3:$F$1084,Boxes!$B$3:$B$1084,$A69,Boxes!$D$3:$D$1084,"FCC")</f>
        <v/>
      </c>
      <c r="H69" s="21">
        <f>SUMIFS(Boxes!$F$3:$F$1084,Boxes!$B$3:$B$1084,$A69,Boxes!$D$3:$D$1084,"RCC")</f>
        <v/>
      </c>
      <c r="I69" s="21">
        <f>SUMIFS(Boxes!$F$3:$F$1084,Boxes!$B$3:$B$1084,$A69,Boxes!$D$3:$D$1084,"COKER")</f>
        <v/>
      </c>
      <c r="J69" s="21">
        <f>SUMIFS(Boxes!$F$3:$F$1084,Boxes!$B$3:$B$1084,$A69,Boxes!$D$3:$D$1084,"FCOKER")</f>
        <v/>
      </c>
      <c r="K69" s="21">
        <f>SUMIFS(Boxes!$F$3:$F$1084,Boxes!$B$3:$B$1084,$A69,Boxes!$D$3:$D$1084,"DHCU")</f>
        <v/>
      </c>
      <c r="L69" s="21">
        <f>SUMIFS(Boxes!$F$3:$F$1084,Boxes!$B$3:$B$1084,$A69,Boxes!$D$3:$D$1084,"RHCU")</f>
        <v/>
      </c>
      <c r="M69" s="21">
        <f>SUMIFS(Boxes!$F$3:$F$1084,Boxes!$B$3:$B$1084,$A69,Boxes!$D$3:$D$1084,"REF")</f>
        <v/>
      </c>
      <c r="N69" s="21">
        <f>SUMIFS(Boxes!$F$3:$F$1084,Boxes!$B$3:$B$1084,$A69,Boxes!$D$3:$D$1084,"CCR")</f>
        <v/>
      </c>
      <c r="O69" s="21">
        <f>SUMIFS(Boxes!$F$3:$F$1084,Boxes!$B$3:$B$1084,$A69,Boxes!$D$3:$D$1084,"ISOM")</f>
        <v/>
      </c>
      <c r="P69" s="21">
        <f>SUMIFS(Boxes!$F$3:$F$1084,Boxes!$B$3:$B$1084,$A69,Boxes!$D$3:$D$1084,"ALKY")</f>
        <v/>
      </c>
      <c r="Q69" s="21">
        <f>SUMIFS(Boxes!$F$3:$F$1084,Boxes!$B$3:$B$1084,$A69,Boxes!$D$3:$D$1084,"NSPL")</f>
        <v/>
      </c>
      <c r="R69" s="21">
        <f>SUMIFS(Boxes!$F$3:$F$1084,Boxes!$B$3:$B$1084,$A69,Boxes!$D$3:$D$1084,"NHT")</f>
        <v/>
      </c>
    </row>
    <row r="70">
      <c r="A70" s="18" t="inlineStr">
        <is>
          <t>DELEK_KROTZ_SPRINGS</t>
        </is>
      </c>
      <c r="B70" s="18" t="inlineStr">
        <is>
          <t>Delek Group Krotz Springs</t>
        </is>
      </c>
      <c r="C70" s="18" t="n">
        <v>3</v>
      </c>
      <c r="D70" s="21">
        <f>SUMIFS(Data!$G$3:$G$125,Data!$A$3:$A$125,$A70)</f>
        <v/>
      </c>
      <c r="E70" s="21">
        <f>SUMIFS(Boxes!$F$3:$F$1084,Boxes!$B$3:$B$1084,$A70,Boxes!$D$3:$D$1084,"CDU")</f>
        <v/>
      </c>
      <c r="F70" s="21">
        <f>SUMIFS(Boxes!$F$3:$F$1084,Boxes!$B$3:$B$1084,$A70,Boxes!$D$3:$D$1084,"VDU")</f>
        <v/>
      </c>
      <c r="G70" s="21">
        <f>SUMIFS(Boxes!$F$3:$F$1084,Boxes!$B$3:$B$1084,$A70,Boxes!$D$3:$D$1084,"FCC")</f>
        <v/>
      </c>
      <c r="H70" s="21">
        <f>SUMIFS(Boxes!$F$3:$F$1084,Boxes!$B$3:$B$1084,$A70,Boxes!$D$3:$D$1084,"RCC")</f>
        <v/>
      </c>
      <c r="I70" s="21">
        <f>SUMIFS(Boxes!$F$3:$F$1084,Boxes!$B$3:$B$1084,$A70,Boxes!$D$3:$D$1084,"COKER")</f>
        <v/>
      </c>
      <c r="J70" s="21">
        <f>SUMIFS(Boxes!$F$3:$F$1084,Boxes!$B$3:$B$1084,$A70,Boxes!$D$3:$D$1084,"FCOKER")</f>
        <v/>
      </c>
      <c r="K70" s="21">
        <f>SUMIFS(Boxes!$F$3:$F$1084,Boxes!$B$3:$B$1084,$A70,Boxes!$D$3:$D$1084,"DHCU")</f>
        <v/>
      </c>
      <c r="L70" s="21">
        <f>SUMIFS(Boxes!$F$3:$F$1084,Boxes!$B$3:$B$1084,$A70,Boxes!$D$3:$D$1084,"RHCU")</f>
        <v/>
      </c>
      <c r="M70" s="21">
        <f>SUMIFS(Boxes!$F$3:$F$1084,Boxes!$B$3:$B$1084,$A70,Boxes!$D$3:$D$1084,"REF")</f>
        <v/>
      </c>
      <c r="N70" s="21">
        <f>SUMIFS(Boxes!$F$3:$F$1084,Boxes!$B$3:$B$1084,$A70,Boxes!$D$3:$D$1084,"CCR")</f>
        <v/>
      </c>
      <c r="O70" s="21">
        <f>SUMIFS(Boxes!$F$3:$F$1084,Boxes!$B$3:$B$1084,$A70,Boxes!$D$3:$D$1084,"ISOM")</f>
        <v/>
      </c>
      <c r="P70" s="21">
        <f>SUMIFS(Boxes!$F$3:$F$1084,Boxes!$B$3:$B$1084,$A70,Boxes!$D$3:$D$1084,"ALKY")</f>
        <v/>
      </c>
      <c r="Q70" s="21">
        <f>SUMIFS(Boxes!$F$3:$F$1084,Boxes!$B$3:$B$1084,$A70,Boxes!$D$3:$D$1084,"NSPL")</f>
        <v/>
      </c>
      <c r="R70" s="21">
        <f>SUMIFS(Boxes!$F$3:$F$1084,Boxes!$B$3:$B$1084,$A70,Boxes!$D$3:$D$1084,"NHT")</f>
        <v/>
      </c>
    </row>
    <row r="71">
      <c r="A71" s="18" t="inlineStr">
        <is>
          <t>ALON_BIG_SPRINGS</t>
        </is>
      </c>
      <c r="B71" s="18" t="inlineStr">
        <is>
          <t>Alon Big Springs</t>
        </is>
      </c>
      <c r="C71" s="18" t="n">
        <v>3</v>
      </c>
      <c r="D71" s="21">
        <f>SUMIFS(Data!$G$3:$G$125,Data!$A$3:$A$125,$A71)</f>
        <v/>
      </c>
      <c r="E71" s="21">
        <f>SUMIFS(Boxes!$F$3:$F$1084,Boxes!$B$3:$B$1084,$A71,Boxes!$D$3:$D$1084,"CDU")</f>
        <v/>
      </c>
      <c r="F71" s="21">
        <f>SUMIFS(Boxes!$F$3:$F$1084,Boxes!$B$3:$B$1084,$A71,Boxes!$D$3:$D$1084,"VDU")</f>
        <v/>
      </c>
      <c r="G71" s="21">
        <f>SUMIFS(Boxes!$F$3:$F$1084,Boxes!$B$3:$B$1084,$A71,Boxes!$D$3:$D$1084,"FCC")</f>
        <v/>
      </c>
      <c r="H71" s="21">
        <f>SUMIFS(Boxes!$F$3:$F$1084,Boxes!$B$3:$B$1084,$A71,Boxes!$D$3:$D$1084,"RCC")</f>
        <v/>
      </c>
      <c r="I71" s="21">
        <f>SUMIFS(Boxes!$F$3:$F$1084,Boxes!$B$3:$B$1084,$A71,Boxes!$D$3:$D$1084,"COKER")</f>
        <v/>
      </c>
      <c r="J71" s="21">
        <f>SUMIFS(Boxes!$F$3:$F$1084,Boxes!$B$3:$B$1084,$A71,Boxes!$D$3:$D$1084,"FCOKER")</f>
        <v/>
      </c>
      <c r="K71" s="21">
        <f>SUMIFS(Boxes!$F$3:$F$1084,Boxes!$B$3:$B$1084,$A71,Boxes!$D$3:$D$1084,"DHCU")</f>
        <v/>
      </c>
      <c r="L71" s="21">
        <f>SUMIFS(Boxes!$F$3:$F$1084,Boxes!$B$3:$B$1084,$A71,Boxes!$D$3:$D$1084,"RHCU")</f>
        <v/>
      </c>
      <c r="M71" s="21">
        <f>SUMIFS(Boxes!$F$3:$F$1084,Boxes!$B$3:$B$1084,$A71,Boxes!$D$3:$D$1084,"REF")</f>
        <v/>
      </c>
      <c r="N71" s="21">
        <f>SUMIFS(Boxes!$F$3:$F$1084,Boxes!$B$3:$B$1084,$A71,Boxes!$D$3:$D$1084,"CCR")</f>
        <v/>
      </c>
      <c r="O71" s="21">
        <f>SUMIFS(Boxes!$F$3:$F$1084,Boxes!$B$3:$B$1084,$A71,Boxes!$D$3:$D$1084,"ISOM")</f>
        <v/>
      </c>
      <c r="P71" s="21">
        <f>SUMIFS(Boxes!$F$3:$F$1084,Boxes!$B$3:$B$1084,$A71,Boxes!$D$3:$D$1084,"ALKY")</f>
        <v/>
      </c>
      <c r="Q71" s="21">
        <f>SUMIFS(Boxes!$F$3:$F$1084,Boxes!$B$3:$B$1084,$A71,Boxes!$D$3:$D$1084,"NSPL")</f>
        <v/>
      </c>
      <c r="R71" s="21">
        <f>SUMIFS(Boxes!$F$3:$F$1084,Boxes!$B$3:$B$1084,$A71,Boxes!$D$3:$D$1084,"NHT")</f>
        <v/>
      </c>
    </row>
    <row r="72">
      <c r="A72" s="18" t="inlineStr">
        <is>
          <t>BUCKEYE_CORPUS_CHRISTI</t>
        </is>
      </c>
      <c r="B72" s="18" t="inlineStr">
        <is>
          <t>Buckeye Partners Corpus Christi</t>
        </is>
      </c>
      <c r="C72" s="18" t="n">
        <v>3</v>
      </c>
      <c r="D72" s="21">
        <f>SUMIFS(Data!$G$3:$G$125,Data!$A$3:$A$125,$A72)</f>
        <v/>
      </c>
      <c r="E72" s="21">
        <f>SUMIFS(Boxes!$F$3:$F$1084,Boxes!$B$3:$B$1084,$A72,Boxes!$D$3:$D$1084,"CDU")</f>
        <v/>
      </c>
      <c r="F72" s="21">
        <f>SUMIFS(Boxes!$F$3:$F$1084,Boxes!$B$3:$B$1084,$A72,Boxes!$D$3:$D$1084,"VDU")</f>
        <v/>
      </c>
      <c r="G72" s="21">
        <f>SUMIFS(Boxes!$F$3:$F$1084,Boxes!$B$3:$B$1084,$A72,Boxes!$D$3:$D$1084,"FCC")</f>
        <v/>
      </c>
      <c r="H72" s="21">
        <f>SUMIFS(Boxes!$F$3:$F$1084,Boxes!$B$3:$B$1084,$A72,Boxes!$D$3:$D$1084,"RCC")</f>
        <v/>
      </c>
      <c r="I72" s="21">
        <f>SUMIFS(Boxes!$F$3:$F$1084,Boxes!$B$3:$B$1084,$A72,Boxes!$D$3:$D$1084,"COKER")</f>
        <v/>
      </c>
      <c r="J72" s="21">
        <f>SUMIFS(Boxes!$F$3:$F$1084,Boxes!$B$3:$B$1084,$A72,Boxes!$D$3:$D$1084,"FCOKER")</f>
        <v/>
      </c>
      <c r="K72" s="21">
        <f>SUMIFS(Boxes!$F$3:$F$1084,Boxes!$B$3:$B$1084,$A72,Boxes!$D$3:$D$1084,"DHCU")</f>
        <v/>
      </c>
      <c r="L72" s="21">
        <f>SUMIFS(Boxes!$F$3:$F$1084,Boxes!$B$3:$B$1084,$A72,Boxes!$D$3:$D$1084,"RHCU")</f>
        <v/>
      </c>
      <c r="M72" s="21">
        <f>SUMIFS(Boxes!$F$3:$F$1084,Boxes!$B$3:$B$1084,$A72,Boxes!$D$3:$D$1084,"REF")</f>
        <v/>
      </c>
      <c r="N72" s="21">
        <f>SUMIFS(Boxes!$F$3:$F$1084,Boxes!$B$3:$B$1084,$A72,Boxes!$D$3:$D$1084,"CCR")</f>
        <v/>
      </c>
      <c r="O72" s="21">
        <f>SUMIFS(Boxes!$F$3:$F$1084,Boxes!$B$3:$B$1084,$A72,Boxes!$D$3:$D$1084,"ISOM")</f>
        <v/>
      </c>
      <c r="P72" s="21">
        <f>SUMIFS(Boxes!$F$3:$F$1084,Boxes!$B$3:$B$1084,$A72,Boxes!$D$3:$D$1084,"ALKY")</f>
        <v/>
      </c>
      <c r="Q72" s="21">
        <f>SUMIFS(Boxes!$F$3:$F$1084,Boxes!$B$3:$B$1084,$A72,Boxes!$D$3:$D$1084,"NSPL")</f>
        <v/>
      </c>
      <c r="R72" s="21">
        <f>SUMIFS(Boxes!$F$3:$F$1084,Boxes!$B$3:$B$1084,$A72,Boxes!$D$3:$D$1084,"NHT")</f>
        <v/>
      </c>
    </row>
    <row r="73">
      <c r="A73" s="18" t="inlineStr">
        <is>
          <t>CALUMET_SHREVEPORT</t>
        </is>
      </c>
      <c r="B73" s="18" t="inlineStr">
        <is>
          <t>Calumet Lubricants Co. Shreveport</t>
        </is>
      </c>
      <c r="C73" s="18" t="n">
        <v>3</v>
      </c>
      <c r="D73" s="21">
        <f>SUMIFS(Data!$G$3:$G$125,Data!$A$3:$A$125,$A73)</f>
        <v/>
      </c>
      <c r="E73" s="21">
        <f>SUMIFS(Boxes!$F$3:$F$1084,Boxes!$B$3:$B$1084,$A73,Boxes!$D$3:$D$1084,"CDU")</f>
        <v/>
      </c>
      <c r="F73" s="21">
        <f>SUMIFS(Boxes!$F$3:$F$1084,Boxes!$B$3:$B$1084,$A73,Boxes!$D$3:$D$1084,"VDU")</f>
        <v/>
      </c>
      <c r="G73" s="21">
        <f>SUMIFS(Boxes!$F$3:$F$1084,Boxes!$B$3:$B$1084,$A73,Boxes!$D$3:$D$1084,"FCC")</f>
        <v/>
      </c>
      <c r="H73" s="21">
        <f>SUMIFS(Boxes!$F$3:$F$1084,Boxes!$B$3:$B$1084,$A73,Boxes!$D$3:$D$1084,"RCC")</f>
        <v/>
      </c>
      <c r="I73" s="21">
        <f>SUMIFS(Boxes!$F$3:$F$1084,Boxes!$B$3:$B$1084,$A73,Boxes!$D$3:$D$1084,"COKER")</f>
        <v/>
      </c>
      <c r="J73" s="21">
        <f>SUMIFS(Boxes!$F$3:$F$1084,Boxes!$B$3:$B$1084,$A73,Boxes!$D$3:$D$1084,"FCOKER")</f>
        <v/>
      </c>
      <c r="K73" s="21">
        <f>SUMIFS(Boxes!$F$3:$F$1084,Boxes!$B$3:$B$1084,$A73,Boxes!$D$3:$D$1084,"DHCU")</f>
        <v/>
      </c>
      <c r="L73" s="21">
        <f>SUMIFS(Boxes!$F$3:$F$1084,Boxes!$B$3:$B$1084,$A73,Boxes!$D$3:$D$1084,"RHCU")</f>
        <v/>
      </c>
      <c r="M73" s="21">
        <f>SUMIFS(Boxes!$F$3:$F$1084,Boxes!$B$3:$B$1084,$A73,Boxes!$D$3:$D$1084,"REF")</f>
        <v/>
      </c>
      <c r="N73" s="21">
        <f>SUMIFS(Boxes!$F$3:$F$1084,Boxes!$B$3:$B$1084,$A73,Boxes!$D$3:$D$1084,"CCR")</f>
        <v/>
      </c>
      <c r="O73" s="21">
        <f>SUMIFS(Boxes!$F$3:$F$1084,Boxes!$B$3:$B$1084,$A73,Boxes!$D$3:$D$1084,"ISOM")</f>
        <v/>
      </c>
      <c r="P73" s="21">
        <f>SUMIFS(Boxes!$F$3:$F$1084,Boxes!$B$3:$B$1084,$A73,Boxes!$D$3:$D$1084,"ALKY")</f>
        <v/>
      </c>
      <c r="Q73" s="21">
        <f>SUMIFS(Boxes!$F$3:$F$1084,Boxes!$B$3:$B$1084,$A73,Boxes!$D$3:$D$1084,"NSPL")</f>
        <v/>
      </c>
      <c r="R73" s="21">
        <f>SUMIFS(Boxes!$F$3:$F$1084,Boxes!$B$3:$B$1084,$A73,Boxes!$D$3:$D$1084,"NHT")</f>
        <v/>
      </c>
    </row>
    <row r="74">
      <c r="A74" s="18" t="inlineStr">
        <is>
          <t>MARATHON_TEXAS_CITY_GALVESTON_BAY</t>
        </is>
      </c>
      <c r="B74" s="18" t="inlineStr">
        <is>
          <t>Marathon Petroleum Texas City (Galveston Bay)</t>
        </is>
      </c>
      <c r="C74" s="18" t="n">
        <v>3</v>
      </c>
      <c r="D74" s="21">
        <f>SUMIFS(Data!$G$3:$G$125,Data!$A$3:$A$125,$A74)</f>
        <v/>
      </c>
      <c r="E74" s="21">
        <f>SUMIFS(Boxes!$F$3:$F$1084,Boxes!$B$3:$B$1084,$A74,Boxes!$D$3:$D$1084,"CDU")</f>
        <v/>
      </c>
      <c r="F74" s="21">
        <f>SUMIFS(Boxes!$F$3:$F$1084,Boxes!$B$3:$B$1084,$A74,Boxes!$D$3:$D$1084,"VDU")</f>
        <v/>
      </c>
      <c r="G74" s="21">
        <f>SUMIFS(Boxes!$F$3:$F$1084,Boxes!$B$3:$B$1084,$A74,Boxes!$D$3:$D$1084,"FCC")</f>
        <v/>
      </c>
      <c r="H74" s="21">
        <f>SUMIFS(Boxes!$F$3:$F$1084,Boxes!$B$3:$B$1084,$A74,Boxes!$D$3:$D$1084,"RCC")</f>
        <v/>
      </c>
      <c r="I74" s="21">
        <f>SUMIFS(Boxes!$F$3:$F$1084,Boxes!$B$3:$B$1084,$A74,Boxes!$D$3:$D$1084,"COKER")</f>
        <v/>
      </c>
      <c r="J74" s="21">
        <f>SUMIFS(Boxes!$F$3:$F$1084,Boxes!$B$3:$B$1084,$A74,Boxes!$D$3:$D$1084,"FCOKER")</f>
        <v/>
      </c>
      <c r="K74" s="21">
        <f>SUMIFS(Boxes!$F$3:$F$1084,Boxes!$B$3:$B$1084,$A74,Boxes!$D$3:$D$1084,"DHCU")</f>
        <v/>
      </c>
      <c r="L74" s="21">
        <f>SUMIFS(Boxes!$F$3:$F$1084,Boxes!$B$3:$B$1084,$A74,Boxes!$D$3:$D$1084,"RHCU")</f>
        <v/>
      </c>
      <c r="M74" s="21">
        <f>SUMIFS(Boxes!$F$3:$F$1084,Boxes!$B$3:$B$1084,$A74,Boxes!$D$3:$D$1084,"REF")</f>
        <v/>
      </c>
      <c r="N74" s="21">
        <f>SUMIFS(Boxes!$F$3:$F$1084,Boxes!$B$3:$B$1084,$A74,Boxes!$D$3:$D$1084,"CCR")</f>
        <v/>
      </c>
      <c r="O74" s="21">
        <f>SUMIFS(Boxes!$F$3:$F$1084,Boxes!$B$3:$B$1084,$A74,Boxes!$D$3:$D$1084,"ISOM")</f>
        <v/>
      </c>
      <c r="P74" s="21">
        <f>SUMIFS(Boxes!$F$3:$F$1084,Boxes!$B$3:$B$1084,$A74,Boxes!$D$3:$D$1084,"ALKY")</f>
        <v/>
      </c>
      <c r="Q74" s="21">
        <f>SUMIFS(Boxes!$F$3:$F$1084,Boxes!$B$3:$B$1084,$A74,Boxes!$D$3:$D$1084,"NSPL")</f>
        <v/>
      </c>
      <c r="R74" s="21">
        <f>SUMIFS(Boxes!$F$3:$F$1084,Boxes!$B$3:$B$1084,$A74,Boxes!$D$3:$D$1084,"NHT")</f>
        <v/>
      </c>
    </row>
    <row r="75">
      <c r="A75" s="18" t="inlineStr">
        <is>
          <t>HUNT_TUSCALOOSA</t>
        </is>
      </c>
      <c r="B75" s="18" t="inlineStr">
        <is>
          <t>Hunt Refining Consolidated Tuscaloosa</t>
        </is>
      </c>
      <c r="C75" s="18" t="n">
        <v>3</v>
      </c>
      <c r="D75" s="21">
        <f>SUMIFS(Data!$G$3:$G$125,Data!$A$3:$A$125,$A75)</f>
        <v/>
      </c>
      <c r="E75" s="21">
        <f>SUMIFS(Boxes!$F$3:$F$1084,Boxes!$B$3:$B$1084,$A75,Boxes!$D$3:$D$1084,"CDU")</f>
        <v/>
      </c>
      <c r="F75" s="21">
        <f>SUMIFS(Boxes!$F$3:$F$1084,Boxes!$B$3:$B$1084,$A75,Boxes!$D$3:$D$1084,"VDU")</f>
        <v/>
      </c>
      <c r="G75" s="21">
        <f>SUMIFS(Boxes!$F$3:$F$1084,Boxes!$B$3:$B$1084,$A75,Boxes!$D$3:$D$1084,"FCC")</f>
        <v/>
      </c>
      <c r="H75" s="21">
        <f>SUMIFS(Boxes!$F$3:$F$1084,Boxes!$B$3:$B$1084,$A75,Boxes!$D$3:$D$1084,"RCC")</f>
        <v/>
      </c>
      <c r="I75" s="21">
        <f>SUMIFS(Boxes!$F$3:$F$1084,Boxes!$B$3:$B$1084,$A75,Boxes!$D$3:$D$1084,"COKER")</f>
        <v/>
      </c>
      <c r="J75" s="21">
        <f>SUMIFS(Boxes!$F$3:$F$1084,Boxes!$B$3:$B$1084,$A75,Boxes!$D$3:$D$1084,"FCOKER")</f>
        <v/>
      </c>
      <c r="K75" s="21">
        <f>SUMIFS(Boxes!$F$3:$F$1084,Boxes!$B$3:$B$1084,$A75,Boxes!$D$3:$D$1084,"DHCU")</f>
        <v/>
      </c>
      <c r="L75" s="21">
        <f>SUMIFS(Boxes!$F$3:$F$1084,Boxes!$B$3:$B$1084,$A75,Boxes!$D$3:$D$1084,"RHCU")</f>
        <v/>
      </c>
      <c r="M75" s="21">
        <f>SUMIFS(Boxes!$F$3:$F$1084,Boxes!$B$3:$B$1084,$A75,Boxes!$D$3:$D$1084,"REF")</f>
        <v/>
      </c>
      <c r="N75" s="21">
        <f>SUMIFS(Boxes!$F$3:$F$1084,Boxes!$B$3:$B$1084,$A75,Boxes!$D$3:$D$1084,"CCR")</f>
        <v/>
      </c>
      <c r="O75" s="21">
        <f>SUMIFS(Boxes!$F$3:$F$1084,Boxes!$B$3:$B$1084,$A75,Boxes!$D$3:$D$1084,"ISOM")</f>
        <v/>
      </c>
      <c r="P75" s="21">
        <f>SUMIFS(Boxes!$F$3:$F$1084,Boxes!$B$3:$B$1084,$A75,Boxes!$D$3:$D$1084,"ALKY")</f>
        <v/>
      </c>
      <c r="Q75" s="21">
        <f>SUMIFS(Boxes!$F$3:$F$1084,Boxes!$B$3:$B$1084,$A75,Boxes!$D$3:$D$1084,"NSPL")</f>
        <v/>
      </c>
      <c r="R75" s="21">
        <f>SUMIFS(Boxes!$F$3:$F$1084,Boxes!$B$3:$B$1084,$A75,Boxes!$D$3:$D$1084,"NHT")</f>
        <v/>
      </c>
    </row>
    <row r="76">
      <c r="A76" s="18" t="inlineStr">
        <is>
          <t>ERGON_VICKSBURG</t>
        </is>
      </c>
      <c r="B76" s="18" t="inlineStr">
        <is>
          <t>Ergon Vicksburg</t>
        </is>
      </c>
      <c r="C76" s="18" t="n">
        <v>3</v>
      </c>
      <c r="D76" s="21">
        <f>SUMIFS(Data!$G$3:$G$125,Data!$A$3:$A$125,$A76)</f>
        <v/>
      </c>
      <c r="E76" s="21">
        <f>SUMIFS(Boxes!$F$3:$F$1084,Boxes!$B$3:$B$1084,$A76,Boxes!$D$3:$D$1084,"CDU")</f>
        <v/>
      </c>
      <c r="F76" s="21">
        <f>SUMIFS(Boxes!$F$3:$F$1084,Boxes!$B$3:$B$1084,$A76,Boxes!$D$3:$D$1084,"VDU")</f>
        <v/>
      </c>
      <c r="G76" s="21">
        <f>SUMIFS(Boxes!$F$3:$F$1084,Boxes!$B$3:$B$1084,$A76,Boxes!$D$3:$D$1084,"FCC")</f>
        <v/>
      </c>
      <c r="H76" s="21">
        <f>SUMIFS(Boxes!$F$3:$F$1084,Boxes!$B$3:$B$1084,$A76,Boxes!$D$3:$D$1084,"RCC")</f>
        <v/>
      </c>
      <c r="I76" s="21">
        <f>SUMIFS(Boxes!$F$3:$F$1084,Boxes!$B$3:$B$1084,$A76,Boxes!$D$3:$D$1084,"COKER")</f>
        <v/>
      </c>
      <c r="J76" s="21">
        <f>SUMIFS(Boxes!$F$3:$F$1084,Boxes!$B$3:$B$1084,$A76,Boxes!$D$3:$D$1084,"FCOKER")</f>
        <v/>
      </c>
      <c r="K76" s="21">
        <f>SUMIFS(Boxes!$F$3:$F$1084,Boxes!$B$3:$B$1084,$A76,Boxes!$D$3:$D$1084,"DHCU")</f>
        <v/>
      </c>
      <c r="L76" s="21">
        <f>SUMIFS(Boxes!$F$3:$F$1084,Boxes!$B$3:$B$1084,$A76,Boxes!$D$3:$D$1084,"RHCU")</f>
        <v/>
      </c>
      <c r="M76" s="21">
        <f>SUMIFS(Boxes!$F$3:$F$1084,Boxes!$B$3:$B$1084,$A76,Boxes!$D$3:$D$1084,"REF")</f>
        <v/>
      </c>
      <c r="N76" s="21">
        <f>SUMIFS(Boxes!$F$3:$F$1084,Boxes!$B$3:$B$1084,$A76,Boxes!$D$3:$D$1084,"CCR")</f>
        <v/>
      </c>
      <c r="O76" s="21">
        <f>SUMIFS(Boxes!$F$3:$F$1084,Boxes!$B$3:$B$1084,$A76,Boxes!$D$3:$D$1084,"ISOM")</f>
        <v/>
      </c>
      <c r="P76" s="21">
        <f>SUMIFS(Boxes!$F$3:$F$1084,Boxes!$B$3:$B$1084,$A76,Boxes!$D$3:$D$1084,"ALKY")</f>
        <v/>
      </c>
      <c r="Q76" s="21">
        <f>SUMIFS(Boxes!$F$3:$F$1084,Boxes!$B$3:$B$1084,$A76,Boxes!$D$3:$D$1084,"NSPL")</f>
        <v/>
      </c>
      <c r="R76" s="21">
        <f>SUMIFS(Boxes!$F$3:$F$1084,Boxes!$B$3:$B$1084,$A76,Boxes!$D$3:$D$1084,"NHT")</f>
        <v/>
      </c>
    </row>
    <row r="77">
      <c r="A77" s="18" t="inlineStr">
        <is>
          <t>LAZARUS_SAN_ANTONIO</t>
        </is>
      </c>
      <c r="B77" s="18" t="inlineStr">
        <is>
          <t>Lazarus Energy San Antonio</t>
        </is>
      </c>
      <c r="C77" s="18" t="n">
        <v>3</v>
      </c>
      <c r="D77" s="21">
        <f>SUMIFS(Data!$G$3:$G$125,Data!$A$3:$A$125,$A77)</f>
        <v/>
      </c>
      <c r="E77" s="21">
        <f>SUMIFS(Boxes!$F$3:$F$1084,Boxes!$B$3:$B$1084,$A77,Boxes!$D$3:$D$1084,"CDU")</f>
        <v/>
      </c>
      <c r="F77" s="21">
        <f>SUMIFS(Boxes!$F$3:$F$1084,Boxes!$B$3:$B$1084,$A77,Boxes!$D$3:$D$1084,"VDU")</f>
        <v/>
      </c>
      <c r="G77" s="21">
        <f>SUMIFS(Boxes!$F$3:$F$1084,Boxes!$B$3:$B$1084,$A77,Boxes!$D$3:$D$1084,"FCC")</f>
        <v/>
      </c>
      <c r="H77" s="21">
        <f>SUMIFS(Boxes!$F$3:$F$1084,Boxes!$B$3:$B$1084,$A77,Boxes!$D$3:$D$1084,"RCC")</f>
        <v/>
      </c>
      <c r="I77" s="21">
        <f>SUMIFS(Boxes!$F$3:$F$1084,Boxes!$B$3:$B$1084,$A77,Boxes!$D$3:$D$1084,"COKER")</f>
        <v/>
      </c>
      <c r="J77" s="21">
        <f>SUMIFS(Boxes!$F$3:$F$1084,Boxes!$B$3:$B$1084,$A77,Boxes!$D$3:$D$1084,"FCOKER")</f>
        <v/>
      </c>
      <c r="K77" s="21">
        <f>SUMIFS(Boxes!$F$3:$F$1084,Boxes!$B$3:$B$1084,$A77,Boxes!$D$3:$D$1084,"DHCU")</f>
        <v/>
      </c>
      <c r="L77" s="21">
        <f>SUMIFS(Boxes!$F$3:$F$1084,Boxes!$B$3:$B$1084,$A77,Boxes!$D$3:$D$1084,"RHCU")</f>
        <v/>
      </c>
      <c r="M77" s="21">
        <f>SUMIFS(Boxes!$F$3:$F$1084,Boxes!$B$3:$B$1084,$A77,Boxes!$D$3:$D$1084,"REF")</f>
        <v/>
      </c>
      <c r="N77" s="21">
        <f>SUMIFS(Boxes!$F$3:$F$1084,Boxes!$B$3:$B$1084,$A77,Boxes!$D$3:$D$1084,"CCR")</f>
        <v/>
      </c>
      <c r="O77" s="21">
        <f>SUMIFS(Boxes!$F$3:$F$1084,Boxes!$B$3:$B$1084,$A77,Boxes!$D$3:$D$1084,"ISOM")</f>
        <v/>
      </c>
      <c r="P77" s="21">
        <f>SUMIFS(Boxes!$F$3:$F$1084,Boxes!$B$3:$B$1084,$A77,Boxes!$D$3:$D$1084,"ALKY")</f>
        <v/>
      </c>
      <c r="Q77" s="21">
        <f>SUMIFS(Boxes!$F$3:$F$1084,Boxes!$B$3:$B$1084,$A77,Boxes!$D$3:$D$1084,"NSPL")</f>
        <v/>
      </c>
      <c r="R77" s="21">
        <f>SUMIFS(Boxes!$F$3:$F$1084,Boxes!$B$3:$B$1084,$A77,Boxes!$D$3:$D$1084,"NHT")</f>
        <v/>
      </c>
    </row>
    <row r="78">
      <c r="A78" s="18" t="inlineStr">
        <is>
          <t>BLUE_NIXON</t>
        </is>
      </c>
      <c r="B78" s="18" t="inlineStr">
        <is>
          <t>Blue Dolphin Energy Nixon</t>
        </is>
      </c>
      <c r="C78" s="18" t="n">
        <v>3</v>
      </c>
      <c r="D78" s="21">
        <f>SUMIFS(Data!$G$3:$G$125,Data!$A$3:$A$125,$A78)</f>
        <v/>
      </c>
      <c r="E78" s="21">
        <f>SUMIFS(Boxes!$F$3:$F$1084,Boxes!$B$3:$B$1084,$A78,Boxes!$D$3:$D$1084,"CDU")</f>
        <v/>
      </c>
      <c r="F78" s="21">
        <f>SUMIFS(Boxes!$F$3:$F$1084,Boxes!$B$3:$B$1084,$A78,Boxes!$D$3:$D$1084,"VDU")</f>
        <v/>
      </c>
      <c r="G78" s="21">
        <f>SUMIFS(Boxes!$F$3:$F$1084,Boxes!$B$3:$B$1084,$A78,Boxes!$D$3:$D$1084,"FCC")</f>
        <v/>
      </c>
      <c r="H78" s="21">
        <f>SUMIFS(Boxes!$F$3:$F$1084,Boxes!$B$3:$B$1084,$A78,Boxes!$D$3:$D$1084,"RCC")</f>
        <v/>
      </c>
      <c r="I78" s="21">
        <f>SUMIFS(Boxes!$F$3:$F$1084,Boxes!$B$3:$B$1084,$A78,Boxes!$D$3:$D$1084,"COKER")</f>
        <v/>
      </c>
      <c r="J78" s="21">
        <f>SUMIFS(Boxes!$F$3:$F$1084,Boxes!$B$3:$B$1084,$A78,Boxes!$D$3:$D$1084,"FCOKER")</f>
        <v/>
      </c>
      <c r="K78" s="21">
        <f>SUMIFS(Boxes!$F$3:$F$1084,Boxes!$B$3:$B$1084,$A78,Boxes!$D$3:$D$1084,"DHCU")</f>
        <v/>
      </c>
      <c r="L78" s="21">
        <f>SUMIFS(Boxes!$F$3:$F$1084,Boxes!$B$3:$B$1084,$A78,Boxes!$D$3:$D$1084,"RHCU")</f>
        <v/>
      </c>
      <c r="M78" s="21">
        <f>SUMIFS(Boxes!$F$3:$F$1084,Boxes!$B$3:$B$1084,$A78,Boxes!$D$3:$D$1084,"REF")</f>
        <v/>
      </c>
      <c r="N78" s="21">
        <f>SUMIFS(Boxes!$F$3:$F$1084,Boxes!$B$3:$B$1084,$A78,Boxes!$D$3:$D$1084,"CCR")</f>
        <v/>
      </c>
      <c r="O78" s="21">
        <f>SUMIFS(Boxes!$F$3:$F$1084,Boxes!$B$3:$B$1084,$A78,Boxes!$D$3:$D$1084,"ISOM")</f>
        <v/>
      </c>
      <c r="P78" s="21">
        <f>SUMIFS(Boxes!$F$3:$F$1084,Boxes!$B$3:$B$1084,$A78,Boxes!$D$3:$D$1084,"ALKY")</f>
        <v/>
      </c>
      <c r="Q78" s="21">
        <f>SUMIFS(Boxes!$F$3:$F$1084,Boxes!$B$3:$B$1084,$A78,Boxes!$D$3:$D$1084,"NSPL")</f>
        <v/>
      </c>
      <c r="R78" s="21">
        <f>SUMIFS(Boxes!$F$3:$F$1084,Boxes!$B$3:$B$1084,$A78,Boxes!$D$3:$D$1084,"NHT")</f>
        <v/>
      </c>
    </row>
    <row r="79">
      <c r="A79" s="18" t="inlineStr">
        <is>
          <t>CALUMET_COTTON_VALLEY</t>
        </is>
      </c>
      <c r="B79" s="18" t="inlineStr">
        <is>
          <t>Calumet Lubricants Co. Cotton Valley</t>
        </is>
      </c>
      <c r="C79" s="18" t="n">
        <v>3</v>
      </c>
      <c r="D79" s="21">
        <f>SUMIFS(Data!$G$3:$G$125,Data!$A$3:$A$125,$A79)</f>
        <v/>
      </c>
      <c r="E79" s="21">
        <f>SUMIFS(Boxes!$F$3:$F$1084,Boxes!$B$3:$B$1084,$A79,Boxes!$D$3:$D$1084,"CDU")</f>
        <v/>
      </c>
      <c r="F79" s="21">
        <f>SUMIFS(Boxes!$F$3:$F$1084,Boxes!$B$3:$B$1084,$A79,Boxes!$D$3:$D$1084,"VDU")</f>
        <v/>
      </c>
      <c r="G79" s="21">
        <f>SUMIFS(Boxes!$F$3:$F$1084,Boxes!$B$3:$B$1084,$A79,Boxes!$D$3:$D$1084,"FCC")</f>
        <v/>
      </c>
      <c r="H79" s="21">
        <f>SUMIFS(Boxes!$F$3:$F$1084,Boxes!$B$3:$B$1084,$A79,Boxes!$D$3:$D$1084,"RCC")</f>
        <v/>
      </c>
      <c r="I79" s="21">
        <f>SUMIFS(Boxes!$F$3:$F$1084,Boxes!$B$3:$B$1084,$A79,Boxes!$D$3:$D$1084,"COKER")</f>
        <v/>
      </c>
      <c r="J79" s="21">
        <f>SUMIFS(Boxes!$F$3:$F$1084,Boxes!$B$3:$B$1084,$A79,Boxes!$D$3:$D$1084,"FCOKER")</f>
        <v/>
      </c>
      <c r="K79" s="21">
        <f>SUMIFS(Boxes!$F$3:$F$1084,Boxes!$B$3:$B$1084,$A79,Boxes!$D$3:$D$1084,"DHCU")</f>
        <v/>
      </c>
      <c r="L79" s="21">
        <f>SUMIFS(Boxes!$F$3:$F$1084,Boxes!$B$3:$B$1084,$A79,Boxes!$D$3:$D$1084,"RHCU")</f>
        <v/>
      </c>
      <c r="M79" s="21">
        <f>SUMIFS(Boxes!$F$3:$F$1084,Boxes!$B$3:$B$1084,$A79,Boxes!$D$3:$D$1084,"REF")</f>
        <v/>
      </c>
      <c r="N79" s="21">
        <f>SUMIFS(Boxes!$F$3:$F$1084,Boxes!$B$3:$B$1084,$A79,Boxes!$D$3:$D$1084,"CCR")</f>
        <v/>
      </c>
      <c r="O79" s="21">
        <f>SUMIFS(Boxes!$F$3:$F$1084,Boxes!$B$3:$B$1084,$A79,Boxes!$D$3:$D$1084,"ISOM")</f>
        <v/>
      </c>
      <c r="P79" s="21">
        <f>SUMIFS(Boxes!$F$3:$F$1084,Boxes!$B$3:$B$1084,$A79,Boxes!$D$3:$D$1084,"ALKY")</f>
        <v/>
      </c>
      <c r="Q79" s="21">
        <f>SUMIFS(Boxes!$F$3:$F$1084,Boxes!$B$3:$B$1084,$A79,Boxes!$D$3:$D$1084,"NSPL")</f>
        <v/>
      </c>
      <c r="R79" s="21">
        <f>SUMIFS(Boxes!$F$3:$F$1084,Boxes!$B$3:$B$1084,$A79,Boxes!$D$3:$D$1084,"NHT")</f>
        <v/>
      </c>
    </row>
    <row r="80">
      <c r="A80" s="18" t="inlineStr">
        <is>
          <t>HUNT_SANDERSVILLE</t>
        </is>
      </c>
      <c r="B80" s="18" t="inlineStr">
        <is>
          <t>Hunt Refining Consolidated Sandersville</t>
        </is>
      </c>
      <c r="C80" s="18" t="n">
        <v>3</v>
      </c>
      <c r="D80" s="21">
        <f>SUMIFS(Data!$G$3:$G$125,Data!$A$3:$A$125,$A80)</f>
        <v/>
      </c>
      <c r="E80" s="21">
        <f>SUMIFS(Boxes!$F$3:$F$1084,Boxes!$B$3:$B$1084,$A80,Boxes!$D$3:$D$1084,"CDU")</f>
        <v/>
      </c>
      <c r="F80" s="21">
        <f>SUMIFS(Boxes!$F$3:$F$1084,Boxes!$B$3:$B$1084,$A80,Boxes!$D$3:$D$1084,"VDU")</f>
        <v/>
      </c>
      <c r="G80" s="21">
        <f>SUMIFS(Boxes!$F$3:$F$1084,Boxes!$B$3:$B$1084,$A80,Boxes!$D$3:$D$1084,"FCC")</f>
        <v/>
      </c>
      <c r="H80" s="21">
        <f>SUMIFS(Boxes!$F$3:$F$1084,Boxes!$B$3:$B$1084,$A80,Boxes!$D$3:$D$1084,"RCC")</f>
        <v/>
      </c>
      <c r="I80" s="21">
        <f>SUMIFS(Boxes!$F$3:$F$1084,Boxes!$B$3:$B$1084,$A80,Boxes!$D$3:$D$1084,"COKER")</f>
        <v/>
      </c>
      <c r="J80" s="21">
        <f>SUMIFS(Boxes!$F$3:$F$1084,Boxes!$B$3:$B$1084,$A80,Boxes!$D$3:$D$1084,"FCOKER")</f>
        <v/>
      </c>
      <c r="K80" s="21">
        <f>SUMIFS(Boxes!$F$3:$F$1084,Boxes!$B$3:$B$1084,$A80,Boxes!$D$3:$D$1084,"DHCU")</f>
        <v/>
      </c>
      <c r="L80" s="21">
        <f>SUMIFS(Boxes!$F$3:$F$1084,Boxes!$B$3:$B$1084,$A80,Boxes!$D$3:$D$1084,"RHCU")</f>
        <v/>
      </c>
      <c r="M80" s="21">
        <f>SUMIFS(Boxes!$F$3:$F$1084,Boxes!$B$3:$B$1084,$A80,Boxes!$D$3:$D$1084,"REF")</f>
        <v/>
      </c>
      <c r="N80" s="21">
        <f>SUMIFS(Boxes!$F$3:$F$1084,Boxes!$B$3:$B$1084,$A80,Boxes!$D$3:$D$1084,"CCR")</f>
        <v/>
      </c>
      <c r="O80" s="21">
        <f>SUMIFS(Boxes!$F$3:$F$1084,Boxes!$B$3:$B$1084,$A80,Boxes!$D$3:$D$1084,"ISOM")</f>
        <v/>
      </c>
      <c r="P80" s="21">
        <f>SUMIFS(Boxes!$F$3:$F$1084,Boxes!$B$3:$B$1084,$A80,Boxes!$D$3:$D$1084,"ALKY")</f>
        <v/>
      </c>
      <c r="Q80" s="21">
        <f>SUMIFS(Boxes!$F$3:$F$1084,Boxes!$B$3:$B$1084,$A80,Boxes!$D$3:$D$1084,"NSPL")</f>
        <v/>
      </c>
      <c r="R80" s="21">
        <f>SUMIFS(Boxes!$F$3:$F$1084,Boxes!$B$3:$B$1084,$A80,Boxes!$D$3:$D$1084,"NHT")</f>
        <v/>
      </c>
    </row>
    <row r="81">
      <c r="A81" s="18" t="inlineStr">
        <is>
          <t>CALUMET_PRINCETON</t>
        </is>
      </c>
      <c r="B81" s="18" t="inlineStr">
        <is>
          <t>Calumet Lubricants Co. Princeton</t>
        </is>
      </c>
      <c r="C81" s="18" t="n">
        <v>3</v>
      </c>
      <c r="D81" s="21">
        <f>SUMIFS(Data!$G$3:$G$125,Data!$A$3:$A$125,$A81)</f>
        <v/>
      </c>
      <c r="E81" s="21">
        <f>SUMIFS(Boxes!$F$3:$F$1084,Boxes!$B$3:$B$1084,$A81,Boxes!$D$3:$D$1084,"CDU")</f>
        <v/>
      </c>
      <c r="F81" s="21">
        <f>SUMIFS(Boxes!$F$3:$F$1084,Boxes!$B$3:$B$1084,$A81,Boxes!$D$3:$D$1084,"VDU")</f>
        <v/>
      </c>
      <c r="G81" s="21">
        <f>SUMIFS(Boxes!$F$3:$F$1084,Boxes!$B$3:$B$1084,$A81,Boxes!$D$3:$D$1084,"FCC")</f>
        <v/>
      </c>
      <c r="H81" s="21">
        <f>SUMIFS(Boxes!$F$3:$F$1084,Boxes!$B$3:$B$1084,$A81,Boxes!$D$3:$D$1084,"RCC")</f>
        <v/>
      </c>
      <c r="I81" s="21">
        <f>SUMIFS(Boxes!$F$3:$F$1084,Boxes!$B$3:$B$1084,$A81,Boxes!$D$3:$D$1084,"COKER")</f>
        <v/>
      </c>
      <c r="J81" s="21">
        <f>SUMIFS(Boxes!$F$3:$F$1084,Boxes!$B$3:$B$1084,$A81,Boxes!$D$3:$D$1084,"FCOKER")</f>
        <v/>
      </c>
      <c r="K81" s="21">
        <f>SUMIFS(Boxes!$F$3:$F$1084,Boxes!$B$3:$B$1084,$A81,Boxes!$D$3:$D$1084,"DHCU")</f>
        <v/>
      </c>
      <c r="L81" s="21">
        <f>SUMIFS(Boxes!$F$3:$F$1084,Boxes!$B$3:$B$1084,$A81,Boxes!$D$3:$D$1084,"RHCU")</f>
        <v/>
      </c>
      <c r="M81" s="21">
        <f>SUMIFS(Boxes!$F$3:$F$1084,Boxes!$B$3:$B$1084,$A81,Boxes!$D$3:$D$1084,"REF")</f>
        <v/>
      </c>
      <c r="N81" s="21">
        <f>SUMIFS(Boxes!$F$3:$F$1084,Boxes!$B$3:$B$1084,$A81,Boxes!$D$3:$D$1084,"CCR")</f>
        <v/>
      </c>
      <c r="O81" s="21">
        <f>SUMIFS(Boxes!$F$3:$F$1084,Boxes!$B$3:$B$1084,$A81,Boxes!$D$3:$D$1084,"ISOM")</f>
        <v/>
      </c>
      <c r="P81" s="21">
        <f>SUMIFS(Boxes!$F$3:$F$1084,Boxes!$B$3:$B$1084,$A81,Boxes!$D$3:$D$1084,"ALKY")</f>
        <v/>
      </c>
      <c r="Q81" s="21">
        <f>SUMIFS(Boxes!$F$3:$F$1084,Boxes!$B$3:$B$1084,$A81,Boxes!$D$3:$D$1084,"NSPL")</f>
        <v/>
      </c>
      <c r="R81" s="21">
        <f>SUMIFS(Boxes!$F$3:$F$1084,Boxes!$B$3:$B$1084,$A81,Boxes!$D$3:$D$1084,"NHT")</f>
        <v/>
      </c>
    </row>
    <row r="82">
      <c r="A82" s="18" t="inlineStr">
        <is>
          <t>CROSS_SMACKOVER</t>
        </is>
      </c>
      <c r="B82" s="18" t="inlineStr">
        <is>
          <t>Cross Oil and Ref.Co. Smackover</t>
        </is>
      </c>
      <c r="C82" s="18" t="n">
        <v>3</v>
      </c>
      <c r="D82" s="21">
        <f>SUMIFS(Data!$G$3:$G$125,Data!$A$3:$A$125,$A82)</f>
        <v/>
      </c>
      <c r="E82" s="21">
        <f>SUMIFS(Boxes!$F$3:$F$1084,Boxes!$B$3:$B$1084,$A82,Boxes!$D$3:$D$1084,"CDU")</f>
        <v/>
      </c>
      <c r="F82" s="21">
        <f>SUMIFS(Boxes!$F$3:$F$1084,Boxes!$B$3:$B$1084,$A82,Boxes!$D$3:$D$1084,"VDU")</f>
        <v/>
      </c>
      <c r="G82" s="21">
        <f>SUMIFS(Boxes!$F$3:$F$1084,Boxes!$B$3:$B$1084,$A82,Boxes!$D$3:$D$1084,"FCC")</f>
        <v/>
      </c>
      <c r="H82" s="21">
        <f>SUMIFS(Boxes!$F$3:$F$1084,Boxes!$B$3:$B$1084,$A82,Boxes!$D$3:$D$1084,"RCC")</f>
        <v/>
      </c>
      <c r="I82" s="21">
        <f>SUMIFS(Boxes!$F$3:$F$1084,Boxes!$B$3:$B$1084,$A82,Boxes!$D$3:$D$1084,"COKER")</f>
        <v/>
      </c>
      <c r="J82" s="21">
        <f>SUMIFS(Boxes!$F$3:$F$1084,Boxes!$B$3:$B$1084,$A82,Boxes!$D$3:$D$1084,"FCOKER")</f>
        <v/>
      </c>
      <c r="K82" s="21">
        <f>SUMIFS(Boxes!$F$3:$F$1084,Boxes!$B$3:$B$1084,$A82,Boxes!$D$3:$D$1084,"DHCU")</f>
        <v/>
      </c>
      <c r="L82" s="21">
        <f>SUMIFS(Boxes!$F$3:$F$1084,Boxes!$B$3:$B$1084,$A82,Boxes!$D$3:$D$1084,"RHCU")</f>
        <v/>
      </c>
      <c r="M82" s="21">
        <f>SUMIFS(Boxes!$F$3:$F$1084,Boxes!$B$3:$B$1084,$A82,Boxes!$D$3:$D$1084,"REF")</f>
        <v/>
      </c>
      <c r="N82" s="21">
        <f>SUMIFS(Boxes!$F$3:$F$1084,Boxes!$B$3:$B$1084,$A82,Boxes!$D$3:$D$1084,"CCR")</f>
        <v/>
      </c>
      <c r="O82" s="21">
        <f>SUMIFS(Boxes!$F$3:$F$1084,Boxes!$B$3:$B$1084,$A82,Boxes!$D$3:$D$1084,"ISOM")</f>
        <v/>
      </c>
      <c r="P82" s="21">
        <f>SUMIFS(Boxes!$F$3:$F$1084,Boxes!$B$3:$B$1084,$A82,Boxes!$D$3:$D$1084,"ALKY")</f>
        <v/>
      </c>
      <c r="Q82" s="21">
        <f>SUMIFS(Boxes!$F$3:$F$1084,Boxes!$B$3:$B$1084,$A82,Boxes!$D$3:$D$1084,"NSPL")</f>
        <v/>
      </c>
      <c r="R82" s="21">
        <f>SUMIFS(Boxes!$F$3:$F$1084,Boxes!$B$3:$B$1084,$A82,Boxes!$D$3:$D$1084,"NHT")</f>
        <v/>
      </c>
    </row>
    <row r="83">
      <c r="A83" s="18" t="inlineStr">
        <is>
          <t>GOODWAY_ATMORE</t>
        </is>
      </c>
      <c r="B83" s="18" t="inlineStr">
        <is>
          <t>Goodway Refining Atmore</t>
        </is>
      </c>
      <c r="C83" s="18" t="n">
        <v>3</v>
      </c>
      <c r="D83" s="21">
        <f>SUMIFS(Data!$G$3:$G$125,Data!$A$3:$A$125,$A83)</f>
        <v/>
      </c>
      <c r="E83" s="21">
        <f>SUMIFS(Boxes!$F$3:$F$1084,Boxes!$B$3:$B$1084,$A83,Boxes!$D$3:$D$1084,"CDU")</f>
        <v/>
      </c>
      <c r="F83" s="21">
        <f>SUMIFS(Boxes!$F$3:$F$1084,Boxes!$B$3:$B$1084,$A83,Boxes!$D$3:$D$1084,"VDU")</f>
        <v/>
      </c>
      <c r="G83" s="21">
        <f>SUMIFS(Boxes!$F$3:$F$1084,Boxes!$B$3:$B$1084,$A83,Boxes!$D$3:$D$1084,"FCC")</f>
        <v/>
      </c>
      <c r="H83" s="21">
        <f>SUMIFS(Boxes!$F$3:$F$1084,Boxes!$B$3:$B$1084,$A83,Boxes!$D$3:$D$1084,"RCC")</f>
        <v/>
      </c>
      <c r="I83" s="21">
        <f>SUMIFS(Boxes!$F$3:$F$1084,Boxes!$B$3:$B$1084,$A83,Boxes!$D$3:$D$1084,"COKER")</f>
        <v/>
      </c>
      <c r="J83" s="21">
        <f>SUMIFS(Boxes!$F$3:$F$1084,Boxes!$B$3:$B$1084,$A83,Boxes!$D$3:$D$1084,"FCOKER")</f>
        <v/>
      </c>
      <c r="K83" s="21">
        <f>SUMIFS(Boxes!$F$3:$F$1084,Boxes!$B$3:$B$1084,$A83,Boxes!$D$3:$D$1084,"DHCU")</f>
        <v/>
      </c>
      <c r="L83" s="21">
        <f>SUMIFS(Boxes!$F$3:$F$1084,Boxes!$B$3:$B$1084,$A83,Boxes!$D$3:$D$1084,"RHCU")</f>
        <v/>
      </c>
      <c r="M83" s="21">
        <f>SUMIFS(Boxes!$F$3:$F$1084,Boxes!$B$3:$B$1084,$A83,Boxes!$D$3:$D$1084,"REF")</f>
        <v/>
      </c>
      <c r="N83" s="21">
        <f>SUMIFS(Boxes!$F$3:$F$1084,Boxes!$B$3:$B$1084,$A83,Boxes!$D$3:$D$1084,"CCR")</f>
        <v/>
      </c>
      <c r="O83" s="21">
        <f>SUMIFS(Boxes!$F$3:$F$1084,Boxes!$B$3:$B$1084,$A83,Boxes!$D$3:$D$1084,"ISOM")</f>
        <v/>
      </c>
      <c r="P83" s="21">
        <f>SUMIFS(Boxes!$F$3:$F$1084,Boxes!$B$3:$B$1084,$A83,Boxes!$D$3:$D$1084,"ALKY")</f>
        <v/>
      </c>
      <c r="Q83" s="21">
        <f>SUMIFS(Boxes!$F$3:$F$1084,Boxes!$B$3:$B$1084,$A83,Boxes!$D$3:$D$1084,"NSPL")</f>
        <v/>
      </c>
      <c r="R83" s="21">
        <f>SUMIFS(Boxes!$F$3:$F$1084,Boxes!$B$3:$B$1084,$A83,Boxes!$D$3:$D$1084,"NHT")</f>
        <v/>
      </c>
    </row>
    <row r="84">
      <c r="A84" s="18" t="inlineStr">
        <is>
          <t>LYONDELLBASELL_HOUSTON</t>
        </is>
      </c>
      <c r="B84" s="18" t="inlineStr">
        <is>
          <t>LyondellBasell Refining Houston</t>
        </is>
      </c>
      <c r="C84" s="18" t="n">
        <v>3</v>
      </c>
      <c r="D84" s="21">
        <f>SUMIFS(Data!$G$3:$G$125,Data!$A$3:$A$125,$A84)</f>
        <v/>
      </c>
      <c r="E84" s="21">
        <f>SUMIFS(Boxes!$F$3:$F$1084,Boxes!$B$3:$B$1084,$A84,Boxes!$D$3:$D$1084,"CDU")</f>
        <v/>
      </c>
      <c r="F84" s="21">
        <f>SUMIFS(Boxes!$F$3:$F$1084,Boxes!$B$3:$B$1084,$A84,Boxes!$D$3:$D$1084,"VDU")</f>
        <v/>
      </c>
      <c r="G84" s="21">
        <f>SUMIFS(Boxes!$F$3:$F$1084,Boxes!$B$3:$B$1084,$A84,Boxes!$D$3:$D$1084,"FCC")</f>
        <v/>
      </c>
      <c r="H84" s="21">
        <f>SUMIFS(Boxes!$F$3:$F$1084,Boxes!$B$3:$B$1084,$A84,Boxes!$D$3:$D$1084,"RCC")</f>
        <v/>
      </c>
      <c r="I84" s="21">
        <f>SUMIFS(Boxes!$F$3:$F$1084,Boxes!$B$3:$B$1084,$A84,Boxes!$D$3:$D$1084,"COKER")</f>
        <v/>
      </c>
      <c r="J84" s="21">
        <f>SUMIFS(Boxes!$F$3:$F$1084,Boxes!$B$3:$B$1084,$A84,Boxes!$D$3:$D$1084,"FCOKER")</f>
        <v/>
      </c>
      <c r="K84" s="21">
        <f>SUMIFS(Boxes!$F$3:$F$1084,Boxes!$B$3:$B$1084,$A84,Boxes!$D$3:$D$1084,"DHCU")</f>
        <v/>
      </c>
      <c r="L84" s="21">
        <f>SUMIFS(Boxes!$F$3:$F$1084,Boxes!$B$3:$B$1084,$A84,Boxes!$D$3:$D$1084,"RHCU")</f>
        <v/>
      </c>
      <c r="M84" s="21">
        <f>SUMIFS(Boxes!$F$3:$F$1084,Boxes!$B$3:$B$1084,$A84,Boxes!$D$3:$D$1084,"REF")</f>
        <v/>
      </c>
      <c r="N84" s="21">
        <f>SUMIFS(Boxes!$F$3:$F$1084,Boxes!$B$3:$B$1084,$A84,Boxes!$D$3:$D$1084,"CCR")</f>
        <v/>
      </c>
      <c r="O84" s="21">
        <f>SUMIFS(Boxes!$F$3:$F$1084,Boxes!$B$3:$B$1084,$A84,Boxes!$D$3:$D$1084,"ISOM")</f>
        <v/>
      </c>
      <c r="P84" s="21">
        <f>SUMIFS(Boxes!$F$3:$F$1084,Boxes!$B$3:$B$1084,$A84,Boxes!$D$3:$D$1084,"ALKY")</f>
        <v/>
      </c>
      <c r="Q84" s="21">
        <f>SUMIFS(Boxes!$F$3:$F$1084,Boxes!$B$3:$B$1084,$A84,Boxes!$D$3:$D$1084,"NSPL")</f>
        <v/>
      </c>
      <c r="R84" s="21">
        <f>SUMIFS(Boxes!$F$3:$F$1084,Boxes!$B$3:$B$1084,$A84,Boxes!$D$3:$D$1084,"NHT")</f>
        <v/>
      </c>
    </row>
    <row r="85">
      <c r="A85" s="18" t="inlineStr">
        <is>
          <t>SHELL_CONVENT</t>
        </is>
      </c>
      <c r="B85" s="18" t="inlineStr">
        <is>
          <t>Shell Convent</t>
        </is>
      </c>
      <c r="C85" s="18" t="n">
        <v>3</v>
      </c>
      <c r="D85" s="21">
        <f>SUMIFS(Data!$G$3:$G$125,Data!$A$3:$A$125,$A85)</f>
        <v/>
      </c>
      <c r="E85" s="21">
        <f>SUMIFS(Boxes!$F$3:$F$1084,Boxes!$B$3:$B$1084,$A85,Boxes!$D$3:$D$1084,"CDU")</f>
        <v/>
      </c>
      <c r="F85" s="21">
        <f>SUMIFS(Boxes!$F$3:$F$1084,Boxes!$B$3:$B$1084,$A85,Boxes!$D$3:$D$1084,"VDU")</f>
        <v/>
      </c>
      <c r="G85" s="21">
        <f>SUMIFS(Boxes!$F$3:$F$1084,Boxes!$B$3:$B$1084,$A85,Boxes!$D$3:$D$1084,"FCC")</f>
        <v/>
      </c>
      <c r="H85" s="21">
        <f>SUMIFS(Boxes!$F$3:$F$1084,Boxes!$B$3:$B$1084,$A85,Boxes!$D$3:$D$1084,"RCC")</f>
        <v/>
      </c>
      <c r="I85" s="21">
        <f>SUMIFS(Boxes!$F$3:$F$1084,Boxes!$B$3:$B$1084,$A85,Boxes!$D$3:$D$1084,"COKER")</f>
        <v/>
      </c>
      <c r="J85" s="21">
        <f>SUMIFS(Boxes!$F$3:$F$1084,Boxes!$B$3:$B$1084,$A85,Boxes!$D$3:$D$1084,"FCOKER")</f>
        <v/>
      </c>
      <c r="K85" s="21">
        <f>SUMIFS(Boxes!$F$3:$F$1084,Boxes!$B$3:$B$1084,$A85,Boxes!$D$3:$D$1084,"DHCU")</f>
        <v/>
      </c>
      <c r="L85" s="21">
        <f>SUMIFS(Boxes!$F$3:$F$1084,Boxes!$B$3:$B$1084,$A85,Boxes!$D$3:$D$1084,"RHCU")</f>
        <v/>
      </c>
      <c r="M85" s="21">
        <f>SUMIFS(Boxes!$F$3:$F$1084,Boxes!$B$3:$B$1084,$A85,Boxes!$D$3:$D$1084,"REF")</f>
        <v/>
      </c>
      <c r="N85" s="21">
        <f>SUMIFS(Boxes!$F$3:$F$1084,Boxes!$B$3:$B$1084,$A85,Boxes!$D$3:$D$1084,"CCR")</f>
        <v/>
      </c>
      <c r="O85" s="21">
        <f>SUMIFS(Boxes!$F$3:$F$1084,Boxes!$B$3:$B$1084,$A85,Boxes!$D$3:$D$1084,"ISOM")</f>
        <v/>
      </c>
      <c r="P85" s="21">
        <f>SUMIFS(Boxes!$F$3:$F$1084,Boxes!$B$3:$B$1084,$A85,Boxes!$D$3:$D$1084,"ALKY")</f>
        <v/>
      </c>
      <c r="Q85" s="21">
        <f>SUMIFS(Boxes!$F$3:$F$1084,Boxes!$B$3:$B$1084,$A85,Boxes!$D$3:$D$1084,"NSPL")</f>
        <v/>
      </c>
      <c r="R85" s="21">
        <f>SUMIFS(Boxes!$F$3:$F$1084,Boxes!$B$3:$B$1084,$A85,Boxes!$D$3:$D$1084,"NHT")</f>
        <v/>
      </c>
    </row>
    <row r="86">
      <c r="A86" s="18" t="inlineStr">
        <is>
          <t>SHELL_SAINT_ROSE</t>
        </is>
      </c>
      <c r="B86" s="18" t="inlineStr">
        <is>
          <t>Shell Oil Co. USA Saint Rose</t>
        </is>
      </c>
      <c r="C86" s="18" t="n">
        <v>3</v>
      </c>
      <c r="D86" s="21">
        <f>SUMIFS(Data!$G$3:$G$125,Data!$A$3:$A$125,$A86)</f>
        <v/>
      </c>
      <c r="E86" s="21">
        <f>SUMIFS(Boxes!$F$3:$F$1084,Boxes!$B$3:$B$1084,$A86,Boxes!$D$3:$D$1084,"CDU")</f>
        <v/>
      </c>
      <c r="F86" s="21">
        <f>SUMIFS(Boxes!$F$3:$F$1084,Boxes!$B$3:$B$1084,$A86,Boxes!$D$3:$D$1084,"VDU")</f>
        <v/>
      </c>
      <c r="G86" s="21">
        <f>SUMIFS(Boxes!$F$3:$F$1084,Boxes!$B$3:$B$1084,$A86,Boxes!$D$3:$D$1084,"FCC")</f>
        <v/>
      </c>
      <c r="H86" s="21">
        <f>SUMIFS(Boxes!$F$3:$F$1084,Boxes!$B$3:$B$1084,$A86,Boxes!$D$3:$D$1084,"RCC")</f>
        <v/>
      </c>
      <c r="I86" s="21">
        <f>SUMIFS(Boxes!$F$3:$F$1084,Boxes!$B$3:$B$1084,$A86,Boxes!$D$3:$D$1084,"COKER")</f>
        <v/>
      </c>
      <c r="J86" s="21">
        <f>SUMIFS(Boxes!$F$3:$F$1084,Boxes!$B$3:$B$1084,$A86,Boxes!$D$3:$D$1084,"FCOKER")</f>
        <v/>
      </c>
      <c r="K86" s="21">
        <f>SUMIFS(Boxes!$F$3:$F$1084,Boxes!$B$3:$B$1084,$A86,Boxes!$D$3:$D$1084,"DHCU")</f>
        <v/>
      </c>
      <c r="L86" s="21">
        <f>SUMIFS(Boxes!$F$3:$F$1084,Boxes!$B$3:$B$1084,$A86,Boxes!$D$3:$D$1084,"RHCU")</f>
        <v/>
      </c>
      <c r="M86" s="21">
        <f>SUMIFS(Boxes!$F$3:$F$1084,Boxes!$B$3:$B$1084,$A86,Boxes!$D$3:$D$1084,"REF")</f>
        <v/>
      </c>
      <c r="N86" s="21">
        <f>SUMIFS(Boxes!$F$3:$F$1084,Boxes!$B$3:$B$1084,$A86,Boxes!$D$3:$D$1084,"CCR")</f>
        <v/>
      </c>
      <c r="O86" s="21">
        <f>SUMIFS(Boxes!$F$3:$F$1084,Boxes!$B$3:$B$1084,$A86,Boxes!$D$3:$D$1084,"ISOM")</f>
        <v/>
      </c>
      <c r="P86" s="21">
        <f>SUMIFS(Boxes!$F$3:$F$1084,Boxes!$B$3:$B$1084,$A86,Boxes!$D$3:$D$1084,"ALKY")</f>
        <v/>
      </c>
      <c r="Q86" s="21">
        <f>SUMIFS(Boxes!$F$3:$F$1084,Boxes!$B$3:$B$1084,$A86,Boxes!$D$3:$D$1084,"NSPL")</f>
        <v/>
      </c>
      <c r="R86" s="21">
        <f>SUMIFS(Boxes!$F$3:$F$1084,Boxes!$B$3:$B$1084,$A86,Boxes!$D$3:$D$1084,"NHT")</f>
        <v/>
      </c>
    </row>
    <row r="87">
      <c r="A87" s="18" t="inlineStr">
        <is>
          <t>SUNCOR_DENVER</t>
        </is>
      </c>
      <c r="B87" s="18" t="inlineStr">
        <is>
          <t>Suncor Denver</t>
        </is>
      </c>
      <c r="C87" s="18" t="n">
        <v>4</v>
      </c>
      <c r="D87" s="21">
        <f>SUMIFS(Data!$G$3:$G$125,Data!$A$3:$A$125,$A87)</f>
        <v/>
      </c>
      <c r="E87" s="21">
        <f>SUMIFS(Boxes!$F$3:$F$1084,Boxes!$B$3:$B$1084,$A87,Boxes!$D$3:$D$1084,"CDU")</f>
        <v/>
      </c>
      <c r="F87" s="21">
        <f>SUMIFS(Boxes!$F$3:$F$1084,Boxes!$B$3:$B$1084,$A87,Boxes!$D$3:$D$1084,"VDU")</f>
        <v/>
      </c>
      <c r="G87" s="21">
        <f>SUMIFS(Boxes!$F$3:$F$1084,Boxes!$B$3:$B$1084,$A87,Boxes!$D$3:$D$1084,"FCC")</f>
        <v/>
      </c>
      <c r="H87" s="21">
        <f>SUMIFS(Boxes!$F$3:$F$1084,Boxes!$B$3:$B$1084,$A87,Boxes!$D$3:$D$1084,"RCC")</f>
        <v/>
      </c>
      <c r="I87" s="21">
        <f>SUMIFS(Boxes!$F$3:$F$1084,Boxes!$B$3:$B$1084,$A87,Boxes!$D$3:$D$1084,"COKER")</f>
        <v/>
      </c>
      <c r="J87" s="21">
        <f>SUMIFS(Boxes!$F$3:$F$1084,Boxes!$B$3:$B$1084,$A87,Boxes!$D$3:$D$1084,"FCOKER")</f>
        <v/>
      </c>
      <c r="K87" s="21">
        <f>SUMIFS(Boxes!$F$3:$F$1084,Boxes!$B$3:$B$1084,$A87,Boxes!$D$3:$D$1084,"DHCU")</f>
        <v/>
      </c>
      <c r="L87" s="21">
        <f>SUMIFS(Boxes!$F$3:$F$1084,Boxes!$B$3:$B$1084,$A87,Boxes!$D$3:$D$1084,"RHCU")</f>
        <v/>
      </c>
      <c r="M87" s="21">
        <f>SUMIFS(Boxes!$F$3:$F$1084,Boxes!$B$3:$B$1084,$A87,Boxes!$D$3:$D$1084,"REF")</f>
        <v/>
      </c>
      <c r="N87" s="21">
        <f>SUMIFS(Boxes!$F$3:$F$1084,Boxes!$B$3:$B$1084,$A87,Boxes!$D$3:$D$1084,"CCR")</f>
        <v/>
      </c>
      <c r="O87" s="21">
        <f>SUMIFS(Boxes!$F$3:$F$1084,Boxes!$B$3:$B$1084,$A87,Boxes!$D$3:$D$1084,"ISOM")</f>
        <v/>
      </c>
      <c r="P87" s="21">
        <f>SUMIFS(Boxes!$F$3:$F$1084,Boxes!$B$3:$B$1084,$A87,Boxes!$D$3:$D$1084,"ALKY")</f>
        <v/>
      </c>
      <c r="Q87" s="21">
        <f>SUMIFS(Boxes!$F$3:$F$1084,Boxes!$B$3:$B$1084,$A87,Boxes!$D$3:$D$1084,"NSPL")</f>
        <v/>
      </c>
      <c r="R87" s="21">
        <f>SUMIFS(Boxes!$F$3:$F$1084,Boxes!$B$3:$B$1084,$A87,Boxes!$D$3:$D$1084,"NHT")</f>
        <v/>
      </c>
    </row>
    <row r="88">
      <c r="A88" s="18" t="inlineStr">
        <is>
          <t>SINCLAIR_SINCLAIR</t>
        </is>
      </c>
      <c r="B88" s="18" t="inlineStr">
        <is>
          <t>Sinclair Sinclair</t>
        </is>
      </c>
      <c r="C88" s="18" t="n">
        <v>4</v>
      </c>
      <c r="D88" s="21">
        <f>SUMIFS(Data!$G$3:$G$125,Data!$A$3:$A$125,$A88)</f>
        <v/>
      </c>
      <c r="E88" s="21">
        <f>SUMIFS(Boxes!$F$3:$F$1084,Boxes!$B$3:$B$1084,$A88,Boxes!$D$3:$D$1084,"CDU")</f>
        <v/>
      </c>
      <c r="F88" s="21">
        <f>SUMIFS(Boxes!$F$3:$F$1084,Boxes!$B$3:$B$1084,$A88,Boxes!$D$3:$D$1084,"VDU")</f>
        <v/>
      </c>
      <c r="G88" s="21">
        <f>SUMIFS(Boxes!$F$3:$F$1084,Boxes!$B$3:$B$1084,$A88,Boxes!$D$3:$D$1084,"FCC")</f>
        <v/>
      </c>
      <c r="H88" s="21">
        <f>SUMIFS(Boxes!$F$3:$F$1084,Boxes!$B$3:$B$1084,$A88,Boxes!$D$3:$D$1084,"RCC")</f>
        <v/>
      </c>
      <c r="I88" s="21">
        <f>SUMIFS(Boxes!$F$3:$F$1084,Boxes!$B$3:$B$1084,$A88,Boxes!$D$3:$D$1084,"COKER")</f>
        <v/>
      </c>
      <c r="J88" s="21">
        <f>SUMIFS(Boxes!$F$3:$F$1084,Boxes!$B$3:$B$1084,$A88,Boxes!$D$3:$D$1084,"FCOKER")</f>
        <v/>
      </c>
      <c r="K88" s="21">
        <f>SUMIFS(Boxes!$F$3:$F$1084,Boxes!$B$3:$B$1084,$A88,Boxes!$D$3:$D$1084,"DHCU")</f>
        <v/>
      </c>
      <c r="L88" s="21">
        <f>SUMIFS(Boxes!$F$3:$F$1084,Boxes!$B$3:$B$1084,$A88,Boxes!$D$3:$D$1084,"RHCU")</f>
        <v/>
      </c>
      <c r="M88" s="21">
        <f>SUMIFS(Boxes!$F$3:$F$1084,Boxes!$B$3:$B$1084,$A88,Boxes!$D$3:$D$1084,"REF")</f>
        <v/>
      </c>
      <c r="N88" s="21">
        <f>SUMIFS(Boxes!$F$3:$F$1084,Boxes!$B$3:$B$1084,$A88,Boxes!$D$3:$D$1084,"CCR")</f>
        <v/>
      </c>
      <c r="O88" s="21">
        <f>SUMIFS(Boxes!$F$3:$F$1084,Boxes!$B$3:$B$1084,$A88,Boxes!$D$3:$D$1084,"ISOM")</f>
        <v/>
      </c>
      <c r="P88" s="21">
        <f>SUMIFS(Boxes!$F$3:$F$1084,Boxes!$B$3:$B$1084,$A88,Boxes!$D$3:$D$1084,"ALKY")</f>
        <v/>
      </c>
      <c r="Q88" s="21">
        <f>SUMIFS(Boxes!$F$3:$F$1084,Boxes!$B$3:$B$1084,$A88,Boxes!$D$3:$D$1084,"NSPL")</f>
        <v/>
      </c>
      <c r="R88" s="21">
        <f>SUMIFS(Boxes!$F$3:$F$1084,Boxes!$B$3:$B$1084,$A88,Boxes!$D$3:$D$1084,"NHT")</f>
        <v/>
      </c>
    </row>
    <row r="89">
      <c r="A89" s="18" t="inlineStr">
        <is>
          <t>MARATHON_SALT_LAKE_CITY</t>
        </is>
      </c>
      <c r="B89" s="18" t="inlineStr">
        <is>
          <t>Marathon Petroleum Salt Lake City</t>
        </is>
      </c>
      <c r="C89" s="18" t="n">
        <v>4</v>
      </c>
      <c r="D89" s="21">
        <f>SUMIFS(Data!$G$3:$G$125,Data!$A$3:$A$125,$A89)</f>
        <v/>
      </c>
      <c r="E89" s="21">
        <f>SUMIFS(Boxes!$F$3:$F$1084,Boxes!$B$3:$B$1084,$A89,Boxes!$D$3:$D$1084,"CDU")</f>
        <v/>
      </c>
      <c r="F89" s="21">
        <f>SUMIFS(Boxes!$F$3:$F$1084,Boxes!$B$3:$B$1084,$A89,Boxes!$D$3:$D$1084,"VDU")</f>
        <v/>
      </c>
      <c r="G89" s="21">
        <f>SUMIFS(Boxes!$F$3:$F$1084,Boxes!$B$3:$B$1084,$A89,Boxes!$D$3:$D$1084,"FCC")</f>
        <v/>
      </c>
      <c r="H89" s="21">
        <f>SUMIFS(Boxes!$F$3:$F$1084,Boxes!$B$3:$B$1084,$A89,Boxes!$D$3:$D$1084,"RCC")</f>
        <v/>
      </c>
      <c r="I89" s="21">
        <f>SUMIFS(Boxes!$F$3:$F$1084,Boxes!$B$3:$B$1084,$A89,Boxes!$D$3:$D$1084,"COKER")</f>
        <v/>
      </c>
      <c r="J89" s="21">
        <f>SUMIFS(Boxes!$F$3:$F$1084,Boxes!$B$3:$B$1084,$A89,Boxes!$D$3:$D$1084,"FCOKER")</f>
        <v/>
      </c>
      <c r="K89" s="21">
        <f>SUMIFS(Boxes!$F$3:$F$1084,Boxes!$B$3:$B$1084,$A89,Boxes!$D$3:$D$1084,"DHCU")</f>
        <v/>
      </c>
      <c r="L89" s="21">
        <f>SUMIFS(Boxes!$F$3:$F$1084,Boxes!$B$3:$B$1084,$A89,Boxes!$D$3:$D$1084,"RHCU")</f>
        <v/>
      </c>
      <c r="M89" s="21">
        <f>SUMIFS(Boxes!$F$3:$F$1084,Boxes!$B$3:$B$1084,$A89,Boxes!$D$3:$D$1084,"REF")</f>
        <v/>
      </c>
      <c r="N89" s="21">
        <f>SUMIFS(Boxes!$F$3:$F$1084,Boxes!$B$3:$B$1084,$A89,Boxes!$D$3:$D$1084,"CCR")</f>
        <v/>
      </c>
      <c r="O89" s="21">
        <f>SUMIFS(Boxes!$F$3:$F$1084,Boxes!$B$3:$B$1084,$A89,Boxes!$D$3:$D$1084,"ISOM")</f>
        <v/>
      </c>
      <c r="P89" s="21">
        <f>SUMIFS(Boxes!$F$3:$F$1084,Boxes!$B$3:$B$1084,$A89,Boxes!$D$3:$D$1084,"ALKY")</f>
        <v/>
      </c>
      <c r="Q89" s="21">
        <f>SUMIFS(Boxes!$F$3:$F$1084,Boxes!$B$3:$B$1084,$A89,Boxes!$D$3:$D$1084,"NSPL")</f>
        <v/>
      </c>
      <c r="R89" s="21">
        <f>SUMIFS(Boxes!$F$3:$F$1084,Boxes!$B$3:$B$1084,$A89,Boxes!$D$3:$D$1084,"NHT")</f>
        <v/>
      </c>
    </row>
    <row r="90">
      <c r="A90" s="18" t="inlineStr">
        <is>
          <t>PHILLIPS_BILLINGS</t>
        </is>
      </c>
      <c r="B90" s="18" t="inlineStr">
        <is>
          <t>Phillips 66 Co. Billings</t>
        </is>
      </c>
      <c r="C90" s="18" t="n">
        <v>4</v>
      </c>
      <c r="D90" s="21">
        <f>SUMIFS(Data!$G$3:$G$125,Data!$A$3:$A$125,$A90)</f>
        <v/>
      </c>
      <c r="E90" s="21">
        <f>SUMIFS(Boxes!$F$3:$F$1084,Boxes!$B$3:$B$1084,$A90,Boxes!$D$3:$D$1084,"CDU")</f>
        <v/>
      </c>
      <c r="F90" s="21">
        <f>SUMIFS(Boxes!$F$3:$F$1084,Boxes!$B$3:$B$1084,$A90,Boxes!$D$3:$D$1084,"VDU")</f>
        <v/>
      </c>
      <c r="G90" s="21">
        <f>SUMIFS(Boxes!$F$3:$F$1084,Boxes!$B$3:$B$1084,$A90,Boxes!$D$3:$D$1084,"FCC")</f>
        <v/>
      </c>
      <c r="H90" s="21">
        <f>SUMIFS(Boxes!$F$3:$F$1084,Boxes!$B$3:$B$1084,$A90,Boxes!$D$3:$D$1084,"RCC")</f>
        <v/>
      </c>
      <c r="I90" s="21">
        <f>SUMIFS(Boxes!$F$3:$F$1084,Boxes!$B$3:$B$1084,$A90,Boxes!$D$3:$D$1084,"COKER")</f>
        <v/>
      </c>
      <c r="J90" s="21">
        <f>SUMIFS(Boxes!$F$3:$F$1084,Boxes!$B$3:$B$1084,$A90,Boxes!$D$3:$D$1084,"FCOKER")</f>
        <v/>
      </c>
      <c r="K90" s="21">
        <f>SUMIFS(Boxes!$F$3:$F$1084,Boxes!$B$3:$B$1084,$A90,Boxes!$D$3:$D$1084,"DHCU")</f>
        <v/>
      </c>
      <c r="L90" s="21">
        <f>SUMIFS(Boxes!$F$3:$F$1084,Boxes!$B$3:$B$1084,$A90,Boxes!$D$3:$D$1084,"RHCU")</f>
        <v/>
      </c>
      <c r="M90" s="21">
        <f>SUMIFS(Boxes!$F$3:$F$1084,Boxes!$B$3:$B$1084,$A90,Boxes!$D$3:$D$1084,"REF")</f>
        <v/>
      </c>
      <c r="N90" s="21">
        <f>SUMIFS(Boxes!$F$3:$F$1084,Boxes!$B$3:$B$1084,$A90,Boxes!$D$3:$D$1084,"CCR")</f>
        <v/>
      </c>
      <c r="O90" s="21">
        <f>SUMIFS(Boxes!$F$3:$F$1084,Boxes!$B$3:$B$1084,$A90,Boxes!$D$3:$D$1084,"ISOM")</f>
        <v/>
      </c>
      <c r="P90" s="21">
        <f>SUMIFS(Boxes!$F$3:$F$1084,Boxes!$B$3:$B$1084,$A90,Boxes!$D$3:$D$1084,"ALKY")</f>
        <v/>
      </c>
      <c r="Q90" s="21">
        <f>SUMIFS(Boxes!$F$3:$F$1084,Boxes!$B$3:$B$1084,$A90,Boxes!$D$3:$D$1084,"NSPL")</f>
        <v/>
      </c>
      <c r="R90" s="21">
        <f>SUMIFS(Boxes!$F$3:$F$1084,Boxes!$B$3:$B$1084,$A90,Boxes!$D$3:$D$1084,"NHT")</f>
        <v/>
      </c>
    </row>
    <row r="91">
      <c r="A91" s="18" t="inlineStr">
        <is>
          <t>PAR_BILLINGS</t>
        </is>
      </c>
      <c r="B91" s="18" t="inlineStr">
        <is>
          <t>Par Petroleum Billings</t>
        </is>
      </c>
      <c r="C91" s="18" t="n">
        <v>4</v>
      </c>
      <c r="D91" s="21">
        <f>SUMIFS(Data!$G$3:$G$125,Data!$A$3:$A$125,$A91)</f>
        <v/>
      </c>
      <c r="E91" s="21">
        <f>SUMIFS(Boxes!$F$3:$F$1084,Boxes!$B$3:$B$1084,$A91,Boxes!$D$3:$D$1084,"CDU")</f>
        <v/>
      </c>
      <c r="F91" s="21">
        <f>SUMIFS(Boxes!$F$3:$F$1084,Boxes!$B$3:$B$1084,$A91,Boxes!$D$3:$D$1084,"VDU")</f>
        <v/>
      </c>
      <c r="G91" s="21">
        <f>SUMIFS(Boxes!$F$3:$F$1084,Boxes!$B$3:$B$1084,$A91,Boxes!$D$3:$D$1084,"FCC")</f>
        <v/>
      </c>
      <c r="H91" s="21">
        <f>SUMIFS(Boxes!$F$3:$F$1084,Boxes!$B$3:$B$1084,$A91,Boxes!$D$3:$D$1084,"RCC")</f>
        <v/>
      </c>
      <c r="I91" s="21">
        <f>SUMIFS(Boxes!$F$3:$F$1084,Boxes!$B$3:$B$1084,$A91,Boxes!$D$3:$D$1084,"COKER")</f>
        <v/>
      </c>
      <c r="J91" s="21">
        <f>SUMIFS(Boxes!$F$3:$F$1084,Boxes!$B$3:$B$1084,$A91,Boxes!$D$3:$D$1084,"FCOKER")</f>
        <v/>
      </c>
      <c r="K91" s="21">
        <f>SUMIFS(Boxes!$F$3:$F$1084,Boxes!$B$3:$B$1084,$A91,Boxes!$D$3:$D$1084,"DHCU")</f>
        <v/>
      </c>
      <c r="L91" s="21">
        <f>SUMIFS(Boxes!$F$3:$F$1084,Boxes!$B$3:$B$1084,$A91,Boxes!$D$3:$D$1084,"RHCU")</f>
        <v/>
      </c>
      <c r="M91" s="21">
        <f>SUMIFS(Boxes!$F$3:$F$1084,Boxes!$B$3:$B$1084,$A91,Boxes!$D$3:$D$1084,"REF")</f>
        <v/>
      </c>
      <c r="N91" s="21">
        <f>SUMIFS(Boxes!$F$3:$F$1084,Boxes!$B$3:$B$1084,$A91,Boxes!$D$3:$D$1084,"CCR")</f>
        <v/>
      </c>
      <c r="O91" s="21">
        <f>SUMIFS(Boxes!$F$3:$F$1084,Boxes!$B$3:$B$1084,$A91,Boxes!$D$3:$D$1084,"ISOM")</f>
        <v/>
      </c>
      <c r="P91" s="21">
        <f>SUMIFS(Boxes!$F$3:$F$1084,Boxes!$B$3:$B$1084,$A91,Boxes!$D$3:$D$1084,"ALKY")</f>
        <v/>
      </c>
      <c r="Q91" s="21">
        <f>SUMIFS(Boxes!$F$3:$F$1084,Boxes!$B$3:$B$1084,$A91,Boxes!$D$3:$D$1084,"NSPL")</f>
        <v/>
      </c>
      <c r="R91" s="21">
        <f>SUMIFS(Boxes!$F$3:$F$1084,Boxes!$B$3:$B$1084,$A91,Boxes!$D$3:$D$1084,"NHT")</f>
        <v/>
      </c>
    </row>
    <row r="92">
      <c r="A92" s="18" t="inlineStr">
        <is>
          <t>CHS_LAUREL</t>
        </is>
      </c>
      <c r="B92" s="18" t="inlineStr">
        <is>
          <t>CHS Laurel</t>
        </is>
      </c>
      <c r="C92" s="18" t="n">
        <v>4</v>
      </c>
      <c r="D92" s="21">
        <f>SUMIFS(Data!$G$3:$G$125,Data!$A$3:$A$125,$A92)</f>
        <v/>
      </c>
      <c r="E92" s="21">
        <f>SUMIFS(Boxes!$F$3:$F$1084,Boxes!$B$3:$B$1084,$A92,Boxes!$D$3:$D$1084,"CDU")</f>
        <v/>
      </c>
      <c r="F92" s="21">
        <f>SUMIFS(Boxes!$F$3:$F$1084,Boxes!$B$3:$B$1084,$A92,Boxes!$D$3:$D$1084,"VDU")</f>
        <v/>
      </c>
      <c r="G92" s="21">
        <f>SUMIFS(Boxes!$F$3:$F$1084,Boxes!$B$3:$B$1084,$A92,Boxes!$D$3:$D$1084,"FCC")</f>
        <v/>
      </c>
      <c r="H92" s="21">
        <f>SUMIFS(Boxes!$F$3:$F$1084,Boxes!$B$3:$B$1084,$A92,Boxes!$D$3:$D$1084,"RCC")</f>
        <v/>
      </c>
      <c r="I92" s="21">
        <f>SUMIFS(Boxes!$F$3:$F$1084,Boxes!$B$3:$B$1084,$A92,Boxes!$D$3:$D$1084,"COKER")</f>
        <v/>
      </c>
      <c r="J92" s="21">
        <f>SUMIFS(Boxes!$F$3:$F$1084,Boxes!$B$3:$B$1084,$A92,Boxes!$D$3:$D$1084,"FCOKER")</f>
        <v/>
      </c>
      <c r="K92" s="21">
        <f>SUMIFS(Boxes!$F$3:$F$1084,Boxes!$B$3:$B$1084,$A92,Boxes!$D$3:$D$1084,"DHCU")</f>
        <v/>
      </c>
      <c r="L92" s="21">
        <f>SUMIFS(Boxes!$F$3:$F$1084,Boxes!$B$3:$B$1084,$A92,Boxes!$D$3:$D$1084,"RHCU")</f>
        <v/>
      </c>
      <c r="M92" s="21">
        <f>SUMIFS(Boxes!$F$3:$F$1084,Boxes!$B$3:$B$1084,$A92,Boxes!$D$3:$D$1084,"REF")</f>
        <v/>
      </c>
      <c r="N92" s="21">
        <f>SUMIFS(Boxes!$F$3:$F$1084,Boxes!$B$3:$B$1084,$A92,Boxes!$D$3:$D$1084,"CCR")</f>
        <v/>
      </c>
      <c r="O92" s="21">
        <f>SUMIFS(Boxes!$F$3:$F$1084,Boxes!$B$3:$B$1084,$A92,Boxes!$D$3:$D$1084,"ISOM")</f>
        <v/>
      </c>
      <c r="P92" s="21">
        <f>SUMIFS(Boxes!$F$3:$F$1084,Boxes!$B$3:$B$1084,$A92,Boxes!$D$3:$D$1084,"ALKY")</f>
        <v/>
      </c>
      <c r="Q92" s="21">
        <f>SUMIFS(Boxes!$F$3:$F$1084,Boxes!$B$3:$B$1084,$A92,Boxes!$D$3:$D$1084,"NSPL")</f>
        <v/>
      </c>
      <c r="R92" s="21">
        <f>SUMIFS(Boxes!$F$3:$F$1084,Boxes!$B$3:$B$1084,$A92,Boxes!$D$3:$D$1084,"NHT")</f>
        <v/>
      </c>
    </row>
    <row r="93">
      <c r="A93" s="18" t="inlineStr">
        <is>
          <t>CHEVRON_SALT_LAKE_CITY</t>
        </is>
      </c>
      <c r="B93" s="18" t="inlineStr">
        <is>
          <t>Chevron Salt Lake City</t>
        </is>
      </c>
      <c r="C93" s="18" t="n">
        <v>4</v>
      </c>
      <c r="D93" s="21">
        <f>SUMIFS(Data!$G$3:$G$125,Data!$A$3:$A$125,$A93)</f>
        <v/>
      </c>
      <c r="E93" s="21">
        <f>SUMIFS(Boxes!$F$3:$F$1084,Boxes!$B$3:$B$1084,$A93,Boxes!$D$3:$D$1084,"CDU")</f>
        <v/>
      </c>
      <c r="F93" s="21">
        <f>SUMIFS(Boxes!$F$3:$F$1084,Boxes!$B$3:$B$1084,$A93,Boxes!$D$3:$D$1084,"VDU")</f>
        <v/>
      </c>
      <c r="G93" s="21">
        <f>SUMIFS(Boxes!$F$3:$F$1084,Boxes!$B$3:$B$1084,$A93,Boxes!$D$3:$D$1084,"FCC")</f>
        <v/>
      </c>
      <c r="H93" s="21">
        <f>SUMIFS(Boxes!$F$3:$F$1084,Boxes!$B$3:$B$1084,$A93,Boxes!$D$3:$D$1084,"RCC")</f>
        <v/>
      </c>
      <c r="I93" s="21">
        <f>SUMIFS(Boxes!$F$3:$F$1084,Boxes!$B$3:$B$1084,$A93,Boxes!$D$3:$D$1084,"COKER")</f>
        <v/>
      </c>
      <c r="J93" s="21">
        <f>SUMIFS(Boxes!$F$3:$F$1084,Boxes!$B$3:$B$1084,$A93,Boxes!$D$3:$D$1084,"FCOKER")</f>
        <v/>
      </c>
      <c r="K93" s="21">
        <f>SUMIFS(Boxes!$F$3:$F$1084,Boxes!$B$3:$B$1084,$A93,Boxes!$D$3:$D$1084,"DHCU")</f>
        <v/>
      </c>
      <c r="L93" s="21">
        <f>SUMIFS(Boxes!$F$3:$F$1084,Boxes!$B$3:$B$1084,$A93,Boxes!$D$3:$D$1084,"RHCU")</f>
        <v/>
      </c>
      <c r="M93" s="21">
        <f>SUMIFS(Boxes!$F$3:$F$1084,Boxes!$B$3:$B$1084,$A93,Boxes!$D$3:$D$1084,"REF")</f>
        <v/>
      </c>
      <c r="N93" s="21">
        <f>SUMIFS(Boxes!$F$3:$F$1084,Boxes!$B$3:$B$1084,$A93,Boxes!$D$3:$D$1084,"CCR")</f>
        <v/>
      </c>
      <c r="O93" s="21">
        <f>SUMIFS(Boxes!$F$3:$F$1084,Boxes!$B$3:$B$1084,$A93,Boxes!$D$3:$D$1084,"ISOM")</f>
        <v/>
      </c>
      <c r="P93" s="21">
        <f>SUMIFS(Boxes!$F$3:$F$1084,Boxes!$B$3:$B$1084,$A93,Boxes!$D$3:$D$1084,"ALKY")</f>
        <v/>
      </c>
      <c r="Q93" s="21">
        <f>SUMIFS(Boxes!$F$3:$F$1084,Boxes!$B$3:$B$1084,$A93,Boxes!$D$3:$D$1084,"NSPL")</f>
        <v/>
      </c>
      <c r="R93" s="21">
        <f>SUMIFS(Boxes!$F$3:$F$1084,Boxes!$B$3:$B$1084,$A93,Boxes!$D$3:$D$1084,"NHT")</f>
        <v/>
      </c>
    </row>
    <row r="94">
      <c r="A94" s="18" t="inlineStr">
        <is>
          <t>HF_WOODS_CROSS</t>
        </is>
      </c>
      <c r="B94" s="18" t="inlineStr">
        <is>
          <t>HF Sinclair Woods Cross</t>
        </is>
      </c>
      <c r="C94" s="18" t="n">
        <v>4</v>
      </c>
      <c r="D94" s="21">
        <f>SUMIFS(Data!$G$3:$G$125,Data!$A$3:$A$125,$A94)</f>
        <v/>
      </c>
      <c r="E94" s="21">
        <f>SUMIFS(Boxes!$F$3:$F$1084,Boxes!$B$3:$B$1084,$A94,Boxes!$D$3:$D$1084,"CDU")</f>
        <v/>
      </c>
      <c r="F94" s="21">
        <f>SUMIFS(Boxes!$F$3:$F$1084,Boxes!$B$3:$B$1084,$A94,Boxes!$D$3:$D$1084,"VDU")</f>
        <v/>
      </c>
      <c r="G94" s="21">
        <f>SUMIFS(Boxes!$F$3:$F$1084,Boxes!$B$3:$B$1084,$A94,Boxes!$D$3:$D$1084,"FCC")</f>
        <v/>
      </c>
      <c r="H94" s="21">
        <f>SUMIFS(Boxes!$F$3:$F$1084,Boxes!$B$3:$B$1084,$A94,Boxes!$D$3:$D$1084,"RCC")</f>
        <v/>
      </c>
      <c r="I94" s="21">
        <f>SUMIFS(Boxes!$F$3:$F$1084,Boxes!$B$3:$B$1084,$A94,Boxes!$D$3:$D$1084,"COKER")</f>
        <v/>
      </c>
      <c r="J94" s="21">
        <f>SUMIFS(Boxes!$F$3:$F$1084,Boxes!$B$3:$B$1084,$A94,Boxes!$D$3:$D$1084,"FCOKER")</f>
        <v/>
      </c>
      <c r="K94" s="21">
        <f>SUMIFS(Boxes!$F$3:$F$1084,Boxes!$B$3:$B$1084,$A94,Boxes!$D$3:$D$1084,"DHCU")</f>
        <v/>
      </c>
      <c r="L94" s="21">
        <f>SUMIFS(Boxes!$F$3:$F$1084,Boxes!$B$3:$B$1084,$A94,Boxes!$D$3:$D$1084,"RHCU")</f>
        <v/>
      </c>
      <c r="M94" s="21">
        <f>SUMIFS(Boxes!$F$3:$F$1084,Boxes!$B$3:$B$1084,$A94,Boxes!$D$3:$D$1084,"REF")</f>
        <v/>
      </c>
      <c r="N94" s="21">
        <f>SUMIFS(Boxes!$F$3:$F$1084,Boxes!$B$3:$B$1084,$A94,Boxes!$D$3:$D$1084,"CCR")</f>
        <v/>
      </c>
      <c r="O94" s="21">
        <f>SUMIFS(Boxes!$F$3:$F$1084,Boxes!$B$3:$B$1084,$A94,Boxes!$D$3:$D$1084,"ISOM")</f>
        <v/>
      </c>
      <c r="P94" s="21">
        <f>SUMIFS(Boxes!$F$3:$F$1084,Boxes!$B$3:$B$1084,$A94,Boxes!$D$3:$D$1084,"ALKY")</f>
        <v/>
      </c>
      <c r="Q94" s="21">
        <f>SUMIFS(Boxes!$F$3:$F$1084,Boxes!$B$3:$B$1084,$A94,Boxes!$D$3:$D$1084,"NSPL")</f>
        <v/>
      </c>
      <c r="R94" s="21">
        <f>SUMIFS(Boxes!$F$3:$F$1084,Boxes!$B$3:$B$1084,$A94,Boxes!$D$3:$D$1084,"NHT")</f>
        <v/>
      </c>
    </row>
    <row r="95">
      <c r="A95" s="18" t="inlineStr">
        <is>
          <t>BIG_NORTH_SLATERVILLE_CANAL</t>
        </is>
      </c>
      <c r="B95" s="18" t="inlineStr">
        <is>
          <t>Big West Oil Co North Slaterville Canal</t>
        </is>
      </c>
      <c r="C95" s="18" t="n">
        <v>4</v>
      </c>
      <c r="D95" s="21">
        <f>SUMIFS(Data!$G$3:$G$125,Data!$A$3:$A$125,$A95)</f>
        <v/>
      </c>
      <c r="E95" s="21">
        <f>SUMIFS(Boxes!$F$3:$F$1084,Boxes!$B$3:$B$1084,$A95,Boxes!$D$3:$D$1084,"CDU")</f>
        <v/>
      </c>
      <c r="F95" s="21">
        <f>SUMIFS(Boxes!$F$3:$F$1084,Boxes!$B$3:$B$1084,$A95,Boxes!$D$3:$D$1084,"VDU")</f>
        <v/>
      </c>
      <c r="G95" s="21">
        <f>SUMIFS(Boxes!$F$3:$F$1084,Boxes!$B$3:$B$1084,$A95,Boxes!$D$3:$D$1084,"FCC")</f>
        <v/>
      </c>
      <c r="H95" s="21">
        <f>SUMIFS(Boxes!$F$3:$F$1084,Boxes!$B$3:$B$1084,$A95,Boxes!$D$3:$D$1084,"RCC")</f>
        <v/>
      </c>
      <c r="I95" s="21">
        <f>SUMIFS(Boxes!$F$3:$F$1084,Boxes!$B$3:$B$1084,$A95,Boxes!$D$3:$D$1084,"COKER")</f>
        <v/>
      </c>
      <c r="J95" s="21">
        <f>SUMIFS(Boxes!$F$3:$F$1084,Boxes!$B$3:$B$1084,$A95,Boxes!$D$3:$D$1084,"FCOKER")</f>
        <v/>
      </c>
      <c r="K95" s="21">
        <f>SUMIFS(Boxes!$F$3:$F$1084,Boxes!$B$3:$B$1084,$A95,Boxes!$D$3:$D$1084,"DHCU")</f>
        <v/>
      </c>
      <c r="L95" s="21">
        <f>SUMIFS(Boxes!$F$3:$F$1084,Boxes!$B$3:$B$1084,$A95,Boxes!$D$3:$D$1084,"RHCU")</f>
        <v/>
      </c>
      <c r="M95" s="21">
        <f>SUMIFS(Boxes!$F$3:$F$1084,Boxes!$B$3:$B$1084,$A95,Boxes!$D$3:$D$1084,"REF")</f>
        <v/>
      </c>
      <c r="N95" s="21">
        <f>SUMIFS(Boxes!$F$3:$F$1084,Boxes!$B$3:$B$1084,$A95,Boxes!$D$3:$D$1084,"CCR")</f>
        <v/>
      </c>
      <c r="O95" s="21">
        <f>SUMIFS(Boxes!$F$3:$F$1084,Boxes!$B$3:$B$1084,$A95,Boxes!$D$3:$D$1084,"ISOM")</f>
        <v/>
      </c>
      <c r="P95" s="21">
        <f>SUMIFS(Boxes!$F$3:$F$1084,Boxes!$B$3:$B$1084,$A95,Boxes!$D$3:$D$1084,"ALKY")</f>
        <v/>
      </c>
      <c r="Q95" s="21">
        <f>SUMIFS(Boxes!$F$3:$F$1084,Boxes!$B$3:$B$1084,$A95,Boxes!$D$3:$D$1084,"NSPL")</f>
        <v/>
      </c>
      <c r="R95" s="21">
        <f>SUMIFS(Boxes!$F$3:$F$1084,Boxes!$B$3:$B$1084,$A95,Boxes!$D$3:$D$1084,"NHT")</f>
        <v/>
      </c>
    </row>
    <row r="96">
      <c r="A96" s="18" t="inlineStr">
        <is>
          <t>HF_CASPER</t>
        </is>
      </c>
      <c r="B96" s="18" t="inlineStr">
        <is>
          <t>HF Sinclair Casper</t>
        </is>
      </c>
      <c r="C96" s="18" t="n">
        <v>4</v>
      </c>
      <c r="D96" s="21">
        <f>SUMIFS(Data!$G$3:$G$125,Data!$A$3:$A$125,$A96)</f>
        <v/>
      </c>
      <c r="E96" s="21">
        <f>SUMIFS(Boxes!$F$3:$F$1084,Boxes!$B$3:$B$1084,$A96,Boxes!$D$3:$D$1084,"CDU")</f>
        <v/>
      </c>
      <c r="F96" s="21">
        <f>SUMIFS(Boxes!$F$3:$F$1084,Boxes!$B$3:$B$1084,$A96,Boxes!$D$3:$D$1084,"VDU")</f>
        <v/>
      </c>
      <c r="G96" s="21">
        <f>SUMIFS(Boxes!$F$3:$F$1084,Boxes!$B$3:$B$1084,$A96,Boxes!$D$3:$D$1084,"FCC")</f>
        <v/>
      </c>
      <c r="H96" s="21">
        <f>SUMIFS(Boxes!$F$3:$F$1084,Boxes!$B$3:$B$1084,$A96,Boxes!$D$3:$D$1084,"RCC")</f>
        <v/>
      </c>
      <c r="I96" s="21">
        <f>SUMIFS(Boxes!$F$3:$F$1084,Boxes!$B$3:$B$1084,$A96,Boxes!$D$3:$D$1084,"COKER")</f>
        <v/>
      </c>
      <c r="J96" s="21">
        <f>SUMIFS(Boxes!$F$3:$F$1084,Boxes!$B$3:$B$1084,$A96,Boxes!$D$3:$D$1084,"FCOKER")</f>
        <v/>
      </c>
      <c r="K96" s="21">
        <f>SUMIFS(Boxes!$F$3:$F$1084,Boxes!$B$3:$B$1084,$A96,Boxes!$D$3:$D$1084,"DHCU")</f>
        <v/>
      </c>
      <c r="L96" s="21">
        <f>SUMIFS(Boxes!$F$3:$F$1084,Boxes!$B$3:$B$1084,$A96,Boxes!$D$3:$D$1084,"RHCU")</f>
        <v/>
      </c>
      <c r="M96" s="21">
        <f>SUMIFS(Boxes!$F$3:$F$1084,Boxes!$B$3:$B$1084,$A96,Boxes!$D$3:$D$1084,"REF")</f>
        <v/>
      </c>
      <c r="N96" s="21">
        <f>SUMIFS(Boxes!$F$3:$F$1084,Boxes!$B$3:$B$1084,$A96,Boxes!$D$3:$D$1084,"CCR")</f>
        <v/>
      </c>
      <c r="O96" s="21">
        <f>SUMIFS(Boxes!$F$3:$F$1084,Boxes!$B$3:$B$1084,$A96,Boxes!$D$3:$D$1084,"ISOM")</f>
        <v/>
      </c>
      <c r="P96" s="21">
        <f>SUMIFS(Boxes!$F$3:$F$1084,Boxes!$B$3:$B$1084,$A96,Boxes!$D$3:$D$1084,"ALKY")</f>
        <v/>
      </c>
      <c r="Q96" s="21">
        <f>SUMIFS(Boxes!$F$3:$F$1084,Boxes!$B$3:$B$1084,$A96,Boxes!$D$3:$D$1084,"NSPL")</f>
        <v/>
      </c>
      <c r="R96" s="21">
        <f>SUMIFS(Boxes!$F$3:$F$1084,Boxes!$B$3:$B$1084,$A96,Boxes!$D$3:$D$1084,"NHT")</f>
        <v/>
      </c>
    </row>
    <row r="97">
      <c r="A97" s="18" t="inlineStr">
        <is>
          <t>PAR_NEWCASTLE</t>
        </is>
      </c>
      <c r="B97" s="18" t="inlineStr">
        <is>
          <t>Par Petroleum Newcastle</t>
        </is>
      </c>
      <c r="C97" s="18" t="n">
        <v>4</v>
      </c>
      <c r="D97" s="21">
        <f>SUMIFS(Data!$G$3:$G$125,Data!$A$3:$A$125,$A97)</f>
        <v/>
      </c>
      <c r="E97" s="21">
        <f>SUMIFS(Boxes!$F$3:$F$1084,Boxes!$B$3:$B$1084,$A97,Boxes!$D$3:$D$1084,"CDU")</f>
        <v/>
      </c>
      <c r="F97" s="21">
        <f>SUMIFS(Boxes!$F$3:$F$1084,Boxes!$B$3:$B$1084,$A97,Boxes!$D$3:$D$1084,"VDU")</f>
        <v/>
      </c>
      <c r="G97" s="21">
        <f>SUMIFS(Boxes!$F$3:$F$1084,Boxes!$B$3:$B$1084,$A97,Boxes!$D$3:$D$1084,"FCC")</f>
        <v/>
      </c>
      <c r="H97" s="21">
        <f>SUMIFS(Boxes!$F$3:$F$1084,Boxes!$B$3:$B$1084,$A97,Boxes!$D$3:$D$1084,"RCC")</f>
        <v/>
      </c>
      <c r="I97" s="21">
        <f>SUMIFS(Boxes!$F$3:$F$1084,Boxes!$B$3:$B$1084,$A97,Boxes!$D$3:$D$1084,"COKER")</f>
        <v/>
      </c>
      <c r="J97" s="21">
        <f>SUMIFS(Boxes!$F$3:$F$1084,Boxes!$B$3:$B$1084,$A97,Boxes!$D$3:$D$1084,"FCOKER")</f>
        <v/>
      </c>
      <c r="K97" s="21">
        <f>SUMIFS(Boxes!$F$3:$F$1084,Boxes!$B$3:$B$1084,$A97,Boxes!$D$3:$D$1084,"DHCU")</f>
        <v/>
      </c>
      <c r="L97" s="21">
        <f>SUMIFS(Boxes!$F$3:$F$1084,Boxes!$B$3:$B$1084,$A97,Boxes!$D$3:$D$1084,"RHCU")</f>
        <v/>
      </c>
      <c r="M97" s="21">
        <f>SUMIFS(Boxes!$F$3:$F$1084,Boxes!$B$3:$B$1084,$A97,Boxes!$D$3:$D$1084,"REF")</f>
        <v/>
      </c>
      <c r="N97" s="21">
        <f>SUMIFS(Boxes!$F$3:$F$1084,Boxes!$B$3:$B$1084,$A97,Boxes!$D$3:$D$1084,"CCR")</f>
        <v/>
      </c>
      <c r="O97" s="21">
        <f>SUMIFS(Boxes!$F$3:$F$1084,Boxes!$B$3:$B$1084,$A97,Boxes!$D$3:$D$1084,"ISOM")</f>
        <v/>
      </c>
      <c r="P97" s="21">
        <f>SUMIFS(Boxes!$F$3:$F$1084,Boxes!$B$3:$B$1084,$A97,Boxes!$D$3:$D$1084,"ALKY")</f>
        <v/>
      </c>
      <c r="Q97" s="21">
        <f>SUMIFS(Boxes!$F$3:$F$1084,Boxes!$B$3:$B$1084,$A97,Boxes!$D$3:$D$1084,"NSPL")</f>
        <v/>
      </c>
      <c r="R97" s="21">
        <f>SUMIFS(Boxes!$F$3:$F$1084,Boxes!$B$3:$B$1084,$A97,Boxes!$D$3:$D$1084,"NHT")</f>
        <v/>
      </c>
    </row>
    <row r="98">
      <c r="A98" s="18" t="inlineStr">
        <is>
          <t>MONTANA_GREAT_FALLS</t>
        </is>
      </c>
      <c r="B98" s="18" t="inlineStr">
        <is>
          <t>Montana Refining Co. Great Falls</t>
        </is>
      </c>
      <c r="C98" s="18" t="n">
        <v>4</v>
      </c>
      <c r="D98" s="21">
        <f>SUMIFS(Data!$G$3:$G$125,Data!$A$3:$A$125,$A98)</f>
        <v/>
      </c>
      <c r="E98" s="21">
        <f>SUMIFS(Boxes!$F$3:$F$1084,Boxes!$B$3:$B$1084,$A98,Boxes!$D$3:$D$1084,"CDU")</f>
        <v/>
      </c>
      <c r="F98" s="21">
        <f>SUMIFS(Boxes!$F$3:$F$1084,Boxes!$B$3:$B$1084,$A98,Boxes!$D$3:$D$1084,"VDU")</f>
        <v/>
      </c>
      <c r="G98" s="21">
        <f>SUMIFS(Boxes!$F$3:$F$1084,Boxes!$B$3:$B$1084,$A98,Boxes!$D$3:$D$1084,"FCC")</f>
        <v/>
      </c>
      <c r="H98" s="21">
        <f>SUMIFS(Boxes!$F$3:$F$1084,Boxes!$B$3:$B$1084,$A98,Boxes!$D$3:$D$1084,"RCC")</f>
        <v/>
      </c>
      <c r="I98" s="21">
        <f>SUMIFS(Boxes!$F$3:$F$1084,Boxes!$B$3:$B$1084,$A98,Boxes!$D$3:$D$1084,"COKER")</f>
        <v/>
      </c>
      <c r="J98" s="21">
        <f>SUMIFS(Boxes!$F$3:$F$1084,Boxes!$B$3:$B$1084,$A98,Boxes!$D$3:$D$1084,"FCOKER")</f>
        <v/>
      </c>
      <c r="K98" s="21">
        <f>SUMIFS(Boxes!$F$3:$F$1084,Boxes!$B$3:$B$1084,$A98,Boxes!$D$3:$D$1084,"DHCU")</f>
        <v/>
      </c>
      <c r="L98" s="21">
        <f>SUMIFS(Boxes!$F$3:$F$1084,Boxes!$B$3:$B$1084,$A98,Boxes!$D$3:$D$1084,"RHCU")</f>
        <v/>
      </c>
      <c r="M98" s="21">
        <f>SUMIFS(Boxes!$F$3:$F$1084,Boxes!$B$3:$B$1084,$A98,Boxes!$D$3:$D$1084,"REF")</f>
        <v/>
      </c>
      <c r="N98" s="21">
        <f>SUMIFS(Boxes!$F$3:$F$1084,Boxes!$B$3:$B$1084,$A98,Boxes!$D$3:$D$1084,"CCR")</f>
        <v/>
      </c>
      <c r="O98" s="21">
        <f>SUMIFS(Boxes!$F$3:$F$1084,Boxes!$B$3:$B$1084,$A98,Boxes!$D$3:$D$1084,"ISOM")</f>
        <v/>
      </c>
      <c r="P98" s="21">
        <f>SUMIFS(Boxes!$F$3:$F$1084,Boxes!$B$3:$B$1084,$A98,Boxes!$D$3:$D$1084,"ALKY")</f>
        <v/>
      </c>
      <c r="Q98" s="21">
        <f>SUMIFS(Boxes!$F$3:$F$1084,Boxes!$B$3:$B$1084,$A98,Boxes!$D$3:$D$1084,"NSPL")</f>
        <v/>
      </c>
      <c r="R98" s="21">
        <f>SUMIFS(Boxes!$F$3:$F$1084,Boxes!$B$3:$B$1084,$A98,Boxes!$D$3:$D$1084,"NHT")</f>
        <v/>
      </c>
    </row>
    <row r="99">
      <c r="A99" s="18" t="inlineStr">
        <is>
          <t>SILVER_WOODS_CROSS</t>
        </is>
      </c>
      <c r="B99" s="18" t="inlineStr">
        <is>
          <t>Silver Eagle Refining Woods Cross</t>
        </is>
      </c>
      <c r="C99" s="18" t="n">
        <v>4</v>
      </c>
      <c r="D99" s="21">
        <f>SUMIFS(Data!$G$3:$G$125,Data!$A$3:$A$125,$A99)</f>
        <v/>
      </c>
      <c r="E99" s="21">
        <f>SUMIFS(Boxes!$F$3:$F$1084,Boxes!$B$3:$B$1084,$A99,Boxes!$D$3:$D$1084,"CDU")</f>
        <v/>
      </c>
      <c r="F99" s="21">
        <f>SUMIFS(Boxes!$F$3:$F$1084,Boxes!$B$3:$B$1084,$A99,Boxes!$D$3:$D$1084,"VDU")</f>
        <v/>
      </c>
      <c r="G99" s="21">
        <f>SUMIFS(Boxes!$F$3:$F$1084,Boxes!$B$3:$B$1084,$A99,Boxes!$D$3:$D$1084,"FCC")</f>
        <v/>
      </c>
      <c r="H99" s="21">
        <f>SUMIFS(Boxes!$F$3:$F$1084,Boxes!$B$3:$B$1084,$A99,Boxes!$D$3:$D$1084,"RCC")</f>
        <v/>
      </c>
      <c r="I99" s="21">
        <f>SUMIFS(Boxes!$F$3:$F$1084,Boxes!$B$3:$B$1084,$A99,Boxes!$D$3:$D$1084,"COKER")</f>
        <v/>
      </c>
      <c r="J99" s="21">
        <f>SUMIFS(Boxes!$F$3:$F$1084,Boxes!$B$3:$B$1084,$A99,Boxes!$D$3:$D$1084,"FCOKER")</f>
        <v/>
      </c>
      <c r="K99" s="21">
        <f>SUMIFS(Boxes!$F$3:$F$1084,Boxes!$B$3:$B$1084,$A99,Boxes!$D$3:$D$1084,"DHCU")</f>
        <v/>
      </c>
      <c r="L99" s="21">
        <f>SUMIFS(Boxes!$F$3:$F$1084,Boxes!$B$3:$B$1084,$A99,Boxes!$D$3:$D$1084,"RHCU")</f>
        <v/>
      </c>
      <c r="M99" s="21">
        <f>SUMIFS(Boxes!$F$3:$F$1084,Boxes!$B$3:$B$1084,$A99,Boxes!$D$3:$D$1084,"REF")</f>
        <v/>
      </c>
      <c r="N99" s="21">
        <f>SUMIFS(Boxes!$F$3:$F$1084,Boxes!$B$3:$B$1084,$A99,Boxes!$D$3:$D$1084,"CCR")</f>
        <v/>
      </c>
      <c r="O99" s="21">
        <f>SUMIFS(Boxes!$F$3:$F$1084,Boxes!$B$3:$B$1084,$A99,Boxes!$D$3:$D$1084,"ISOM")</f>
        <v/>
      </c>
      <c r="P99" s="21">
        <f>SUMIFS(Boxes!$F$3:$F$1084,Boxes!$B$3:$B$1084,$A99,Boxes!$D$3:$D$1084,"ALKY")</f>
        <v/>
      </c>
      <c r="Q99" s="21">
        <f>SUMIFS(Boxes!$F$3:$F$1084,Boxes!$B$3:$B$1084,$A99,Boxes!$D$3:$D$1084,"NSPL")</f>
        <v/>
      </c>
      <c r="R99" s="21">
        <f>SUMIFS(Boxes!$F$3:$F$1084,Boxes!$B$3:$B$1084,$A99,Boxes!$D$3:$D$1084,"NHT")</f>
        <v/>
      </c>
    </row>
    <row r="100">
      <c r="A100" s="18" t="inlineStr">
        <is>
          <t>WYOMING_EVANSTON</t>
        </is>
      </c>
      <c r="B100" s="18" t="inlineStr">
        <is>
          <t>Wyoming Refining Evanston</t>
        </is>
      </c>
      <c r="C100" s="18" t="n">
        <v>4</v>
      </c>
      <c r="D100" s="21">
        <f>SUMIFS(Data!$G$3:$G$125,Data!$A$3:$A$125,$A100)</f>
        <v/>
      </c>
      <c r="E100" s="21">
        <f>SUMIFS(Boxes!$F$3:$F$1084,Boxes!$B$3:$B$1084,$A100,Boxes!$D$3:$D$1084,"CDU")</f>
        <v/>
      </c>
      <c r="F100" s="21">
        <f>SUMIFS(Boxes!$F$3:$F$1084,Boxes!$B$3:$B$1084,$A100,Boxes!$D$3:$D$1084,"VDU")</f>
        <v/>
      </c>
      <c r="G100" s="21">
        <f>SUMIFS(Boxes!$F$3:$F$1084,Boxes!$B$3:$B$1084,$A100,Boxes!$D$3:$D$1084,"FCC")</f>
        <v/>
      </c>
      <c r="H100" s="21">
        <f>SUMIFS(Boxes!$F$3:$F$1084,Boxes!$B$3:$B$1084,$A100,Boxes!$D$3:$D$1084,"RCC")</f>
        <v/>
      </c>
      <c r="I100" s="21">
        <f>SUMIFS(Boxes!$F$3:$F$1084,Boxes!$B$3:$B$1084,$A100,Boxes!$D$3:$D$1084,"COKER")</f>
        <v/>
      </c>
      <c r="J100" s="21">
        <f>SUMIFS(Boxes!$F$3:$F$1084,Boxes!$B$3:$B$1084,$A100,Boxes!$D$3:$D$1084,"FCOKER")</f>
        <v/>
      </c>
      <c r="K100" s="21">
        <f>SUMIFS(Boxes!$F$3:$F$1084,Boxes!$B$3:$B$1084,$A100,Boxes!$D$3:$D$1084,"DHCU")</f>
        <v/>
      </c>
      <c r="L100" s="21">
        <f>SUMIFS(Boxes!$F$3:$F$1084,Boxes!$B$3:$B$1084,$A100,Boxes!$D$3:$D$1084,"RHCU")</f>
        <v/>
      </c>
      <c r="M100" s="21">
        <f>SUMIFS(Boxes!$F$3:$F$1084,Boxes!$B$3:$B$1084,$A100,Boxes!$D$3:$D$1084,"REF")</f>
        <v/>
      </c>
      <c r="N100" s="21">
        <f>SUMIFS(Boxes!$F$3:$F$1084,Boxes!$B$3:$B$1084,$A100,Boxes!$D$3:$D$1084,"CCR")</f>
        <v/>
      </c>
      <c r="O100" s="21">
        <f>SUMIFS(Boxes!$F$3:$F$1084,Boxes!$B$3:$B$1084,$A100,Boxes!$D$3:$D$1084,"ISOM")</f>
        <v/>
      </c>
      <c r="P100" s="21">
        <f>SUMIFS(Boxes!$F$3:$F$1084,Boxes!$B$3:$B$1084,$A100,Boxes!$D$3:$D$1084,"ALKY")</f>
        <v/>
      </c>
      <c r="Q100" s="21">
        <f>SUMIFS(Boxes!$F$3:$F$1084,Boxes!$B$3:$B$1084,$A100,Boxes!$D$3:$D$1084,"NSPL")</f>
        <v/>
      </c>
      <c r="R100" s="21">
        <f>SUMIFS(Boxes!$F$3:$F$1084,Boxes!$B$3:$B$1084,$A100,Boxes!$D$3:$D$1084,"NHT")</f>
        <v/>
      </c>
    </row>
    <row r="101">
      <c r="A101" s="18" t="inlineStr">
        <is>
          <t>SLATE_DOUGLAS</t>
        </is>
      </c>
      <c r="B101" s="18" t="inlineStr">
        <is>
          <t>Slate Douglas</t>
        </is>
      </c>
      <c r="C101" s="18" t="n">
        <v>4</v>
      </c>
      <c r="D101" s="21">
        <f>SUMIFS(Data!$G$3:$G$125,Data!$A$3:$A$125,$A101)</f>
        <v/>
      </c>
      <c r="E101" s="21">
        <f>SUMIFS(Boxes!$F$3:$F$1084,Boxes!$B$3:$B$1084,$A101,Boxes!$D$3:$D$1084,"CDU")</f>
        <v/>
      </c>
      <c r="F101" s="21">
        <f>SUMIFS(Boxes!$F$3:$F$1084,Boxes!$B$3:$B$1084,$A101,Boxes!$D$3:$D$1084,"VDU")</f>
        <v/>
      </c>
      <c r="G101" s="21">
        <f>SUMIFS(Boxes!$F$3:$F$1084,Boxes!$B$3:$B$1084,$A101,Boxes!$D$3:$D$1084,"FCC")</f>
        <v/>
      </c>
      <c r="H101" s="21">
        <f>SUMIFS(Boxes!$F$3:$F$1084,Boxes!$B$3:$B$1084,$A101,Boxes!$D$3:$D$1084,"RCC")</f>
        <v/>
      </c>
      <c r="I101" s="21">
        <f>SUMIFS(Boxes!$F$3:$F$1084,Boxes!$B$3:$B$1084,$A101,Boxes!$D$3:$D$1084,"COKER")</f>
        <v/>
      </c>
      <c r="J101" s="21">
        <f>SUMIFS(Boxes!$F$3:$F$1084,Boxes!$B$3:$B$1084,$A101,Boxes!$D$3:$D$1084,"FCOKER")</f>
        <v/>
      </c>
      <c r="K101" s="21">
        <f>SUMIFS(Boxes!$F$3:$F$1084,Boxes!$B$3:$B$1084,$A101,Boxes!$D$3:$D$1084,"DHCU")</f>
        <v/>
      </c>
      <c r="L101" s="21">
        <f>SUMIFS(Boxes!$F$3:$F$1084,Boxes!$B$3:$B$1084,$A101,Boxes!$D$3:$D$1084,"RHCU")</f>
        <v/>
      </c>
      <c r="M101" s="21">
        <f>SUMIFS(Boxes!$F$3:$F$1084,Boxes!$B$3:$B$1084,$A101,Boxes!$D$3:$D$1084,"REF")</f>
        <v/>
      </c>
      <c r="N101" s="21">
        <f>SUMIFS(Boxes!$F$3:$F$1084,Boxes!$B$3:$B$1084,$A101,Boxes!$D$3:$D$1084,"CCR")</f>
        <v/>
      </c>
      <c r="O101" s="21">
        <f>SUMIFS(Boxes!$F$3:$F$1084,Boxes!$B$3:$B$1084,$A101,Boxes!$D$3:$D$1084,"ISOM")</f>
        <v/>
      </c>
      <c r="P101" s="21">
        <f>SUMIFS(Boxes!$F$3:$F$1084,Boxes!$B$3:$B$1084,$A101,Boxes!$D$3:$D$1084,"ALKY")</f>
        <v/>
      </c>
      <c r="Q101" s="21">
        <f>SUMIFS(Boxes!$F$3:$F$1084,Boxes!$B$3:$B$1084,$A101,Boxes!$D$3:$D$1084,"NSPL")</f>
        <v/>
      </c>
      <c r="R101" s="21">
        <f>SUMIFS(Boxes!$F$3:$F$1084,Boxes!$B$3:$B$1084,$A101,Boxes!$D$3:$D$1084,"NHT")</f>
        <v/>
      </c>
    </row>
    <row r="102">
      <c r="A102" s="18" t="inlineStr">
        <is>
          <t>CHEVRON_EL_SEGUNDO</t>
        </is>
      </c>
      <c r="B102" s="18" t="inlineStr">
        <is>
          <t>Chevron El Segundo</t>
        </is>
      </c>
      <c r="C102" s="18" t="n">
        <v>5</v>
      </c>
      <c r="D102" s="21">
        <f>SUMIFS(Data!$G$3:$G$125,Data!$A$3:$A$125,$A102)</f>
        <v/>
      </c>
      <c r="E102" s="21">
        <f>SUMIFS(Boxes!$F$3:$F$1084,Boxes!$B$3:$B$1084,$A102,Boxes!$D$3:$D$1084,"CDU")</f>
        <v/>
      </c>
      <c r="F102" s="21">
        <f>SUMIFS(Boxes!$F$3:$F$1084,Boxes!$B$3:$B$1084,$A102,Boxes!$D$3:$D$1084,"VDU")</f>
        <v/>
      </c>
      <c r="G102" s="21">
        <f>SUMIFS(Boxes!$F$3:$F$1084,Boxes!$B$3:$B$1084,$A102,Boxes!$D$3:$D$1084,"FCC")</f>
        <v/>
      </c>
      <c r="H102" s="21">
        <f>SUMIFS(Boxes!$F$3:$F$1084,Boxes!$B$3:$B$1084,$A102,Boxes!$D$3:$D$1084,"RCC")</f>
        <v/>
      </c>
      <c r="I102" s="21">
        <f>SUMIFS(Boxes!$F$3:$F$1084,Boxes!$B$3:$B$1084,$A102,Boxes!$D$3:$D$1084,"COKER")</f>
        <v/>
      </c>
      <c r="J102" s="21">
        <f>SUMIFS(Boxes!$F$3:$F$1084,Boxes!$B$3:$B$1084,$A102,Boxes!$D$3:$D$1084,"FCOKER")</f>
        <v/>
      </c>
      <c r="K102" s="21">
        <f>SUMIFS(Boxes!$F$3:$F$1084,Boxes!$B$3:$B$1084,$A102,Boxes!$D$3:$D$1084,"DHCU")</f>
        <v/>
      </c>
      <c r="L102" s="21">
        <f>SUMIFS(Boxes!$F$3:$F$1084,Boxes!$B$3:$B$1084,$A102,Boxes!$D$3:$D$1084,"RHCU")</f>
        <v/>
      </c>
      <c r="M102" s="21">
        <f>SUMIFS(Boxes!$F$3:$F$1084,Boxes!$B$3:$B$1084,$A102,Boxes!$D$3:$D$1084,"REF")</f>
        <v/>
      </c>
      <c r="N102" s="21">
        <f>SUMIFS(Boxes!$F$3:$F$1084,Boxes!$B$3:$B$1084,$A102,Boxes!$D$3:$D$1084,"CCR")</f>
        <v/>
      </c>
      <c r="O102" s="21">
        <f>SUMIFS(Boxes!$F$3:$F$1084,Boxes!$B$3:$B$1084,$A102,Boxes!$D$3:$D$1084,"ISOM")</f>
        <v/>
      </c>
      <c r="P102" s="21">
        <f>SUMIFS(Boxes!$F$3:$F$1084,Boxes!$B$3:$B$1084,$A102,Boxes!$D$3:$D$1084,"ALKY")</f>
        <v/>
      </c>
      <c r="Q102" s="21">
        <f>SUMIFS(Boxes!$F$3:$F$1084,Boxes!$B$3:$B$1084,$A102,Boxes!$D$3:$D$1084,"NSPL")</f>
        <v/>
      </c>
      <c r="R102" s="21">
        <f>SUMIFS(Boxes!$F$3:$F$1084,Boxes!$B$3:$B$1084,$A102,Boxes!$D$3:$D$1084,"NHT")</f>
        <v/>
      </c>
    </row>
    <row r="103">
      <c r="A103" s="18" t="inlineStr">
        <is>
          <t>MARATHON_CARSON</t>
        </is>
      </c>
      <c r="B103" s="18" t="inlineStr">
        <is>
          <t>Marathon Petroleum Carson</t>
        </is>
      </c>
      <c r="C103" s="18" t="n">
        <v>5</v>
      </c>
      <c r="D103" s="21">
        <f>SUMIFS(Data!$G$3:$G$125,Data!$A$3:$A$125,$A103)</f>
        <v/>
      </c>
      <c r="E103" s="21">
        <f>SUMIFS(Boxes!$F$3:$F$1084,Boxes!$B$3:$B$1084,$A103,Boxes!$D$3:$D$1084,"CDU")</f>
        <v/>
      </c>
      <c r="F103" s="21">
        <f>SUMIFS(Boxes!$F$3:$F$1084,Boxes!$B$3:$B$1084,$A103,Boxes!$D$3:$D$1084,"VDU")</f>
        <v/>
      </c>
      <c r="G103" s="21">
        <f>SUMIFS(Boxes!$F$3:$F$1084,Boxes!$B$3:$B$1084,$A103,Boxes!$D$3:$D$1084,"FCC")</f>
        <v/>
      </c>
      <c r="H103" s="21">
        <f>SUMIFS(Boxes!$F$3:$F$1084,Boxes!$B$3:$B$1084,$A103,Boxes!$D$3:$D$1084,"RCC")</f>
        <v/>
      </c>
      <c r="I103" s="21">
        <f>SUMIFS(Boxes!$F$3:$F$1084,Boxes!$B$3:$B$1084,$A103,Boxes!$D$3:$D$1084,"COKER")</f>
        <v/>
      </c>
      <c r="J103" s="21">
        <f>SUMIFS(Boxes!$F$3:$F$1084,Boxes!$B$3:$B$1084,$A103,Boxes!$D$3:$D$1084,"FCOKER")</f>
        <v/>
      </c>
      <c r="K103" s="21">
        <f>SUMIFS(Boxes!$F$3:$F$1084,Boxes!$B$3:$B$1084,$A103,Boxes!$D$3:$D$1084,"DHCU")</f>
        <v/>
      </c>
      <c r="L103" s="21">
        <f>SUMIFS(Boxes!$F$3:$F$1084,Boxes!$B$3:$B$1084,$A103,Boxes!$D$3:$D$1084,"RHCU")</f>
        <v/>
      </c>
      <c r="M103" s="21">
        <f>SUMIFS(Boxes!$F$3:$F$1084,Boxes!$B$3:$B$1084,$A103,Boxes!$D$3:$D$1084,"REF")</f>
        <v/>
      </c>
      <c r="N103" s="21">
        <f>SUMIFS(Boxes!$F$3:$F$1084,Boxes!$B$3:$B$1084,$A103,Boxes!$D$3:$D$1084,"CCR")</f>
        <v/>
      </c>
      <c r="O103" s="21">
        <f>SUMIFS(Boxes!$F$3:$F$1084,Boxes!$B$3:$B$1084,$A103,Boxes!$D$3:$D$1084,"ISOM")</f>
        <v/>
      </c>
      <c r="P103" s="21">
        <f>SUMIFS(Boxes!$F$3:$F$1084,Boxes!$B$3:$B$1084,$A103,Boxes!$D$3:$D$1084,"ALKY")</f>
        <v/>
      </c>
      <c r="Q103" s="21">
        <f>SUMIFS(Boxes!$F$3:$F$1084,Boxes!$B$3:$B$1084,$A103,Boxes!$D$3:$D$1084,"NSPL")</f>
        <v/>
      </c>
      <c r="R103" s="21">
        <f>SUMIFS(Boxes!$F$3:$F$1084,Boxes!$B$3:$B$1084,$A103,Boxes!$D$3:$D$1084,"NHT")</f>
        <v/>
      </c>
    </row>
    <row r="104">
      <c r="A104" s="18" t="inlineStr">
        <is>
          <t>CHEVRON_RICHMOND</t>
        </is>
      </c>
      <c r="B104" s="18" t="inlineStr">
        <is>
          <t>Chevron Richmond</t>
        </is>
      </c>
      <c r="C104" s="18" t="n">
        <v>5</v>
      </c>
      <c r="D104" s="21">
        <f>SUMIFS(Data!$G$3:$G$125,Data!$A$3:$A$125,$A104)</f>
        <v/>
      </c>
      <c r="E104" s="21">
        <f>SUMIFS(Boxes!$F$3:$F$1084,Boxes!$B$3:$B$1084,$A104,Boxes!$D$3:$D$1084,"CDU")</f>
        <v/>
      </c>
      <c r="F104" s="21">
        <f>SUMIFS(Boxes!$F$3:$F$1084,Boxes!$B$3:$B$1084,$A104,Boxes!$D$3:$D$1084,"VDU")</f>
        <v/>
      </c>
      <c r="G104" s="21">
        <f>SUMIFS(Boxes!$F$3:$F$1084,Boxes!$B$3:$B$1084,$A104,Boxes!$D$3:$D$1084,"FCC")</f>
        <v/>
      </c>
      <c r="H104" s="21">
        <f>SUMIFS(Boxes!$F$3:$F$1084,Boxes!$B$3:$B$1084,$A104,Boxes!$D$3:$D$1084,"RCC")</f>
        <v/>
      </c>
      <c r="I104" s="21">
        <f>SUMIFS(Boxes!$F$3:$F$1084,Boxes!$B$3:$B$1084,$A104,Boxes!$D$3:$D$1084,"COKER")</f>
        <v/>
      </c>
      <c r="J104" s="21">
        <f>SUMIFS(Boxes!$F$3:$F$1084,Boxes!$B$3:$B$1084,$A104,Boxes!$D$3:$D$1084,"FCOKER")</f>
        <v/>
      </c>
      <c r="K104" s="21">
        <f>SUMIFS(Boxes!$F$3:$F$1084,Boxes!$B$3:$B$1084,$A104,Boxes!$D$3:$D$1084,"DHCU")</f>
        <v/>
      </c>
      <c r="L104" s="21">
        <f>SUMIFS(Boxes!$F$3:$F$1084,Boxes!$B$3:$B$1084,$A104,Boxes!$D$3:$D$1084,"RHCU")</f>
        <v/>
      </c>
      <c r="M104" s="21">
        <f>SUMIFS(Boxes!$F$3:$F$1084,Boxes!$B$3:$B$1084,$A104,Boxes!$D$3:$D$1084,"REF")</f>
        <v/>
      </c>
      <c r="N104" s="21">
        <f>SUMIFS(Boxes!$F$3:$F$1084,Boxes!$B$3:$B$1084,$A104,Boxes!$D$3:$D$1084,"CCR")</f>
        <v/>
      </c>
      <c r="O104" s="21">
        <f>SUMIFS(Boxes!$F$3:$F$1084,Boxes!$B$3:$B$1084,$A104,Boxes!$D$3:$D$1084,"ISOM")</f>
        <v/>
      </c>
      <c r="P104" s="21">
        <f>SUMIFS(Boxes!$F$3:$F$1084,Boxes!$B$3:$B$1084,$A104,Boxes!$D$3:$D$1084,"ALKY")</f>
        <v/>
      </c>
      <c r="Q104" s="21">
        <f>SUMIFS(Boxes!$F$3:$F$1084,Boxes!$B$3:$B$1084,$A104,Boxes!$D$3:$D$1084,"NSPL")</f>
        <v/>
      </c>
      <c r="R104" s="21">
        <f>SUMIFS(Boxes!$F$3:$F$1084,Boxes!$B$3:$B$1084,$A104,Boxes!$D$3:$D$1084,"NHT")</f>
        <v/>
      </c>
    </row>
    <row r="105">
      <c r="A105" s="18" t="inlineStr">
        <is>
          <t>BP_FERNDALE</t>
        </is>
      </c>
      <c r="B105" s="18" t="inlineStr">
        <is>
          <t>BP Ferndale</t>
        </is>
      </c>
      <c r="C105" s="18" t="n">
        <v>5</v>
      </c>
      <c r="D105" s="21">
        <f>SUMIFS(Data!$G$3:$G$125,Data!$A$3:$A$125,$A105)</f>
        <v/>
      </c>
      <c r="E105" s="21">
        <f>SUMIFS(Boxes!$F$3:$F$1084,Boxes!$B$3:$B$1084,$A105,Boxes!$D$3:$D$1084,"CDU")</f>
        <v/>
      </c>
      <c r="F105" s="21">
        <f>SUMIFS(Boxes!$F$3:$F$1084,Boxes!$B$3:$B$1084,$A105,Boxes!$D$3:$D$1084,"VDU")</f>
        <v/>
      </c>
      <c r="G105" s="21">
        <f>SUMIFS(Boxes!$F$3:$F$1084,Boxes!$B$3:$B$1084,$A105,Boxes!$D$3:$D$1084,"FCC")</f>
        <v/>
      </c>
      <c r="H105" s="21">
        <f>SUMIFS(Boxes!$F$3:$F$1084,Boxes!$B$3:$B$1084,$A105,Boxes!$D$3:$D$1084,"RCC")</f>
        <v/>
      </c>
      <c r="I105" s="21">
        <f>SUMIFS(Boxes!$F$3:$F$1084,Boxes!$B$3:$B$1084,$A105,Boxes!$D$3:$D$1084,"COKER")</f>
        <v/>
      </c>
      <c r="J105" s="21">
        <f>SUMIFS(Boxes!$F$3:$F$1084,Boxes!$B$3:$B$1084,$A105,Boxes!$D$3:$D$1084,"FCOKER")</f>
        <v/>
      </c>
      <c r="K105" s="21">
        <f>SUMIFS(Boxes!$F$3:$F$1084,Boxes!$B$3:$B$1084,$A105,Boxes!$D$3:$D$1084,"DHCU")</f>
        <v/>
      </c>
      <c r="L105" s="21">
        <f>SUMIFS(Boxes!$F$3:$F$1084,Boxes!$B$3:$B$1084,$A105,Boxes!$D$3:$D$1084,"RHCU")</f>
        <v/>
      </c>
      <c r="M105" s="21">
        <f>SUMIFS(Boxes!$F$3:$F$1084,Boxes!$B$3:$B$1084,$A105,Boxes!$D$3:$D$1084,"REF")</f>
        <v/>
      </c>
      <c r="N105" s="21">
        <f>SUMIFS(Boxes!$F$3:$F$1084,Boxes!$B$3:$B$1084,$A105,Boxes!$D$3:$D$1084,"CCR")</f>
        <v/>
      </c>
      <c r="O105" s="21">
        <f>SUMIFS(Boxes!$F$3:$F$1084,Boxes!$B$3:$B$1084,$A105,Boxes!$D$3:$D$1084,"ISOM")</f>
        <v/>
      </c>
      <c r="P105" s="21">
        <f>SUMIFS(Boxes!$F$3:$F$1084,Boxes!$B$3:$B$1084,$A105,Boxes!$D$3:$D$1084,"ALKY")</f>
        <v/>
      </c>
      <c r="Q105" s="21">
        <f>SUMIFS(Boxes!$F$3:$F$1084,Boxes!$B$3:$B$1084,$A105,Boxes!$D$3:$D$1084,"NSPL")</f>
        <v/>
      </c>
      <c r="R105" s="21">
        <f>SUMIFS(Boxes!$F$3:$F$1084,Boxes!$B$3:$B$1084,$A105,Boxes!$D$3:$D$1084,"NHT")</f>
        <v/>
      </c>
    </row>
    <row r="106">
      <c r="A106" s="18" t="inlineStr">
        <is>
          <t>PBF_TORRANCE</t>
        </is>
      </c>
      <c r="B106" s="18" t="inlineStr">
        <is>
          <t>PBF Energy Company LLC Torrance</t>
        </is>
      </c>
      <c r="C106" s="18" t="n">
        <v>5</v>
      </c>
      <c r="D106" s="21">
        <f>SUMIFS(Data!$G$3:$G$125,Data!$A$3:$A$125,$A106)</f>
        <v/>
      </c>
      <c r="E106" s="21">
        <f>SUMIFS(Boxes!$F$3:$F$1084,Boxes!$B$3:$B$1084,$A106,Boxes!$D$3:$D$1084,"CDU")</f>
        <v/>
      </c>
      <c r="F106" s="21">
        <f>SUMIFS(Boxes!$F$3:$F$1084,Boxes!$B$3:$B$1084,$A106,Boxes!$D$3:$D$1084,"VDU")</f>
        <v/>
      </c>
      <c r="G106" s="21">
        <f>SUMIFS(Boxes!$F$3:$F$1084,Boxes!$B$3:$B$1084,$A106,Boxes!$D$3:$D$1084,"FCC")</f>
        <v/>
      </c>
      <c r="H106" s="21">
        <f>SUMIFS(Boxes!$F$3:$F$1084,Boxes!$B$3:$B$1084,$A106,Boxes!$D$3:$D$1084,"RCC")</f>
        <v/>
      </c>
      <c r="I106" s="21">
        <f>SUMIFS(Boxes!$F$3:$F$1084,Boxes!$B$3:$B$1084,$A106,Boxes!$D$3:$D$1084,"COKER")</f>
        <v/>
      </c>
      <c r="J106" s="21">
        <f>SUMIFS(Boxes!$F$3:$F$1084,Boxes!$B$3:$B$1084,$A106,Boxes!$D$3:$D$1084,"FCOKER")</f>
        <v/>
      </c>
      <c r="K106" s="21">
        <f>SUMIFS(Boxes!$F$3:$F$1084,Boxes!$B$3:$B$1084,$A106,Boxes!$D$3:$D$1084,"DHCU")</f>
        <v/>
      </c>
      <c r="L106" s="21">
        <f>SUMIFS(Boxes!$F$3:$F$1084,Boxes!$B$3:$B$1084,$A106,Boxes!$D$3:$D$1084,"RHCU")</f>
        <v/>
      </c>
      <c r="M106" s="21">
        <f>SUMIFS(Boxes!$F$3:$F$1084,Boxes!$B$3:$B$1084,$A106,Boxes!$D$3:$D$1084,"REF")</f>
        <v/>
      </c>
      <c r="N106" s="21">
        <f>SUMIFS(Boxes!$F$3:$F$1084,Boxes!$B$3:$B$1084,$A106,Boxes!$D$3:$D$1084,"CCR")</f>
        <v/>
      </c>
      <c r="O106" s="21">
        <f>SUMIFS(Boxes!$F$3:$F$1084,Boxes!$B$3:$B$1084,$A106,Boxes!$D$3:$D$1084,"ISOM")</f>
        <v/>
      </c>
      <c r="P106" s="21">
        <f>SUMIFS(Boxes!$F$3:$F$1084,Boxes!$B$3:$B$1084,$A106,Boxes!$D$3:$D$1084,"ALKY")</f>
        <v/>
      </c>
      <c r="Q106" s="21">
        <f>SUMIFS(Boxes!$F$3:$F$1084,Boxes!$B$3:$B$1084,$A106,Boxes!$D$3:$D$1084,"NSPL")</f>
        <v/>
      </c>
      <c r="R106" s="21">
        <f>SUMIFS(Boxes!$F$3:$F$1084,Boxes!$B$3:$B$1084,$A106,Boxes!$D$3:$D$1084,"NHT")</f>
        <v/>
      </c>
    </row>
    <row r="107">
      <c r="A107" s="18" t="inlineStr">
        <is>
          <t>PBF_MARTINEZ</t>
        </is>
      </c>
      <c r="B107" s="18" t="inlineStr">
        <is>
          <t>PBF Energy Company LLC Martinez</t>
        </is>
      </c>
      <c r="C107" s="18" t="n">
        <v>5</v>
      </c>
      <c r="D107" s="21">
        <f>SUMIFS(Data!$G$3:$G$125,Data!$A$3:$A$125,$A107)</f>
        <v/>
      </c>
      <c r="E107" s="21">
        <f>SUMIFS(Boxes!$F$3:$F$1084,Boxes!$B$3:$B$1084,$A107,Boxes!$D$3:$D$1084,"CDU")</f>
        <v/>
      </c>
      <c r="F107" s="21">
        <f>SUMIFS(Boxes!$F$3:$F$1084,Boxes!$B$3:$B$1084,$A107,Boxes!$D$3:$D$1084,"VDU")</f>
        <v/>
      </c>
      <c r="G107" s="21">
        <f>SUMIFS(Boxes!$F$3:$F$1084,Boxes!$B$3:$B$1084,$A107,Boxes!$D$3:$D$1084,"FCC")</f>
        <v/>
      </c>
      <c r="H107" s="21">
        <f>SUMIFS(Boxes!$F$3:$F$1084,Boxes!$B$3:$B$1084,$A107,Boxes!$D$3:$D$1084,"RCC")</f>
        <v/>
      </c>
      <c r="I107" s="21">
        <f>SUMIFS(Boxes!$F$3:$F$1084,Boxes!$B$3:$B$1084,$A107,Boxes!$D$3:$D$1084,"COKER")</f>
        <v/>
      </c>
      <c r="J107" s="21">
        <f>SUMIFS(Boxes!$F$3:$F$1084,Boxes!$B$3:$B$1084,$A107,Boxes!$D$3:$D$1084,"FCOKER")</f>
        <v/>
      </c>
      <c r="K107" s="21">
        <f>SUMIFS(Boxes!$F$3:$F$1084,Boxes!$B$3:$B$1084,$A107,Boxes!$D$3:$D$1084,"DHCU")</f>
        <v/>
      </c>
      <c r="L107" s="21">
        <f>SUMIFS(Boxes!$F$3:$F$1084,Boxes!$B$3:$B$1084,$A107,Boxes!$D$3:$D$1084,"RHCU")</f>
        <v/>
      </c>
      <c r="M107" s="21">
        <f>SUMIFS(Boxes!$F$3:$F$1084,Boxes!$B$3:$B$1084,$A107,Boxes!$D$3:$D$1084,"REF")</f>
        <v/>
      </c>
      <c r="N107" s="21">
        <f>SUMIFS(Boxes!$F$3:$F$1084,Boxes!$B$3:$B$1084,$A107,Boxes!$D$3:$D$1084,"CCR")</f>
        <v/>
      </c>
      <c r="O107" s="21">
        <f>SUMIFS(Boxes!$F$3:$F$1084,Boxes!$B$3:$B$1084,$A107,Boxes!$D$3:$D$1084,"ISOM")</f>
        <v/>
      </c>
      <c r="P107" s="21">
        <f>SUMIFS(Boxes!$F$3:$F$1084,Boxes!$B$3:$B$1084,$A107,Boxes!$D$3:$D$1084,"ALKY")</f>
        <v/>
      </c>
      <c r="Q107" s="21">
        <f>SUMIFS(Boxes!$F$3:$F$1084,Boxes!$B$3:$B$1084,$A107,Boxes!$D$3:$D$1084,"NSPL")</f>
        <v/>
      </c>
      <c r="R107" s="21">
        <f>SUMIFS(Boxes!$F$3:$F$1084,Boxes!$B$3:$B$1084,$A107,Boxes!$D$3:$D$1084,"NHT")</f>
        <v/>
      </c>
    </row>
    <row r="108">
      <c r="A108" s="18" t="inlineStr">
        <is>
          <t>HF_ANACORTES</t>
        </is>
      </c>
      <c r="B108" s="18" t="inlineStr">
        <is>
          <t>HF Sinclair Anacortes</t>
        </is>
      </c>
      <c r="C108" s="18" t="n">
        <v>5</v>
      </c>
      <c r="D108" s="21">
        <f>SUMIFS(Data!$G$3:$G$125,Data!$A$3:$A$125,$A108)</f>
        <v/>
      </c>
      <c r="E108" s="21">
        <f>SUMIFS(Boxes!$F$3:$F$1084,Boxes!$B$3:$B$1084,$A108,Boxes!$D$3:$D$1084,"CDU")</f>
        <v/>
      </c>
      <c r="F108" s="21">
        <f>SUMIFS(Boxes!$F$3:$F$1084,Boxes!$B$3:$B$1084,$A108,Boxes!$D$3:$D$1084,"VDU")</f>
        <v/>
      </c>
      <c r="G108" s="21">
        <f>SUMIFS(Boxes!$F$3:$F$1084,Boxes!$B$3:$B$1084,$A108,Boxes!$D$3:$D$1084,"FCC")</f>
        <v/>
      </c>
      <c r="H108" s="21">
        <f>SUMIFS(Boxes!$F$3:$F$1084,Boxes!$B$3:$B$1084,$A108,Boxes!$D$3:$D$1084,"RCC")</f>
        <v/>
      </c>
      <c r="I108" s="21">
        <f>SUMIFS(Boxes!$F$3:$F$1084,Boxes!$B$3:$B$1084,$A108,Boxes!$D$3:$D$1084,"COKER")</f>
        <v/>
      </c>
      <c r="J108" s="21">
        <f>SUMIFS(Boxes!$F$3:$F$1084,Boxes!$B$3:$B$1084,$A108,Boxes!$D$3:$D$1084,"FCOKER")</f>
        <v/>
      </c>
      <c r="K108" s="21">
        <f>SUMIFS(Boxes!$F$3:$F$1084,Boxes!$B$3:$B$1084,$A108,Boxes!$D$3:$D$1084,"DHCU")</f>
        <v/>
      </c>
      <c r="L108" s="21">
        <f>SUMIFS(Boxes!$F$3:$F$1084,Boxes!$B$3:$B$1084,$A108,Boxes!$D$3:$D$1084,"RHCU")</f>
        <v/>
      </c>
      <c r="M108" s="21">
        <f>SUMIFS(Boxes!$F$3:$F$1084,Boxes!$B$3:$B$1084,$A108,Boxes!$D$3:$D$1084,"REF")</f>
        <v/>
      </c>
      <c r="N108" s="21">
        <f>SUMIFS(Boxes!$F$3:$F$1084,Boxes!$B$3:$B$1084,$A108,Boxes!$D$3:$D$1084,"CCR")</f>
        <v/>
      </c>
      <c r="O108" s="21">
        <f>SUMIFS(Boxes!$F$3:$F$1084,Boxes!$B$3:$B$1084,$A108,Boxes!$D$3:$D$1084,"ISOM")</f>
        <v/>
      </c>
      <c r="P108" s="21">
        <f>SUMIFS(Boxes!$F$3:$F$1084,Boxes!$B$3:$B$1084,$A108,Boxes!$D$3:$D$1084,"ALKY")</f>
        <v/>
      </c>
      <c r="Q108" s="21">
        <f>SUMIFS(Boxes!$F$3:$F$1084,Boxes!$B$3:$B$1084,$A108,Boxes!$D$3:$D$1084,"NSPL")</f>
        <v/>
      </c>
      <c r="R108" s="21">
        <f>SUMIFS(Boxes!$F$3:$F$1084,Boxes!$B$3:$B$1084,$A108,Boxes!$D$3:$D$1084,"NHT")</f>
        <v/>
      </c>
    </row>
    <row r="109">
      <c r="A109" s="18" t="inlineStr">
        <is>
          <t>MARATHON_ANACORTES</t>
        </is>
      </c>
      <c r="B109" s="18" t="inlineStr">
        <is>
          <t>Marathon Petroleum Anacortes</t>
        </is>
      </c>
      <c r="C109" s="18" t="n">
        <v>5</v>
      </c>
      <c r="D109" s="21">
        <f>SUMIFS(Data!$G$3:$G$125,Data!$A$3:$A$125,$A109)</f>
        <v/>
      </c>
      <c r="E109" s="21">
        <f>SUMIFS(Boxes!$F$3:$F$1084,Boxes!$B$3:$B$1084,$A109,Boxes!$D$3:$D$1084,"CDU")</f>
        <v/>
      </c>
      <c r="F109" s="21">
        <f>SUMIFS(Boxes!$F$3:$F$1084,Boxes!$B$3:$B$1084,$A109,Boxes!$D$3:$D$1084,"VDU")</f>
        <v/>
      </c>
      <c r="G109" s="21">
        <f>SUMIFS(Boxes!$F$3:$F$1084,Boxes!$B$3:$B$1084,$A109,Boxes!$D$3:$D$1084,"FCC")</f>
        <v/>
      </c>
      <c r="H109" s="21">
        <f>SUMIFS(Boxes!$F$3:$F$1084,Boxes!$B$3:$B$1084,$A109,Boxes!$D$3:$D$1084,"RCC")</f>
        <v/>
      </c>
      <c r="I109" s="21">
        <f>SUMIFS(Boxes!$F$3:$F$1084,Boxes!$B$3:$B$1084,$A109,Boxes!$D$3:$D$1084,"COKER")</f>
        <v/>
      </c>
      <c r="J109" s="21">
        <f>SUMIFS(Boxes!$F$3:$F$1084,Boxes!$B$3:$B$1084,$A109,Boxes!$D$3:$D$1084,"FCOKER")</f>
        <v/>
      </c>
      <c r="K109" s="21">
        <f>SUMIFS(Boxes!$F$3:$F$1084,Boxes!$B$3:$B$1084,$A109,Boxes!$D$3:$D$1084,"DHCU")</f>
        <v/>
      </c>
      <c r="L109" s="21">
        <f>SUMIFS(Boxes!$F$3:$F$1084,Boxes!$B$3:$B$1084,$A109,Boxes!$D$3:$D$1084,"RHCU")</f>
        <v/>
      </c>
      <c r="M109" s="21">
        <f>SUMIFS(Boxes!$F$3:$F$1084,Boxes!$B$3:$B$1084,$A109,Boxes!$D$3:$D$1084,"REF")</f>
        <v/>
      </c>
      <c r="N109" s="21">
        <f>SUMIFS(Boxes!$F$3:$F$1084,Boxes!$B$3:$B$1084,$A109,Boxes!$D$3:$D$1084,"CCR")</f>
        <v/>
      </c>
      <c r="O109" s="21">
        <f>SUMIFS(Boxes!$F$3:$F$1084,Boxes!$B$3:$B$1084,$A109,Boxes!$D$3:$D$1084,"ISOM")</f>
        <v/>
      </c>
      <c r="P109" s="21">
        <f>SUMIFS(Boxes!$F$3:$F$1084,Boxes!$B$3:$B$1084,$A109,Boxes!$D$3:$D$1084,"ALKY")</f>
        <v/>
      </c>
      <c r="Q109" s="21">
        <f>SUMIFS(Boxes!$F$3:$F$1084,Boxes!$B$3:$B$1084,$A109,Boxes!$D$3:$D$1084,"NSPL")</f>
        <v/>
      </c>
      <c r="R109" s="21">
        <f>SUMIFS(Boxes!$F$3:$F$1084,Boxes!$B$3:$B$1084,$A109,Boxes!$D$3:$D$1084,"NHT")</f>
        <v/>
      </c>
    </row>
    <row r="110">
      <c r="A110" s="18" t="inlineStr">
        <is>
          <t>PHILLIPS_FERNDALE</t>
        </is>
      </c>
      <c r="B110" s="18" t="inlineStr">
        <is>
          <t>Phillips 66 Co. Ferndale</t>
        </is>
      </c>
      <c r="C110" s="18" t="n">
        <v>5</v>
      </c>
      <c r="D110" s="21">
        <f>SUMIFS(Data!$G$3:$G$125,Data!$A$3:$A$125,$A110)</f>
        <v/>
      </c>
      <c r="E110" s="21">
        <f>SUMIFS(Boxes!$F$3:$F$1084,Boxes!$B$3:$B$1084,$A110,Boxes!$D$3:$D$1084,"CDU")</f>
        <v/>
      </c>
      <c r="F110" s="21">
        <f>SUMIFS(Boxes!$F$3:$F$1084,Boxes!$B$3:$B$1084,$A110,Boxes!$D$3:$D$1084,"VDU")</f>
        <v/>
      </c>
      <c r="G110" s="21">
        <f>SUMIFS(Boxes!$F$3:$F$1084,Boxes!$B$3:$B$1084,$A110,Boxes!$D$3:$D$1084,"FCC")</f>
        <v/>
      </c>
      <c r="H110" s="21">
        <f>SUMIFS(Boxes!$F$3:$F$1084,Boxes!$B$3:$B$1084,$A110,Boxes!$D$3:$D$1084,"RCC")</f>
        <v/>
      </c>
      <c r="I110" s="21">
        <f>SUMIFS(Boxes!$F$3:$F$1084,Boxes!$B$3:$B$1084,$A110,Boxes!$D$3:$D$1084,"COKER")</f>
        <v/>
      </c>
      <c r="J110" s="21">
        <f>SUMIFS(Boxes!$F$3:$F$1084,Boxes!$B$3:$B$1084,$A110,Boxes!$D$3:$D$1084,"FCOKER")</f>
        <v/>
      </c>
      <c r="K110" s="21">
        <f>SUMIFS(Boxes!$F$3:$F$1084,Boxes!$B$3:$B$1084,$A110,Boxes!$D$3:$D$1084,"DHCU")</f>
        <v/>
      </c>
      <c r="L110" s="21">
        <f>SUMIFS(Boxes!$F$3:$F$1084,Boxes!$B$3:$B$1084,$A110,Boxes!$D$3:$D$1084,"RHCU")</f>
        <v/>
      </c>
      <c r="M110" s="21">
        <f>SUMIFS(Boxes!$F$3:$F$1084,Boxes!$B$3:$B$1084,$A110,Boxes!$D$3:$D$1084,"REF")</f>
        <v/>
      </c>
      <c r="N110" s="21">
        <f>SUMIFS(Boxes!$F$3:$F$1084,Boxes!$B$3:$B$1084,$A110,Boxes!$D$3:$D$1084,"CCR")</f>
        <v/>
      </c>
      <c r="O110" s="21">
        <f>SUMIFS(Boxes!$F$3:$F$1084,Boxes!$B$3:$B$1084,$A110,Boxes!$D$3:$D$1084,"ISOM")</f>
        <v/>
      </c>
      <c r="P110" s="21">
        <f>SUMIFS(Boxes!$F$3:$F$1084,Boxes!$B$3:$B$1084,$A110,Boxes!$D$3:$D$1084,"ALKY")</f>
        <v/>
      </c>
      <c r="Q110" s="21">
        <f>SUMIFS(Boxes!$F$3:$F$1084,Boxes!$B$3:$B$1084,$A110,Boxes!$D$3:$D$1084,"NSPL")</f>
        <v/>
      </c>
      <c r="R110" s="21">
        <f>SUMIFS(Boxes!$F$3:$F$1084,Boxes!$B$3:$B$1084,$A110,Boxes!$D$3:$D$1084,"NHT")</f>
        <v/>
      </c>
    </row>
    <row r="111">
      <c r="A111" s="18" t="inlineStr">
        <is>
          <t>MARATHON_LOS_ANGELES</t>
        </is>
      </c>
      <c r="B111" s="18" t="inlineStr">
        <is>
          <t>Marathon Petroleum Los Angeles</t>
        </is>
      </c>
      <c r="C111" s="18" t="n">
        <v>5</v>
      </c>
      <c r="D111" s="21">
        <f>SUMIFS(Data!$G$3:$G$125,Data!$A$3:$A$125,$A111)</f>
        <v/>
      </c>
      <c r="E111" s="21">
        <f>SUMIFS(Boxes!$F$3:$F$1084,Boxes!$B$3:$B$1084,$A111,Boxes!$D$3:$D$1084,"CDU")</f>
        <v/>
      </c>
      <c r="F111" s="21">
        <f>SUMIFS(Boxes!$F$3:$F$1084,Boxes!$B$3:$B$1084,$A111,Boxes!$D$3:$D$1084,"VDU")</f>
        <v/>
      </c>
      <c r="G111" s="21">
        <f>SUMIFS(Boxes!$F$3:$F$1084,Boxes!$B$3:$B$1084,$A111,Boxes!$D$3:$D$1084,"FCC")</f>
        <v/>
      </c>
      <c r="H111" s="21">
        <f>SUMIFS(Boxes!$F$3:$F$1084,Boxes!$B$3:$B$1084,$A111,Boxes!$D$3:$D$1084,"RCC")</f>
        <v/>
      </c>
      <c r="I111" s="21">
        <f>SUMIFS(Boxes!$F$3:$F$1084,Boxes!$B$3:$B$1084,$A111,Boxes!$D$3:$D$1084,"COKER")</f>
        <v/>
      </c>
      <c r="J111" s="21">
        <f>SUMIFS(Boxes!$F$3:$F$1084,Boxes!$B$3:$B$1084,$A111,Boxes!$D$3:$D$1084,"FCOKER")</f>
        <v/>
      </c>
      <c r="K111" s="21">
        <f>SUMIFS(Boxes!$F$3:$F$1084,Boxes!$B$3:$B$1084,$A111,Boxes!$D$3:$D$1084,"DHCU")</f>
        <v/>
      </c>
      <c r="L111" s="21">
        <f>SUMIFS(Boxes!$F$3:$F$1084,Boxes!$B$3:$B$1084,$A111,Boxes!$D$3:$D$1084,"RHCU")</f>
        <v/>
      </c>
      <c r="M111" s="21">
        <f>SUMIFS(Boxes!$F$3:$F$1084,Boxes!$B$3:$B$1084,$A111,Boxes!$D$3:$D$1084,"REF")</f>
        <v/>
      </c>
      <c r="N111" s="21">
        <f>SUMIFS(Boxes!$F$3:$F$1084,Boxes!$B$3:$B$1084,$A111,Boxes!$D$3:$D$1084,"CCR")</f>
        <v/>
      </c>
      <c r="O111" s="21">
        <f>SUMIFS(Boxes!$F$3:$F$1084,Boxes!$B$3:$B$1084,$A111,Boxes!$D$3:$D$1084,"ISOM")</f>
        <v/>
      </c>
      <c r="P111" s="21">
        <f>SUMIFS(Boxes!$F$3:$F$1084,Boxes!$B$3:$B$1084,$A111,Boxes!$D$3:$D$1084,"ALKY")</f>
        <v/>
      </c>
      <c r="Q111" s="21">
        <f>SUMIFS(Boxes!$F$3:$F$1084,Boxes!$B$3:$B$1084,$A111,Boxes!$D$3:$D$1084,"NSPL")</f>
        <v/>
      </c>
      <c r="R111" s="21">
        <f>SUMIFS(Boxes!$F$3:$F$1084,Boxes!$B$3:$B$1084,$A111,Boxes!$D$3:$D$1084,"NHT")</f>
        <v/>
      </c>
    </row>
    <row r="112">
      <c r="A112" s="18" t="inlineStr">
        <is>
          <t>PAR_EWA_BEACH</t>
        </is>
      </c>
      <c r="B112" s="18" t="inlineStr">
        <is>
          <t>Par Petroleum Ewa Beach</t>
        </is>
      </c>
      <c r="C112" s="18" t="n">
        <v>5</v>
      </c>
      <c r="D112" s="21">
        <f>SUMIFS(Data!$G$3:$G$125,Data!$A$3:$A$125,$A112)</f>
        <v/>
      </c>
      <c r="E112" s="21">
        <f>SUMIFS(Boxes!$F$3:$F$1084,Boxes!$B$3:$B$1084,$A112,Boxes!$D$3:$D$1084,"CDU")</f>
        <v/>
      </c>
      <c r="F112" s="21">
        <f>SUMIFS(Boxes!$F$3:$F$1084,Boxes!$B$3:$B$1084,$A112,Boxes!$D$3:$D$1084,"VDU")</f>
        <v/>
      </c>
      <c r="G112" s="21">
        <f>SUMIFS(Boxes!$F$3:$F$1084,Boxes!$B$3:$B$1084,$A112,Boxes!$D$3:$D$1084,"FCC")</f>
        <v/>
      </c>
      <c r="H112" s="21">
        <f>SUMIFS(Boxes!$F$3:$F$1084,Boxes!$B$3:$B$1084,$A112,Boxes!$D$3:$D$1084,"RCC")</f>
        <v/>
      </c>
      <c r="I112" s="21">
        <f>SUMIFS(Boxes!$F$3:$F$1084,Boxes!$B$3:$B$1084,$A112,Boxes!$D$3:$D$1084,"COKER")</f>
        <v/>
      </c>
      <c r="J112" s="21">
        <f>SUMIFS(Boxes!$F$3:$F$1084,Boxes!$B$3:$B$1084,$A112,Boxes!$D$3:$D$1084,"FCOKER")</f>
        <v/>
      </c>
      <c r="K112" s="21">
        <f>SUMIFS(Boxes!$F$3:$F$1084,Boxes!$B$3:$B$1084,$A112,Boxes!$D$3:$D$1084,"DHCU")</f>
        <v/>
      </c>
      <c r="L112" s="21">
        <f>SUMIFS(Boxes!$F$3:$F$1084,Boxes!$B$3:$B$1084,$A112,Boxes!$D$3:$D$1084,"RHCU")</f>
        <v/>
      </c>
      <c r="M112" s="21">
        <f>SUMIFS(Boxes!$F$3:$F$1084,Boxes!$B$3:$B$1084,$A112,Boxes!$D$3:$D$1084,"REF")</f>
        <v/>
      </c>
      <c r="N112" s="21">
        <f>SUMIFS(Boxes!$F$3:$F$1084,Boxes!$B$3:$B$1084,$A112,Boxes!$D$3:$D$1084,"CCR")</f>
        <v/>
      </c>
      <c r="O112" s="21">
        <f>SUMIFS(Boxes!$F$3:$F$1084,Boxes!$B$3:$B$1084,$A112,Boxes!$D$3:$D$1084,"ISOM")</f>
        <v/>
      </c>
      <c r="P112" s="21">
        <f>SUMIFS(Boxes!$F$3:$F$1084,Boxes!$B$3:$B$1084,$A112,Boxes!$D$3:$D$1084,"ALKY")</f>
        <v/>
      </c>
      <c r="Q112" s="21">
        <f>SUMIFS(Boxes!$F$3:$F$1084,Boxes!$B$3:$B$1084,$A112,Boxes!$D$3:$D$1084,"NSPL")</f>
        <v/>
      </c>
      <c r="R112" s="21">
        <f>SUMIFS(Boxes!$F$3:$F$1084,Boxes!$B$3:$B$1084,$A112,Boxes!$D$3:$D$1084,"NHT")</f>
        <v/>
      </c>
    </row>
    <row r="113">
      <c r="A113" s="18" t="inlineStr">
        <is>
          <t>VALERO_LOS_ANGELES</t>
        </is>
      </c>
      <c r="B113" s="18" t="inlineStr">
        <is>
          <t>Valero Los Angeles</t>
        </is>
      </c>
      <c r="C113" s="18" t="n">
        <v>5</v>
      </c>
      <c r="D113" s="21">
        <f>SUMIFS(Data!$G$3:$G$125,Data!$A$3:$A$125,$A113)</f>
        <v/>
      </c>
      <c r="E113" s="21">
        <f>SUMIFS(Boxes!$F$3:$F$1084,Boxes!$B$3:$B$1084,$A113,Boxes!$D$3:$D$1084,"CDU")</f>
        <v/>
      </c>
      <c r="F113" s="21">
        <f>SUMIFS(Boxes!$F$3:$F$1084,Boxes!$B$3:$B$1084,$A113,Boxes!$D$3:$D$1084,"VDU")</f>
        <v/>
      </c>
      <c r="G113" s="21">
        <f>SUMIFS(Boxes!$F$3:$F$1084,Boxes!$B$3:$B$1084,$A113,Boxes!$D$3:$D$1084,"FCC")</f>
        <v/>
      </c>
      <c r="H113" s="21">
        <f>SUMIFS(Boxes!$F$3:$F$1084,Boxes!$B$3:$B$1084,$A113,Boxes!$D$3:$D$1084,"RCC")</f>
        <v/>
      </c>
      <c r="I113" s="21">
        <f>SUMIFS(Boxes!$F$3:$F$1084,Boxes!$B$3:$B$1084,$A113,Boxes!$D$3:$D$1084,"COKER")</f>
        <v/>
      </c>
      <c r="J113" s="21">
        <f>SUMIFS(Boxes!$F$3:$F$1084,Boxes!$B$3:$B$1084,$A113,Boxes!$D$3:$D$1084,"FCOKER")</f>
        <v/>
      </c>
      <c r="K113" s="21">
        <f>SUMIFS(Boxes!$F$3:$F$1084,Boxes!$B$3:$B$1084,$A113,Boxes!$D$3:$D$1084,"DHCU")</f>
        <v/>
      </c>
      <c r="L113" s="21">
        <f>SUMIFS(Boxes!$F$3:$F$1084,Boxes!$B$3:$B$1084,$A113,Boxes!$D$3:$D$1084,"RHCU")</f>
        <v/>
      </c>
      <c r="M113" s="21">
        <f>SUMIFS(Boxes!$F$3:$F$1084,Boxes!$B$3:$B$1084,$A113,Boxes!$D$3:$D$1084,"REF")</f>
        <v/>
      </c>
      <c r="N113" s="21">
        <f>SUMIFS(Boxes!$F$3:$F$1084,Boxes!$B$3:$B$1084,$A113,Boxes!$D$3:$D$1084,"CCR")</f>
        <v/>
      </c>
      <c r="O113" s="21">
        <f>SUMIFS(Boxes!$F$3:$F$1084,Boxes!$B$3:$B$1084,$A113,Boxes!$D$3:$D$1084,"ISOM")</f>
        <v/>
      </c>
      <c r="P113" s="21">
        <f>SUMIFS(Boxes!$F$3:$F$1084,Boxes!$B$3:$B$1084,$A113,Boxes!$D$3:$D$1084,"ALKY")</f>
        <v/>
      </c>
      <c r="Q113" s="21">
        <f>SUMIFS(Boxes!$F$3:$F$1084,Boxes!$B$3:$B$1084,$A113,Boxes!$D$3:$D$1084,"NSPL")</f>
        <v/>
      </c>
      <c r="R113" s="21">
        <f>SUMIFS(Boxes!$F$3:$F$1084,Boxes!$B$3:$B$1084,$A113,Boxes!$D$3:$D$1084,"NHT")</f>
        <v/>
      </c>
    </row>
    <row r="114">
      <c r="A114" s="18" t="inlineStr">
        <is>
          <t>MARATHON_NIKISKI</t>
        </is>
      </c>
      <c r="B114" s="18" t="inlineStr">
        <is>
          <t>Marathon Petroleum Nikiski</t>
        </is>
      </c>
      <c r="C114" s="18" t="n">
        <v>5</v>
      </c>
      <c r="D114" s="21">
        <f>SUMIFS(Data!$G$3:$G$125,Data!$A$3:$A$125,$A114)</f>
        <v/>
      </c>
      <c r="E114" s="21">
        <f>SUMIFS(Boxes!$F$3:$F$1084,Boxes!$B$3:$B$1084,$A114,Boxes!$D$3:$D$1084,"CDU")</f>
        <v/>
      </c>
      <c r="F114" s="21">
        <f>SUMIFS(Boxes!$F$3:$F$1084,Boxes!$B$3:$B$1084,$A114,Boxes!$D$3:$D$1084,"VDU")</f>
        <v/>
      </c>
      <c r="G114" s="21">
        <f>SUMIFS(Boxes!$F$3:$F$1084,Boxes!$B$3:$B$1084,$A114,Boxes!$D$3:$D$1084,"FCC")</f>
        <v/>
      </c>
      <c r="H114" s="21">
        <f>SUMIFS(Boxes!$F$3:$F$1084,Boxes!$B$3:$B$1084,$A114,Boxes!$D$3:$D$1084,"RCC")</f>
        <v/>
      </c>
      <c r="I114" s="21">
        <f>SUMIFS(Boxes!$F$3:$F$1084,Boxes!$B$3:$B$1084,$A114,Boxes!$D$3:$D$1084,"COKER")</f>
        <v/>
      </c>
      <c r="J114" s="21">
        <f>SUMIFS(Boxes!$F$3:$F$1084,Boxes!$B$3:$B$1084,$A114,Boxes!$D$3:$D$1084,"FCOKER")</f>
        <v/>
      </c>
      <c r="K114" s="21">
        <f>SUMIFS(Boxes!$F$3:$F$1084,Boxes!$B$3:$B$1084,$A114,Boxes!$D$3:$D$1084,"DHCU")</f>
        <v/>
      </c>
      <c r="L114" s="21">
        <f>SUMIFS(Boxes!$F$3:$F$1084,Boxes!$B$3:$B$1084,$A114,Boxes!$D$3:$D$1084,"RHCU")</f>
        <v/>
      </c>
      <c r="M114" s="21">
        <f>SUMIFS(Boxes!$F$3:$F$1084,Boxes!$B$3:$B$1084,$A114,Boxes!$D$3:$D$1084,"REF")</f>
        <v/>
      </c>
      <c r="N114" s="21">
        <f>SUMIFS(Boxes!$F$3:$F$1084,Boxes!$B$3:$B$1084,$A114,Boxes!$D$3:$D$1084,"CCR")</f>
        <v/>
      </c>
      <c r="O114" s="21">
        <f>SUMIFS(Boxes!$F$3:$F$1084,Boxes!$B$3:$B$1084,$A114,Boxes!$D$3:$D$1084,"ISOM")</f>
        <v/>
      </c>
      <c r="P114" s="21">
        <f>SUMIFS(Boxes!$F$3:$F$1084,Boxes!$B$3:$B$1084,$A114,Boxes!$D$3:$D$1084,"ALKY")</f>
        <v/>
      </c>
      <c r="Q114" s="21">
        <f>SUMIFS(Boxes!$F$3:$F$1084,Boxes!$B$3:$B$1084,$A114,Boxes!$D$3:$D$1084,"NSPL")</f>
        <v/>
      </c>
      <c r="R114" s="21">
        <f>SUMIFS(Boxes!$F$3:$F$1084,Boxes!$B$3:$B$1084,$A114,Boxes!$D$3:$D$1084,"NHT")</f>
        <v/>
      </c>
    </row>
    <row r="115">
      <c r="A115" s="18" t="inlineStr">
        <is>
          <t>PETRO_VALDEZ</t>
        </is>
      </c>
      <c r="B115" s="18" t="inlineStr">
        <is>
          <t>Petro Star Inc. Valdez</t>
        </is>
      </c>
      <c r="C115" s="18" t="n">
        <v>5</v>
      </c>
      <c r="D115" s="21">
        <f>SUMIFS(Data!$G$3:$G$125,Data!$A$3:$A$125,$A115)</f>
        <v/>
      </c>
      <c r="E115" s="21">
        <f>SUMIFS(Boxes!$F$3:$F$1084,Boxes!$B$3:$B$1084,$A115,Boxes!$D$3:$D$1084,"CDU")</f>
        <v/>
      </c>
      <c r="F115" s="21">
        <f>SUMIFS(Boxes!$F$3:$F$1084,Boxes!$B$3:$B$1084,$A115,Boxes!$D$3:$D$1084,"VDU")</f>
        <v/>
      </c>
      <c r="G115" s="21">
        <f>SUMIFS(Boxes!$F$3:$F$1084,Boxes!$B$3:$B$1084,$A115,Boxes!$D$3:$D$1084,"FCC")</f>
        <v/>
      </c>
      <c r="H115" s="21">
        <f>SUMIFS(Boxes!$F$3:$F$1084,Boxes!$B$3:$B$1084,$A115,Boxes!$D$3:$D$1084,"RCC")</f>
        <v/>
      </c>
      <c r="I115" s="21">
        <f>SUMIFS(Boxes!$F$3:$F$1084,Boxes!$B$3:$B$1084,$A115,Boxes!$D$3:$D$1084,"COKER")</f>
        <v/>
      </c>
      <c r="J115" s="21">
        <f>SUMIFS(Boxes!$F$3:$F$1084,Boxes!$B$3:$B$1084,$A115,Boxes!$D$3:$D$1084,"FCOKER")</f>
        <v/>
      </c>
      <c r="K115" s="21">
        <f>SUMIFS(Boxes!$F$3:$F$1084,Boxes!$B$3:$B$1084,$A115,Boxes!$D$3:$D$1084,"DHCU")</f>
        <v/>
      </c>
      <c r="L115" s="21">
        <f>SUMIFS(Boxes!$F$3:$F$1084,Boxes!$B$3:$B$1084,$A115,Boxes!$D$3:$D$1084,"RHCU")</f>
        <v/>
      </c>
      <c r="M115" s="21">
        <f>SUMIFS(Boxes!$F$3:$F$1084,Boxes!$B$3:$B$1084,$A115,Boxes!$D$3:$D$1084,"REF")</f>
        <v/>
      </c>
      <c r="N115" s="21">
        <f>SUMIFS(Boxes!$F$3:$F$1084,Boxes!$B$3:$B$1084,$A115,Boxes!$D$3:$D$1084,"CCR")</f>
        <v/>
      </c>
      <c r="O115" s="21">
        <f>SUMIFS(Boxes!$F$3:$F$1084,Boxes!$B$3:$B$1084,$A115,Boxes!$D$3:$D$1084,"ISOM")</f>
        <v/>
      </c>
      <c r="P115" s="21">
        <f>SUMIFS(Boxes!$F$3:$F$1084,Boxes!$B$3:$B$1084,$A115,Boxes!$D$3:$D$1084,"ALKY")</f>
        <v/>
      </c>
      <c r="Q115" s="21">
        <f>SUMIFS(Boxes!$F$3:$F$1084,Boxes!$B$3:$B$1084,$A115,Boxes!$D$3:$D$1084,"NSPL")</f>
        <v/>
      </c>
      <c r="R115" s="21">
        <f>SUMIFS(Boxes!$F$3:$F$1084,Boxes!$B$3:$B$1084,$A115,Boxes!$D$3:$D$1084,"NHT")</f>
        <v/>
      </c>
    </row>
    <row r="116">
      <c r="A116" s="18" t="inlineStr">
        <is>
          <t>PAR_TACOMA</t>
        </is>
      </c>
      <c r="B116" s="18" t="inlineStr">
        <is>
          <t>Par Petroleum Tacoma</t>
        </is>
      </c>
      <c r="C116" s="18" t="n">
        <v>5</v>
      </c>
      <c r="D116" s="21">
        <f>SUMIFS(Data!$G$3:$G$125,Data!$A$3:$A$125,$A116)</f>
        <v/>
      </c>
      <c r="E116" s="21">
        <f>SUMIFS(Boxes!$F$3:$F$1084,Boxes!$B$3:$B$1084,$A116,Boxes!$D$3:$D$1084,"CDU")</f>
        <v/>
      </c>
      <c r="F116" s="21">
        <f>SUMIFS(Boxes!$F$3:$F$1084,Boxes!$B$3:$B$1084,$A116,Boxes!$D$3:$D$1084,"VDU")</f>
        <v/>
      </c>
      <c r="G116" s="21">
        <f>SUMIFS(Boxes!$F$3:$F$1084,Boxes!$B$3:$B$1084,$A116,Boxes!$D$3:$D$1084,"FCC")</f>
        <v/>
      </c>
      <c r="H116" s="21">
        <f>SUMIFS(Boxes!$F$3:$F$1084,Boxes!$B$3:$B$1084,$A116,Boxes!$D$3:$D$1084,"RCC")</f>
        <v/>
      </c>
      <c r="I116" s="21">
        <f>SUMIFS(Boxes!$F$3:$F$1084,Boxes!$B$3:$B$1084,$A116,Boxes!$D$3:$D$1084,"COKER")</f>
        <v/>
      </c>
      <c r="J116" s="21">
        <f>SUMIFS(Boxes!$F$3:$F$1084,Boxes!$B$3:$B$1084,$A116,Boxes!$D$3:$D$1084,"FCOKER")</f>
        <v/>
      </c>
      <c r="K116" s="21">
        <f>SUMIFS(Boxes!$F$3:$F$1084,Boxes!$B$3:$B$1084,$A116,Boxes!$D$3:$D$1084,"DHCU")</f>
        <v/>
      </c>
      <c r="L116" s="21">
        <f>SUMIFS(Boxes!$F$3:$F$1084,Boxes!$B$3:$B$1084,$A116,Boxes!$D$3:$D$1084,"RHCU")</f>
        <v/>
      </c>
      <c r="M116" s="21">
        <f>SUMIFS(Boxes!$F$3:$F$1084,Boxes!$B$3:$B$1084,$A116,Boxes!$D$3:$D$1084,"REF")</f>
        <v/>
      </c>
      <c r="N116" s="21">
        <f>SUMIFS(Boxes!$F$3:$F$1084,Boxes!$B$3:$B$1084,$A116,Boxes!$D$3:$D$1084,"CCR")</f>
        <v/>
      </c>
      <c r="O116" s="21">
        <f>SUMIFS(Boxes!$F$3:$F$1084,Boxes!$B$3:$B$1084,$A116,Boxes!$D$3:$D$1084,"ISOM")</f>
        <v/>
      </c>
      <c r="P116" s="21">
        <f>SUMIFS(Boxes!$F$3:$F$1084,Boxes!$B$3:$B$1084,$A116,Boxes!$D$3:$D$1084,"ALKY")</f>
        <v/>
      </c>
      <c r="Q116" s="21">
        <f>SUMIFS(Boxes!$F$3:$F$1084,Boxes!$B$3:$B$1084,$A116,Boxes!$D$3:$D$1084,"NSPL")</f>
        <v/>
      </c>
      <c r="R116" s="21">
        <f>SUMIFS(Boxes!$F$3:$F$1084,Boxes!$B$3:$B$1084,$A116,Boxes!$D$3:$D$1084,"NHT")</f>
        <v/>
      </c>
    </row>
    <row r="117">
      <c r="A117" s="18" t="inlineStr">
        <is>
          <t>KERN_BAKERSFIELD</t>
        </is>
      </c>
      <c r="B117" s="18" t="inlineStr">
        <is>
          <t>Kern Oil Bakersfield</t>
        </is>
      </c>
      <c r="C117" s="18" t="n">
        <v>5</v>
      </c>
      <c r="D117" s="21">
        <f>SUMIFS(Data!$G$3:$G$125,Data!$A$3:$A$125,$A117)</f>
        <v/>
      </c>
      <c r="E117" s="21">
        <f>SUMIFS(Boxes!$F$3:$F$1084,Boxes!$B$3:$B$1084,$A117,Boxes!$D$3:$D$1084,"CDU")</f>
        <v/>
      </c>
      <c r="F117" s="21">
        <f>SUMIFS(Boxes!$F$3:$F$1084,Boxes!$B$3:$B$1084,$A117,Boxes!$D$3:$D$1084,"VDU")</f>
        <v/>
      </c>
      <c r="G117" s="21">
        <f>SUMIFS(Boxes!$F$3:$F$1084,Boxes!$B$3:$B$1084,$A117,Boxes!$D$3:$D$1084,"FCC")</f>
        <v/>
      </c>
      <c r="H117" s="21">
        <f>SUMIFS(Boxes!$F$3:$F$1084,Boxes!$B$3:$B$1084,$A117,Boxes!$D$3:$D$1084,"RCC")</f>
        <v/>
      </c>
      <c r="I117" s="21">
        <f>SUMIFS(Boxes!$F$3:$F$1084,Boxes!$B$3:$B$1084,$A117,Boxes!$D$3:$D$1084,"COKER")</f>
        <v/>
      </c>
      <c r="J117" s="21">
        <f>SUMIFS(Boxes!$F$3:$F$1084,Boxes!$B$3:$B$1084,$A117,Boxes!$D$3:$D$1084,"FCOKER")</f>
        <v/>
      </c>
      <c r="K117" s="21">
        <f>SUMIFS(Boxes!$F$3:$F$1084,Boxes!$B$3:$B$1084,$A117,Boxes!$D$3:$D$1084,"DHCU")</f>
        <v/>
      </c>
      <c r="L117" s="21">
        <f>SUMIFS(Boxes!$F$3:$F$1084,Boxes!$B$3:$B$1084,$A117,Boxes!$D$3:$D$1084,"RHCU")</f>
        <v/>
      </c>
      <c r="M117" s="21">
        <f>SUMIFS(Boxes!$F$3:$F$1084,Boxes!$B$3:$B$1084,$A117,Boxes!$D$3:$D$1084,"REF")</f>
        <v/>
      </c>
      <c r="N117" s="21">
        <f>SUMIFS(Boxes!$F$3:$F$1084,Boxes!$B$3:$B$1084,$A117,Boxes!$D$3:$D$1084,"CCR")</f>
        <v/>
      </c>
      <c r="O117" s="21">
        <f>SUMIFS(Boxes!$F$3:$F$1084,Boxes!$B$3:$B$1084,$A117,Boxes!$D$3:$D$1084,"ISOM")</f>
        <v/>
      </c>
      <c r="P117" s="21">
        <f>SUMIFS(Boxes!$F$3:$F$1084,Boxes!$B$3:$B$1084,$A117,Boxes!$D$3:$D$1084,"ALKY")</f>
        <v/>
      </c>
      <c r="Q117" s="21">
        <f>SUMIFS(Boxes!$F$3:$F$1084,Boxes!$B$3:$B$1084,$A117,Boxes!$D$3:$D$1084,"NSPL")</f>
        <v/>
      </c>
      <c r="R117" s="21">
        <f>SUMIFS(Boxes!$F$3:$F$1084,Boxes!$B$3:$B$1084,$A117,Boxes!$D$3:$D$1084,"NHT")</f>
        <v/>
      </c>
    </row>
    <row r="118">
      <c r="A118" s="18" t="inlineStr">
        <is>
          <t>SAN_BAKERSFIELD</t>
        </is>
      </c>
      <c r="B118" s="18" t="inlineStr">
        <is>
          <t>San Joaquin Refining Bakersfield</t>
        </is>
      </c>
      <c r="C118" s="18" t="n">
        <v>5</v>
      </c>
      <c r="D118" s="21">
        <f>SUMIFS(Data!$G$3:$G$125,Data!$A$3:$A$125,$A118)</f>
        <v/>
      </c>
      <c r="E118" s="21">
        <f>SUMIFS(Boxes!$F$3:$F$1084,Boxes!$B$3:$B$1084,$A118,Boxes!$D$3:$D$1084,"CDU")</f>
        <v/>
      </c>
      <c r="F118" s="21">
        <f>SUMIFS(Boxes!$F$3:$F$1084,Boxes!$B$3:$B$1084,$A118,Boxes!$D$3:$D$1084,"VDU")</f>
        <v/>
      </c>
      <c r="G118" s="21">
        <f>SUMIFS(Boxes!$F$3:$F$1084,Boxes!$B$3:$B$1084,$A118,Boxes!$D$3:$D$1084,"FCC")</f>
        <v/>
      </c>
      <c r="H118" s="21">
        <f>SUMIFS(Boxes!$F$3:$F$1084,Boxes!$B$3:$B$1084,$A118,Boxes!$D$3:$D$1084,"RCC")</f>
        <v/>
      </c>
      <c r="I118" s="21">
        <f>SUMIFS(Boxes!$F$3:$F$1084,Boxes!$B$3:$B$1084,$A118,Boxes!$D$3:$D$1084,"COKER")</f>
        <v/>
      </c>
      <c r="J118" s="21">
        <f>SUMIFS(Boxes!$F$3:$F$1084,Boxes!$B$3:$B$1084,$A118,Boxes!$D$3:$D$1084,"FCOKER")</f>
        <v/>
      </c>
      <c r="K118" s="21">
        <f>SUMIFS(Boxes!$F$3:$F$1084,Boxes!$B$3:$B$1084,$A118,Boxes!$D$3:$D$1084,"DHCU")</f>
        <v/>
      </c>
      <c r="L118" s="21">
        <f>SUMIFS(Boxes!$F$3:$F$1084,Boxes!$B$3:$B$1084,$A118,Boxes!$D$3:$D$1084,"RHCU")</f>
        <v/>
      </c>
      <c r="M118" s="21">
        <f>SUMIFS(Boxes!$F$3:$F$1084,Boxes!$B$3:$B$1084,$A118,Boxes!$D$3:$D$1084,"REF")</f>
        <v/>
      </c>
      <c r="N118" s="21">
        <f>SUMIFS(Boxes!$F$3:$F$1084,Boxes!$B$3:$B$1084,$A118,Boxes!$D$3:$D$1084,"CCR")</f>
        <v/>
      </c>
      <c r="O118" s="21">
        <f>SUMIFS(Boxes!$F$3:$F$1084,Boxes!$B$3:$B$1084,$A118,Boxes!$D$3:$D$1084,"ISOM")</f>
        <v/>
      </c>
      <c r="P118" s="21">
        <f>SUMIFS(Boxes!$F$3:$F$1084,Boxes!$B$3:$B$1084,$A118,Boxes!$D$3:$D$1084,"ALKY")</f>
        <v/>
      </c>
      <c r="Q118" s="21">
        <f>SUMIFS(Boxes!$F$3:$F$1084,Boxes!$B$3:$B$1084,$A118,Boxes!$D$3:$D$1084,"NSPL")</f>
        <v/>
      </c>
      <c r="R118" s="21">
        <f>SUMIFS(Boxes!$F$3:$F$1084,Boxes!$B$3:$B$1084,$A118,Boxes!$D$3:$D$1084,"NHT")</f>
        <v/>
      </c>
    </row>
    <row r="119">
      <c r="A119" s="18" t="inlineStr">
        <is>
          <t>PETRO_NORTH_POLE</t>
        </is>
      </c>
      <c r="B119" s="18" t="inlineStr">
        <is>
          <t>Petro Star Inc. North Pole</t>
        </is>
      </c>
      <c r="C119" s="18" t="n">
        <v>5</v>
      </c>
      <c r="D119" s="21">
        <f>SUMIFS(Data!$G$3:$G$125,Data!$A$3:$A$125,$A119)</f>
        <v/>
      </c>
      <c r="E119" s="21">
        <f>SUMIFS(Boxes!$F$3:$F$1084,Boxes!$B$3:$B$1084,$A119,Boxes!$D$3:$D$1084,"CDU")</f>
        <v/>
      </c>
      <c r="F119" s="21">
        <f>SUMIFS(Boxes!$F$3:$F$1084,Boxes!$B$3:$B$1084,$A119,Boxes!$D$3:$D$1084,"VDU")</f>
        <v/>
      </c>
      <c r="G119" s="21">
        <f>SUMIFS(Boxes!$F$3:$F$1084,Boxes!$B$3:$B$1084,$A119,Boxes!$D$3:$D$1084,"FCC")</f>
        <v/>
      </c>
      <c r="H119" s="21">
        <f>SUMIFS(Boxes!$F$3:$F$1084,Boxes!$B$3:$B$1084,$A119,Boxes!$D$3:$D$1084,"RCC")</f>
        <v/>
      </c>
      <c r="I119" s="21">
        <f>SUMIFS(Boxes!$F$3:$F$1084,Boxes!$B$3:$B$1084,$A119,Boxes!$D$3:$D$1084,"COKER")</f>
        <v/>
      </c>
      <c r="J119" s="21">
        <f>SUMIFS(Boxes!$F$3:$F$1084,Boxes!$B$3:$B$1084,$A119,Boxes!$D$3:$D$1084,"FCOKER")</f>
        <v/>
      </c>
      <c r="K119" s="21">
        <f>SUMIFS(Boxes!$F$3:$F$1084,Boxes!$B$3:$B$1084,$A119,Boxes!$D$3:$D$1084,"DHCU")</f>
        <v/>
      </c>
      <c r="L119" s="21">
        <f>SUMIFS(Boxes!$F$3:$F$1084,Boxes!$B$3:$B$1084,$A119,Boxes!$D$3:$D$1084,"RHCU")</f>
        <v/>
      </c>
      <c r="M119" s="21">
        <f>SUMIFS(Boxes!$F$3:$F$1084,Boxes!$B$3:$B$1084,$A119,Boxes!$D$3:$D$1084,"REF")</f>
        <v/>
      </c>
      <c r="N119" s="21">
        <f>SUMIFS(Boxes!$F$3:$F$1084,Boxes!$B$3:$B$1084,$A119,Boxes!$D$3:$D$1084,"CCR")</f>
        <v/>
      </c>
      <c r="O119" s="21">
        <f>SUMIFS(Boxes!$F$3:$F$1084,Boxes!$B$3:$B$1084,$A119,Boxes!$D$3:$D$1084,"ISOM")</f>
        <v/>
      </c>
      <c r="P119" s="21">
        <f>SUMIFS(Boxes!$F$3:$F$1084,Boxes!$B$3:$B$1084,$A119,Boxes!$D$3:$D$1084,"ALKY")</f>
        <v/>
      </c>
      <c r="Q119" s="21">
        <f>SUMIFS(Boxes!$F$3:$F$1084,Boxes!$B$3:$B$1084,$A119,Boxes!$D$3:$D$1084,"NSPL")</f>
        <v/>
      </c>
      <c r="R119" s="21">
        <f>SUMIFS(Boxes!$F$3:$F$1084,Boxes!$B$3:$B$1084,$A119,Boxes!$D$3:$D$1084,"NHT")</f>
        <v/>
      </c>
    </row>
    <row r="120">
      <c r="A120" s="18" t="inlineStr">
        <is>
          <t>BP_PRUDHOE_BAY</t>
        </is>
      </c>
      <c r="B120" s="18" t="inlineStr">
        <is>
          <t>BP Prudhoe Bay</t>
        </is>
      </c>
      <c r="C120" s="18" t="n">
        <v>5</v>
      </c>
      <c r="D120" s="21">
        <f>SUMIFS(Data!$G$3:$G$125,Data!$A$3:$A$125,$A120)</f>
        <v/>
      </c>
      <c r="E120" s="21">
        <f>SUMIFS(Boxes!$F$3:$F$1084,Boxes!$B$3:$B$1084,$A120,Boxes!$D$3:$D$1084,"CDU")</f>
        <v/>
      </c>
      <c r="F120" s="21">
        <f>SUMIFS(Boxes!$F$3:$F$1084,Boxes!$B$3:$B$1084,$A120,Boxes!$D$3:$D$1084,"VDU")</f>
        <v/>
      </c>
      <c r="G120" s="21">
        <f>SUMIFS(Boxes!$F$3:$F$1084,Boxes!$B$3:$B$1084,$A120,Boxes!$D$3:$D$1084,"FCC")</f>
        <v/>
      </c>
      <c r="H120" s="21">
        <f>SUMIFS(Boxes!$F$3:$F$1084,Boxes!$B$3:$B$1084,$A120,Boxes!$D$3:$D$1084,"RCC")</f>
        <v/>
      </c>
      <c r="I120" s="21">
        <f>SUMIFS(Boxes!$F$3:$F$1084,Boxes!$B$3:$B$1084,$A120,Boxes!$D$3:$D$1084,"COKER")</f>
        <v/>
      </c>
      <c r="J120" s="21">
        <f>SUMIFS(Boxes!$F$3:$F$1084,Boxes!$B$3:$B$1084,$A120,Boxes!$D$3:$D$1084,"FCOKER")</f>
        <v/>
      </c>
      <c r="K120" s="21">
        <f>SUMIFS(Boxes!$F$3:$F$1084,Boxes!$B$3:$B$1084,$A120,Boxes!$D$3:$D$1084,"DHCU")</f>
        <v/>
      </c>
      <c r="L120" s="21">
        <f>SUMIFS(Boxes!$F$3:$F$1084,Boxes!$B$3:$B$1084,$A120,Boxes!$D$3:$D$1084,"RHCU")</f>
        <v/>
      </c>
      <c r="M120" s="21">
        <f>SUMIFS(Boxes!$F$3:$F$1084,Boxes!$B$3:$B$1084,$A120,Boxes!$D$3:$D$1084,"REF")</f>
        <v/>
      </c>
      <c r="N120" s="21">
        <f>SUMIFS(Boxes!$F$3:$F$1084,Boxes!$B$3:$B$1084,$A120,Boxes!$D$3:$D$1084,"CCR")</f>
        <v/>
      </c>
      <c r="O120" s="21">
        <f>SUMIFS(Boxes!$F$3:$F$1084,Boxes!$B$3:$B$1084,$A120,Boxes!$D$3:$D$1084,"ISOM")</f>
        <v/>
      </c>
      <c r="P120" s="21">
        <f>SUMIFS(Boxes!$F$3:$F$1084,Boxes!$B$3:$B$1084,$A120,Boxes!$D$3:$D$1084,"ALKY")</f>
        <v/>
      </c>
      <c r="Q120" s="21">
        <f>SUMIFS(Boxes!$F$3:$F$1084,Boxes!$B$3:$B$1084,$A120,Boxes!$D$3:$D$1084,"NSPL")</f>
        <v/>
      </c>
      <c r="R120" s="21">
        <f>SUMIFS(Boxes!$F$3:$F$1084,Boxes!$B$3:$B$1084,$A120,Boxes!$D$3:$D$1084,"NHT")</f>
        <v/>
      </c>
    </row>
    <row r="121">
      <c r="A121" s="18" t="inlineStr">
        <is>
          <t>CONOCOPHILLIPS_ANCHORAGE</t>
        </is>
      </c>
      <c r="B121" s="18" t="inlineStr">
        <is>
          <t>ConocoPhillips Anchorage</t>
        </is>
      </c>
      <c r="C121" s="18" t="n">
        <v>5</v>
      </c>
      <c r="D121" s="21">
        <f>SUMIFS(Data!$G$3:$G$125,Data!$A$3:$A$125,$A121)</f>
        <v/>
      </c>
      <c r="E121" s="21">
        <f>SUMIFS(Boxes!$F$3:$F$1084,Boxes!$B$3:$B$1084,$A121,Boxes!$D$3:$D$1084,"CDU")</f>
        <v/>
      </c>
      <c r="F121" s="21">
        <f>SUMIFS(Boxes!$F$3:$F$1084,Boxes!$B$3:$B$1084,$A121,Boxes!$D$3:$D$1084,"VDU")</f>
        <v/>
      </c>
      <c r="G121" s="21">
        <f>SUMIFS(Boxes!$F$3:$F$1084,Boxes!$B$3:$B$1084,$A121,Boxes!$D$3:$D$1084,"FCC")</f>
        <v/>
      </c>
      <c r="H121" s="21">
        <f>SUMIFS(Boxes!$F$3:$F$1084,Boxes!$B$3:$B$1084,$A121,Boxes!$D$3:$D$1084,"RCC")</f>
        <v/>
      </c>
      <c r="I121" s="21">
        <f>SUMIFS(Boxes!$F$3:$F$1084,Boxes!$B$3:$B$1084,$A121,Boxes!$D$3:$D$1084,"COKER")</f>
        <v/>
      </c>
      <c r="J121" s="21">
        <f>SUMIFS(Boxes!$F$3:$F$1084,Boxes!$B$3:$B$1084,$A121,Boxes!$D$3:$D$1084,"FCOKER")</f>
        <v/>
      </c>
      <c r="K121" s="21">
        <f>SUMIFS(Boxes!$F$3:$F$1084,Boxes!$B$3:$B$1084,$A121,Boxes!$D$3:$D$1084,"DHCU")</f>
        <v/>
      </c>
      <c r="L121" s="21">
        <f>SUMIFS(Boxes!$F$3:$F$1084,Boxes!$B$3:$B$1084,$A121,Boxes!$D$3:$D$1084,"RHCU")</f>
        <v/>
      </c>
      <c r="M121" s="21">
        <f>SUMIFS(Boxes!$F$3:$F$1084,Boxes!$B$3:$B$1084,$A121,Boxes!$D$3:$D$1084,"REF")</f>
        <v/>
      </c>
      <c r="N121" s="21">
        <f>SUMIFS(Boxes!$F$3:$F$1084,Boxes!$B$3:$B$1084,$A121,Boxes!$D$3:$D$1084,"CCR")</f>
        <v/>
      </c>
      <c r="O121" s="21">
        <f>SUMIFS(Boxes!$F$3:$F$1084,Boxes!$B$3:$B$1084,$A121,Boxes!$D$3:$D$1084,"ISOM")</f>
        <v/>
      </c>
      <c r="P121" s="21">
        <f>SUMIFS(Boxes!$F$3:$F$1084,Boxes!$B$3:$B$1084,$A121,Boxes!$D$3:$D$1084,"ALKY")</f>
        <v/>
      </c>
      <c r="Q121" s="21">
        <f>SUMIFS(Boxes!$F$3:$F$1084,Boxes!$B$3:$B$1084,$A121,Boxes!$D$3:$D$1084,"NSPL")</f>
        <v/>
      </c>
      <c r="R121" s="21">
        <f>SUMIFS(Boxes!$F$3:$F$1084,Boxes!$B$3:$B$1084,$A121,Boxes!$D$3:$D$1084,"NHT")</f>
        <v/>
      </c>
    </row>
    <row r="122">
      <c r="A122" s="18" t="inlineStr">
        <is>
          <t>LUNDAYTHAGARD_SOUTH_GATE</t>
        </is>
      </c>
      <c r="B122" s="18" t="inlineStr">
        <is>
          <t>Lunday-Thagard Oil Co. South Gate</t>
        </is>
      </c>
      <c r="C122" s="18" t="n">
        <v>5</v>
      </c>
      <c r="D122" s="21">
        <f>SUMIFS(Data!$G$3:$G$125,Data!$A$3:$A$125,$A122)</f>
        <v/>
      </c>
      <c r="E122" s="21">
        <f>SUMIFS(Boxes!$F$3:$F$1084,Boxes!$B$3:$B$1084,$A122,Boxes!$D$3:$D$1084,"CDU")</f>
        <v/>
      </c>
      <c r="F122" s="21">
        <f>SUMIFS(Boxes!$F$3:$F$1084,Boxes!$B$3:$B$1084,$A122,Boxes!$D$3:$D$1084,"VDU")</f>
        <v/>
      </c>
      <c r="G122" s="21">
        <f>SUMIFS(Boxes!$F$3:$F$1084,Boxes!$B$3:$B$1084,$A122,Boxes!$D$3:$D$1084,"FCC")</f>
        <v/>
      </c>
      <c r="H122" s="21">
        <f>SUMIFS(Boxes!$F$3:$F$1084,Boxes!$B$3:$B$1084,$A122,Boxes!$D$3:$D$1084,"RCC")</f>
        <v/>
      </c>
      <c r="I122" s="21">
        <f>SUMIFS(Boxes!$F$3:$F$1084,Boxes!$B$3:$B$1084,$A122,Boxes!$D$3:$D$1084,"COKER")</f>
        <v/>
      </c>
      <c r="J122" s="21">
        <f>SUMIFS(Boxes!$F$3:$F$1084,Boxes!$B$3:$B$1084,$A122,Boxes!$D$3:$D$1084,"FCOKER")</f>
        <v/>
      </c>
      <c r="K122" s="21">
        <f>SUMIFS(Boxes!$F$3:$F$1084,Boxes!$B$3:$B$1084,$A122,Boxes!$D$3:$D$1084,"DHCU")</f>
        <v/>
      </c>
      <c r="L122" s="21">
        <f>SUMIFS(Boxes!$F$3:$F$1084,Boxes!$B$3:$B$1084,$A122,Boxes!$D$3:$D$1084,"RHCU")</f>
        <v/>
      </c>
      <c r="M122" s="21">
        <f>SUMIFS(Boxes!$F$3:$F$1084,Boxes!$B$3:$B$1084,$A122,Boxes!$D$3:$D$1084,"REF")</f>
        <v/>
      </c>
      <c r="N122" s="21">
        <f>SUMIFS(Boxes!$F$3:$F$1084,Boxes!$B$3:$B$1084,$A122,Boxes!$D$3:$D$1084,"CCR")</f>
        <v/>
      </c>
      <c r="O122" s="21">
        <f>SUMIFS(Boxes!$F$3:$F$1084,Boxes!$B$3:$B$1084,$A122,Boxes!$D$3:$D$1084,"ISOM")</f>
        <v/>
      </c>
      <c r="P122" s="21">
        <f>SUMIFS(Boxes!$F$3:$F$1084,Boxes!$B$3:$B$1084,$A122,Boxes!$D$3:$D$1084,"ALKY")</f>
        <v/>
      </c>
      <c r="Q122" s="21">
        <f>SUMIFS(Boxes!$F$3:$F$1084,Boxes!$B$3:$B$1084,$A122,Boxes!$D$3:$D$1084,"NSPL")</f>
        <v/>
      </c>
      <c r="R122" s="21">
        <f>SUMIFS(Boxes!$F$3:$F$1084,Boxes!$B$3:$B$1084,$A122,Boxes!$D$3:$D$1084,"NHT")</f>
        <v/>
      </c>
    </row>
    <row r="123">
      <c r="A123" s="18" t="inlineStr">
        <is>
          <t>FORELAND_TONOPAH</t>
        </is>
      </c>
      <c r="B123" s="18" t="inlineStr">
        <is>
          <t>Foreland Corp Tonopah</t>
        </is>
      </c>
      <c r="C123" s="18" t="n">
        <v>5</v>
      </c>
      <c r="D123" s="21">
        <f>SUMIFS(Data!$G$3:$G$125,Data!$A$3:$A$125,$A123)</f>
        <v/>
      </c>
      <c r="E123" s="21">
        <f>SUMIFS(Boxes!$F$3:$F$1084,Boxes!$B$3:$B$1084,$A123,Boxes!$D$3:$D$1084,"CDU")</f>
        <v/>
      </c>
      <c r="F123" s="21">
        <f>SUMIFS(Boxes!$F$3:$F$1084,Boxes!$B$3:$B$1084,$A123,Boxes!$D$3:$D$1084,"VDU")</f>
        <v/>
      </c>
      <c r="G123" s="21">
        <f>SUMIFS(Boxes!$F$3:$F$1084,Boxes!$B$3:$B$1084,$A123,Boxes!$D$3:$D$1084,"FCC")</f>
        <v/>
      </c>
      <c r="H123" s="21">
        <f>SUMIFS(Boxes!$F$3:$F$1084,Boxes!$B$3:$B$1084,$A123,Boxes!$D$3:$D$1084,"RCC")</f>
        <v/>
      </c>
      <c r="I123" s="21">
        <f>SUMIFS(Boxes!$F$3:$F$1084,Boxes!$B$3:$B$1084,$A123,Boxes!$D$3:$D$1084,"COKER")</f>
        <v/>
      </c>
      <c r="J123" s="21">
        <f>SUMIFS(Boxes!$F$3:$F$1084,Boxes!$B$3:$B$1084,$A123,Boxes!$D$3:$D$1084,"FCOKER")</f>
        <v/>
      </c>
      <c r="K123" s="21">
        <f>SUMIFS(Boxes!$F$3:$F$1084,Boxes!$B$3:$B$1084,$A123,Boxes!$D$3:$D$1084,"DHCU")</f>
        <v/>
      </c>
      <c r="L123" s="21">
        <f>SUMIFS(Boxes!$F$3:$F$1084,Boxes!$B$3:$B$1084,$A123,Boxes!$D$3:$D$1084,"RHCU")</f>
        <v/>
      </c>
      <c r="M123" s="21">
        <f>SUMIFS(Boxes!$F$3:$F$1084,Boxes!$B$3:$B$1084,$A123,Boxes!$D$3:$D$1084,"REF")</f>
        <v/>
      </c>
      <c r="N123" s="21">
        <f>SUMIFS(Boxes!$F$3:$F$1084,Boxes!$B$3:$B$1084,$A123,Boxes!$D$3:$D$1084,"CCR")</f>
        <v/>
      </c>
      <c r="O123" s="21">
        <f>SUMIFS(Boxes!$F$3:$F$1084,Boxes!$B$3:$B$1084,$A123,Boxes!$D$3:$D$1084,"ISOM")</f>
        <v/>
      </c>
      <c r="P123" s="21">
        <f>SUMIFS(Boxes!$F$3:$F$1084,Boxes!$B$3:$B$1084,$A123,Boxes!$D$3:$D$1084,"ALKY")</f>
        <v/>
      </c>
      <c r="Q123" s="21">
        <f>SUMIFS(Boxes!$F$3:$F$1084,Boxes!$B$3:$B$1084,$A123,Boxes!$D$3:$D$1084,"NSPL")</f>
        <v/>
      </c>
      <c r="R123" s="21">
        <f>SUMIFS(Boxes!$F$3:$F$1084,Boxes!$B$3:$B$1084,$A123,Boxes!$D$3:$D$1084,"NHT")</f>
        <v/>
      </c>
    </row>
    <row r="124">
      <c r="A124" s="18" t="inlineStr">
        <is>
          <t>PHILLIPS_LOS_ANGELES</t>
        </is>
      </c>
      <c r="B124" s="18" t="inlineStr">
        <is>
          <t>Phillips 66 Co. Los Angeles</t>
        </is>
      </c>
      <c r="C124" s="18" t="n">
        <v>5</v>
      </c>
      <c r="D124" s="21">
        <f>SUMIFS(Data!$G$3:$G$125,Data!$A$3:$A$125,$A124)</f>
        <v/>
      </c>
      <c r="E124" s="21">
        <f>SUMIFS(Boxes!$F$3:$F$1084,Boxes!$B$3:$B$1084,$A124,Boxes!$D$3:$D$1084,"CDU")</f>
        <v/>
      </c>
      <c r="F124" s="21">
        <f>SUMIFS(Boxes!$F$3:$F$1084,Boxes!$B$3:$B$1084,$A124,Boxes!$D$3:$D$1084,"VDU")</f>
        <v/>
      </c>
      <c r="G124" s="21">
        <f>SUMIFS(Boxes!$F$3:$F$1084,Boxes!$B$3:$B$1084,$A124,Boxes!$D$3:$D$1084,"FCC")</f>
        <v/>
      </c>
      <c r="H124" s="21">
        <f>SUMIFS(Boxes!$F$3:$F$1084,Boxes!$B$3:$B$1084,$A124,Boxes!$D$3:$D$1084,"RCC")</f>
        <v/>
      </c>
      <c r="I124" s="21">
        <f>SUMIFS(Boxes!$F$3:$F$1084,Boxes!$B$3:$B$1084,$A124,Boxes!$D$3:$D$1084,"COKER")</f>
        <v/>
      </c>
      <c r="J124" s="21">
        <f>SUMIFS(Boxes!$F$3:$F$1084,Boxes!$B$3:$B$1084,$A124,Boxes!$D$3:$D$1084,"FCOKER")</f>
        <v/>
      </c>
      <c r="K124" s="21">
        <f>SUMIFS(Boxes!$F$3:$F$1084,Boxes!$B$3:$B$1084,$A124,Boxes!$D$3:$D$1084,"DHCU")</f>
        <v/>
      </c>
      <c r="L124" s="21">
        <f>SUMIFS(Boxes!$F$3:$F$1084,Boxes!$B$3:$B$1084,$A124,Boxes!$D$3:$D$1084,"RHCU")</f>
        <v/>
      </c>
      <c r="M124" s="21">
        <f>SUMIFS(Boxes!$F$3:$F$1084,Boxes!$B$3:$B$1084,$A124,Boxes!$D$3:$D$1084,"REF")</f>
        <v/>
      </c>
      <c r="N124" s="21">
        <f>SUMIFS(Boxes!$F$3:$F$1084,Boxes!$B$3:$B$1084,$A124,Boxes!$D$3:$D$1084,"CCR")</f>
        <v/>
      </c>
      <c r="O124" s="21">
        <f>SUMIFS(Boxes!$F$3:$F$1084,Boxes!$B$3:$B$1084,$A124,Boxes!$D$3:$D$1084,"ISOM")</f>
        <v/>
      </c>
      <c r="P124" s="21">
        <f>SUMIFS(Boxes!$F$3:$F$1084,Boxes!$B$3:$B$1084,$A124,Boxes!$D$3:$D$1084,"ALKY")</f>
        <v/>
      </c>
      <c r="Q124" s="21">
        <f>SUMIFS(Boxes!$F$3:$F$1084,Boxes!$B$3:$B$1084,$A124,Boxes!$D$3:$D$1084,"NSPL")</f>
        <v/>
      </c>
      <c r="R124" s="21">
        <f>SUMIFS(Boxes!$F$3:$F$1084,Boxes!$B$3:$B$1084,$A124,Boxes!$D$3:$D$1084,"NHT")</f>
        <v/>
      </c>
    </row>
    <row r="125">
      <c r="A125" s="18" t="inlineStr">
        <is>
          <t>VALERO_BENICIA</t>
        </is>
      </c>
      <c r="B125" s="18" t="inlineStr">
        <is>
          <t>Valero Benicia</t>
        </is>
      </c>
      <c r="C125" s="18" t="n">
        <v>5</v>
      </c>
      <c r="D125" s="21">
        <f>SUMIFS(Data!$G$3:$G$125,Data!$A$3:$A$125,$A125)</f>
        <v/>
      </c>
      <c r="E125" s="21">
        <f>SUMIFS(Boxes!$F$3:$F$1084,Boxes!$B$3:$B$1084,$A125,Boxes!$D$3:$D$1084,"CDU")</f>
        <v/>
      </c>
      <c r="F125" s="21">
        <f>SUMIFS(Boxes!$F$3:$F$1084,Boxes!$B$3:$B$1084,$A125,Boxes!$D$3:$D$1084,"VDU")</f>
        <v/>
      </c>
      <c r="G125" s="21">
        <f>SUMIFS(Boxes!$F$3:$F$1084,Boxes!$B$3:$B$1084,$A125,Boxes!$D$3:$D$1084,"FCC")</f>
        <v/>
      </c>
      <c r="H125" s="21">
        <f>SUMIFS(Boxes!$F$3:$F$1084,Boxes!$B$3:$B$1084,$A125,Boxes!$D$3:$D$1084,"RCC")</f>
        <v/>
      </c>
      <c r="I125" s="21">
        <f>SUMIFS(Boxes!$F$3:$F$1084,Boxes!$B$3:$B$1084,$A125,Boxes!$D$3:$D$1084,"COKER")</f>
        <v/>
      </c>
      <c r="J125" s="21">
        <f>SUMIFS(Boxes!$F$3:$F$1084,Boxes!$B$3:$B$1084,$A125,Boxes!$D$3:$D$1084,"FCOKER")</f>
        <v/>
      </c>
      <c r="K125" s="21">
        <f>SUMIFS(Boxes!$F$3:$F$1084,Boxes!$B$3:$B$1084,$A125,Boxes!$D$3:$D$1084,"DHCU")</f>
        <v/>
      </c>
      <c r="L125" s="21">
        <f>SUMIFS(Boxes!$F$3:$F$1084,Boxes!$B$3:$B$1084,$A125,Boxes!$D$3:$D$1084,"RHCU")</f>
        <v/>
      </c>
      <c r="M125" s="21">
        <f>SUMIFS(Boxes!$F$3:$F$1084,Boxes!$B$3:$B$1084,$A125,Boxes!$D$3:$D$1084,"REF")</f>
        <v/>
      </c>
      <c r="N125" s="21">
        <f>SUMIFS(Boxes!$F$3:$F$1084,Boxes!$B$3:$B$1084,$A125,Boxes!$D$3:$D$1084,"CCR")</f>
        <v/>
      </c>
      <c r="O125" s="21">
        <f>SUMIFS(Boxes!$F$3:$F$1084,Boxes!$B$3:$B$1084,$A125,Boxes!$D$3:$D$1084,"ISOM")</f>
        <v/>
      </c>
      <c r="P125" s="21">
        <f>SUMIFS(Boxes!$F$3:$F$1084,Boxes!$B$3:$B$1084,$A125,Boxes!$D$3:$D$1084,"ALKY")</f>
        <v/>
      </c>
      <c r="Q125" s="21">
        <f>SUMIFS(Boxes!$F$3:$F$1084,Boxes!$B$3:$B$1084,$A125,Boxes!$D$3:$D$1084,"NSPL")</f>
        <v/>
      </c>
      <c r="R125" s="21">
        <f>SUMIFS(Boxes!$F$3:$F$1084,Boxes!$B$3:$B$1084,$A125,Boxes!$D$3:$D$1084,"NHT")</f>
        <v/>
      </c>
    </row>
    <row r="127" ht="20" customHeight="1">
      <c r="A127" s="8" t="inlineStr">
        <is>
          <t>PADD totals (kbd)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</row>
    <row r="128">
      <c r="A128" s="33" t="inlineStr">
        <is>
          <t>PADD 1</t>
        </is>
      </c>
      <c r="D128" s="34">
        <f>SUMIFS($D$3:$D$125,$C$3:$C$125,1)</f>
        <v/>
      </c>
      <c r="E128" s="34">
        <f>SUMIFS(E3:E125,$C$3:$C$125,1)</f>
        <v/>
      </c>
      <c r="F128" s="34">
        <f>SUMIFS(F3:F125,$C$3:$C$125,1)</f>
        <v/>
      </c>
      <c r="G128" s="34">
        <f>SUMIFS(G3:G125,$C$3:$C$125,1)</f>
        <v/>
      </c>
      <c r="H128" s="34">
        <f>SUMIFS(H3:H125,$C$3:$C$125,1)</f>
        <v/>
      </c>
      <c r="I128" s="34">
        <f>SUMIFS(I3:I125,$C$3:$C$125,1)</f>
        <v/>
      </c>
      <c r="J128" s="34">
        <f>SUMIFS(J3:J125,$C$3:$C$125,1)</f>
        <v/>
      </c>
      <c r="K128" s="34">
        <f>SUMIFS(K3:K125,$C$3:$C$125,1)</f>
        <v/>
      </c>
      <c r="L128" s="34">
        <f>SUMIFS(L3:L125,$C$3:$C$125,1)</f>
        <v/>
      </c>
      <c r="M128" s="34">
        <f>SUMIFS(M3:M125,$C$3:$C$125,1)</f>
        <v/>
      </c>
      <c r="N128" s="34">
        <f>SUMIFS(N3:N125,$C$3:$C$125,1)</f>
        <v/>
      </c>
      <c r="O128" s="34">
        <f>SUMIFS(O3:O125,$C$3:$C$125,1)</f>
        <v/>
      </c>
      <c r="P128" s="34">
        <f>SUMIFS(P3:P125,$C$3:$C$125,1)</f>
        <v/>
      </c>
      <c r="Q128" s="34">
        <f>SUMIFS(Q3:Q125,$C$3:$C$125,1)</f>
        <v/>
      </c>
      <c r="R128" s="34">
        <f>SUMIFS(R3:R125,$C$3:$C$125,1)</f>
        <v/>
      </c>
    </row>
    <row r="129">
      <c r="A129" s="33" t="inlineStr">
        <is>
          <t>PADD 2</t>
        </is>
      </c>
      <c r="D129" s="34">
        <f>SUMIFS($D$3:$D$125,$C$3:$C$125,2)</f>
        <v/>
      </c>
      <c r="E129" s="34">
        <f>SUMIFS(E3:E125,$C$3:$C$125,2)</f>
        <v/>
      </c>
      <c r="F129" s="34">
        <f>SUMIFS(F3:F125,$C$3:$C$125,2)</f>
        <v/>
      </c>
      <c r="G129" s="34">
        <f>SUMIFS(G3:G125,$C$3:$C$125,2)</f>
        <v/>
      </c>
      <c r="H129" s="34">
        <f>SUMIFS(H3:H125,$C$3:$C$125,2)</f>
        <v/>
      </c>
      <c r="I129" s="34">
        <f>SUMIFS(I3:I125,$C$3:$C$125,2)</f>
        <v/>
      </c>
      <c r="J129" s="34">
        <f>SUMIFS(J3:J125,$C$3:$C$125,2)</f>
        <v/>
      </c>
      <c r="K129" s="34">
        <f>SUMIFS(K3:K125,$C$3:$C$125,2)</f>
        <v/>
      </c>
      <c r="L129" s="34">
        <f>SUMIFS(L3:L125,$C$3:$C$125,2)</f>
        <v/>
      </c>
      <c r="M129" s="34">
        <f>SUMIFS(M3:M125,$C$3:$C$125,2)</f>
        <v/>
      </c>
      <c r="N129" s="34">
        <f>SUMIFS(N3:N125,$C$3:$C$125,2)</f>
        <v/>
      </c>
      <c r="O129" s="34">
        <f>SUMIFS(O3:O125,$C$3:$C$125,2)</f>
        <v/>
      </c>
      <c r="P129" s="34">
        <f>SUMIFS(P3:P125,$C$3:$C$125,2)</f>
        <v/>
      </c>
      <c r="Q129" s="34">
        <f>SUMIFS(Q3:Q125,$C$3:$C$125,2)</f>
        <v/>
      </c>
      <c r="R129" s="34">
        <f>SUMIFS(R3:R125,$C$3:$C$125,2)</f>
        <v/>
      </c>
    </row>
    <row r="130">
      <c r="A130" s="33" t="inlineStr">
        <is>
          <t>PADD 3</t>
        </is>
      </c>
      <c r="D130" s="34">
        <f>SUMIFS($D$3:$D$125,$C$3:$C$125,3)</f>
        <v/>
      </c>
      <c r="E130" s="34">
        <f>SUMIFS(E3:E125,$C$3:$C$125,3)</f>
        <v/>
      </c>
      <c r="F130" s="34">
        <f>SUMIFS(F3:F125,$C$3:$C$125,3)</f>
        <v/>
      </c>
      <c r="G130" s="34">
        <f>SUMIFS(G3:G125,$C$3:$C$125,3)</f>
        <v/>
      </c>
      <c r="H130" s="34">
        <f>SUMIFS(H3:H125,$C$3:$C$125,3)</f>
        <v/>
      </c>
      <c r="I130" s="34">
        <f>SUMIFS(I3:I125,$C$3:$C$125,3)</f>
        <v/>
      </c>
      <c r="J130" s="34">
        <f>SUMIFS(J3:J125,$C$3:$C$125,3)</f>
        <v/>
      </c>
      <c r="K130" s="34">
        <f>SUMIFS(K3:K125,$C$3:$C$125,3)</f>
        <v/>
      </c>
      <c r="L130" s="34">
        <f>SUMIFS(L3:L125,$C$3:$C$125,3)</f>
        <v/>
      </c>
      <c r="M130" s="34">
        <f>SUMIFS(M3:M125,$C$3:$C$125,3)</f>
        <v/>
      </c>
      <c r="N130" s="34">
        <f>SUMIFS(N3:N125,$C$3:$C$125,3)</f>
        <v/>
      </c>
      <c r="O130" s="34">
        <f>SUMIFS(O3:O125,$C$3:$C$125,3)</f>
        <v/>
      </c>
      <c r="P130" s="34">
        <f>SUMIFS(P3:P125,$C$3:$C$125,3)</f>
        <v/>
      </c>
      <c r="Q130" s="34">
        <f>SUMIFS(Q3:Q125,$C$3:$C$125,3)</f>
        <v/>
      </c>
      <c r="R130" s="34">
        <f>SUMIFS(R3:R125,$C$3:$C$125,3)</f>
        <v/>
      </c>
    </row>
    <row r="131">
      <c r="A131" s="33" t="inlineStr">
        <is>
          <t>PADD 4</t>
        </is>
      </c>
      <c r="D131" s="34">
        <f>SUMIFS($D$3:$D$125,$C$3:$C$125,4)</f>
        <v/>
      </c>
      <c r="E131" s="34">
        <f>SUMIFS(E3:E125,$C$3:$C$125,4)</f>
        <v/>
      </c>
      <c r="F131" s="34">
        <f>SUMIFS(F3:F125,$C$3:$C$125,4)</f>
        <v/>
      </c>
      <c r="G131" s="34">
        <f>SUMIFS(G3:G125,$C$3:$C$125,4)</f>
        <v/>
      </c>
      <c r="H131" s="34">
        <f>SUMIFS(H3:H125,$C$3:$C$125,4)</f>
        <v/>
      </c>
      <c r="I131" s="34">
        <f>SUMIFS(I3:I125,$C$3:$C$125,4)</f>
        <v/>
      </c>
      <c r="J131" s="34">
        <f>SUMIFS(J3:J125,$C$3:$C$125,4)</f>
        <v/>
      </c>
      <c r="K131" s="34">
        <f>SUMIFS(K3:K125,$C$3:$C$125,4)</f>
        <v/>
      </c>
      <c r="L131" s="34">
        <f>SUMIFS(L3:L125,$C$3:$C$125,4)</f>
        <v/>
      </c>
      <c r="M131" s="34">
        <f>SUMIFS(M3:M125,$C$3:$C$125,4)</f>
        <v/>
      </c>
      <c r="N131" s="34">
        <f>SUMIFS(N3:N125,$C$3:$C$125,4)</f>
        <v/>
      </c>
      <c r="O131" s="34">
        <f>SUMIFS(O3:O125,$C$3:$C$125,4)</f>
        <v/>
      </c>
      <c r="P131" s="34">
        <f>SUMIFS(P3:P125,$C$3:$C$125,4)</f>
        <v/>
      </c>
      <c r="Q131" s="34">
        <f>SUMIFS(Q3:Q125,$C$3:$C$125,4)</f>
        <v/>
      </c>
      <c r="R131" s="34">
        <f>SUMIFS(R3:R125,$C$3:$C$125,4)</f>
        <v/>
      </c>
    </row>
    <row r="132">
      <c r="A132" s="33" t="inlineStr">
        <is>
          <t>PADD 5</t>
        </is>
      </c>
      <c r="D132" s="34">
        <f>SUMIFS($D$3:$D$125,$C$3:$C$125,5)</f>
        <v/>
      </c>
      <c r="E132" s="34">
        <f>SUMIFS(E3:E125,$C$3:$C$125,5)</f>
        <v/>
      </c>
      <c r="F132" s="34">
        <f>SUMIFS(F3:F125,$C$3:$C$125,5)</f>
        <v/>
      </c>
      <c r="G132" s="34">
        <f>SUMIFS(G3:G125,$C$3:$C$125,5)</f>
        <v/>
      </c>
      <c r="H132" s="34">
        <f>SUMIFS(H3:H125,$C$3:$C$125,5)</f>
        <v/>
      </c>
      <c r="I132" s="34">
        <f>SUMIFS(I3:I125,$C$3:$C$125,5)</f>
        <v/>
      </c>
      <c r="J132" s="34">
        <f>SUMIFS(J3:J125,$C$3:$C$125,5)</f>
        <v/>
      </c>
      <c r="K132" s="34">
        <f>SUMIFS(K3:K125,$C$3:$C$125,5)</f>
        <v/>
      </c>
      <c r="L132" s="34">
        <f>SUMIFS(L3:L125,$C$3:$C$125,5)</f>
        <v/>
      </c>
      <c r="M132" s="34">
        <f>SUMIFS(M3:M125,$C$3:$C$125,5)</f>
        <v/>
      </c>
      <c r="N132" s="34">
        <f>SUMIFS(N3:N125,$C$3:$C$125,5)</f>
        <v/>
      </c>
      <c r="O132" s="34">
        <f>SUMIFS(O3:O125,$C$3:$C$125,5)</f>
        <v/>
      </c>
      <c r="P132" s="34">
        <f>SUMIFS(P3:P125,$C$3:$C$125,5)</f>
        <v/>
      </c>
      <c r="Q132" s="34">
        <f>SUMIFS(Q3:Q125,$C$3:$C$125,5)</f>
        <v/>
      </c>
      <c r="R132" s="34">
        <f>SUMIFS(R3:R125,$C$3:$C$125,5)</f>
        <v/>
      </c>
    </row>
  </sheetData>
  <mergeCells count="2">
    <mergeCell ref="A1:S1"/>
    <mergeCell ref="A127:S1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8677"/>
    <outlinePr summaryBelow="1" summaryRight="1"/>
    <pageSetUpPr/>
  </sheetPr>
  <dimension ref="A1:U133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9" customWidth="1" min="19" max="19"/>
    <col width="10" customWidth="1" min="20" max="20"/>
  </cols>
  <sheetData>
    <row r="1" ht="20" customHeight="1">
      <c r="A1" s="8" t="inlineStr">
        <is>
          <t>Effective capacity (kbd) — max demonstrated annual throughput 2017-2024 excl. 2020 (RefineryDataTool actuals). BLUE = desk-adjustable: edits here flow into the Boxes 'eff cap' column. Nameplate is what's stated; this is what's proven.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</row>
    <row r="2">
      <c r="A2" s="17" t="inlineStr">
        <is>
          <t>refinery_id</t>
        </is>
      </c>
      <c r="B2" s="17" t="inlineStr">
        <is>
          <t>name</t>
        </is>
      </c>
      <c r="C2" s="17" t="inlineStr">
        <is>
          <t>padd</t>
        </is>
      </c>
      <c r="D2" s="17" t="inlineStr">
        <is>
          <t>crude kbd</t>
        </is>
      </c>
      <c r="E2" s="17" t="inlineStr">
        <is>
          <t>CDU</t>
        </is>
      </c>
      <c r="F2" s="17" t="inlineStr">
        <is>
          <t>VDU</t>
        </is>
      </c>
      <c r="G2" s="17" t="inlineStr">
        <is>
          <t>FCC</t>
        </is>
      </c>
      <c r="H2" s="17" t="inlineStr">
        <is>
          <t>RCC</t>
        </is>
      </c>
      <c r="I2" s="17" t="inlineStr">
        <is>
          <t>COKER</t>
        </is>
      </c>
      <c r="J2" s="17" t="inlineStr">
        <is>
          <t>FCOKER</t>
        </is>
      </c>
      <c r="K2" s="17" t="inlineStr">
        <is>
          <t>DHCU</t>
        </is>
      </c>
      <c r="L2" s="17" t="inlineStr">
        <is>
          <t>RHCU</t>
        </is>
      </c>
      <c r="M2" s="17" t="inlineStr">
        <is>
          <t>REF</t>
        </is>
      </c>
      <c r="N2" s="17" t="inlineStr">
        <is>
          <t>CCR</t>
        </is>
      </c>
      <c r="O2" s="17" t="inlineStr">
        <is>
          <t>ISOM</t>
        </is>
      </c>
      <c r="P2" s="17" t="inlineStr">
        <is>
          <t>ALKY</t>
        </is>
      </c>
      <c r="Q2" s="17" t="inlineStr">
        <is>
          <t>NSPL</t>
        </is>
      </c>
      <c r="R2" s="17" t="inlineStr">
        <is>
          <t>NHT</t>
        </is>
      </c>
      <c r="S2" s="17" t="inlineStr">
        <is>
          <t>CDU eff yr</t>
        </is>
      </c>
      <c r="T2" s="17" t="inlineStr">
        <is>
          <t>CDU eff/plate</t>
        </is>
      </c>
    </row>
    <row r="3">
      <c r="A3" s="18" t="inlineStr">
        <is>
          <t>PHILLIPS_LINDEN</t>
        </is>
      </c>
      <c r="B3" s="18" t="inlineStr">
        <is>
          <t>Phillips 66 Co. Linden</t>
        </is>
      </c>
      <c r="C3" s="18" t="n">
        <v>1</v>
      </c>
      <c r="D3" s="21">
        <f>SUMIFS(Data!$G$3:$G$125,Data!$A$3:$A$125,$A3)</f>
        <v/>
      </c>
      <c r="E3" s="19" t="n">
        <v>255.77</v>
      </c>
      <c r="F3" s="19" t="n">
        <v>83.43000000000001</v>
      </c>
      <c r="G3" s="19" t="n">
        <v>110.22</v>
      </c>
      <c r="H3" s="19" t="n"/>
      <c r="I3" s="19" t="n"/>
      <c r="J3" s="19" t="n"/>
      <c r="K3" s="19" t="n"/>
      <c r="L3" s="19" t="n"/>
      <c r="M3" s="19" t="n"/>
      <c r="N3" s="19" t="n">
        <v>34.68</v>
      </c>
      <c r="O3" s="19" t="n"/>
      <c r="P3" s="19" t="n">
        <v>22.62</v>
      </c>
      <c r="Q3" s="19" t="n"/>
      <c r="R3" s="19" t="n">
        <v>65.38</v>
      </c>
      <c r="S3" s="18" t="inlineStr">
        <is>
          <t>2022</t>
        </is>
      </c>
      <c r="T3" s="35">
        <f>IFERROR($E3/Nameplate!$E3,"")</f>
        <v/>
      </c>
    </row>
    <row r="4">
      <c r="A4" s="18" t="inlineStr">
        <is>
          <t>MONROE_TRAINER</t>
        </is>
      </c>
      <c r="B4" s="18" t="inlineStr">
        <is>
          <t>Monroe Energy Trainer</t>
        </is>
      </c>
      <c r="C4" s="18" t="n">
        <v>1</v>
      </c>
      <c r="D4" s="21">
        <f>SUMIFS(Data!$G$3:$G$125,Data!$A$3:$A$125,$A4)</f>
        <v/>
      </c>
      <c r="E4" s="19" t="n">
        <v>180.96</v>
      </c>
      <c r="F4" s="19" t="n">
        <v>48.62</v>
      </c>
      <c r="G4" s="19" t="n">
        <v>36.16</v>
      </c>
      <c r="H4" s="19" t="n"/>
      <c r="I4" s="19" t="n"/>
      <c r="J4" s="19" t="n"/>
      <c r="K4" s="19" t="n">
        <v>23</v>
      </c>
      <c r="L4" s="19" t="n"/>
      <c r="M4" s="19" t="n"/>
      <c r="N4" s="19" t="n">
        <v>47.8</v>
      </c>
      <c r="O4" s="19" t="n"/>
      <c r="P4" s="19" t="n">
        <v>12</v>
      </c>
      <c r="Q4" s="19" t="n"/>
      <c r="R4" s="19" t="n">
        <v>67.7</v>
      </c>
      <c r="S4" s="18" t="inlineStr">
        <is>
          <t>2017</t>
        </is>
      </c>
      <c r="T4" s="35">
        <f>IFERROR($E4/Nameplate!$E4,"")</f>
        <v/>
      </c>
    </row>
    <row r="5">
      <c r="A5" s="18" t="inlineStr">
        <is>
          <t>PBF_DELAWARE_CITY</t>
        </is>
      </c>
      <c r="B5" s="18" t="inlineStr">
        <is>
          <t>PBF Energy Company LLC Delaware City</t>
        </is>
      </c>
      <c r="C5" s="18" t="n">
        <v>1</v>
      </c>
      <c r="D5" s="21">
        <f>SUMIFS(Data!$G$3:$G$125,Data!$A$3:$A$125,$A5)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8" t="n"/>
      <c r="T5" s="35">
        <f>IFERROR($E5/Nameplate!$E5,"")</f>
        <v/>
      </c>
    </row>
    <row r="6">
      <c r="A6" s="18" t="inlineStr">
        <is>
          <t>PBF_PAULSBORO</t>
        </is>
      </c>
      <c r="B6" s="18" t="inlineStr">
        <is>
          <t>PBF Energy Company LLC Paulsboro</t>
        </is>
      </c>
      <c r="C6" s="18" t="n">
        <v>1</v>
      </c>
      <c r="D6" s="21">
        <f>SUMIFS(Data!$G$3:$G$125,Data!$A$3:$A$125,$A6)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8" t="n"/>
      <c r="T6" s="35">
        <f>IFERROR($E6/Nameplate!$E6,"")</f>
        <v/>
      </c>
    </row>
    <row r="7">
      <c r="A7" s="18" t="inlineStr">
        <is>
          <t>UNITED_WARREN</t>
        </is>
      </c>
      <c r="B7" s="18" t="inlineStr">
        <is>
          <t>United Refining Warren</t>
        </is>
      </c>
      <c r="C7" s="18" t="n">
        <v>1</v>
      </c>
      <c r="D7" s="21">
        <f>SUMIFS(Data!$G$3:$G$125,Data!$A$3:$A$125,$A7)</f>
        <v/>
      </c>
      <c r="E7" s="19" t="n">
        <v>67.8</v>
      </c>
      <c r="F7" s="19" t="n">
        <v>31.36</v>
      </c>
      <c r="G7" s="19" t="n">
        <v>24.01</v>
      </c>
      <c r="H7" s="19" t="n"/>
      <c r="I7" s="19" t="n"/>
      <c r="J7" s="19" t="n"/>
      <c r="K7" s="19" t="n"/>
      <c r="L7" s="19" t="n"/>
      <c r="M7" s="19" t="n">
        <v>14.48</v>
      </c>
      <c r="N7" s="19" t="n"/>
      <c r="O7" s="19" t="n">
        <v>4.37</v>
      </c>
      <c r="P7" s="19" t="n">
        <v>5.42</v>
      </c>
      <c r="Q7" s="19" t="n"/>
      <c r="R7" s="19" t="n">
        <v>20.17</v>
      </c>
      <c r="S7" s="18" t="inlineStr">
        <is>
          <t>2017</t>
        </is>
      </c>
      <c r="T7" s="35">
        <f>IFERROR($E7/Nameplate!$E7,"")</f>
        <v/>
      </c>
    </row>
    <row r="8">
      <c r="A8" s="18" t="inlineStr">
        <is>
          <t>ERGON_NEWELL</t>
        </is>
      </c>
      <c r="B8" s="18" t="inlineStr">
        <is>
          <t>Ergon Newell</t>
        </is>
      </c>
      <c r="C8" s="18" t="n">
        <v>1</v>
      </c>
      <c r="D8" s="21">
        <f>SUMIFS(Data!$G$3:$G$125,Data!$A$3:$A$125,$A8)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8" t="n"/>
      <c r="T8" s="35">
        <f>IFERROR($E8/Nameplate!$E8,"")</f>
        <v/>
      </c>
    </row>
    <row r="9">
      <c r="A9" s="18" t="inlineStr">
        <is>
          <t>AMERICAN_BRADFORD</t>
        </is>
      </c>
      <c r="B9" s="18" t="inlineStr">
        <is>
          <t>American Refining Group Bradford</t>
        </is>
      </c>
      <c r="C9" s="18" t="n">
        <v>1</v>
      </c>
      <c r="D9" s="21">
        <f>SUMIFS(Data!$G$3:$G$125,Data!$A$3:$A$125,$A9)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8" t="n"/>
      <c r="T9" s="35">
        <f>IFERROR($E9/Nameplate!$E9,"")</f>
        <v/>
      </c>
    </row>
    <row r="10">
      <c r="A10" s="18" t="inlineStr">
        <is>
          <t>BP_WHITING</t>
        </is>
      </c>
      <c r="B10" s="18" t="inlineStr">
        <is>
          <t>BP Whiting</t>
        </is>
      </c>
      <c r="C10" s="18" t="n">
        <v>2</v>
      </c>
      <c r="D10" s="21">
        <f>SUMIFS(Data!$G$3:$G$125,Data!$A$3:$A$125,$A10)</f>
        <v/>
      </c>
      <c r="E10" s="19" t="n">
        <v>426.8</v>
      </c>
      <c r="F10" s="19" t="n">
        <v>203.71</v>
      </c>
      <c r="G10" s="19" t="n">
        <v>156.64</v>
      </c>
      <c r="H10" s="19" t="n"/>
      <c r="I10" s="19" t="n">
        <v>86.65000000000001</v>
      </c>
      <c r="J10" s="19" t="n"/>
      <c r="K10" s="19" t="n"/>
      <c r="L10" s="19" t="n"/>
      <c r="M10" s="19" t="n">
        <v>61.97</v>
      </c>
      <c r="N10" s="19" t="n"/>
      <c r="O10" s="19" t="n">
        <v>30</v>
      </c>
      <c r="P10" s="19" t="n">
        <v>38.5</v>
      </c>
      <c r="Q10" s="19" t="n"/>
      <c r="R10" s="19" t="n">
        <v>87.76000000000001</v>
      </c>
      <c r="S10" s="18" t="inlineStr">
        <is>
          <t>2023</t>
        </is>
      </c>
      <c r="T10" s="35">
        <f>IFERROR($E10/Nameplate!$E10,"")</f>
        <v/>
      </c>
    </row>
    <row r="11">
      <c r="A11" s="18" t="inlineStr">
        <is>
          <t>FLINT_ROSEMOUNT</t>
        </is>
      </c>
      <c r="B11" s="18" t="inlineStr">
        <is>
          <t>Flint Hills Resources Rosemount</t>
        </is>
      </c>
      <c r="C11" s="18" t="n">
        <v>2</v>
      </c>
      <c r="D11" s="21">
        <f>SUMIFS(Data!$G$3:$G$125,Data!$A$3:$A$125,$A11)</f>
        <v/>
      </c>
      <c r="E11" s="19" t="n">
        <v>345</v>
      </c>
      <c r="F11" s="19" t="n">
        <v>182.66</v>
      </c>
      <c r="G11" s="19" t="n">
        <v>79.2</v>
      </c>
      <c r="H11" s="19" t="n"/>
      <c r="I11" s="19" t="n">
        <v>72.06</v>
      </c>
      <c r="J11" s="19" t="n"/>
      <c r="K11" s="19" t="n">
        <v>58.46</v>
      </c>
      <c r="L11" s="19" t="n"/>
      <c r="M11" s="19" t="n">
        <v>13.8</v>
      </c>
      <c r="N11" s="19" t="n">
        <v>36.89</v>
      </c>
      <c r="O11" s="19" t="n">
        <v>17.99</v>
      </c>
      <c r="P11" s="19" t="n">
        <v>16.84</v>
      </c>
      <c r="Q11" s="19" t="n"/>
      <c r="R11" s="19" t="n">
        <v>62.9</v>
      </c>
      <c r="S11" s="18" t="inlineStr">
        <is>
          <t>2022</t>
        </is>
      </c>
      <c r="T11" s="35">
        <f>IFERROR($E11/Nameplate!$E11,"")</f>
        <v/>
      </c>
    </row>
    <row r="12">
      <c r="A12" s="18" t="inlineStr">
        <is>
          <t>CENOVUS_WOOD_RIVER</t>
        </is>
      </c>
      <c r="B12" s="18" t="inlineStr">
        <is>
          <t>Cenovus Wood River</t>
        </is>
      </c>
      <c r="C12" s="18" t="n">
        <v>2</v>
      </c>
      <c r="D12" s="21">
        <f>SUMIFS(Data!$G$3:$G$125,Data!$A$3:$A$125,$A12)</f>
        <v/>
      </c>
      <c r="E12" s="19" t="n">
        <v>367.5</v>
      </c>
      <c r="F12" s="19" t="n">
        <v>166.34</v>
      </c>
      <c r="G12" s="19" t="n">
        <v>95.40000000000001</v>
      </c>
      <c r="H12" s="19" t="n"/>
      <c r="I12" s="19" t="n">
        <v>73.98</v>
      </c>
      <c r="J12" s="19" t="n"/>
      <c r="K12" s="19" t="n">
        <v>56.07</v>
      </c>
      <c r="L12" s="19" t="n"/>
      <c r="M12" s="19" t="n"/>
      <c r="N12" s="19" t="n">
        <v>65.25</v>
      </c>
      <c r="O12" s="19" t="n"/>
      <c r="P12" s="19" t="n">
        <v>25.06</v>
      </c>
      <c r="Q12" s="19" t="n"/>
      <c r="R12" s="19" t="n">
        <v>80</v>
      </c>
      <c r="S12" s="18" t="inlineStr">
        <is>
          <t>2024</t>
        </is>
      </c>
      <c r="T12" s="35">
        <f>IFERROR($E12/Nameplate!$E12,"")</f>
        <v/>
      </c>
    </row>
    <row r="13">
      <c r="A13" s="18" t="inlineStr">
        <is>
          <t>MARATHON_CATLETTSBURG</t>
        </is>
      </c>
      <c r="B13" s="18" t="inlineStr">
        <is>
          <t>Marathon Petroleum Catlettsburg</t>
        </is>
      </c>
      <c r="C13" s="18" t="n">
        <v>2</v>
      </c>
      <c r="D13" s="21">
        <f>SUMIFS(Data!$G$3:$G$125,Data!$A$3:$A$125,$A13)</f>
        <v/>
      </c>
      <c r="E13" s="19" t="n">
        <v>296.94</v>
      </c>
      <c r="F13" s="19" t="n">
        <v>103.64</v>
      </c>
      <c r="G13" s="19" t="n">
        <v>94.73</v>
      </c>
      <c r="H13" s="19" t="n"/>
      <c r="I13" s="19" t="n"/>
      <c r="J13" s="19" t="n"/>
      <c r="K13" s="19" t="n"/>
      <c r="L13" s="19" t="n"/>
      <c r="M13" s="19" t="n">
        <v>38.61</v>
      </c>
      <c r="N13" s="19" t="n">
        <v>21.5</v>
      </c>
      <c r="O13" s="19" t="n">
        <v>19.6</v>
      </c>
      <c r="P13" s="19" t="n">
        <v>25.91</v>
      </c>
      <c r="Q13" s="19" t="n"/>
      <c r="R13" s="19" t="n">
        <v>59</v>
      </c>
      <c r="S13" s="18" t="inlineStr">
        <is>
          <t>2024</t>
        </is>
      </c>
      <c r="T13" s="35">
        <f>IFERROR($E13/Nameplate!$E13,"")</f>
        <v/>
      </c>
    </row>
    <row r="14">
      <c r="A14" s="18" t="inlineStr">
        <is>
          <t>MARATHON_ROBINSON</t>
        </is>
      </c>
      <c r="B14" s="18" t="inlineStr">
        <is>
          <t>Marathon Petroleum Robinson</t>
        </is>
      </c>
      <c r="C14" s="18" t="n">
        <v>2</v>
      </c>
      <c r="D14" s="21">
        <f>SUMIFS(Data!$G$3:$G$125,Data!$A$3:$A$125,$A14)</f>
        <v/>
      </c>
      <c r="E14" s="19" t="n">
        <v>249.47</v>
      </c>
      <c r="F14" s="19" t="n">
        <v>76</v>
      </c>
      <c r="G14" s="19" t="n">
        <v>54.27</v>
      </c>
      <c r="H14" s="19" t="n"/>
      <c r="I14" s="19" t="n">
        <v>62.17</v>
      </c>
      <c r="J14" s="19" t="n"/>
      <c r="K14" s="19" t="n">
        <v>43.8</v>
      </c>
      <c r="L14" s="19" t="n"/>
      <c r="M14" s="19" t="n"/>
      <c r="N14" s="19" t="n">
        <v>64.45</v>
      </c>
      <c r="O14" s="19" t="n">
        <v>15.87</v>
      </c>
      <c r="P14" s="19" t="n">
        <v>15.3</v>
      </c>
      <c r="Q14" s="19" t="n"/>
      <c r="R14" s="19" t="n">
        <v>72.18000000000001</v>
      </c>
      <c r="S14" s="18" t="inlineStr">
        <is>
          <t>2024</t>
        </is>
      </c>
      <c r="T14" s="35">
        <f>IFERROR($E14/Nameplate!$E14,"")</f>
        <v/>
      </c>
    </row>
    <row r="15">
      <c r="A15" s="18" t="inlineStr">
        <is>
          <t>EXXONMOBIL_JOLIET</t>
        </is>
      </c>
      <c r="B15" s="18" t="inlineStr">
        <is>
          <t>ExxonMobil Joliet</t>
        </is>
      </c>
      <c r="C15" s="18" t="n">
        <v>2</v>
      </c>
      <c r="D15" s="21">
        <f>SUMIFS(Data!$G$3:$G$125,Data!$A$3:$A$125,$A15)</f>
        <v/>
      </c>
      <c r="E15" s="19" t="n">
        <v>271.98</v>
      </c>
      <c r="F15" s="19" t="n">
        <v>126.57</v>
      </c>
      <c r="G15" s="19" t="n">
        <v>99.29000000000001</v>
      </c>
      <c r="H15" s="19" t="n"/>
      <c r="I15" s="19" t="n">
        <v>58.32</v>
      </c>
      <c r="J15" s="19" t="n"/>
      <c r="K15" s="19" t="n"/>
      <c r="L15" s="19" t="n"/>
      <c r="M15" s="19" t="n"/>
      <c r="N15" s="19" t="n">
        <v>50.33</v>
      </c>
      <c r="O15" s="19" t="n"/>
      <c r="P15" s="19" t="n">
        <v>30.08</v>
      </c>
      <c r="Q15" s="19" t="n"/>
      <c r="R15" s="19" t="n">
        <v>81.79000000000001</v>
      </c>
      <c r="S15" s="18" t="inlineStr">
        <is>
          <t>2024</t>
        </is>
      </c>
      <c r="T15" s="35">
        <f>IFERROR($E15/Nameplate!$E15,"")</f>
        <v/>
      </c>
    </row>
    <row r="16">
      <c r="A16" s="18" t="inlineStr">
        <is>
          <t>PHILLIPS_PONCA_CITY</t>
        </is>
      </c>
      <c r="B16" s="18" t="inlineStr">
        <is>
          <t>Phillips 66 Co. Ponca City</t>
        </is>
      </c>
      <c r="C16" s="18" t="n">
        <v>2</v>
      </c>
      <c r="D16" s="21">
        <f>SUMIFS(Data!$G$3:$G$125,Data!$A$3:$A$125,$A16)</f>
        <v/>
      </c>
      <c r="E16" s="19" t="n">
        <v>222.14</v>
      </c>
      <c r="F16" s="19" t="n">
        <v>79.56999999999999</v>
      </c>
      <c r="G16" s="19" t="n">
        <v>70.18000000000001</v>
      </c>
      <c r="H16" s="19" t="n"/>
      <c r="I16" s="19" t="n">
        <v>27.44</v>
      </c>
      <c r="J16" s="19" t="n"/>
      <c r="K16" s="19" t="n"/>
      <c r="L16" s="19" t="n"/>
      <c r="M16" s="19" t="n">
        <v>46.34</v>
      </c>
      <c r="N16" s="19" t="n"/>
      <c r="O16" s="19" t="n"/>
      <c r="P16" s="19" t="n">
        <v>16.7</v>
      </c>
      <c r="Q16" s="19" t="n"/>
      <c r="R16" s="19" t="n">
        <v>59.13</v>
      </c>
      <c r="S16" s="18" t="inlineStr">
        <is>
          <t>2019</t>
        </is>
      </c>
      <c r="T16" s="35">
        <f>IFERROR($E16/Nameplate!$E16,"")</f>
        <v/>
      </c>
    </row>
    <row r="17">
      <c r="A17" s="18" t="inlineStr">
        <is>
          <t>CITGO_LEMONT</t>
        </is>
      </c>
      <c r="B17" s="18" t="inlineStr">
        <is>
          <t>Citgo Lemont</t>
        </is>
      </c>
      <c r="C17" s="18" t="n">
        <v>2</v>
      </c>
      <c r="D17" s="21">
        <f>SUMIFS(Data!$G$3:$G$125,Data!$A$3:$A$125,$A17)</f>
        <v/>
      </c>
      <c r="E17" s="19" t="n">
        <v>180.69</v>
      </c>
      <c r="F17" s="19" t="n">
        <v>76.8</v>
      </c>
      <c r="G17" s="19" t="n">
        <v>69.5</v>
      </c>
      <c r="H17" s="19" t="n"/>
      <c r="I17" s="19" t="n">
        <v>40.74</v>
      </c>
      <c r="J17" s="19" t="n"/>
      <c r="K17" s="19" t="n"/>
      <c r="L17" s="19" t="n"/>
      <c r="M17" s="19" t="n">
        <v>33</v>
      </c>
      <c r="N17" s="19" t="n"/>
      <c r="O17" s="19" t="n"/>
      <c r="P17" s="19" t="n">
        <v>23.65</v>
      </c>
      <c r="Q17" s="19" t="n"/>
      <c r="R17" s="19" t="n">
        <v>51.28</v>
      </c>
      <c r="S17" s="18" t="inlineStr">
        <is>
          <t>2023</t>
        </is>
      </c>
      <c r="T17" s="35">
        <f>IFERROR($E17/Nameplate!$E17,"")</f>
        <v/>
      </c>
    </row>
    <row r="18">
      <c r="A18" s="18" t="inlineStr">
        <is>
          <t>CENOVUS_LIMA</t>
        </is>
      </c>
      <c r="B18" s="18" t="inlineStr">
        <is>
          <t>Cenovus Lima</t>
        </is>
      </c>
      <c r="C18" s="18" t="n">
        <v>2</v>
      </c>
      <c r="D18" s="21">
        <f>SUMIFS(Data!$G$3:$G$125,Data!$A$3:$A$125,$A18)</f>
        <v/>
      </c>
      <c r="E18" s="19" t="n">
        <v>172.2</v>
      </c>
      <c r="F18" s="19" t="n">
        <v>57.93</v>
      </c>
      <c r="G18" s="19" t="n">
        <v>39.44</v>
      </c>
      <c r="H18" s="19" t="n"/>
      <c r="I18" s="19" t="n">
        <v>22.7</v>
      </c>
      <c r="J18" s="19" t="n"/>
      <c r="K18" s="19" t="n">
        <v>26</v>
      </c>
      <c r="L18" s="19" t="n"/>
      <c r="M18" s="19" t="n">
        <v>39.71</v>
      </c>
      <c r="N18" s="19" t="n"/>
      <c r="O18" s="19" t="n">
        <v>16.6</v>
      </c>
      <c r="P18" s="19" t="n"/>
      <c r="Q18" s="19" t="n"/>
      <c r="R18" s="19" t="n">
        <v>62.54</v>
      </c>
      <c r="S18" s="18" t="inlineStr">
        <is>
          <t>2017</t>
        </is>
      </c>
      <c r="T18" s="35">
        <f>IFERROR($E18/Nameplate!$E18,"")</f>
        <v/>
      </c>
    </row>
    <row r="19">
      <c r="A19" s="18" t="inlineStr">
        <is>
          <t>PBF_TOLEDO</t>
        </is>
      </c>
      <c r="B19" s="18" t="inlineStr">
        <is>
          <t>PBF Energy Company LLC Toledo</t>
        </is>
      </c>
      <c r="C19" s="18" t="n">
        <v>2</v>
      </c>
      <c r="D19" s="21">
        <f>SUMIFS(Data!$G$3:$G$125,Data!$A$3:$A$125,$A19)</f>
        <v/>
      </c>
      <c r="E19" s="19" t="n">
        <v>175.03</v>
      </c>
      <c r="F19" s="19" t="n"/>
      <c r="G19" s="19" t="n"/>
      <c r="H19" s="19" t="n">
        <v>58.81</v>
      </c>
      <c r="I19" s="19" t="n"/>
      <c r="J19" s="19" t="n"/>
      <c r="K19" s="19" t="n">
        <v>45.97</v>
      </c>
      <c r="L19" s="19" t="n"/>
      <c r="M19" s="19" t="n">
        <v>40.78</v>
      </c>
      <c r="N19" s="19" t="n"/>
      <c r="O19" s="19" t="n"/>
      <c r="P19" s="19" t="n">
        <v>10.62</v>
      </c>
      <c r="Q19" s="19" t="n"/>
      <c r="R19" s="19" t="n">
        <v>42.12</v>
      </c>
      <c r="S19" s="18" t="inlineStr">
        <is>
          <t>2019</t>
        </is>
      </c>
      <c r="T19" s="35">
        <f>IFERROR($E19/Nameplate!$E19,"")</f>
        <v/>
      </c>
    </row>
    <row r="20">
      <c r="A20" s="18" t="inlineStr">
        <is>
          <t>VALERO_MEMPHIS</t>
        </is>
      </c>
      <c r="B20" s="18" t="inlineStr">
        <is>
          <t>Valero Memphis</t>
        </is>
      </c>
      <c r="C20" s="18" t="n">
        <v>2</v>
      </c>
      <c r="D20" s="21">
        <f>SUMIFS(Data!$G$3:$G$125,Data!$A$3:$A$125,$A20)</f>
        <v/>
      </c>
      <c r="E20" s="19" t="n">
        <v>187.36</v>
      </c>
      <c r="F20" s="19" t="n"/>
      <c r="G20" s="19" t="n"/>
      <c r="H20" s="19" t="n">
        <v>54.8</v>
      </c>
      <c r="I20" s="19" t="n"/>
      <c r="J20" s="19" t="n"/>
      <c r="K20" s="19" t="n">
        <v>23.8</v>
      </c>
      <c r="L20" s="19" t="n"/>
      <c r="M20" s="19" t="n"/>
      <c r="N20" s="19" t="n">
        <v>35.5</v>
      </c>
      <c r="O20" s="19" t="n"/>
      <c r="P20" s="19" t="n">
        <v>9.17</v>
      </c>
      <c r="Q20" s="19" t="n"/>
      <c r="R20" s="19" t="n">
        <v>68.70999999999999</v>
      </c>
      <c r="S20" s="18" t="inlineStr">
        <is>
          <t>2018</t>
        </is>
      </c>
      <c r="T20" s="35">
        <f>IFERROR($E20/Nameplate!$E20,"")</f>
        <v/>
      </c>
    </row>
    <row r="21">
      <c r="A21" s="18" t="inlineStr">
        <is>
          <t>CENOVUS_TOLEDO</t>
        </is>
      </c>
      <c r="B21" s="18" t="inlineStr">
        <is>
          <t>Cenovus Toledo</t>
        </is>
      </c>
      <c r="C21" s="18" t="n">
        <v>2</v>
      </c>
      <c r="D21" s="21">
        <f>SUMIFS(Data!$G$3:$G$125,Data!$A$3:$A$125,$A21)</f>
        <v/>
      </c>
      <c r="E21" s="19" t="n">
        <v>153.2</v>
      </c>
      <c r="F21" s="19" t="n">
        <v>69.97</v>
      </c>
      <c r="G21" s="19" t="n">
        <v>41.32</v>
      </c>
      <c r="H21" s="19" t="n"/>
      <c r="I21" s="19" t="n">
        <v>26.45</v>
      </c>
      <c r="J21" s="19" t="n"/>
      <c r="K21" s="19" t="n">
        <v>30.69</v>
      </c>
      <c r="L21" s="19" t="n"/>
      <c r="M21" s="19" t="n"/>
      <c r="N21" s="19" t="n">
        <v>41.41</v>
      </c>
      <c r="O21" s="19" t="n"/>
      <c r="P21" s="19" t="n">
        <v>11.95</v>
      </c>
      <c r="Q21" s="19" t="n"/>
      <c r="R21" s="19" t="n">
        <v>46.1</v>
      </c>
      <c r="S21" s="18" t="inlineStr">
        <is>
          <t>2018</t>
        </is>
      </c>
      <c r="T21" s="35">
        <f>IFERROR($E21/Nameplate!$E21,"")</f>
        <v/>
      </c>
    </row>
    <row r="22">
      <c r="A22" s="18" t="inlineStr">
        <is>
          <t>MARATHON_DETROIT</t>
        </is>
      </c>
      <c r="B22" s="18" t="inlineStr">
        <is>
          <t>Marathon Petroleum Detroit</t>
        </is>
      </c>
      <c r="C22" s="18" t="n">
        <v>2</v>
      </c>
      <c r="D22" s="21">
        <f>SUMIFS(Data!$G$3:$G$125,Data!$A$3:$A$125,$A22)</f>
        <v/>
      </c>
      <c r="E22" s="19" t="n">
        <v>140.27</v>
      </c>
      <c r="F22" s="19" t="n">
        <v>66.54000000000001</v>
      </c>
      <c r="G22" s="19" t="n">
        <v>43.66</v>
      </c>
      <c r="H22" s="19" t="n"/>
      <c r="I22" s="19" t="n">
        <v>29.5</v>
      </c>
      <c r="J22" s="19" t="n"/>
      <c r="K22" s="19" t="n"/>
      <c r="L22" s="19" t="n"/>
      <c r="M22" s="19" t="n"/>
      <c r="N22" s="19" t="n">
        <v>26.32</v>
      </c>
      <c r="O22" s="19" t="n"/>
      <c r="P22" s="19" t="n">
        <v>7.56</v>
      </c>
      <c r="Q22" s="19" t="n"/>
      <c r="R22" s="19" t="n">
        <v>46.61</v>
      </c>
      <c r="S22" s="18" t="inlineStr">
        <is>
          <t>2023</t>
        </is>
      </c>
      <c r="T22" s="35">
        <f>IFERROR($E22/Nameplate!$E22,"")</f>
        <v/>
      </c>
    </row>
    <row r="23">
      <c r="A23" s="18" t="inlineStr">
        <is>
          <t>HF_EL_DORADO_KS</t>
        </is>
      </c>
      <c r="B23" s="18" t="inlineStr">
        <is>
          <t>HF Sinclair El Dorado (KS)</t>
        </is>
      </c>
      <c r="C23" s="18" t="n">
        <v>2</v>
      </c>
      <c r="D23" s="21">
        <f>SUMIFS(Data!$G$3:$G$125,Data!$A$3:$A$125,$A23)</f>
        <v/>
      </c>
      <c r="E23" s="19" t="n">
        <v>147.58</v>
      </c>
      <c r="F23" s="19" t="n">
        <v>64.34999999999999</v>
      </c>
      <c r="G23" s="19" t="n">
        <v>43.99</v>
      </c>
      <c r="H23" s="19" t="n"/>
      <c r="I23" s="19" t="n">
        <v>22.5</v>
      </c>
      <c r="J23" s="19" t="n"/>
      <c r="K23" s="19" t="n"/>
      <c r="L23" s="19" t="n"/>
      <c r="M23" s="19" t="n">
        <v>23.04</v>
      </c>
      <c r="N23" s="19" t="n">
        <v>28.74</v>
      </c>
      <c r="O23" s="19" t="n">
        <v>12.44</v>
      </c>
      <c r="P23" s="19" t="n">
        <v>17.27</v>
      </c>
      <c r="Q23" s="19" t="n"/>
      <c r="R23" s="19" t="n">
        <v>41.56</v>
      </c>
      <c r="S23" s="18" t="inlineStr">
        <is>
          <t>2017</t>
        </is>
      </c>
      <c r="T23" s="35">
        <f>IFERROR($E23/Nameplate!$E23,"")</f>
        <v/>
      </c>
    </row>
    <row r="24">
      <c r="A24" s="18" t="inlineStr">
        <is>
          <t>CVR_COFFEYVILLE</t>
        </is>
      </c>
      <c r="B24" s="18" t="inlineStr">
        <is>
          <t>CVR Energy Coffeyville</t>
        </is>
      </c>
      <c r="C24" s="18" t="n">
        <v>2</v>
      </c>
      <c r="D24" s="21">
        <f>SUMIFS(Data!$G$3:$G$125,Data!$A$3:$A$125,$A24)</f>
        <v/>
      </c>
      <c r="E24" s="19" t="n">
        <v>131.57</v>
      </c>
      <c r="F24" s="19" t="n">
        <v>45.69</v>
      </c>
      <c r="G24" s="19" t="n">
        <v>40.99</v>
      </c>
      <c r="H24" s="19" t="n"/>
      <c r="I24" s="19" t="n">
        <v>24.45</v>
      </c>
      <c r="J24" s="19" t="n"/>
      <c r="K24" s="19" t="n"/>
      <c r="L24" s="19" t="n"/>
      <c r="M24" s="19" t="n"/>
      <c r="N24" s="19" t="n">
        <v>24.83</v>
      </c>
      <c r="O24" s="19" t="n"/>
      <c r="P24" s="19" t="n">
        <v>12.24</v>
      </c>
      <c r="Q24" s="19" t="n"/>
      <c r="R24" s="19" t="n">
        <v>35.69</v>
      </c>
      <c r="S24" s="18" t="inlineStr">
        <is>
          <t>2017</t>
        </is>
      </c>
      <c r="T24" s="35">
        <f>IFERROR($E24/Nameplate!$E24,"")</f>
        <v/>
      </c>
    </row>
    <row r="25">
      <c r="A25" s="18" t="inlineStr">
        <is>
          <t>HF_TULSA</t>
        </is>
      </c>
      <c r="B25" s="18" t="inlineStr">
        <is>
          <t>HF Sinclair Tulsa</t>
        </is>
      </c>
      <c r="C25" s="18" t="n">
        <v>2</v>
      </c>
      <c r="D25" s="21">
        <f>SUMIFS(Data!$G$3:$G$125,Data!$A$3:$A$125,$A25)</f>
        <v/>
      </c>
      <c r="E25" s="19" t="n">
        <v>142.23</v>
      </c>
      <c r="F25" s="19" t="n">
        <v>42.58</v>
      </c>
      <c r="G25" s="19" t="n">
        <v>24.62</v>
      </c>
      <c r="H25" s="19" t="n"/>
      <c r="I25" s="19" t="n">
        <v>10.97</v>
      </c>
      <c r="J25" s="19" t="n"/>
      <c r="K25" s="19" t="n"/>
      <c r="L25" s="19" t="n"/>
      <c r="M25" s="19" t="n"/>
      <c r="N25" s="19" t="n">
        <v>22</v>
      </c>
      <c r="O25" s="19" t="n">
        <v>10.92</v>
      </c>
      <c r="P25" s="19" t="n">
        <v>6.43</v>
      </c>
      <c r="Q25" s="19" t="n"/>
      <c r="R25" s="19" t="n">
        <v>48.78</v>
      </c>
      <c r="S25" s="18" t="inlineStr">
        <is>
          <t>2022</t>
        </is>
      </c>
      <c r="T25" s="35">
        <f>IFERROR($E25/Nameplate!$E25,"")</f>
        <v/>
      </c>
    </row>
    <row r="26">
      <c r="A26" s="18" t="inlineStr">
        <is>
          <t>NCRA_MCPHERSON</t>
        </is>
      </c>
      <c r="B26" s="18" t="inlineStr">
        <is>
          <t>NCRA McPherson</t>
        </is>
      </c>
      <c r="C26" s="18" t="n">
        <v>2</v>
      </c>
      <c r="D26" s="21">
        <f>SUMIFS(Data!$G$3:$G$125,Data!$A$3:$A$125,$A26)</f>
        <v/>
      </c>
      <c r="E26" s="19" t="n">
        <v>114.56</v>
      </c>
      <c r="F26" s="19" t="n">
        <v>46.63</v>
      </c>
      <c r="G26" s="19" t="n">
        <v>23.7</v>
      </c>
      <c r="H26" s="19" t="n"/>
      <c r="I26" s="19" t="n">
        <v>21.9</v>
      </c>
      <c r="J26" s="19" t="n"/>
      <c r="K26" s="19" t="n">
        <v>34.06</v>
      </c>
      <c r="L26" s="19" t="n"/>
      <c r="M26" s="19" t="n"/>
      <c r="N26" s="19" t="n">
        <v>27</v>
      </c>
      <c r="O26" s="19" t="n">
        <v>10.75</v>
      </c>
      <c r="P26" s="19" t="n">
        <v>9.869999999999999</v>
      </c>
      <c r="Q26" s="19" t="n"/>
      <c r="R26" s="19" t="n">
        <v>29.8</v>
      </c>
      <c r="S26" s="18" t="inlineStr">
        <is>
          <t>2024</t>
        </is>
      </c>
      <c r="T26" s="35">
        <f>IFERROR($E26/Nameplate!$E26,"")</f>
        <v/>
      </c>
    </row>
    <row r="27">
      <c r="A27" s="18" t="inlineStr">
        <is>
          <t>MARATHON_SAINT_PAUL_PARK</t>
        </is>
      </c>
      <c r="B27" s="18" t="inlineStr">
        <is>
          <t>Marathon Petroleum Saint Paul Park</t>
        </is>
      </c>
      <c r="C27" s="18" t="n">
        <v>2</v>
      </c>
      <c r="D27" s="21">
        <f>SUMIFS(Data!$G$3:$G$125,Data!$A$3:$A$125,$A27)</f>
        <v/>
      </c>
      <c r="E27" s="19" t="n">
        <v>106.52</v>
      </c>
      <c r="F27" s="19" t="n">
        <v>39.78</v>
      </c>
      <c r="G27" s="19" t="n">
        <v>28.07</v>
      </c>
      <c r="H27" s="19" t="n"/>
      <c r="I27" s="19" t="n"/>
      <c r="J27" s="19" t="n"/>
      <c r="K27" s="19" t="n"/>
      <c r="L27" s="19" t="n"/>
      <c r="M27" s="19" t="n">
        <v>22.41</v>
      </c>
      <c r="N27" s="19" t="n"/>
      <c r="O27" s="19" t="n">
        <v>9.5</v>
      </c>
      <c r="P27" s="19" t="n">
        <v>6.79</v>
      </c>
      <c r="Q27" s="19" t="n"/>
      <c r="R27" s="19" t="n">
        <v>23</v>
      </c>
      <c r="S27" s="18" t="inlineStr">
        <is>
          <t>2024</t>
        </is>
      </c>
      <c r="T27" s="35">
        <f>IFERROR($E27/Nameplate!$E27,"")</f>
        <v/>
      </c>
    </row>
    <row r="28">
      <c r="A28" s="18" t="inlineStr">
        <is>
          <t>MARATHON_CANTON</t>
        </is>
      </c>
      <c r="B28" s="18" t="inlineStr">
        <is>
          <t>Marathon Petroleum Canton</t>
        </is>
      </c>
      <c r="C28" s="18" t="n">
        <v>2</v>
      </c>
      <c r="D28" s="21">
        <f>SUMIFS(Data!$G$3:$G$125,Data!$A$3:$A$125,$A28)</f>
        <v/>
      </c>
      <c r="E28" s="19" t="n">
        <v>102.87</v>
      </c>
      <c r="F28" s="19" t="n">
        <v>34.83</v>
      </c>
      <c r="G28" s="19" t="n">
        <v>25.86</v>
      </c>
      <c r="H28" s="19" t="n"/>
      <c r="I28" s="19" t="n"/>
      <c r="J28" s="19" t="n"/>
      <c r="K28" s="19" t="n"/>
      <c r="L28" s="19" t="n"/>
      <c r="M28" s="19" t="n"/>
      <c r="N28" s="19" t="n">
        <v>25.08</v>
      </c>
      <c r="O28" s="19" t="n"/>
      <c r="P28" s="19" t="n">
        <v>7.87</v>
      </c>
      <c r="Q28" s="19" t="n"/>
      <c r="R28" s="19" t="n">
        <v>38.64</v>
      </c>
      <c r="S28" s="18" t="inlineStr">
        <is>
          <t>2018</t>
        </is>
      </c>
      <c r="T28" s="35">
        <f>IFERROR($E28/Nameplate!$E28,"")</f>
        <v/>
      </c>
    </row>
    <row r="29">
      <c r="A29" s="18" t="inlineStr">
        <is>
          <t>VALERO_ARDMORE</t>
        </is>
      </c>
      <c r="B29" s="18" t="inlineStr">
        <is>
          <t>Valero Ardmore</t>
        </is>
      </c>
      <c r="C29" s="18" t="n">
        <v>2</v>
      </c>
      <c r="D29" s="21">
        <f>SUMIFS(Data!$G$3:$G$125,Data!$A$3:$A$125,$A29)</f>
        <v/>
      </c>
      <c r="E29" s="19" t="n">
        <v>83.59</v>
      </c>
      <c r="F29" s="19" t="n">
        <v>26.11</v>
      </c>
      <c r="G29" s="19" t="n">
        <v>13.18</v>
      </c>
      <c r="H29" s="19" t="n"/>
      <c r="I29" s="19" t="n"/>
      <c r="J29" s="19" t="n"/>
      <c r="K29" s="19" t="n">
        <v>9.44</v>
      </c>
      <c r="L29" s="19" t="n"/>
      <c r="M29" s="19" t="n"/>
      <c r="N29" s="19" t="n">
        <v>19.1</v>
      </c>
      <c r="O29" s="19" t="n"/>
      <c r="P29" s="19" t="n">
        <v>3.98</v>
      </c>
      <c r="Q29" s="19" t="n"/>
      <c r="R29" s="19" t="n">
        <v>27.69</v>
      </c>
      <c r="S29" s="18" t="inlineStr">
        <is>
          <t>2018</t>
        </is>
      </c>
      <c r="T29" s="35">
        <f>IFERROR($E29/Nameplate!$E29,"")</f>
        <v/>
      </c>
    </row>
    <row r="30">
      <c r="A30" s="18" t="inlineStr">
        <is>
          <t>MARATHON_MANDAN</t>
        </is>
      </c>
      <c r="B30" s="18" t="inlineStr">
        <is>
          <t>Marathon Petroleum Mandan</t>
        </is>
      </c>
      <c r="C30" s="18" t="n">
        <v>2</v>
      </c>
      <c r="D30" s="21">
        <f>SUMIFS(Data!$G$3:$G$125,Data!$A$3:$A$125,$A30)</f>
        <v/>
      </c>
      <c r="E30" s="19" t="n">
        <v>73.63</v>
      </c>
      <c r="F30" s="19" t="n"/>
      <c r="G30" s="19" t="n"/>
      <c r="H30" s="19" t="n">
        <v>23.44</v>
      </c>
      <c r="I30" s="19" t="n"/>
      <c r="J30" s="19" t="n"/>
      <c r="K30" s="19" t="n"/>
      <c r="L30" s="19" t="n"/>
      <c r="M30" s="19" t="n">
        <v>12.5</v>
      </c>
      <c r="N30" s="19" t="n"/>
      <c r="O30" s="19" t="n"/>
      <c r="P30" s="19" t="n">
        <v>6.73</v>
      </c>
      <c r="Q30" s="19" t="n"/>
      <c r="R30" s="19" t="n">
        <v>12.73</v>
      </c>
      <c r="S30" s="18" t="inlineStr">
        <is>
          <t>2022</t>
        </is>
      </c>
      <c r="T30" s="35">
        <f>IFERROR($E30/Nameplate!$E30,"")</f>
        <v/>
      </c>
    </row>
    <row r="31">
      <c r="A31" s="18" t="inlineStr">
        <is>
          <t>CVR_WYNNEWOOD</t>
        </is>
      </c>
      <c r="B31" s="18" t="inlineStr">
        <is>
          <t>CVR Energy Wynnewood</t>
        </is>
      </c>
      <c r="C31" s="18" t="n">
        <v>2</v>
      </c>
      <c r="D31" s="21">
        <f>SUMIFS(Data!$G$3:$G$125,Data!$A$3:$A$125,$A31)</f>
        <v/>
      </c>
      <c r="E31" s="19" t="n">
        <v>73.39</v>
      </c>
      <c r="F31" s="19" t="n">
        <v>23.42</v>
      </c>
      <c r="G31" s="19" t="n">
        <v>21.62</v>
      </c>
      <c r="H31" s="19" t="n"/>
      <c r="I31" s="19" t="n"/>
      <c r="J31" s="19" t="n"/>
      <c r="K31" s="19" t="n"/>
      <c r="L31" s="19" t="n"/>
      <c r="M31" s="19" t="n"/>
      <c r="N31" s="19" t="n">
        <v>15.26</v>
      </c>
      <c r="O31" s="19" t="n">
        <v>4.5</v>
      </c>
      <c r="P31" s="19" t="n">
        <v>6.68</v>
      </c>
      <c r="Q31" s="19" t="n"/>
      <c r="R31" s="19" t="n">
        <v>21.13</v>
      </c>
      <c r="S31" s="18" t="inlineStr">
        <is>
          <t>2021</t>
        </is>
      </c>
      <c r="T31" s="35">
        <f>IFERROR($E31/Nameplate!$E31,"")</f>
        <v/>
      </c>
    </row>
    <row r="32">
      <c r="A32" s="18" t="inlineStr">
        <is>
          <t>CENOVUS_SUPERIOR</t>
        </is>
      </c>
      <c r="B32" s="18" t="inlineStr">
        <is>
          <t>Cenovus Superior</t>
        </is>
      </c>
      <c r="C32" s="18" t="n">
        <v>2</v>
      </c>
      <c r="D32" s="21">
        <f>SUMIFS(Data!$G$3:$G$125,Data!$A$3:$A$125,$A32)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8" t="n"/>
      <c r="T32" s="35">
        <f>IFERROR($E32/Nameplate!$E32,"")</f>
        <v/>
      </c>
    </row>
    <row r="33">
      <c r="A33" s="18" t="inlineStr">
        <is>
          <t>COUNTRYMARK_MOUNT_VERNON</t>
        </is>
      </c>
      <c r="B33" s="18" t="inlineStr">
        <is>
          <t>Countrymark Cooperative Inc. Mount Vernon</t>
        </is>
      </c>
      <c r="C33" s="18" t="n">
        <v>2</v>
      </c>
      <c r="D33" s="21">
        <f>SUMIFS(Data!$G$3:$G$125,Data!$A$3:$A$125,$A33)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8" t="n"/>
      <c r="T33" s="35">
        <f>IFERROR($E33/Nameplate!$E33,"")</f>
        <v/>
      </c>
    </row>
    <row r="34">
      <c r="A34" s="18" t="inlineStr">
        <is>
          <t>SOMERSET_SOMERSET</t>
        </is>
      </c>
      <c r="B34" s="18" t="inlineStr">
        <is>
          <t>Somerset Refinery Somerset</t>
        </is>
      </c>
      <c r="C34" s="18" t="n">
        <v>2</v>
      </c>
      <c r="D34" s="21">
        <f>SUMIFS(Data!$G$3:$G$125,Data!$A$3:$A$125,$A34)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8" t="n"/>
      <c r="T34" s="35">
        <f>IFERROR($E34/Nameplate!$E34,"")</f>
        <v/>
      </c>
    </row>
    <row r="35">
      <c r="A35" s="18" t="inlineStr">
        <is>
          <t>MPC_GALV_BAY</t>
        </is>
      </c>
      <c r="B35" s="18" t="inlineStr">
        <is>
          <t>Galveston Bay Refinery</t>
        </is>
      </c>
      <c r="C35" s="18" t="n">
        <v>3</v>
      </c>
      <c r="D35" s="21">
        <f>SUMIFS(Data!$G$3:$G$125,Data!$A$3:$A$125,$A35)</f>
        <v/>
      </c>
      <c r="E35" s="19" t="n">
        <v>594.4400000000001</v>
      </c>
      <c r="F35" s="19" t="n">
        <v>229.26</v>
      </c>
      <c r="G35" s="19" t="n">
        <v>204.5</v>
      </c>
      <c r="H35" s="19" t="n"/>
      <c r="I35" s="19" t="n">
        <v>32.34</v>
      </c>
      <c r="J35" s="19" t="n"/>
      <c r="K35" s="19" t="n">
        <v>79.92</v>
      </c>
      <c r="L35" s="19" t="n">
        <v>70</v>
      </c>
      <c r="M35" s="19" t="n"/>
      <c r="N35" s="19" t="n">
        <v>141.18</v>
      </c>
      <c r="O35" s="19" t="n"/>
      <c r="P35" s="19" t="n">
        <v>70.97</v>
      </c>
      <c r="Q35" s="19" t="n"/>
      <c r="R35" s="19" t="n">
        <v>173.75</v>
      </c>
      <c r="S35" s="18" t="inlineStr">
        <is>
          <t>2018</t>
        </is>
      </c>
      <c r="T35" s="35">
        <f>IFERROR($E35/Nameplate!$E35,"")</f>
        <v/>
      </c>
    </row>
    <row r="36">
      <c r="A36" s="18" t="inlineStr">
        <is>
          <t>MOTIVA_PAR</t>
        </is>
      </c>
      <c r="B36" s="18" t="inlineStr">
        <is>
          <t>Motiva Port Arthur</t>
        </is>
      </c>
      <c r="C36" s="18" t="n">
        <v>3</v>
      </c>
      <c r="D36" s="21">
        <f>SUMIFS(Data!$G$3:$G$125,Data!$A$3:$A$125,$A36)</f>
        <v/>
      </c>
      <c r="E36" s="19" t="n">
        <v>604.41</v>
      </c>
      <c r="F36" s="19" t="n">
        <v>287.84</v>
      </c>
      <c r="G36" s="19" t="n">
        <v>91.88</v>
      </c>
      <c r="H36" s="19" t="n"/>
      <c r="I36" s="19" t="n">
        <v>135.46</v>
      </c>
      <c r="J36" s="19" t="n"/>
      <c r="K36" s="19" t="n">
        <v>108.17</v>
      </c>
      <c r="L36" s="19" t="n"/>
      <c r="M36" s="19" t="n"/>
      <c r="N36" s="19" t="n">
        <v>126.51</v>
      </c>
      <c r="O36" s="19" t="n">
        <v>48.27</v>
      </c>
      <c r="P36" s="19" t="n">
        <v>24.66</v>
      </c>
      <c r="Q36" s="19" t="n"/>
      <c r="R36" s="19" t="n">
        <v>163.2</v>
      </c>
      <c r="S36" s="18" t="inlineStr">
        <is>
          <t>2023</t>
        </is>
      </c>
      <c r="T36" s="35">
        <f>IFERROR($E36/Nameplate!$E36,"")</f>
        <v/>
      </c>
    </row>
    <row r="37">
      <c r="A37" s="18" t="inlineStr">
        <is>
          <t>EXXONMOBIL_BEAUMONT</t>
        </is>
      </c>
      <c r="B37" s="18" t="inlineStr">
        <is>
          <t>ExxonMobil Beaumont</t>
        </is>
      </c>
      <c r="C37" s="18" t="n">
        <v>3</v>
      </c>
      <c r="D37" s="21">
        <f>SUMIFS(Data!$G$3:$G$125,Data!$A$3:$A$125,$A37)</f>
        <v/>
      </c>
      <c r="E37" s="19" t="n">
        <v>584.51</v>
      </c>
      <c r="F37" s="19" t="n">
        <v>187.61</v>
      </c>
      <c r="G37" s="19" t="n">
        <v>107.3</v>
      </c>
      <c r="H37" s="19" t="n"/>
      <c r="I37" s="19" t="n">
        <v>53.65</v>
      </c>
      <c r="J37" s="19" t="n"/>
      <c r="K37" s="19" t="n">
        <v>69.83</v>
      </c>
      <c r="L37" s="19" t="n"/>
      <c r="M37" s="19" t="n"/>
      <c r="N37" s="19" t="n">
        <v>155.98</v>
      </c>
      <c r="O37" s="19" t="n">
        <v>38.6</v>
      </c>
      <c r="P37" s="19" t="n">
        <v>17.93</v>
      </c>
      <c r="Q37" s="19" t="n"/>
      <c r="R37" s="19" t="n">
        <v>171.24</v>
      </c>
      <c r="S37" s="18" t="inlineStr">
        <is>
          <t>2024</t>
        </is>
      </c>
      <c r="T37" s="35">
        <f>IFERROR($E37/Nameplate!$E37,"")</f>
        <v/>
      </c>
    </row>
    <row r="38">
      <c r="A38" s="18" t="inlineStr">
        <is>
          <t>MARATHON_GARYVILLE</t>
        </is>
      </c>
      <c r="B38" s="18" t="inlineStr">
        <is>
          <t>Marathon Petroleum Garyville</t>
        </is>
      </c>
      <c r="C38" s="18" t="n">
        <v>3</v>
      </c>
      <c r="D38" s="21">
        <f>SUMIFS(Data!$G$3:$G$125,Data!$A$3:$A$125,$A38)</f>
        <v/>
      </c>
      <c r="E38" s="19" t="n">
        <v>601.37</v>
      </c>
      <c r="F38" s="19" t="n">
        <v>228.53</v>
      </c>
      <c r="G38" s="19" t="n">
        <v>145.68</v>
      </c>
      <c r="H38" s="19" t="n"/>
      <c r="I38" s="19" t="n">
        <v>94.17</v>
      </c>
      <c r="J38" s="19" t="n"/>
      <c r="K38" s="19" t="n">
        <v>99.45</v>
      </c>
      <c r="L38" s="19" t="n"/>
      <c r="M38" s="19" t="n"/>
      <c r="N38" s="19" t="n">
        <v>136.81</v>
      </c>
      <c r="O38" s="19" t="n">
        <v>23</v>
      </c>
      <c r="P38" s="19" t="n">
        <v>37.3</v>
      </c>
      <c r="Q38" s="19" t="n"/>
      <c r="R38" s="19" t="n">
        <v>139.69</v>
      </c>
      <c r="S38" s="18" t="inlineStr">
        <is>
          <t>2023</t>
        </is>
      </c>
      <c r="T38" s="35">
        <f>IFERROR($E38/Nameplate!$E38,"")</f>
        <v/>
      </c>
    </row>
    <row r="39">
      <c r="A39" s="18" t="inlineStr">
        <is>
          <t>XOM_BAYTOWN</t>
        </is>
      </c>
      <c r="B39" s="18" t="inlineStr">
        <is>
          <t>ExxonMobil Baytown</t>
        </is>
      </c>
      <c r="C39" s="18" t="n">
        <v>3</v>
      </c>
      <c r="D39" s="21">
        <f>SUMIFS(Data!$G$3:$G$125,Data!$A$3:$A$125,$A39)</f>
        <v/>
      </c>
      <c r="E39" s="19" t="n">
        <v>549.52</v>
      </c>
      <c r="F39" s="19" t="n">
        <v>220.96</v>
      </c>
      <c r="G39" s="19" t="n">
        <v>212.42</v>
      </c>
      <c r="H39" s="19" t="n"/>
      <c r="I39" s="19" t="n">
        <v>47.29</v>
      </c>
      <c r="J39" s="19" t="n">
        <v>40.88</v>
      </c>
      <c r="K39" s="19" t="n">
        <v>30.5</v>
      </c>
      <c r="L39" s="19" t="n"/>
      <c r="M39" s="19" t="n"/>
      <c r="N39" s="19" t="n">
        <v>133.94</v>
      </c>
      <c r="O39" s="19" t="n"/>
      <c r="P39" s="19" t="n">
        <v>49.33</v>
      </c>
      <c r="Q39" s="19" t="n"/>
      <c r="R39" s="19" t="n">
        <v>155.04</v>
      </c>
      <c r="S39" s="18" t="inlineStr">
        <is>
          <t>2023</t>
        </is>
      </c>
      <c r="T39" s="35">
        <f>IFERROR($E39/Nameplate!$E39,"")</f>
        <v/>
      </c>
    </row>
    <row r="40">
      <c r="A40" s="18" t="inlineStr">
        <is>
          <t>EXXONMOBIL_BATON_ROUGE</t>
        </is>
      </c>
      <c r="B40" s="18" t="inlineStr">
        <is>
          <t>ExxonMobil Baton Rouge</t>
        </is>
      </c>
      <c r="C40" s="18" t="n">
        <v>3</v>
      </c>
      <c r="D40" s="21">
        <f>SUMIFS(Data!$G$3:$G$125,Data!$A$3:$A$125,$A40)</f>
        <v/>
      </c>
      <c r="E40" s="19" t="n">
        <v>539.64</v>
      </c>
      <c r="F40" s="19" t="n">
        <v>217.79</v>
      </c>
      <c r="G40" s="19" t="n">
        <v>217.12</v>
      </c>
      <c r="H40" s="19" t="n"/>
      <c r="I40" s="19" t="n">
        <v>107.67</v>
      </c>
      <c r="J40" s="19" t="n"/>
      <c r="K40" s="19" t="n">
        <v>26</v>
      </c>
      <c r="L40" s="19" t="n"/>
      <c r="M40" s="19" t="n"/>
      <c r="N40" s="19" t="n">
        <v>78.13</v>
      </c>
      <c r="O40" s="19" t="n"/>
      <c r="P40" s="19" t="n">
        <v>49.33</v>
      </c>
      <c r="Q40" s="19" t="n"/>
      <c r="R40" s="19" t="n">
        <v>120.78</v>
      </c>
      <c r="S40" s="18" t="inlineStr">
        <is>
          <t>2022</t>
        </is>
      </c>
      <c r="T40" s="35">
        <f>IFERROR($E40/Nameplate!$E40,"")</f>
        <v/>
      </c>
    </row>
    <row r="41">
      <c r="A41" s="18" t="inlineStr">
        <is>
          <t>CITGO_LAKE_CHARLES</t>
        </is>
      </c>
      <c r="B41" s="18" t="inlineStr">
        <is>
          <t>Citgo Lake Charles</t>
        </is>
      </c>
      <c r="C41" s="18" t="n">
        <v>3</v>
      </c>
      <c r="D41" s="21">
        <f>SUMIFS(Data!$G$3:$G$125,Data!$A$3:$A$125,$A41)</f>
        <v/>
      </c>
      <c r="E41" s="19" t="n">
        <v>435.62</v>
      </c>
      <c r="F41" s="19" t="n">
        <v>176.27</v>
      </c>
      <c r="G41" s="19" t="n">
        <v>143.97</v>
      </c>
      <c r="H41" s="19" t="n"/>
      <c r="I41" s="19" t="n">
        <v>71.81</v>
      </c>
      <c r="J41" s="19" t="n"/>
      <c r="K41" s="19" t="n">
        <v>46.84</v>
      </c>
      <c r="L41" s="19" t="n"/>
      <c r="M41" s="19" t="n">
        <v>50.04</v>
      </c>
      <c r="N41" s="19" t="n">
        <v>64</v>
      </c>
      <c r="O41" s="19" t="n">
        <v>27.45</v>
      </c>
      <c r="P41" s="19" t="n">
        <v>28.88</v>
      </c>
      <c r="Q41" s="19" t="n"/>
      <c r="R41" s="19" t="n">
        <v>128.2</v>
      </c>
      <c r="S41" s="18" t="inlineStr">
        <is>
          <t>2022</t>
        </is>
      </c>
      <c r="T41" s="35">
        <f>IFERROR($E41/Nameplate!$E41,"")</f>
        <v/>
      </c>
    </row>
    <row r="42">
      <c r="A42" s="18" t="inlineStr">
        <is>
          <t>VALERO_PORT_ARTHUR</t>
        </is>
      </c>
      <c r="B42" s="18" t="inlineStr">
        <is>
          <t>Valero Port Arthur</t>
        </is>
      </c>
      <c r="C42" s="18" t="n">
        <v>3</v>
      </c>
      <c r="D42" s="21">
        <f>SUMIFS(Data!$G$3:$G$125,Data!$A$3:$A$125,$A42)</f>
        <v/>
      </c>
      <c r="E42" s="19" t="n">
        <v>332.38</v>
      </c>
      <c r="F42" s="19" t="n">
        <v>200.67</v>
      </c>
      <c r="G42" s="19" t="n">
        <v>71.58</v>
      </c>
      <c r="H42" s="19" t="n"/>
      <c r="I42" s="19" t="n">
        <v>104.55</v>
      </c>
      <c r="J42" s="19" t="n"/>
      <c r="K42" s="19" t="n">
        <v>96.03</v>
      </c>
      <c r="L42" s="19" t="n"/>
      <c r="M42" s="19" t="n"/>
      <c r="N42" s="19" t="n">
        <v>57.9</v>
      </c>
      <c r="O42" s="19" t="n"/>
      <c r="P42" s="19" t="n">
        <v>23.91</v>
      </c>
      <c r="Q42" s="19" t="n"/>
      <c r="R42" s="19" t="n">
        <v>80.67</v>
      </c>
      <c r="S42" s="18" t="inlineStr">
        <is>
          <t>2018</t>
        </is>
      </c>
      <c r="T42" s="35">
        <f>IFERROR($E42/Nameplate!$E42,"")</f>
        <v/>
      </c>
    </row>
    <row r="43">
      <c r="A43" s="18" t="inlineStr">
        <is>
          <t>CHEVRON_PASCAGOULA</t>
        </is>
      </c>
      <c r="B43" s="18" t="inlineStr">
        <is>
          <t>Chevron Pascagoula</t>
        </is>
      </c>
      <c r="C43" s="18" t="n">
        <v>3</v>
      </c>
      <c r="D43" s="21">
        <f>SUMIFS(Data!$G$3:$G$125,Data!$A$3:$A$125,$A43)</f>
        <v/>
      </c>
      <c r="E43" s="19" t="n">
        <v>358</v>
      </c>
      <c r="F43" s="19" t="n">
        <v>212.76</v>
      </c>
      <c r="G43" s="19" t="n">
        <v>83.98999999999999</v>
      </c>
      <c r="H43" s="19" t="n"/>
      <c r="I43" s="19" t="n">
        <v>104.24</v>
      </c>
      <c r="J43" s="19" t="n"/>
      <c r="K43" s="19" t="n">
        <v>100.82</v>
      </c>
      <c r="L43" s="19" t="n"/>
      <c r="M43" s="19" t="n">
        <v>16.94</v>
      </c>
      <c r="N43" s="19" t="n">
        <v>61.6</v>
      </c>
      <c r="O43" s="19" t="n"/>
      <c r="P43" s="19" t="n">
        <v>19.93</v>
      </c>
      <c r="Q43" s="19" t="n"/>
      <c r="R43" s="19" t="n">
        <v>73.93000000000001</v>
      </c>
      <c r="S43" s="18" t="inlineStr">
        <is>
          <t>2019</t>
        </is>
      </c>
      <c r="T43" s="35">
        <f>IFERROR($E43/Nameplate!$E43,"")</f>
        <v/>
      </c>
    </row>
    <row r="44">
      <c r="A44" s="18" t="inlineStr">
        <is>
          <t>PEMEX_DEER_PARK</t>
        </is>
      </c>
      <c r="B44" s="18" t="inlineStr">
        <is>
          <t>PEMEX Deer Park</t>
        </is>
      </c>
      <c r="C44" s="18" t="n">
        <v>3</v>
      </c>
      <c r="D44" s="21">
        <f>SUMIFS(Data!$G$3:$G$125,Data!$A$3:$A$125,$A44)</f>
        <v/>
      </c>
      <c r="E44" s="19" t="n">
        <v>300.22</v>
      </c>
      <c r="F44" s="19" t="n">
        <v>150.21</v>
      </c>
      <c r="G44" s="19" t="n">
        <v>66.78</v>
      </c>
      <c r="H44" s="19" t="n"/>
      <c r="I44" s="19" t="n">
        <v>76.23999999999999</v>
      </c>
      <c r="J44" s="19" t="n"/>
      <c r="K44" s="19" t="n">
        <v>48.41</v>
      </c>
      <c r="L44" s="19" t="n"/>
      <c r="M44" s="19" t="n">
        <v>24.5</v>
      </c>
      <c r="N44" s="19" t="n">
        <v>45</v>
      </c>
      <c r="O44" s="19" t="n"/>
      <c r="P44" s="19" t="n">
        <v>19.25</v>
      </c>
      <c r="Q44" s="19" t="n"/>
      <c r="R44" s="19" t="n">
        <v>78.94</v>
      </c>
      <c r="S44" s="18" t="inlineStr">
        <is>
          <t>2017</t>
        </is>
      </c>
      <c r="T44" s="35">
        <f>IFERROR($E44/Nameplate!$E44,"")</f>
        <v/>
      </c>
    </row>
    <row r="45">
      <c r="A45" s="18" t="inlineStr">
        <is>
          <t>FLINT_CORPUS_CHRISTI</t>
        </is>
      </c>
      <c r="B45" s="18" t="inlineStr">
        <is>
          <t>Flint Hills Resources Corpus Christi</t>
        </is>
      </c>
      <c r="C45" s="18" t="n">
        <v>3</v>
      </c>
      <c r="D45" s="21">
        <f>SUMIFS(Data!$G$3:$G$125,Data!$A$3:$A$125,$A45)</f>
        <v/>
      </c>
      <c r="E45" s="19" t="n">
        <v>342.28</v>
      </c>
      <c r="F45" s="19" t="n">
        <v>87.48999999999999</v>
      </c>
      <c r="G45" s="19" t="n">
        <v>104.79</v>
      </c>
      <c r="H45" s="19" t="n"/>
      <c r="I45" s="19" t="n">
        <v>14.4</v>
      </c>
      <c r="J45" s="19" t="n"/>
      <c r="K45" s="19" t="n">
        <v>15</v>
      </c>
      <c r="L45" s="19" t="n"/>
      <c r="M45" s="19" t="n">
        <v>27</v>
      </c>
      <c r="N45" s="19" t="n">
        <v>48</v>
      </c>
      <c r="O45" s="19" t="n">
        <v>3.4</v>
      </c>
      <c r="P45" s="19" t="n">
        <v>18.75</v>
      </c>
      <c r="Q45" s="19" t="n"/>
      <c r="R45" s="19" t="n">
        <v>104.19</v>
      </c>
      <c r="S45" s="18" t="inlineStr">
        <is>
          <t>2023</t>
        </is>
      </c>
      <c r="T45" s="35">
        <f>IFERROR($E45/Nameplate!$E45,"")</f>
        <v/>
      </c>
    </row>
    <row r="46">
      <c r="A46" s="18" t="inlineStr">
        <is>
          <t>VALERO_CORPUS_CHRISTI</t>
        </is>
      </c>
      <c r="B46" s="18" t="inlineStr">
        <is>
          <t>Valero Corpus Christi</t>
        </is>
      </c>
      <c r="C46" s="18" t="n">
        <v>3</v>
      </c>
      <c r="D46" s="21">
        <f>SUMIFS(Data!$G$3:$G$125,Data!$A$3:$A$125,$A46)</f>
        <v/>
      </c>
      <c r="E46" s="19" t="n">
        <v>249.82</v>
      </c>
      <c r="F46" s="19" t="n">
        <v>92.52</v>
      </c>
      <c r="G46" s="19" t="n">
        <v>29.18</v>
      </c>
      <c r="H46" s="19" t="n">
        <v>91.2</v>
      </c>
      <c r="I46" s="19" t="n">
        <v>18.68</v>
      </c>
      <c r="J46" s="19" t="n"/>
      <c r="K46" s="19" t="n">
        <v>50.17</v>
      </c>
      <c r="L46" s="19" t="n"/>
      <c r="M46" s="19" t="n">
        <v>8.869999999999999</v>
      </c>
      <c r="N46" s="19" t="n">
        <v>59.88</v>
      </c>
      <c r="O46" s="19" t="n">
        <v>10.5</v>
      </c>
      <c r="P46" s="19" t="n">
        <v>30.23</v>
      </c>
      <c r="Q46" s="19" t="n"/>
      <c r="R46" s="19" t="n">
        <v>84.90000000000001</v>
      </c>
      <c r="S46" s="18" t="inlineStr">
        <is>
          <t>2023</t>
        </is>
      </c>
      <c r="T46" s="35">
        <f>IFERROR($E46/Nameplate!$E46,"")</f>
        <v/>
      </c>
    </row>
    <row r="47">
      <c r="A47" s="18" t="inlineStr">
        <is>
          <t>PHILLIPS_WESTLAKE</t>
        </is>
      </c>
      <c r="B47" s="18" t="inlineStr">
        <is>
          <t>Phillips 66 Co. Westlake</t>
        </is>
      </c>
      <c r="C47" s="18" t="n">
        <v>3</v>
      </c>
      <c r="D47" s="21">
        <f>SUMIFS(Data!$G$3:$G$125,Data!$A$3:$A$125,$A47)</f>
        <v/>
      </c>
      <c r="E47" s="19" t="n">
        <v>241.32</v>
      </c>
      <c r="F47" s="19" t="n">
        <v>101.89</v>
      </c>
      <c r="G47" s="19" t="n">
        <v>50.47</v>
      </c>
      <c r="H47" s="19" t="n"/>
      <c r="I47" s="19" t="n">
        <v>47.8</v>
      </c>
      <c r="J47" s="19" t="n"/>
      <c r="K47" s="19" t="n"/>
      <c r="L47" s="19" t="n"/>
      <c r="M47" s="19" t="n"/>
      <c r="N47" s="19" t="n">
        <v>37.5</v>
      </c>
      <c r="O47" s="19" t="n">
        <v>19.79</v>
      </c>
      <c r="P47" s="19" t="n">
        <v>9.91</v>
      </c>
      <c r="Q47" s="19" t="n"/>
      <c r="R47" s="19" t="n">
        <v>49.99</v>
      </c>
      <c r="S47" s="18" t="inlineStr">
        <is>
          <t>2023</t>
        </is>
      </c>
      <c r="T47" s="35">
        <f>IFERROR($E47/Nameplate!$E47,"")</f>
        <v/>
      </c>
    </row>
    <row r="48">
      <c r="A48" s="18" t="inlineStr">
        <is>
          <t>PHILLIPS_SWEENY</t>
        </is>
      </c>
      <c r="B48" s="18" t="inlineStr">
        <is>
          <t>Phillips 66 Co. Sweeny</t>
        </is>
      </c>
      <c r="C48" s="18" t="n">
        <v>3</v>
      </c>
      <c r="D48" s="21">
        <f>SUMIFS(Data!$G$3:$G$125,Data!$A$3:$A$125,$A48)</f>
        <v/>
      </c>
      <c r="E48" s="19" t="n">
        <v>270.25</v>
      </c>
      <c r="F48" s="19" t="n">
        <v>131.14</v>
      </c>
      <c r="G48" s="19" t="n">
        <v>110.83</v>
      </c>
      <c r="H48" s="19" t="n"/>
      <c r="I48" s="19" t="n">
        <v>70.14</v>
      </c>
      <c r="J48" s="19" t="n"/>
      <c r="K48" s="19" t="n"/>
      <c r="L48" s="19" t="n"/>
      <c r="M48" s="19" t="n"/>
      <c r="N48" s="19" t="n">
        <v>35</v>
      </c>
      <c r="O48" s="19" t="n">
        <v>10</v>
      </c>
      <c r="P48" s="19" t="n">
        <v>25.99</v>
      </c>
      <c r="Q48" s="19" t="n"/>
      <c r="R48" s="19" t="n">
        <v>71.8</v>
      </c>
      <c r="S48" s="18" t="inlineStr">
        <is>
          <t>2022</t>
        </is>
      </c>
      <c r="T48" s="35">
        <f>IFERROR($E48/Nameplate!$E48,"")</f>
        <v/>
      </c>
    </row>
    <row r="49">
      <c r="A49" s="18" t="inlineStr">
        <is>
          <t>VALERO_TEXAS_CITY</t>
        </is>
      </c>
      <c r="B49" s="18" t="inlineStr">
        <is>
          <t>Valero Texas City</t>
        </is>
      </c>
      <c r="C49" s="18" t="n">
        <v>3</v>
      </c>
      <c r="D49" s="21">
        <f>SUMIFS(Data!$G$3:$G$125,Data!$A$3:$A$125,$A49)</f>
        <v/>
      </c>
      <c r="E49" s="19" t="n">
        <v>209.26</v>
      </c>
      <c r="F49" s="19" t="n">
        <v>131.51</v>
      </c>
      <c r="G49" s="19" t="n">
        <v>85.5</v>
      </c>
      <c r="H49" s="19" t="n"/>
      <c r="I49" s="19" t="n">
        <v>53.29</v>
      </c>
      <c r="J49" s="19" t="n"/>
      <c r="K49" s="19" t="n"/>
      <c r="L49" s="19" t="n"/>
      <c r="M49" s="19" t="n"/>
      <c r="N49" s="19" t="n">
        <v>18</v>
      </c>
      <c r="O49" s="19" t="n">
        <v>6.5</v>
      </c>
      <c r="P49" s="19" t="n">
        <v>18.14</v>
      </c>
      <c r="Q49" s="19" t="n"/>
      <c r="R49" s="19" t="n">
        <v>36.72</v>
      </c>
      <c r="S49" s="18" t="inlineStr">
        <is>
          <t>2018</t>
        </is>
      </c>
      <c r="T49" s="35">
        <f>IFERROR($E49/Nameplate!$E49,"")</f>
        <v/>
      </c>
    </row>
    <row r="50">
      <c r="A50" s="18" t="inlineStr">
        <is>
          <t>SHELL_NORCO</t>
        </is>
      </c>
      <c r="B50" s="18" t="inlineStr">
        <is>
          <t>Shell Norco</t>
        </is>
      </c>
      <c r="C50" s="18" t="n">
        <v>3</v>
      </c>
      <c r="D50" s="21">
        <f>SUMIFS(Data!$G$3:$G$125,Data!$A$3:$A$125,$A50)</f>
        <v/>
      </c>
      <c r="E50" s="19" t="n">
        <v>239.28</v>
      </c>
      <c r="F50" s="19" t="n">
        <v>80.59</v>
      </c>
      <c r="G50" s="19" t="n">
        <v>107.11</v>
      </c>
      <c r="H50" s="19" t="n"/>
      <c r="I50" s="19" t="n">
        <v>27.04</v>
      </c>
      <c r="J50" s="19" t="n"/>
      <c r="K50" s="19" t="n">
        <v>42.44</v>
      </c>
      <c r="L50" s="19" t="n"/>
      <c r="M50" s="19" t="n"/>
      <c r="N50" s="19" t="n">
        <v>39.65</v>
      </c>
      <c r="O50" s="19" t="n"/>
      <c r="P50" s="19" t="n">
        <v>21.78</v>
      </c>
      <c r="Q50" s="19" t="n"/>
      <c r="R50" s="19" t="n">
        <v>41.91</v>
      </c>
      <c r="S50" s="18" t="inlineStr">
        <is>
          <t>2018</t>
        </is>
      </c>
      <c r="T50" s="35">
        <f>IFERROR($E50/Nameplate!$E50,"")</f>
        <v/>
      </c>
    </row>
    <row r="51">
      <c r="A51" s="18" t="inlineStr">
        <is>
          <t>TOTAL_PORT_ARTHUR</t>
        </is>
      </c>
      <c r="B51" s="18" t="inlineStr">
        <is>
          <t>Total Port Arthur</t>
        </is>
      </c>
      <c r="C51" s="18" t="n">
        <v>3</v>
      </c>
      <c r="D51" s="21">
        <f>SUMIFS(Data!$G$3:$G$125,Data!$A$3:$A$125,$A51)</f>
        <v/>
      </c>
      <c r="E51" s="19" t="n">
        <v>232.55</v>
      </c>
      <c r="F51" s="19" t="n">
        <v>104.64</v>
      </c>
      <c r="G51" s="19" t="n">
        <v>79.81</v>
      </c>
      <c r="H51" s="19" t="n"/>
      <c r="I51" s="19" t="n">
        <v>38.07</v>
      </c>
      <c r="J51" s="19" t="n"/>
      <c r="K51" s="19" t="n"/>
      <c r="L51" s="19" t="n"/>
      <c r="M51" s="19" t="n"/>
      <c r="N51" s="19" t="n">
        <v>40.43</v>
      </c>
      <c r="O51" s="19" t="n">
        <v>8</v>
      </c>
      <c r="P51" s="19" t="n">
        <v>9.02</v>
      </c>
      <c r="Q51" s="19" t="n"/>
      <c r="R51" s="19" t="n">
        <v>48.47</v>
      </c>
      <c r="S51" s="18" t="inlineStr">
        <is>
          <t>2018</t>
        </is>
      </c>
      <c r="T51" s="35">
        <f>IFERROR($E51/Nameplate!$E51,"")</f>
        <v/>
      </c>
    </row>
    <row r="52">
      <c r="A52" s="18" t="inlineStr">
        <is>
          <t>VALERO_SAINT_CHARLES</t>
        </is>
      </c>
      <c r="B52" s="18" t="inlineStr">
        <is>
          <t>Valero Saint Charles</t>
        </is>
      </c>
      <c r="C52" s="18" t="n">
        <v>3</v>
      </c>
      <c r="D52" s="21">
        <f>SUMIFS(Data!$G$3:$G$125,Data!$A$3:$A$125,$A52)</f>
        <v/>
      </c>
      <c r="E52" s="19" t="n">
        <v>197.41</v>
      </c>
      <c r="F52" s="19" t="n">
        <v>156.52</v>
      </c>
      <c r="G52" s="19" t="n">
        <v>99.38</v>
      </c>
      <c r="H52" s="19" t="n"/>
      <c r="I52" s="19" t="n">
        <v>71.67</v>
      </c>
      <c r="J52" s="19" t="n"/>
      <c r="K52" s="19" t="n">
        <v>78.98999999999999</v>
      </c>
      <c r="L52" s="19" t="n"/>
      <c r="M52" s="19" t="n"/>
      <c r="N52" s="19" t="n">
        <v>27</v>
      </c>
      <c r="O52" s="19" t="n"/>
      <c r="P52" s="19" t="n">
        <v>24.81</v>
      </c>
      <c r="Q52" s="19" t="n"/>
      <c r="R52" s="19" t="n">
        <v>46.64</v>
      </c>
      <c r="S52" s="18" t="inlineStr">
        <is>
          <t>2018</t>
        </is>
      </c>
      <c r="T52" s="35">
        <f>IFERROR($E52/Nameplate!$E52,"")</f>
        <v/>
      </c>
    </row>
    <row r="53">
      <c r="A53" s="18" t="inlineStr">
        <is>
          <t>VALERO_HOUSTON</t>
        </is>
      </c>
      <c r="B53" s="18" t="inlineStr">
        <is>
          <t>Valero Houston</t>
        </is>
      </c>
      <c r="C53" s="18" t="n">
        <v>3</v>
      </c>
      <c r="D53" s="21">
        <f>SUMIFS(Data!$G$3:$G$125,Data!$A$3:$A$125,$A53)</f>
        <v/>
      </c>
      <c r="E53" s="19" t="n">
        <v>210</v>
      </c>
      <c r="F53" s="19" t="n">
        <v>69.88</v>
      </c>
      <c r="G53" s="19" t="n">
        <v>57.57</v>
      </c>
      <c r="H53" s="19" t="n"/>
      <c r="I53" s="19" t="n"/>
      <c r="J53" s="19" t="n"/>
      <c r="K53" s="19" t="n">
        <v>31.03</v>
      </c>
      <c r="L53" s="19" t="n"/>
      <c r="M53" s="19" t="n"/>
      <c r="N53" s="19" t="n"/>
      <c r="O53" s="19" t="n"/>
      <c r="P53" s="19" t="n">
        <v>34.93</v>
      </c>
      <c r="Q53" s="19" t="n"/>
      <c r="R53" s="19" t="n">
        <v>9</v>
      </c>
      <c r="S53" s="18" t="inlineStr">
        <is>
          <t>2024</t>
        </is>
      </c>
      <c r="T53" s="35">
        <f>IFERROR($E53/Nameplate!$E53,"")</f>
        <v/>
      </c>
    </row>
    <row r="54">
      <c r="A54" s="18" t="inlineStr">
        <is>
          <t>VALERO_SUNRAY</t>
        </is>
      </c>
      <c r="B54" s="18" t="inlineStr">
        <is>
          <t>Valero Sunray</t>
        </is>
      </c>
      <c r="C54" s="18" t="n">
        <v>3</v>
      </c>
      <c r="D54" s="21">
        <f>SUMIFS(Data!$G$3:$G$125,Data!$A$3:$A$125,$A54)</f>
        <v/>
      </c>
      <c r="E54" s="19" t="n">
        <v>189.28</v>
      </c>
      <c r="F54" s="19" t="n">
        <v>53.45</v>
      </c>
      <c r="G54" s="19" t="n">
        <v>55.92</v>
      </c>
      <c r="H54" s="19" t="n"/>
      <c r="I54" s="19" t="n"/>
      <c r="J54" s="19" t="n"/>
      <c r="K54" s="19" t="n">
        <v>20</v>
      </c>
      <c r="L54" s="19" t="n"/>
      <c r="M54" s="19" t="n">
        <v>21.49</v>
      </c>
      <c r="N54" s="19" t="n">
        <v>28.46</v>
      </c>
      <c r="O54" s="19" t="n"/>
      <c r="P54" s="19" t="n">
        <v>11.79</v>
      </c>
      <c r="Q54" s="19" t="n"/>
      <c r="R54" s="19" t="n">
        <v>57.33</v>
      </c>
      <c r="S54" s="18" t="inlineStr">
        <is>
          <t>2018</t>
        </is>
      </c>
      <c r="T54" s="35">
        <f>IFERROR($E54/Nameplate!$E54,"")</f>
        <v/>
      </c>
    </row>
    <row r="55">
      <c r="A55" s="18" t="inlineStr">
        <is>
          <t>PBF_CHALMETTE</t>
        </is>
      </c>
      <c r="B55" s="18" t="inlineStr">
        <is>
          <t>PBF Energy Company LLC Chalmette</t>
        </is>
      </c>
      <c r="C55" s="18" t="n">
        <v>3</v>
      </c>
      <c r="D55" s="21">
        <f>SUMIFS(Data!$G$3:$G$125,Data!$A$3:$A$125,$A55)</f>
        <v/>
      </c>
      <c r="E55" s="19" t="n">
        <v>185.67</v>
      </c>
      <c r="F55" s="19" t="n">
        <v>84.83</v>
      </c>
      <c r="G55" s="19" t="n">
        <v>75.59999999999999</v>
      </c>
      <c r="H55" s="19" t="n"/>
      <c r="I55" s="19" t="n">
        <v>35.96</v>
      </c>
      <c r="J55" s="19" t="n"/>
      <c r="K55" s="19" t="n"/>
      <c r="L55" s="19" t="n"/>
      <c r="M55" s="19" t="n">
        <v>9.390000000000001</v>
      </c>
      <c r="N55" s="19" t="n">
        <v>21</v>
      </c>
      <c r="O55" s="19" t="n">
        <v>8.199999999999999</v>
      </c>
      <c r="P55" s="19" t="n">
        <v>16.08</v>
      </c>
      <c r="Q55" s="19" t="n"/>
      <c r="R55" s="19" t="n">
        <v>36.12</v>
      </c>
      <c r="S55" s="18" t="inlineStr">
        <is>
          <t>2019</t>
        </is>
      </c>
      <c r="T55" s="35">
        <f>IFERROR($E55/Nameplate!$E55,"")</f>
        <v/>
      </c>
    </row>
    <row r="56">
      <c r="A56" s="18" t="inlineStr">
        <is>
          <t>CITGO_CORPUS_CHRISTI</t>
        </is>
      </c>
      <c r="B56" s="18" t="inlineStr">
        <is>
          <t>Citgo Corpus Christi</t>
        </is>
      </c>
      <c r="C56" s="18" t="n">
        <v>3</v>
      </c>
      <c r="D56" s="21">
        <f>SUMIFS(Data!$G$3:$G$125,Data!$A$3:$A$125,$A56)</f>
        <v/>
      </c>
      <c r="E56" s="19" t="n">
        <v>158.96</v>
      </c>
      <c r="F56" s="19" t="n">
        <v>83.69</v>
      </c>
      <c r="G56" s="19" t="n">
        <v>68.15000000000001</v>
      </c>
      <c r="H56" s="19" t="n"/>
      <c r="I56" s="19" t="n">
        <v>40.15</v>
      </c>
      <c r="J56" s="19" t="n"/>
      <c r="K56" s="19" t="n"/>
      <c r="L56" s="19" t="n"/>
      <c r="M56" s="19" t="n"/>
      <c r="N56" s="19" t="n">
        <v>39.12</v>
      </c>
      <c r="O56" s="19" t="n"/>
      <c r="P56" s="19" t="n">
        <v>30.05</v>
      </c>
      <c r="Q56" s="19" t="n"/>
      <c r="R56" s="19" t="n">
        <v>49.83</v>
      </c>
      <c r="S56" s="18" t="inlineStr">
        <is>
          <t>2022</t>
        </is>
      </c>
      <c r="T56" s="35">
        <f>IFERROR($E56/Nameplate!$E56,"")</f>
        <v/>
      </c>
    </row>
    <row r="57">
      <c r="A57" s="18" t="inlineStr">
        <is>
          <t>WRB_BORGER</t>
        </is>
      </c>
      <c r="B57" s="18" t="inlineStr">
        <is>
          <t>WRB Refining Borger</t>
        </is>
      </c>
      <c r="C57" s="18" t="n">
        <v>3</v>
      </c>
      <c r="D57" s="21">
        <f>SUMIFS(Data!$G$3:$G$125,Data!$A$3:$A$125,$A57)</f>
        <v/>
      </c>
      <c r="E57" s="19" t="n">
        <v>147.84</v>
      </c>
      <c r="F57" s="19" t="n">
        <v>55.28</v>
      </c>
      <c r="G57" s="19" t="n">
        <v>51.95</v>
      </c>
      <c r="H57" s="19" t="n"/>
      <c r="I57" s="19" t="n">
        <v>25.65</v>
      </c>
      <c r="J57" s="19" t="n"/>
      <c r="K57" s="19" t="n"/>
      <c r="L57" s="19" t="n"/>
      <c r="M57" s="19" t="n">
        <v>30</v>
      </c>
      <c r="N57" s="19" t="n"/>
      <c r="O57" s="19" t="n">
        <v>16.11</v>
      </c>
      <c r="P57" s="19" t="n">
        <v>12.13</v>
      </c>
      <c r="Q57" s="19" t="n"/>
      <c r="R57" s="19" t="n">
        <v>34.92</v>
      </c>
      <c r="S57" s="18" t="inlineStr">
        <is>
          <t>2017</t>
        </is>
      </c>
      <c r="T57" s="35">
        <f>IFERROR($E57/Nameplate!$E57,"")</f>
        <v/>
      </c>
    </row>
    <row r="58">
      <c r="A58" s="18" t="inlineStr">
        <is>
          <t>MARATHON_EL_PASO</t>
        </is>
      </c>
      <c r="B58" s="18" t="inlineStr">
        <is>
          <t>Marathon Petroleum El Paso</t>
        </is>
      </c>
      <c r="C58" s="18" t="n">
        <v>3</v>
      </c>
      <c r="D58" s="21">
        <f>SUMIFS(Data!$G$3:$G$125,Data!$A$3:$A$125,$A58)</f>
        <v/>
      </c>
      <c r="E58" s="19" t="n">
        <v>132.13</v>
      </c>
      <c r="F58" s="19" t="n">
        <v>37.95</v>
      </c>
      <c r="G58" s="19" t="n">
        <v>34.73</v>
      </c>
      <c r="H58" s="19" t="n"/>
      <c r="I58" s="19" t="n"/>
      <c r="J58" s="19" t="n"/>
      <c r="K58" s="19" t="n"/>
      <c r="L58" s="19" t="n"/>
      <c r="M58" s="19" t="n"/>
      <c r="N58" s="19" t="n">
        <v>27.06</v>
      </c>
      <c r="O58" s="19" t="n"/>
      <c r="P58" s="19" t="n">
        <v>15.42</v>
      </c>
      <c r="Q58" s="19" t="n"/>
      <c r="R58" s="19" t="n">
        <v>37.03</v>
      </c>
      <c r="S58" s="18" t="inlineStr">
        <is>
          <t>2019</t>
        </is>
      </c>
      <c r="T58" s="35">
        <f>IFERROR($E58/Nameplate!$E58,"")</f>
        <v/>
      </c>
    </row>
    <row r="59">
      <c r="A59" s="18" t="inlineStr">
        <is>
          <t>CHEVRON_PASADENA</t>
        </is>
      </c>
      <c r="B59" s="18" t="inlineStr">
        <is>
          <t>Chevron Pasadena</t>
        </is>
      </c>
      <c r="C59" s="18" t="n">
        <v>3</v>
      </c>
      <c r="D59" s="21">
        <f>SUMIFS(Data!$G$3:$G$125,Data!$A$3:$A$125,$A59)</f>
        <v/>
      </c>
      <c r="E59" s="19" t="n">
        <v>106.26</v>
      </c>
      <c r="F59" s="19" t="n">
        <v>27.81</v>
      </c>
      <c r="G59" s="19" t="n">
        <v>49.35</v>
      </c>
      <c r="H59" s="19" t="n"/>
      <c r="I59" s="19" t="n"/>
      <c r="J59" s="19" t="n"/>
      <c r="K59" s="19" t="n"/>
      <c r="L59" s="19" t="n"/>
      <c r="M59" s="19" t="n"/>
      <c r="N59" s="19" t="n">
        <v>22.24</v>
      </c>
      <c r="O59" s="19" t="n"/>
      <c r="P59" s="19" t="n">
        <v>10</v>
      </c>
      <c r="Q59" s="19" t="n"/>
      <c r="R59" s="19" t="n">
        <v>26.69</v>
      </c>
      <c r="S59" s="18" t="inlineStr">
        <is>
          <t>2017</t>
        </is>
      </c>
      <c r="T59" s="35">
        <f>IFERROR($E59/Nameplate!$E59,"")</f>
        <v/>
      </c>
    </row>
    <row r="60">
      <c r="A60" s="18" t="inlineStr">
        <is>
          <t>VALERO_MERAUX</t>
        </is>
      </c>
      <c r="B60" s="18" t="inlineStr">
        <is>
          <t>Valero Meraux</t>
        </is>
      </c>
      <c r="C60" s="18" t="n">
        <v>3</v>
      </c>
      <c r="D60" s="21">
        <f>SUMIFS(Data!$G$3:$G$125,Data!$A$3:$A$125,$A60)</f>
        <v/>
      </c>
      <c r="E60" s="19" t="n">
        <v>126.23</v>
      </c>
      <c r="F60" s="19" t="n">
        <v>51</v>
      </c>
      <c r="G60" s="19" t="n"/>
      <c r="H60" s="19" t="n"/>
      <c r="I60" s="19" t="n"/>
      <c r="J60" s="19" t="n"/>
      <c r="K60" s="19" t="n">
        <v>48.3</v>
      </c>
      <c r="L60" s="19" t="n"/>
      <c r="M60" s="19" t="n"/>
      <c r="N60" s="19" t="n">
        <v>31.92</v>
      </c>
      <c r="O60" s="19" t="n"/>
      <c r="P60" s="19" t="n"/>
      <c r="Q60" s="19" t="n"/>
      <c r="R60" s="19" t="n">
        <v>39.94</v>
      </c>
      <c r="S60" s="18" t="inlineStr">
        <is>
          <t>2018</t>
        </is>
      </c>
      <c r="T60" s="35">
        <f>IFERROR($E60/Nameplate!$E60,"")</f>
        <v/>
      </c>
    </row>
    <row r="61">
      <c r="A61" s="18" t="inlineStr">
        <is>
          <t>KINDER_HOUSTON</t>
        </is>
      </c>
      <c r="B61" s="18" t="inlineStr">
        <is>
          <t>Kinder Morgan Houston</t>
        </is>
      </c>
      <c r="C61" s="18" t="n">
        <v>3</v>
      </c>
      <c r="D61" s="21">
        <f>SUMIFS(Data!$G$3:$G$125,Data!$A$3:$A$125,$A61)</f>
        <v/>
      </c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8" t="n"/>
      <c r="T61" s="35">
        <f>IFERROR($E61/Nameplate!$E61,"")</f>
        <v/>
      </c>
    </row>
    <row r="62">
      <c r="A62" s="18" t="inlineStr">
        <is>
          <t>CALCASIEU_LAKE_CHARLES</t>
        </is>
      </c>
      <c r="B62" s="18" t="inlineStr">
        <is>
          <t>Calcasieu Refining Co. Lake Charles</t>
        </is>
      </c>
      <c r="C62" s="18" t="n">
        <v>3</v>
      </c>
      <c r="D62" s="21">
        <f>SUMIFS(Data!$G$3:$G$125,Data!$A$3:$A$125,$A62)</f>
        <v/>
      </c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8" t="n"/>
      <c r="T62" s="35">
        <f>IFERROR($E62/Nameplate!$E62,"")</f>
        <v/>
      </c>
    </row>
    <row r="63">
      <c r="A63" s="18" t="inlineStr">
        <is>
          <t>HF_ARTESIA</t>
        </is>
      </c>
      <c r="B63" s="18" t="inlineStr">
        <is>
          <t>HF Sinclair Artesia</t>
        </is>
      </c>
      <c r="C63" s="18" t="n">
        <v>3</v>
      </c>
      <c r="D63" s="21">
        <f>SUMIFS(Data!$G$3:$G$125,Data!$A$3:$A$125,$A63)</f>
        <v/>
      </c>
      <c r="E63" s="19" t="n">
        <v>109.44</v>
      </c>
      <c r="F63" s="19" t="n">
        <v>31.59</v>
      </c>
      <c r="G63" s="19" t="n">
        <v>30.99</v>
      </c>
      <c r="H63" s="19" t="n"/>
      <c r="I63" s="19" t="n"/>
      <c r="J63" s="19" t="n"/>
      <c r="K63" s="19" t="n">
        <v>17.47</v>
      </c>
      <c r="L63" s="19" t="n"/>
      <c r="M63" s="19" t="n"/>
      <c r="N63" s="19" t="n">
        <v>23.5</v>
      </c>
      <c r="O63" s="19" t="n">
        <v>9.4</v>
      </c>
      <c r="P63" s="19" t="n">
        <v>8.1</v>
      </c>
      <c r="Q63" s="19" t="n"/>
      <c r="R63" s="19" t="n">
        <v>37.03</v>
      </c>
      <c r="S63" s="18" t="inlineStr">
        <is>
          <t>2018</t>
        </is>
      </c>
      <c r="T63" s="35">
        <f>IFERROR($E63/Nameplate!$E63,"")</f>
        <v/>
      </c>
    </row>
    <row r="64">
      <c r="A64" s="18" t="inlineStr">
        <is>
          <t>VALERO_THREE_RIVERS</t>
        </is>
      </c>
      <c r="B64" s="18" t="inlineStr">
        <is>
          <t>Valero Three Rivers</t>
        </is>
      </c>
      <c r="C64" s="18" t="n">
        <v>3</v>
      </c>
      <c r="D64" s="21">
        <f>SUMIFS(Data!$G$3:$G$125,Data!$A$3:$A$125,$A64)</f>
        <v/>
      </c>
      <c r="E64" s="19" t="n">
        <v>86.8</v>
      </c>
      <c r="F64" s="19" t="n">
        <v>34.82</v>
      </c>
      <c r="G64" s="19" t="n">
        <v>23.37</v>
      </c>
      <c r="H64" s="19" t="n"/>
      <c r="I64" s="19" t="n"/>
      <c r="J64" s="19" t="n"/>
      <c r="K64" s="19" t="n">
        <v>14.99</v>
      </c>
      <c r="L64" s="19" t="n"/>
      <c r="M64" s="19" t="n">
        <v>10.5</v>
      </c>
      <c r="N64" s="19" t="n">
        <v>22.75</v>
      </c>
      <c r="O64" s="19" t="n"/>
      <c r="P64" s="19" t="n">
        <v>8.640000000000001</v>
      </c>
      <c r="Q64" s="19" t="n"/>
      <c r="R64" s="19" t="n">
        <v>38.03</v>
      </c>
      <c r="S64" s="18" t="inlineStr">
        <is>
          <t>2024</t>
        </is>
      </c>
      <c r="T64" s="35">
        <f>IFERROR($E64/Nameplate!$E64,"")</f>
        <v/>
      </c>
    </row>
    <row r="65">
      <c r="A65" s="18" t="inlineStr">
        <is>
          <t>VERTEX_MOBILE</t>
        </is>
      </c>
      <c r="B65" s="18" t="inlineStr">
        <is>
          <t>Vertex Energy Inc. Mobile</t>
        </is>
      </c>
      <c r="C65" s="18" t="n">
        <v>3</v>
      </c>
      <c r="D65" s="21">
        <f>SUMIFS(Data!$G$3:$G$125,Data!$A$3:$A$125,$A65)</f>
        <v/>
      </c>
      <c r="E65" s="19" t="n">
        <v>90.72</v>
      </c>
      <c r="F65" s="19" t="n">
        <v>28.8</v>
      </c>
      <c r="G65" s="19" t="n"/>
      <c r="H65" s="19" t="n"/>
      <c r="I65" s="19" t="n"/>
      <c r="J65" s="19" t="n"/>
      <c r="K65" s="19" t="n"/>
      <c r="L65" s="19" t="n"/>
      <c r="M65" s="19" t="n">
        <v>20.8</v>
      </c>
      <c r="N65" s="19" t="n"/>
      <c r="O65" s="19" t="n">
        <v>1.9</v>
      </c>
      <c r="P65" s="19" t="n"/>
      <c r="Q65" s="19" t="n"/>
      <c r="R65" s="19" t="n">
        <v>20.83</v>
      </c>
      <c r="S65" s="18" t="inlineStr">
        <is>
          <t>2017</t>
        </is>
      </c>
      <c r="T65" s="35">
        <f>IFERROR($E65/Nameplate!$E65,"")</f>
        <v/>
      </c>
    </row>
    <row r="66">
      <c r="A66" s="18" t="inlineStr">
        <is>
          <t>DELEK_EL_DORADO_AR</t>
        </is>
      </c>
      <c r="B66" s="18" t="inlineStr">
        <is>
          <t>Delek Group El Dorado (AR)</t>
        </is>
      </c>
      <c r="C66" s="18" t="n">
        <v>3</v>
      </c>
      <c r="D66" s="21">
        <f>SUMIFS(Data!$G$3:$G$125,Data!$A$3:$A$125,$A66)</f>
        <v/>
      </c>
      <c r="E66" s="19" t="n">
        <v>77.98999999999999</v>
      </c>
      <c r="F66" s="19" t="n">
        <v>25.69</v>
      </c>
      <c r="G66" s="19" t="n">
        <v>18.37</v>
      </c>
      <c r="H66" s="19" t="n"/>
      <c r="I66" s="19" t="n"/>
      <c r="J66" s="19" t="n"/>
      <c r="K66" s="19" t="n"/>
      <c r="L66" s="19" t="n"/>
      <c r="M66" s="19" t="n"/>
      <c r="N66" s="19" t="n">
        <v>15</v>
      </c>
      <c r="O66" s="19" t="n">
        <v>7.31</v>
      </c>
      <c r="P66" s="19" t="n">
        <v>2.6</v>
      </c>
      <c r="Q66" s="19" t="n"/>
      <c r="R66" s="19" t="n">
        <v>19.46</v>
      </c>
      <c r="S66" s="18" t="inlineStr">
        <is>
          <t>2024</t>
        </is>
      </c>
      <c r="T66" s="35">
        <f>IFERROR($E66/Nameplate!$E66,"")</f>
        <v/>
      </c>
    </row>
    <row r="67">
      <c r="A67" s="18" t="inlineStr">
        <is>
          <t>BASF_PORT_ARTHUR</t>
        </is>
      </c>
      <c r="B67" s="18" t="inlineStr">
        <is>
          <t>BASF FINA Petrochemicals Port Arthur</t>
        </is>
      </c>
      <c r="C67" s="18" t="n">
        <v>3</v>
      </c>
      <c r="D67" s="21">
        <f>SUMIFS(Data!$G$3:$G$125,Data!$A$3:$A$125,$A67)</f>
        <v/>
      </c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8" t="n"/>
      <c r="T67" s="35">
        <f>IFERROR($E67/Nameplate!$E67,"")</f>
        <v/>
      </c>
    </row>
    <row r="68">
      <c r="A68" s="18" t="inlineStr">
        <is>
          <t>DELEK_TYLER</t>
        </is>
      </c>
      <c r="B68" s="18" t="inlineStr">
        <is>
          <t>Delek Refining Ltd. Tyler</t>
        </is>
      </c>
      <c r="C68" s="18" t="n">
        <v>3</v>
      </c>
      <c r="D68" s="21">
        <f>SUMIFS(Data!$G$3:$G$125,Data!$A$3:$A$125,$A68)</f>
        <v/>
      </c>
      <c r="E68" s="19" t="n">
        <v>72.72</v>
      </c>
      <c r="F68" s="19" t="n">
        <v>21</v>
      </c>
      <c r="G68" s="19" t="n">
        <v>20.25</v>
      </c>
      <c r="H68" s="19" t="n"/>
      <c r="I68" s="19" t="n">
        <v>8.1</v>
      </c>
      <c r="J68" s="19" t="n"/>
      <c r="K68" s="19" t="n"/>
      <c r="L68" s="19" t="n"/>
      <c r="M68" s="19" t="n">
        <v>4.17</v>
      </c>
      <c r="N68" s="19" t="n">
        <v>15.77</v>
      </c>
      <c r="O68" s="19" t="n">
        <v>3</v>
      </c>
      <c r="P68" s="19" t="n">
        <v>4.95</v>
      </c>
      <c r="Q68" s="19" t="n"/>
      <c r="R68" s="19" t="n">
        <v>25.45</v>
      </c>
      <c r="S68" s="18" t="inlineStr">
        <is>
          <t>2022</t>
        </is>
      </c>
      <c r="T68" s="35">
        <f>IFERROR($E68/Nameplate!$E68,"")</f>
        <v/>
      </c>
    </row>
    <row r="69">
      <c r="A69" s="18" t="inlineStr">
        <is>
          <t>PLACID_PORT_ALLEN</t>
        </is>
      </c>
      <c r="B69" s="18" t="inlineStr">
        <is>
          <t>Placid Refining Port Allen</t>
        </is>
      </c>
      <c r="C69" s="18" t="n">
        <v>3</v>
      </c>
      <c r="D69" s="21">
        <f>SUMIFS(Data!$G$3:$G$125,Data!$A$3:$A$125,$A69)</f>
        <v/>
      </c>
      <c r="E69" s="19" t="n">
        <v>78.48</v>
      </c>
      <c r="F69" s="19" t="n">
        <v>26.41</v>
      </c>
      <c r="G69" s="19" t="n">
        <v>24.69</v>
      </c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>
        <v>7.45</v>
      </c>
      <c r="Q69" s="19" t="n"/>
      <c r="R69" s="19" t="n">
        <v>10.7</v>
      </c>
      <c r="S69" s="18" t="inlineStr">
        <is>
          <t>2018</t>
        </is>
      </c>
      <c r="T69" s="35">
        <f>IFERROR($E69/Nameplate!$E69,"")</f>
        <v/>
      </c>
    </row>
    <row r="70">
      <c r="A70" s="18" t="inlineStr">
        <is>
          <t>DELEK_KROTZ_SPRINGS</t>
        </is>
      </c>
      <c r="B70" s="18" t="inlineStr">
        <is>
          <t>Delek Group Krotz Springs</t>
        </is>
      </c>
      <c r="C70" s="18" t="n">
        <v>3</v>
      </c>
      <c r="D70" s="21">
        <f>SUMIFS(Data!$G$3:$G$125,Data!$A$3:$A$125,$A70)</f>
        <v/>
      </c>
      <c r="E70" s="19" t="n">
        <v>77.36</v>
      </c>
      <c r="F70" s="19" t="n">
        <v>21.36</v>
      </c>
      <c r="G70" s="19" t="n"/>
      <c r="H70" s="19" t="n">
        <v>26.86</v>
      </c>
      <c r="I70" s="19" t="n"/>
      <c r="J70" s="19" t="n"/>
      <c r="K70" s="19" t="n"/>
      <c r="L70" s="19" t="n"/>
      <c r="M70" s="19" t="n">
        <v>12.38</v>
      </c>
      <c r="N70" s="19" t="n"/>
      <c r="O70" s="19" t="n">
        <v>7.11</v>
      </c>
      <c r="P70" s="19" t="n">
        <v>7.06</v>
      </c>
      <c r="Q70" s="19" t="n"/>
      <c r="R70" s="19" t="n">
        <v>17.18</v>
      </c>
      <c r="S70" s="18" t="inlineStr">
        <is>
          <t>2023</t>
        </is>
      </c>
      <c r="T70" s="35">
        <f>IFERROR($E70/Nameplate!$E70,"")</f>
        <v/>
      </c>
    </row>
    <row r="71">
      <c r="A71" s="18" t="inlineStr">
        <is>
          <t>ALON_BIG_SPRINGS</t>
        </is>
      </c>
      <c r="B71" s="18" t="inlineStr">
        <is>
          <t>Alon Big Springs</t>
        </is>
      </c>
      <c r="C71" s="18" t="n">
        <v>3</v>
      </c>
      <c r="D71" s="21">
        <f>SUMIFS(Data!$G$3:$G$125,Data!$A$3:$A$125,$A71)</f>
        <v/>
      </c>
      <c r="E71" s="19" t="n">
        <v>71.97</v>
      </c>
      <c r="F71" s="19" t="n">
        <v>21.73</v>
      </c>
      <c r="G71" s="19" t="n">
        <v>22.77</v>
      </c>
      <c r="H71" s="19" t="n"/>
      <c r="I71" s="19" t="n"/>
      <c r="J71" s="19" t="n"/>
      <c r="K71" s="19" t="n"/>
      <c r="L71" s="19" t="n"/>
      <c r="M71" s="19" t="n"/>
      <c r="N71" s="19" t="n">
        <v>21</v>
      </c>
      <c r="O71" s="19" t="n"/>
      <c r="P71" s="19" t="n">
        <v>5.92</v>
      </c>
      <c r="Q71" s="19" t="n"/>
      <c r="R71" s="19" t="n">
        <v>25.14</v>
      </c>
      <c r="S71" s="18" t="inlineStr">
        <is>
          <t>2019</t>
        </is>
      </c>
      <c r="T71" s="35">
        <f>IFERROR($E71/Nameplate!$E71,"")</f>
        <v/>
      </c>
    </row>
    <row r="72">
      <c r="A72" s="18" t="inlineStr">
        <is>
          <t>BUCKEYE_CORPUS_CHRISTI</t>
        </is>
      </c>
      <c r="B72" s="18" t="inlineStr">
        <is>
          <t>Buckeye Partners Corpus Christi</t>
        </is>
      </c>
      <c r="C72" s="18" t="n">
        <v>3</v>
      </c>
      <c r="D72" s="21">
        <f>SUMIFS(Data!$G$3:$G$125,Data!$A$3:$A$125,$A72)</f>
        <v/>
      </c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8" t="n"/>
      <c r="T72" s="35">
        <f>IFERROR($E72/Nameplate!$E72,"")</f>
        <v/>
      </c>
    </row>
    <row r="73">
      <c r="A73" s="18" t="inlineStr">
        <is>
          <t>CALUMET_SHREVEPORT</t>
        </is>
      </c>
      <c r="B73" s="18" t="inlineStr">
        <is>
          <t>Calumet Lubricants Co. Shreveport</t>
        </is>
      </c>
      <c r="C73" s="18" t="n">
        <v>3</v>
      </c>
      <c r="D73" s="21">
        <f>SUMIFS(Data!$G$3:$G$125,Data!$A$3:$A$125,$A73)</f>
        <v/>
      </c>
      <c r="E73" s="19" t="n">
        <v>48.65</v>
      </c>
      <c r="F73" s="19" t="n">
        <v>15.75</v>
      </c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>
        <v>18.29</v>
      </c>
      <c r="S73" s="18" t="inlineStr">
        <is>
          <t>2017</t>
        </is>
      </c>
      <c r="T73" s="35">
        <f>IFERROR($E73/Nameplate!$E73,"")</f>
        <v/>
      </c>
    </row>
    <row r="74">
      <c r="A74" s="18" t="inlineStr">
        <is>
          <t>MARATHON_TEXAS_CITY_GALVESTON_BAY</t>
        </is>
      </c>
      <c r="B74" s="18" t="inlineStr">
        <is>
          <t>Marathon Petroleum Texas City (Galveston Bay)</t>
        </is>
      </c>
      <c r="C74" s="18" t="n">
        <v>3</v>
      </c>
      <c r="D74" s="21">
        <f>SUMIFS(Data!$G$3:$G$125,Data!$A$3:$A$125,$A74)</f>
        <v/>
      </c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8" t="n"/>
      <c r="T74" s="35">
        <f>IFERROR($E74/Nameplate!$E74,"")</f>
        <v/>
      </c>
    </row>
    <row r="75">
      <c r="A75" s="18" t="inlineStr">
        <is>
          <t>HUNT_TUSCALOOSA</t>
        </is>
      </c>
      <c r="B75" s="18" t="inlineStr">
        <is>
          <t>Hunt Refining Consolidated Tuscaloosa</t>
        </is>
      </c>
      <c r="C75" s="18" t="n">
        <v>3</v>
      </c>
      <c r="D75" s="21">
        <f>SUMIFS(Data!$G$3:$G$125,Data!$A$3:$A$125,$A75)</f>
        <v/>
      </c>
      <c r="E75" s="19" t="n">
        <v>44.01</v>
      </c>
      <c r="F75" s="19" t="n">
        <v>24.75</v>
      </c>
      <c r="G75" s="19" t="n"/>
      <c r="H75" s="19" t="n"/>
      <c r="I75" s="19" t="n">
        <v>26.07</v>
      </c>
      <c r="J75" s="19" t="n"/>
      <c r="K75" s="19" t="n">
        <v>14.45</v>
      </c>
      <c r="L75" s="19" t="n"/>
      <c r="M75" s="19" t="n"/>
      <c r="N75" s="19" t="n">
        <v>7.32</v>
      </c>
      <c r="O75" s="19" t="n">
        <v>4.49</v>
      </c>
      <c r="P75" s="19" t="n"/>
      <c r="Q75" s="19" t="n"/>
      <c r="R75" s="19" t="n">
        <v>8.9</v>
      </c>
      <c r="S75" s="18" t="inlineStr">
        <is>
          <t>2019</t>
        </is>
      </c>
      <c r="T75" s="35">
        <f>IFERROR($E75/Nameplate!$E75,"")</f>
        <v/>
      </c>
    </row>
    <row r="76">
      <c r="A76" s="18" t="inlineStr">
        <is>
          <t>ERGON_VICKSBURG</t>
        </is>
      </c>
      <c r="B76" s="18" t="inlineStr">
        <is>
          <t>Ergon Vicksburg</t>
        </is>
      </c>
      <c r="C76" s="18" t="n">
        <v>3</v>
      </c>
      <c r="D76" s="21">
        <f>SUMIFS(Data!$G$3:$G$125,Data!$A$3:$A$125,$A76)</f>
        <v/>
      </c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8" t="n"/>
      <c r="T76" s="35">
        <f>IFERROR($E76/Nameplate!$E76,"")</f>
        <v/>
      </c>
    </row>
    <row r="77">
      <c r="A77" s="18" t="inlineStr">
        <is>
          <t>LAZARUS_SAN_ANTONIO</t>
        </is>
      </c>
      <c r="B77" s="18" t="inlineStr">
        <is>
          <t>Lazarus Energy San Antonio</t>
        </is>
      </c>
      <c r="C77" s="18" t="n">
        <v>3</v>
      </c>
      <c r="D77" s="21">
        <f>SUMIFS(Data!$G$3:$G$125,Data!$A$3:$A$125,$A77)</f>
        <v/>
      </c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8" t="n"/>
      <c r="T77" s="35">
        <f>IFERROR($E77/Nameplate!$E77,"")</f>
        <v/>
      </c>
    </row>
    <row r="78">
      <c r="A78" s="18" t="inlineStr">
        <is>
          <t>BLUE_NIXON</t>
        </is>
      </c>
      <c r="B78" s="18" t="inlineStr">
        <is>
          <t>Blue Dolphin Energy Nixon</t>
        </is>
      </c>
      <c r="C78" s="18" t="n">
        <v>3</v>
      </c>
      <c r="D78" s="21">
        <f>SUMIFS(Data!$G$3:$G$125,Data!$A$3:$A$125,$A78)</f>
        <v/>
      </c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8" t="n"/>
      <c r="T78" s="35">
        <f>IFERROR($E78/Nameplate!$E78,"")</f>
        <v/>
      </c>
    </row>
    <row r="79">
      <c r="A79" s="18" t="inlineStr">
        <is>
          <t>CALUMET_COTTON_VALLEY</t>
        </is>
      </c>
      <c r="B79" s="18" t="inlineStr">
        <is>
          <t>Calumet Lubricants Co. Cotton Valley</t>
        </is>
      </c>
      <c r="C79" s="18" t="n">
        <v>3</v>
      </c>
      <c r="D79" s="21">
        <f>SUMIFS(Data!$G$3:$G$125,Data!$A$3:$A$125,$A79)</f>
        <v/>
      </c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8" t="n"/>
      <c r="T79" s="35">
        <f>IFERROR($E79/Nameplate!$E79,"")</f>
        <v/>
      </c>
    </row>
    <row r="80">
      <c r="A80" s="18" t="inlineStr">
        <is>
          <t>HUNT_SANDERSVILLE</t>
        </is>
      </c>
      <c r="B80" s="18" t="inlineStr">
        <is>
          <t>Hunt Refining Consolidated Sandersville</t>
        </is>
      </c>
      <c r="C80" s="18" t="n">
        <v>3</v>
      </c>
      <c r="D80" s="21">
        <f>SUMIFS(Data!$G$3:$G$125,Data!$A$3:$A$125,$A80)</f>
        <v/>
      </c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8" t="n"/>
      <c r="T80" s="35">
        <f>IFERROR($E80/Nameplate!$E80,"")</f>
        <v/>
      </c>
    </row>
    <row r="81">
      <c r="A81" s="18" t="inlineStr">
        <is>
          <t>CALUMET_PRINCETON</t>
        </is>
      </c>
      <c r="B81" s="18" t="inlineStr">
        <is>
          <t>Calumet Lubricants Co. Princeton</t>
        </is>
      </c>
      <c r="C81" s="18" t="n">
        <v>3</v>
      </c>
      <c r="D81" s="21">
        <f>SUMIFS(Data!$G$3:$G$125,Data!$A$3:$A$125,$A81)</f>
        <v/>
      </c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8" t="n"/>
      <c r="T81" s="35">
        <f>IFERROR($E81/Nameplate!$E81,"")</f>
        <v/>
      </c>
    </row>
    <row r="82">
      <c r="A82" s="18" t="inlineStr">
        <is>
          <t>CROSS_SMACKOVER</t>
        </is>
      </c>
      <c r="B82" s="18" t="inlineStr">
        <is>
          <t>Cross Oil and Ref.Co. Smackover</t>
        </is>
      </c>
      <c r="C82" s="18" t="n">
        <v>3</v>
      </c>
      <c r="D82" s="21">
        <f>SUMIFS(Data!$G$3:$G$125,Data!$A$3:$A$125,$A82)</f>
        <v/>
      </c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8" t="n"/>
      <c r="T82" s="35">
        <f>IFERROR($E82/Nameplate!$E82,"")</f>
        <v/>
      </c>
    </row>
    <row r="83">
      <c r="A83" s="18" t="inlineStr">
        <is>
          <t>GOODWAY_ATMORE</t>
        </is>
      </c>
      <c r="B83" s="18" t="inlineStr">
        <is>
          <t>Goodway Refining Atmore</t>
        </is>
      </c>
      <c r="C83" s="18" t="n">
        <v>3</v>
      </c>
      <c r="D83" s="21">
        <f>SUMIFS(Data!$G$3:$G$125,Data!$A$3:$A$125,$A83)</f>
        <v/>
      </c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8" t="n"/>
      <c r="T83" s="35">
        <f>IFERROR($E83/Nameplate!$E83,"")</f>
        <v/>
      </c>
    </row>
    <row r="84">
      <c r="A84" s="18" t="inlineStr">
        <is>
          <t>LYONDELLBASELL_HOUSTON</t>
        </is>
      </c>
      <c r="B84" s="18" t="inlineStr">
        <is>
          <t>LyondellBasell Refining Houston</t>
        </is>
      </c>
      <c r="C84" s="18" t="n">
        <v>3</v>
      </c>
      <c r="D84" s="21">
        <f>SUMIFS(Data!$G$3:$G$125,Data!$A$3:$A$125,$A84)</f>
        <v/>
      </c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8" t="n"/>
      <c r="T84" s="35">
        <f>IFERROR($E84/Nameplate!$E84,"")</f>
        <v/>
      </c>
    </row>
    <row r="85">
      <c r="A85" s="18" t="inlineStr">
        <is>
          <t>SHELL_CONVENT</t>
        </is>
      </c>
      <c r="B85" s="18" t="inlineStr">
        <is>
          <t>Shell Convent</t>
        </is>
      </c>
      <c r="C85" s="18" t="n">
        <v>3</v>
      </c>
      <c r="D85" s="21">
        <f>SUMIFS(Data!$G$3:$G$125,Data!$A$3:$A$125,$A85)</f>
        <v/>
      </c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8" t="n"/>
      <c r="T85" s="35">
        <f>IFERROR($E85/Nameplate!$E85,"")</f>
        <v/>
      </c>
    </row>
    <row r="86">
      <c r="A86" s="18" t="inlineStr">
        <is>
          <t>SHELL_SAINT_ROSE</t>
        </is>
      </c>
      <c r="B86" s="18" t="inlineStr">
        <is>
          <t>Shell Oil Co. USA Saint Rose</t>
        </is>
      </c>
      <c r="C86" s="18" t="n">
        <v>3</v>
      </c>
      <c r="D86" s="21">
        <f>SUMIFS(Data!$G$3:$G$125,Data!$A$3:$A$125,$A86)</f>
        <v/>
      </c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8" t="n"/>
      <c r="T86" s="35">
        <f>IFERROR($E86/Nameplate!$E86,"")</f>
        <v/>
      </c>
    </row>
    <row r="87">
      <c r="A87" s="18" t="inlineStr">
        <is>
          <t>SUNCOR_DENVER</t>
        </is>
      </c>
      <c r="B87" s="18" t="inlineStr">
        <is>
          <t>Suncor Denver</t>
        </is>
      </c>
      <c r="C87" s="18" t="n">
        <v>4</v>
      </c>
      <c r="D87" s="21">
        <f>SUMIFS(Data!$G$3:$G$125,Data!$A$3:$A$125,$A87)</f>
        <v/>
      </c>
      <c r="E87" s="19" t="n">
        <v>105.8</v>
      </c>
      <c r="F87" s="19" t="n">
        <v>42.36</v>
      </c>
      <c r="G87" s="19" t="n">
        <v>29.86</v>
      </c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>
        <v>27.78</v>
      </c>
      <c r="S87" s="18" t="inlineStr">
        <is>
          <t>2017</t>
        </is>
      </c>
      <c r="T87" s="35">
        <f>IFERROR($E87/Nameplate!$E87,"")</f>
        <v/>
      </c>
    </row>
    <row r="88">
      <c r="A88" s="18" t="inlineStr">
        <is>
          <t>SINCLAIR_SINCLAIR</t>
        </is>
      </c>
      <c r="B88" s="18" t="inlineStr">
        <is>
          <t>Sinclair Sinclair</t>
        </is>
      </c>
      <c r="C88" s="18" t="n">
        <v>4</v>
      </c>
      <c r="D88" s="21">
        <f>SUMIFS(Data!$G$3:$G$125,Data!$A$3:$A$125,$A88)</f>
        <v/>
      </c>
      <c r="E88" s="19" t="n">
        <v>87.40000000000001</v>
      </c>
      <c r="F88" s="19" t="n">
        <v>35.24</v>
      </c>
      <c r="G88" s="19" t="n">
        <v>20.87</v>
      </c>
      <c r="H88" s="19" t="n"/>
      <c r="I88" s="19" t="n">
        <v>18.42</v>
      </c>
      <c r="J88" s="19" t="n"/>
      <c r="K88" s="19" t="n">
        <v>14.97</v>
      </c>
      <c r="L88" s="19" t="n"/>
      <c r="M88" s="19" t="n">
        <v>14</v>
      </c>
      <c r="N88" s="19" t="n"/>
      <c r="O88" s="19" t="n"/>
      <c r="P88" s="19" t="n">
        <v>3.55</v>
      </c>
      <c r="Q88" s="19" t="n"/>
      <c r="R88" s="19" t="n">
        <v>17.66</v>
      </c>
      <c r="S88" s="18" t="inlineStr">
        <is>
          <t>2024</t>
        </is>
      </c>
      <c r="T88" s="35">
        <f>IFERROR($E88/Nameplate!$E88,"")</f>
        <v/>
      </c>
    </row>
    <row r="89">
      <c r="A89" s="18" t="inlineStr">
        <is>
          <t>MARATHON_SALT_LAKE_CITY</t>
        </is>
      </c>
      <c r="B89" s="18" t="inlineStr">
        <is>
          <t>Marathon Petroleum Salt Lake City</t>
        </is>
      </c>
      <c r="C89" s="18" t="n">
        <v>4</v>
      </c>
      <c r="D89" s="21">
        <f>SUMIFS(Data!$G$3:$G$125,Data!$A$3:$A$125,$A89)</f>
        <v/>
      </c>
      <c r="E89" s="19" t="n">
        <v>62.42</v>
      </c>
      <c r="F89" s="19" t="n"/>
      <c r="G89" s="19" t="n"/>
      <c r="H89" s="19" t="n">
        <v>22.87</v>
      </c>
      <c r="I89" s="19" t="n"/>
      <c r="J89" s="19" t="n"/>
      <c r="K89" s="19" t="n"/>
      <c r="L89" s="19" t="n"/>
      <c r="M89" s="19" t="n">
        <v>13.29</v>
      </c>
      <c r="N89" s="19" t="n"/>
      <c r="O89" s="19" t="n"/>
      <c r="P89" s="19" t="n">
        <v>8.140000000000001</v>
      </c>
      <c r="Q89" s="19" t="n"/>
      <c r="R89" s="19" t="n">
        <v>16.45</v>
      </c>
      <c r="S89" s="18" t="inlineStr">
        <is>
          <t>2017</t>
        </is>
      </c>
      <c r="T89" s="35">
        <f>IFERROR($E89/Nameplate!$E89,"")</f>
        <v/>
      </c>
    </row>
    <row r="90">
      <c r="A90" s="18" t="inlineStr">
        <is>
          <t>PHILLIPS_BILLINGS</t>
        </is>
      </c>
      <c r="B90" s="18" t="inlineStr">
        <is>
          <t>Phillips 66 Co. Billings</t>
        </is>
      </c>
      <c r="C90" s="18" t="n">
        <v>4</v>
      </c>
      <c r="D90" s="21">
        <f>SUMIFS(Data!$G$3:$G$125,Data!$A$3:$A$125,$A90)</f>
        <v/>
      </c>
      <c r="E90" s="19" t="n">
        <v>68.11</v>
      </c>
      <c r="F90" s="19" t="n">
        <v>34.52</v>
      </c>
      <c r="G90" s="19" t="n">
        <v>21.5</v>
      </c>
      <c r="H90" s="19" t="n"/>
      <c r="I90" s="19" t="n">
        <v>20.12</v>
      </c>
      <c r="J90" s="19" t="n"/>
      <c r="K90" s="19" t="n"/>
      <c r="L90" s="19" t="n"/>
      <c r="M90" s="19" t="n">
        <v>10.97</v>
      </c>
      <c r="N90" s="19" t="n"/>
      <c r="O90" s="19" t="n"/>
      <c r="P90" s="19" t="n">
        <v>5.99</v>
      </c>
      <c r="Q90" s="19" t="n"/>
      <c r="R90" s="19" t="n">
        <v>16.29</v>
      </c>
      <c r="S90" s="18" t="inlineStr">
        <is>
          <t>2019</t>
        </is>
      </c>
      <c r="T90" s="35">
        <f>IFERROR($E90/Nameplate!$E90,"")</f>
        <v/>
      </c>
    </row>
    <row r="91">
      <c r="A91" s="18" t="inlineStr">
        <is>
          <t>PAR_BILLINGS</t>
        </is>
      </c>
      <c r="B91" s="18" t="inlineStr">
        <is>
          <t>Par Petroleum Billings</t>
        </is>
      </c>
      <c r="C91" s="18" t="n">
        <v>4</v>
      </c>
      <c r="D91" s="21">
        <f>SUMIFS(Data!$G$3:$G$125,Data!$A$3:$A$125,$A91)</f>
        <v/>
      </c>
      <c r="E91" s="19" t="n">
        <v>59.77</v>
      </c>
      <c r="F91" s="19" t="n">
        <v>28.93</v>
      </c>
      <c r="G91" s="19" t="n">
        <v>15.92</v>
      </c>
      <c r="H91" s="19" t="n"/>
      <c r="I91" s="19" t="n"/>
      <c r="J91" s="19" t="n">
        <v>9.92</v>
      </c>
      <c r="K91" s="19" t="n">
        <v>5.87</v>
      </c>
      <c r="L91" s="19" t="n"/>
      <c r="M91" s="19" t="n">
        <v>10.06</v>
      </c>
      <c r="N91" s="19" t="n"/>
      <c r="O91" s="19" t="n"/>
      <c r="P91" s="19" t="n">
        <v>5.85</v>
      </c>
      <c r="Q91" s="19" t="n"/>
      <c r="R91" s="19" t="n">
        <v>13.84</v>
      </c>
      <c r="S91" s="18" t="inlineStr">
        <is>
          <t>2017</t>
        </is>
      </c>
      <c r="T91" s="35">
        <f>IFERROR($E91/Nameplate!$E91,"")</f>
        <v/>
      </c>
    </row>
    <row r="92">
      <c r="A92" s="18" t="inlineStr">
        <is>
          <t>CHS_LAUREL</t>
        </is>
      </c>
      <c r="B92" s="18" t="inlineStr">
        <is>
          <t>CHS Laurel</t>
        </is>
      </c>
      <c r="C92" s="18" t="n">
        <v>4</v>
      </c>
      <c r="D92" s="21">
        <f>SUMIFS(Data!$G$3:$G$125,Data!$A$3:$A$125,$A92)</f>
        <v/>
      </c>
      <c r="E92" s="19" t="n">
        <v>63.29</v>
      </c>
      <c r="F92" s="19" t="n">
        <v>31.81</v>
      </c>
      <c r="G92" s="19" t="n">
        <v>16.34</v>
      </c>
      <c r="H92" s="19" t="n"/>
      <c r="I92" s="19" t="n">
        <v>15.88</v>
      </c>
      <c r="J92" s="19" t="n"/>
      <c r="K92" s="19" t="n"/>
      <c r="L92" s="19" t="n"/>
      <c r="M92" s="19" t="n">
        <v>11.94</v>
      </c>
      <c r="N92" s="19" t="n"/>
      <c r="O92" s="19" t="n"/>
      <c r="P92" s="19" t="n">
        <v>4.2</v>
      </c>
      <c r="Q92" s="19" t="n"/>
      <c r="R92" s="19" t="n">
        <v>16.62</v>
      </c>
      <c r="S92" s="18" t="inlineStr">
        <is>
          <t>2024</t>
        </is>
      </c>
      <c r="T92" s="35">
        <f>IFERROR($E92/Nameplate!$E92,"")</f>
        <v/>
      </c>
    </row>
    <row r="93">
      <c r="A93" s="18" t="inlineStr">
        <is>
          <t>CHEVRON_SALT_LAKE_CITY</t>
        </is>
      </c>
      <c r="B93" s="18" t="inlineStr">
        <is>
          <t>Chevron Salt Lake City</t>
        </is>
      </c>
      <c r="C93" s="18" t="n">
        <v>4</v>
      </c>
      <c r="D93" s="21">
        <f>SUMIFS(Data!$G$3:$G$125,Data!$A$3:$A$125,$A93)</f>
        <v/>
      </c>
      <c r="E93" s="19" t="n">
        <v>54</v>
      </c>
      <c r="F93" s="19" t="n">
        <v>18.84</v>
      </c>
      <c r="G93" s="19" t="n">
        <v>13.72</v>
      </c>
      <c r="H93" s="19" t="n"/>
      <c r="I93" s="19" t="n">
        <v>7.7</v>
      </c>
      <c r="J93" s="19" t="n"/>
      <c r="K93" s="19" t="n"/>
      <c r="L93" s="19" t="n"/>
      <c r="M93" s="19" t="n">
        <v>8.82</v>
      </c>
      <c r="N93" s="19" t="n"/>
      <c r="O93" s="19" t="n"/>
      <c r="P93" s="19" t="n">
        <v>6.91</v>
      </c>
      <c r="Q93" s="19" t="n"/>
      <c r="R93" s="19" t="n">
        <v>15.1</v>
      </c>
      <c r="S93" s="18" t="inlineStr">
        <is>
          <t>2023</t>
        </is>
      </c>
      <c r="T93" s="35">
        <f>IFERROR($E93/Nameplate!$E93,"")</f>
        <v/>
      </c>
    </row>
    <row r="94">
      <c r="A94" s="18" t="inlineStr">
        <is>
          <t>HF_WOODS_CROSS</t>
        </is>
      </c>
      <c r="B94" s="18" t="inlineStr">
        <is>
          <t>HF Sinclair Woods Cross</t>
        </is>
      </c>
      <c r="C94" s="18" t="n">
        <v>4</v>
      </c>
      <c r="D94" s="21">
        <f>SUMIFS(Data!$G$3:$G$125,Data!$A$3:$A$125,$A94)</f>
        <v/>
      </c>
      <c r="E94" s="19" t="n">
        <v>39.33</v>
      </c>
      <c r="F94" s="19" t="n"/>
      <c r="G94" s="19" t="n"/>
      <c r="H94" s="19" t="n"/>
      <c r="I94" s="19" t="n"/>
      <c r="J94" s="19" t="n"/>
      <c r="K94" s="19" t="n">
        <v>9.800000000000001</v>
      </c>
      <c r="L94" s="19" t="n"/>
      <c r="M94" s="19" t="n">
        <v>8</v>
      </c>
      <c r="N94" s="19" t="n"/>
      <c r="O94" s="19" t="n">
        <v>3</v>
      </c>
      <c r="P94" s="19" t="n">
        <v>6.32</v>
      </c>
      <c r="Q94" s="19" t="n"/>
      <c r="R94" s="19" t="n">
        <v>11.75</v>
      </c>
      <c r="S94" s="18" t="inlineStr">
        <is>
          <t>2024</t>
        </is>
      </c>
      <c r="T94" s="35">
        <f>IFERROR($E94/Nameplate!$E94,"")</f>
        <v/>
      </c>
    </row>
    <row r="95">
      <c r="A95" s="18" t="inlineStr">
        <is>
          <t>BIG_NORTH_SLATERVILLE_CANAL</t>
        </is>
      </c>
      <c r="B95" s="18" t="inlineStr">
        <is>
          <t>Big West Oil Co North Slaterville Canal</t>
        </is>
      </c>
      <c r="C95" s="18" t="n">
        <v>4</v>
      </c>
      <c r="D95" s="21">
        <f>SUMIFS(Data!$G$3:$G$125,Data!$A$3:$A$125,$A95)</f>
        <v/>
      </c>
      <c r="E95" s="19" t="n">
        <v>29.99</v>
      </c>
      <c r="F95" s="19" t="n"/>
      <c r="G95" s="19" t="n">
        <v>11.34</v>
      </c>
      <c r="H95" s="19" t="n"/>
      <c r="I95" s="19" t="n"/>
      <c r="J95" s="19" t="n"/>
      <c r="K95" s="19" t="n"/>
      <c r="L95" s="19" t="n"/>
      <c r="M95" s="19" t="n"/>
      <c r="N95" s="19" t="n"/>
      <c r="O95" s="19" t="n">
        <v>1.95</v>
      </c>
      <c r="P95" s="19" t="n">
        <v>2.54</v>
      </c>
      <c r="Q95" s="19" t="n"/>
      <c r="R95" s="19" t="n">
        <v>10.31</v>
      </c>
      <c r="S95" s="18" t="inlineStr">
        <is>
          <t>2018</t>
        </is>
      </c>
      <c r="T95" s="35">
        <f>IFERROR($E95/Nameplate!$E95,"")</f>
        <v/>
      </c>
    </row>
    <row r="96">
      <c r="A96" s="18" t="inlineStr">
        <is>
          <t>HF_CASPER</t>
        </is>
      </c>
      <c r="B96" s="18" t="inlineStr">
        <is>
          <t>HF Sinclair Casper</t>
        </is>
      </c>
      <c r="C96" s="18" t="n">
        <v>4</v>
      </c>
      <c r="D96" s="21">
        <f>SUMIFS(Data!$G$3:$G$125,Data!$A$3:$A$125,$A96)</f>
        <v/>
      </c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8" t="n"/>
      <c r="T96" s="35">
        <f>IFERROR($E96/Nameplate!$E96,"")</f>
        <v/>
      </c>
    </row>
    <row r="97">
      <c r="A97" s="18" t="inlineStr">
        <is>
          <t>PAR_NEWCASTLE</t>
        </is>
      </c>
      <c r="B97" s="18" t="inlineStr">
        <is>
          <t>Par Petroleum Newcastle</t>
        </is>
      </c>
      <c r="C97" s="18" t="n">
        <v>4</v>
      </c>
      <c r="D97" s="21">
        <f>SUMIFS(Data!$G$3:$G$125,Data!$A$3:$A$125,$A97)</f>
        <v/>
      </c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8" t="n"/>
      <c r="T97" s="35">
        <f>IFERROR($E97/Nameplate!$E97,"")</f>
        <v/>
      </c>
    </row>
    <row r="98">
      <c r="A98" s="18" t="inlineStr">
        <is>
          <t>MONTANA_GREAT_FALLS</t>
        </is>
      </c>
      <c r="B98" s="18" t="inlineStr">
        <is>
          <t>Montana Refining Co. Great Falls</t>
        </is>
      </c>
      <c r="C98" s="18" t="n">
        <v>4</v>
      </c>
      <c r="D98" s="21">
        <f>SUMIFS(Data!$G$3:$G$125,Data!$A$3:$A$125,$A98)</f>
        <v/>
      </c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8" t="n"/>
      <c r="T98" s="35">
        <f>IFERROR($E98/Nameplate!$E98,"")</f>
        <v/>
      </c>
    </row>
    <row r="99">
      <c r="A99" s="18" t="inlineStr">
        <is>
          <t>SILVER_WOODS_CROSS</t>
        </is>
      </c>
      <c r="B99" s="18" t="inlineStr">
        <is>
          <t>Silver Eagle Refining Woods Cross</t>
        </is>
      </c>
      <c r="C99" s="18" t="n">
        <v>4</v>
      </c>
      <c r="D99" s="21">
        <f>SUMIFS(Data!$G$3:$G$125,Data!$A$3:$A$125,$A99)</f>
        <v/>
      </c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8" t="n"/>
      <c r="T99" s="35">
        <f>IFERROR($E99/Nameplate!$E99,"")</f>
        <v/>
      </c>
    </row>
    <row r="100">
      <c r="A100" s="18" t="inlineStr">
        <is>
          <t>WYOMING_EVANSTON</t>
        </is>
      </c>
      <c r="B100" s="18" t="inlineStr">
        <is>
          <t>Wyoming Refining Evanston</t>
        </is>
      </c>
      <c r="C100" s="18" t="n">
        <v>4</v>
      </c>
      <c r="D100" s="21">
        <f>SUMIFS(Data!$G$3:$G$125,Data!$A$3:$A$125,$A100)</f>
        <v/>
      </c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8" t="n"/>
      <c r="T100" s="35">
        <f>IFERROR($E100/Nameplate!$E100,"")</f>
        <v/>
      </c>
    </row>
    <row r="101">
      <c r="A101" s="18" t="inlineStr">
        <is>
          <t>SLATE_DOUGLAS</t>
        </is>
      </c>
      <c r="B101" s="18" t="inlineStr">
        <is>
          <t>Slate Douglas</t>
        </is>
      </c>
      <c r="C101" s="18" t="n">
        <v>4</v>
      </c>
      <c r="D101" s="21">
        <f>SUMIFS(Data!$G$3:$G$125,Data!$A$3:$A$125,$A101)</f>
        <v/>
      </c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8" t="n"/>
      <c r="T101" s="35">
        <f>IFERROR($E101/Nameplate!$E101,"")</f>
        <v/>
      </c>
    </row>
    <row r="102">
      <c r="A102" s="18" t="inlineStr">
        <is>
          <t>CHEVRON_EL_SEGUNDO</t>
        </is>
      </c>
      <c r="B102" s="18" t="inlineStr">
        <is>
          <t>Chevron El Segundo</t>
        </is>
      </c>
      <c r="C102" s="18" t="n">
        <v>5</v>
      </c>
      <c r="D102" s="21">
        <f>SUMIFS(Data!$G$3:$G$125,Data!$A$3:$A$125,$A102)</f>
        <v/>
      </c>
      <c r="E102" s="19" t="n">
        <v>273.07</v>
      </c>
      <c r="F102" s="19" t="n">
        <v>145.08</v>
      </c>
      <c r="G102" s="19" t="n">
        <v>73.06</v>
      </c>
      <c r="H102" s="19" t="n"/>
      <c r="I102" s="19" t="n">
        <v>59.61</v>
      </c>
      <c r="J102" s="19" t="n"/>
      <c r="K102" s="19" t="n">
        <v>51.87</v>
      </c>
      <c r="L102" s="19" t="n"/>
      <c r="M102" s="19" t="n"/>
      <c r="N102" s="19" t="n">
        <v>45.8</v>
      </c>
      <c r="O102" s="19" t="n">
        <v>14.06</v>
      </c>
      <c r="P102" s="19" t="n">
        <v>21.52</v>
      </c>
      <c r="Q102" s="19" t="n"/>
      <c r="R102" s="19" t="n">
        <v>54.95</v>
      </c>
      <c r="S102" s="18" t="inlineStr">
        <is>
          <t>2018</t>
        </is>
      </c>
      <c r="T102" s="35">
        <f>IFERROR($E102/Nameplate!$E102,"")</f>
        <v/>
      </c>
    </row>
    <row r="103">
      <c r="A103" s="18" t="inlineStr">
        <is>
          <t>MARATHON_CARSON</t>
        </is>
      </c>
      <c r="B103" s="18" t="inlineStr">
        <is>
          <t>Marathon Petroleum Carson</t>
        </is>
      </c>
      <c r="C103" s="18" t="n">
        <v>5</v>
      </c>
      <c r="D103" s="21">
        <f>SUMIFS(Data!$G$3:$G$125,Data!$A$3:$A$125,$A103)</f>
        <v/>
      </c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8" t="n"/>
      <c r="T103" s="35">
        <f>IFERROR($E103/Nameplate!$E103,"")</f>
        <v/>
      </c>
    </row>
    <row r="104">
      <c r="A104" s="18" t="inlineStr">
        <is>
          <t>CHEVRON_RICHMOND</t>
        </is>
      </c>
      <c r="B104" s="18" t="inlineStr">
        <is>
          <t>Chevron Richmond</t>
        </is>
      </c>
      <c r="C104" s="18" t="n">
        <v>5</v>
      </c>
      <c r="D104" s="21">
        <f>SUMIFS(Data!$G$3:$G$125,Data!$A$3:$A$125,$A104)</f>
        <v/>
      </c>
      <c r="E104" s="19" t="n">
        <v>249</v>
      </c>
      <c r="F104" s="19" t="n">
        <v>100.65</v>
      </c>
      <c r="G104" s="19" t="n">
        <v>85.58</v>
      </c>
      <c r="H104" s="19" t="n"/>
      <c r="I104" s="19" t="n"/>
      <c r="J104" s="19" t="n"/>
      <c r="K104" s="19" t="n">
        <v>59.3</v>
      </c>
      <c r="L104" s="19" t="n"/>
      <c r="M104" s="19" t="n"/>
      <c r="N104" s="19" t="n"/>
      <c r="O104" s="19" t="n">
        <v>20.95</v>
      </c>
      <c r="P104" s="19" t="n">
        <v>20.71</v>
      </c>
      <c r="Q104" s="19" t="n"/>
      <c r="R104" s="19" t="n">
        <v>57.6</v>
      </c>
      <c r="S104" s="18" t="inlineStr">
        <is>
          <t>2018</t>
        </is>
      </c>
      <c r="T104" s="35">
        <f>IFERROR($E104/Nameplate!$E104,"")</f>
        <v/>
      </c>
    </row>
    <row r="105">
      <c r="A105" s="18" t="inlineStr">
        <is>
          <t>BP_FERNDALE</t>
        </is>
      </c>
      <c r="B105" s="18" t="inlineStr">
        <is>
          <t>BP Ferndale</t>
        </is>
      </c>
      <c r="C105" s="18" t="n">
        <v>5</v>
      </c>
      <c r="D105" s="21">
        <f>SUMIFS(Data!$G$3:$G$125,Data!$A$3:$A$125,$A105)</f>
        <v/>
      </c>
      <c r="E105" s="19" t="n">
        <v>234.11</v>
      </c>
      <c r="F105" s="19" t="n">
        <v>95.93000000000001</v>
      </c>
      <c r="G105" s="19" t="n"/>
      <c r="H105" s="19" t="n"/>
      <c r="I105" s="19" t="n">
        <v>41.3</v>
      </c>
      <c r="J105" s="19" t="n"/>
      <c r="K105" s="19" t="n">
        <v>64.90000000000001</v>
      </c>
      <c r="L105" s="19" t="n"/>
      <c r="M105" s="19" t="n"/>
      <c r="N105" s="19" t="n">
        <v>57.28</v>
      </c>
      <c r="O105" s="19" t="n">
        <v>21.46</v>
      </c>
      <c r="P105" s="19" t="n"/>
      <c r="Q105" s="19" t="n"/>
      <c r="R105" s="19" t="n">
        <v>61.09</v>
      </c>
      <c r="S105" s="18" t="inlineStr">
        <is>
          <t>2024</t>
        </is>
      </c>
      <c r="T105" s="35">
        <f>IFERROR($E105/Nameplate!$E105,"")</f>
        <v/>
      </c>
    </row>
    <row r="106">
      <c r="A106" s="18" t="inlineStr">
        <is>
          <t>PBF_TORRANCE</t>
        </is>
      </c>
      <c r="B106" s="18" t="inlineStr">
        <is>
          <t>PBF Energy Company LLC Torrance</t>
        </is>
      </c>
      <c r="C106" s="18" t="n">
        <v>5</v>
      </c>
      <c r="D106" s="21">
        <f>SUMIFS(Data!$G$3:$G$125,Data!$A$3:$A$125,$A106)</f>
        <v/>
      </c>
      <c r="E106" s="19" t="n">
        <v>154.8</v>
      </c>
      <c r="F106" s="19" t="n">
        <v>102.19</v>
      </c>
      <c r="G106" s="19" t="n">
        <v>74.73</v>
      </c>
      <c r="H106" s="19" t="n"/>
      <c r="I106" s="19" t="n">
        <v>58.01</v>
      </c>
      <c r="J106" s="19" t="n"/>
      <c r="K106" s="19" t="n">
        <v>27.67</v>
      </c>
      <c r="L106" s="19" t="n"/>
      <c r="M106" s="19" t="n">
        <v>19.94</v>
      </c>
      <c r="N106" s="19" t="n"/>
      <c r="O106" s="19" t="n"/>
      <c r="P106" s="19" t="n">
        <v>30</v>
      </c>
      <c r="Q106" s="19" t="n"/>
      <c r="R106" s="19" t="n">
        <v>23.51</v>
      </c>
      <c r="S106" s="18" t="inlineStr">
        <is>
          <t>2018</t>
        </is>
      </c>
      <c r="T106" s="35">
        <f>IFERROR($E106/Nameplate!$E106,"")</f>
        <v/>
      </c>
    </row>
    <row r="107">
      <c r="A107" s="18" t="inlineStr">
        <is>
          <t>PBF_MARTINEZ</t>
        </is>
      </c>
      <c r="B107" s="18" t="inlineStr">
        <is>
          <t>PBF Energy Company LLC Martinez</t>
        </is>
      </c>
      <c r="C107" s="18" t="n">
        <v>5</v>
      </c>
      <c r="D107" s="21">
        <f>SUMIFS(Data!$G$3:$G$125,Data!$A$3:$A$125,$A107)</f>
        <v/>
      </c>
      <c r="E107" s="19" t="n">
        <v>137.65</v>
      </c>
      <c r="F107" s="19" t="n">
        <v>57.35</v>
      </c>
      <c r="G107" s="19" t="n">
        <v>55.88</v>
      </c>
      <c r="H107" s="19" t="n"/>
      <c r="I107" s="19" t="n">
        <v>23.25</v>
      </c>
      <c r="J107" s="19" t="n">
        <v>15.38</v>
      </c>
      <c r="K107" s="19" t="n">
        <v>25.91</v>
      </c>
      <c r="L107" s="19" t="n"/>
      <c r="M107" s="19" t="n"/>
      <c r="N107" s="19" t="n">
        <v>30.86</v>
      </c>
      <c r="O107" s="19" t="n">
        <v>7.43</v>
      </c>
      <c r="P107" s="19" t="n">
        <v>15.66</v>
      </c>
      <c r="Q107" s="19" t="n"/>
      <c r="R107" s="19" t="n">
        <v>27.58</v>
      </c>
      <c r="S107" s="18" t="inlineStr">
        <is>
          <t>2017</t>
        </is>
      </c>
      <c r="T107" s="35">
        <f>IFERROR($E107/Nameplate!$E107,"")</f>
        <v/>
      </c>
    </row>
    <row r="108">
      <c r="A108" s="18" t="inlineStr">
        <is>
          <t>HF_ANACORTES</t>
        </is>
      </c>
      <c r="B108" s="18" t="inlineStr">
        <is>
          <t>HF Sinclair Anacortes</t>
        </is>
      </c>
      <c r="C108" s="18" t="n">
        <v>5</v>
      </c>
      <c r="D108" s="21">
        <f>SUMIFS(Data!$G$3:$G$125,Data!$A$3:$A$125,$A108)</f>
        <v/>
      </c>
      <c r="E108" s="19" t="n">
        <v>136.51</v>
      </c>
      <c r="F108" s="19" t="n">
        <v>52.48</v>
      </c>
      <c r="G108" s="19" t="n">
        <v>39.63</v>
      </c>
      <c r="H108" s="19" t="n"/>
      <c r="I108" s="19" t="n">
        <v>23.81</v>
      </c>
      <c r="J108" s="19" t="n"/>
      <c r="K108" s="19" t="n"/>
      <c r="L108" s="19" t="n"/>
      <c r="M108" s="19" t="n">
        <v>26.58</v>
      </c>
      <c r="N108" s="19" t="n"/>
      <c r="O108" s="19" t="n"/>
      <c r="P108" s="19" t="n">
        <v>9.77</v>
      </c>
      <c r="Q108" s="19" t="n"/>
      <c r="R108" s="19" t="n">
        <v>30.11</v>
      </c>
      <c r="S108" s="18" t="inlineStr">
        <is>
          <t>2019</t>
        </is>
      </c>
      <c r="T108" s="35">
        <f>IFERROR($E108/Nameplate!$E108,"")</f>
        <v/>
      </c>
    </row>
    <row r="109">
      <c r="A109" s="18" t="inlineStr">
        <is>
          <t>MARATHON_ANACORTES</t>
        </is>
      </c>
      <c r="B109" s="18" t="inlineStr">
        <is>
          <t>Marathon Petroleum Anacortes</t>
        </is>
      </c>
      <c r="C109" s="18" t="n">
        <v>5</v>
      </c>
      <c r="D109" s="21">
        <f>SUMIFS(Data!$G$3:$G$125,Data!$A$3:$A$125,$A109)</f>
        <v/>
      </c>
      <c r="E109" s="19" t="n">
        <v>132.22</v>
      </c>
      <c r="F109" s="19" t="n">
        <v>43.94</v>
      </c>
      <c r="G109" s="19" t="n">
        <v>50.86</v>
      </c>
      <c r="H109" s="19" t="n"/>
      <c r="I109" s="19" t="n"/>
      <c r="J109" s="19" t="n"/>
      <c r="K109" s="19" t="n"/>
      <c r="L109" s="19" t="n"/>
      <c r="M109" s="19" t="n"/>
      <c r="N109" s="19" t="n">
        <v>26</v>
      </c>
      <c r="O109" s="19" t="n"/>
      <c r="P109" s="19" t="n">
        <v>14.39</v>
      </c>
      <c r="Q109" s="19" t="n"/>
      <c r="R109" s="19" t="n">
        <v>35.99</v>
      </c>
      <c r="S109" s="18" t="inlineStr">
        <is>
          <t>2017</t>
        </is>
      </c>
      <c r="T109" s="35">
        <f>IFERROR($E109/Nameplate!$E109,"")</f>
        <v/>
      </c>
    </row>
    <row r="110">
      <c r="A110" s="18" t="inlineStr">
        <is>
          <t>PHILLIPS_FERNDALE</t>
        </is>
      </c>
      <c r="B110" s="18" t="inlineStr">
        <is>
          <t>Phillips 66 Co. Ferndale</t>
        </is>
      </c>
      <c r="C110" s="18" t="n">
        <v>5</v>
      </c>
      <c r="D110" s="21">
        <f>SUMIFS(Data!$G$3:$G$125,Data!$A$3:$A$125,$A110)</f>
        <v/>
      </c>
      <c r="E110" s="19" t="n">
        <v>104.97</v>
      </c>
      <c r="F110" s="19" t="n">
        <v>39</v>
      </c>
      <c r="G110" s="19" t="n">
        <v>37.94</v>
      </c>
      <c r="H110" s="19" t="n"/>
      <c r="I110" s="19" t="n"/>
      <c r="J110" s="19" t="n"/>
      <c r="K110" s="19" t="n"/>
      <c r="L110" s="19" t="n"/>
      <c r="M110" s="19" t="n"/>
      <c r="N110" s="19" t="n">
        <v>17.08</v>
      </c>
      <c r="O110" s="19" t="n"/>
      <c r="P110" s="19" t="n">
        <v>15.44</v>
      </c>
      <c r="Q110" s="19" t="n"/>
      <c r="R110" s="19" t="n">
        <v>18.6</v>
      </c>
      <c r="S110" s="18" t="inlineStr">
        <is>
          <t>2017</t>
        </is>
      </c>
      <c r="T110" s="35">
        <f>IFERROR($E110/Nameplate!$E110,"")</f>
        <v/>
      </c>
    </row>
    <row r="111">
      <c r="A111" s="18" t="inlineStr">
        <is>
          <t>MARATHON_LOS_ANGELES</t>
        </is>
      </c>
      <c r="B111" s="18" t="inlineStr">
        <is>
          <t>Marathon Petroleum Los Angeles</t>
        </is>
      </c>
      <c r="C111" s="18" t="n">
        <v>5</v>
      </c>
      <c r="D111" s="21">
        <f>SUMIFS(Data!$G$3:$G$125,Data!$A$3:$A$125,$A111)</f>
        <v/>
      </c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8" t="n"/>
      <c r="T111" s="35">
        <f>IFERROR($E111/Nameplate!$E111,"")</f>
        <v/>
      </c>
    </row>
    <row r="112">
      <c r="A112" s="18" t="inlineStr">
        <is>
          <t>PAR_EWA_BEACH</t>
        </is>
      </c>
      <c r="B112" s="18" t="inlineStr">
        <is>
          <t>Par Petroleum Ewa Beach</t>
        </is>
      </c>
      <c r="C112" s="18" t="n">
        <v>5</v>
      </c>
      <c r="D112" s="21">
        <f>SUMIFS(Data!$G$3:$G$125,Data!$A$3:$A$125,$A112)</f>
        <v/>
      </c>
      <c r="E112" s="19" t="n">
        <v>109</v>
      </c>
      <c r="F112" s="19" t="n">
        <v>43.41</v>
      </c>
      <c r="G112" s="19" t="n">
        <v>17.49</v>
      </c>
      <c r="H112" s="19" t="n"/>
      <c r="I112" s="19" t="n"/>
      <c r="J112" s="19" t="n"/>
      <c r="K112" s="19" t="n">
        <v>21.99</v>
      </c>
      <c r="L112" s="19" t="n"/>
      <c r="M112" s="19" t="n"/>
      <c r="N112" s="19" t="n">
        <v>11.83</v>
      </c>
      <c r="O112" s="19" t="n"/>
      <c r="P112" s="19" t="n">
        <v>0.64</v>
      </c>
      <c r="Q112" s="19" t="n"/>
      <c r="R112" s="19" t="n">
        <v>18.31</v>
      </c>
      <c r="S112" s="18" t="inlineStr">
        <is>
          <t>2019</t>
        </is>
      </c>
      <c r="T112" s="35">
        <f>IFERROR($E112/Nameplate!$E112,"")</f>
        <v/>
      </c>
    </row>
    <row r="113">
      <c r="A113" s="18" t="inlineStr">
        <is>
          <t>VALERO_LOS_ANGELES</t>
        </is>
      </c>
      <c r="B113" s="18" t="inlineStr">
        <is>
          <t>Valero Los Angeles</t>
        </is>
      </c>
      <c r="C113" s="18" t="n">
        <v>5</v>
      </c>
      <c r="D113" s="21">
        <f>SUMIFS(Data!$G$3:$G$125,Data!$A$3:$A$125,$A113)</f>
        <v/>
      </c>
      <c r="E113" s="19" t="n">
        <v>82.65000000000001</v>
      </c>
      <c r="F113" s="19" t="n">
        <v>38.55</v>
      </c>
      <c r="G113" s="19" t="n">
        <v>52.6</v>
      </c>
      <c r="H113" s="19" t="n"/>
      <c r="I113" s="19" t="n">
        <v>21.81</v>
      </c>
      <c r="J113" s="19" t="n"/>
      <c r="K113" s="19" t="n"/>
      <c r="L113" s="19" t="n"/>
      <c r="M113" s="19" t="n"/>
      <c r="N113" s="19" t="n">
        <v>16.91</v>
      </c>
      <c r="O113" s="19" t="n"/>
      <c r="P113" s="19" t="n">
        <v>18.07</v>
      </c>
      <c r="Q113" s="19" t="n"/>
      <c r="R113" s="19" t="n">
        <v>26.63</v>
      </c>
      <c r="S113" s="18" t="inlineStr">
        <is>
          <t>2023</t>
        </is>
      </c>
      <c r="T113" s="35">
        <f>IFERROR($E113/Nameplate!$E113,"")</f>
        <v/>
      </c>
    </row>
    <row r="114">
      <c r="A114" s="18" t="inlineStr">
        <is>
          <t>MARATHON_NIKISKI</t>
        </is>
      </c>
      <c r="B114" s="18" t="inlineStr">
        <is>
          <t>Marathon Petroleum Nikiski</t>
        </is>
      </c>
      <c r="C114" s="18" t="n">
        <v>5</v>
      </c>
      <c r="D114" s="21">
        <f>SUMIFS(Data!$G$3:$G$125,Data!$A$3:$A$125,$A114)</f>
        <v/>
      </c>
      <c r="E114" s="19" t="n">
        <v>66.23999999999999</v>
      </c>
      <c r="F114" s="19" t="n">
        <v>25.98</v>
      </c>
      <c r="G114" s="19" t="n"/>
      <c r="H114" s="19" t="n"/>
      <c r="I114" s="19" t="n"/>
      <c r="J114" s="19" t="n"/>
      <c r="K114" s="19" t="n">
        <v>12.99</v>
      </c>
      <c r="L114" s="19" t="n"/>
      <c r="M114" s="19" t="n">
        <v>11.43</v>
      </c>
      <c r="N114" s="19" t="n">
        <v>13.74</v>
      </c>
      <c r="O114" s="19" t="n">
        <v>5.49</v>
      </c>
      <c r="P114" s="19" t="n"/>
      <c r="Q114" s="19" t="n"/>
      <c r="R114" s="19" t="n">
        <v>12.85</v>
      </c>
      <c r="S114" s="18" t="inlineStr">
        <is>
          <t>2024</t>
        </is>
      </c>
      <c r="T114" s="35">
        <f>IFERROR($E114/Nameplate!$E114,"")</f>
        <v/>
      </c>
    </row>
    <row r="115">
      <c r="A115" s="18" t="inlineStr">
        <is>
          <t>PETRO_VALDEZ</t>
        </is>
      </c>
      <c r="B115" s="18" t="inlineStr">
        <is>
          <t>Petro Star Inc. Valdez</t>
        </is>
      </c>
      <c r="C115" s="18" t="n">
        <v>5</v>
      </c>
      <c r="D115" s="21">
        <f>SUMIFS(Data!$G$3:$G$125,Data!$A$3:$A$125,$A115)</f>
        <v/>
      </c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8" t="n"/>
      <c r="T115" s="35">
        <f>IFERROR($E115/Nameplate!$E115,"")</f>
        <v/>
      </c>
    </row>
    <row r="116">
      <c r="A116" s="18" t="inlineStr">
        <is>
          <t>PAR_TACOMA</t>
        </is>
      </c>
      <c r="B116" s="18" t="inlineStr">
        <is>
          <t>Par Petroleum Tacoma</t>
        </is>
      </c>
      <c r="C116" s="18" t="n">
        <v>5</v>
      </c>
      <c r="D116" s="21">
        <f>SUMIFS(Data!$G$3:$G$125,Data!$A$3:$A$125,$A116)</f>
        <v/>
      </c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8" t="n"/>
      <c r="T116" s="35">
        <f>IFERROR($E116/Nameplate!$E116,"")</f>
        <v/>
      </c>
    </row>
    <row r="117">
      <c r="A117" s="18" t="inlineStr">
        <is>
          <t>KERN_BAKERSFIELD</t>
        </is>
      </c>
      <c r="B117" s="18" t="inlineStr">
        <is>
          <t>Kern Oil Bakersfield</t>
        </is>
      </c>
      <c r="C117" s="18" t="n">
        <v>5</v>
      </c>
      <c r="D117" s="21">
        <f>SUMIFS(Data!$G$3:$G$125,Data!$A$3:$A$125,$A117)</f>
        <v/>
      </c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8" t="n"/>
      <c r="T117" s="35">
        <f>IFERROR($E117/Nameplate!$E117,"")</f>
        <v/>
      </c>
    </row>
    <row r="118">
      <c r="A118" s="18" t="inlineStr">
        <is>
          <t>SAN_BAKERSFIELD</t>
        </is>
      </c>
      <c r="B118" s="18" t="inlineStr">
        <is>
          <t>San Joaquin Refining Bakersfield</t>
        </is>
      </c>
      <c r="C118" s="18" t="n">
        <v>5</v>
      </c>
      <c r="D118" s="21">
        <f>SUMIFS(Data!$G$3:$G$125,Data!$A$3:$A$125,$A118)</f>
        <v/>
      </c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8" t="n"/>
      <c r="T118" s="35">
        <f>IFERROR($E118/Nameplate!$E118,"")</f>
        <v/>
      </c>
    </row>
    <row r="119">
      <c r="A119" s="18" t="inlineStr">
        <is>
          <t>PETRO_NORTH_POLE</t>
        </is>
      </c>
      <c r="B119" s="18" t="inlineStr">
        <is>
          <t>Petro Star Inc. North Pole</t>
        </is>
      </c>
      <c r="C119" s="18" t="n">
        <v>5</v>
      </c>
      <c r="D119" s="21">
        <f>SUMIFS(Data!$G$3:$G$125,Data!$A$3:$A$125,$A119)</f>
        <v/>
      </c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8" t="n"/>
      <c r="T119" s="35">
        <f>IFERROR($E119/Nameplate!$E119,"")</f>
        <v/>
      </c>
    </row>
    <row r="120">
      <c r="A120" s="18" t="inlineStr">
        <is>
          <t>BP_PRUDHOE_BAY</t>
        </is>
      </c>
      <c r="B120" s="18" t="inlineStr">
        <is>
          <t>BP Prudhoe Bay</t>
        </is>
      </c>
      <c r="C120" s="18" t="n">
        <v>5</v>
      </c>
      <c r="D120" s="21">
        <f>SUMIFS(Data!$G$3:$G$125,Data!$A$3:$A$125,$A120)</f>
        <v/>
      </c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8" t="n"/>
      <c r="T120" s="35">
        <f>IFERROR($E120/Nameplate!$E120,"")</f>
        <v/>
      </c>
    </row>
    <row r="121">
      <c r="A121" s="18" t="inlineStr">
        <is>
          <t>CONOCOPHILLIPS_ANCHORAGE</t>
        </is>
      </c>
      <c r="B121" s="18" t="inlineStr">
        <is>
          <t>ConocoPhillips Anchorage</t>
        </is>
      </c>
      <c r="C121" s="18" t="n">
        <v>5</v>
      </c>
      <c r="D121" s="21">
        <f>SUMIFS(Data!$G$3:$G$125,Data!$A$3:$A$125,$A121)</f>
        <v/>
      </c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8" t="n"/>
      <c r="T121" s="35">
        <f>IFERROR($E121/Nameplate!$E121,"")</f>
        <v/>
      </c>
    </row>
    <row r="122">
      <c r="A122" s="18" t="inlineStr">
        <is>
          <t>LUNDAYTHAGARD_SOUTH_GATE</t>
        </is>
      </c>
      <c r="B122" s="18" t="inlineStr">
        <is>
          <t>Lunday-Thagard Oil Co. South Gate</t>
        </is>
      </c>
      <c r="C122" s="18" t="n">
        <v>5</v>
      </c>
      <c r="D122" s="21">
        <f>SUMIFS(Data!$G$3:$G$125,Data!$A$3:$A$125,$A122)</f>
        <v/>
      </c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8" t="n"/>
      <c r="T122" s="35">
        <f>IFERROR($E122/Nameplate!$E122,"")</f>
        <v/>
      </c>
    </row>
    <row r="123">
      <c r="A123" s="18" t="inlineStr">
        <is>
          <t>FORELAND_TONOPAH</t>
        </is>
      </c>
      <c r="B123" s="18" t="inlineStr">
        <is>
          <t>Foreland Corp Tonopah</t>
        </is>
      </c>
      <c r="C123" s="18" t="n">
        <v>5</v>
      </c>
      <c r="D123" s="21">
        <f>SUMIFS(Data!$G$3:$G$125,Data!$A$3:$A$125,$A123)</f>
        <v/>
      </c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8" t="n"/>
      <c r="T123" s="35">
        <f>IFERROR($E123/Nameplate!$E123,"")</f>
        <v/>
      </c>
    </row>
    <row r="124">
      <c r="A124" s="18" t="inlineStr">
        <is>
          <t>PHILLIPS_LOS_ANGELES</t>
        </is>
      </c>
      <c r="B124" s="18" t="inlineStr">
        <is>
          <t>Phillips 66 Co. Los Angeles</t>
        </is>
      </c>
      <c r="C124" s="18" t="n">
        <v>5</v>
      </c>
      <c r="D124" s="21">
        <f>SUMIFS(Data!$G$3:$G$125,Data!$A$3:$A$125,$A124)</f>
        <v/>
      </c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8" t="n"/>
      <c r="T124" s="35">
        <f>IFERROR($E124/Nameplate!$E124,"")</f>
        <v/>
      </c>
    </row>
    <row r="125">
      <c r="A125" s="18" t="inlineStr">
        <is>
          <t>VALERO_BENICIA</t>
        </is>
      </c>
      <c r="B125" s="18" t="inlineStr">
        <is>
          <t>Valero Benicia</t>
        </is>
      </c>
      <c r="C125" s="18" t="n">
        <v>5</v>
      </c>
      <c r="D125" s="21">
        <f>SUMIFS(Data!$G$3:$G$125,Data!$A$3:$A$125,$A125)</f>
        <v/>
      </c>
      <c r="E125" s="19" t="n">
        <v>133.86</v>
      </c>
      <c r="F125" s="19" t="n">
        <v>67.31</v>
      </c>
      <c r="G125" s="19" t="n">
        <v>58.69</v>
      </c>
      <c r="H125" s="19" t="n"/>
      <c r="I125" s="19" t="n"/>
      <c r="J125" s="19" t="n">
        <v>28.66</v>
      </c>
      <c r="K125" s="19" t="n">
        <v>15.86</v>
      </c>
      <c r="L125" s="19" t="n"/>
      <c r="M125" s="19" t="n">
        <v>27.62</v>
      </c>
      <c r="N125" s="19" t="n"/>
      <c r="O125" s="19" t="n"/>
      <c r="P125" s="19" t="n">
        <v>16.1</v>
      </c>
      <c r="Q125" s="19" t="n"/>
      <c r="R125" s="19" t="n">
        <v>36.48</v>
      </c>
      <c r="S125" s="18" t="inlineStr">
        <is>
          <t>2018</t>
        </is>
      </c>
      <c r="T125" s="35">
        <f>IFERROR($E125/Nameplate!$E125,"")</f>
        <v/>
      </c>
    </row>
    <row r="127" ht="20" customHeight="1">
      <c r="A127" s="8" t="inlineStr">
        <is>
          <t>PADD rollup — CDU nameplate vs effective vs running (kbd, unit-detail refineries only)</t>
        </is>
      </c>
      <c r="B127" s="9" t="n"/>
      <c r="C127" s="9" t="n"/>
      <c r="D127" s="9" t="n"/>
      <c r="E127" s="9" t="n"/>
      <c r="F127" s="9" t="n"/>
      <c r="G127" s="9" t="n"/>
      <c r="H127" s="9" t="n"/>
    </row>
    <row r="128">
      <c r="A128" s="17" t="inlineStr">
        <is>
          <t>PADD</t>
        </is>
      </c>
      <c r="B128" s="17" t="inlineStr">
        <is>
          <t>nameplate</t>
        </is>
      </c>
      <c r="C128" s="17" t="inlineStr">
        <is>
          <t>effective</t>
        </is>
      </c>
      <c r="D128" s="17" t="inlineStr">
        <is>
          <t>running now</t>
        </is>
      </c>
    </row>
    <row r="129">
      <c r="A129" s="33" t="n">
        <v>1</v>
      </c>
      <c r="B129" s="36">
        <f>SUMIFS(Nameplate!$E$3:$E$125,Nameplate!$C$3:$C$125,1)</f>
        <v/>
      </c>
      <c r="C129" s="36">
        <f>SUMIFS($E$3:$E$125,$C$3:$C$125,1)</f>
        <v/>
      </c>
      <c r="D129" s="36">
        <f>SUMPRODUCT((Boxes!$D$3:$D$1084="CDU")*(Boxes!$C$3:$C$1084=1)*Boxes!$F$3:$F$1084*Boxes!$J$3:$J$1084)</f>
        <v/>
      </c>
    </row>
    <row r="130">
      <c r="A130" s="33" t="n">
        <v>2</v>
      </c>
      <c r="B130" s="36">
        <f>SUMIFS(Nameplate!$E$3:$E$125,Nameplate!$C$3:$C$125,2)</f>
        <v/>
      </c>
      <c r="C130" s="36">
        <f>SUMIFS($E$3:$E$125,$C$3:$C$125,2)</f>
        <v/>
      </c>
      <c r="D130" s="36">
        <f>SUMPRODUCT((Boxes!$D$3:$D$1084="CDU")*(Boxes!$C$3:$C$1084=2)*Boxes!$F$3:$F$1084*Boxes!$J$3:$J$1084)</f>
        <v/>
      </c>
    </row>
    <row r="131">
      <c r="A131" s="33" t="n">
        <v>3</v>
      </c>
      <c r="B131" s="36">
        <f>SUMIFS(Nameplate!$E$3:$E$125,Nameplate!$C$3:$C$125,3)</f>
        <v/>
      </c>
      <c r="C131" s="36">
        <f>SUMIFS($E$3:$E$125,$C$3:$C$125,3)</f>
        <v/>
      </c>
      <c r="D131" s="36">
        <f>SUMPRODUCT((Boxes!$D$3:$D$1084="CDU")*(Boxes!$C$3:$C$1084=3)*Boxes!$F$3:$F$1084*Boxes!$J$3:$J$1084)</f>
        <v/>
      </c>
    </row>
    <row r="132">
      <c r="A132" s="33" t="n">
        <v>4</v>
      </c>
      <c r="B132" s="36">
        <f>SUMIFS(Nameplate!$E$3:$E$125,Nameplate!$C$3:$C$125,4)</f>
        <v/>
      </c>
      <c r="C132" s="36">
        <f>SUMIFS($E$3:$E$125,$C$3:$C$125,4)</f>
        <v/>
      </c>
      <c r="D132" s="36">
        <f>SUMPRODUCT((Boxes!$D$3:$D$1084="CDU")*(Boxes!$C$3:$C$1084=4)*Boxes!$F$3:$F$1084*Boxes!$J$3:$J$1084)</f>
        <v/>
      </c>
    </row>
    <row r="133">
      <c r="A133" s="33" t="n">
        <v>5</v>
      </c>
      <c r="B133" s="36">
        <f>SUMIFS(Nameplate!$E$3:$E$125,Nameplate!$C$3:$C$125,5)</f>
        <v/>
      </c>
      <c r="C133" s="36">
        <f>SUMIFS($E$3:$E$125,$C$3:$C$125,5)</f>
        <v/>
      </c>
      <c r="D133" s="36">
        <f>SUMPRODUCT((Boxes!$D$3:$D$1084="CDU")*(Boxes!$C$3:$C$1084=5)*Boxes!$F$3:$F$1084*Boxes!$J$3:$J$1084)</f>
        <v/>
      </c>
    </row>
  </sheetData>
  <mergeCells count="2">
    <mergeCell ref="A1:U1"/>
    <mergeCell ref="A127:H127"/>
  </mergeCells>
  <conditionalFormatting sqref="E3:E125">
    <cfRule type="dataBar" priority="1">
      <dataBar showValue="1">
        <cfvo type="num" val="0"/>
        <cfvo type="max"/>
        <color rgb="00C9A227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8E23"/>
    <outlinePr summaryBelow="1" summaryRight="1"/>
    <pageSetUpPr/>
  </sheetPr>
  <dimension ref="A1:H7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30" customWidth="1" min="3" max="3"/>
    <col width="13" customWidth="1" min="4" max="4"/>
    <col width="8" customWidth="1" min="5" max="5"/>
    <col width="7" customWidth="1" min="6" max="6"/>
    <col width="8" customWidth="1" min="7" max="7"/>
    <col width="13" customWidth="1" min="8" max="8"/>
  </cols>
  <sheetData>
    <row r="1" ht="20" customHeight="1">
      <c r="A1" s="8" t="inlineStr">
        <is>
          <t>Crude slate — actual crude diet per refinery (REM, latest year) and 2024 purchased supplementary feedstocks. Informs the naphtha-yield discussion (light vs heavy slate).</t>
        </is>
      </c>
      <c r="B1" s="9" t="n"/>
      <c r="C1" s="9" t="n"/>
      <c r="D1" s="9" t="n"/>
      <c r="E1" s="9" t="n"/>
      <c r="F1" s="9" t="n"/>
      <c r="G1" s="9" t="n"/>
      <c r="H1" s="9" t="n"/>
    </row>
    <row r="2">
      <c r="A2" s="17" t="inlineStr">
        <is>
          <t>refinery_id</t>
        </is>
      </c>
      <c r="B2" s="17" t="inlineStr">
        <is>
          <t>padd</t>
        </is>
      </c>
      <c r="C2" s="17" t="inlineStr">
        <is>
          <t>crude_stream</t>
        </is>
      </c>
      <c r="D2" s="17" t="inlineStr">
        <is>
          <t>source_country</t>
        </is>
      </c>
      <c r="E2" s="17" t="inlineStr">
        <is>
          <t>year</t>
        </is>
      </c>
      <c r="F2" s="17" t="inlineStr">
        <is>
          <t>slate %</t>
        </is>
      </c>
    </row>
    <row r="3">
      <c r="A3" s="18" t="inlineStr">
        <is>
          <t>MONROE_TRAINER</t>
        </is>
      </c>
      <c r="B3" s="18" t="n">
        <v>1</v>
      </c>
      <c r="C3" s="18" t="inlineStr">
        <is>
          <t>Eagle Ford Crude</t>
        </is>
      </c>
      <c r="D3" s="18" t="inlineStr">
        <is>
          <t>United States</t>
        </is>
      </c>
      <c r="E3" s="18" t="n">
        <v>2024</v>
      </c>
      <c r="F3" s="37" t="n">
        <v>0.2533</v>
      </c>
    </row>
    <row r="4">
      <c r="A4" s="18" t="inlineStr">
        <is>
          <t>MONROE_TRAINER</t>
        </is>
      </c>
      <c r="B4" s="18" t="n">
        <v>1</v>
      </c>
      <c r="C4" s="18" t="inlineStr">
        <is>
          <t>Okono-Okpoho</t>
        </is>
      </c>
      <c r="D4" s="18" t="inlineStr">
        <is>
          <t>Nigeria</t>
        </is>
      </c>
      <c r="E4" s="18" t="n">
        <v>2024</v>
      </c>
      <c r="F4" s="37" t="n">
        <v>0.2309</v>
      </c>
    </row>
    <row r="5">
      <c r="A5" s="18" t="inlineStr">
        <is>
          <t>MONROE_TRAINER</t>
        </is>
      </c>
      <c r="B5" s="18" t="n">
        <v>1</v>
      </c>
      <c r="C5" s="18" t="inlineStr">
        <is>
          <t>Qua Iboe</t>
        </is>
      </c>
      <c r="D5" s="18" t="inlineStr">
        <is>
          <t>Nigeria</t>
        </is>
      </c>
      <c r="E5" s="18" t="n">
        <v>2024</v>
      </c>
      <c r="F5" s="37" t="n">
        <v>0.1065</v>
      </c>
    </row>
    <row r="6">
      <c r="A6" s="18" t="inlineStr">
        <is>
          <t>MONROE_TRAINER</t>
        </is>
      </c>
      <c r="B6" s="18" t="n">
        <v>1</v>
      </c>
      <c r="C6" s="18" t="inlineStr">
        <is>
          <t>Bakken</t>
        </is>
      </c>
      <c r="D6" s="18" t="inlineStr">
        <is>
          <t>United States</t>
        </is>
      </c>
      <c r="E6" s="18" t="n">
        <v>2024</v>
      </c>
      <c r="F6" s="37" t="n">
        <v>0.1038</v>
      </c>
    </row>
    <row r="7">
      <c r="A7" s="18" t="inlineStr">
        <is>
          <t>MONROE_TRAINER</t>
        </is>
      </c>
      <c r="B7" s="18" t="n">
        <v>1</v>
      </c>
      <c r="C7" s="18" t="inlineStr">
        <is>
          <t>Pennsylvania Grade 43.0</t>
        </is>
      </c>
      <c r="D7" s="18" t="inlineStr">
        <is>
          <t>United States</t>
        </is>
      </c>
      <c r="E7" s="18" t="n">
        <v>2024</v>
      </c>
      <c r="F7" s="37" t="n">
        <v>0.0617</v>
      </c>
    </row>
    <row r="8">
      <c r="A8" s="18" t="inlineStr">
        <is>
          <t>MONROE_TRAINER</t>
        </is>
      </c>
      <c r="B8" s="18" t="n">
        <v>1</v>
      </c>
      <c r="C8" s="18" t="inlineStr">
        <is>
          <t>Erha</t>
        </is>
      </c>
      <c r="D8" s="18" t="inlineStr">
        <is>
          <t>Nigeria</t>
        </is>
      </c>
      <c r="E8" s="18" t="n">
        <v>2024</v>
      </c>
      <c r="F8" s="37" t="n">
        <v>0.0425</v>
      </c>
    </row>
    <row r="9">
      <c r="A9" s="18" t="inlineStr">
        <is>
          <t>MONROE_TRAINER</t>
        </is>
      </c>
      <c r="B9" s="18" t="n">
        <v>1</v>
      </c>
      <c r="C9" s="18" t="inlineStr">
        <is>
          <t>Amenam Blend</t>
        </is>
      </c>
      <c r="D9" s="18" t="inlineStr">
        <is>
          <t>Nigeria</t>
        </is>
      </c>
      <c r="E9" s="18" t="n">
        <v>2024</v>
      </c>
      <c r="F9" s="37" t="n">
        <v>0.0349</v>
      </c>
    </row>
    <row r="10">
      <c r="A10" s="18" t="inlineStr">
        <is>
          <t>MONROE_TRAINER</t>
        </is>
      </c>
      <c r="B10" s="18" t="n">
        <v>1</v>
      </c>
      <c r="C10" s="18" t="inlineStr">
        <is>
          <t>Saharan Blend</t>
        </is>
      </c>
      <c r="D10" s="18" t="inlineStr">
        <is>
          <t>Algeria</t>
        </is>
      </c>
      <c r="E10" s="18" t="n">
        <v>2024</v>
      </c>
      <c r="F10" s="37" t="n">
        <v>0.0282</v>
      </c>
    </row>
    <row r="11">
      <c r="A11" s="18" t="inlineStr">
        <is>
          <t>MONROE_TRAINER</t>
        </is>
      </c>
      <c r="B11" s="18" t="n">
        <v>1</v>
      </c>
      <c r="C11" s="18" t="inlineStr">
        <is>
          <t>Escravos</t>
        </is>
      </c>
      <c r="D11" s="18" t="inlineStr">
        <is>
          <t>Nigeria</t>
        </is>
      </c>
      <c r="E11" s="18" t="n">
        <v>2024</v>
      </c>
      <c r="F11" s="37" t="n">
        <v>0.0211</v>
      </c>
    </row>
    <row r="12">
      <c r="A12" s="18" t="inlineStr">
        <is>
          <t>MONROE_TRAINER</t>
        </is>
      </c>
      <c r="B12" s="18" t="n">
        <v>1</v>
      </c>
      <c r="C12" s="18" t="inlineStr">
        <is>
          <t>Agbami-Ekoli Condensate</t>
        </is>
      </c>
      <c r="D12" s="18" t="inlineStr">
        <is>
          <t>Nigeria</t>
        </is>
      </c>
      <c r="E12" s="18" t="n">
        <v>2024</v>
      </c>
      <c r="F12" s="37" t="n">
        <v>0.0199</v>
      </c>
    </row>
    <row r="13">
      <c r="A13" s="18" t="inlineStr">
        <is>
          <t>MONROE_TRAINER</t>
        </is>
      </c>
      <c r="B13" s="18" t="n">
        <v>1</v>
      </c>
      <c r="C13" s="18" t="inlineStr">
        <is>
          <t>Brass River</t>
        </is>
      </c>
      <c r="D13" s="18" t="inlineStr">
        <is>
          <t>Nigeria</t>
        </is>
      </c>
      <c r="E13" s="18" t="n">
        <v>2024</v>
      </c>
      <c r="F13" s="37" t="n">
        <v>0.0162</v>
      </c>
    </row>
    <row r="14">
      <c r="A14" s="18" t="inlineStr">
        <is>
          <t>MONROE_TRAINER</t>
        </is>
      </c>
      <c r="B14" s="18" t="n">
        <v>1</v>
      </c>
      <c r="C14" s="18" t="inlineStr">
        <is>
          <t>Yoho</t>
        </is>
      </c>
      <c r="D14" s="18" t="inlineStr">
        <is>
          <t>Nigeria</t>
        </is>
      </c>
      <c r="E14" s="18" t="n">
        <v>2024</v>
      </c>
      <c r="F14" s="37" t="n">
        <v>0.0162</v>
      </c>
    </row>
    <row r="15">
      <c r="A15" s="18" t="inlineStr">
        <is>
          <t>MONROE_TRAINER</t>
        </is>
      </c>
      <c r="B15" s="18" t="n">
        <v>1</v>
      </c>
      <c r="C15" s="18" t="inlineStr">
        <is>
          <t>Jubilee</t>
        </is>
      </c>
      <c r="D15" s="18" t="inlineStr">
        <is>
          <t>Ghana</t>
        </is>
      </c>
      <c r="E15" s="18" t="n">
        <v>2024</v>
      </c>
      <c r="F15" s="37" t="n">
        <v>0.0161</v>
      </c>
    </row>
    <row r="16">
      <c r="A16" s="18" t="inlineStr">
        <is>
          <t>MONROE_TRAINER</t>
        </is>
      </c>
      <c r="B16" s="18" t="n">
        <v>1</v>
      </c>
      <c r="C16" s="18" t="inlineStr">
        <is>
          <t>Bonny Light</t>
        </is>
      </c>
      <c r="D16" s="18" t="inlineStr">
        <is>
          <t>Nigeria</t>
        </is>
      </c>
      <c r="E16" s="18" t="n">
        <v>2024</v>
      </c>
      <c r="F16" s="37" t="n">
        <v>0.0153</v>
      </c>
    </row>
    <row r="17">
      <c r="A17" s="18" t="inlineStr">
        <is>
          <t>MONROE_TRAINER</t>
        </is>
      </c>
      <c r="B17" s="18" t="n">
        <v>1</v>
      </c>
      <c r="C17" s="18" t="inlineStr">
        <is>
          <t>Domestic NGL Trinidad &amp; Tobago</t>
        </is>
      </c>
      <c r="D17" s="18" t="inlineStr">
        <is>
          <t>Trinidad and Tobago</t>
        </is>
      </c>
      <c r="E17" s="18" t="n">
        <v>2024</v>
      </c>
      <c r="F17" s="37" t="n">
        <v>0.0123</v>
      </c>
    </row>
    <row r="18">
      <c r="A18" s="18" t="inlineStr">
        <is>
          <t>MONROE_TRAINER</t>
        </is>
      </c>
      <c r="B18" s="18" t="n">
        <v>1</v>
      </c>
      <c r="C18" s="18" t="inlineStr">
        <is>
          <t>Troll Blend</t>
        </is>
      </c>
      <c r="D18" s="18" t="inlineStr">
        <is>
          <t>Norway</t>
        </is>
      </c>
      <c r="E18" s="18" t="n">
        <v>2024</v>
      </c>
      <c r="F18" s="37" t="n">
        <v>0.0113</v>
      </c>
    </row>
    <row r="19">
      <c r="A19" s="18" t="inlineStr">
        <is>
          <t>MONROE_TRAINER</t>
        </is>
      </c>
      <c r="B19" s="18" t="n">
        <v>1</v>
      </c>
      <c r="C19" s="18" t="inlineStr">
        <is>
          <t>Elephant</t>
        </is>
      </c>
      <c r="D19" s="18" t="inlineStr">
        <is>
          <t>Libya</t>
        </is>
      </c>
      <c r="E19" s="18" t="n">
        <v>2024</v>
      </c>
      <c r="F19" s="37" t="n">
        <v>0.0098</v>
      </c>
    </row>
    <row r="20">
      <c r="A20" s="18" t="inlineStr">
        <is>
          <t>PHILLIPS_LINDEN</t>
        </is>
      </c>
      <c r="B20" s="18" t="n">
        <v>1</v>
      </c>
      <c r="C20" s="18" t="inlineStr">
        <is>
          <t>Hibernia</t>
        </is>
      </c>
      <c r="D20" s="18" t="inlineStr">
        <is>
          <t>Canada (East Coast)</t>
        </is>
      </c>
      <c r="E20" s="18" t="n">
        <v>2024</v>
      </c>
      <c r="F20" s="37" t="n">
        <v>0.1872</v>
      </c>
    </row>
    <row r="21">
      <c r="A21" s="18" t="inlineStr">
        <is>
          <t>PHILLIPS_LINDEN</t>
        </is>
      </c>
      <c r="B21" s="18" t="n">
        <v>1</v>
      </c>
      <c r="C21" s="18" t="inlineStr">
        <is>
          <t>Es Sider</t>
        </is>
      </c>
      <c r="D21" s="18" t="inlineStr">
        <is>
          <t>Libya</t>
        </is>
      </c>
      <c r="E21" s="18" t="n">
        <v>2024</v>
      </c>
      <c r="F21" s="37" t="n">
        <v>0.1677</v>
      </c>
    </row>
    <row r="22">
      <c r="A22" s="18" t="inlineStr">
        <is>
          <t>PHILLIPS_LINDEN</t>
        </is>
      </c>
      <c r="B22" s="18" t="n">
        <v>1</v>
      </c>
      <c r="C22" s="18" t="inlineStr">
        <is>
          <t>Bakken</t>
        </is>
      </c>
      <c r="D22" s="18" t="inlineStr">
        <is>
          <t>United States</t>
        </is>
      </c>
      <c r="E22" s="18" t="n">
        <v>2024</v>
      </c>
      <c r="F22" s="37" t="n">
        <v>0.1297</v>
      </c>
    </row>
    <row r="23">
      <c r="A23" s="18" t="inlineStr">
        <is>
          <t>PHILLIPS_LINDEN</t>
        </is>
      </c>
      <c r="B23" s="18" t="n">
        <v>1</v>
      </c>
      <c r="C23" s="18" t="inlineStr">
        <is>
          <t>Kissanje Blend</t>
        </is>
      </c>
      <c r="D23" s="18" t="inlineStr">
        <is>
          <t>Angola</t>
        </is>
      </c>
      <c r="E23" s="18" t="n">
        <v>2024</v>
      </c>
      <c r="F23" s="37" t="n">
        <v>0.08810000000000001</v>
      </c>
    </row>
    <row r="24">
      <c r="A24" s="18" t="inlineStr">
        <is>
          <t>PHILLIPS_LINDEN</t>
        </is>
      </c>
      <c r="B24" s="18" t="n">
        <v>1</v>
      </c>
      <c r="C24" s="18" t="inlineStr">
        <is>
          <t>Jubilee</t>
        </is>
      </c>
      <c r="D24" s="18" t="inlineStr">
        <is>
          <t>Ghana</t>
        </is>
      </c>
      <c r="E24" s="18" t="n">
        <v>2024</v>
      </c>
      <c r="F24" s="37" t="n">
        <v>0.0779</v>
      </c>
    </row>
    <row r="25">
      <c r="A25" s="18" t="inlineStr">
        <is>
          <t>PHILLIPS_LINDEN</t>
        </is>
      </c>
      <c r="B25" s="18" t="n">
        <v>1</v>
      </c>
      <c r="C25" s="18" t="inlineStr">
        <is>
          <t>Elephant</t>
        </is>
      </c>
      <c r="D25" s="18" t="inlineStr">
        <is>
          <t>Libya</t>
        </is>
      </c>
      <c r="E25" s="18" t="n">
        <v>2024</v>
      </c>
      <c r="F25" s="37" t="n">
        <v>0.0464</v>
      </c>
    </row>
    <row r="26">
      <c r="A26" s="18" t="inlineStr">
        <is>
          <t>PHILLIPS_LINDEN</t>
        </is>
      </c>
      <c r="B26" s="18" t="n">
        <v>1</v>
      </c>
      <c r="C26" s="18" t="inlineStr">
        <is>
          <t>Terra Nova</t>
        </is>
      </c>
      <c r="D26" s="18" t="inlineStr">
        <is>
          <t>Canada (East Coast)</t>
        </is>
      </c>
      <c r="E26" s="18" t="n">
        <v>2024</v>
      </c>
      <c r="F26" s="37" t="n">
        <v>0.0446</v>
      </c>
    </row>
    <row r="27">
      <c r="A27" s="18" t="inlineStr">
        <is>
          <t>PHILLIPS_LINDEN</t>
        </is>
      </c>
      <c r="B27" s="18" t="n">
        <v>1</v>
      </c>
      <c r="C27" s="18" t="inlineStr">
        <is>
          <t>Saharan Blend</t>
        </is>
      </c>
      <c r="D27" s="18" t="inlineStr">
        <is>
          <t>Algeria</t>
        </is>
      </c>
      <c r="E27" s="18" t="n">
        <v>2024</v>
      </c>
      <c r="F27" s="37" t="n">
        <v>0.0429</v>
      </c>
    </row>
    <row r="28">
      <c r="A28" s="18" t="inlineStr">
        <is>
          <t>PHILLIPS_LINDEN</t>
        </is>
      </c>
      <c r="B28" s="18" t="n">
        <v>1</v>
      </c>
      <c r="C28" s="18" t="inlineStr">
        <is>
          <t>Palanca Blend</t>
        </is>
      </c>
      <c r="D28" s="18" t="inlineStr">
        <is>
          <t>Angola</t>
        </is>
      </c>
      <c r="E28" s="18" t="n">
        <v>2024</v>
      </c>
      <c r="F28" s="37" t="n">
        <v>0.03700000000000001</v>
      </c>
    </row>
    <row r="29">
      <c r="A29" s="18" t="inlineStr">
        <is>
          <t>PHILLIPS_LINDEN</t>
        </is>
      </c>
      <c r="B29" s="18" t="n">
        <v>1</v>
      </c>
      <c r="C29" s="18" t="inlineStr">
        <is>
          <t>West Texas Intermediate</t>
        </is>
      </c>
      <c r="D29" s="18" t="inlineStr">
        <is>
          <t>United States</t>
        </is>
      </c>
      <c r="E29" s="18" t="n">
        <v>2024</v>
      </c>
      <c r="F29" s="37" t="n">
        <v>0.0362</v>
      </c>
    </row>
    <row r="30">
      <c r="A30" s="18" t="inlineStr">
        <is>
          <t>PHILLIPS_LINDEN</t>
        </is>
      </c>
      <c r="B30" s="18" t="n">
        <v>1</v>
      </c>
      <c r="C30" s="18" t="inlineStr">
        <is>
          <t>Brass River</t>
        </is>
      </c>
      <c r="D30" s="18" t="inlineStr">
        <is>
          <t>Nigeria</t>
        </is>
      </c>
      <c r="E30" s="18" t="n">
        <v>2024</v>
      </c>
      <c r="F30" s="37" t="n">
        <v>0.0346</v>
      </c>
    </row>
    <row r="31">
      <c r="A31" s="18" t="inlineStr">
        <is>
          <t>PHILLIPS_LINDEN</t>
        </is>
      </c>
      <c r="B31" s="18" t="n">
        <v>1</v>
      </c>
      <c r="C31" s="18" t="inlineStr">
        <is>
          <t>Johan Sverdrup</t>
        </is>
      </c>
      <c r="D31" s="18" t="inlineStr">
        <is>
          <t>Norway</t>
        </is>
      </c>
      <c r="E31" s="18" t="n">
        <v>2024</v>
      </c>
      <c r="F31" s="37" t="n">
        <v>0.025</v>
      </c>
    </row>
    <row r="32">
      <c r="A32" s="18" t="inlineStr">
        <is>
          <t>PHILLIPS_LINDEN</t>
        </is>
      </c>
      <c r="B32" s="18" t="n">
        <v>1</v>
      </c>
      <c r="C32" s="18" t="inlineStr">
        <is>
          <t>Sankofa East</t>
        </is>
      </c>
      <c r="D32" s="18" t="inlineStr">
        <is>
          <t>Ghana</t>
        </is>
      </c>
      <c r="E32" s="18" t="n">
        <v>2024</v>
      </c>
      <c r="F32" s="37" t="n">
        <v>0.0234</v>
      </c>
    </row>
    <row r="33">
      <c r="A33" s="18" t="inlineStr">
        <is>
          <t>PHILLIPS_LINDEN</t>
        </is>
      </c>
      <c r="B33" s="18" t="n">
        <v>1</v>
      </c>
      <c r="C33" s="18" t="inlineStr">
        <is>
          <t>EA</t>
        </is>
      </c>
      <c r="D33" s="18" t="inlineStr">
        <is>
          <t>Nigeria</t>
        </is>
      </c>
      <c r="E33" s="18" t="n">
        <v>2024</v>
      </c>
      <c r="F33" s="37" t="n">
        <v>0.023</v>
      </c>
    </row>
    <row r="34">
      <c r="A34" s="18" t="inlineStr">
        <is>
          <t>PHILLIPS_LINDEN</t>
        </is>
      </c>
      <c r="B34" s="18" t="n">
        <v>1</v>
      </c>
      <c r="C34" s="18" t="inlineStr">
        <is>
          <t>Eagle Ford Crude</t>
        </is>
      </c>
      <c r="D34" s="18" t="inlineStr">
        <is>
          <t>United States</t>
        </is>
      </c>
      <c r="E34" s="18" t="n">
        <v>2024</v>
      </c>
      <c r="F34" s="37" t="n">
        <v>0.0221</v>
      </c>
    </row>
    <row r="35">
      <c r="A35" s="18" t="inlineStr">
        <is>
          <t>PHILLIPS_LINDEN</t>
        </is>
      </c>
      <c r="B35" s="18" t="n">
        <v>1</v>
      </c>
      <c r="C35" s="18" t="inlineStr">
        <is>
          <t>White Rose</t>
        </is>
      </c>
      <c r="D35" s="18" t="inlineStr">
        <is>
          <t>Canada (East Coast)</t>
        </is>
      </c>
      <c r="E35" s="18" t="n">
        <v>2024</v>
      </c>
      <c r="F35" s="37" t="n">
        <v>0.008199999999999999</v>
      </c>
    </row>
    <row r="36">
      <c r="A36" s="18" t="inlineStr">
        <is>
          <t>PHILLIPS_LINDEN</t>
        </is>
      </c>
      <c r="B36" s="18" t="n">
        <v>1</v>
      </c>
      <c r="C36" s="18" t="inlineStr">
        <is>
          <t>Escravos</t>
        </is>
      </c>
      <c r="D36" s="18" t="inlineStr">
        <is>
          <t>Nigeria</t>
        </is>
      </c>
      <c r="E36" s="18" t="n">
        <v>2024</v>
      </c>
      <c r="F36" s="37" t="n">
        <v>0.006</v>
      </c>
    </row>
    <row r="37">
      <c r="A37" s="18" t="inlineStr">
        <is>
          <t>UNITED_WARREN</t>
        </is>
      </c>
      <c r="B37" s="18" t="n">
        <v>1</v>
      </c>
      <c r="C37" s="18" t="inlineStr">
        <is>
          <t>Tight Oil Canada Saskatchewan Midale</t>
        </is>
      </c>
      <c r="D37" s="18" t="inlineStr">
        <is>
          <t>Canada (Saskatchewan)</t>
        </is>
      </c>
      <c r="E37" s="18" t="n">
        <v>2024</v>
      </c>
      <c r="F37" s="37" t="n">
        <v>0.5184000000000001</v>
      </c>
    </row>
    <row r="38">
      <c r="A38" s="18" t="inlineStr">
        <is>
          <t>UNITED_WARREN</t>
        </is>
      </c>
      <c r="B38" s="18" t="n">
        <v>1</v>
      </c>
      <c r="C38" s="18" t="inlineStr">
        <is>
          <t>Bow River</t>
        </is>
      </c>
      <c r="D38" s="18" t="inlineStr">
        <is>
          <t>Canada</t>
        </is>
      </c>
      <c r="E38" s="18" t="n">
        <v>2024</v>
      </c>
      <c r="F38" s="37" t="n">
        <v>0.4709</v>
      </c>
    </row>
    <row r="39">
      <c r="A39" s="18" t="inlineStr">
        <is>
          <t>UNITED_WARREN</t>
        </is>
      </c>
      <c r="B39" s="18" t="n">
        <v>1</v>
      </c>
      <c r="C39" s="18" t="inlineStr">
        <is>
          <t>Pennsylvania Grade 43.0</t>
        </is>
      </c>
      <c r="D39" s="18" t="inlineStr">
        <is>
          <t>United States</t>
        </is>
      </c>
      <c r="E39" s="18" t="n">
        <v>2024</v>
      </c>
      <c r="F39" s="37" t="n">
        <v>0.0107</v>
      </c>
    </row>
    <row r="40">
      <c r="A40" s="18" t="inlineStr">
        <is>
          <t>BP_WHITING</t>
        </is>
      </c>
      <c r="B40" s="18" t="n">
        <v>2</v>
      </c>
      <c r="C40" s="18" t="inlineStr">
        <is>
          <t>Lloyd Blend</t>
        </is>
      </c>
      <c r="D40" s="18" t="inlineStr">
        <is>
          <t>United States</t>
        </is>
      </c>
      <c r="E40" s="18" t="n">
        <v>2024</v>
      </c>
      <c r="F40" s="37" t="n">
        <v>0.2145</v>
      </c>
    </row>
    <row r="41">
      <c r="A41" s="18" t="inlineStr">
        <is>
          <t>BP_WHITING</t>
        </is>
      </c>
      <c r="B41" s="18" t="n">
        <v>2</v>
      </c>
      <c r="C41" s="18" t="inlineStr">
        <is>
          <t>Cold Lake</t>
        </is>
      </c>
      <c r="D41" s="18" t="inlineStr">
        <is>
          <t>Canada (Oil Sands)</t>
        </is>
      </c>
      <c r="E41" s="18" t="n">
        <v>2024</v>
      </c>
      <c r="F41" s="37" t="n">
        <v>0.1827</v>
      </c>
    </row>
    <row r="42">
      <c r="A42" s="18" t="inlineStr">
        <is>
          <t>BP_WHITING</t>
        </is>
      </c>
      <c r="B42" s="18" t="n">
        <v>2</v>
      </c>
      <c r="C42" s="18" t="inlineStr">
        <is>
          <t>West Texas Intermediate</t>
        </is>
      </c>
      <c r="D42" s="18" t="inlineStr">
        <is>
          <t>United States</t>
        </is>
      </c>
      <c r="E42" s="18" t="n">
        <v>2024</v>
      </c>
      <c r="F42" s="37" t="n">
        <v>0.1494</v>
      </c>
    </row>
    <row r="43">
      <c r="A43" s="18" t="inlineStr">
        <is>
          <t>BP_WHITING</t>
        </is>
      </c>
      <c r="B43" s="18" t="n">
        <v>2</v>
      </c>
      <c r="C43" s="18" t="inlineStr">
        <is>
          <t>Wabasca</t>
        </is>
      </c>
      <c r="D43" s="18" t="inlineStr">
        <is>
          <t>Canada</t>
        </is>
      </c>
      <c r="E43" s="18" t="n">
        <v>2024</v>
      </c>
      <c r="F43" s="37" t="n">
        <v>0.1321</v>
      </c>
    </row>
    <row r="44">
      <c r="A44" s="18" t="inlineStr">
        <is>
          <t>BP_WHITING</t>
        </is>
      </c>
      <c r="B44" s="18" t="n">
        <v>2</v>
      </c>
      <c r="C44" s="18" t="inlineStr">
        <is>
          <t>Oil Sands Synthetic</t>
        </is>
      </c>
      <c r="D44" s="18" t="inlineStr">
        <is>
          <t>Canada (Oil Sands)</t>
        </is>
      </c>
      <c r="E44" s="18" t="n">
        <v>2024</v>
      </c>
      <c r="F44" s="37" t="n">
        <v>0.1083</v>
      </c>
    </row>
    <row r="45">
      <c r="A45" s="18" t="inlineStr">
        <is>
          <t>BP_WHITING</t>
        </is>
      </c>
      <c r="B45" s="18" t="n">
        <v>2</v>
      </c>
      <c r="C45" s="18" t="inlineStr">
        <is>
          <t>Bakken</t>
        </is>
      </c>
      <c r="D45" s="18" t="inlineStr">
        <is>
          <t>United States</t>
        </is>
      </c>
      <c r="E45" s="18" t="n">
        <v>2024</v>
      </c>
      <c r="F45" s="37" t="n">
        <v>0.08130000000000001</v>
      </c>
    </row>
    <row r="46">
      <c r="A46" s="18" t="inlineStr">
        <is>
          <t>BP_WHITING</t>
        </is>
      </c>
      <c r="B46" s="18" t="n">
        <v>2</v>
      </c>
      <c r="C46" s="18" t="inlineStr">
        <is>
          <t>Tight Oil Canada Saskatchewan Midale</t>
        </is>
      </c>
      <c r="D46" s="18" t="inlineStr">
        <is>
          <t>Canada (Saskatchewan)</t>
        </is>
      </c>
      <c r="E46" s="18" t="n">
        <v>2024</v>
      </c>
      <c r="F46" s="37" t="n">
        <v>0.0446</v>
      </c>
    </row>
    <row r="47">
      <c r="A47" s="18" t="inlineStr">
        <is>
          <t>BP_WHITING</t>
        </is>
      </c>
      <c r="B47" s="18" t="n">
        <v>2</v>
      </c>
      <c r="C47" s="18" t="inlineStr">
        <is>
          <t>Niobrara</t>
        </is>
      </c>
      <c r="D47" s="18" t="inlineStr">
        <is>
          <t>United States</t>
        </is>
      </c>
      <c r="E47" s="18" t="n">
        <v>2024</v>
      </c>
      <c r="F47" s="37" t="n">
        <v>0.033</v>
      </c>
    </row>
    <row r="48">
      <c r="A48" s="18" t="inlineStr">
        <is>
          <t>BP_WHITING</t>
        </is>
      </c>
      <c r="B48" s="18" t="n">
        <v>2</v>
      </c>
      <c r="C48" s="18" t="inlineStr">
        <is>
          <t>Mars/Ursa</t>
        </is>
      </c>
      <c r="D48" s="18" t="inlineStr">
        <is>
          <t>US (GOM Deepwater)</t>
        </is>
      </c>
      <c r="E48" s="18" t="n">
        <v>2024</v>
      </c>
      <c r="F48" s="37" t="n">
        <v>0.0114</v>
      </c>
    </row>
    <row r="49">
      <c r="A49" s="18" t="inlineStr">
        <is>
          <t>BP_WHITING</t>
        </is>
      </c>
      <c r="B49" s="18" t="n">
        <v>2</v>
      </c>
      <c r="C49" s="18" t="inlineStr">
        <is>
          <t>Milk River</t>
        </is>
      </c>
      <c r="D49" s="18" t="inlineStr">
        <is>
          <t>Canada</t>
        </is>
      </c>
      <c r="E49" s="18" t="n">
        <v>2024</v>
      </c>
      <c r="F49" s="37" t="n">
        <v>0.011</v>
      </c>
    </row>
    <row r="50">
      <c r="A50" s="18" t="inlineStr">
        <is>
          <t>BP_WHITING</t>
        </is>
      </c>
      <c r="B50" s="18" t="n">
        <v>2</v>
      </c>
      <c r="C50" s="18" t="inlineStr">
        <is>
          <t>Western Canadian Select</t>
        </is>
      </c>
      <c r="D50" s="18" t="inlineStr">
        <is>
          <t>Canada</t>
        </is>
      </c>
      <c r="E50" s="18" t="n">
        <v>2024</v>
      </c>
      <c r="F50" s="37" t="n">
        <v>0.0109</v>
      </c>
    </row>
    <row r="51">
      <c r="A51" s="18" t="inlineStr">
        <is>
          <t>BP_WHITING</t>
        </is>
      </c>
      <c r="B51" s="18" t="n">
        <v>2</v>
      </c>
      <c r="C51" s="18" t="inlineStr">
        <is>
          <t>Generic Synbit</t>
        </is>
      </c>
      <c r="D51" s="18" t="inlineStr">
        <is>
          <t>Canada</t>
        </is>
      </c>
      <c r="E51" s="18" t="n">
        <v>2024</v>
      </c>
      <c r="F51" s="37" t="n">
        <v>0.0089</v>
      </c>
    </row>
    <row r="52">
      <c r="A52" s="18" t="inlineStr">
        <is>
          <t>BP_WHITING</t>
        </is>
      </c>
      <c r="B52" s="18" t="n">
        <v>2</v>
      </c>
      <c r="C52" s="18" t="inlineStr">
        <is>
          <t>Domestic NGL British Columbia Canada</t>
        </is>
      </c>
      <c r="D52" s="18" t="inlineStr">
        <is>
          <t>Canada (British Columbia)</t>
        </is>
      </c>
      <c r="E52" s="18" t="n">
        <v>2024</v>
      </c>
      <c r="F52" s="37" t="n">
        <v>0.004699999999999999</v>
      </c>
    </row>
    <row r="53">
      <c r="A53" s="18" t="inlineStr">
        <is>
          <t>BP_WHITING</t>
        </is>
      </c>
      <c r="B53" s="18" t="n">
        <v>2</v>
      </c>
      <c r="C53" s="18" t="inlineStr">
        <is>
          <t>Suncor Synthetic H</t>
        </is>
      </c>
      <c r="D53" s="18" t="inlineStr">
        <is>
          <t>Canada (Saskatchewan)</t>
        </is>
      </c>
      <c r="E53" s="18" t="n">
        <v>2024</v>
      </c>
      <c r="F53" s="37" t="n">
        <v>0.0036</v>
      </c>
    </row>
    <row r="54">
      <c r="A54" s="18" t="inlineStr">
        <is>
          <t>BP_WHITING</t>
        </is>
      </c>
      <c r="B54" s="18" t="n">
        <v>2</v>
      </c>
      <c r="C54" s="18" t="inlineStr">
        <is>
          <t>West Texas Sour</t>
        </is>
      </c>
      <c r="D54" s="18" t="inlineStr">
        <is>
          <t>United States</t>
        </is>
      </c>
      <c r="E54" s="18" t="n">
        <v>2024</v>
      </c>
      <c r="F54" s="37" t="n">
        <v>0.0027</v>
      </c>
    </row>
    <row r="55">
      <c r="A55" s="18" t="inlineStr">
        <is>
          <t>BP_WHITING</t>
        </is>
      </c>
      <c r="B55" s="18" t="n">
        <v>2</v>
      </c>
      <c r="C55" s="18" t="inlineStr">
        <is>
          <t>Mixed Sweet Blend</t>
        </is>
      </c>
      <c r="D55" s="18" t="inlineStr">
        <is>
          <t>Canada</t>
        </is>
      </c>
      <c r="E55" s="18" t="n">
        <v>2024</v>
      </c>
      <c r="F55" s="37" t="n">
        <v>0.0009</v>
      </c>
    </row>
    <row r="56">
      <c r="A56" s="18" t="inlineStr">
        <is>
          <t>CENOVUS_LIMA</t>
        </is>
      </c>
      <c r="B56" s="18" t="n">
        <v>2</v>
      </c>
      <c r="C56" s="18" t="inlineStr">
        <is>
          <t>Cold Lake</t>
        </is>
      </c>
      <c r="D56" s="18" t="inlineStr">
        <is>
          <t>Canada (Oil Sands)</t>
        </is>
      </c>
      <c r="E56" s="18" t="n">
        <v>2024</v>
      </c>
      <c r="F56" s="37" t="n">
        <v>0.4376</v>
      </c>
    </row>
    <row r="57">
      <c r="A57" s="18" t="inlineStr">
        <is>
          <t>CENOVUS_LIMA</t>
        </is>
      </c>
      <c r="B57" s="18" t="n">
        <v>2</v>
      </c>
      <c r="C57" s="18" t="inlineStr">
        <is>
          <t>Bakken</t>
        </is>
      </c>
      <c r="D57" s="18" t="inlineStr">
        <is>
          <t>United States</t>
        </is>
      </c>
      <c r="E57" s="18" t="n">
        <v>2024</v>
      </c>
      <c r="F57" s="37" t="n">
        <v>0.2256</v>
      </c>
    </row>
    <row r="58">
      <c r="A58" s="18" t="inlineStr">
        <is>
          <t>CENOVUS_LIMA</t>
        </is>
      </c>
      <c r="B58" s="18" t="n">
        <v>2</v>
      </c>
      <c r="C58" s="18" t="inlineStr">
        <is>
          <t>Utica Crude</t>
        </is>
      </c>
      <c r="D58" s="18" t="inlineStr">
        <is>
          <t>United States</t>
        </is>
      </c>
      <c r="E58" s="18" t="n">
        <v>2024</v>
      </c>
      <c r="F58" s="37" t="n">
        <v>0.1495</v>
      </c>
    </row>
    <row r="59">
      <c r="A59" s="18" t="inlineStr">
        <is>
          <t>CENOVUS_LIMA</t>
        </is>
      </c>
      <c r="B59" s="18" t="n">
        <v>2</v>
      </c>
      <c r="C59" s="18" t="inlineStr">
        <is>
          <t>Domestic NGL British Columbia Canada</t>
        </is>
      </c>
      <c r="D59" s="18" t="inlineStr">
        <is>
          <t>Canada (British Columbia)</t>
        </is>
      </c>
      <c r="E59" s="18" t="n">
        <v>2024</v>
      </c>
      <c r="F59" s="37" t="n">
        <v>0.0852</v>
      </c>
    </row>
    <row r="60">
      <c r="A60" s="18" t="inlineStr">
        <is>
          <t>CENOVUS_LIMA</t>
        </is>
      </c>
      <c r="B60" s="18" t="n">
        <v>2</v>
      </c>
      <c r="C60" s="18" t="inlineStr">
        <is>
          <t>Oil Sands Synthetic</t>
        </is>
      </c>
      <c r="D60" s="18" t="inlineStr">
        <is>
          <t>Canada (Oil Sands)</t>
        </is>
      </c>
      <c r="E60" s="18" t="n">
        <v>2024</v>
      </c>
      <c r="F60" s="37" t="n">
        <v>0.0529</v>
      </c>
    </row>
    <row r="61">
      <c r="A61" s="18" t="inlineStr">
        <is>
          <t>CENOVUS_LIMA</t>
        </is>
      </c>
      <c r="B61" s="18" t="n">
        <v>2</v>
      </c>
      <c r="C61" s="18" t="inlineStr">
        <is>
          <t>Mixed Sweet Blend</t>
        </is>
      </c>
      <c r="D61" s="18" t="inlineStr">
        <is>
          <t>Canada</t>
        </is>
      </c>
      <c r="E61" s="18" t="n">
        <v>2024</v>
      </c>
      <c r="F61" s="37" t="n">
        <v>0.0345</v>
      </c>
    </row>
    <row r="62">
      <c r="A62" s="18" t="inlineStr">
        <is>
          <t>CENOVUS_LIMA</t>
        </is>
      </c>
      <c r="B62" s="18" t="n">
        <v>2</v>
      </c>
      <c r="C62" s="18" t="inlineStr">
        <is>
          <t>West Texas Intermediate</t>
        </is>
      </c>
      <c r="D62" s="18" t="inlineStr">
        <is>
          <t>United States</t>
        </is>
      </c>
      <c r="E62" s="18" t="n">
        <v>2024</v>
      </c>
      <c r="F62" s="37" t="n">
        <v>0.008</v>
      </c>
    </row>
    <row r="63">
      <c r="A63" s="18" t="inlineStr">
        <is>
          <t>CENOVUS_LIMA</t>
        </is>
      </c>
      <c r="B63" s="18" t="n">
        <v>2</v>
      </c>
      <c r="C63" s="18" t="inlineStr">
        <is>
          <t>Western Canadian Select</t>
        </is>
      </c>
      <c r="D63" s="18" t="inlineStr">
        <is>
          <t>Canada</t>
        </is>
      </c>
      <c r="E63" s="18" t="n">
        <v>2024</v>
      </c>
      <c r="F63" s="37" t="n">
        <v>0.005600000000000001</v>
      </c>
    </row>
    <row r="64">
      <c r="A64" s="18" t="inlineStr">
        <is>
          <t>CENOVUS_LIMA</t>
        </is>
      </c>
      <c r="B64" s="18" t="n">
        <v>2</v>
      </c>
      <c r="C64" s="18" t="inlineStr">
        <is>
          <t>Wabasca</t>
        </is>
      </c>
      <c r="D64" s="18" t="inlineStr">
        <is>
          <t>Canada</t>
        </is>
      </c>
      <c r="E64" s="18" t="n">
        <v>2024</v>
      </c>
      <c r="F64" s="37" t="n">
        <v>0.0011</v>
      </c>
    </row>
    <row r="65">
      <c r="A65" s="18" t="inlineStr">
        <is>
          <t>CENOVUS_TOLEDO</t>
        </is>
      </c>
      <c r="B65" s="18" t="n">
        <v>2</v>
      </c>
      <c r="C65" s="18" t="inlineStr">
        <is>
          <t>Cold Lake</t>
        </is>
      </c>
      <c r="D65" s="18" t="inlineStr">
        <is>
          <t>Canada (Oil Sands)</t>
        </is>
      </c>
      <c r="E65" s="18" t="n">
        <v>2024</v>
      </c>
      <c r="F65" s="37" t="n">
        <v>0.4471</v>
      </c>
    </row>
    <row r="66">
      <c r="A66" s="18" t="inlineStr">
        <is>
          <t>CENOVUS_TOLEDO</t>
        </is>
      </c>
      <c r="B66" s="18" t="n">
        <v>2</v>
      </c>
      <c r="C66" s="18" t="inlineStr">
        <is>
          <t>West Texas Intermediate</t>
        </is>
      </c>
      <c r="D66" s="18" t="inlineStr">
        <is>
          <t>United States</t>
        </is>
      </c>
      <c r="E66" s="18" t="n">
        <v>2024</v>
      </c>
      <c r="F66" s="37" t="n">
        <v>0.2762</v>
      </c>
    </row>
    <row r="67">
      <c r="A67" s="18" t="inlineStr">
        <is>
          <t>CENOVUS_TOLEDO</t>
        </is>
      </c>
      <c r="B67" s="18" t="n">
        <v>2</v>
      </c>
      <c r="C67" s="18" t="inlineStr">
        <is>
          <t>Oil Sands Synthetic</t>
        </is>
      </c>
      <c r="D67" s="18" t="inlineStr">
        <is>
          <t>Canada (Oil Sands)</t>
        </is>
      </c>
      <c r="E67" s="18" t="n">
        <v>2024</v>
      </c>
      <c r="F67" s="37" t="n">
        <v>0.1962</v>
      </c>
    </row>
    <row r="68">
      <c r="A68" s="18" t="inlineStr">
        <is>
          <t>CENOVUS_TOLEDO</t>
        </is>
      </c>
      <c r="B68" s="18" t="n">
        <v>2</v>
      </c>
      <c r="C68" s="18" t="inlineStr">
        <is>
          <t>Bakken</t>
        </is>
      </c>
      <c r="D68" s="18" t="inlineStr">
        <is>
          <t>United States</t>
        </is>
      </c>
      <c r="E68" s="18" t="n">
        <v>2024</v>
      </c>
      <c r="F68" s="37" t="n">
        <v>0.0737</v>
      </c>
    </row>
    <row r="69">
      <c r="A69" s="18" t="inlineStr">
        <is>
          <t>CENOVUS_TOLEDO</t>
        </is>
      </c>
      <c r="B69" s="18" t="n">
        <v>2</v>
      </c>
      <c r="C69" s="18" t="inlineStr">
        <is>
          <t>Domestic NGL British Columbia Canada</t>
        </is>
      </c>
      <c r="D69" s="18" t="inlineStr">
        <is>
          <t>Canada (British Columbia)</t>
        </is>
      </c>
      <c r="E69" s="18" t="n">
        <v>2024</v>
      </c>
      <c r="F69" s="37" t="n">
        <v>0.0068</v>
      </c>
    </row>
    <row r="70">
      <c r="A70" s="18" t="inlineStr">
        <is>
          <t>CENOVUS_WOOD_RIVER</t>
        </is>
      </c>
      <c r="B70" s="18" t="n">
        <v>2</v>
      </c>
      <c r="C70" s="18" t="inlineStr">
        <is>
          <t>West Texas Intermediate</t>
        </is>
      </c>
      <c r="D70" s="18" t="inlineStr">
        <is>
          <t>United States</t>
        </is>
      </c>
      <c r="E70" s="18" t="n">
        <v>2024</v>
      </c>
      <c r="F70" s="37" t="n">
        <v>0.4032</v>
      </c>
    </row>
    <row r="71">
      <c r="A71" s="18" t="inlineStr">
        <is>
          <t>CENOVUS_WOOD_RIVER</t>
        </is>
      </c>
      <c r="B71" s="18" t="n">
        <v>2</v>
      </c>
      <c r="C71" s="18" t="inlineStr">
        <is>
          <t>Western Canadian Select</t>
        </is>
      </c>
      <c r="D71" s="18" t="inlineStr">
        <is>
          <t>Canada</t>
        </is>
      </c>
      <c r="E71" s="18" t="n">
        <v>2024</v>
      </c>
      <c r="F71" s="37" t="n">
        <v>0.2873</v>
      </c>
    </row>
    <row r="72">
      <c r="A72" s="18" t="inlineStr">
        <is>
          <t>CENOVUS_WOOD_RIVER</t>
        </is>
      </c>
      <c r="B72" s="18" t="n">
        <v>2</v>
      </c>
      <c r="C72" s="18" t="inlineStr">
        <is>
          <t>Bakken</t>
        </is>
      </c>
      <c r="D72" s="18" t="inlineStr">
        <is>
          <t>United States</t>
        </is>
      </c>
      <c r="E72" s="18" t="n">
        <v>2024</v>
      </c>
      <c r="F72" s="37" t="n">
        <v>0.151</v>
      </c>
    </row>
    <row r="73">
      <c r="A73" s="18" t="inlineStr">
        <is>
          <t>CENOVUS_WOOD_RIVER</t>
        </is>
      </c>
      <c r="B73" s="18" t="n">
        <v>2</v>
      </c>
      <c r="C73" s="18" t="inlineStr">
        <is>
          <t>Cold Lake</t>
        </is>
      </c>
      <c r="D73" s="18" t="inlineStr">
        <is>
          <t>Canada (Oil Sands)</t>
        </is>
      </c>
      <c r="E73" s="18" t="n">
        <v>2024</v>
      </c>
      <c r="F73" s="37" t="n">
        <v>0.0984</v>
      </c>
    </row>
    <row r="74">
      <c r="A74" s="18" t="inlineStr">
        <is>
          <t>CENOVUS_WOOD_RIVER</t>
        </is>
      </c>
      <c r="B74" s="18" t="n">
        <v>2</v>
      </c>
      <c r="C74" s="18" t="inlineStr">
        <is>
          <t>Lloyd Blend</t>
        </is>
      </c>
      <c r="D74" s="18" t="inlineStr">
        <is>
          <t>United States</t>
        </is>
      </c>
      <c r="E74" s="18" t="n">
        <v>2024</v>
      </c>
      <c r="F74" s="37" t="n">
        <v>0.047</v>
      </c>
    </row>
    <row r="75">
      <c r="A75" s="18" t="inlineStr">
        <is>
          <t>CENOVUS_WOOD_RIVER</t>
        </is>
      </c>
      <c r="B75" s="18" t="n">
        <v>2</v>
      </c>
      <c r="C75" s="18" t="inlineStr">
        <is>
          <t>White Rose</t>
        </is>
      </c>
      <c r="D75" s="18" t="inlineStr">
        <is>
          <t>Canada (East Coast)</t>
        </is>
      </c>
      <c r="E75" s="18" t="n">
        <v>2024</v>
      </c>
      <c r="F75" s="37" t="n">
        <v>0.01</v>
      </c>
    </row>
    <row r="76">
      <c r="A76" s="18" t="inlineStr">
        <is>
          <t>CENOVUS_WOOD_RIVER</t>
        </is>
      </c>
      <c r="B76" s="18" t="n">
        <v>2</v>
      </c>
      <c r="C76" s="18" t="inlineStr">
        <is>
          <t>Suncor Synthetic H</t>
        </is>
      </c>
      <c r="D76" s="18" t="inlineStr">
        <is>
          <t>Canada (Saskatchewan)</t>
        </is>
      </c>
      <c r="E76" s="18" t="n">
        <v>2024</v>
      </c>
      <c r="F76" s="37" t="n">
        <v>0.0017</v>
      </c>
    </row>
    <row r="77">
      <c r="A77" s="18" t="inlineStr">
        <is>
          <t>CENOVUS_WOOD_RIVER</t>
        </is>
      </c>
      <c r="B77" s="18" t="n">
        <v>2</v>
      </c>
      <c r="C77" s="18" t="inlineStr">
        <is>
          <t>Albian Heavy Synthetic</t>
        </is>
      </c>
      <c r="D77" s="18" t="inlineStr">
        <is>
          <t>Canada (Saskatchewan)</t>
        </is>
      </c>
      <c r="E77" s="18" t="n">
        <v>2024</v>
      </c>
      <c r="F77" s="37" t="n">
        <v>0.0008</v>
      </c>
    </row>
    <row r="78">
      <c r="A78" s="18" t="inlineStr">
        <is>
          <t>CENOVUS_WOOD_RIVER</t>
        </is>
      </c>
      <c r="B78" s="18" t="n">
        <v>2</v>
      </c>
      <c r="C78" s="18" t="inlineStr">
        <is>
          <t>Oil Sands Synthetic</t>
        </is>
      </c>
      <c r="D78" s="18" t="inlineStr">
        <is>
          <t>Canada (Oil Sands)</t>
        </is>
      </c>
      <c r="E78" s="18" t="n">
        <v>2024</v>
      </c>
      <c r="F78" s="37" t="n">
        <v>0.0005999999999999999</v>
      </c>
    </row>
    <row r="79">
      <c r="A79" s="18" t="inlineStr">
        <is>
          <t>CITGO_LEMONT</t>
        </is>
      </c>
      <c r="B79" s="18" t="n">
        <v>2</v>
      </c>
      <c r="C79" s="18" t="inlineStr">
        <is>
          <t>Bow River</t>
        </is>
      </c>
      <c r="D79" s="18" t="inlineStr">
        <is>
          <t>Canada</t>
        </is>
      </c>
      <c r="E79" s="18" t="n">
        <v>2024</v>
      </c>
      <c r="F79" s="37" t="n">
        <v>0.5676</v>
      </c>
    </row>
    <row r="80">
      <c r="A80" s="18" t="inlineStr">
        <is>
          <t>CITGO_LEMONT</t>
        </is>
      </c>
      <c r="B80" s="18" t="n">
        <v>2</v>
      </c>
      <c r="C80" s="18" t="inlineStr">
        <is>
          <t>Tight Oil Canada Saskatchewan Midale</t>
        </is>
      </c>
      <c r="D80" s="18" t="inlineStr">
        <is>
          <t>Canada (Saskatchewan)</t>
        </is>
      </c>
      <c r="E80" s="18" t="n">
        <v>2024</v>
      </c>
      <c r="F80" s="37" t="n">
        <v>0.2685</v>
      </c>
    </row>
    <row r="81">
      <c r="A81" s="18" t="inlineStr">
        <is>
          <t>CITGO_LEMONT</t>
        </is>
      </c>
      <c r="B81" s="18" t="n">
        <v>2</v>
      </c>
      <c r="C81" s="18" t="inlineStr">
        <is>
          <t>West Texas Intermediate</t>
        </is>
      </c>
      <c r="D81" s="18" t="inlineStr">
        <is>
          <t>United States</t>
        </is>
      </c>
      <c r="E81" s="18" t="n">
        <v>2024</v>
      </c>
      <c r="F81" s="37" t="n">
        <v>0.1639</v>
      </c>
    </row>
    <row r="82">
      <c r="A82" s="18" t="inlineStr">
        <is>
          <t>CVR_COFFEYVILLE</t>
        </is>
      </c>
      <c r="B82" s="18" t="n">
        <v>2</v>
      </c>
      <c r="C82" s="18" t="inlineStr">
        <is>
          <t>West Texas Intermediate</t>
        </is>
      </c>
      <c r="D82" s="18" t="inlineStr">
        <is>
          <t>United States</t>
        </is>
      </c>
      <c r="E82" s="18" t="n">
        <v>2024</v>
      </c>
      <c r="F82" s="37" t="n">
        <v>0.5411</v>
      </c>
    </row>
    <row r="83">
      <c r="A83" s="18" t="inlineStr">
        <is>
          <t>CVR_COFFEYVILLE</t>
        </is>
      </c>
      <c r="B83" s="18" t="n">
        <v>2</v>
      </c>
      <c r="C83" s="18" t="inlineStr">
        <is>
          <t>Kansas Sweet</t>
        </is>
      </c>
      <c r="D83" s="18" t="inlineStr">
        <is>
          <t>United States</t>
        </is>
      </c>
      <c r="E83" s="18" t="n">
        <v>2024</v>
      </c>
      <c r="F83" s="37" t="n">
        <v>0.2983</v>
      </c>
    </row>
    <row r="84">
      <c r="A84" s="18" t="inlineStr">
        <is>
          <t>CVR_COFFEYVILLE</t>
        </is>
      </c>
      <c r="B84" s="18" t="n">
        <v>2</v>
      </c>
      <c r="C84" s="18" t="inlineStr">
        <is>
          <t>Cold Lake</t>
        </is>
      </c>
      <c r="D84" s="18" t="inlineStr">
        <is>
          <t>Canada (Oil Sands)</t>
        </is>
      </c>
      <c r="E84" s="18" t="n">
        <v>2024</v>
      </c>
      <c r="F84" s="37" t="n">
        <v>0.0706</v>
      </c>
    </row>
    <row r="85">
      <c r="A85" s="18" t="inlineStr">
        <is>
          <t>CVR_COFFEYVILLE</t>
        </is>
      </c>
      <c r="B85" s="18" t="n">
        <v>2</v>
      </c>
      <c r="C85" s="18" t="inlineStr">
        <is>
          <t>Lloyd Blend</t>
        </is>
      </c>
      <c r="D85" s="18" t="inlineStr">
        <is>
          <t>United States</t>
        </is>
      </c>
      <c r="E85" s="18" t="n">
        <v>2024</v>
      </c>
      <c r="F85" s="37" t="n">
        <v>0.0566</v>
      </c>
    </row>
    <row r="86">
      <c r="A86" s="18" t="inlineStr">
        <is>
          <t>CVR_COFFEYVILLE</t>
        </is>
      </c>
      <c r="B86" s="18" t="n">
        <v>2</v>
      </c>
      <c r="C86" s="18" t="inlineStr">
        <is>
          <t>Domestic NGL Alaska United States</t>
        </is>
      </c>
      <c r="D86" s="18" t="inlineStr">
        <is>
          <t>US (Alaska)</t>
        </is>
      </c>
      <c r="E86" s="18" t="n">
        <v>2024</v>
      </c>
      <c r="F86" s="37" t="n">
        <v>0.0241</v>
      </c>
    </row>
    <row r="87">
      <c r="A87" s="18" t="inlineStr">
        <is>
          <t>CVR_COFFEYVILLE</t>
        </is>
      </c>
      <c r="B87" s="18" t="n">
        <v>2</v>
      </c>
      <c r="C87" s="18" t="inlineStr">
        <is>
          <t>Wabasca</t>
        </is>
      </c>
      <c r="D87" s="18" t="inlineStr">
        <is>
          <t>Canada</t>
        </is>
      </c>
      <c r="E87" s="18" t="n">
        <v>2024</v>
      </c>
      <c r="F87" s="37" t="n">
        <v>0.0064</v>
      </c>
    </row>
    <row r="88">
      <c r="A88" s="18" t="inlineStr">
        <is>
          <t>CVR_COFFEYVILLE</t>
        </is>
      </c>
      <c r="B88" s="18" t="n">
        <v>2</v>
      </c>
      <c r="C88" s="18" t="inlineStr">
        <is>
          <t>Oil Sands Synthetic</t>
        </is>
      </c>
      <c r="D88" s="18" t="inlineStr">
        <is>
          <t>Canada (Oil Sands)</t>
        </is>
      </c>
      <c r="E88" s="18" t="n">
        <v>2024</v>
      </c>
      <c r="F88" s="37" t="n">
        <v>0.0016</v>
      </c>
    </row>
    <row r="89">
      <c r="A89" s="18" t="inlineStr">
        <is>
          <t>CVR_COFFEYVILLE</t>
        </is>
      </c>
      <c r="B89" s="18" t="n">
        <v>2</v>
      </c>
      <c r="C89" s="18" t="inlineStr">
        <is>
          <t>Western Canadian Select</t>
        </is>
      </c>
      <c r="D89" s="18" t="inlineStr">
        <is>
          <t>Canada</t>
        </is>
      </c>
      <c r="E89" s="18" t="n">
        <v>2024</v>
      </c>
      <c r="F89" s="37" t="n">
        <v>0.0013</v>
      </c>
    </row>
    <row r="90">
      <c r="A90" s="18" t="inlineStr">
        <is>
          <t>CVR_WYNNEWOOD</t>
        </is>
      </c>
      <c r="B90" s="18" t="n">
        <v>2</v>
      </c>
      <c r="C90" s="18" t="inlineStr">
        <is>
          <t>West Texas Intermediate</t>
        </is>
      </c>
      <c r="D90" s="18" t="inlineStr">
        <is>
          <t>United States</t>
        </is>
      </c>
      <c r="E90" s="18" t="n">
        <v>2024</v>
      </c>
      <c r="F90" s="37" t="n">
        <v>0.8199</v>
      </c>
    </row>
    <row r="91">
      <c r="A91" s="18" t="inlineStr">
        <is>
          <t>CVR_WYNNEWOOD</t>
        </is>
      </c>
      <c r="B91" s="18" t="n">
        <v>2</v>
      </c>
      <c r="C91" s="18" t="inlineStr">
        <is>
          <t>Domestic NGL Alaska United States</t>
        </is>
      </c>
      <c r="D91" s="18" t="inlineStr">
        <is>
          <t>US (Alaska)</t>
        </is>
      </c>
      <c r="E91" s="18" t="n">
        <v>2024</v>
      </c>
      <c r="F91" s="37" t="n">
        <v>0.1627</v>
      </c>
    </row>
    <row r="92">
      <c r="A92" s="18" t="inlineStr">
        <is>
          <t>CVR_WYNNEWOOD</t>
        </is>
      </c>
      <c r="B92" s="18" t="n">
        <v>2</v>
      </c>
      <c r="C92" s="18" t="inlineStr">
        <is>
          <t>East Texas</t>
        </is>
      </c>
      <c r="D92" s="18" t="inlineStr">
        <is>
          <t>United States</t>
        </is>
      </c>
      <c r="E92" s="18" t="n">
        <v>2024</v>
      </c>
      <c r="F92" s="37" t="n">
        <v>0.0174</v>
      </c>
    </row>
    <row r="93">
      <c r="A93" s="18" t="inlineStr">
        <is>
          <t>EXXONMOBIL_JOLIET</t>
        </is>
      </c>
      <c r="B93" s="18" t="n">
        <v>2</v>
      </c>
      <c r="C93" s="18" t="inlineStr">
        <is>
          <t>Cold Lake</t>
        </is>
      </c>
      <c r="D93" s="18" t="inlineStr">
        <is>
          <t>Canada (Oil Sands)</t>
        </is>
      </c>
      <c r="E93" s="18" t="n">
        <v>2024</v>
      </c>
      <c r="F93" s="37" t="n">
        <v>0.5512</v>
      </c>
    </row>
    <row r="94">
      <c r="A94" s="18" t="inlineStr">
        <is>
          <t>EXXONMOBIL_JOLIET</t>
        </is>
      </c>
      <c r="B94" s="18" t="n">
        <v>2</v>
      </c>
      <c r="C94" s="18" t="inlineStr">
        <is>
          <t>Milk River</t>
        </is>
      </c>
      <c r="D94" s="18" t="inlineStr">
        <is>
          <t>Canada</t>
        </is>
      </c>
      <c r="E94" s="18" t="n">
        <v>2024</v>
      </c>
      <c r="F94" s="37" t="n">
        <v>0.1511</v>
      </c>
    </row>
    <row r="95">
      <c r="A95" s="18" t="inlineStr">
        <is>
          <t>EXXONMOBIL_JOLIET</t>
        </is>
      </c>
      <c r="B95" s="18" t="n">
        <v>2</v>
      </c>
      <c r="C95" s="18" t="inlineStr">
        <is>
          <t>Oil Sands Synthetic</t>
        </is>
      </c>
      <c r="D95" s="18" t="inlineStr">
        <is>
          <t>Canada (Oil Sands)</t>
        </is>
      </c>
      <c r="E95" s="18" t="n">
        <v>2024</v>
      </c>
      <c r="F95" s="37" t="n">
        <v>0.1378</v>
      </c>
    </row>
    <row r="96">
      <c r="A96" s="18" t="inlineStr">
        <is>
          <t>EXXONMOBIL_JOLIET</t>
        </is>
      </c>
      <c r="B96" s="18" t="n">
        <v>2</v>
      </c>
      <c r="C96" s="18" t="inlineStr">
        <is>
          <t>Western Canadian Select</t>
        </is>
      </c>
      <c r="D96" s="18" t="inlineStr">
        <is>
          <t>Canada</t>
        </is>
      </c>
      <c r="E96" s="18" t="n">
        <v>2024</v>
      </c>
      <c r="F96" s="37" t="n">
        <v>0.1202</v>
      </c>
    </row>
    <row r="97">
      <c r="A97" s="18" t="inlineStr">
        <is>
          <t>EXXONMOBIL_JOLIET</t>
        </is>
      </c>
      <c r="B97" s="18" t="n">
        <v>2</v>
      </c>
      <c r="C97" s="18" t="inlineStr">
        <is>
          <t>Domestic NGL British Columbia Canada</t>
        </is>
      </c>
      <c r="D97" s="18" t="inlineStr">
        <is>
          <t>Canada (British Columbia)</t>
        </is>
      </c>
      <c r="E97" s="18" t="n">
        <v>2024</v>
      </c>
      <c r="F97" s="37" t="n">
        <v>0.0217</v>
      </c>
    </row>
    <row r="98">
      <c r="A98" s="18" t="inlineStr">
        <is>
          <t>EXXONMOBIL_JOLIET</t>
        </is>
      </c>
      <c r="B98" s="18" t="n">
        <v>2</v>
      </c>
      <c r="C98" s="18" t="inlineStr">
        <is>
          <t>Tight Oil Canada Saskatchewan Midale</t>
        </is>
      </c>
      <c r="D98" s="18" t="inlineStr">
        <is>
          <t>Canada (Saskatchewan)</t>
        </is>
      </c>
      <c r="E98" s="18" t="n">
        <v>2024</v>
      </c>
      <c r="F98" s="37" t="n">
        <v>0.006500000000000001</v>
      </c>
    </row>
    <row r="99">
      <c r="A99" s="18" t="inlineStr">
        <is>
          <t>EXXONMOBIL_JOLIET</t>
        </is>
      </c>
      <c r="B99" s="18" t="n">
        <v>2</v>
      </c>
      <c r="C99" s="18" t="inlineStr">
        <is>
          <t>Mixed Sweet Blend</t>
        </is>
      </c>
      <c r="D99" s="18" t="inlineStr">
        <is>
          <t>Canada</t>
        </is>
      </c>
      <c r="E99" s="18" t="n">
        <v>2024</v>
      </c>
      <c r="F99" s="37" t="n">
        <v>0.006</v>
      </c>
    </row>
    <row r="100">
      <c r="A100" s="18" t="inlineStr">
        <is>
          <t>EXXONMOBIL_JOLIET</t>
        </is>
      </c>
      <c r="B100" s="18" t="n">
        <v>2</v>
      </c>
      <c r="C100" s="18" t="inlineStr">
        <is>
          <t>Suncor Synthetic H</t>
        </is>
      </c>
      <c r="D100" s="18" t="inlineStr">
        <is>
          <t>Canada (Saskatchewan)</t>
        </is>
      </c>
      <c r="E100" s="18" t="n">
        <v>2024</v>
      </c>
      <c r="F100" s="37" t="n">
        <v>0.0049</v>
      </c>
    </row>
    <row r="101">
      <c r="A101" s="18" t="inlineStr">
        <is>
          <t>EXXONMOBIL_JOLIET</t>
        </is>
      </c>
      <c r="B101" s="18" t="n">
        <v>2</v>
      </c>
      <c r="C101" s="18" t="inlineStr">
        <is>
          <t>Lloyd Blend</t>
        </is>
      </c>
      <c r="D101" s="18" t="inlineStr">
        <is>
          <t>United States</t>
        </is>
      </c>
      <c r="E101" s="18" t="n">
        <v>2024</v>
      </c>
      <c r="F101" s="37" t="n">
        <v>0.0005999999999999999</v>
      </c>
    </row>
    <row r="102">
      <c r="A102" s="18" t="inlineStr">
        <is>
          <t>FLINT_ROSEMOUNT</t>
        </is>
      </c>
      <c r="B102" s="18" t="n">
        <v>2</v>
      </c>
      <c r="C102" s="18" t="inlineStr">
        <is>
          <t>Cold Lake</t>
        </is>
      </c>
      <c r="D102" s="18" t="inlineStr">
        <is>
          <t>Canada (Oil Sands)</t>
        </is>
      </c>
      <c r="E102" s="18" t="n">
        <v>2024</v>
      </c>
      <c r="F102" s="37" t="n">
        <v>0.6236</v>
      </c>
    </row>
    <row r="103">
      <c r="A103" s="18" t="inlineStr">
        <is>
          <t>FLINT_ROSEMOUNT</t>
        </is>
      </c>
      <c r="B103" s="18" t="n">
        <v>2</v>
      </c>
      <c r="C103" s="18" t="inlineStr">
        <is>
          <t>Suncor Synthetic H</t>
        </is>
      </c>
      <c r="D103" s="18" t="inlineStr">
        <is>
          <t>Canada (Saskatchewan)</t>
        </is>
      </c>
      <c r="E103" s="18" t="n">
        <v>2024</v>
      </c>
      <c r="F103" s="37" t="n">
        <v>0.1206</v>
      </c>
    </row>
    <row r="104">
      <c r="A104" s="18" t="inlineStr">
        <is>
          <t>FLINT_ROSEMOUNT</t>
        </is>
      </c>
      <c r="B104" s="18" t="n">
        <v>2</v>
      </c>
      <c r="C104" s="18" t="inlineStr">
        <is>
          <t>Western Canadian Select</t>
        </is>
      </c>
      <c r="D104" s="18" t="inlineStr">
        <is>
          <t>Canada</t>
        </is>
      </c>
      <c r="E104" s="18" t="n">
        <v>2024</v>
      </c>
      <c r="F104" s="37" t="n">
        <v>0.07980000000000001</v>
      </c>
    </row>
    <row r="105">
      <c r="A105" s="18" t="inlineStr">
        <is>
          <t>FLINT_ROSEMOUNT</t>
        </is>
      </c>
      <c r="B105" s="18" t="n">
        <v>2</v>
      </c>
      <c r="C105" s="18" t="inlineStr">
        <is>
          <t>Domestic NGL British Columbia Canada</t>
        </is>
      </c>
      <c r="D105" s="18" t="inlineStr">
        <is>
          <t>Canada (British Columbia)</t>
        </is>
      </c>
      <c r="E105" s="18" t="n">
        <v>2024</v>
      </c>
      <c r="F105" s="37" t="n">
        <v>0.0658</v>
      </c>
    </row>
    <row r="106">
      <c r="A106" s="18" t="inlineStr">
        <is>
          <t>FLINT_ROSEMOUNT</t>
        </is>
      </c>
      <c r="B106" s="18" t="n">
        <v>2</v>
      </c>
      <c r="C106" s="18" t="inlineStr">
        <is>
          <t>Lloyd Blend</t>
        </is>
      </c>
      <c r="D106" s="18" t="inlineStr">
        <is>
          <t>United States</t>
        </is>
      </c>
      <c r="E106" s="18" t="n">
        <v>2024</v>
      </c>
      <c r="F106" s="37" t="n">
        <v>0.0504</v>
      </c>
    </row>
    <row r="107">
      <c r="A107" s="18" t="inlineStr">
        <is>
          <t>FLINT_ROSEMOUNT</t>
        </is>
      </c>
      <c r="B107" s="18" t="n">
        <v>2</v>
      </c>
      <c r="C107" s="18" t="inlineStr">
        <is>
          <t>Bakken</t>
        </is>
      </c>
      <c r="D107" s="18" t="inlineStr">
        <is>
          <t>United States</t>
        </is>
      </c>
      <c r="E107" s="18" t="n">
        <v>2024</v>
      </c>
      <c r="F107" s="37" t="n">
        <v>0.0331</v>
      </c>
    </row>
    <row r="108">
      <c r="A108" s="18" t="inlineStr">
        <is>
          <t>FLINT_ROSEMOUNT</t>
        </is>
      </c>
      <c r="B108" s="18" t="n">
        <v>2</v>
      </c>
      <c r="C108" s="18" t="inlineStr">
        <is>
          <t>Milk River</t>
        </is>
      </c>
      <c r="D108" s="18" t="inlineStr">
        <is>
          <t>Canada</t>
        </is>
      </c>
      <c r="E108" s="18" t="n">
        <v>2024</v>
      </c>
      <c r="F108" s="37" t="n">
        <v>0.0149</v>
      </c>
    </row>
    <row r="109">
      <c r="A109" s="18" t="inlineStr">
        <is>
          <t>FLINT_ROSEMOUNT</t>
        </is>
      </c>
      <c r="B109" s="18" t="n">
        <v>2</v>
      </c>
      <c r="C109" s="18" t="inlineStr">
        <is>
          <t>Mixed Sweet Blend</t>
        </is>
      </c>
      <c r="D109" s="18" t="inlineStr">
        <is>
          <t>Canada</t>
        </is>
      </c>
      <c r="E109" s="18" t="n">
        <v>2024</v>
      </c>
      <c r="F109" s="37" t="n">
        <v>0.0098</v>
      </c>
    </row>
    <row r="110">
      <c r="A110" s="18" t="inlineStr">
        <is>
          <t>FLINT_ROSEMOUNT</t>
        </is>
      </c>
      <c r="B110" s="18" t="n">
        <v>2</v>
      </c>
      <c r="C110" s="18" t="inlineStr">
        <is>
          <t>Tight Oil Canada Saskatchewan Midale</t>
        </is>
      </c>
      <c r="D110" s="18" t="inlineStr">
        <is>
          <t>Canada (Saskatchewan)</t>
        </is>
      </c>
      <c r="E110" s="18" t="n">
        <v>2024</v>
      </c>
      <c r="F110" s="37" t="n">
        <v>0.002</v>
      </c>
    </row>
    <row r="111">
      <c r="A111" s="18" t="inlineStr">
        <is>
          <t>HF_EL_DORADO_KS</t>
        </is>
      </c>
      <c r="B111" s="18" t="n">
        <v>2</v>
      </c>
      <c r="C111" s="18" t="inlineStr">
        <is>
          <t>Lloyd Blend</t>
        </is>
      </c>
      <c r="D111" s="18" t="inlineStr">
        <is>
          <t>United States</t>
        </is>
      </c>
      <c r="E111" s="18" t="n">
        <v>2024</v>
      </c>
      <c r="F111" s="37" t="n">
        <v>0.2394</v>
      </c>
    </row>
    <row r="112">
      <c r="A112" s="18" t="inlineStr">
        <is>
          <t>HF_EL_DORADO_KS</t>
        </is>
      </c>
      <c r="B112" s="18" t="n">
        <v>2</v>
      </c>
      <c r="C112" s="18" t="inlineStr">
        <is>
          <t>Cold Lake</t>
        </is>
      </c>
      <c r="D112" s="18" t="inlineStr">
        <is>
          <t>Canada (Oil Sands)</t>
        </is>
      </c>
      <c r="E112" s="18" t="n">
        <v>2024</v>
      </c>
      <c r="F112" s="37" t="n">
        <v>0.2363</v>
      </c>
    </row>
    <row r="113">
      <c r="A113" s="18" t="inlineStr">
        <is>
          <t>HF_EL_DORADO_KS</t>
        </is>
      </c>
      <c r="B113" s="18" t="n">
        <v>2</v>
      </c>
      <c r="C113" s="18" t="inlineStr">
        <is>
          <t>Wabasca</t>
        </is>
      </c>
      <c r="D113" s="18" t="inlineStr">
        <is>
          <t>Canada</t>
        </is>
      </c>
      <c r="E113" s="18" t="n">
        <v>2024</v>
      </c>
      <c r="F113" s="37" t="n">
        <v>0.2022</v>
      </c>
    </row>
    <row r="114">
      <c r="A114" s="18" t="inlineStr">
        <is>
          <t>HF_EL_DORADO_KS</t>
        </is>
      </c>
      <c r="B114" s="18" t="n">
        <v>2</v>
      </c>
      <c r="C114" s="18" t="inlineStr">
        <is>
          <t>West Texas Intermediate</t>
        </is>
      </c>
      <c r="D114" s="18" t="inlineStr">
        <is>
          <t>United States</t>
        </is>
      </c>
      <c r="E114" s="18" t="n">
        <v>2024</v>
      </c>
      <c r="F114" s="37" t="n">
        <v>0.1959</v>
      </c>
    </row>
    <row r="115">
      <c r="A115" s="18" t="inlineStr">
        <is>
          <t>HF_EL_DORADO_KS</t>
        </is>
      </c>
      <c r="B115" s="18" t="n">
        <v>2</v>
      </c>
      <c r="C115" s="18" t="inlineStr">
        <is>
          <t>Oil Sands Synthetic</t>
        </is>
      </c>
      <c r="D115" s="18" t="inlineStr">
        <is>
          <t>Canada (Oil Sands)</t>
        </is>
      </c>
      <c r="E115" s="18" t="n">
        <v>2024</v>
      </c>
      <c r="F115" s="37" t="n">
        <v>0.06480000000000001</v>
      </c>
    </row>
    <row r="116">
      <c r="A116" s="18" t="inlineStr">
        <is>
          <t>HF_EL_DORADO_KS</t>
        </is>
      </c>
      <c r="B116" s="18" t="n">
        <v>2</v>
      </c>
      <c r="C116" s="18" t="inlineStr">
        <is>
          <t>Niobrara</t>
        </is>
      </c>
      <c r="D116" s="18" t="inlineStr">
        <is>
          <t>United States</t>
        </is>
      </c>
      <c r="E116" s="18" t="n">
        <v>2024</v>
      </c>
      <c r="F116" s="37" t="n">
        <v>0.0614</v>
      </c>
    </row>
    <row r="117">
      <c r="A117" s="18" t="inlineStr">
        <is>
          <t>HF_TULSA</t>
        </is>
      </c>
      <c r="B117" s="18" t="n">
        <v>2</v>
      </c>
      <c r="C117" s="18" t="inlineStr">
        <is>
          <t>West Texas Intermediate</t>
        </is>
      </c>
      <c r="D117" s="18" t="inlineStr">
        <is>
          <t>United States</t>
        </is>
      </c>
      <c r="E117" s="18" t="n">
        <v>2024</v>
      </c>
      <c r="F117" s="37" t="n">
        <v>0.8573000000000001</v>
      </c>
    </row>
    <row r="118">
      <c r="A118" s="18" t="inlineStr">
        <is>
          <t>HF_TULSA</t>
        </is>
      </c>
      <c r="B118" s="18" t="n">
        <v>2</v>
      </c>
      <c r="C118" s="18" t="inlineStr">
        <is>
          <t>Milk River</t>
        </is>
      </c>
      <c r="D118" s="18" t="inlineStr">
        <is>
          <t>Canada</t>
        </is>
      </c>
      <c r="E118" s="18" t="n">
        <v>2024</v>
      </c>
      <c r="F118" s="37" t="n">
        <v>0.1399</v>
      </c>
    </row>
    <row r="119">
      <c r="A119" s="18" t="inlineStr">
        <is>
          <t>HF_TULSA</t>
        </is>
      </c>
      <c r="B119" s="18" t="n">
        <v>2</v>
      </c>
      <c r="C119" s="18" t="inlineStr">
        <is>
          <t>Tight Oil Canada Saskatchewan Midale</t>
        </is>
      </c>
      <c r="D119" s="18" t="inlineStr">
        <is>
          <t>Canada (Saskatchewan)</t>
        </is>
      </c>
      <c r="E119" s="18" t="n">
        <v>2024</v>
      </c>
      <c r="F119" s="37" t="n">
        <v>0.0028</v>
      </c>
    </row>
    <row r="120">
      <c r="A120" s="18" t="inlineStr">
        <is>
          <t>MARATHON_CANTON</t>
        </is>
      </c>
      <c r="B120" s="18" t="n">
        <v>2</v>
      </c>
      <c r="C120" s="18" t="inlineStr">
        <is>
          <t>West Texas Intermediate</t>
        </is>
      </c>
      <c r="D120" s="18" t="inlineStr">
        <is>
          <t>United States</t>
        </is>
      </c>
      <c r="E120" s="18" t="n">
        <v>2024</v>
      </c>
      <c r="F120" s="37" t="n">
        <v>0.7037</v>
      </c>
    </row>
    <row r="121">
      <c r="A121" s="18" t="inlineStr">
        <is>
          <t>MARATHON_CANTON</t>
        </is>
      </c>
      <c r="B121" s="18" t="n">
        <v>2</v>
      </c>
      <c r="C121" s="18" t="inlineStr">
        <is>
          <t>Utica Crude</t>
        </is>
      </c>
      <c r="D121" s="18" t="inlineStr">
        <is>
          <t>United States</t>
        </is>
      </c>
      <c r="E121" s="18" t="n">
        <v>2024</v>
      </c>
      <c r="F121" s="37" t="n">
        <v>0.2212</v>
      </c>
    </row>
    <row r="122">
      <c r="A122" s="18" t="inlineStr">
        <is>
          <t>MARATHON_CANTON</t>
        </is>
      </c>
      <c r="B122" s="18" t="n">
        <v>2</v>
      </c>
      <c r="C122" s="18" t="inlineStr">
        <is>
          <t>Bakken</t>
        </is>
      </c>
      <c r="D122" s="18" t="inlineStr">
        <is>
          <t>United States</t>
        </is>
      </c>
      <c r="E122" s="18" t="n">
        <v>2024</v>
      </c>
      <c r="F122" s="37" t="n">
        <v>0.0751</v>
      </c>
    </row>
    <row r="123">
      <c r="A123" s="18" t="inlineStr">
        <is>
          <t>MARATHON_CATLETTSBURG</t>
        </is>
      </c>
      <c r="B123" s="18" t="n">
        <v>2</v>
      </c>
      <c r="C123" s="18" t="inlineStr">
        <is>
          <t>West Texas Intermediate</t>
        </is>
      </c>
      <c r="D123" s="18" t="inlineStr">
        <is>
          <t>United States</t>
        </is>
      </c>
      <c r="E123" s="18" t="n">
        <v>2024</v>
      </c>
      <c r="F123" s="37" t="n">
        <v>0.6742</v>
      </c>
    </row>
    <row r="124">
      <c r="A124" s="18" t="inlineStr">
        <is>
          <t>MARATHON_CATLETTSBURG</t>
        </is>
      </c>
      <c r="B124" s="18" t="n">
        <v>2</v>
      </c>
      <c r="C124" s="18" t="inlineStr">
        <is>
          <t>Utica Crude</t>
        </is>
      </c>
      <c r="D124" s="18" t="inlineStr">
        <is>
          <t>United States</t>
        </is>
      </c>
      <c r="E124" s="18" t="n">
        <v>2024</v>
      </c>
      <c r="F124" s="37" t="n">
        <v>0.3258</v>
      </c>
    </row>
    <row r="125">
      <c r="A125" s="18" t="inlineStr">
        <is>
          <t>MARATHON_DETROIT</t>
        </is>
      </c>
      <c r="B125" s="18" t="n">
        <v>2</v>
      </c>
      <c r="C125" s="18" t="inlineStr">
        <is>
          <t>Bakken</t>
        </is>
      </c>
      <c r="D125" s="18" t="inlineStr">
        <is>
          <t>United States</t>
        </is>
      </c>
      <c r="E125" s="18" t="n">
        <v>2024</v>
      </c>
      <c r="F125" s="37" t="n">
        <v>0.3878</v>
      </c>
    </row>
    <row r="126">
      <c r="A126" s="18" t="inlineStr">
        <is>
          <t>MARATHON_DETROIT</t>
        </is>
      </c>
      <c r="B126" s="18" t="n">
        <v>2</v>
      </c>
      <c r="C126" s="18" t="inlineStr">
        <is>
          <t>Cold Lake</t>
        </is>
      </c>
      <c r="D126" s="18" t="inlineStr">
        <is>
          <t>Canada (Oil Sands)</t>
        </is>
      </c>
      <c r="E126" s="18" t="n">
        <v>2024</v>
      </c>
      <c r="F126" s="37" t="n">
        <v>0.3845</v>
      </c>
    </row>
    <row r="127">
      <c r="A127" s="18" t="inlineStr">
        <is>
          <t>MARATHON_DETROIT</t>
        </is>
      </c>
      <c r="B127" s="18" t="n">
        <v>2</v>
      </c>
      <c r="C127" s="18" t="inlineStr">
        <is>
          <t>Western Canadian Select</t>
        </is>
      </c>
      <c r="D127" s="18" t="inlineStr">
        <is>
          <t>Canada</t>
        </is>
      </c>
      <c r="E127" s="18" t="n">
        <v>2024</v>
      </c>
      <c r="F127" s="37" t="n">
        <v>0.1852</v>
      </c>
    </row>
    <row r="128">
      <c r="A128" s="18" t="inlineStr">
        <is>
          <t>MARATHON_DETROIT</t>
        </is>
      </c>
      <c r="B128" s="18" t="n">
        <v>2</v>
      </c>
      <c r="C128" s="18" t="inlineStr">
        <is>
          <t>Lloyd Blend</t>
        </is>
      </c>
      <c r="D128" s="18" t="inlineStr">
        <is>
          <t>United States</t>
        </is>
      </c>
      <c r="E128" s="18" t="n">
        <v>2024</v>
      </c>
      <c r="F128" s="37" t="n">
        <v>0.0199</v>
      </c>
    </row>
    <row r="129">
      <c r="A129" s="18" t="inlineStr">
        <is>
          <t>MARATHON_DETROIT</t>
        </is>
      </c>
      <c r="B129" s="18" t="n">
        <v>2</v>
      </c>
      <c r="C129" s="18" t="inlineStr">
        <is>
          <t>Oil Sands Synthetic</t>
        </is>
      </c>
      <c r="D129" s="18" t="inlineStr">
        <is>
          <t>Canada (Oil Sands)</t>
        </is>
      </c>
      <c r="E129" s="18" t="n">
        <v>2024</v>
      </c>
      <c r="F129" s="37" t="n">
        <v>0.0185</v>
      </c>
    </row>
    <row r="130">
      <c r="A130" s="18" t="inlineStr">
        <is>
          <t>MARATHON_DETROIT</t>
        </is>
      </c>
      <c r="B130" s="18" t="n">
        <v>2</v>
      </c>
      <c r="C130" s="18" t="inlineStr">
        <is>
          <t>Albian Heavy Synthetic</t>
        </is>
      </c>
      <c r="D130" s="18" t="inlineStr">
        <is>
          <t>Canada (Saskatchewan)</t>
        </is>
      </c>
      <c r="E130" s="18" t="n">
        <v>2024</v>
      </c>
      <c r="F130" s="37" t="n">
        <v>0.004099999999999999</v>
      </c>
    </row>
    <row r="131">
      <c r="A131" s="18" t="inlineStr">
        <is>
          <t>MARATHON_MANDAN</t>
        </is>
      </c>
      <c r="B131" s="18" t="n">
        <v>2</v>
      </c>
      <c r="C131" s="18" t="inlineStr">
        <is>
          <t>Bakken</t>
        </is>
      </c>
      <c r="D131" s="18" t="inlineStr">
        <is>
          <t>United States</t>
        </is>
      </c>
      <c r="E131" s="18" t="n">
        <v>2024</v>
      </c>
      <c r="F131" s="37" t="n">
        <v>1</v>
      </c>
    </row>
    <row r="132">
      <c r="A132" s="18" t="inlineStr">
        <is>
          <t>MARATHON_ROBINSON</t>
        </is>
      </c>
      <c r="B132" s="18" t="n">
        <v>2</v>
      </c>
      <c r="C132" s="18" t="inlineStr">
        <is>
          <t>Cold Lake</t>
        </is>
      </c>
      <c r="D132" s="18" t="inlineStr">
        <is>
          <t>Canada (Oil Sands)</t>
        </is>
      </c>
      <c r="E132" s="18" t="n">
        <v>2024</v>
      </c>
      <c r="F132" s="37" t="n">
        <v>0.309</v>
      </c>
    </row>
    <row r="133">
      <c r="A133" s="18" t="inlineStr">
        <is>
          <t>MARATHON_ROBINSON</t>
        </is>
      </c>
      <c r="B133" s="18" t="n">
        <v>2</v>
      </c>
      <c r="C133" s="18" t="inlineStr">
        <is>
          <t>Western Canadian Select</t>
        </is>
      </c>
      <c r="D133" s="18" t="inlineStr">
        <is>
          <t>Canada</t>
        </is>
      </c>
      <c r="E133" s="18" t="n">
        <v>2024</v>
      </c>
      <c r="F133" s="37" t="n">
        <v>0.2603</v>
      </c>
    </row>
    <row r="134">
      <c r="A134" s="18" t="inlineStr">
        <is>
          <t>MARATHON_ROBINSON</t>
        </is>
      </c>
      <c r="B134" s="18" t="n">
        <v>2</v>
      </c>
      <c r="C134" s="18" t="inlineStr">
        <is>
          <t>Oil Sands Synthetic</t>
        </is>
      </c>
      <c r="D134" s="18" t="inlineStr">
        <is>
          <t>Canada (Oil Sands)</t>
        </is>
      </c>
      <c r="E134" s="18" t="n">
        <v>2024</v>
      </c>
      <c r="F134" s="37" t="n">
        <v>0.206</v>
      </c>
    </row>
    <row r="135">
      <c r="A135" s="18" t="inlineStr">
        <is>
          <t>MARATHON_ROBINSON</t>
        </is>
      </c>
      <c r="B135" s="18" t="n">
        <v>2</v>
      </c>
      <c r="C135" s="18" t="inlineStr">
        <is>
          <t>Albian Heavy Synthetic</t>
        </is>
      </c>
      <c r="D135" s="18" t="inlineStr">
        <is>
          <t>Canada (Saskatchewan)</t>
        </is>
      </c>
      <c r="E135" s="18" t="n">
        <v>2024</v>
      </c>
      <c r="F135" s="37" t="n">
        <v>0.08560000000000001</v>
      </c>
    </row>
    <row r="136">
      <c r="A136" s="18" t="inlineStr">
        <is>
          <t>MARATHON_ROBINSON</t>
        </is>
      </c>
      <c r="B136" s="18" t="n">
        <v>2</v>
      </c>
      <c r="C136" s="18" t="inlineStr">
        <is>
          <t>Lloyd Blend</t>
        </is>
      </c>
      <c r="D136" s="18" t="inlineStr">
        <is>
          <t>United States</t>
        </is>
      </c>
      <c r="E136" s="18" t="n">
        <v>2024</v>
      </c>
      <c r="F136" s="37" t="n">
        <v>0.0665</v>
      </c>
    </row>
    <row r="137">
      <c r="A137" s="18" t="inlineStr">
        <is>
          <t>MARATHON_ROBINSON</t>
        </is>
      </c>
      <c r="B137" s="18" t="n">
        <v>2</v>
      </c>
      <c r="C137" s="18" t="inlineStr">
        <is>
          <t>Tight Oil Canada Saskatchewan Midale</t>
        </is>
      </c>
      <c r="D137" s="18" t="inlineStr">
        <is>
          <t>Canada (Saskatchewan)</t>
        </is>
      </c>
      <c r="E137" s="18" t="n">
        <v>2024</v>
      </c>
      <c r="F137" s="37" t="n">
        <v>0.0423</v>
      </c>
    </row>
    <row r="138">
      <c r="A138" s="18" t="inlineStr">
        <is>
          <t>MARATHON_ROBINSON</t>
        </is>
      </c>
      <c r="B138" s="18" t="n">
        <v>2</v>
      </c>
      <c r="C138" s="18" t="inlineStr">
        <is>
          <t>White Rose</t>
        </is>
      </c>
      <c r="D138" s="18" t="inlineStr">
        <is>
          <t>Canada (East Coast)</t>
        </is>
      </c>
      <c r="E138" s="18" t="n">
        <v>2024</v>
      </c>
      <c r="F138" s="37" t="n">
        <v>0.0177</v>
      </c>
    </row>
    <row r="139">
      <c r="A139" s="18" t="inlineStr">
        <is>
          <t>MARATHON_ROBINSON</t>
        </is>
      </c>
      <c r="B139" s="18" t="n">
        <v>2</v>
      </c>
      <c r="C139" s="18" t="inlineStr">
        <is>
          <t>Milk River</t>
        </is>
      </c>
      <c r="D139" s="18" t="inlineStr">
        <is>
          <t>Canada</t>
        </is>
      </c>
      <c r="E139" s="18" t="n">
        <v>2024</v>
      </c>
      <c r="F139" s="37" t="n">
        <v>0.0074</v>
      </c>
    </row>
    <row r="140">
      <c r="A140" s="18" t="inlineStr">
        <is>
          <t>MARATHON_ROBINSON</t>
        </is>
      </c>
      <c r="B140" s="18" t="n">
        <v>2</v>
      </c>
      <c r="C140" s="18" t="inlineStr">
        <is>
          <t>W. Canada Conventional Light Sweet (Alberta)</t>
        </is>
      </c>
      <c r="D140" s="18" t="inlineStr">
        <is>
          <t>Canada (Alberta)</t>
        </is>
      </c>
      <c r="E140" s="18" t="n">
        <v>2024</v>
      </c>
      <c r="F140" s="37" t="n">
        <v>0.0052</v>
      </c>
    </row>
    <row r="141">
      <c r="A141" s="18" t="inlineStr">
        <is>
          <t>MARATHON_SAINT_PAUL_PARK</t>
        </is>
      </c>
      <c r="B141" s="18" t="n">
        <v>2</v>
      </c>
      <c r="C141" s="18" t="inlineStr">
        <is>
          <t>Bakken</t>
        </is>
      </c>
      <c r="D141" s="18" t="inlineStr">
        <is>
          <t>United States</t>
        </is>
      </c>
      <c r="E141" s="18" t="n">
        <v>2024</v>
      </c>
      <c r="F141" s="37" t="n">
        <v>0.5777</v>
      </c>
    </row>
    <row r="142">
      <c r="A142" s="18" t="inlineStr">
        <is>
          <t>MARATHON_SAINT_PAUL_PARK</t>
        </is>
      </c>
      <c r="B142" s="18" t="n">
        <v>2</v>
      </c>
      <c r="C142" s="18" t="inlineStr">
        <is>
          <t>Western Canadian Select</t>
        </is>
      </c>
      <c r="D142" s="18" t="inlineStr">
        <is>
          <t>Canada</t>
        </is>
      </c>
      <c r="E142" s="18" t="n">
        <v>2024</v>
      </c>
      <c r="F142" s="37" t="n">
        <v>0.1332</v>
      </c>
    </row>
    <row r="143">
      <c r="A143" s="18" t="inlineStr">
        <is>
          <t>MARATHON_SAINT_PAUL_PARK</t>
        </is>
      </c>
      <c r="B143" s="18" t="n">
        <v>2</v>
      </c>
      <c r="C143" s="18" t="inlineStr">
        <is>
          <t>Cold Lake</t>
        </is>
      </c>
      <c r="D143" s="18" t="inlineStr">
        <is>
          <t>Canada (Oil Sands)</t>
        </is>
      </c>
      <c r="E143" s="18" t="n">
        <v>2024</v>
      </c>
      <c r="F143" s="37" t="n">
        <v>0.1184</v>
      </c>
    </row>
    <row r="144">
      <c r="A144" s="18" t="inlineStr">
        <is>
          <t>MARATHON_SAINT_PAUL_PARK</t>
        </is>
      </c>
      <c r="B144" s="18" t="n">
        <v>2</v>
      </c>
      <c r="C144" s="18" t="inlineStr">
        <is>
          <t>Oil Sands Synthetic</t>
        </is>
      </c>
      <c r="D144" s="18" t="inlineStr">
        <is>
          <t>Canada (Oil Sands)</t>
        </is>
      </c>
      <c r="E144" s="18" t="n">
        <v>2024</v>
      </c>
      <c r="F144" s="37" t="n">
        <v>0.1003</v>
      </c>
    </row>
    <row r="145">
      <c r="A145" s="18" t="inlineStr">
        <is>
          <t>MARATHON_SAINT_PAUL_PARK</t>
        </is>
      </c>
      <c r="B145" s="18" t="n">
        <v>2</v>
      </c>
      <c r="C145" s="18" t="inlineStr">
        <is>
          <t>Tight Oil Canada Saskatchewan Midale</t>
        </is>
      </c>
      <c r="D145" s="18" t="inlineStr">
        <is>
          <t>Canada (Saskatchewan)</t>
        </is>
      </c>
      <c r="E145" s="18" t="n">
        <v>2024</v>
      </c>
      <c r="F145" s="37" t="n">
        <v>0.0461</v>
      </c>
    </row>
    <row r="146">
      <c r="A146" s="18" t="inlineStr">
        <is>
          <t>MARATHON_SAINT_PAUL_PARK</t>
        </is>
      </c>
      <c r="B146" s="18" t="n">
        <v>2</v>
      </c>
      <c r="C146" s="18" t="inlineStr">
        <is>
          <t>W. Canada Conventional Light Sweet (Alberta)</t>
        </is>
      </c>
      <c r="D146" s="18" t="inlineStr">
        <is>
          <t>Canada (Alberta)</t>
        </is>
      </c>
      <c r="E146" s="18" t="n">
        <v>2024</v>
      </c>
      <c r="F146" s="37" t="n">
        <v>0.0178</v>
      </c>
    </row>
    <row r="147">
      <c r="A147" s="18" t="inlineStr">
        <is>
          <t>MARATHON_SAINT_PAUL_PARK</t>
        </is>
      </c>
      <c r="B147" s="18" t="n">
        <v>2</v>
      </c>
      <c r="C147" s="18" t="inlineStr">
        <is>
          <t>Domestic NGL British Columbia Canada</t>
        </is>
      </c>
      <c r="D147" s="18" t="inlineStr">
        <is>
          <t>Canada (British Columbia)</t>
        </is>
      </c>
      <c r="E147" s="18" t="n">
        <v>2024</v>
      </c>
      <c r="F147" s="37" t="n">
        <v>0.0051</v>
      </c>
    </row>
    <row r="148">
      <c r="A148" s="18" t="inlineStr">
        <is>
          <t>MARATHON_SAINT_PAUL_PARK</t>
        </is>
      </c>
      <c r="B148" s="18" t="n">
        <v>2</v>
      </c>
      <c r="C148" s="18" t="inlineStr">
        <is>
          <t>Milk River</t>
        </is>
      </c>
      <c r="D148" s="18" t="inlineStr">
        <is>
          <t>Canada</t>
        </is>
      </c>
      <c r="E148" s="18" t="n">
        <v>2024</v>
      </c>
      <c r="F148" s="37" t="n">
        <v>0.0014</v>
      </c>
    </row>
    <row r="149">
      <c r="A149" s="18" t="inlineStr">
        <is>
          <t>NCRA_MCPHERSON</t>
        </is>
      </c>
      <c r="B149" s="18" t="n">
        <v>2</v>
      </c>
      <c r="C149" s="18" t="inlineStr">
        <is>
          <t>Kansas Sweet</t>
        </is>
      </c>
      <c r="D149" s="18" t="inlineStr">
        <is>
          <t>United States</t>
        </is>
      </c>
      <c r="E149" s="18" t="n">
        <v>2024</v>
      </c>
      <c r="F149" s="37" t="n">
        <v>0.4739</v>
      </c>
    </row>
    <row r="150">
      <c r="A150" s="18" t="inlineStr">
        <is>
          <t>NCRA_MCPHERSON</t>
        </is>
      </c>
      <c r="B150" s="18" t="n">
        <v>2</v>
      </c>
      <c r="C150" s="18" t="inlineStr">
        <is>
          <t>Lloyd Blend</t>
        </is>
      </c>
      <c r="D150" s="18" t="inlineStr">
        <is>
          <t>United States</t>
        </is>
      </c>
      <c r="E150" s="18" t="n">
        <v>2024</v>
      </c>
      <c r="F150" s="37" t="n">
        <v>0.2371</v>
      </c>
    </row>
    <row r="151">
      <c r="A151" s="18" t="inlineStr">
        <is>
          <t>NCRA_MCPHERSON</t>
        </is>
      </c>
      <c r="B151" s="18" t="n">
        <v>2</v>
      </c>
      <c r="C151" s="18" t="inlineStr">
        <is>
          <t>Niobrara</t>
        </is>
      </c>
      <c r="D151" s="18" t="inlineStr">
        <is>
          <t>United States</t>
        </is>
      </c>
      <c r="E151" s="18" t="n">
        <v>2024</v>
      </c>
      <c r="F151" s="37" t="n">
        <v>0.1784</v>
      </c>
    </row>
    <row r="152">
      <c r="A152" s="18" t="inlineStr">
        <is>
          <t>NCRA_MCPHERSON</t>
        </is>
      </c>
      <c r="B152" s="18" t="n">
        <v>2</v>
      </c>
      <c r="C152" s="18" t="inlineStr">
        <is>
          <t>Suncor Synthetic H</t>
        </is>
      </c>
      <c r="D152" s="18" t="inlineStr">
        <is>
          <t>Canada (Saskatchewan)</t>
        </is>
      </c>
      <c r="E152" s="18" t="n">
        <v>2024</v>
      </c>
      <c r="F152" s="37" t="n">
        <v>0.06709999999999999</v>
      </c>
    </row>
    <row r="153">
      <c r="A153" s="18" t="inlineStr">
        <is>
          <t>NCRA_MCPHERSON</t>
        </is>
      </c>
      <c r="B153" s="18" t="n">
        <v>2</v>
      </c>
      <c r="C153" s="18" t="inlineStr">
        <is>
          <t>Bakken</t>
        </is>
      </c>
      <c r="D153" s="18" t="inlineStr">
        <is>
          <t>United States</t>
        </is>
      </c>
      <c r="E153" s="18" t="n">
        <v>2024</v>
      </c>
      <c r="F153" s="37" t="n">
        <v>0.0326</v>
      </c>
    </row>
    <row r="154">
      <c r="A154" s="18" t="inlineStr">
        <is>
          <t>NCRA_MCPHERSON</t>
        </is>
      </c>
      <c r="B154" s="18" t="n">
        <v>2</v>
      </c>
      <c r="C154" s="18" t="inlineStr">
        <is>
          <t>Cold Lake</t>
        </is>
      </c>
      <c r="D154" s="18" t="inlineStr">
        <is>
          <t>Canada (Oil Sands)</t>
        </is>
      </c>
      <c r="E154" s="18" t="n">
        <v>2024</v>
      </c>
      <c r="F154" s="37" t="n">
        <v>0.0109</v>
      </c>
    </row>
    <row r="155">
      <c r="A155" s="18" t="inlineStr">
        <is>
          <t>PBF_TOLEDO</t>
        </is>
      </c>
      <c r="B155" s="18" t="n">
        <v>2</v>
      </c>
      <c r="C155" s="18" t="inlineStr">
        <is>
          <t>West Texas Intermediate</t>
        </is>
      </c>
      <c r="D155" s="18" t="inlineStr">
        <is>
          <t>United States</t>
        </is>
      </c>
      <c r="E155" s="18" t="n">
        <v>2024</v>
      </c>
      <c r="F155" s="37" t="n">
        <v>0.5344</v>
      </c>
    </row>
    <row r="156">
      <c r="A156" s="18" t="inlineStr">
        <is>
          <t>PBF_TOLEDO</t>
        </is>
      </c>
      <c r="B156" s="18" t="n">
        <v>2</v>
      </c>
      <c r="C156" s="18" t="inlineStr">
        <is>
          <t>Oil Sands Synthetic</t>
        </is>
      </c>
      <c r="D156" s="18" t="inlineStr">
        <is>
          <t>Canada (Oil Sands)</t>
        </is>
      </c>
      <c r="E156" s="18" t="n">
        <v>2024</v>
      </c>
      <c r="F156" s="37" t="n">
        <v>0.32</v>
      </c>
    </row>
    <row r="157">
      <c r="A157" s="18" t="inlineStr">
        <is>
          <t>PBF_TOLEDO</t>
        </is>
      </c>
      <c r="B157" s="18" t="n">
        <v>2</v>
      </c>
      <c r="C157" s="18" t="inlineStr">
        <is>
          <t>Domestic NGL British Columbia Canada</t>
        </is>
      </c>
      <c r="D157" s="18" t="inlineStr">
        <is>
          <t>Canada (British Columbia)</t>
        </is>
      </c>
      <c r="E157" s="18" t="n">
        <v>2024</v>
      </c>
      <c r="F157" s="37" t="n">
        <v>0.0547</v>
      </c>
    </row>
    <row r="158">
      <c r="A158" s="18" t="inlineStr">
        <is>
          <t>PBF_TOLEDO</t>
        </is>
      </c>
      <c r="B158" s="18" t="n">
        <v>2</v>
      </c>
      <c r="C158" s="18" t="inlineStr">
        <is>
          <t>Bakken</t>
        </is>
      </c>
      <c r="D158" s="18" t="inlineStr">
        <is>
          <t>United States</t>
        </is>
      </c>
      <c r="E158" s="18" t="n">
        <v>2024</v>
      </c>
      <c r="F158" s="37" t="n">
        <v>0.0441</v>
      </c>
    </row>
    <row r="159">
      <c r="A159" s="18" t="inlineStr">
        <is>
          <t>PBF_TOLEDO</t>
        </is>
      </c>
      <c r="B159" s="18" t="n">
        <v>2</v>
      </c>
      <c r="C159" s="18" t="inlineStr">
        <is>
          <t>White Rose</t>
        </is>
      </c>
      <c r="D159" s="18" t="inlineStr">
        <is>
          <t>Canada (East Coast)</t>
        </is>
      </c>
      <c r="E159" s="18" t="n">
        <v>2024</v>
      </c>
      <c r="F159" s="37" t="n">
        <v>0.0222</v>
      </c>
    </row>
    <row r="160">
      <c r="A160" s="18" t="inlineStr">
        <is>
          <t>PBF_TOLEDO</t>
        </is>
      </c>
      <c r="B160" s="18" t="n">
        <v>2</v>
      </c>
      <c r="C160" s="18" t="inlineStr">
        <is>
          <t>Mixed Sweet Blend</t>
        </is>
      </c>
      <c r="D160" s="18" t="inlineStr">
        <is>
          <t>Canada</t>
        </is>
      </c>
      <c r="E160" s="18" t="n">
        <v>2024</v>
      </c>
      <c r="F160" s="37" t="n">
        <v>0.0154</v>
      </c>
    </row>
    <row r="161">
      <c r="A161" s="18" t="inlineStr">
        <is>
          <t>PBF_TOLEDO</t>
        </is>
      </c>
      <c r="B161" s="18" t="n">
        <v>2</v>
      </c>
      <c r="C161" s="18" t="inlineStr">
        <is>
          <t>Hibernia</t>
        </is>
      </c>
      <c r="D161" s="18" t="inlineStr">
        <is>
          <t>Canada (East Coast)</t>
        </is>
      </c>
      <c r="E161" s="18" t="n">
        <v>2024</v>
      </c>
      <c r="F161" s="37" t="n">
        <v>0.008199999999999999</v>
      </c>
    </row>
    <row r="162">
      <c r="A162" s="18" t="inlineStr">
        <is>
          <t>PBF_TOLEDO</t>
        </is>
      </c>
      <c r="B162" s="18" t="n">
        <v>2</v>
      </c>
      <c r="C162" s="18" t="inlineStr">
        <is>
          <t>Terra Nova</t>
        </is>
      </c>
      <c r="D162" s="18" t="inlineStr">
        <is>
          <t>Canada (East Coast)</t>
        </is>
      </c>
      <c r="E162" s="18" t="n">
        <v>2024</v>
      </c>
      <c r="F162" s="37" t="n">
        <v>0.001</v>
      </c>
    </row>
    <row r="163">
      <c r="A163" s="18" t="inlineStr">
        <is>
          <t>PHILLIPS_PONCA_CITY</t>
        </is>
      </c>
      <c r="B163" s="18" t="n">
        <v>2</v>
      </c>
      <c r="C163" s="18" t="inlineStr">
        <is>
          <t>West Texas Intermediate</t>
        </is>
      </c>
      <c r="D163" s="18" t="inlineStr">
        <is>
          <t>United States</t>
        </is>
      </c>
      <c r="E163" s="18" t="n">
        <v>2024</v>
      </c>
      <c r="F163" s="37" t="n">
        <v>0.5603</v>
      </c>
    </row>
    <row r="164">
      <c r="A164" s="18" t="inlineStr">
        <is>
          <t>PHILLIPS_PONCA_CITY</t>
        </is>
      </c>
      <c r="B164" s="18" t="n">
        <v>2</v>
      </c>
      <c r="C164" s="18" t="inlineStr">
        <is>
          <t>Niobrara</t>
        </is>
      </c>
      <c r="D164" s="18" t="inlineStr">
        <is>
          <t>United States</t>
        </is>
      </c>
      <c r="E164" s="18" t="n">
        <v>2024</v>
      </c>
      <c r="F164" s="37" t="n">
        <v>0.3129</v>
      </c>
    </row>
    <row r="165">
      <c r="A165" s="18" t="inlineStr">
        <is>
          <t>PHILLIPS_PONCA_CITY</t>
        </is>
      </c>
      <c r="B165" s="18" t="n">
        <v>2</v>
      </c>
      <c r="C165" s="18" t="inlineStr">
        <is>
          <t>West Texas Sour</t>
        </is>
      </c>
      <c r="D165" s="18" t="inlineStr">
        <is>
          <t>United States</t>
        </is>
      </c>
      <c r="E165" s="18" t="n">
        <v>2024</v>
      </c>
      <c r="F165" s="37" t="n">
        <v>0.1268</v>
      </c>
    </row>
    <row r="166">
      <c r="A166" s="18" t="inlineStr">
        <is>
          <t>VALERO_ARDMORE</t>
        </is>
      </c>
      <c r="B166" s="18" t="n">
        <v>2</v>
      </c>
      <c r="C166" s="18" t="inlineStr">
        <is>
          <t>West Texas Intermediate</t>
        </is>
      </c>
      <c r="D166" s="18" t="inlineStr">
        <is>
          <t>United States</t>
        </is>
      </c>
      <c r="E166" s="18" t="n">
        <v>2024</v>
      </c>
      <c r="F166" s="37" t="n">
        <v>0.8036</v>
      </c>
    </row>
    <row r="167">
      <c r="A167" s="18" t="inlineStr">
        <is>
          <t>VALERO_ARDMORE</t>
        </is>
      </c>
      <c r="B167" s="18" t="n">
        <v>2</v>
      </c>
      <c r="C167" s="18" t="inlineStr">
        <is>
          <t>West Texas Sour</t>
        </is>
      </c>
      <c r="D167" s="18" t="inlineStr">
        <is>
          <t>United States</t>
        </is>
      </c>
      <c r="E167" s="18" t="n">
        <v>2024</v>
      </c>
      <c r="F167" s="37" t="n">
        <v>0.1964</v>
      </c>
    </row>
    <row r="168">
      <c r="A168" s="18" t="inlineStr">
        <is>
          <t>VALERO_MEMPHIS</t>
        </is>
      </c>
      <c r="B168" s="18" t="n">
        <v>2</v>
      </c>
      <c r="C168" s="18" t="inlineStr">
        <is>
          <t>West Texas Intermediate</t>
        </is>
      </c>
      <c r="D168" s="18" t="inlineStr">
        <is>
          <t>United States</t>
        </is>
      </c>
      <c r="E168" s="18" t="n">
        <v>2024</v>
      </c>
      <c r="F168" s="37" t="n">
        <v>0.75</v>
      </c>
    </row>
    <row r="169">
      <c r="A169" s="18" t="inlineStr">
        <is>
          <t>VALERO_MEMPHIS</t>
        </is>
      </c>
      <c r="B169" s="18" t="n">
        <v>2</v>
      </c>
      <c r="C169" s="18" t="inlineStr">
        <is>
          <t>Niobrara</t>
        </is>
      </c>
      <c r="D169" s="18" t="inlineStr">
        <is>
          <t>United States</t>
        </is>
      </c>
      <c r="E169" s="18" t="n">
        <v>2024</v>
      </c>
      <c r="F169" s="37" t="n">
        <v>0.25</v>
      </c>
    </row>
    <row r="170">
      <c r="A170" s="18" t="inlineStr">
        <is>
          <t>ALON_BIG_SPRINGS</t>
        </is>
      </c>
      <c r="B170" s="18" t="n">
        <v>3</v>
      </c>
      <c r="C170" s="18" t="inlineStr">
        <is>
          <t>West Texas Intermediate</t>
        </is>
      </c>
      <c r="D170" s="18" t="inlineStr">
        <is>
          <t>United States</t>
        </is>
      </c>
      <c r="E170" s="18" t="n">
        <v>2024</v>
      </c>
      <c r="F170" s="37" t="n">
        <v>0.7154</v>
      </c>
    </row>
    <row r="171">
      <c r="A171" s="18" t="inlineStr">
        <is>
          <t>ALON_BIG_SPRINGS</t>
        </is>
      </c>
      <c r="B171" s="18" t="n">
        <v>3</v>
      </c>
      <c r="C171" s="18" t="inlineStr">
        <is>
          <t>West Texas Sour</t>
        </is>
      </c>
      <c r="D171" s="18" t="inlineStr">
        <is>
          <t>United States</t>
        </is>
      </c>
      <c r="E171" s="18" t="n">
        <v>2024</v>
      </c>
      <c r="F171" s="37" t="n">
        <v>0.2846</v>
      </c>
    </row>
    <row r="172">
      <c r="A172" s="18" t="inlineStr">
        <is>
          <t>CALUMET_SHREVEPORT</t>
        </is>
      </c>
      <c r="B172" s="18" t="n">
        <v>3</v>
      </c>
      <c r="C172" s="18" t="inlineStr">
        <is>
          <t>West Texas Intermediate</t>
        </is>
      </c>
      <c r="D172" s="18" t="inlineStr">
        <is>
          <t>United States</t>
        </is>
      </c>
      <c r="E172" s="18" t="n">
        <v>2024</v>
      </c>
      <c r="F172" s="37" t="n">
        <v>0.4469</v>
      </c>
    </row>
    <row r="173">
      <c r="A173" s="18" t="inlineStr">
        <is>
          <t>CALUMET_SHREVEPORT</t>
        </is>
      </c>
      <c r="B173" s="18" t="n">
        <v>3</v>
      </c>
      <c r="C173" s="18" t="inlineStr">
        <is>
          <t>East Texas</t>
        </is>
      </c>
      <c r="D173" s="18" t="inlineStr">
        <is>
          <t>United States</t>
        </is>
      </c>
      <c r="E173" s="18" t="n">
        <v>2024</v>
      </c>
      <c r="F173" s="37" t="n">
        <v>0.2294</v>
      </c>
    </row>
    <row r="174">
      <c r="A174" s="18" t="inlineStr">
        <is>
          <t>CALUMET_SHREVEPORT</t>
        </is>
      </c>
      <c r="B174" s="18" t="n">
        <v>3</v>
      </c>
      <c r="C174" s="18" t="inlineStr">
        <is>
          <t>Arkansas Light</t>
        </is>
      </c>
      <c r="D174" s="18" t="inlineStr">
        <is>
          <t>United States</t>
        </is>
      </c>
      <c r="E174" s="18" t="n">
        <v>2024</v>
      </c>
      <c r="F174" s="37" t="n">
        <v>0.2185</v>
      </c>
    </row>
    <row r="175">
      <c r="A175" s="18" t="inlineStr">
        <is>
          <t>CALUMET_SHREVEPORT</t>
        </is>
      </c>
      <c r="B175" s="18" t="n">
        <v>3</v>
      </c>
      <c r="C175" s="18" t="inlineStr">
        <is>
          <t>Light Louisiana Sweet</t>
        </is>
      </c>
      <c r="D175" s="18" t="inlineStr">
        <is>
          <t>United States</t>
        </is>
      </c>
      <c r="E175" s="18" t="n">
        <v>2024</v>
      </c>
      <c r="F175" s="37" t="n">
        <v>0.1052</v>
      </c>
    </row>
    <row r="176">
      <c r="A176" s="18" t="inlineStr">
        <is>
          <t>CHEVRON_PASADENA</t>
        </is>
      </c>
      <c r="B176" s="18" t="n">
        <v>3</v>
      </c>
      <c r="C176" s="18" t="inlineStr">
        <is>
          <t>West Texas Intermediate</t>
        </is>
      </c>
      <c r="D176" s="18" t="inlineStr">
        <is>
          <t>United States</t>
        </is>
      </c>
      <c r="E176" s="18" t="n">
        <v>2024</v>
      </c>
      <c r="F176" s="37" t="n">
        <v>1</v>
      </c>
    </row>
    <row r="177">
      <c r="A177" s="18" t="inlineStr">
        <is>
          <t>CHEVRON_PASCAGOULA</t>
        </is>
      </c>
      <c r="B177" s="18" t="n">
        <v>3</v>
      </c>
      <c r="C177" s="18" t="inlineStr">
        <is>
          <t>Mars/Ursa</t>
        </is>
      </c>
      <c r="D177" s="18" t="inlineStr">
        <is>
          <t>US (GOM Deepwater)</t>
        </is>
      </c>
      <c r="E177" s="18" t="n">
        <v>2024</v>
      </c>
      <c r="F177" s="37" t="n">
        <v>0.1752</v>
      </c>
    </row>
    <row r="178">
      <c r="A178" s="18" t="inlineStr">
        <is>
          <t>CHEVRON_PASCAGOULA</t>
        </is>
      </c>
      <c r="B178" s="18" t="n">
        <v>3</v>
      </c>
      <c r="C178" s="18" t="inlineStr">
        <is>
          <t>Light Louisiana Sweet</t>
        </is>
      </c>
      <c r="D178" s="18" t="inlineStr">
        <is>
          <t>United States</t>
        </is>
      </c>
      <c r="E178" s="18" t="n">
        <v>2024</v>
      </c>
      <c r="F178" s="37" t="n">
        <v>0.1488</v>
      </c>
    </row>
    <row r="179">
      <c r="A179" s="18" t="inlineStr">
        <is>
          <t>CHEVRON_PASCAGOULA</t>
        </is>
      </c>
      <c r="B179" s="18" t="n">
        <v>3</v>
      </c>
      <c r="C179" s="18" t="inlineStr">
        <is>
          <t>Eagle Ford Crude</t>
        </is>
      </c>
      <c r="D179" s="18" t="inlineStr">
        <is>
          <t>United States</t>
        </is>
      </c>
      <c r="E179" s="18" t="n">
        <v>2024</v>
      </c>
      <c r="F179" s="37" t="n">
        <v>0.1176</v>
      </c>
    </row>
    <row r="180">
      <c r="A180" s="18" t="inlineStr">
        <is>
          <t>CHEVRON_PASCAGOULA</t>
        </is>
      </c>
      <c r="B180" s="18" t="n">
        <v>3</v>
      </c>
      <c r="C180" s="18" t="inlineStr">
        <is>
          <t>Maya</t>
        </is>
      </c>
      <c r="D180" s="18" t="inlineStr">
        <is>
          <t>Mexico</t>
        </is>
      </c>
      <c r="E180" s="18" t="n">
        <v>2024</v>
      </c>
      <c r="F180" s="37" t="n">
        <v>0.078</v>
      </c>
    </row>
    <row r="181">
      <c r="A181" s="18" t="inlineStr">
        <is>
          <t>CHEVRON_PASCAGOULA</t>
        </is>
      </c>
      <c r="B181" s="18" t="n">
        <v>3</v>
      </c>
      <c r="C181" s="18" t="inlineStr">
        <is>
          <t>Isthmus</t>
        </is>
      </c>
      <c r="D181" s="18" t="inlineStr">
        <is>
          <t>Mexico</t>
        </is>
      </c>
      <c r="E181" s="18" t="n">
        <v>2024</v>
      </c>
      <c r="F181" s="37" t="n">
        <v>0.0728</v>
      </c>
    </row>
    <row r="182">
      <c r="A182" s="18" t="inlineStr">
        <is>
          <t>CHEVRON_PASCAGOULA</t>
        </is>
      </c>
      <c r="B182" s="18" t="n">
        <v>3</v>
      </c>
      <c r="C182" s="18" t="inlineStr">
        <is>
          <t>Boscan</t>
        </is>
      </c>
      <c r="D182" s="18" t="inlineStr">
        <is>
          <t>Venezuela</t>
        </is>
      </c>
      <c r="E182" s="18" t="n">
        <v>2024</v>
      </c>
      <c r="F182" s="37" t="n">
        <v>0.0562</v>
      </c>
    </row>
    <row r="183">
      <c r="A183" s="18" t="inlineStr">
        <is>
          <t>CHEVRON_PASCAGOULA</t>
        </is>
      </c>
      <c r="B183" s="18" t="n">
        <v>3</v>
      </c>
      <c r="C183" s="18" t="inlineStr">
        <is>
          <t>Merey</t>
        </is>
      </c>
      <c r="D183" s="18" t="inlineStr">
        <is>
          <t>Venezuela</t>
        </is>
      </c>
      <c r="E183" s="18" t="n">
        <v>2024</v>
      </c>
      <c r="F183" s="37" t="n">
        <v>0.051</v>
      </c>
    </row>
    <row r="184">
      <c r="A184" s="18" t="inlineStr">
        <is>
          <t>CHEVRON_PASCAGOULA</t>
        </is>
      </c>
      <c r="B184" s="18" t="n">
        <v>3</v>
      </c>
      <c r="C184" s="18" t="inlineStr">
        <is>
          <t>DCO</t>
        </is>
      </c>
      <c r="D184" s="18" t="inlineStr">
        <is>
          <t>Venezuela</t>
        </is>
      </c>
      <c r="E184" s="18" t="n">
        <v>2024</v>
      </c>
      <c r="F184" s="37" t="n">
        <v>0.0461</v>
      </c>
    </row>
    <row r="185">
      <c r="A185" s="18" t="inlineStr">
        <is>
          <t>CHEVRON_PASCAGOULA</t>
        </is>
      </c>
      <c r="B185" s="18" t="n">
        <v>3</v>
      </c>
      <c r="C185" s="18" t="inlineStr">
        <is>
          <t>Eocene</t>
        </is>
      </c>
      <c r="D185" s="18" t="inlineStr">
        <is>
          <t>Kuwait</t>
        </is>
      </c>
      <c r="E185" s="18" t="n">
        <v>2024</v>
      </c>
      <c r="F185" s="37" t="n">
        <v>0.0349</v>
      </c>
    </row>
    <row r="186">
      <c r="A186" s="18" t="inlineStr">
        <is>
          <t>CHEVRON_PASCAGOULA</t>
        </is>
      </c>
      <c r="B186" s="18" t="n">
        <v>3</v>
      </c>
      <c r="C186" s="18" t="inlineStr">
        <is>
          <t>Peregrino</t>
        </is>
      </c>
      <c r="D186" s="18" t="inlineStr">
        <is>
          <t>Brazil</t>
        </is>
      </c>
      <c r="E186" s="18" t="n">
        <v>2024</v>
      </c>
      <c r="F186" s="37" t="n">
        <v>0.0337</v>
      </c>
    </row>
    <row r="187">
      <c r="A187" s="18" t="inlineStr">
        <is>
          <t>CHEVRON_PASCAGOULA</t>
        </is>
      </c>
      <c r="B187" s="18" t="n">
        <v>3</v>
      </c>
      <c r="C187" s="18" t="inlineStr">
        <is>
          <t>Thunder Horse</t>
        </is>
      </c>
      <c r="D187" s="18" t="inlineStr">
        <is>
          <t>US (GOM Deepwater)</t>
        </is>
      </c>
      <c r="E187" s="18" t="n">
        <v>2024</v>
      </c>
      <c r="F187" s="37" t="n">
        <v>0.0287</v>
      </c>
    </row>
    <row r="188">
      <c r="A188" s="18" t="inlineStr">
        <is>
          <t>CHEVRON_PASCAGOULA</t>
        </is>
      </c>
      <c r="B188" s="18" t="n">
        <v>3</v>
      </c>
      <c r="C188" s="18" t="inlineStr">
        <is>
          <t>Castilla</t>
        </is>
      </c>
      <c r="D188" s="18" t="inlineStr">
        <is>
          <t>Colombia</t>
        </is>
      </c>
      <c r="E188" s="18" t="n">
        <v>2024</v>
      </c>
      <c r="F188" s="37" t="n">
        <v>0.0207</v>
      </c>
    </row>
    <row r="189">
      <c r="A189" s="18" t="inlineStr">
        <is>
          <t>CHEVRON_PASCAGOULA</t>
        </is>
      </c>
      <c r="B189" s="18" t="n">
        <v>3</v>
      </c>
      <c r="C189" s="18" t="inlineStr">
        <is>
          <t>Liza-Payara</t>
        </is>
      </c>
      <c r="D189" s="18" t="inlineStr">
        <is>
          <t>Guyana</t>
        </is>
      </c>
      <c r="E189" s="18" t="n">
        <v>2024</v>
      </c>
      <c r="F189" s="37" t="n">
        <v>0.0169</v>
      </c>
    </row>
    <row r="190">
      <c r="A190" s="18" t="inlineStr">
        <is>
          <t>CHEVRON_PASCAGOULA</t>
        </is>
      </c>
      <c r="B190" s="18" t="n">
        <v>3</v>
      </c>
      <c r="C190" s="18" t="inlineStr">
        <is>
          <t>Olmeca</t>
        </is>
      </c>
      <c r="D190" s="18" t="inlineStr">
        <is>
          <t>Mexico</t>
        </is>
      </c>
      <c r="E190" s="18" t="n">
        <v>2024</v>
      </c>
      <c r="F190" s="37" t="n">
        <v>0.0167</v>
      </c>
    </row>
    <row r="191">
      <c r="A191" s="18" t="inlineStr">
        <is>
          <t>CHEVRON_PASCAGOULA</t>
        </is>
      </c>
      <c r="B191" s="18" t="n">
        <v>3</v>
      </c>
      <c r="C191" s="18" t="inlineStr">
        <is>
          <t>Alba</t>
        </is>
      </c>
      <c r="D191" s="18" t="inlineStr">
        <is>
          <t>United Kingdom</t>
        </is>
      </c>
      <c r="E191" s="18" t="n">
        <v>2024</v>
      </c>
      <c r="F191" s="37" t="n">
        <v>0.0144</v>
      </c>
    </row>
    <row r="192">
      <c r="A192" s="18" t="inlineStr">
        <is>
          <t>CHEVRON_PASCAGOULA</t>
        </is>
      </c>
      <c r="B192" s="18" t="n">
        <v>3</v>
      </c>
      <c r="C192" s="18" t="inlineStr">
        <is>
          <t>Captain</t>
        </is>
      </c>
      <c r="D192" s="18" t="inlineStr">
        <is>
          <t>United Kingdom</t>
        </is>
      </c>
      <c r="E192" s="18" t="n">
        <v>2024</v>
      </c>
      <c r="F192" s="37" t="n">
        <v>0.0136</v>
      </c>
    </row>
    <row r="193">
      <c r="A193" s="18" t="inlineStr">
        <is>
          <t>CHEVRON_PASCAGOULA</t>
        </is>
      </c>
      <c r="B193" s="18" t="n">
        <v>3</v>
      </c>
      <c r="C193" s="18" t="inlineStr">
        <is>
          <t>W. Canada Conventional Heavy Sour (Alberta)</t>
        </is>
      </c>
      <c r="D193" s="18" t="inlineStr">
        <is>
          <t>Canada (Alberta)</t>
        </is>
      </c>
      <c r="E193" s="18" t="n">
        <v>2024</v>
      </c>
      <c r="F193" s="37" t="n">
        <v>0.013</v>
      </c>
    </row>
    <row r="194">
      <c r="A194" s="18" t="inlineStr">
        <is>
          <t>CHEVRON_PASCAGOULA</t>
        </is>
      </c>
      <c r="B194" s="18" t="n">
        <v>3</v>
      </c>
      <c r="C194" s="18" t="inlineStr">
        <is>
          <t>Calypso</t>
        </is>
      </c>
      <c r="D194" s="18" t="inlineStr">
        <is>
          <t>Trinidad and Tobago</t>
        </is>
      </c>
      <c r="E194" s="18" t="n">
        <v>2024</v>
      </c>
      <c r="F194" s="37" t="n">
        <v>0.008500000000000001</v>
      </c>
    </row>
    <row r="195">
      <c r="A195" s="18" t="inlineStr">
        <is>
          <t>CHEVRON_PASCAGOULA</t>
        </is>
      </c>
      <c r="B195" s="18" t="n">
        <v>3</v>
      </c>
      <c r="C195" s="18" t="inlineStr">
        <is>
          <t>Mandji</t>
        </is>
      </c>
      <c r="D195" s="18" t="inlineStr">
        <is>
          <t>Gabon</t>
        </is>
      </c>
      <c r="E195" s="18" t="n">
        <v>2024</v>
      </c>
      <c r="F195" s="37" t="n">
        <v>0.008399999999999999</v>
      </c>
    </row>
    <row r="196">
      <c r="A196" s="18" t="inlineStr">
        <is>
          <t>CHEVRON_PASCAGOULA</t>
        </is>
      </c>
      <c r="B196" s="18" t="n">
        <v>3</v>
      </c>
      <c r="C196" s="18" t="inlineStr">
        <is>
          <t>Kraken</t>
        </is>
      </c>
      <c r="D196" s="18" t="inlineStr">
        <is>
          <t>United Kingdom</t>
        </is>
      </c>
      <c r="E196" s="18" t="n">
        <v>2024</v>
      </c>
      <c r="F196" s="37" t="n">
        <v>0.008199999999999999</v>
      </c>
    </row>
    <row r="197">
      <c r="A197" s="18" t="inlineStr">
        <is>
          <t>CHEVRON_PASCAGOULA</t>
        </is>
      </c>
      <c r="B197" s="18" t="n">
        <v>3</v>
      </c>
      <c r="C197" s="18" t="inlineStr">
        <is>
          <t>Wabasca</t>
        </is>
      </c>
      <c r="D197" s="18" t="inlineStr">
        <is>
          <t>Canada</t>
        </is>
      </c>
      <c r="E197" s="18" t="n">
        <v>2024</v>
      </c>
      <c r="F197" s="37" t="n">
        <v>0.007900000000000001</v>
      </c>
    </row>
    <row r="198">
      <c r="A198" s="18" t="inlineStr">
        <is>
          <t>CHEVRON_PASCAGOULA</t>
        </is>
      </c>
      <c r="B198" s="18" t="n">
        <v>3</v>
      </c>
      <c r="C198" s="18" t="inlineStr">
        <is>
          <t>Johan Sverdrup</t>
        </is>
      </c>
      <c r="D198" s="18" t="inlineStr">
        <is>
          <t>Norway</t>
        </is>
      </c>
      <c r="E198" s="18" t="n">
        <v>2024</v>
      </c>
      <c r="F198" s="37" t="n">
        <v>0.0062</v>
      </c>
    </row>
    <row r="199">
      <c r="A199" s="18" t="inlineStr">
        <is>
          <t>CHEVRON_PASCAGOULA</t>
        </is>
      </c>
      <c r="B199" s="18" t="n">
        <v>3</v>
      </c>
      <c r="C199" s="18" t="inlineStr">
        <is>
          <t>Bachaquero</t>
        </is>
      </c>
      <c r="D199" s="18" t="inlineStr">
        <is>
          <t>Venezuela</t>
        </is>
      </c>
      <c r="E199" s="18" t="n">
        <v>2024</v>
      </c>
      <c r="F199" s="37" t="n">
        <v>0.0061</v>
      </c>
    </row>
    <row r="200">
      <c r="A200" s="18" t="inlineStr">
        <is>
          <t>CHEVRON_PASCAGOULA</t>
        </is>
      </c>
      <c r="B200" s="18" t="n">
        <v>3</v>
      </c>
      <c r="C200" s="18" t="inlineStr">
        <is>
          <t>Rabi Light</t>
        </is>
      </c>
      <c r="D200" s="18" t="inlineStr">
        <is>
          <t>Gabon</t>
        </is>
      </c>
      <c r="E200" s="18" t="n">
        <v>2024</v>
      </c>
      <c r="F200" s="37" t="n">
        <v>0.005500000000000001</v>
      </c>
    </row>
    <row r="201">
      <c r="A201" s="18" t="inlineStr">
        <is>
          <t>CHEVRON_PASCAGOULA</t>
        </is>
      </c>
      <c r="B201" s="18" t="n">
        <v>3</v>
      </c>
      <c r="C201" s="18" t="inlineStr">
        <is>
          <t>Catcher</t>
        </is>
      </c>
      <c r="D201" s="18" t="inlineStr">
        <is>
          <t>United Kingdom</t>
        </is>
      </c>
      <c r="E201" s="18" t="n">
        <v>2024</v>
      </c>
      <c r="F201" s="37" t="n">
        <v>0.0043</v>
      </c>
    </row>
    <row r="202">
      <c r="A202" s="18" t="inlineStr">
        <is>
          <t>CHEVRON_PASCAGOULA</t>
        </is>
      </c>
      <c r="B202" s="18" t="n">
        <v>3</v>
      </c>
      <c r="C202" s="18" t="inlineStr">
        <is>
          <t>Volve</t>
        </is>
      </c>
      <c r="D202" s="18" t="inlineStr">
        <is>
          <t>Norway</t>
        </is>
      </c>
      <c r="E202" s="18" t="n">
        <v>2024</v>
      </c>
      <c r="F202" s="37" t="n">
        <v>0.0034</v>
      </c>
    </row>
    <row r="203">
      <c r="A203" s="18" t="inlineStr">
        <is>
          <t>CHEVRON_PASCAGOULA</t>
        </is>
      </c>
      <c r="B203" s="18" t="n">
        <v>3</v>
      </c>
      <c r="C203" s="18" t="inlineStr">
        <is>
          <t>Domestic NGL Trinidad &amp; Tobago</t>
        </is>
      </c>
      <c r="D203" s="18" t="inlineStr">
        <is>
          <t>Trinidad and Tobago</t>
        </is>
      </c>
      <c r="E203" s="18" t="n">
        <v>2024</v>
      </c>
      <c r="F203" s="37" t="n">
        <v>0.0032</v>
      </c>
    </row>
    <row r="204">
      <c r="A204" s="18" t="inlineStr">
        <is>
          <t>CITGO_CORPUS_CHRISTI</t>
        </is>
      </c>
      <c r="B204" s="18" t="n">
        <v>3</v>
      </c>
      <c r="C204" s="18" t="inlineStr">
        <is>
          <t>Eagle Ford Crude</t>
        </is>
      </c>
      <c r="D204" s="18" t="inlineStr">
        <is>
          <t>United States</t>
        </is>
      </c>
      <c r="E204" s="18" t="n">
        <v>2024</v>
      </c>
      <c r="F204" s="37" t="n">
        <v>0.489</v>
      </c>
    </row>
    <row r="205">
      <c r="A205" s="18" t="inlineStr">
        <is>
          <t>CITGO_CORPUS_CHRISTI</t>
        </is>
      </c>
      <c r="B205" s="18" t="n">
        <v>3</v>
      </c>
      <c r="C205" s="18" t="inlineStr">
        <is>
          <t>Castilla</t>
        </is>
      </c>
      <c r="D205" s="18" t="inlineStr">
        <is>
          <t>Colombia</t>
        </is>
      </c>
      <c r="E205" s="18" t="n">
        <v>2024</v>
      </c>
      <c r="F205" s="37" t="n">
        <v>0.1827</v>
      </c>
    </row>
    <row r="206">
      <c r="A206" s="18" t="inlineStr">
        <is>
          <t>CITGO_CORPUS_CHRISTI</t>
        </is>
      </c>
      <c r="B206" s="18" t="n">
        <v>3</v>
      </c>
      <c r="C206" s="18" t="inlineStr">
        <is>
          <t>Calypso</t>
        </is>
      </c>
      <c r="D206" s="18" t="inlineStr">
        <is>
          <t>Trinidad and Tobago</t>
        </is>
      </c>
      <c r="E206" s="18" t="n">
        <v>2024</v>
      </c>
      <c r="F206" s="37" t="n">
        <v>0.1256</v>
      </c>
    </row>
    <row r="207">
      <c r="A207" s="18" t="inlineStr">
        <is>
          <t>CITGO_CORPUS_CHRISTI</t>
        </is>
      </c>
      <c r="B207" s="18" t="n">
        <v>3</v>
      </c>
      <c r="C207" s="18" t="inlineStr">
        <is>
          <t>Liza-Payara</t>
        </is>
      </c>
      <c r="D207" s="18" t="inlineStr">
        <is>
          <t>Guyana</t>
        </is>
      </c>
      <c r="E207" s="18" t="n">
        <v>2024</v>
      </c>
      <c r="F207" s="37" t="n">
        <v>0.0672</v>
      </c>
    </row>
    <row r="208">
      <c r="A208" s="18" t="inlineStr">
        <is>
          <t>CITGO_CORPUS_CHRISTI</t>
        </is>
      </c>
      <c r="B208" s="18" t="n">
        <v>3</v>
      </c>
      <c r="C208" s="18" t="inlineStr">
        <is>
          <t>Maya</t>
        </is>
      </c>
      <c r="D208" s="18" t="inlineStr">
        <is>
          <t>Mexico</t>
        </is>
      </c>
      <c r="E208" s="18" t="n">
        <v>2024</v>
      </c>
      <c r="F208" s="37" t="n">
        <v>0.0463</v>
      </c>
    </row>
    <row r="209">
      <c r="A209" s="18" t="inlineStr">
        <is>
          <t>CITGO_CORPUS_CHRISTI</t>
        </is>
      </c>
      <c r="B209" s="18" t="n">
        <v>3</v>
      </c>
      <c r="C209" s="18" t="inlineStr">
        <is>
          <t>Cano Limon</t>
        </is>
      </c>
      <c r="D209" s="18" t="inlineStr">
        <is>
          <t>Colombia</t>
        </is>
      </c>
      <c r="E209" s="18" t="n">
        <v>2024</v>
      </c>
      <c r="F209" s="37" t="n">
        <v>0.0392</v>
      </c>
    </row>
    <row r="210">
      <c r="A210" s="18" t="inlineStr">
        <is>
          <t>CITGO_CORPUS_CHRISTI</t>
        </is>
      </c>
      <c r="B210" s="18" t="n">
        <v>3</v>
      </c>
      <c r="C210" s="18" t="inlineStr">
        <is>
          <t>Isthmus</t>
        </is>
      </c>
      <c r="D210" s="18" t="inlineStr">
        <is>
          <t>Mexico</t>
        </is>
      </c>
      <c r="E210" s="18" t="n">
        <v>2024</v>
      </c>
      <c r="F210" s="37" t="n">
        <v>0.0368</v>
      </c>
    </row>
    <row r="211">
      <c r="A211" s="18" t="inlineStr">
        <is>
          <t>CITGO_CORPUS_CHRISTI</t>
        </is>
      </c>
      <c r="B211" s="18" t="n">
        <v>3</v>
      </c>
      <c r="C211" s="18" t="inlineStr">
        <is>
          <t>Napo</t>
        </is>
      </c>
      <c r="D211" s="18" t="inlineStr">
        <is>
          <t>Ecuador</t>
        </is>
      </c>
      <c r="E211" s="18" t="n">
        <v>2024</v>
      </c>
      <c r="F211" s="37" t="n">
        <v>0.0132</v>
      </c>
    </row>
    <row r="212">
      <c r="A212" s="18" t="inlineStr">
        <is>
          <t>CITGO_LAKE_CHARLES</t>
        </is>
      </c>
      <c r="B212" s="18" t="n">
        <v>3</v>
      </c>
      <c r="C212" s="18" t="inlineStr">
        <is>
          <t>West Texas Intermediate</t>
        </is>
      </c>
      <c r="D212" s="18" t="inlineStr">
        <is>
          <t>United States</t>
        </is>
      </c>
      <c r="E212" s="18" t="n">
        <v>2024</v>
      </c>
      <c r="F212" s="37" t="n">
        <v>0.5926</v>
      </c>
    </row>
    <row r="213">
      <c r="A213" s="18" t="inlineStr">
        <is>
          <t>CITGO_LAKE_CHARLES</t>
        </is>
      </c>
      <c r="B213" s="18" t="n">
        <v>3</v>
      </c>
      <c r="C213" s="18" t="inlineStr">
        <is>
          <t>Mars/Ursa</t>
        </is>
      </c>
      <c r="D213" s="18" t="inlineStr">
        <is>
          <t>US (GOM Deepwater)</t>
        </is>
      </c>
      <c r="E213" s="18" t="n">
        <v>2024</v>
      </c>
      <c r="F213" s="37" t="n">
        <v>0.1636</v>
      </c>
    </row>
    <row r="214">
      <c r="A214" s="18" t="inlineStr">
        <is>
          <t>CITGO_LAKE_CHARLES</t>
        </is>
      </c>
      <c r="B214" s="18" t="n">
        <v>3</v>
      </c>
      <c r="C214" s="18" t="inlineStr">
        <is>
          <t>Light Louisiana Sweet</t>
        </is>
      </c>
      <c r="D214" s="18" t="inlineStr">
        <is>
          <t>United States</t>
        </is>
      </c>
      <c r="E214" s="18" t="n">
        <v>2024</v>
      </c>
      <c r="F214" s="37" t="n">
        <v>0.1504</v>
      </c>
    </row>
    <row r="215">
      <c r="A215" s="18" t="inlineStr">
        <is>
          <t>CITGO_LAKE_CHARLES</t>
        </is>
      </c>
      <c r="B215" s="18" t="n">
        <v>3</v>
      </c>
      <c r="C215" s="18" t="inlineStr">
        <is>
          <t>Eugene Island Sour</t>
        </is>
      </c>
      <c r="D215" s="18" t="inlineStr">
        <is>
          <t>United States</t>
        </is>
      </c>
      <c r="E215" s="18" t="n">
        <v>2024</v>
      </c>
      <c r="F215" s="37" t="n">
        <v>0.0732</v>
      </c>
    </row>
    <row r="216">
      <c r="A216" s="18" t="inlineStr">
        <is>
          <t>CITGO_LAKE_CHARLES</t>
        </is>
      </c>
      <c r="B216" s="18" t="n">
        <v>3</v>
      </c>
      <c r="C216" s="18" t="inlineStr">
        <is>
          <t>W. Canada Conventional Heavy Sour (Alberta)</t>
        </is>
      </c>
      <c r="D216" s="18" t="inlineStr">
        <is>
          <t>Canada (Alberta)</t>
        </is>
      </c>
      <c r="E216" s="18" t="n">
        <v>2024</v>
      </c>
      <c r="F216" s="37" t="n">
        <v>0.0173</v>
      </c>
    </row>
    <row r="217">
      <c r="A217" s="18" t="inlineStr">
        <is>
          <t>CITGO_LAKE_CHARLES</t>
        </is>
      </c>
      <c r="B217" s="18" t="n">
        <v>3</v>
      </c>
      <c r="C217" s="18" t="inlineStr">
        <is>
          <t>Cold Lake</t>
        </is>
      </c>
      <c r="D217" s="18" t="inlineStr">
        <is>
          <t>Canada (Oil Sands)</t>
        </is>
      </c>
      <c r="E217" s="18" t="n">
        <v>2024</v>
      </c>
      <c r="F217" s="37" t="n">
        <v>0.0029</v>
      </c>
    </row>
    <row r="218">
      <c r="A218" s="18" t="inlineStr">
        <is>
          <t>DELEK_EL_DORADO_AR</t>
        </is>
      </c>
      <c r="B218" s="18" t="n">
        <v>3</v>
      </c>
      <c r="C218" s="18" t="inlineStr">
        <is>
          <t>West Texas Intermediate</t>
        </is>
      </c>
      <c r="D218" s="18" t="inlineStr">
        <is>
          <t>United States</t>
        </is>
      </c>
      <c r="E218" s="18" t="n">
        <v>2024</v>
      </c>
      <c r="F218" s="37" t="n">
        <v>0.6988</v>
      </c>
    </row>
    <row r="219">
      <c r="A219" s="18" t="inlineStr">
        <is>
          <t>DELEK_EL_DORADO_AR</t>
        </is>
      </c>
      <c r="B219" s="18" t="n">
        <v>3</v>
      </c>
      <c r="C219" s="18" t="inlineStr">
        <is>
          <t>East Texas</t>
        </is>
      </c>
      <c r="D219" s="18" t="inlineStr">
        <is>
          <t>United States</t>
        </is>
      </c>
      <c r="E219" s="18" t="n">
        <v>2024</v>
      </c>
      <c r="F219" s="37" t="n">
        <v>0.1741</v>
      </c>
    </row>
    <row r="220">
      <c r="A220" s="18" t="inlineStr">
        <is>
          <t>DELEK_EL_DORADO_AR</t>
        </is>
      </c>
      <c r="B220" s="18" t="n">
        <v>3</v>
      </c>
      <c r="C220" s="18" t="inlineStr">
        <is>
          <t>Arkansas Light</t>
        </is>
      </c>
      <c r="D220" s="18" t="inlineStr">
        <is>
          <t>United States</t>
        </is>
      </c>
      <c r="E220" s="18" t="n">
        <v>2024</v>
      </c>
      <c r="F220" s="37" t="n">
        <v>0.1271</v>
      </c>
    </row>
    <row r="221">
      <c r="A221" s="18" t="inlineStr">
        <is>
          <t>DELEK_KROTZ_SPRINGS</t>
        </is>
      </c>
      <c r="B221" s="18" t="n">
        <v>3</v>
      </c>
      <c r="C221" s="18" t="inlineStr">
        <is>
          <t>West Texas Intermediate</t>
        </is>
      </c>
      <c r="D221" s="18" t="inlineStr">
        <is>
          <t>United States</t>
        </is>
      </c>
      <c r="E221" s="18" t="n">
        <v>2024</v>
      </c>
      <c r="F221" s="37" t="n">
        <v>0.6995</v>
      </c>
    </row>
    <row r="222">
      <c r="A222" s="18" t="inlineStr">
        <is>
          <t>DELEK_KROTZ_SPRINGS</t>
        </is>
      </c>
      <c r="B222" s="18" t="n">
        <v>3</v>
      </c>
      <c r="C222" s="18" t="inlineStr">
        <is>
          <t>Light Louisiana Sweet</t>
        </is>
      </c>
      <c r="D222" s="18" t="inlineStr">
        <is>
          <t>United States</t>
        </is>
      </c>
      <c r="E222" s="18" t="n">
        <v>2024</v>
      </c>
      <c r="F222" s="37" t="n">
        <v>0.3005</v>
      </c>
    </row>
    <row r="223">
      <c r="A223" s="18" t="inlineStr">
        <is>
          <t>DELEK_TYLER</t>
        </is>
      </c>
      <c r="B223" s="18" t="n">
        <v>3</v>
      </c>
      <c r="C223" s="18" t="inlineStr">
        <is>
          <t>West Texas Intermediate</t>
        </is>
      </c>
      <c r="D223" s="18" t="inlineStr">
        <is>
          <t>United States</t>
        </is>
      </c>
      <c r="E223" s="18" t="n">
        <v>2024</v>
      </c>
      <c r="F223" s="37" t="n">
        <v>0.91</v>
      </c>
    </row>
    <row r="224">
      <c r="A224" s="18" t="inlineStr">
        <is>
          <t>DELEK_TYLER</t>
        </is>
      </c>
      <c r="B224" s="18" t="n">
        <v>3</v>
      </c>
      <c r="C224" s="18" t="inlineStr">
        <is>
          <t>East Texas</t>
        </is>
      </c>
      <c r="D224" s="18" t="inlineStr">
        <is>
          <t>United States</t>
        </is>
      </c>
      <c r="E224" s="18" t="n">
        <v>2024</v>
      </c>
      <c r="F224" s="37" t="n">
        <v>0.09</v>
      </c>
    </row>
    <row r="225">
      <c r="A225" s="18" t="inlineStr">
        <is>
          <t>EXXONMOBIL_BATON_ROUGE</t>
        </is>
      </c>
      <c r="B225" s="18" t="n">
        <v>3</v>
      </c>
      <c r="C225" s="18" t="inlineStr">
        <is>
          <t>West Texas Intermediate</t>
        </is>
      </c>
      <c r="D225" s="18" t="inlineStr">
        <is>
          <t>United States</t>
        </is>
      </c>
      <c r="E225" s="18" t="n">
        <v>2024</v>
      </c>
      <c r="F225" s="37" t="n">
        <v>0.356</v>
      </c>
    </row>
    <row r="226">
      <c r="A226" s="18" t="inlineStr">
        <is>
          <t>EXXONMOBIL_BATON_ROUGE</t>
        </is>
      </c>
      <c r="B226" s="18" t="n">
        <v>3</v>
      </c>
      <c r="C226" s="18" t="inlineStr">
        <is>
          <t>Light Louisiana Sweet</t>
        </is>
      </c>
      <c r="D226" s="18" t="inlineStr">
        <is>
          <t>United States</t>
        </is>
      </c>
      <c r="E226" s="18" t="n">
        <v>2024</v>
      </c>
      <c r="F226" s="37" t="n">
        <v>0.206</v>
      </c>
    </row>
    <row r="227">
      <c r="A227" s="18" t="inlineStr">
        <is>
          <t>EXXONMOBIL_BATON_ROUGE</t>
        </is>
      </c>
      <c r="B227" s="18" t="n">
        <v>3</v>
      </c>
      <c r="C227" s="18" t="inlineStr">
        <is>
          <t>Eugene Island Sour</t>
        </is>
      </c>
      <c r="D227" s="18" t="inlineStr">
        <is>
          <t>United States</t>
        </is>
      </c>
      <c r="E227" s="18" t="n">
        <v>2024</v>
      </c>
      <c r="F227" s="37" t="n">
        <v>0.1389</v>
      </c>
    </row>
    <row r="228">
      <c r="A228" s="18" t="inlineStr">
        <is>
          <t>EXXONMOBIL_BATON_ROUGE</t>
        </is>
      </c>
      <c r="B228" s="18" t="n">
        <v>3</v>
      </c>
      <c r="C228" s="18" t="inlineStr">
        <is>
          <t>Mars/Ursa</t>
        </is>
      </c>
      <c r="D228" s="18" t="inlineStr">
        <is>
          <t>US (GOM Deepwater)</t>
        </is>
      </c>
      <c r="E228" s="18" t="n">
        <v>2024</v>
      </c>
      <c r="F228" s="37" t="n">
        <v>0.1072</v>
      </c>
    </row>
    <row r="229">
      <c r="A229" s="18" t="inlineStr">
        <is>
          <t>EXXONMOBIL_BATON_ROUGE</t>
        </is>
      </c>
      <c r="B229" s="18" t="n">
        <v>3</v>
      </c>
      <c r="C229" s="18" t="inlineStr">
        <is>
          <t>Thunder Horse</t>
        </is>
      </c>
      <c r="D229" s="18" t="inlineStr">
        <is>
          <t>US (GOM Deepwater)</t>
        </is>
      </c>
      <c r="E229" s="18" t="n">
        <v>2024</v>
      </c>
      <c r="F229" s="37" t="n">
        <v>0.09449999999999999</v>
      </c>
    </row>
    <row r="230">
      <c r="A230" s="18" t="inlineStr">
        <is>
          <t>EXXONMOBIL_BATON_ROUGE</t>
        </is>
      </c>
      <c r="B230" s="18" t="n">
        <v>3</v>
      </c>
      <c r="C230" s="18" t="inlineStr">
        <is>
          <t>Heavy Louisiana Sweet</t>
        </is>
      </c>
      <c r="D230" s="18" t="inlineStr">
        <is>
          <t>United States</t>
        </is>
      </c>
      <c r="E230" s="18" t="n">
        <v>2024</v>
      </c>
      <c r="F230" s="37" t="n">
        <v>0.0672</v>
      </c>
    </row>
    <row r="231">
      <c r="A231" s="18" t="inlineStr">
        <is>
          <t>EXXONMOBIL_BATON_ROUGE</t>
        </is>
      </c>
      <c r="B231" s="18" t="n">
        <v>3</v>
      </c>
      <c r="C231" s="18" t="inlineStr">
        <is>
          <t>W. Canada Conventional Heavy Sour (Alberta)</t>
        </is>
      </c>
      <c r="D231" s="18" t="inlineStr">
        <is>
          <t>Canada (Alberta)</t>
        </is>
      </c>
      <c r="E231" s="18" t="n">
        <v>2024</v>
      </c>
      <c r="F231" s="37" t="n">
        <v>0.0127</v>
      </c>
    </row>
    <row r="232">
      <c r="A232" s="18" t="inlineStr">
        <is>
          <t>EXXONMOBIL_BATON_ROUGE</t>
        </is>
      </c>
      <c r="B232" s="18" t="n">
        <v>3</v>
      </c>
      <c r="C232" s="18" t="inlineStr">
        <is>
          <t>Liza-Payara</t>
        </is>
      </c>
      <c r="D232" s="18" t="inlineStr">
        <is>
          <t>Guyana</t>
        </is>
      </c>
      <c r="E232" s="18" t="n">
        <v>2024</v>
      </c>
      <c r="F232" s="37" t="n">
        <v>0.0091</v>
      </c>
    </row>
    <row r="233">
      <c r="A233" s="18" t="inlineStr">
        <is>
          <t>EXXONMOBIL_BATON_ROUGE</t>
        </is>
      </c>
      <c r="B233" s="18" t="n">
        <v>3</v>
      </c>
      <c r="C233" s="18" t="inlineStr">
        <is>
          <t>Merey</t>
        </is>
      </c>
      <c r="D233" s="18" t="inlineStr">
        <is>
          <t>Venezuela</t>
        </is>
      </c>
      <c r="E233" s="18" t="n">
        <v>2024</v>
      </c>
      <c r="F233" s="37" t="n">
        <v>0.004500000000000001</v>
      </c>
    </row>
    <row r="234">
      <c r="A234" s="18" t="inlineStr">
        <is>
          <t>EXXONMOBIL_BATON_ROUGE</t>
        </is>
      </c>
      <c r="B234" s="18" t="n">
        <v>3</v>
      </c>
      <c r="C234" s="18" t="inlineStr">
        <is>
          <t>Wabasca</t>
        </is>
      </c>
      <c r="D234" s="18" t="inlineStr">
        <is>
          <t>Canada</t>
        </is>
      </c>
      <c r="E234" s="18" t="n">
        <v>2024</v>
      </c>
      <c r="F234" s="37" t="n">
        <v>0.0039</v>
      </c>
    </row>
    <row r="235">
      <c r="A235" s="18" t="inlineStr">
        <is>
          <t>EXXONMOBIL_BEAUMONT</t>
        </is>
      </c>
      <c r="B235" s="18" t="n">
        <v>3</v>
      </c>
      <c r="C235" s="18" t="inlineStr">
        <is>
          <t>West Texas Intermediate</t>
        </is>
      </c>
      <c r="D235" s="18" t="inlineStr">
        <is>
          <t>United States</t>
        </is>
      </c>
      <c r="E235" s="18" t="n">
        <v>2024</v>
      </c>
      <c r="F235" s="37" t="n">
        <v>0.8894</v>
      </c>
    </row>
    <row r="236">
      <c r="A236" s="18" t="inlineStr">
        <is>
          <t>EXXONMOBIL_BEAUMONT</t>
        </is>
      </c>
      <c r="B236" s="18" t="n">
        <v>3</v>
      </c>
      <c r="C236" s="18" t="inlineStr">
        <is>
          <t>Cold Lake</t>
        </is>
      </c>
      <c r="D236" s="18" t="inlineStr">
        <is>
          <t>Canada (Oil Sands)</t>
        </is>
      </c>
      <c r="E236" s="18" t="n">
        <v>2024</v>
      </c>
      <c r="F236" s="37" t="n">
        <v>0.0444</v>
      </c>
    </row>
    <row r="237">
      <c r="A237" s="18" t="inlineStr">
        <is>
          <t>EXXONMOBIL_BEAUMONT</t>
        </is>
      </c>
      <c r="B237" s="18" t="n">
        <v>3</v>
      </c>
      <c r="C237" s="18" t="inlineStr">
        <is>
          <t>Western Canadian Select</t>
        </is>
      </c>
      <c r="D237" s="18" t="inlineStr">
        <is>
          <t>Canada</t>
        </is>
      </c>
      <c r="E237" s="18" t="n">
        <v>2024</v>
      </c>
      <c r="F237" s="37" t="n">
        <v>0.0343</v>
      </c>
    </row>
    <row r="238">
      <c r="A238" s="18" t="inlineStr">
        <is>
          <t>EXXONMOBIL_BEAUMONT</t>
        </is>
      </c>
      <c r="B238" s="18" t="n">
        <v>3</v>
      </c>
      <c r="C238" s="18" t="inlineStr">
        <is>
          <t>Wabasca</t>
        </is>
      </c>
      <c r="D238" s="18" t="inlineStr">
        <is>
          <t>Canada</t>
        </is>
      </c>
      <c r="E238" s="18" t="n">
        <v>2024</v>
      </c>
      <c r="F238" s="37" t="n">
        <v>0.0161</v>
      </c>
    </row>
    <row r="239">
      <c r="A239" s="18" t="inlineStr">
        <is>
          <t>EXXONMOBIL_BEAUMONT</t>
        </is>
      </c>
      <c r="B239" s="18" t="n">
        <v>3</v>
      </c>
      <c r="C239" s="18" t="inlineStr">
        <is>
          <t>W. Canada Conventional Heavy Sour (Alberta)</t>
        </is>
      </c>
      <c r="D239" s="18" t="inlineStr">
        <is>
          <t>Canada (Alberta)</t>
        </is>
      </c>
      <c r="E239" s="18" t="n">
        <v>2024</v>
      </c>
      <c r="F239" s="37" t="n">
        <v>0.005699999999999999</v>
      </c>
    </row>
    <row r="240">
      <c r="A240" s="18" t="inlineStr">
        <is>
          <t>EXXONMOBIL_BEAUMONT</t>
        </is>
      </c>
      <c r="B240" s="18" t="n">
        <v>3</v>
      </c>
      <c r="C240" s="18" t="inlineStr">
        <is>
          <t>Suncor Synthetic H</t>
        </is>
      </c>
      <c r="D240" s="18" t="inlineStr">
        <is>
          <t>Canada (Saskatchewan)</t>
        </is>
      </c>
      <c r="E240" s="18" t="n">
        <v>2024</v>
      </c>
      <c r="F240" s="37" t="n">
        <v>0.005500000000000001</v>
      </c>
    </row>
    <row r="241">
      <c r="A241" s="18" t="inlineStr">
        <is>
          <t>EXXONMOBIL_BEAUMONT</t>
        </is>
      </c>
      <c r="B241" s="18" t="n">
        <v>3</v>
      </c>
      <c r="C241" s="18" t="inlineStr">
        <is>
          <t>Lloyd Blend</t>
        </is>
      </c>
      <c r="D241" s="18" t="inlineStr">
        <is>
          <t>United States</t>
        </is>
      </c>
      <c r="E241" s="18" t="n">
        <v>2024</v>
      </c>
      <c r="F241" s="37" t="n">
        <v>0.0046</v>
      </c>
    </row>
    <row r="242">
      <c r="A242" s="18" t="inlineStr">
        <is>
          <t>FLINT_CORPUS_CHRISTI</t>
        </is>
      </c>
      <c r="B242" s="18" t="n">
        <v>3</v>
      </c>
      <c r="C242" s="18" t="inlineStr">
        <is>
          <t>Eagle Ford Crude</t>
        </is>
      </c>
      <c r="D242" s="18" t="inlineStr">
        <is>
          <t>United States</t>
        </is>
      </c>
      <c r="E242" s="18" t="n">
        <v>2024</v>
      </c>
      <c r="F242" s="37" t="n">
        <v>0.8184999999999999</v>
      </c>
    </row>
    <row r="243">
      <c r="A243" s="18" t="inlineStr">
        <is>
          <t>FLINT_CORPUS_CHRISTI</t>
        </is>
      </c>
      <c r="B243" s="18" t="n">
        <v>3</v>
      </c>
      <c r="C243" s="18" t="inlineStr">
        <is>
          <t>South Texas</t>
        </is>
      </c>
      <c r="D243" s="18" t="inlineStr">
        <is>
          <t>United States</t>
        </is>
      </c>
      <c r="E243" s="18" t="n">
        <v>2024</v>
      </c>
      <c r="F243" s="37" t="n">
        <v>0.1815</v>
      </c>
    </row>
    <row r="244">
      <c r="A244" s="18" t="inlineStr">
        <is>
          <t>HF_ARTESIA</t>
        </is>
      </c>
      <c r="B244" s="18" t="n">
        <v>3</v>
      </c>
      <c r="C244" s="18" t="inlineStr">
        <is>
          <t>New Mexico Sour</t>
        </is>
      </c>
      <c r="D244" s="18" t="inlineStr">
        <is>
          <t>United States</t>
        </is>
      </c>
      <c r="E244" s="18" t="n">
        <v>2024</v>
      </c>
      <c r="F244" s="37" t="n">
        <v>0.7109000000000001</v>
      </c>
    </row>
    <row r="245">
      <c r="A245" s="18" t="inlineStr">
        <is>
          <t>HF_ARTESIA</t>
        </is>
      </c>
      <c r="B245" s="18" t="n">
        <v>3</v>
      </c>
      <c r="C245" s="18" t="inlineStr">
        <is>
          <t>West Texas Intermediate</t>
        </is>
      </c>
      <c r="D245" s="18" t="inlineStr">
        <is>
          <t>United States</t>
        </is>
      </c>
      <c r="E245" s="18" t="n">
        <v>2024</v>
      </c>
      <c r="F245" s="37" t="n">
        <v>0.2891</v>
      </c>
    </row>
    <row r="246">
      <c r="A246" s="18" t="inlineStr">
        <is>
          <t>HUNT_TUSCALOOSA</t>
        </is>
      </c>
      <c r="B246" s="18" t="n">
        <v>3</v>
      </c>
      <c r="C246" s="18" t="inlineStr">
        <is>
          <t>Oil Sands Bitumen</t>
        </is>
      </c>
      <c r="D246" s="18" t="inlineStr">
        <is>
          <t>Canada (Oil Sands)</t>
        </is>
      </c>
      <c r="E246" s="18" t="n">
        <v>2024</v>
      </c>
      <c r="F246" s="37" t="n">
        <v>0.4115</v>
      </c>
    </row>
    <row r="247">
      <c r="A247" s="18" t="inlineStr">
        <is>
          <t>HUNT_TUSCALOOSA</t>
        </is>
      </c>
      <c r="B247" s="18" t="n">
        <v>3</v>
      </c>
      <c r="C247" s="18" t="inlineStr">
        <is>
          <t>Maya</t>
        </is>
      </c>
      <c r="D247" s="18" t="inlineStr">
        <is>
          <t>Mexico</t>
        </is>
      </c>
      <c r="E247" s="18" t="n">
        <v>2024</v>
      </c>
      <c r="F247" s="37" t="n">
        <v>0.1715</v>
      </c>
    </row>
    <row r="248">
      <c r="A248" s="18" t="inlineStr">
        <is>
          <t>HUNT_TUSCALOOSA</t>
        </is>
      </c>
      <c r="B248" s="18" t="n">
        <v>3</v>
      </c>
      <c r="C248" s="18" t="inlineStr">
        <is>
          <t>Isthmus</t>
        </is>
      </c>
      <c r="D248" s="18" t="inlineStr">
        <is>
          <t>Mexico</t>
        </is>
      </c>
      <c r="E248" s="18" t="n">
        <v>2024</v>
      </c>
      <c r="F248" s="37" t="n">
        <v>0.17</v>
      </c>
    </row>
    <row r="249">
      <c r="A249" s="18" t="inlineStr">
        <is>
          <t>HUNT_TUSCALOOSA</t>
        </is>
      </c>
      <c r="B249" s="18" t="n">
        <v>3</v>
      </c>
      <c r="C249" s="18" t="inlineStr">
        <is>
          <t>Olmeca</t>
        </is>
      </c>
      <c r="D249" s="18" t="inlineStr">
        <is>
          <t>Mexico</t>
        </is>
      </c>
      <c r="E249" s="18" t="n">
        <v>2024</v>
      </c>
      <c r="F249" s="37" t="n">
        <v>0.1182</v>
      </c>
    </row>
    <row r="250">
      <c r="A250" s="18" t="inlineStr">
        <is>
          <t>HUNT_TUSCALOOSA</t>
        </is>
      </c>
      <c r="B250" s="18" t="n">
        <v>3</v>
      </c>
      <c r="C250" s="18" t="inlineStr">
        <is>
          <t>Light Louisiana Sweet</t>
        </is>
      </c>
      <c r="D250" s="18" t="inlineStr">
        <is>
          <t>United States</t>
        </is>
      </c>
      <c r="E250" s="18" t="n">
        <v>2024</v>
      </c>
      <c r="F250" s="37" t="n">
        <v>0.0723</v>
      </c>
    </row>
    <row r="251">
      <c r="A251" s="18" t="inlineStr">
        <is>
          <t>HUNT_TUSCALOOSA</t>
        </is>
      </c>
      <c r="B251" s="18" t="n">
        <v>3</v>
      </c>
      <c r="C251" s="18" t="inlineStr">
        <is>
          <t>Castilla</t>
        </is>
      </c>
      <c r="D251" s="18" t="inlineStr">
        <is>
          <t>Colombia</t>
        </is>
      </c>
      <c r="E251" s="18" t="n">
        <v>2024</v>
      </c>
      <c r="F251" s="37" t="n">
        <v>0.0565</v>
      </c>
    </row>
    <row r="252">
      <c r="A252" s="18" t="inlineStr">
        <is>
          <t>LYONDELLBASELL_HOUSTON</t>
        </is>
      </c>
      <c r="B252" s="18" t="n">
        <v>3</v>
      </c>
      <c r="C252" s="18" t="inlineStr">
        <is>
          <t>Castilla</t>
        </is>
      </c>
      <c r="D252" s="18" t="inlineStr">
        <is>
          <t>Colombia</t>
        </is>
      </c>
      <c r="E252" s="18" t="n">
        <v>2024</v>
      </c>
      <c r="F252" s="37" t="n">
        <v>0.3517</v>
      </c>
    </row>
    <row r="253">
      <c r="A253" s="18" t="inlineStr">
        <is>
          <t>LYONDELLBASELL_HOUSTON</t>
        </is>
      </c>
      <c r="B253" s="18" t="n">
        <v>3</v>
      </c>
      <c r="C253" s="18" t="inlineStr">
        <is>
          <t>West Texas Intermediate</t>
        </is>
      </c>
      <c r="D253" s="18" t="inlineStr">
        <is>
          <t>United States</t>
        </is>
      </c>
      <c r="E253" s="18" t="n">
        <v>2024</v>
      </c>
      <c r="F253" s="37" t="n">
        <v>0.1814</v>
      </c>
    </row>
    <row r="254">
      <c r="A254" s="18" t="inlineStr">
        <is>
          <t>LYONDELLBASELL_HOUSTON</t>
        </is>
      </c>
      <c r="B254" s="18" t="n">
        <v>3</v>
      </c>
      <c r="C254" s="18" t="inlineStr">
        <is>
          <t>Cold Lake</t>
        </is>
      </c>
      <c r="D254" s="18" t="inlineStr">
        <is>
          <t>Canada (Oil Sands)</t>
        </is>
      </c>
      <c r="E254" s="18" t="n">
        <v>2024</v>
      </c>
      <c r="F254" s="37" t="n">
        <v>0.1673</v>
      </c>
    </row>
    <row r="255">
      <c r="A255" s="18" t="inlineStr">
        <is>
          <t>LYONDELLBASELL_HOUSTON</t>
        </is>
      </c>
      <c r="B255" s="18" t="n">
        <v>3</v>
      </c>
      <c r="C255" s="18" t="inlineStr">
        <is>
          <t>W. Canada Conventional Heavy Sour (Alberta)</t>
        </is>
      </c>
      <c r="D255" s="18" t="inlineStr">
        <is>
          <t>Canada (Alberta)</t>
        </is>
      </c>
      <c r="E255" s="18" t="n">
        <v>2024</v>
      </c>
      <c r="F255" s="37" t="n">
        <v>0.06950000000000001</v>
      </c>
    </row>
    <row r="256">
      <c r="A256" s="18" t="inlineStr">
        <is>
          <t>LYONDELLBASELL_HOUSTON</t>
        </is>
      </c>
      <c r="B256" s="18" t="n">
        <v>3</v>
      </c>
      <c r="C256" s="18" t="inlineStr">
        <is>
          <t>Maya</t>
        </is>
      </c>
      <c r="D256" s="18" t="inlineStr">
        <is>
          <t>Mexico</t>
        </is>
      </c>
      <c r="E256" s="18" t="n">
        <v>2024</v>
      </c>
      <c r="F256" s="37" t="n">
        <v>0.0683</v>
      </c>
    </row>
    <row r="257">
      <c r="A257" s="18" t="inlineStr">
        <is>
          <t>LYONDELLBASELL_HOUSTON</t>
        </is>
      </c>
      <c r="B257" s="18" t="n">
        <v>3</v>
      </c>
      <c r="C257" s="18" t="inlineStr">
        <is>
          <t>Wabasca</t>
        </is>
      </c>
      <c r="D257" s="18" t="inlineStr">
        <is>
          <t>Canada</t>
        </is>
      </c>
      <c r="E257" s="18" t="n">
        <v>2024</v>
      </c>
      <c r="F257" s="37" t="n">
        <v>0.046</v>
      </c>
    </row>
    <row r="258">
      <c r="A258" s="18" t="inlineStr">
        <is>
          <t>LYONDELLBASELL_HOUSTON</t>
        </is>
      </c>
      <c r="B258" s="18" t="n">
        <v>3</v>
      </c>
      <c r="C258" s="18" t="inlineStr">
        <is>
          <t>Ratawi (Saudi Arabia)</t>
        </is>
      </c>
      <c r="D258" s="18" t="inlineStr">
        <is>
          <t>Saudi Arabia</t>
        </is>
      </c>
      <c r="E258" s="18" t="n">
        <v>2024</v>
      </c>
      <c r="F258" s="37" t="n">
        <v>0.0384</v>
      </c>
    </row>
    <row r="259">
      <c r="A259" s="18" t="inlineStr">
        <is>
          <t>LYONDELLBASELL_HOUSTON</t>
        </is>
      </c>
      <c r="B259" s="18" t="n">
        <v>3</v>
      </c>
      <c r="C259" s="18" t="inlineStr">
        <is>
          <t>Lloyd Blend</t>
        </is>
      </c>
      <c r="D259" s="18" t="inlineStr">
        <is>
          <t>United States</t>
        </is>
      </c>
      <c r="E259" s="18" t="n">
        <v>2024</v>
      </c>
      <c r="F259" s="37" t="n">
        <v>0.029</v>
      </c>
    </row>
    <row r="260">
      <c r="A260" s="18" t="inlineStr">
        <is>
          <t>LYONDELLBASELL_HOUSTON</t>
        </is>
      </c>
      <c r="B260" s="18" t="n">
        <v>3</v>
      </c>
      <c r="C260" s="18" t="inlineStr">
        <is>
          <t>DCO</t>
        </is>
      </c>
      <c r="D260" s="18" t="inlineStr">
        <is>
          <t>Venezuela</t>
        </is>
      </c>
      <c r="E260" s="18" t="n">
        <v>2024</v>
      </c>
      <c r="F260" s="37" t="n">
        <v>0.0213</v>
      </c>
    </row>
    <row r="261">
      <c r="A261" s="18" t="inlineStr">
        <is>
          <t>LYONDELLBASELL_HOUSTON</t>
        </is>
      </c>
      <c r="B261" s="18" t="n">
        <v>3</v>
      </c>
      <c r="C261" s="18" t="inlineStr">
        <is>
          <t>Merey</t>
        </is>
      </c>
      <c r="D261" s="18" t="inlineStr">
        <is>
          <t>Venezuela</t>
        </is>
      </c>
      <c r="E261" s="18" t="n">
        <v>2024</v>
      </c>
      <c r="F261" s="37" t="n">
        <v>0.0157</v>
      </c>
    </row>
    <row r="262">
      <c r="A262" s="18" t="inlineStr">
        <is>
          <t>LYONDELLBASELL_HOUSTON</t>
        </is>
      </c>
      <c r="B262" s="18" t="n">
        <v>3</v>
      </c>
      <c r="C262" s="18" t="inlineStr">
        <is>
          <t>Western Canadian Select</t>
        </is>
      </c>
      <c r="D262" s="18" t="inlineStr">
        <is>
          <t>Canada</t>
        </is>
      </c>
      <c r="E262" s="18" t="n">
        <v>2024</v>
      </c>
      <c r="F262" s="37" t="n">
        <v>0.0114</v>
      </c>
    </row>
    <row r="263">
      <c r="A263" s="18" t="inlineStr">
        <is>
          <t>MARATHON_EL_PASO</t>
        </is>
      </c>
      <c r="B263" s="18" t="n">
        <v>3</v>
      </c>
      <c r="C263" s="18" t="inlineStr">
        <is>
          <t>West Texas Intermediate</t>
        </is>
      </c>
      <c r="D263" s="18" t="inlineStr">
        <is>
          <t>United States</t>
        </is>
      </c>
      <c r="E263" s="18" t="n">
        <v>2024</v>
      </c>
      <c r="F263" s="37" t="n">
        <v>0.8206</v>
      </c>
    </row>
    <row r="264">
      <c r="A264" s="18" t="inlineStr">
        <is>
          <t>MARATHON_EL_PASO</t>
        </is>
      </c>
      <c r="B264" s="18" t="n">
        <v>3</v>
      </c>
      <c r="C264" s="18" t="inlineStr">
        <is>
          <t>West Texas Sour</t>
        </is>
      </c>
      <c r="D264" s="18" t="inlineStr">
        <is>
          <t>United States</t>
        </is>
      </c>
      <c r="E264" s="18" t="n">
        <v>2024</v>
      </c>
      <c r="F264" s="37" t="n">
        <v>0.1794</v>
      </c>
    </row>
    <row r="265">
      <c r="A265" s="18" t="inlineStr">
        <is>
          <t>MARATHON_GARYVILLE</t>
        </is>
      </c>
      <c r="B265" s="18" t="n">
        <v>3</v>
      </c>
      <c r="C265" s="18" t="inlineStr">
        <is>
          <t>West Texas Intermediate</t>
        </is>
      </c>
      <c r="D265" s="18" t="inlineStr">
        <is>
          <t>United States</t>
        </is>
      </c>
      <c r="E265" s="18" t="n">
        <v>2024</v>
      </c>
      <c r="F265" s="37" t="n">
        <v>0.448</v>
      </c>
    </row>
    <row r="266">
      <c r="A266" s="18" t="inlineStr">
        <is>
          <t>MARATHON_GARYVILLE</t>
        </is>
      </c>
      <c r="B266" s="18" t="n">
        <v>3</v>
      </c>
      <c r="C266" s="18" t="inlineStr">
        <is>
          <t>Mars/Ursa</t>
        </is>
      </c>
      <c r="D266" s="18" t="inlineStr">
        <is>
          <t>US (GOM Deepwater)</t>
        </is>
      </c>
      <c r="E266" s="18" t="n">
        <v>2024</v>
      </c>
      <c r="F266" s="37" t="n">
        <v>0.228</v>
      </c>
    </row>
    <row r="267">
      <c r="A267" s="18" t="inlineStr">
        <is>
          <t>MARATHON_GARYVILLE</t>
        </is>
      </c>
      <c r="B267" s="18" t="n">
        <v>3</v>
      </c>
      <c r="C267" s="18" t="inlineStr">
        <is>
          <t>Thunder Horse</t>
        </is>
      </c>
      <c r="D267" s="18" t="inlineStr">
        <is>
          <t>US (GOM Deepwater)</t>
        </is>
      </c>
      <c r="E267" s="18" t="n">
        <v>2024</v>
      </c>
      <c r="F267" s="37" t="n">
        <v>0.08869999999999999</v>
      </c>
    </row>
    <row r="268">
      <c r="A268" s="18" t="inlineStr">
        <is>
          <t>MARATHON_GARYVILLE</t>
        </is>
      </c>
      <c r="B268" s="18" t="n">
        <v>3</v>
      </c>
      <c r="C268" s="18" t="inlineStr">
        <is>
          <t>Light Louisiana Sweet</t>
        </is>
      </c>
      <c r="D268" s="18" t="inlineStr">
        <is>
          <t>United States</t>
        </is>
      </c>
      <c r="E268" s="18" t="n">
        <v>2024</v>
      </c>
      <c r="F268" s="37" t="n">
        <v>0.0859</v>
      </c>
    </row>
    <row r="269">
      <c r="A269" s="18" t="inlineStr">
        <is>
          <t>MARATHON_GARYVILLE</t>
        </is>
      </c>
      <c r="B269" s="18" t="n">
        <v>3</v>
      </c>
      <c r="C269" s="18" t="inlineStr">
        <is>
          <t>Heavy Louisiana Sweet</t>
        </is>
      </c>
      <c r="D269" s="18" t="inlineStr">
        <is>
          <t>United States</t>
        </is>
      </c>
      <c r="E269" s="18" t="n">
        <v>2024</v>
      </c>
      <c r="F269" s="37" t="n">
        <v>0.07829999999999999</v>
      </c>
    </row>
    <row r="270">
      <c r="A270" s="18" t="inlineStr">
        <is>
          <t>MARATHON_GARYVILLE</t>
        </is>
      </c>
      <c r="B270" s="18" t="n">
        <v>3</v>
      </c>
      <c r="C270" s="18" t="inlineStr">
        <is>
          <t>Maya</t>
        </is>
      </c>
      <c r="D270" s="18" t="inlineStr">
        <is>
          <t>Mexico</t>
        </is>
      </c>
      <c r="E270" s="18" t="n">
        <v>2024</v>
      </c>
      <c r="F270" s="37" t="n">
        <v>0.0265</v>
      </c>
    </row>
    <row r="271">
      <c r="A271" s="18" t="inlineStr">
        <is>
          <t>MARATHON_GARYVILLE</t>
        </is>
      </c>
      <c r="B271" s="18" t="n">
        <v>3</v>
      </c>
      <c r="C271" s="18" t="inlineStr">
        <is>
          <t>Isthmus</t>
        </is>
      </c>
      <c r="D271" s="18" t="inlineStr">
        <is>
          <t>Mexico</t>
        </is>
      </c>
      <c r="E271" s="18" t="n">
        <v>2024</v>
      </c>
      <c r="F271" s="37" t="n">
        <v>0.0251</v>
      </c>
    </row>
    <row r="272">
      <c r="A272" s="18" t="inlineStr">
        <is>
          <t>MARATHON_GARYVILLE</t>
        </is>
      </c>
      <c r="B272" s="18" t="n">
        <v>3</v>
      </c>
      <c r="C272" s="18" t="inlineStr">
        <is>
          <t>Olmeca</t>
        </is>
      </c>
      <c r="D272" s="18" t="inlineStr">
        <is>
          <t>Mexico</t>
        </is>
      </c>
      <c r="E272" s="18" t="n">
        <v>2024</v>
      </c>
      <c r="F272" s="37" t="n">
        <v>0.009599999999999999</v>
      </c>
    </row>
    <row r="273">
      <c r="A273" s="18" t="inlineStr">
        <is>
          <t>MARATHON_GARYVILLE</t>
        </is>
      </c>
      <c r="B273" s="18" t="n">
        <v>3</v>
      </c>
      <c r="C273" s="18" t="inlineStr">
        <is>
          <t>Castilla</t>
        </is>
      </c>
      <c r="D273" s="18" t="inlineStr">
        <is>
          <t>Colombia</t>
        </is>
      </c>
      <c r="E273" s="18" t="n">
        <v>2024</v>
      </c>
      <c r="F273" s="37" t="n">
        <v>0.0042</v>
      </c>
    </row>
    <row r="274">
      <c r="A274" s="18" t="inlineStr">
        <is>
          <t>MARATHON_GARYVILLE</t>
        </is>
      </c>
      <c r="B274" s="18" t="n">
        <v>3</v>
      </c>
      <c r="C274" s="18" t="inlineStr">
        <is>
          <t>Domestic Oil Guatemala</t>
        </is>
      </c>
      <c r="D274" s="18" t="inlineStr">
        <is>
          <t>Guatemala</t>
        </is>
      </c>
      <c r="E274" s="18" t="n">
        <v>2024</v>
      </c>
      <c r="F274" s="37" t="n">
        <v>0.0031</v>
      </c>
    </row>
    <row r="275">
      <c r="A275" s="18" t="inlineStr">
        <is>
          <t>MARATHON_GARYVILLE</t>
        </is>
      </c>
      <c r="B275" s="18" t="n">
        <v>3</v>
      </c>
      <c r="C275" s="18" t="inlineStr">
        <is>
          <t>Ebok</t>
        </is>
      </c>
      <c r="D275" s="18" t="inlineStr">
        <is>
          <t>Nigeria</t>
        </is>
      </c>
      <c r="E275" s="18" t="n">
        <v>2024</v>
      </c>
      <c r="F275" s="37" t="n">
        <v>0.0026</v>
      </c>
    </row>
    <row r="276">
      <c r="A276" s="18" t="inlineStr">
        <is>
          <t>MOTIVA_PAR</t>
        </is>
      </c>
      <c r="B276" s="18" t="n">
        <v>3</v>
      </c>
      <c r="C276" s="18" t="inlineStr">
        <is>
          <t>West Texas Intermediate</t>
        </is>
      </c>
      <c r="D276" s="18" t="inlineStr">
        <is>
          <t>United States</t>
        </is>
      </c>
      <c r="E276" s="18" t="n">
        <v>2024</v>
      </c>
      <c r="F276" s="37" t="n">
        <v>0.4279</v>
      </c>
    </row>
    <row r="277">
      <c r="A277" s="18" t="inlineStr">
        <is>
          <t>MOTIVA_PAR</t>
        </is>
      </c>
      <c r="B277" s="18" t="n">
        <v>3</v>
      </c>
      <c r="C277" s="18" t="inlineStr">
        <is>
          <t>Arab Light</t>
        </is>
      </c>
      <c r="D277" s="18" t="inlineStr">
        <is>
          <t>Saudi Arabia</t>
        </is>
      </c>
      <c r="E277" s="18" t="n">
        <v>2024</v>
      </c>
      <c r="F277" s="37" t="n">
        <v>0.3629</v>
      </c>
    </row>
    <row r="278">
      <c r="A278" s="18" t="inlineStr">
        <is>
          <t>MOTIVA_PAR</t>
        </is>
      </c>
      <c r="B278" s="18" t="n">
        <v>3</v>
      </c>
      <c r="C278" s="18" t="inlineStr">
        <is>
          <t>Mars/Ursa</t>
        </is>
      </c>
      <c r="D278" s="18" t="inlineStr">
        <is>
          <t>US (GOM Deepwater)</t>
        </is>
      </c>
      <c r="E278" s="18" t="n">
        <v>2024</v>
      </c>
      <c r="F278" s="37" t="n">
        <v>0.1187</v>
      </c>
    </row>
    <row r="279">
      <c r="A279" s="18" t="inlineStr">
        <is>
          <t>MOTIVA_PAR</t>
        </is>
      </c>
      <c r="B279" s="18" t="n">
        <v>3</v>
      </c>
      <c r="C279" s="18" t="inlineStr">
        <is>
          <t>Cold Lake</t>
        </is>
      </c>
      <c r="D279" s="18" t="inlineStr">
        <is>
          <t>Canada (Oil Sands)</t>
        </is>
      </c>
      <c r="E279" s="18" t="n">
        <v>2024</v>
      </c>
      <c r="F279" s="37" t="n">
        <v>0.043</v>
      </c>
    </row>
    <row r="280">
      <c r="A280" s="18" t="inlineStr">
        <is>
          <t>MOTIVA_PAR</t>
        </is>
      </c>
      <c r="B280" s="18" t="n">
        <v>3</v>
      </c>
      <c r="C280" s="18" t="inlineStr">
        <is>
          <t>Western Canadian Select</t>
        </is>
      </c>
      <c r="D280" s="18" t="inlineStr">
        <is>
          <t>Canada</t>
        </is>
      </c>
      <c r="E280" s="18" t="n">
        <v>2024</v>
      </c>
      <c r="F280" s="37" t="n">
        <v>0.0239</v>
      </c>
    </row>
    <row r="281">
      <c r="A281" s="18" t="inlineStr">
        <is>
          <t>MOTIVA_PAR</t>
        </is>
      </c>
      <c r="B281" s="18" t="n">
        <v>3</v>
      </c>
      <c r="C281" s="18" t="inlineStr">
        <is>
          <t>Wabasca</t>
        </is>
      </c>
      <c r="D281" s="18" t="inlineStr">
        <is>
          <t>Canada</t>
        </is>
      </c>
      <c r="E281" s="18" t="n">
        <v>2024</v>
      </c>
      <c r="F281" s="37" t="n">
        <v>0.0119</v>
      </c>
    </row>
    <row r="282">
      <c r="A282" s="18" t="inlineStr">
        <is>
          <t>MOTIVA_PAR</t>
        </is>
      </c>
      <c r="B282" s="18" t="n">
        <v>3</v>
      </c>
      <c r="C282" s="18" t="inlineStr">
        <is>
          <t>Lloyd Blend</t>
        </is>
      </c>
      <c r="D282" s="18" t="inlineStr">
        <is>
          <t>United States</t>
        </is>
      </c>
      <c r="E282" s="18" t="n">
        <v>2024</v>
      </c>
      <c r="F282" s="37" t="n">
        <v>0.0117</v>
      </c>
    </row>
    <row r="283">
      <c r="A283" s="18" t="inlineStr">
        <is>
          <t>MPC_GALV_BAY</t>
        </is>
      </c>
      <c r="B283" s="18" t="n">
        <v>3</v>
      </c>
      <c r="C283" s="18" t="inlineStr">
        <is>
          <t>West Texas Intermediate</t>
        </is>
      </c>
      <c r="D283" s="18" t="inlineStr">
        <is>
          <t>United States</t>
        </is>
      </c>
      <c r="E283" s="18" t="n">
        <v>2024</v>
      </c>
      <c r="F283" s="37" t="n">
        <v>0.5694</v>
      </c>
    </row>
    <row r="284">
      <c r="A284" s="18" t="inlineStr">
        <is>
          <t>MPC_GALV_BAY</t>
        </is>
      </c>
      <c r="B284" s="18" t="n">
        <v>3</v>
      </c>
      <c r="C284" s="18" t="inlineStr">
        <is>
          <t>Hoops Blend</t>
        </is>
      </c>
      <c r="D284" s="18" t="inlineStr">
        <is>
          <t>United States</t>
        </is>
      </c>
      <c r="E284" s="18" t="n">
        <v>2024</v>
      </c>
      <c r="F284" s="37" t="n">
        <v>0.1797</v>
      </c>
    </row>
    <row r="285">
      <c r="A285" s="18" t="inlineStr">
        <is>
          <t>MPC_GALV_BAY</t>
        </is>
      </c>
      <c r="B285" s="18" t="n">
        <v>3</v>
      </c>
      <c r="C285" s="18" t="inlineStr">
        <is>
          <t>Hips Blend</t>
        </is>
      </c>
      <c r="D285" s="18" t="inlineStr">
        <is>
          <t>United States</t>
        </is>
      </c>
      <c r="E285" s="18" t="n">
        <v>2024</v>
      </c>
      <c r="F285" s="37" t="n">
        <v>0.08560000000000001</v>
      </c>
    </row>
    <row r="286">
      <c r="A286" s="18" t="inlineStr">
        <is>
          <t>MPC_GALV_BAY</t>
        </is>
      </c>
      <c r="B286" s="18" t="n">
        <v>3</v>
      </c>
      <c r="C286" s="18" t="inlineStr">
        <is>
          <t>Eagle Ford Crude</t>
        </is>
      </c>
      <c r="D286" s="18" t="inlineStr">
        <is>
          <t>United States</t>
        </is>
      </c>
      <c r="E286" s="18" t="n">
        <v>2024</v>
      </c>
      <c r="F286" s="37" t="n">
        <v>0.0771</v>
      </c>
    </row>
    <row r="287">
      <c r="A287" s="18" t="inlineStr">
        <is>
          <t>MPC_GALV_BAY</t>
        </is>
      </c>
      <c r="B287" s="18" t="n">
        <v>3</v>
      </c>
      <c r="C287" s="18" t="inlineStr">
        <is>
          <t>Wabasca</t>
        </is>
      </c>
      <c r="D287" s="18" t="inlineStr">
        <is>
          <t>Canada</t>
        </is>
      </c>
      <c r="E287" s="18" t="n">
        <v>2024</v>
      </c>
      <c r="F287" s="37" t="n">
        <v>0.0389</v>
      </c>
    </row>
    <row r="288">
      <c r="A288" s="18" t="inlineStr">
        <is>
          <t>MPC_GALV_BAY</t>
        </is>
      </c>
      <c r="B288" s="18" t="n">
        <v>3</v>
      </c>
      <c r="C288" s="18" t="inlineStr">
        <is>
          <t>Isthmus</t>
        </is>
      </c>
      <c r="D288" s="18" t="inlineStr">
        <is>
          <t>Mexico</t>
        </is>
      </c>
      <c r="E288" s="18" t="n">
        <v>2024</v>
      </c>
      <c r="F288" s="37" t="n">
        <v>0.019</v>
      </c>
    </row>
    <row r="289">
      <c r="A289" s="18" t="inlineStr">
        <is>
          <t>MPC_GALV_BAY</t>
        </is>
      </c>
      <c r="B289" s="18" t="n">
        <v>3</v>
      </c>
      <c r="C289" s="18" t="inlineStr">
        <is>
          <t>Cold Lake</t>
        </is>
      </c>
      <c r="D289" s="18" t="inlineStr">
        <is>
          <t>Canada (Oil Sands)</t>
        </is>
      </c>
      <c r="E289" s="18" t="n">
        <v>2024</v>
      </c>
      <c r="F289" s="37" t="n">
        <v>0.013</v>
      </c>
    </row>
    <row r="290">
      <c r="A290" s="18" t="inlineStr">
        <is>
          <t>MPC_GALV_BAY</t>
        </is>
      </c>
      <c r="B290" s="18" t="n">
        <v>3</v>
      </c>
      <c r="C290" s="18" t="inlineStr">
        <is>
          <t>Liza-Payara</t>
        </is>
      </c>
      <c r="D290" s="18" t="inlineStr">
        <is>
          <t>Guyana</t>
        </is>
      </c>
      <c r="E290" s="18" t="n">
        <v>2024</v>
      </c>
      <c r="F290" s="37" t="n">
        <v>0.0097</v>
      </c>
    </row>
    <row r="291">
      <c r="A291" s="18" t="inlineStr">
        <is>
          <t>MPC_GALV_BAY</t>
        </is>
      </c>
      <c r="B291" s="18" t="n">
        <v>3</v>
      </c>
      <c r="C291" s="18" t="inlineStr">
        <is>
          <t>Olmeca</t>
        </is>
      </c>
      <c r="D291" s="18" t="inlineStr">
        <is>
          <t>Mexico</t>
        </is>
      </c>
      <c r="E291" s="18" t="n">
        <v>2024</v>
      </c>
      <c r="F291" s="37" t="n">
        <v>0.0076</v>
      </c>
    </row>
    <row r="292">
      <c r="A292" s="18" t="inlineStr">
        <is>
          <t>PBF_CHALMETTE</t>
        </is>
      </c>
      <c r="B292" s="18" t="n">
        <v>3</v>
      </c>
      <c r="C292" s="18" t="inlineStr">
        <is>
          <t>Light Louisiana Sweet</t>
        </is>
      </c>
      <c r="D292" s="18" t="inlineStr">
        <is>
          <t>United States</t>
        </is>
      </c>
      <c r="E292" s="18" t="n">
        <v>2024</v>
      </c>
      <c r="F292" s="37" t="n">
        <v>0.3353</v>
      </c>
    </row>
    <row r="293">
      <c r="A293" s="18" t="inlineStr">
        <is>
          <t>PBF_CHALMETTE</t>
        </is>
      </c>
      <c r="B293" s="18" t="n">
        <v>3</v>
      </c>
      <c r="C293" s="18" t="inlineStr">
        <is>
          <t>Heavy Louisiana Sweet</t>
        </is>
      </c>
      <c r="D293" s="18" t="inlineStr">
        <is>
          <t>United States</t>
        </is>
      </c>
      <c r="E293" s="18" t="n">
        <v>2024</v>
      </c>
      <c r="F293" s="37" t="n">
        <v>0.324</v>
      </c>
    </row>
    <row r="294">
      <c r="A294" s="18" t="inlineStr">
        <is>
          <t>PBF_CHALMETTE</t>
        </is>
      </c>
      <c r="B294" s="18" t="n">
        <v>3</v>
      </c>
      <c r="C294" s="18" t="inlineStr">
        <is>
          <t>Thunder Horse</t>
        </is>
      </c>
      <c r="D294" s="18" t="inlineStr">
        <is>
          <t>US (GOM Deepwater)</t>
        </is>
      </c>
      <c r="E294" s="18" t="n">
        <v>2024</v>
      </c>
      <c r="F294" s="37" t="n">
        <v>0.09939999999999999</v>
      </c>
    </row>
    <row r="295">
      <c r="A295" s="18" t="inlineStr">
        <is>
          <t>PBF_CHALMETTE</t>
        </is>
      </c>
      <c r="B295" s="18" t="n">
        <v>3</v>
      </c>
      <c r="C295" s="18" t="inlineStr">
        <is>
          <t>Boscan</t>
        </is>
      </c>
      <c r="D295" s="18" t="inlineStr">
        <is>
          <t>Venezuela</t>
        </is>
      </c>
      <c r="E295" s="18" t="n">
        <v>2024</v>
      </c>
      <c r="F295" s="37" t="n">
        <v>0.0953</v>
      </c>
    </row>
    <row r="296">
      <c r="A296" s="18" t="inlineStr">
        <is>
          <t>PBF_CHALMETTE</t>
        </is>
      </c>
      <c r="B296" s="18" t="n">
        <v>3</v>
      </c>
      <c r="C296" s="18" t="inlineStr">
        <is>
          <t>Mars/Ursa</t>
        </is>
      </c>
      <c r="D296" s="18" t="inlineStr">
        <is>
          <t>US (GOM Deepwater)</t>
        </is>
      </c>
      <c r="E296" s="18" t="n">
        <v>2024</v>
      </c>
      <c r="F296" s="37" t="n">
        <v>0.08599999999999999</v>
      </c>
    </row>
    <row r="297">
      <c r="A297" s="18" t="inlineStr">
        <is>
          <t>PBF_CHALMETTE</t>
        </is>
      </c>
      <c r="B297" s="18" t="n">
        <v>3</v>
      </c>
      <c r="C297" s="18" t="inlineStr">
        <is>
          <t>Maya</t>
        </is>
      </c>
      <c r="D297" s="18" t="inlineStr">
        <is>
          <t>Mexico</t>
        </is>
      </c>
      <c r="E297" s="18" t="n">
        <v>2024</v>
      </c>
      <c r="F297" s="37" t="n">
        <v>0.0207</v>
      </c>
    </row>
    <row r="298">
      <c r="A298" s="18" t="inlineStr">
        <is>
          <t>PBF_CHALMETTE</t>
        </is>
      </c>
      <c r="B298" s="18" t="n">
        <v>3</v>
      </c>
      <c r="C298" s="18" t="inlineStr">
        <is>
          <t>Castilla</t>
        </is>
      </c>
      <c r="D298" s="18" t="inlineStr">
        <is>
          <t>Colombia</t>
        </is>
      </c>
      <c r="E298" s="18" t="n">
        <v>2024</v>
      </c>
      <c r="F298" s="37" t="n">
        <v>0.0185</v>
      </c>
    </row>
    <row r="299">
      <c r="A299" s="18" t="inlineStr">
        <is>
          <t>PBF_CHALMETTE</t>
        </is>
      </c>
      <c r="B299" s="18" t="n">
        <v>3</v>
      </c>
      <c r="C299" s="18" t="inlineStr">
        <is>
          <t>DCO</t>
        </is>
      </c>
      <c r="D299" s="18" t="inlineStr">
        <is>
          <t>Venezuela</t>
        </is>
      </c>
      <c r="E299" s="18" t="n">
        <v>2024</v>
      </c>
      <c r="F299" s="37" t="n">
        <v>0.0106</v>
      </c>
    </row>
    <row r="300">
      <c r="A300" s="18" t="inlineStr">
        <is>
          <t>PBF_CHALMETTE</t>
        </is>
      </c>
      <c r="B300" s="18" t="n">
        <v>3</v>
      </c>
      <c r="C300" s="18" t="inlineStr">
        <is>
          <t>Isthmus</t>
        </is>
      </c>
      <c r="D300" s="18" t="inlineStr">
        <is>
          <t>Mexico</t>
        </is>
      </c>
      <c r="E300" s="18" t="n">
        <v>2024</v>
      </c>
      <c r="F300" s="37" t="n">
        <v>0.0102</v>
      </c>
    </row>
    <row r="301">
      <c r="A301" s="18" t="inlineStr">
        <is>
          <t>PEMEX_DEER_PARK</t>
        </is>
      </c>
      <c r="B301" s="18" t="n">
        <v>3</v>
      </c>
      <c r="C301" s="18" t="inlineStr">
        <is>
          <t>West Texas Intermediate</t>
        </is>
      </c>
      <c r="D301" s="18" t="inlineStr">
        <is>
          <t>United States</t>
        </is>
      </c>
      <c r="E301" s="18" t="n">
        <v>2024</v>
      </c>
      <c r="F301" s="37" t="n">
        <v>0.5306999999999999</v>
      </c>
    </row>
    <row r="302">
      <c r="A302" s="18" t="inlineStr">
        <is>
          <t>PEMEX_DEER_PARK</t>
        </is>
      </c>
      <c r="B302" s="18" t="n">
        <v>3</v>
      </c>
      <c r="C302" s="18" t="inlineStr">
        <is>
          <t>Maya</t>
        </is>
      </c>
      <c r="D302" s="18" t="inlineStr">
        <is>
          <t>Mexico</t>
        </is>
      </c>
      <c r="E302" s="18" t="n">
        <v>2024</v>
      </c>
      <c r="F302" s="37" t="n">
        <v>0.2489</v>
      </c>
    </row>
    <row r="303">
      <c r="A303" s="18" t="inlineStr">
        <is>
          <t>PEMEX_DEER_PARK</t>
        </is>
      </c>
      <c r="B303" s="18" t="n">
        <v>3</v>
      </c>
      <c r="C303" s="18" t="inlineStr">
        <is>
          <t>Wabasca</t>
        </is>
      </c>
      <c r="D303" s="18" t="inlineStr">
        <is>
          <t>Canada</t>
        </is>
      </c>
      <c r="E303" s="18" t="n">
        <v>2024</v>
      </c>
      <c r="F303" s="37" t="n">
        <v>0.0682</v>
      </c>
    </row>
    <row r="304">
      <c r="A304" s="18" t="inlineStr">
        <is>
          <t>PEMEX_DEER_PARK</t>
        </is>
      </c>
      <c r="B304" s="18" t="n">
        <v>3</v>
      </c>
      <c r="C304" s="18" t="inlineStr">
        <is>
          <t>Lloyd Blend</t>
        </is>
      </c>
      <c r="D304" s="18" t="inlineStr">
        <is>
          <t>United States</t>
        </is>
      </c>
      <c r="E304" s="18" t="n">
        <v>2024</v>
      </c>
      <c r="F304" s="37" t="n">
        <v>0.0279</v>
      </c>
    </row>
    <row r="305">
      <c r="A305" s="18" t="inlineStr">
        <is>
          <t>PEMEX_DEER_PARK</t>
        </is>
      </c>
      <c r="B305" s="18" t="n">
        <v>3</v>
      </c>
      <c r="C305" s="18" t="inlineStr">
        <is>
          <t>Vasconia</t>
        </is>
      </c>
      <c r="D305" s="18" t="inlineStr">
        <is>
          <t>Colombia</t>
        </is>
      </c>
      <c r="E305" s="18" t="n">
        <v>2024</v>
      </c>
      <c r="F305" s="37" t="n">
        <v>0.0276</v>
      </c>
    </row>
    <row r="306">
      <c r="A306" s="18" t="inlineStr">
        <is>
          <t>PEMEX_DEER_PARK</t>
        </is>
      </c>
      <c r="B306" s="18" t="n">
        <v>3</v>
      </c>
      <c r="C306" s="18" t="inlineStr">
        <is>
          <t>W. Canada Conventional Heavy Sour (Alberta)</t>
        </is>
      </c>
      <c r="D306" s="18" t="inlineStr">
        <is>
          <t>Canada (Alberta)</t>
        </is>
      </c>
      <c r="E306" s="18" t="n">
        <v>2024</v>
      </c>
      <c r="F306" s="37" t="n">
        <v>0.0257</v>
      </c>
    </row>
    <row r="307">
      <c r="A307" s="18" t="inlineStr">
        <is>
          <t>PEMEX_DEER_PARK</t>
        </is>
      </c>
      <c r="B307" s="18" t="n">
        <v>3</v>
      </c>
      <c r="C307" s="18" t="inlineStr">
        <is>
          <t>Calypso</t>
        </is>
      </c>
      <c r="D307" s="18" t="inlineStr">
        <is>
          <t>Trinidad and Tobago</t>
        </is>
      </c>
      <c r="E307" s="18" t="n">
        <v>2024</v>
      </c>
      <c r="F307" s="37" t="n">
        <v>0.0236</v>
      </c>
    </row>
    <row r="308">
      <c r="A308" s="18" t="inlineStr">
        <is>
          <t>PEMEX_DEER_PARK</t>
        </is>
      </c>
      <c r="B308" s="18" t="n">
        <v>3</v>
      </c>
      <c r="C308" s="18" t="inlineStr">
        <is>
          <t>Cold Lake</t>
        </is>
      </c>
      <c r="D308" s="18" t="inlineStr">
        <is>
          <t>Canada (Oil Sands)</t>
        </is>
      </c>
      <c r="E308" s="18" t="n">
        <v>2024</v>
      </c>
      <c r="F308" s="37" t="n">
        <v>0.0223</v>
      </c>
    </row>
    <row r="309">
      <c r="A309" s="18" t="inlineStr">
        <is>
          <t>PEMEX_DEER_PARK</t>
        </is>
      </c>
      <c r="B309" s="18" t="n">
        <v>3</v>
      </c>
      <c r="C309" s="18" t="inlineStr">
        <is>
          <t>Isthmus</t>
        </is>
      </c>
      <c r="D309" s="18" t="inlineStr">
        <is>
          <t>Mexico</t>
        </is>
      </c>
      <c r="E309" s="18" t="n">
        <v>2024</v>
      </c>
      <c r="F309" s="37" t="n">
        <v>0.0191</v>
      </c>
    </row>
    <row r="310">
      <c r="A310" s="18" t="inlineStr">
        <is>
          <t>PEMEX_DEER_PARK</t>
        </is>
      </c>
      <c r="B310" s="18" t="n">
        <v>3</v>
      </c>
      <c r="C310" s="18" t="inlineStr">
        <is>
          <t>Eocene</t>
        </is>
      </c>
      <c r="D310" s="18" t="inlineStr">
        <is>
          <t>Kuwait</t>
        </is>
      </c>
      <c r="E310" s="18" t="n">
        <v>2024</v>
      </c>
      <c r="F310" s="37" t="n">
        <v>0.006</v>
      </c>
    </row>
    <row r="311">
      <c r="A311" s="18" t="inlineStr">
        <is>
          <t>PHILLIPS_SWEENY</t>
        </is>
      </c>
      <c r="B311" s="18" t="n">
        <v>3</v>
      </c>
      <c r="C311" s="18" t="inlineStr">
        <is>
          <t>Eagle Ford Crude</t>
        </is>
      </c>
      <c r="D311" s="18" t="inlineStr">
        <is>
          <t>United States</t>
        </is>
      </c>
      <c r="E311" s="18" t="n">
        <v>2024</v>
      </c>
      <c r="F311" s="37" t="n">
        <v>0.5215</v>
      </c>
    </row>
    <row r="312">
      <c r="A312" s="18" t="inlineStr">
        <is>
          <t>PHILLIPS_SWEENY</t>
        </is>
      </c>
      <c r="B312" s="18" t="n">
        <v>3</v>
      </c>
      <c r="C312" s="18" t="inlineStr">
        <is>
          <t>Lagunillas Heavy</t>
        </is>
      </c>
      <c r="D312" s="18" t="inlineStr">
        <is>
          <t>Venezuela</t>
        </is>
      </c>
      <c r="E312" s="18" t="n">
        <v>2024</v>
      </c>
      <c r="F312" s="37" t="n">
        <v>0.1017</v>
      </c>
    </row>
    <row r="313">
      <c r="A313" s="18" t="inlineStr">
        <is>
          <t>PHILLIPS_SWEENY</t>
        </is>
      </c>
      <c r="B313" s="18" t="n">
        <v>3</v>
      </c>
      <c r="C313" s="18" t="inlineStr">
        <is>
          <t>Domestic Oil Mexico</t>
        </is>
      </c>
      <c r="D313" s="18" t="inlineStr">
        <is>
          <t>Mexico</t>
        </is>
      </c>
      <c r="E313" s="18" t="n">
        <v>2024</v>
      </c>
      <c r="F313" s="37" t="n">
        <v>0.06309999999999999</v>
      </c>
    </row>
    <row r="314">
      <c r="A314" s="18" t="inlineStr">
        <is>
          <t>PHILLIPS_SWEENY</t>
        </is>
      </c>
      <c r="B314" s="18" t="n">
        <v>3</v>
      </c>
      <c r="C314" s="18" t="inlineStr">
        <is>
          <t>Western Canadian Select</t>
        </is>
      </c>
      <c r="D314" s="18" t="inlineStr">
        <is>
          <t>Canada</t>
        </is>
      </c>
      <c r="E314" s="18" t="n">
        <v>2024</v>
      </c>
      <c r="F314" s="37" t="n">
        <v>0.0595</v>
      </c>
    </row>
    <row r="315">
      <c r="A315" s="18" t="inlineStr">
        <is>
          <t>PHILLIPS_SWEENY</t>
        </is>
      </c>
      <c r="B315" s="18" t="n">
        <v>3</v>
      </c>
      <c r="C315" s="18" t="inlineStr">
        <is>
          <t>Dalia Blend</t>
        </is>
      </c>
      <c r="D315" s="18" t="inlineStr">
        <is>
          <t>Angola</t>
        </is>
      </c>
      <c r="E315" s="18" t="n">
        <v>2024</v>
      </c>
      <c r="F315" s="37" t="n">
        <v>0.0473</v>
      </c>
    </row>
    <row r="316">
      <c r="A316" s="18" t="inlineStr">
        <is>
          <t>PHILLIPS_SWEENY</t>
        </is>
      </c>
      <c r="B316" s="18" t="n">
        <v>3</v>
      </c>
      <c r="C316" s="18" t="inlineStr">
        <is>
          <t>W. Canada Conventional Heavy Sour (Alberta)</t>
        </is>
      </c>
      <c r="D316" s="18" t="inlineStr">
        <is>
          <t>Canada (Alberta)</t>
        </is>
      </c>
      <c r="E316" s="18" t="n">
        <v>2024</v>
      </c>
      <c r="F316" s="37" t="n">
        <v>0.0446</v>
      </c>
    </row>
    <row r="317">
      <c r="A317" s="18" t="inlineStr">
        <is>
          <t>PHILLIPS_SWEENY</t>
        </is>
      </c>
      <c r="B317" s="18" t="n">
        <v>3</v>
      </c>
      <c r="C317" s="18" t="inlineStr">
        <is>
          <t>Castilla</t>
        </is>
      </c>
      <c r="D317" s="18" t="inlineStr">
        <is>
          <t>Colombia</t>
        </is>
      </c>
      <c r="E317" s="18" t="n">
        <v>2024</v>
      </c>
      <c r="F317" s="37" t="n">
        <v>0.0276</v>
      </c>
    </row>
    <row r="318">
      <c r="A318" s="18" t="inlineStr">
        <is>
          <t>PHILLIPS_SWEENY</t>
        </is>
      </c>
      <c r="B318" s="18" t="n">
        <v>3</v>
      </c>
      <c r="C318" s="18" t="inlineStr">
        <is>
          <t>Cano Limon</t>
        </is>
      </c>
      <c r="D318" s="18" t="inlineStr">
        <is>
          <t>Colombia</t>
        </is>
      </c>
      <c r="E318" s="18" t="n">
        <v>2024</v>
      </c>
      <c r="F318" s="37" t="n">
        <v>0.0265</v>
      </c>
    </row>
    <row r="319">
      <c r="A319" s="18" t="inlineStr">
        <is>
          <t>PHILLIPS_SWEENY</t>
        </is>
      </c>
      <c r="B319" s="18" t="n">
        <v>3</v>
      </c>
      <c r="C319" s="18" t="inlineStr">
        <is>
          <t>Cold Lake</t>
        </is>
      </c>
      <c r="D319" s="18" t="inlineStr">
        <is>
          <t>Canada (Oil Sands)</t>
        </is>
      </c>
      <c r="E319" s="18" t="n">
        <v>2024</v>
      </c>
      <c r="F319" s="37" t="n">
        <v>0.0202</v>
      </c>
    </row>
    <row r="320">
      <c r="A320" s="18" t="inlineStr">
        <is>
          <t>PHILLIPS_SWEENY</t>
        </is>
      </c>
      <c r="B320" s="18" t="n">
        <v>3</v>
      </c>
      <c r="C320" s="18" t="inlineStr">
        <is>
          <t>Liza-Payara</t>
        </is>
      </c>
      <c r="D320" s="18" t="inlineStr">
        <is>
          <t>Guyana</t>
        </is>
      </c>
      <c r="E320" s="18" t="n">
        <v>2024</v>
      </c>
      <c r="F320" s="37" t="n">
        <v>0.0183</v>
      </c>
    </row>
    <row r="321">
      <c r="A321" s="18" t="inlineStr">
        <is>
          <t>PHILLIPS_SWEENY</t>
        </is>
      </c>
      <c r="B321" s="18" t="n">
        <v>3</v>
      </c>
      <c r="C321" s="18" t="inlineStr">
        <is>
          <t>Marlim</t>
        </is>
      </c>
      <c r="D321" s="18" t="inlineStr">
        <is>
          <t>Brazil</t>
        </is>
      </c>
      <c r="E321" s="18" t="n">
        <v>2024</v>
      </c>
      <c r="F321" s="37" t="n">
        <v>0.0134</v>
      </c>
    </row>
    <row r="322">
      <c r="A322" s="18" t="inlineStr">
        <is>
          <t>PHILLIPS_SWEENY</t>
        </is>
      </c>
      <c r="B322" s="18" t="n">
        <v>3</v>
      </c>
      <c r="C322" s="18" t="inlineStr">
        <is>
          <t>Calypso</t>
        </is>
      </c>
      <c r="D322" s="18" t="inlineStr">
        <is>
          <t>Trinidad and Tobago</t>
        </is>
      </c>
      <c r="E322" s="18" t="n">
        <v>2024</v>
      </c>
      <c r="F322" s="37" t="n">
        <v>0.0133</v>
      </c>
    </row>
    <row r="323">
      <c r="A323" s="18" t="inlineStr">
        <is>
          <t>PHILLIPS_SWEENY</t>
        </is>
      </c>
      <c r="B323" s="18" t="n">
        <v>3</v>
      </c>
      <c r="C323" s="18" t="inlineStr">
        <is>
          <t>Isthmus</t>
        </is>
      </c>
      <c r="D323" s="18" t="inlineStr">
        <is>
          <t>Mexico</t>
        </is>
      </c>
      <c r="E323" s="18" t="n">
        <v>2024</v>
      </c>
      <c r="F323" s="37" t="n">
        <v>0.0132</v>
      </c>
    </row>
    <row r="324">
      <c r="A324" s="18" t="inlineStr">
        <is>
          <t>PHILLIPS_SWEENY</t>
        </is>
      </c>
      <c r="B324" s="18" t="n">
        <v>3</v>
      </c>
      <c r="C324" s="18" t="inlineStr">
        <is>
          <t>Sergipano Terra</t>
        </is>
      </c>
      <c r="D324" s="18" t="inlineStr">
        <is>
          <t>Brazil</t>
        </is>
      </c>
      <c r="E324" s="18" t="n">
        <v>2024</v>
      </c>
      <c r="F324" s="37" t="n">
        <v>0.0091</v>
      </c>
    </row>
    <row r="325">
      <c r="A325" s="18" t="inlineStr">
        <is>
          <t>PHILLIPS_SWEENY</t>
        </is>
      </c>
      <c r="B325" s="18" t="n">
        <v>3</v>
      </c>
      <c r="C325" s="18" t="inlineStr">
        <is>
          <t>Wabasca</t>
        </is>
      </c>
      <c r="D325" s="18" t="inlineStr">
        <is>
          <t>Canada</t>
        </is>
      </c>
      <c r="E325" s="18" t="n">
        <v>2024</v>
      </c>
      <c r="F325" s="37" t="n">
        <v>0.008399999999999999</v>
      </c>
    </row>
    <row r="326">
      <c r="A326" s="18" t="inlineStr">
        <is>
          <t>PHILLIPS_SWEENY</t>
        </is>
      </c>
      <c r="B326" s="18" t="n">
        <v>3</v>
      </c>
      <c r="C326" s="18" t="inlineStr">
        <is>
          <t>Lula</t>
        </is>
      </c>
      <c r="D326" s="18" t="inlineStr">
        <is>
          <t>Brazil</t>
        </is>
      </c>
      <c r="E326" s="18" t="n">
        <v>2024</v>
      </c>
      <c r="F326" s="37" t="n">
        <v>0.0067</v>
      </c>
    </row>
    <row r="327">
      <c r="A327" s="18" t="inlineStr">
        <is>
          <t>PHILLIPS_SWEENY</t>
        </is>
      </c>
      <c r="B327" s="18" t="n">
        <v>3</v>
      </c>
      <c r="C327" s="18" t="inlineStr">
        <is>
          <t>Johan Sverdrup</t>
        </is>
      </c>
      <c r="D327" s="18" t="inlineStr">
        <is>
          <t>Norway</t>
        </is>
      </c>
      <c r="E327" s="18" t="n">
        <v>2024</v>
      </c>
      <c r="F327" s="37" t="n">
        <v>0.005600000000000001</v>
      </c>
    </row>
    <row r="328">
      <c r="A328" s="18" t="inlineStr">
        <is>
          <t>PHILLIPS_WESTLAKE</t>
        </is>
      </c>
      <c r="B328" s="18" t="n">
        <v>3</v>
      </c>
      <c r="C328" s="18" t="inlineStr">
        <is>
          <t>West Texas Intermediate</t>
        </is>
      </c>
      <c r="D328" s="18" t="inlineStr">
        <is>
          <t>United States</t>
        </is>
      </c>
      <c r="E328" s="18" t="n">
        <v>2024</v>
      </c>
      <c r="F328" s="37" t="n">
        <v>0.536</v>
      </c>
    </row>
    <row r="329">
      <c r="A329" s="18" t="inlineStr">
        <is>
          <t>PHILLIPS_WESTLAKE</t>
        </is>
      </c>
      <c r="B329" s="18" t="n">
        <v>3</v>
      </c>
      <c r="C329" s="18" t="inlineStr">
        <is>
          <t>Eagle Ford Crude</t>
        </is>
      </c>
      <c r="D329" s="18" t="inlineStr">
        <is>
          <t>United States</t>
        </is>
      </c>
      <c r="E329" s="18" t="n">
        <v>2024</v>
      </c>
      <c r="F329" s="37" t="n">
        <v>0.144</v>
      </c>
    </row>
    <row r="330">
      <c r="A330" s="18" t="inlineStr">
        <is>
          <t>PHILLIPS_WESTLAKE</t>
        </is>
      </c>
      <c r="B330" s="18" t="n">
        <v>3</v>
      </c>
      <c r="C330" s="18" t="inlineStr">
        <is>
          <t>Light Louisiana Sweet</t>
        </is>
      </c>
      <c r="D330" s="18" t="inlineStr">
        <is>
          <t>United States</t>
        </is>
      </c>
      <c r="E330" s="18" t="n">
        <v>2024</v>
      </c>
      <c r="F330" s="37" t="n">
        <v>0.128</v>
      </c>
    </row>
    <row r="331">
      <c r="A331" s="18" t="inlineStr">
        <is>
          <t>PHILLIPS_WESTLAKE</t>
        </is>
      </c>
      <c r="B331" s="18" t="n">
        <v>3</v>
      </c>
      <c r="C331" s="18" t="inlineStr">
        <is>
          <t>Domestic Oil Mexico</t>
        </is>
      </c>
      <c r="D331" s="18" t="inlineStr">
        <is>
          <t>Mexico</t>
        </is>
      </c>
      <c r="E331" s="18" t="n">
        <v>2024</v>
      </c>
      <c r="F331" s="37" t="n">
        <v>0.1036</v>
      </c>
    </row>
    <row r="332">
      <c r="A332" s="18" t="inlineStr">
        <is>
          <t>PHILLIPS_WESTLAKE</t>
        </is>
      </c>
      <c r="B332" s="18" t="n">
        <v>3</v>
      </c>
      <c r="C332" s="18" t="inlineStr">
        <is>
          <t>Isthmus</t>
        </is>
      </c>
      <c r="D332" s="18" t="inlineStr">
        <is>
          <t>Mexico</t>
        </is>
      </c>
      <c r="E332" s="18" t="n">
        <v>2024</v>
      </c>
      <c r="F332" s="37" t="n">
        <v>0.0253</v>
      </c>
    </row>
    <row r="333">
      <c r="A333" s="18" t="inlineStr">
        <is>
          <t>PHILLIPS_WESTLAKE</t>
        </is>
      </c>
      <c r="B333" s="18" t="n">
        <v>3</v>
      </c>
      <c r="C333" s="18" t="inlineStr">
        <is>
          <t>Liza-Payara</t>
        </is>
      </c>
      <c r="D333" s="18" t="inlineStr">
        <is>
          <t>Guyana</t>
        </is>
      </c>
      <c r="E333" s="18" t="n">
        <v>2024</v>
      </c>
      <c r="F333" s="37" t="n">
        <v>0.021</v>
      </c>
    </row>
    <row r="334">
      <c r="A334" s="18" t="inlineStr">
        <is>
          <t>PHILLIPS_WESTLAKE</t>
        </is>
      </c>
      <c r="B334" s="18" t="n">
        <v>3</v>
      </c>
      <c r="C334" s="18" t="inlineStr">
        <is>
          <t>Marlim</t>
        </is>
      </c>
      <c r="D334" s="18" t="inlineStr">
        <is>
          <t>Brazil</t>
        </is>
      </c>
      <c r="E334" s="18" t="n">
        <v>2024</v>
      </c>
      <c r="F334" s="37" t="n">
        <v>0.0149</v>
      </c>
    </row>
    <row r="335">
      <c r="A335" s="18" t="inlineStr">
        <is>
          <t>PHILLIPS_WESTLAKE</t>
        </is>
      </c>
      <c r="B335" s="18" t="n">
        <v>3</v>
      </c>
      <c r="C335" s="18" t="inlineStr">
        <is>
          <t>Kissanje Blend</t>
        </is>
      </c>
      <c r="D335" s="18" t="inlineStr">
        <is>
          <t>Angola</t>
        </is>
      </c>
      <c r="E335" s="18" t="n">
        <v>2024</v>
      </c>
      <c r="F335" s="37" t="n">
        <v>0.0101</v>
      </c>
    </row>
    <row r="336">
      <c r="A336" s="18" t="inlineStr">
        <is>
          <t>PHILLIPS_WESTLAKE</t>
        </is>
      </c>
      <c r="B336" s="18" t="n">
        <v>3</v>
      </c>
      <c r="C336" s="18" t="inlineStr">
        <is>
          <t>Dalia Blend</t>
        </is>
      </c>
      <c r="D336" s="18" t="inlineStr">
        <is>
          <t>Angola</t>
        </is>
      </c>
      <c r="E336" s="18" t="n">
        <v>2024</v>
      </c>
      <c r="F336" s="37" t="n">
        <v>0.009899999999999999</v>
      </c>
    </row>
    <row r="337">
      <c r="A337" s="18" t="inlineStr">
        <is>
          <t>PHILLIPS_WESTLAKE</t>
        </is>
      </c>
      <c r="B337" s="18" t="n">
        <v>3</v>
      </c>
      <c r="C337" s="18" t="inlineStr">
        <is>
          <t>Hibernia</t>
        </is>
      </c>
      <c r="D337" s="18" t="inlineStr">
        <is>
          <t>Canada (East Coast)</t>
        </is>
      </c>
      <c r="E337" s="18" t="n">
        <v>2024</v>
      </c>
      <c r="F337" s="37" t="n">
        <v>0.0072</v>
      </c>
    </row>
    <row r="338">
      <c r="A338" s="18" t="inlineStr">
        <is>
          <t>PLACID_PORT_ALLEN</t>
        </is>
      </c>
      <c r="B338" s="18" t="n">
        <v>3</v>
      </c>
      <c r="C338" s="18" t="inlineStr">
        <is>
          <t>Light Louisiana Sweet</t>
        </is>
      </c>
      <c r="D338" s="18" t="inlineStr">
        <is>
          <t>United States</t>
        </is>
      </c>
      <c r="E338" s="18" t="n">
        <v>2024</v>
      </c>
      <c r="F338" s="37" t="n">
        <v>0.4539</v>
      </c>
    </row>
    <row r="339">
      <c r="A339" s="18" t="inlineStr">
        <is>
          <t>PLACID_PORT_ALLEN</t>
        </is>
      </c>
      <c r="B339" s="18" t="n">
        <v>3</v>
      </c>
      <c r="C339" s="18" t="inlineStr">
        <is>
          <t>Eugene Island Sour</t>
        </is>
      </c>
      <c r="D339" s="18" t="inlineStr">
        <is>
          <t>United States</t>
        </is>
      </c>
      <c r="E339" s="18" t="n">
        <v>2024</v>
      </c>
      <c r="F339" s="37" t="n">
        <v>0.1459</v>
      </c>
    </row>
    <row r="340">
      <c r="A340" s="18" t="inlineStr">
        <is>
          <t>PLACID_PORT_ALLEN</t>
        </is>
      </c>
      <c r="B340" s="18" t="n">
        <v>3</v>
      </c>
      <c r="C340" s="18" t="inlineStr">
        <is>
          <t>Heavy Louisiana Sweet</t>
        </is>
      </c>
      <c r="D340" s="18" t="inlineStr">
        <is>
          <t>United States</t>
        </is>
      </c>
      <c r="E340" s="18" t="n">
        <v>2024</v>
      </c>
      <c r="F340" s="37" t="n">
        <v>0.1408</v>
      </c>
    </row>
    <row r="341">
      <c r="A341" s="18" t="inlineStr">
        <is>
          <t>PLACID_PORT_ALLEN</t>
        </is>
      </c>
      <c r="B341" s="18" t="n">
        <v>3</v>
      </c>
      <c r="C341" s="18" t="inlineStr">
        <is>
          <t>Mars/Ursa</t>
        </is>
      </c>
      <c r="D341" s="18" t="inlineStr">
        <is>
          <t>US (GOM Deepwater)</t>
        </is>
      </c>
      <c r="E341" s="18" t="n">
        <v>2024</v>
      </c>
      <c r="F341" s="37" t="n">
        <v>0.1297</v>
      </c>
    </row>
    <row r="342">
      <c r="A342" s="18" t="inlineStr">
        <is>
          <t>PLACID_PORT_ALLEN</t>
        </is>
      </c>
      <c r="B342" s="18" t="n">
        <v>3</v>
      </c>
      <c r="C342" s="18" t="inlineStr">
        <is>
          <t>Poseidon Blend Deepwater</t>
        </is>
      </c>
      <c r="D342" s="18" t="inlineStr">
        <is>
          <t>US (GOM Deepwater)</t>
        </is>
      </c>
      <c r="E342" s="18" t="n">
        <v>2024</v>
      </c>
      <c r="F342" s="37" t="n">
        <v>0.1297</v>
      </c>
    </row>
    <row r="343">
      <c r="A343" s="18" t="inlineStr">
        <is>
          <t>SHELL_CONVENT</t>
        </is>
      </c>
      <c r="B343" s="18" t="n">
        <v>3</v>
      </c>
      <c r="C343" s="18" t="inlineStr">
        <is>
          <t>West Texas Intermediate</t>
        </is>
      </c>
      <c r="D343" s="18" t="inlineStr">
        <is>
          <t>United States</t>
        </is>
      </c>
      <c r="E343" s="18" t="n">
        <v>2019</v>
      </c>
      <c r="F343" s="37" t="n">
        <v>0.621</v>
      </c>
    </row>
    <row r="344">
      <c r="A344" s="18" t="inlineStr">
        <is>
          <t>SHELL_CONVENT</t>
        </is>
      </c>
      <c r="B344" s="18" t="n">
        <v>3</v>
      </c>
      <c r="C344" s="18" t="inlineStr">
        <is>
          <t>Heavy Louisiana Sweet</t>
        </is>
      </c>
      <c r="D344" s="18" t="inlineStr">
        <is>
          <t>United States</t>
        </is>
      </c>
      <c r="E344" s="18" t="n">
        <v>2019</v>
      </c>
      <c r="F344" s="37" t="n">
        <v>0.1886</v>
      </c>
    </row>
    <row r="345">
      <c r="A345" s="18" t="inlineStr">
        <is>
          <t>SHELL_CONVENT</t>
        </is>
      </c>
      <c r="B345" s="18" t="n">
        <v>3</v>
      </c>
      <c r="C345" s="18" t="inlineStr">
        <is>
          <t>Light Louisiana Sweet</t>
        </is>
      </c>
      <c r="D345" s="18" t="inlineStr">
        <is>
          <t>United States</t>
        </is>
      </c>
      <c r="E345" s="18" t="n">
        <v>2019</v>
      </c>
      <c r="F345" s="37" t="n">
        <v>0.1691</v>
      </c>
    </row>
    <row r="346">
      <c r="A346" s="18" t="inlineStr">
        <is>
          <t>SHELL_CONVENT</t>
        </is>
      </c>
      <c r="B346" s="18" t="n">
        <v>3</v>
      </c>
      <c r="C346" s="18" t="inlineStr">
        <is>
          <t>Kuwait Export</t>
        </is>
      </c>
      <c r="D346" s="18" t="inlineStr">
        <is>
          <t>Kuwait</t>
        </is>
      </c>
      <c r="E346" s="18" t="n">
        <v>2019</v>
      </c>
      <c r="F346" s="37" t="n">
        <v>0.008500000000000001</v>
      </c>
    </row>
    <row r="347">
      <c r="A347" s="18" t="inlineStr">
        <is>
          <t>SHELL_CONVENT</t>
        </is>
      </c>
      <c r="B347" s="18" t="n">
        <v>3</v>
      </c>
      <c r="C347" s="18" t="inlineStr">
        <is>
          <t>Kirkuk Blend</t>
        </is>
      </c>
      <c r="D347" s="18" t="inlineStr">
        <is>
          <t>Iraq</t>
        </is>
      </c>
      <c r="E347" s="18" t="n">
        <v>2019</v>
      </c>
      <c r="F347" s="37" t="n">
        <v>0.0061</v>
      </c>
    </row>
    <row r="348">
      <c r="A348" s="18" t="inlineStr">
        <is>
          <t>SHELL_CONVENT</t>
        </is>
      </c>
      <c r="B348" s="18" t="n">
        <v>3</v>
      </c>
      <c r="C348" s="18" t="inlineStr">
        <is>
          <t>Peregrino</t>
        </is>
      </c>
      <c r="D348" s="18" t="inlineStr">
        <is>
          <t>Brazil</t>
        </is>
      </c>
      <c r="E348" s="18" t="n">
        <v>2019</v>
      </c>
      <c r="F348" s="37" t="n">
        <v>0.0022</v>
      </c>
    </row>
    <row r="349">
      <c r="A349" s="18" t="inlineStr">
        <is>
          <t>SHELL_CONVENT</t>
        </is>
      </c>
      <c r="B349" s="18" t="n">
        <v>3</v>
      </c>
      <c r="C349" s="18" t="inlineStr">
        <is>
          <t>Kraken</t>
        </is>
      </c>
      <c r="D349" s="18" t="inlineStr">
        <is>
          <t>United Kingdom</t>
        </is>
      </c>
      <c r="E349" s="18" t="n">
        <v>2019</v>
      </c>
      <c r="F349" s="37" t="n">
        <v>0.002</v>
      </c>
    </row>
    <row r="350">
      <c r="A350" s="18" t="inlineStr">
        <is>
          <t>SHELL_CONVENT</t>
        </is>
      </c>
      <c r="B350" s="18" t="n">
        <v>3</v>
      </c>
      <c r="C350" s="18" t="inlineStr">
        <is>
          <t>Wabasca</t>
        </is>
      </c>
      <c r="D350" s="18" t="inlineStr">
        <is>
          <t>Canada</t>
        </is>
      </c>
      <c r="E350" s="18" t="n">
        <v>2019</v>
      </c>
      <c r="F350" s="37" t="n">
        <v>0.0019</v>
      </c>
    </row>
    <row r="351">
      <c r="A351" s="18" t="inlineStr">
        <is>
          <t>SHELL_CONVENT</t>
        </is>
      </c>
      <c r="B351" s="18" t="n">
        <v>3</v>
      </c>
      <c r="C351" s="18" t="inlineStr">
        <is>
          <t>Belize Light Crude</t>
        </is>
      </c>
      <c r="D351" s="18" t="inlineStr">
        <is>
          <t>Belize</t>
        </is>
      </c>
      <c r="E351" s="18" t="n">
        <v>2019</v>
      </c>
      <c r="F351" s="37" t="n">
        <v>0.0007000000000000001</v>
      </c>
    </row>
    <row r="352">
      <c r="A352" s="18" t="inlineStr">
        <is>
          <t>SHELL_NORCO</t>
        </is>
      </c>
      <c r="B352" s="18" t="n">
        <v>3</v>
      </c>
      <c r="C352" s="18" t="inlineStr">
        <is>
          <t>Light Louisiana Sweet</t>
        </is>
      </c>
      <c r="D352" s="18" t="inlineStr">
        <is>
          <t>United States</t>
        </is>
      </c>
      <c r="E352" s="18" t="n">
        <v>2024</v>
      </c>
      <c r="F352" s="37" t="n">
        <v>0.3249</v>
      </c>
    </row>
    <row r="353">
      <c r="A353" s="18" t="inlineStr">
        <is>
          <t>SHELL_NORCO</t>
        </is>
      </c>
      <c r="B353" s="18" t="n">
        <v>3</v>
      </c>
      <c r="C353" s="18" t="inlineStr">
        <is>
          <t>West Texas Intermediate</t>
        </is>
      </c>
      <c r="D353" s="18" t="inlineStr">
        <is>
          <t>United States</t>
        </is>
      </c>
      <c r="E353" s="18" t="n">
        <v>2024</v>
      </c>
      <c r="F353" s="37" t="n">
        <v>0.2646</v>
      </c>
    </row>
    <row r="354">
      <c r="A354" s="18" t="inlineStr">
        <is>
          <t>SHELL_NORCO</t>
        </is>
      </c>
      <c r="B354" s="18" t="n">
        <v>3</v>
      </c>
      <c r="C354" s="18" t="inlineStr">
        <is>
          <t>Mars/Ursa</t>
        </is>
      </c>
      <c r="D354" s="18" t="inlineStr">
        <is>
          <t>US (GOM Deepwater)</t>
        </is>
      </c>
      <c r="E354" s="18" t="n">
        <v>2024</v>
      </c>
      <c r="F354" s="37" t="n">
        <v>0.2475</v>
      </c>
    </row>
    <row r="355">
      <c r="A355" s="18" t="inlineStr">
        <is>
          <t>SHELL_NORCO</t>
        </is>
      </c>
      <c r="B355" s="18" t="n">
        <v>3</v>
      </c>
      <c r="C355" s="18" t="inlineStr">
        <is>
          <t>Heavy Louisiana Sweet</t>
        </is>
      </c>
      <c r="D355" s="18" t="inlineStr">
        <is>
          <t>United States</t>
        </is>
      </c>
      <c r="E355" s="18" t="n">
        <v>2024</v>
      </c>
      <c r="F355" s="37" t="n">
        <v>0.1503</v>
      </c>
    </row>
    <row r="356">
      <c r="A356" s="18" t="inlineStr">
        <is>
          <t>SHELL_NORCO</t>
        </is>
      </c>
      <c r="B356" s="18" t="n">
        <v>3</v>
      </c>
      <c r="C356" s="18" t="inlineStr">
        <is>
          <t>Wabasca</t>
        </is>
      </c>
      <c r="D356" s="18" t="inlineStr">
        <is>
          <t>Canada</t>
        </is>
      </c>
      <c r="E356" s="18" t="n">
        <v>2024</v>
      </c>
      <c r="F356" s="37" t="n">
        <v>0.0127</v>
      </c>
    </row>
    <row r="357">
      <c r="A357" s="18" t="inlineStr">
        <is>
          <t>TOTAL_PORT_ARTHUR</t>
        </is>
      </c>
      <c r="B357" s="18" t="n">
        <v>3</v>
      </c>
      <c r="C357" s="18" t="inlineStr">
        <is>
          <t>West Texas Intermediate</t>
        </is>
      </c>
      <c r="D357" s="18" t="inlineStr">
        <is>
          <t>United States</t>
        </is>
      </c>
      <c r="E357" s="18" t="n">
        <v>2024</v>
      </c>
      <c r="F357" s="37" t="n">
        <v>0.5550999999999999</v>
      </c>
    </row>
    <row r="358">
      <c r="A358" s="18" t="inlineStr">
        <is>
          <t>TOTAL_PORT_ARTHUR</t>
        </is>
      </c>
      <c r="B358" s="18" t="n">
        <v>3</v>
      </c>
      <c r="C358" s="18" t="inlineStr">
        <is>
          <t>Cold Lake</t>
        </is>
      </c>
      <c r="D358" s="18" t="inlineStr">
        <is>
          <t>Canada (Oil Sands)</t>
        </is>
      </c>
      <c r="E358" s="18" t="n">
        <v>2024</v>
      </c>
      <c r="F358" s="37" t="n">
        <v>0.1615</v>
      </c>
    </row>
    <row r="359">
      <c r="A359" s="18" t="inlineStr">
        <is>
          <t>TOTAL_PORT_ARTHUR</t>
        </is>
      </c>
      <c r="B359" s="18" t="n">
        <v>3</v>
      </c>
      <c r="C359" s="18" t="inlineStr">
        <is>
          <t>Maya</t>
        </is>
      </c>
      <c r="D359" s="18" t="inlineStr">
        <is>
          <t>Mexico</t>
        </is>
      </c>
      <c r="E359" s="18" t="n">
        <v>2024</v>
      </c>
      <c r="F359" s="37" t="n">
        <v>0.1167</v>
      </c>
    </row>
    <row r="360">
      <c r="A360" s="18" t="inlineStr">
        <is>
          <t>TOTAL_PORT_ARTHUR</t>
        </is>
      </c>
      <c r="B360" s="18" t="n">
        <v>3</v>
      </c>
      <c r="C360" s="18" t="inlineStr">
        <is>
          <t>Eagle Ford Crude</t>
        </is>
      </c>
      <c r="D360" s="18" t="inlineStr">
        <is>
          <t>United States</t>
        </is>
      </c>
      <c r="E360" s="18" t="n">
        <v>2024</v>
      </c>
      <c r="F360" s="37" t="n">
        <v>0.1056</v>
      </c>
    </row>
    <row r="361">
      <c r="A361" s="18" t="inlineStr">
        <is>
          <t>TOTAL_PORT_ARTHUR</t>
        </is>
      </c>
      <c r="B361" s="18" t="n">
        <v>3</v>
      </c>
      <c r="C361" s="18" t="inlineStr">
        <is>
          <t>Isthmus</t>
        </is>
      </c>
      <c r="D361" s="18" t="inlineStr">
        <is>
          <t>Mexico</t>
        </is>
      </c>
      <c r="E361" s="18" t="n">
        <v>2024</v>
      </c>
      <c r="F361" s="37" t="n">
        <v>0.031</v>
      </c>
    </row>
    <row r="362">
      <c r="A362" s="18" t="inlineStr">
        <is>
          <t>TOTAL_PORT_ARTHUR</t>
        </is>
      </c>
      <c r="B362" s="18" t="n">
        <v>3</v>
      </c>
      <c r="C362" s="18" t="inlineStr">
        <is>
          <t>Castilla</t>
        </is>
      </c>
      <c r="D362" s="18" t="inlineStr">
        <is>
          <t>Colombia</t>
        </is>
      </c>
      <c r="E362" s="18" t="n">
        <v>2024</v>
      </c>
      <c r="F362" s="37" t="n">
        <v>0.0301</v>
      </c>
    </row>
    <row r="363">
      <c r="A363" s="18" t="inlineStr">
        <is>
          <t>VALERO_CORPUS_CHRISTI</t>
        </is>
      </c>
      <c r="B363" s="18" t="n">
        <v>3</v>
      </c>
      <c r="C363" s="18" t="inlineStr">
        <is>
          <t>Eagle Ford Crude</t>
        </is>
      </c>
      <c r="D363" s="18" t="inlineStr">
        <is>
          <t>United States</t>
        </is>
      </c>
      <c r="E363" s="18" t="n">
        <v>2024</v>
      </c>
      <c r="F363" s="37" t="n">
        <v>0.7365999999999999</v>
      </c>
    </row>
    <row r="364">
      <c r="A364" s="18" t="inlineStr">
        <is>
          <t>VALERO_CORPUS_CHRISTI</t>
        </is>
      </c>
      <c r="B364" s="18" t="n">
        <v>3</v>
      </c>
      <c r="C364" s="18" t="inlineStr">
        <is>
          <t>Boscan</t>
        </is>
      </c>
      <c r="D364" s="18" t="inlineStr">
        <is>
          <t>Venezuela</t>
        </is>
      </c>
      <c r="E364" s="18" t="n">
        <v>2024</v>
      </c>
      <c r="F364" s="37" t="n">
        <v>0.0859</v>
      </c>
    </row>
    <row r="365">
      <c r="A365" s="18" t="inlineStr">
        <is>
          <t>VALERO_CORPUS_CHRISTI</t>
        </is>
      </c>
      <c r="B365" s="18" t="n">
        <v>3</v>
      </c>
      <c r="C365" s="18" t="inlineStr">
        <is>
          <t>Olmeca</t>
        </is>
      </c>
      <c r="D365" s="18" t="inlineStr">
        <is>
          <t>Mexico</t>
        </is>
      </c>
      <c r="E365" s="18" t="n">
        <v>2024</v>
      </c>
      <c r="F365" s="37" t="n">
        <v>0.0741</v>
      </c>
    </row>
    <row r="366">
      <c r="A366" s="18" t="inlineStr">
        <is>
          <t>VALERO_CORPUS_CHRISTI</t>
        </is>
      </c>
      <c r="B366" s="18" t="n">
        <v>3</v>
      </c>
      <c r="C366" s="18" t="inlineStr">
        <is>
          <t>Isthmus</t>
        </is>
      </c>
      <c r="D366" s="18" t="inlineStr">
        <is>
          <t>Mexico</t>
        </is>
      </c>
      <c r="E366" s="18" t="n">
        <v>2024</v>
      </c>
      <c r="F366" s="37" t="n">
        <v>0.0675</v>
      </c>
    </row>
    <row r="367">
      <c r="A367" s="18" t="inlineStr">
        <is>
          <t>VALERO_CORPUS_CHRISTI</t>
        </is>
      </c>
      <c r="B367" s="18" t="n">
        <v>3</v>
      </c>
      <c r="C367" s="18" t="inlineStr">
        <is>
          <t>Catcher</t>
        </is>
      </c>
      <c r="D367" s="18" t="inlineStr">
        <is>
          <t>United Kingdom</t>
        </is>
      </c>
      <c r="E367" s="18" t="n">
        <v>2024</v>
      </c>
      <c r="F367" s="37" t="n">
        <v>0.0164</v>
      </c>
    </row>
    <row r="368">
      <c r="A368" s="18" t="inlineStr">
        <is>
          <t>VALERO_CORPUS_CHRISTI</t>
        </is>
      </c>
      <c r="B368" s="18" t="n">
        <v>3</v>
      </c>
      <c r="C368" s="18" t="inlineStr">
        <is>
          <t>Basrah Medium</t>
        </is>
      </c>
      <c r="D368" s="18" t="inlineStr">
        <is>
          <t>Iraq</t>
        </is>
      </c>
      <c r="E368" s="18" t="n">
        <v>2024</v>
      </c>
      <c r="F368" s="37" t="n">
        <v>0.0107</v>
      </c>
    </row>
    <row r="369">
      <c r="A369" s="18" t="inlineStr">
        <is>
          <t>VALERO_CORPUS_CHRISTI</t>
        </is>
      </c>
      <c r="B369" s="18" t="n">
        <v>3</v>
      </c>
      <c r="C369" s="18" t="inlineStr">
        <is>
          <t>Castilla</t>
        </is>
      </c>
      <c r="D369" s="18" t="inlineStr">
        <is>
          <t>Colombia</t>
        </is>
      </c>
      <c r="E369" s="18" t="n">
        <v>2024</v>
      </c>
      <c r="F369" s="37" t="n">
        <v>0.0062</v>
      </c>
    </row>
    <row r="370">
      <c r="A370" s="18" t="inlineStr">
        <is>
          <t>VALERO_CORPUS_CHRISTI</t>
        </is>
      </c>
      <c r="B370" s="18" t="n">
        <v>3</v>
      </c>
      <c r="C370" s="18" t="inlineStr">
        <is>
          <t>Maya</t>
        </is>
      </c>
      <c r="D370" s="18" t="inlineStr">
        <is>
          <t>Mexico</t>
        </is>
      </c>
      <c r="E370" s="18" t="n">
        <v>2024</v>
      </c>
      <c r="F370" s="37" t="n">
        <v>0.0026</v>
      </c>
    </row>
    <row r="371">
      <c r="A371" s="18" t="inlineStr">
        <is>
          <t>VALERO_HOUSTON</t>
        </is>
      </c>
      <c r="B371" s="18" t="n">
        <v>3</v>
      </c>
      <c r="C371" s="18" t="inlineStr">
        <is>
          <t>West Texas Intermediate</t>
        </is>
      </c>
      <c r="D371" s="18" t="inlineStr">
        <is>
          <t>United States</t>
        </is>
      </c>
      <c r="E371" s="18" t="n">
        <v>2024</v>
      </c>
      <c r="F371" s="37" t="n">
        <v>0.6524</v>
      </c>
    </row>
    <row r="372">
      <c r="A372" s="18" t="inlineStr">
        <is>
          <t>VALERO_HOUSTON</t>
        </is>
      </c>
      <c r="B372" s="18" t="n">
        <v>3</v>
      </c>
      <c r="C372" s="18" t="inlineStr">
        <is>
          <t>Eagle Ford Crude</t>
        </is>
      </c>
      <c r="D372" s="18" t="inlineStr">
        <is>
          <t>United States</t>
        </is>
      </c>
      <c r="E372" s="18" t="n">
        <v>2024</v>
      </c>
      <c r="F372" s="37" t="n">
        <v>0.3307</v>
      </c>
    </row>
    <row r="373">
      <c r="A373" s="18" t="inlineStr">
        <is>
          <t>VALERO_HOUSTON</t>
        </is>
      </c>
      <c r="B373" s="18" t="n">
        <v>3</v>
      </c>
      <c r="C373" s="18" t="inlineStr">
        <is>
          <t>Cold Lake</t>
        </is>
      </c>
      <c r="D373" s="18" t="inlineStr">
        <is>
          <t>Canada (Oil Sands)</t>
        </is>
      </c>
      <c r="E373" s="18" t="n">
        <v>2024</v>
      </c>
      <c r="F373" s="37" t="n">
        <v>0.0169</v>
      </c>
    </row>
    <row r="374">
      <c r="A374" s="18" t="inlineStr">
        <is>
          <t>VALERO_MERAUX</t>
        </is>
      </c>
      <c r="B374" s="18" t="n">
        <v>3</v>
      </c>
      <c r="C374" s="18" t="inlineStr">
        <is>
          <t>Light Louisiana Sweet</t>
        </is>
      </c>
      <c r="D374" s="18" t="inlineStr">
        <is>
          <t>United States</t>
        </is>
      </c>
      <c r="E374" s="18" t="n">
        <v>2024</v>
      </c>
      <c r="F374" s="37" t="n">
        <v>0.5199</v>
      </c>
    </row>
    <row r="375">
      <c r="A375" s="18" t="inlineStr">
        <is>
          <t>VALERO_MERAUX</t>
        </is>
      </c>
      <c r="B375" s="18" t="n">
        <v>3</v>
      </c>
      <c r="C375" s="18" t="inlineStr">
        <is>
          <t>Heavy Louisiana Sweet</t>
        </is>
      </c>
      <c r="D375" s="18" t="inlineStr">
        <is>
          <t>United States</t>
        </is>
      </c>
      <c r="E375" s="18" t="n">
        <v>2024</v>
      </c>
      <c r="F375" s="37" t="n">
        <v>0.4006</v>
      </c>
    </row>
    <row r="376">
      <c r="A376" s="18" t="inlineStr">
        <is>
          <t>VALERO_MERAUX</t>
        </is>
      </c>
      <c r="B376" s="18" t="n">
        <v>3</v>
      </c>
      <c r="C376" s="18" t="inlineStr">
        <is>
          <t>West Texas Intermediate</t>
        </is>
      </c>
      <c r="D376" s="18" t="inlineStr">
        <is>
          <t>United States</t>
        </is>
      </c>
      <c r="E376" s="18" t="n">
        <v>2024</v>
      </c>
      <c r="F376" s="37" t="n">
        <v>0.053</v>
      </c>
    </row>
    <row r="377">
      <c r="A377" s="18" t="inlineStr">
        <is>
          <t>VALERO_MERAUX</t>
        </is>
      </c>
      <c r="B377" s="18" t="n">
        <v>3</v>
      </c>
      <c r="C377" s="18" t="inlineStr">
        <is>
          <t>Lokele</t>
        </is>
      </c>
      <c r="D377" s="18" t="inlineStr">
        <is>
          <t>Cameroon</t>
        </is>
      </c>
      <c r="E377" s="18" t="n">
        <v>2024</v>
      </c>
      <c r="F377" s="37" t="n">
        <v>0.015</v>
      </c>
    </row>
    <row r="378">
      <c r="A378" s="18" t="inlineStr">
        <is>
          <t>VALERO_MERAUX</t>
        </is>
      </c>
      <c r="B378" s="18" t="n">
        <v>3</v>
      </c>
      <c r="C378" s="18" t="inlineStr">
        <is>
          <t>Liza-Payara</t>
        </is>
      </c>
      <c r="D378" s="18" t="inlineStr">
        <is>
          <t>Guyana</t>
        </is>
      </c>
      <c r="E378" s="18" t="n">
        <v>2024</v>
      </c>
      <c r="F378" s="37" t="n">
        <v>0.0115</v>
      </c>
    </row>
    <row r="379">
      <c r="A379" s="18" t="inlineStr">
        <is>
          <t>VALERO_PORT_ARTHUR</t>
        </is>
      </c>
      <c r="B379" s="18" t="n">
        <v>3</v>
      </c>
      <c r="C379" s="18" t="inlineStr">
        <is>
          <t>West Texas Intermediate</t>
        </is>
      </c>
      <c r="D379" s="18" t="inlineStr">
        <is>
          <t>United States</t>
        </is>
      </c>
      <c r="E379" s="18" t="n">
        <v>2024</v>
      </c>
      <c r="F379" s="37" t="n">
        <v>0.3947</v>
      </c>
    </row>
    <row r="380">
      <c r="A380" s="18" t="inlineStr">
        <is>
          <t>VALERO_PORT_ARTHUR</t>
        </is>
      </c>
      <c r="B380" s="18" t="n">
        <v>3</v>
      </c>
      <c r="C380" s="18" t="inlineStr">
        <is>
          <t>Maya</t>
        </is>
      </c>
      <c r="D380" s="18" t="inlineStr">
        <is>
          <t>Mexico</t>
        </is>
      </c>
      <c r="E380" s="18" t="n">
        <v>2024</v>
      </c>
      <c r="F380" s="37" t="n">
        <v>0.3802</v>
      </c>
    </row>
    <row r="381">
      <c r="A381" s="18" t="inlineStr">
        <is>
          <t>VALERO_PORT_ARTHUR</t>
        </is>
      </c>
      <c r="B381" s="18" t="n">
        <v>3</v>
      </c>
      <c r="C381" s="18" t="inlineStr">
        <is>
          <t>Boscan</t>
        </is>
      </c>
      <c r="D381" s="18" t="inlineStr">
        <is>
          <t>Venezuela</t>
        </is>
      </c>
      <c r="E381" s="18" t="n">
        <v>2024</v>
      </c>
      <c r="F381" s="37" t="n">
        <v>0.1266</v>
      </c>
    </row>
    <row r="382">
      <c r="A382" s="18" t="inlineStr">
        <is>
          <t>VALERO_PORT_ARTHUR</t>
        </is>
      </c>
      <c r="B382" s="18" t="n">
        <v>3</v>
      </c>
      <c r="C382" s="18" t="inlineStr">
        <is>
          <t>Alba</t>
        </is>
      </c>
      <c r="D382" s="18" t="inlineStr">
        <is>
          <t>United Kingdom</t>
        </is>
      </c>
      <c r="E382" s="18" t="n">
        <v>2024</v>
      </c>
      <c r="F382" s="37" t="n">
        <v>0.0299</v>
      </c>
    </row>
    <row r="383">
      <c r="A383" s="18" t="inlineStr">
        <is>
          <t>VALERO_PORT_ARTHUR</t>
        </is>
      </c>
      <c r="B383" s="18" t="n">
        <v>3</v>
      </c>
      <c r="C383" s="18" t="inlineStr">
        <is>
          <t>Merey</t>
        </is>
      </c>
      <c r="D383" s="18" t="inlineStr">
        <is>
          <t>Venezuela</t>
        </is>
      </c>
      <c r="E383" s="18" t="n">
        <v>2024</v>
      </c>
      <c r="F383" s="37" t="n">
        <v>0.021</v>
      </c>
    </row>
    <row r="384">
      <c r="A384" s="18" t="inlineStr">
        <is>
          <t>VALERO_PORT_ARTHUR</t>
        </is>
      </c>
      <c r="B384" s="18" t="n">
        <v>3</v>
      </c>
      <c r="C384" s="18" t="inlineStr">
        <is>
          <t>DCO</t>
        </is>
      </c>
      <c r="D384" s="18" t="inlineStr">
        <is>
          <t>Venezuela</t>
        </is>
      </c>
      <c r="E384" s="18" t="n">
        <v>2024</v>
      </c>
      <c r="F384" s="37" t="n">
        <v>0.0183</v>
      </c>
    </row>
    <row r="385">
      <c r="A385" s="18" t="inlineStr">
        <is>
          <t>VALERO_PORT_ARTHUR</t>
        </is>
      </c>
      <c r="B385" s="18" t="n">
        <v>3</v>
      </c>
      <c r="C385" s="18" t="inlineStr">
        <is>
          <t>Domestic Oil Guatemala</t>
        </is>
      </c>
      <c r="D385" s="18" t="inlineStr">
        <is>
          <t>Guatemala</t>
        </is>
      </c>
      <c r="E385" s="18" t="n">
        <v>2024</v>
      </c>
      <c r="F385" s="37" t="n">
        <v>0.0077</v>
      </c>
    </row>
    <row r="386">
      <c r="A386" s="18" t="inlineStr">
        <is>
          <t>VALERO_PORT_ARTHUR</t>
        </is>
      </c>
      <c r="B386" s="18" t="n">
        <v>3</v>
      </c>
      <c r="C386" s="18" t="inlineStr">
        <is>
          <t>Castilla</t>
        </is>
      </c>
      <c r="D386" s="18" t="inlineStr">
        <is>
          <t>Colombia</t>
        </is>
      </c>
      <c r="E386" s="18" t="n">
        <v>2024</v>
      </c>
      <c r="F386" s="37" t="n">
        <v>0.006</v>
      </c>
    </row>
    <row r="387">
      <c r="A387" s="18" t="inlineStr">
        <is>
          <t>VALERO_PORT_ARTHUR</t>
        </is>
      </c>
      <c r="B387" s="18" t="n">
        <v>3</v>
      </c>
      <c r="C387" s="18" t="inlineStr">
        <is>
          <t>Basrah Heavy</t>
        </is>
      </c>
      <c r="D387" s="18" t="inlineStr">
        <is>
          <t>Iraq</t>
        </is>
      </c>
      <c r="E387" s="18" t="n">
        <v>2024</v>
      </c>
      <c r="F387" s="37" t="n">
        <v>0.0054</v>
      </c>
    </row>
    <row r="388">
      <c r="A388" s="18" t="inlineStr">
        <is>
          <t>VALERO_PORT_ARTHUR</t>
        </is>
      </c>
      <c r="B388" s="18" t="n">
        <v>3</v>
      </c>
      <c r="C388" s="18" t="inlineStr">
        <is>
          <t>Eocene</t>
        </is>
      </c>
      <c r="D388" s="18" t="inlineStr">
        <is>
          <t>Kuwait</t>
        </is>
      </c>
      <c r="E388" s="18" t="n">
        <v>2024</v>
      </c>
      <c r="F388" s="37" t="n">
        <v>0.0052</v>
      </c>
    </row>
    <row r="389">
      <c r="A389" s="18" t="inlineStr">
        <is>
          <t>VALERO_PORT_ARTHUR</t>
        </is>
      </c>
      <c r="B389" s="18" t="n">
        <v>3</v>
      </c>
      <c r="C389" s="18" t="inlineStr">
        <is>
          <t>Peregrino</t>
        </is>
      </c>
      <c r="D389" s="18" t="inlineStr">
        <is>
          <t>Brazil</t>
        </is>
      </c>
      <c r="E389" s="18" t="n">
        <v>2024</v>
      </c>
      <c r="F389" s="37" t="n">
        <v>0.005</v>
      </c>
    </row>
    <row r="390">
      <c r="A390" s="18" t="inlineStr">
        <is>
          <t>VALERO_SAINT_CHARLES</t>
        </is>
      </c>
      <c r="B390" s="18" t="n">
        <v>3</v>
      </c>
      <c r="C390" s="18" t="inlineStr">
        <is>
          <t>West Texas Intermediate</t>
        </is>
      </c>
      <c r="D390" s="18" t="inlineStr">
        <is>
          <t>United States</t>
        </is>
      </c>
      <c r="E390" s="18" t="n">
        <v>2024</v>
      </c>
      <c r="F390" s="37" t="n">
        <v>0.2332</v>
      </c>
    </row>
    <row r="391">
      <c r="A391" s="18" t="inlineStr">
        <is>
          <t>VALERO_SAINT_CHARLES</t>
        </is>
      </c>
      <c r="B391" s="18" t="n">
        <v>3</v>
      </c>
      <c r="C391" s="18" t="inlineStr">
        <is>
          <t>Merey</t>
        </is>
      </c>
      <c r="D391" s="18" t="inlineStr">
        <is>
          <t>Venezuela</t>
        </is>
      </c>
      <c r="E391" s="18" t="n">
        <v>2024</v>
      </c>
      <c r="F391" s="37" t="n">
        <v>0.2287</v>
      </c>
    </row>
    <row r="392">
      <c r="A392" s="18" t="inlineStr">
        <is>
          <t>VALERO_SAINT_CHARLES</t>
        </is>
      </c>
      <c r="B392" s="18" t="n">
        <v>3</v>
      </c>
      <c r="C392" s="18" t="inlineStr">
        <is>
          <t>DCO</t>
        </is>
      </c>
      <c r="D392" s="18" t="inlineStr">
        <is>
          <t>Venezuela</t>
        </is>
      </c>
      <c r="E392" s="18" t="n">
        <v>2024</v>
      </c>
      <c r="F392" s="37" t="n">
        <v>0.1089</v>
      </c>
    </row>
    <row r="393">
      <c r="A393" s="18" t="inlineStr">
        <is>
          <t>VALERO_SAINT_CHARLES</t>
        </is>
      </c>
      <c r="B393" s="18" t="n">
        <v>3</v>
      </c>
      <c r="C393" s="18" t="inlineStr">
        <is>
          <t>Light Louisiana Sweet</t>
        </is>
      </c>
      <c r="D393" s="18" t="inlineStr">
        <is>
          <t>United States</t>
        </is>
      </c>
      <c r="E393" s="18" t="n">
        <v>2024</v>
      </c>
      <c r="F393" s="37" t="n">
        <v>0.1002</v>
      </c>
    </row>
    <row r="394">
      <c r="A394" s="18" t="inlineStr">
        <is>
          <t>VALERO_SAINT_CHARLES</t>
        </is>
      </c>
      <c r="B394" s="18" t="n">
        <v>3</v>
      </c>
      <c r="C394" s="18" t="inlineStr">
        <is>
          <t>Thunder Horse</t>
        </is>
      </c>
      <c r="D394" s="18" t="inlineStr">
        <is>
          <t>US (GOM Deepwater)</t>
        </is>
      </c>
      <c r="E394" s="18" t="n">
        <v>2024</v>
      </c>
      <c r="F394" s="37" t="n">
        <v>0.091</v>
      </c>
    </row>
    <row r="395">
      <c r="A395" s="18" t="inlineStr">
        <is>
          <t>VALERO_SAINT_CHARLES</t>
        </is>
      </c>
      <c r="B395" s="18" t="n">
        <v>3</v>
      </c>
      <c r="C395" s="18" t="inlineStr">
        <is>
          <t>Mars/Ursa</t>
        </is>
      </c>
      <c r="D395" s="18" t="inlineStr">
        <is>
          <t>US (GOM Deepwater)</t>
        </is>
      </c>
      <c r="E395" s="18" t="n">
        <v>2024</v>
      </c>
      <c r="F395" s="37" t="n">
        <v>0.0815</v>
      </c>
    </row>
    <row r="396">
      <c r="A396" s="18" t="inlineStr">
        <is>
          <t>VALERO_SAINT_CHARLES</t>
        </is>
      </c>
      <c r="B396" s="18" t="n">
        <v>3</v>
      </c>
      <c r="C396" s="18" t="inlineStr">
        <is>
          <t>Maya</t>
        </is>
      </c>
      <c r="D396" s="18" t="inlineStr">
        <is>
          <t>Mexico</t>
        </is>
      </c>
      <c r="E396" s="18" t="n">
        <v>2024</v>
      </c>
      <c r="F396" s="37" t="n">
        <v>0.0655</v>
      </c>
    </row>
    <row r="397">
      <c r="A397" s="18" t="inlineStr">
        <is>
          <t>VALERO_SAINT_CHARLES</t>
        </is>
      </c>
      <c r="B397" s="18" t="n">
        <v>3</v>
      </c>
      <c r="C397" s="18" t="inlineStr">
        <is>
          <t>Olmeca</t>
        </is>
      </c>
      <c r="D397" s="18" t="inlineStr">
        <is>
          <t>Mexico</t>
        </is>
      </c>
      <c r="E397" s="18" t="n">
        <v>2024</v>
      </c>
      <c r="F397" s="37" t="n">
        <v>0.0387</v>
      </c>
    </row>
    <row r="398">
      <c r="A398" s="18" t="inlineStr">
        <is>
          <t>VALERO_SAINT_CHARLES</t>
        </is>
      </c>
      <c r="B398" s="18" t="n">
        <v>3</v>
      </c>
      <c r="C398" s="18" t="inlineStr">
        <is>
          <t>Heavy Louisiana Sweet</t>
        </is>
      </c>
      <c r="D398" s="18" t="inlineStr">
        <is>
          <t>United States</t>
        </is>
      </c>
      <c r="E398" s="18" t="n">
        <v>2024</v>
      </c>
      <c r="F398" s="37" t="n">
        <v>0.0264</v>
      </c>
    </row>
    <row r="399">
      <c r="A399" s="18" t="inlineStr">
        <is>
          <t>VALERO_SAINT_CHARLES</t>
        </is>
      </c>
      <c r="B399" s="18" t="n">
        <v>3</v>
      </c>
      <c r="C399" s="18" t="inlineStr">
        <is>
          <t>Isthmus</t>
        </is>
      </c>
      <c r="D399" s="18" t="inlineStr">
        <is>
          <t>Mexico</t>
        </is>
      </c>
      <c r="E399" s="18" t="n">
        <v>2024</v>
      </c>
      <c r="F399" s="37" t="n">
        <v>0.0144</v>
      </c>
    </row>
    <row r="400">
      <c r="A400" s="18" t="inlineStr">
        <is>
          <t>VALERO_SAINT_CHARLES</t>
        </is>
      </c>
      <c r="B400" s="18" t="n">
        <v>3</v>
      </c>
      <c r="C400" s="18" t="inlineStr">
        <is>
          <t>Liza-Payara</t>
        </is>
      </c>
      <c r="D400" s="18" t="inlineStr">
        <is>
          <t>Guyana</t>
        </is>
      </c>
      <c r="E400" s="18" t="n">
        <v>2024</v>
      </c>
      <c r="F400" s="37" t="n">
        <v>0.0115</v>
      </c>
    </row>
    <row r="401">
      <c r="A401" s="18" t="inlineStr">
        <is>
          <t>VALERO_SUNRAY</t>
        </is>
      </c>
      <c r="B401" s="18" t="n">
        <v>3</v>
      </c>
      <c r="C401" s="18" t="inlineStr">
        <is>
          <t>West Texas Intermediate</t>
        </is>
      </c>
      <c r="D401" s="18" t="inlineStr">
        <is>
          <t>United States</t>
        </is>
      </c>
      <c r="E401" s="18" t="n">
        <v>2024</v>
      </c>
      <c r="F401" s="37" t="n">
        <v>0.889</v>
      </c>
    </row>
    <row r="402">
      <c r="A402" s="18" t="inlineStr">
        <is>
          <t>VALERO_SUNRAY</t>
        </is>
      </c>
      <c r="B402" s="18" t="n">
        <v>3</v>
      </c>
      <c r="C402" s="18" t="inlineStr">
        <is>
          <t>West Texas Sour</t>
        </is>
      </c>
      <c r="D402" s="18" t="inlineStr">
        <is>
          <t>United States</t>
        </is>
      </c>
      <c r="E402" s="18" t="n">
        <v>2024</v>
      </c>
      <c r="F402" s="37" t="n">
        <v>0.111</v>
      </c>
    </row>
    <row r="403">
      <c r="A403" s="18" t="inlineStr">
        <is>
          <t>VALERO_TEXAS_CITY</t>
        </is>
      </c>
      <c r="B403" s="18" t="n">
        <v>3</v>
      </c>
      <c r="C403" s="18" t="inlineStr">
        <is>
          <t>West Texas Intermediate</t>
        </is>
      </c>
      <c r="D403" s="18" t="inlineStr">
        <is>
          <t>United States</t>
        </is>
      </c>
      <c r="E403" s="18" t="n">
        <v>2024</v>
      </c>
      <c r="F403" s="37" t="n">
        <v>0.4497</v>
      </c>
    </row>
    <row r="404">
      <c r="A404" s="18" t="inlineStr">
        <is>
          <t>VALERO_TEXAS_CITY</t>
        </is>
      </c>
      <c r="B404" s="18" t="n">
        <v>3</v>
      </c>
      <c r="C404" s="18" t="inlineStr">
        <is>
          <t>Hips Blend</t>
        </is>
      </c>
      <c r="D404" s="18" t="inlineStr">
        <is>
          <t>United States</t>
        </is>
      </c>
      <c r="E404" s="18" t="n">
        <v>2024</v>
      </c>
      <c r="F404" s="37" t="n">
        <v>0.2096</v>
      </c>
    </row>
    <row r="405">
      <c r="A405" s="18" t="inlineStr">
        <is>
          <t>VALERO_TEXAS_CITY</t>
        </is>
      </c>
      <c r="B405" s="18" t="n">
        <v>3</v>
      </c>
      <c r="C405" s="18" t="inlineStr">
        <is>
          <t>Hoops Blend</t>
        </is>
      </c>
      <c r="D405" s="18" t="inlineStr">
        <is>
          <t>United States</t>
        </is>
      </c>
      <c r="E405" s="18" t="n">
        <v>2024</v>
      </c>
      <c r="F405" s="37" t="n">
        <v>0.1483</v>
      </c>
    </row>
    <row r="406">
      <c r="A406" s="18" t="inlineStr">
        <is>
          <t>VALERO_TEXAS_CITY</t>
        </is>
      </c>
      <c r="B406" s="18" t="n">
        <v>3</v>
      </c>
      <c r="C406" s="18" t="inlineStr">
        <is>
          <t>Isthmus</t>
        </is>
      </c>
      <c r="D406" s="18" t="inlineStr">
        <is>
          <t>Mexico</t>
        </is>
      </c>
      <c r="E406" s="18" t="n">
        <v>2024</v>
      </c>
      <c r="F406" s="37" t="n">
        <v>0.049</v>
      </c>
    </row>
    <row r="407">
      <c r="A407" s="18" t="inlineStr">
        <is>
          <t>VALERO_TEXAS_CITY</t>
        </is>
      </c>
      <c r="B407" s="18" t="n">
        <v>3</v>
      </c>
      <c r="C407" s="18" t="inlineStr">
        <is>
          <t>Olmeca</t>
        </is>
      </c>
      <c r="D407" s="18" t="inlineStr">
        <is>
          <t>Mexico</t>
        </is>
      </c>
      <c r="E407" s="18" t="n">
        <v>2024</v>
      </c>
      <c r="F407" s="37" t="n">
        <v>0.0363</v>
      </c>
    </row>
    <row r="408">
      <c r="A408" s="18" t="inlineStr">
        <is>
          <t>VALERO_TEXAS_CITY</t>
        </is>
      </c>
      <c r="B408" s="18" t="n">
        <v>3</v>
      </c>
      <c r="C408" s="18" t="inlineStr">
        <is>
          <t>Peregrino</t>
        </is>
      </c>
      <c r="D408" s="18" t="inlineStr">
        <is>
          <t>Brazil</t>
        </is>
      </c>
      <c r="E408" s="18" t="n">
        <v>2024</v>
      </c>
      <c r="F408" s="37" t="n">
        <v>0.0282</v>
      </c>
    </row>
    <row r="409">
      <c r="A409" s="18" t="inlineStr">
        <is>
          <t>VALERO_TEXAS_CITY</t>
        </is>
      </c>
      <c r="B409" s="18" t="n">
        <v>3</v>
      </c>
      <c r="C409" s="18" t="inlineStr">
        <is>
          <t>Castilla</t>
        </is>
      </c>
      <c r="D409" s="18" t="inlineStr">
        <is>
          <t>Colombia</t>
        </is>
      </c>
      <c r="E409" s="18" t="n">
        <v>2024</v>
      </c>
      <c r="F409" s="37" t="n">
        <v>0.026</v>
      </c>
    </row>
    <row r="410">
      <c r="A410" s="18" t="inlineStr">
        <is>
          <t>VALERO_TEXAS_CITY</t>
        </is>
      </c>
      <c r="B410" s="18" t="n">
        <v>3</v>
      </c>
      <c r="C410" s="18" t="inlineStr">
        <is>
          <t>Maya</t>
        </is>
      </c>
      <c r="D410" s="18" t="inlineStr">
        <is>
          <t>Mexico</t>
        </is>
      </c>
      <c r="E410" s="18" t="n">
        <v>2024</v>
      </c>
      <c r="F410" s="37" t="n">
        <v>0.0211</v>
      </c>
    </row>
    <row r="411">
      <c r="A411" s="18" t="inlineStr">
        <is>
          <t>VALERO_TEXAS_CITY</t>
        </is>
      </c>
      <c r="B411" s="18" t="n">
        <v>3</v>
      </c>
      <c r="C411" s="18" t="inlineStr">
        <is>
          <t>Merey</t>
        </is>
      </c>
      <c r="D411" s="18" t="inlineStr">
        <is>
          <t>Venezuela</t>
        </is>
      </c>
      <c r="E411" s="18" t="n">
        <v>2024</v>
      </c>
      <c r="F411" s="37" t="n">
        <v>0.0173</v>
      </c>
    </row>
    <row r="412">
      <c r="A412" s="18" t="inlineStr">
        <is>
          <t>VALERO_TEXAS_CITY</t>
        </is>
      </c>
      <c r="B412" s="18" t="n">
        <v>3</v>
      </c>
      <c r="C412" s="18" t="inlineStr">
        <is>
          <t>Alba</t>
        </is>
      </c>
      <c r="D412" s="18" t="inlineStr">
        <is>
          <t>United Kingdom</t>
        </is>
      </c>
      <c r="E412" s="18" t="n">
        <v>2024</v>
      </c>
      <c r="F412" s="37" t="n">
        <v>0.0145</v>
      </c>
    </row>
    <row r="413">
      <c r="A413" s="18" t="inlineStr">
        <is>
          <t>VALERO_THREE_RIVERS</t>
        </is>
      </c>
      <c r="B413" s="18" t="n">
        <v>3</v>
      </c>
      <c r="C413" s="18" t="inlineStr">
        <is>
          <t>West Texas Intermediate</t>
        </is>
      </c>
      <c r="D413" s="18" t="inlineStr">
        <is>
          <t>United States</t>
        </is>
      </c>
      <c r="E413" s="18" t="n">
        <v>2024</v>
      </c>
      <c r="F413" s="37" t="n">
        <v>0.4901</v>
      </c>
    </row>
    <row r="414">
      <c r="A414" s="18" t="inlineStr">
        <is>
          <t>VALERO_THREE_RIVERS</t>
        </is>
      </c>
      <c r="B414" s="18" t="n">
        <v>3</v>
      </c>
      <c r="C414" s="18" t="inlineStr">
        <is>
          <t>Eagle Ford Crude</t>
        </is>
      </c>
      <c r="D414" s="18" t="inlineStr">
        <is>
          <t>United States</t>
        </is>
      </c>
      <c r="E414" s="18" t="n">
        <v>2024</v>
      </c>
      <c r="F414" s="37" t="n">
        <v>0.2999</v>
      </c>
    </row>
    <row r="415">
      <c r="A415" s="18" t="inlineStr">
        <is>
          <t>VALERO_THREE_RIVERS</t>
        </is>
      </c>
      <c r="B415" s="18" t="n">
        <v>3</v>
      </c>
      <c r="C415" s="18" t="inlineStr">
        <is>
          <t>South Texas</t>
        </is>
      </c>
      <c r="D415" s="18" t="inlineStr">
        <is>
          <t>United States</t>
        </is>
      </c>
      <c r="E415" s="18" t="n">
        <v>2024</v>
      </c>
      <c r="F415" s="37" t="n">
        <v>0.21</v>
      </c>
    </row>
    <row r="416">
      <c r="A416" s="18" t="inlineStr">
        <is>
          <t>VERTEX_MOBILE</t>
        </is>
      </c>
      <c r="B416" s="18" t="n">
        <v>3</v>
      </c>
      <c r="C416" s="18" t="inlineStr">
        <is>
          <t>Light Louisiana Sweet</t>
        </is>
      </c>
      <c r="D416" s="18" t="inlineStr">
        <is>
          <t>United States</t>
        </is>
      </c>
      <c r="E416" s="18" t="n">
        <v>2024</v>
      </c>
      <c r="F416" s="37" t="n">
        <v>0.5589</v>
      </c>
    </row>
    <row r="417">
      <c r="A417" s="18" t="inlineStr">
        <is>
          <t>VERTEX_MOBILE</t>
        </is>
      </c>
      <c r="B417" s="18" t="n">
        <v>3</v>
      </c>
      <c r="C417" s="18" t="inlineStr">
        <is>
          <t>West Texas Intermediate</t>
        </is>
      </c>
      <c r="D417" s="18" t="inlineStr">
        <is>
          <t>United States</t>
        </is>
      </c>
      <c r="E417" s="18" t="n">
        <v>2024</v>
      </c>
      <c r="F417" s="37" t="n">
        <v>0.232</v>
      </c>
    </row>
    <row r="418">
      <c r="A418" s="18" t="inlineStr">
        <is>
          <t>VERTEX_MOBILE</t>
        </is>
      </c>
      <c r="B418" s="18" t="n">
        <v>3</v>
      </c>
      <c r="C418" s="18" t="inlineStr">
        <is>
          <t>Heavy Louisiana Sweet</t>
        </is>
      </c>
      <c r="D418" s="18" t="inlineStr">
        <is>
          <t>United States</t>
        </is>
      </c>
      <c r="E418" s="18" t="n">
        <v>2024</v>
      </c>
      <c r="F418" s="37" t="n">
        <v>0.2091</v>
      </c>
    </row>
    <row r="419">
      <c r="A419" s="18" t="inlineStr">
        <is>
          <t>WRB_BORGER</t>
        </is>
      </c>
      <c r="B419" s="18" t="n">
        <v>3</v>
      </c>
      <c r="C419" s="18" t="inlineStr">
        <is>
          <t>West Texas Intermediate</t>
        </is>
      </c>
      <c r="D419" s="18" t="inlineStr">
        <is>
          <t>United States</t>
        </is>
      </c>
      <c r="E419" s="18" t="n">
        <v>2024</v>
      </c>
      <c r="F419" s="37" t="n">
        <v>0.5577000000000001</v>
      </c>
    </row>
    <row r="420">
      <c r="A420" s="18" t="inlineStr">
        <is>
          <t>WRB_BORGER</t>
        </is>
      </c>
      <c r="B420" s="18" t="n">
        <v>3</v>
      </c>
      <c r="C420" s="18" t="inlineStr">
        <is>
          <t>West Texas Sour</t>
        </is>
      </c>
      <c r="D420" s="18" t="inlineStr">
        <is>
          <t>United States</t>
        </is>
      </c>
      <c r="E420" s="18" t="n">
        <v>2024</v>
      </c>
      <c r="F420" s="37" t="n">
        <v>0.3582</v>
      </c>
    </row>
    <row r="421">
      <c r="A421" s="18" t="inlineStr">
        <is>
          <t>WRB_BORGER</t>
        </is>
      </c>
      <c r="B421" s="18" t="n">
        <v>3</v>
      </c>
      <c r="C421" s="18" t="inlineStr">
        <is>
          <t>Cold Lake</t>
        </is>
      </c>
      <c r="D421" s="18" t="inlineStr">
        <is>
          <t>Canada (Oil Sands)</t>
        </is>
      </c>
      <c r="E421" s="18" t="n">
        <v>2024</v>
      </c>
      <c r="F421" s="37" t="n">
        <v>0.0644</v>
      </c>
    </row>
    <row r="422">
      <c r="A422" s="18" t="inlineStr">
        <is>
          <t>WRB_BORGER</t>
        </is>
      </c>
      <c r="B422" s="18" t="n">
        <v>3</v>
      </c>
      <c r="C422" s="18" t="inlineStr">
        <is>
          <t>Lloyd Blend</t>
        </is>
      </c>
      <c r="D422" s="18" t="inlineStr">
        <is>
          <t>United States</t>
        </is>
      </c>
      <c r="E422" s="18" t="n">
        <v>2024</v>
      </c>
      <c r="F422" s="37" t="n">
        <v>0.0197</v>
      </c>
    </row>
    <row r="423">
      <c r="A423" s="18" t="inlineStr">
        <is>
          <t>XOM_BAYTOWN</t>
        </is>
      </c>
      <c r="B423" s="18" t="n">
        <v>3</v>
      </c>
      <c r="C423" s="18" t="inlineStr">
        <is>
          <t>West Texas Intermediate</t>
        </is>
      </c>
      <c r="D423" s="18" t="inlineStr">
        <is>
          <t>United States</t>
        </is>
      </c>
      <c r="E423" s="18" t="n">
        <v>2024</v>
      </c>
      <c r="F423" s="37" t="n">
        <v>0.6264999999999999</v>
      </c>
    </row>
    <row r="424">
      <c r="A424" s="18" t="inlineStr">
        <is>
          <t>XOM_BAYTOWN</t>
        </is>
      </c>
      <c r="B424" s="18" t="n">
        <v>3</v>
      </c>
      <c r="C424" s="18" t="inlineStr">
        <is>
          <t>West Texas Sour</t>
        </is>
      </c>
      <c r="D424" s="18" t="inlineStr">
        <is>
          <t>United States</t>
        </is>
      </c>
      <c r="E424" s="18" t="n">
        <v>2024</v>
      </c>
      <c r="F424" s="37" t="n">
        <v>0.1522</v>
      </c>
    </row>
    <row r="425">
      <c r="A425" s="18" t="inlineStr">
        <is>
          <t>XOM_BAYTOWN</t>
        </is>
      </c>
      <c r="B425" s="18" t="n">
        <v>3</v>
      </c>
      <c r="C425" s="18" t="inlineStr">
        <is>
          <t>Hoops Blend</t>
        </is>
      </c>
      <c r="D425" s="18" t="inlineStr">
        <is>
          <t>United States</t>
        </is>
      </c>
      <c r="E425" s="18" t="n">
        <v>2024</v>
      </c>
      <c r="F425" s="37" t="n">
        <v>0.1515</v>
      </c>
    </row>
    <row r="426">
      <c r="A426" s="18" t="inlineStr">
        <is>
          <t>XOM_BAYTOWN</t>
        </is>
      </c>
      <c r="B426" s="18" t="n">
        <v>3</v>
      </c>
      <c r="C426" s="18" t="inlineStr">
        <is>
          <t>Western Canadian Select</t>
        </is>
      </c>
      <c r="D426" s="18" t="inlineStr">
        <is>
          <t>Canada</t>
        </is>
      </c>
      <c r="E426" s="18" t="n">
        <v>2024</v>
      </c>
      <c r="F426" s="37" t="n">
        <v>0.031</v>
      </c>
    </row>
    <row r="427">
      <c r="A427" s="18" t="inlineStr">
        <is>
          <t>XOM_BAYTOWN</t>
        </is>
      </c>
      <c r="B427" s="18" t="n">
        <v>3</v>
      </c>
      <c r="C427" s="18" t="inlineStr">
        <is>
          <t>Cold Lake</t>
        </is>
      </c>
      <c r="D427" s="18" t="inlineStr">
        <is>
          <t>Canada (Oil Sands)</t>
        </is>
      </c>
      <c r="E427" s="18" t="n">
        <v>2024</v>
      </c>
      <c r="F427" s="37" t="n">
        <v>0.0295</v>
      </c>
    </row>
    <row r="428">
      <c r="A428" s="18" t="inlineStr">
        <is>
          <t>XOM_BAYTOWN</t>
        </is>
      </c>
      <c r="B428" s="18" t="n">
        <v>3</v>
      </c>
      <c r="C428" s="18" t="inlineStr">
        <is>
          <t>Merey</t>
        </is>
      </c>
      <c r="D428" s="18" t="inlineStr">
        <is>
          <t>Venezuela</t>
        </is>
      </c>
      <c r="E428" s="18" t="n">
        <v>2024</v>
      </c>
      <c r="F428" s="37" t="n">
        <v>0.009300000000000001</v>
      </c>
    </row>
    <row r="429">
      <c r="A429" s="18" t="inlineStr">
        <is>
          <t>BIG_NORTH_SLATERVILLE_CANAL</t>
        </is>
      </c>
      <c r="B429" s="18" t="n">
        <v>4</v>
      </c>
      <c r="C429" s="18" t="inlineStr">
        <is>
          <t>Niobrara</t>
        </is>
      </c>
      <c r="D429" s="18" t="inlineStr">
        <is>
          <t>United States</t>
        </is>
      </c>
      <c r="E429" s="18" t="n">
        <v>2024</v>
      </c>
      <c r="F429" s="37" t="n">
        <v>0.3997</v>
      </c>
    </row>
    <row r="430">
      <c r="A430" s="18" t="inlineStr">
        <is>
          <t>BIG_NORTH_SLATERVILLE_CANAL</t>
        </is>
      </c>
      <c r="B430" s="18" t="n">
        <v>4</v>
      </c>
      <c r="C430" s="18" t="inlineStr">
        <is>
          <t>Uintah Black Wax</t>
        </is>
      </c>
      <c r="D430" s="18" t="inlineStr">
        <is>
          <t>United States</t>
        </is>
      </c>
      <c r="E430" s="18" t="n">
        <v>2024</v>
      </c>
      <c r="F430" s="37" t="n">
        <v>0.3793</v>
      </c>
    </row>
    <row r="431">
      <c r="A431" s="18" t="inlineStr">
        <is>
          <t>BIG_NORTH_SLATERVILLE_CANAL</t>
        </is>
      </c>
      <c r="B431" s="18" t="n">
        <v>4</v>
      </c>
      <c r="C431" s="18" t="inlineStr">
        <is>
          <t>Utah Light</t>
        </is>
      </c>
      <c r="D431" s="18" t="inlineStr">
        <is>
          <t>United States</t>
        </is>
      </c>
      <c r="E431" s="18" t="n">
        <v>2024</v>
      </c>
      <c r="F431" s="37" t="n">
        <v>0.221</v>
      </c>
    </row>
    <row r="432">
      <c r="A432" s="18" t="inlineStr">
        <is>
          <t>CHEVRON_SALT_LAKE_CITY</t>
        </is>
      </c>
      <c r="B432" s="18" t="n">
        <v>4</v>
      </c>
      <c r="C432" s="18" t="inlineStr">
        <is>
          <t>Utah Light</t>
        </is>
      </c>
      <c r="D432" s="18" t="inlineStr">
        <is>
          <t>United States</t>
        </is>
      </c>
      <c r="E432" s="18" t="n">
        <v>2024</v>
      </c>
      <c r="F432" s="37" t="n">
        <v>0.4366</v>
      </c>
    </row>
    <row r="433">
      <c r="A433" s="18" t="inlineStr">
        <is>
          <t>CHEVRON_SALT_LAKE_CITY</t>
        </is>
      </c>
      <c r="B433" s="18" t="n">
        <v>4</v>
      </c>
      <c r="C433" s="18" t="inlineStr">
        <is>
          <t>Niobrara</t>
        </is>
      </c>
      <c r="D433" s="18" t="inlineStr">
        <is>
          <t>United States</t>
        </is>
      </c>
      <c r="E433" s="18" t="n">
        <v>2024</v>
      </c>
      <c r="F433" s="37" t="n">
        <v>0.2964</v>
      </c>
    </row>
    <row r="434">
      <c r="A434" s="18" t="inlineStr">
        <is>
          <t>CHEVRON_SALT_LAKE_CITY</t>
        </is>
      </c>
      <c r="B434" s="18" t="n">
        <v>4</v>
      </c>
      <c r="C434" s="18" t="inlineStr">
        <is>
          <t>Oil Sands Synthetic</t>
        </is>
      </c>
      <c r="D434" s="18" t="inlineStr">
        <is>
          <t>Canada (Oil Sands)</t>
        </is>
      </c>
      <c r="E434" s="18" t="n">
        <v>2024</v>
      </c>
      <c r="F434" s="37" t="n">
        <v>0.2259</v>
      </c>
    </row>
    <row r="435">
      <c r="A435" s="18" t="inlineStr">
        <is>
          <t>CHEVRON_SALT_LAKE_CITY</t>
        </is>
      </c>
      <c r="B435" s="18" t="n">
        <v>4</v>
      </c>
      <c r="C435" s="18" t="inlineStr">
        <is>
          <t>Cold Lake</t>
        </is>
      </c>
      <c r="D435" s="18" t="inlineStr">
        <is>
          <t>Canada (Oil Sands)</t>
        </is>
      </c>
      <c r="E435" s="18" t="n">
        <v>2024</v>
      </c>
      <c r="F435" s="37" t="n">
        <v>0.0239</v>
      </c>
    </row>
    <row r="436">
      <c r="A436" s="18" t="inlineStr">
        <is>
          <t>CHEVRON_SALT_LAKE_CITY</t>
        </is>
      </c>
      <c r="B436" s="18" t="n">
        <v>4</v>
      </c>
      <c r="C436" s="18" t="inlineStr">
        <is>
          <t>Wabasca</t>
        </is>
      </c>
      <c r="D436" s="18" t="inlineStr">
        <is>
          <t>Canada</t>
        </is>
      </c>
      <c r="E436" s="18" t="n">
        <v>2024</v>
      </c>
      <c r="F436" s="37" t="n">
        <v>0.0104</v>
      </c>
    </row>
    <row r="437">
      <c r="A437" s="18" t="inlineStr">
        <is>
          <t>CHEVRON_SALT_LAKE_CITY</t>
        </is>
      </c>
      <c r="B437" s="18" t="n">
        <v>4</v>
      </c>
      <c r="C437" s="18" t="inlineStr">
        <is>
          <t>Western Canadian Select</t>
        </is>
      </c>
      <c r="D437" s="18" t="inlineStr">
        <is>
          <t>Canada</t>
        </is>
      </c>
      <c r="E437" s="18" t="n">
        <v>2024</v>
      </c>
      <c r="F437" s="37" t="n">
        <v>0.0068</v>
      </c>
    </row>
    <row r="438">
      <c r="A438" s="18" t="inlineStr">
        <is>
          <t>CHS_LAUREL</t>
        </is>
      </c>
      <c r="B438" s="18" t="n">
        <v>4</v>
      </c>
      <c r="C438" s="18" t="inlineStr">
        <is>
          <t>Cold Lake</t>
        </is>
      </c>
      <c r="D438" s="18" t="inlineStr">
        <is>
          <t>Canada (Oil Sands)</t>
        </is>
      </c>
      <c r="E438" s="18" t="n">
        <v>2024</v>
      </c>
      <c r="F438" s="37" t="n">
        <v>0.4151</v>
      </c>
    </row>
    <row r="439">
      <c r="A439" s="18" t="inlineStr">
        <is>
          <t>CHS_LAUREL</t>
        </is>
      </c>
      <c r="B439" s="18" t="n">
        <v>4</v>
      </c>
      <c r="C439" s="18" t="inlineStr">
        <is>
          <t>Bow River</t>
        </is>
      </c>
      <c r="D439" s="18" t="inlineStr">
        <is>
          <t>Canada</t>
        </is>
      </c>
      <c r="E439" s="18" t="n">
        <v>2024</v>
      </c>
      <c r="F439" s="37" t="n">
        <v>0.2622</v>
      </c>
    </row>
    <row r="440">
      <c r="A440" s="18" t="inlineStr">
        <is>
          <t>CHS_LAUREL</t>
        </is>
      </c>
      <c r="B440" s="18" t="n">
        <v>4</v>
      </c>
      <c r="C440" s="18" t="inlineStr">
        <is>
          <t>Western Canadian Select</t>
        </is>
      </c>
      <c r="D440" s="18" t="inlineStr">
        <is>
          <t>Canada</t>
        </is>
      </c>
      <c r="E440" s="18" t="n">
        <v>2024</v>
      </c>
      <c r="F440" s="37" t="n">
        <v>0.1254</v>
      </c>
    </row>
    <row r="441">
      <c r="A441" s="18" t="inlineStr">
        <is>
          <t>CHS_LAUREL</t>
        </is>
      </c>
      <c r="B441" s="18" t="n">
        <v>4</v>
      </c>
      <c r="C441" s="18" t="inlineStr">
        <is>
          <t>Lloyd Blend</t>
        </is>
      </c>
      <c r="D441" s="18" t="inlineStr">
        <is>
          <t>United States</t>
        </is>
      </c>
      <c r="E441" s="18" t="n">
        <v>2024</v>
      </c>
      <c r="F441" s="37" t="n">
        <v>0.1093</v>
      </c>
    </row>
    <row r="442">
      <c r="A442" s="18" t="inlineStr">
        <is>
          <t>CHS_LAUREL</t>
        </is>
      </c>
      <c r="B442" s="18" t="n">
        <v>4</v>
      </c>
      <c r="C442" s="18" t="inlineStr">
        <is>
          <t>Oil Sands Synthetic</t>
        </is>
      </c>
      <c r="D442" s="18" t="inlineStr">
        <is>
          <t>Canada (Oil Sands)</t>
        </is>
      </c>
      <c r="E442" s="18" t="n">
        <v>2024</v>
      </c>
      <c r="F442" s="37" t="n">
        <v>0.0538</v>
      </c>
    </row>
    <row r="443">
      <c r="A443" s="18" t="inlineStr">
        <is>
          <t>CHS_LAUREL</t>
        </is>
      </c>
      <c r="B443" s="18" t="n">
        <v>4</v>
      </c>
      <c r="C443" s="18" t="inlineStr">
        <is>
          <t>Albian Heavy Synthetic</t>
        </is>
      </c>
      <c r="D443" s="18" t="inlineStr">
        <is>
          <t>Canada (Saskatchewan)</t>
        </is>
      </c>
      <c r="E443" s="18" t="n">
        <v>2024</v>
      </c>
      <c r="F443" s="37" t="n">
        <v>0.0158</v>
      </c>
    </row>
    <row r="444">
      <c r="A444" s="18" t="inlineStr">
        <is>
          <t>CHS_LAUREL</t>
        </is>
      </c>
      <c r="B444" s="18" t="n">
        <v>4</v>
      </c>
      <c r="C444" s="18" t="inlineStr">
        <is>
          <t>Montana Light Sweet</t>
        </is>
      </c>
      <c r="D444" s="18" t="inlineStr">
        <is>
          <t>United States</t>
        </is>
      </c>
      <c r="E444" s="18" t="n">
        <v>2024</v>
      </c>
      <c r="F444" s="37" t="n">
        <v>0.009899999999999999</v>
      </c>
    </row>
    <row r="445">
      <c r="A445" s="18" t="inlineStr">
        <is>
          <t>CHS_LAUREL</t>
        </is>
      </c>
      <c r="B445" s="18" t="n">
        <v>4</v>
      </c>
      <c r="C445" s="18" t="inlineStr">
        <is>
          <t>Generic Synbit</t>
        </is>
      </c>
      <c r="D445" s="18" t="inlineStr">
        <is>
          <t>Canada</t>
        </is>
      </c>
      <c r="E445" s="18" t="n">
        <v>2024</v>
      </c>
      <c r="F445" s="37" t="n">
        <v>0.0059</v>
      </c>
    </row>
    <row r="446">
      <c r="A446" s="18" t="inlineStr">
        <is>
          <t>CHS_LAUREL</t>
        </is>
      </c>
      <c r="B446" s="18" t="n">
        <v>4</v>
      </c>
      <c r="C446" s="18" t="inlineStr">
        <is>
          <t>Tight Oil Canada Saskatchewan Midale</t>
        </is>
      </c>
      <c r="D446" s="18" t="inlineStr">
        <is>
          <t>Canada (Saskatchewan)</t>
        </is>
      </c>
      <c r="E446" s="18" t="n">
        <v>2024</v>
      </c>
      <c r="F446" s="37" t="n">
        <v>0.0026</v>
      </c>
    </row>
    <row r="447">
      <c r="A447" s="18" t="inlineStr">
        <is>
          <t>HF_WOODS_CROSS</t>
        </is>
      </c>
      <c r="B447" s="18" t="n">
        <v>4</v>
      </c>
      <c r="C447" s="18" t="inlineStr">
        <is>
          <t>Uintah Black Wax</t>
        </is>
      </c>
      <c r="D447" s="18" t="inlineStr">
        <is>
          <t>United States</t>
        </is>
      </c>
      <c r="E447" s="18" t="n">
        <v>2024</v>
      </c>
      <c r="F447" s="37" t="n">
        <v>0.493</v>
      </c>
    </row>
    <row r="448">
      <c r="A448" s="18" t="inlineStr">
        <is>
          <t>HF_WOODS_CROSS</t>
        </is>
      </c>
      <c r="B448" s="18" t="n">
        <v>4</v>
      </c>
      <c r="C448" s="18" t="inlineStr">
        <is>
          <t>Utah Light</t>
        </is>
      </c>
      <c r="D448" s="18" t="inlineStr">
        <is>
          <t>United States</t>
        </is>
      </c>
      <c r="E448" s="18" t="n">
        <v>2024</v>
      </c>
      <c r="F448" s="37" t="n">
        <v>0.3788</v>
      </c>
    </row>
    <row r="449">
      <c r="A449" s="18" t="inlineStr">
        <is>
          <t>HF_WOODS_CROSS</t>
        </is>
      </c>
      <c r="B449" s="18" t="n">
        <v>4</v>
      </c>
      <c r="C449" s="18" t="inlineStr">
        <is>
          <t>Oil Sands Synthetic</t>
        </is>
      </c>
      <c r="D449" s="18" t="inlineStr">
        <is>
          <t>Canada (Oil Sands)</t>
        </is>
      </c>
      <c r="E449" s="18" t="n">
        <v>2024</v>
      </c>
      <c r="F449" s="37" t="n">
        <v>0.1282</v>
      </c>
    </row>
    <row r="450">
      <c r="A450" s="18" t="inlineStr">
        <is>
          <t>MARATHON_SALT_LAKE_CITY</t>
        </is>
      </c>
      <c r="B450" s="18" t="n">
        <v>4</v>
      </c>
      <c r="C450" s="18" t="inlineStr">
        <is>
          <t>Niobrara</t>
        </is>
      </c>
      <c r="D450" s="18" t="inlineStr">
        <is>
          <t>United States</t>
        </is>
      </c>
      <c r="E450" s="18" t="n">
        <v>2024</v>
      </c>
      <c r="F450" s="37" t="n">
        <v>0.4</v>
      </c>
    </row>
    <row r="451">
      <c r="A451" s="18" t="inlineStr">
        <is>
          <t>MARATHON_SALT_LAKE_CITY</t>
        </is>
      </c>
      <c r="B451" s="18" t="n">
        <v>4</v>
      </c>
      <c r="C451" s="18" t="inlineStr">
        <is>
          <t>Utah Light</t>
        </is>
      </c>
      <c r="D451" s="18" t="inlineStr">
        <is>
          <t>United States</t>
        </is>
      </c>
      <c r="E451" s="18" t="n">
        <v>2024</v>
      </c>
      <c r="F451" s="37" t="n">
        <v>0.3825</v>
      </c>
    </row>
    <row r="452">
      <c r="A452" s="18" t="inlineStr">
        <is>
          <t>MARATHON_SALT_LAKE_CITY</t>
        </is>
      </c>
      <c r="B452" s="18" t="n">
        <v>4</v>
      </c>
      <c r="C452" s="18" t="inlineStr">
        <is>
          <t>Uintah Black Wax</t>
        </is>
      </c>
      <c r="D452" s="18" t="inlineStr">
        <is>
          <t>United States</t>
        </is>
      </c>
      <c r="E452" s="18" t="n">
        <v>2024</v>
      </c>
      <c r="F452" s="37" t="n">
        <v>0.2175</v>
      </c>
    </row>
    <row r="453">
      <c r="A453" s="18" t="inlineStr">
        <is>
          <t>PAR_BILLINGS</t>
        </is>
      </c>
      <c r="B453" s="18" t="n">
        <v>4</v>
      </c>
      <c r="C453" s="18" t="inlineStr">
        <is>
          <t>Bow River</t>
        </is>
      </c>
      <c r="D453" s="18" t="inlineStr">
        <is>
          <t>Canada</t>
        </is>
      </c>
      <c r="E453" s="18" t="n">
        <v>2024</v>
      </c>
      <c r="F453" s="37" t="n">
        <v>0.3195</v>
      </c>
    </row>
    <row r="454">
      <c r="A454" s="18" t="inlineStr">
        <is>
          <t>PAR_BILLINGS</t>
        </is>
      </c>
      <c r="B454" s="18" t="n">
        <v>4</v>
      </c>
      <c r="C454" s="18" t="inlineStr">
        <is>
          <t>Wyoming Sour</t>
        </is>
      </c>
      <c r="D454" s="18" t="inlineStr">
        <is>
          <t>United States</t>
        </is>
      </c>
      <c r="E454" s="18" t="n">
        <v>2024</v>
      </c>
      <c r="F454" s="37" t="n">
        <v>0.2755</v>
      </c>
    </row>
    <row r="455">
      <c r="A455" s="18" t="inlineStr">
        <is>
          <t>PAR_BILLINGS</t>
        </is>
      </c>
      <c r="B455" s="18" t="n">
        <v>4</v>
      </c>
      <c r="C455" s="18" t="inlineStr">
        <is>
          <t>Domestic Oil Alberta Canada</t>
        </is>
      </c>
      <c r="D455" s="18" t="inlineStr">
        <is>
          <t>Canada (Alberta)</t>
        </is>
      </c>
      <c r="E455" s="18" t="n">
        <v>2024</v>
      </c>
      <c r="F455" s="37" t="n">
        <v>0.1939</v>
      </c>
    </row>
    <row r="456">
      <c r="A456" s="18" t="inlineStr">
        <is>
          <t>PAR_BILLINGS</t>
        </is>
      </c>
      <c r="B456" s="18" t="n">
        <v>4</v>
      </c>
      <c r="C456" s="18" t="inlineStr">
        <is>
          <t>Oil Sands Synthetic</t>
        </is>
      </c>
      <c r="D456" s="18" t="inlineStr">
        <is>
          <t>Canada (Oil Sands)</t>
        </is>
      </c>
      <c r="E456" s="18" t="n">
        <v>2024</v>
      </c>
      <c r="F456" s="37" t="n">
        <v>0.09539999999999998</v>
      </c>
    </row>
    <row r="457">
      <c r="A457" s="18" t="inlineStr">
        <is>
          <t>PAR_BILLINGS</t>
        </is>
      </c>
      <c r="B457" s="18" t="n">
        <v>4</v>
      </c>
      <c r="C457" s="18" t="inlineStr">
        <is>
          <t>Mixed Sweet Blend</t>
        </is>
      </c>
      <c r="D457" s="18" t="inlineStr">
        <is>
          <t>Canada</t>
        </is>
      </c>
      <c r="E457" s="18" t="n">
        <v>2024</v>
      </c>
      <c r="F457" s="37" t="n">
        <v>0.04849999999999999</v>
      </c>
    </row>
    <row r="458">
      <c r="A458" s="18" t="inlineStr">
        <is>
          <t>PAR_BILLINGS</t>
        </is>
      </c>
      <c r="B458" s="18" t="n">
        <v>4</v>
      </c>
      <c r="C458" s="18" t="inlineStr">
        <is>
          <t>Milk River</t>
        </is>
      </c>
      <c r="D458" s="18" t="inlineStr">
        <is>
          <t>Canada</t>
        </is>
      </c>
      <c r="E458" s="18" t="n">
        <v>2024</v>
      </c>
      <c r="F458" s="37" t="n">
        <v>0.032</v>
      </c>
    </row>
    <row r="459">
      <c r="A459" s="18" t="inlineStr">
        <is>
          <t>PAR_BILLINGS</t>
        </is>
      </c>
      <c r="B459" s="18" t="n">
        <v>4</v>
      </c>
      <c r="C459" s="18" t="inlineStr">
        <is>
          <t>Tight Oil Canada Saskatchewan Midale</t>
        </is>
      </c>
      <c r="D459" s="18" t="inlineStr">
        <is>
          <t>Canada (Saskatchewan)</t>
        </is>
      </c>
      <c r="E459" s="18" t="n">
        <v>2024</v>
      </c>
      <c r="F459" s="37" t="n">
        <v>0.0138</v>
      </c>
    </row>
    <row r="460">
      <c r="A460" s="18" t="inlineStr">
        <is>
          <t>PAR_BILLINGS</t>
        </is>
      </c>
      <c r="B460" s="18" t="n">
        <v>4</v>
      </c>
      <c r="C460" s="18" t="inlineStr">
        <is>
          <t>Domestic NGL British Columbia Canada</t>
        </is>
      </c>
      <c r="D460" s="18" t="inlineStr">
        <is>
          <t>Canada (British Columbia)</t>
        </is>
      </c>
      <c r="E460" s="18" t="n">
        <v>2024</v>
      </c>
      <c r="F460" s="37" t="n">
        <v>0.0133</v>
      </c>
    </row>
    <row r="461">
      <c r="A461" s="18" t="inlineStr">
        <is>
          <t>PAR_BILLINGS</t>
        </is>
      </c>
      <c r="B461" s="18" t="n">
        <v>4</v>
      </c>
      <c r="C461" s="18" t="inlineStr">
        <is>
          <t>Cold Lake</t>
        </is>
      </c>
      <c r="D461" s="18" t="inlineStr">
        <is>
          <t>Canada (Oil Sands)</t>
        </is>
      </c>
      <c r="E461" s="18" t="n">
        <v>2024</v>
      </c>
      <c r="F461" s="37" t="n">
        <v>0.004699999999999999</v>
      </c>
    </row>
    <row r="462">
      <c r="A462" s="18" t="inlineStr">
        <is>
          <t>PAR_BILLINGS</t>
        </is>
      </c>
      <c r="B462" s="18" t="n">
        <v>4</v>
      </c>
      <c r="C462" s="18" t="inlineStr">
        <is>
          <t>W. Canada Conventional Light Sweet (Alberta)</t>
        </is>
      </c>
      <c r="D462" s="18" t="inlineStr">
        <is>
          <t>Canada (Alberta)</t>
        </is>
      </c>
      <c r="E462" s="18" t="n">
        <v>2024</v>
      </c>
      <c r="F462" s="37" t="n">
        <v>0.0034</v>
      </c>
    </row>
    <row r="463">
      <c r="A463" s="18" t="inlineStr">
        <is>
          <t>PHILLIPS_BILLINGS</t>
        </is>
      </c>
      <c r="B463" s="18" t="n">
        <v>4</v>
      </c>
      <c r="C463" s="18" t="inlineStr">
        <is>
          <t>Western Canadian Select</t>
        </is>
      </c>
      <c r="D463" s="18" t="inlineStr">
        <is>
          <t>Canada</t>
        </is>
      </c>
      <c r="E463" s="18" t="n">
        <v>2024</v>
      </c>
      <c r="F463" s="37" t="n">
        <v>0.3134</v>
      </c>
    </row>
    <row r="464">
      <c r="A464" s="18" t="inlineStr">
        <is>
          <t>PHILLIPS_BILLINGS</t>
        </is>
      </c>
      <c r="B464" s="18" t="n">
        <v>4</v>
      </c>
      <c r="C464" s="18" t="inlineStr">
        <is>
          <t>Cold Lake</t>
        </is>
      </c>
      <c r="D464" s="18" t="inlineStr">
        <is>
          <t>Canada (Oil Sands)</t>
        </is>
      </c>
      <c r="E464" s="18" t="n">
        <v>2024</v>
      </c>
      <c r="F464" s="37" t="n">
        <v>0.2261</v>
      </c>
    </row>
    <row r="465">
      <c r="A465" s="18" t="inlineStr">
        <is>
          <t>PHILLIPS_BILLINGS</t>
        </is>
      </c>
      <c r="B465" s="18" t="n">
        <v>4</v>
      </c>
      <c r="C465" s="18" t="inlineStr">
        <is>
          <t>Tight Oil Canada Saskatchewan Midale</t>
        </is>
      </c>
      <c r="D465" s="18" t="inlineStr">
        <is>
          <t>Canada (Saskatchewan)</t>
        </is>
      </c>
      <c r="E465" s="18" t="n">
        <v>2024</v>
      </c>
      <c r="F465" s="37" t="n">
        <v>0.22</v>
      </c>
    </row>
    <row r="466">
      <c r="A466" s="18" t="inlineStr">
        <is>
          <t>PHILLIPS_BILLINGS</t>
        </is>
      </c>
      <c r="B466" s="18" t="n">
        <v>4</v>
      </c>
      <c r="C466" s="18" t="inlineStr">
        <is>
          <t>Oil Sands Synthetic</t>
        </is>
      </c>
      <c r="D466" s="18" t="inlineStr">
        <is>
          <t>Canada (Oil Sands)</t>
        </is>
      </c>
      <c r="E466" s="18" t="n">
        <v>2024</v>
      </c>
      <c r="F466" s="37" t="n">
        <v>0.139</v>
      </c>
    </row>
    <row r="467">
      <c r="A467" s="18" t="inlineStr">
        <is>
          <t>PHILLIPS_BILLINGS</t>
        </is>
      </c>
      <c r="B467" s="18" t="n">
        <v>4</v>
      </c>
      <c r="C467" s="18" t="inlineStr">
        <is>
          <t>Montana Light Sweet</t>
        </is>
      </c>
      <c r="D467" s="18" t="inlineStr">
        <is>
          <t>United States</t>
        </is>
      </c>
      <c r="E467" s="18" t="n">
        <v>2024</v>
      </c>
      <c r="F467" s="37" t="n">
        <v>0.0463</v>
      </c>
    </row>
    <row r="468">
      <c r="A468" s="18" t="inlineStr">
        <is>
          <t>PHILLIPS_BILLINGS</t>
        </is>
      </c>
      <c r="B468" s="18" t="n">
        <v>4</v>
      </c>
      <c r="C468" s="18" t="inlineStr">
        <is>
          <t>Mixed Sweet Blend</t>
        </is>
      </c>
      <c r="D468" s="18" t="inlineStr">
        <is>
          <t>Canada</t>
        </is>
      </c>
      <c r="E468" s="18" t="n">
        <v>2024</v>
      </c>
      <c r="F468" s="37" t="n">
        <v>0.0424</v>
      </c>
    </row>
    <row r="469">
      <c r="A469" s="18" t="inlineStr">
        <is>
          <t>PHILLIPS_BILLINGS</t>
        </is>
      </c>
      <c r="B469" s="18" t="n">
        <v>4</v>
      </c>
      <c r="C469" s="18" t="inlineStr">
        <is>
          <t>Lloyd Blend</t>
        </is>
      </c>
      <c r="D469" s="18" t="inlineStr">
        <is>
          <t>United States</t>
        </is>
      </c>
      <c r="E469" s="18" t="n">
        <v>2024</v>
      </c>
      <c r="F469" s="37" t="n">
        <v>0.0128</v>
      </c>
    </row>
    <row r="470">
      <c r="A470" s="18" t="inlineStr">
        <is>
          <t>SINCLAIR_SINCLAIR</t>
        </is>
      </c>
      <c r="B470" s="18" t="n">
        <v>4</v>
      </c>
      <c r="C470" s="18" t="inlineStr">
        <is>
          <t>Wyoming Sweet</t>
        </is>
      </c>
      <c r="D470" s="18" t="inlineStr">
        <is>
          <t>United States</t>
        </is>
      </c>
      <c r="E470" s="18" t="n">
        <v>2024</v>
      </c>
      <c r="F470" s="37" t="n">
        <v>0.7986</v>
      </c>
    </row>
    <row r="471">
      <c r="A471" s="18" t="inlineStr">
        <is>
          <t>SINCLAIR_SINCLAIR</t>
        </is>
      </c>
      <c r="B471" s="18" t="n">
        <v>4</v>
      </c>
      <c r="C471" s="18" t="inlineStr">
        <is>
          <t>Uintah Black Wax</t>
        </is>
      </c>
      <c r="D471" s="18" t="inlineStr">
        <is>
          <t>United States</t>
        </is>
      </c>
      <c r="E471" s="18" t="n">
        <v>2024</v>
      </c>
      <c r="F471" s="37" t="n">
        <v>0.0828</v>
      </c>
    </row>
    <row r="472">
      <c r="A472" s="18" t="inlineStr">
        <is>
          <t>SINCLAIR_SINCLAIR</t>
        </is>
      </c>
      <c r="B472" s="18" t="n">
        <v>4</v>
      </c>
      <c r="C472" s="18" t="inlineStr">
        <is>
          <t>Niobrara</t>
        </is>
      </c>
      <c r="D472" s="18" t="inlineStr">
        <is>
          <t>United States</t>
        </is>
      </c>
      <c r="E472" s="18" t="n">
        <v>2024</v>
      </c>
      <c r="F472" s="37" t="n">
        <v>0.0552</v>
      </c>
    </row>
    <row r="473">
      <c r="A473" s="18" t="inlineStr">
        <is>
          <t>SINCLAIR_SINCLAIR</t>
        </is>
      </c>
      <c r="B473" s="18" t="n">
        <v>4</v>
      </c>
      <c r="C473" s="18" t="inlineStr">
        <is>
          <t>Cold Lake</t>
        </is>
      </c>
      <c r="D473" s="18" t="inlineStr">
        <is>
          <t>Canada (Oil Sands)</t>
        </is>
      </c>
      <c r="E473" s="18" t="n">
        <v>2024</v>
      </c>
      <c r="F473" s="37" t="n">
        <v>0.0513</v>
      </c>
    </row>
    <row r="474">
      <c r="A474" s="18" t="inlineStr">
        <is>
          <t>SINCLAIR_SINCLAIR</t>
        </is>
      </c>
      <c r="B474" s="18" t="n">
        <v>4</v>
      </c>
      <c r="C474" s="18" t="inlineStr">
        <is>
          <t>Western Canadian Select</t>
        </is>
      </c>
      <c r="D474" s="18" t="inlineStr">
        <is>
          <t>Canada</t>
        </is>
      </c>
      <c r="E474" s="18" t="n">
        <v>2024</v>
      </c>
      <c r="F474" s="37" t="n">
        <v>0.0062</v>
      </c>
    </row>
    <row r="475">
      <c r="A475" s="18" t="inlineStr">
        <is>
          <t>SINCLAIR_SINCLAIR</t>
        </is>
      </c>
      <c r="B475" s="18" t="n">
        <v>4</v>
      </c>
      <c r="C475" s="18" t="inlineStr">
        <is>
          <t>Lloyd Blend</t>
        </is>
      </c>
      <c r="D475" s="18" t="inlineStr">
        <is>
          <t>United States</t>
        </is>
      </c>
      <c r="E475" s="18" t="n">
        <v>2024</v>
      </c>
      <c r="F475" s="37" t="n">
        <v>0.0059</v>
      </c>
    </row>
    <row r="476">
      <c r="A476" s="18" t="inlineStr">
        <is>
          <t>SUNCOR_DENVER</t>
        </is>
      </c>
      <c r="B476" s="18" t="n">
        <v>4</v>
      </c>
      <c r="C476" s="18" t="inlineStr">
        <is>
          <t>Wyoming Sweet</t>
        </is>
      </c>
      <c r="D476" s="18" t="inlineStr">
        <is>
          <t>United States</t>
        </is>
      </c>
      <c r="E476" s="18" t="n">
        <v>2024</v>
      </c>
      <c r="F476" s="37" t="n">
        <v>0.4239</v>
      </c>
    </row>
    <row r="477">
      <c r="A477" s="18" t="inlineStr">
        <is>
          <t>SUNCOR_DENVER</t>
        </is>
      </c>
      <c r="B477" s="18" t="n">
        <v>4</v>
      </c>
      <c r="C477" s="18" t="inlineStr">
        <is>
          <t>Niobrara</t>
        </is>
      </c>
      <c r="D477" s="18" t="inlineStr">
        <is>
          <t>United States</t>
        </is>
      </c>
      <c r="E477" s="18" t="n">
        <v>2024</v>
      </c>
      <c r="F477" s="37" t="n">
        <v>0.4052</v>
      </c>
    </row>
    <row r="478">
      <c r="A478" s="18" t="inlineStr">
        <is>
          <t>SUNCOR_DENVER</t>
        </is>
      </c>
      <c r="B478" s="18" t="n">
        <v>4</v>
      </c>
      <c r="C478" s="18" t="inlineStr">
        <is>
          <t>Wyoming Sour</t>
        </is>
      </c>
      <c r="D478" s="18" t="inlineStr">
        <is>
          <t>United States</t>
        </is>
      </c>
      <c r="E478" s="18" t="n">
        <v>2024</v>
      </c>
      <c r="F478" s="37" t="n">
        <v>0.1709</v>
      </c>
    </row>
    <row r="479">
      <c r="A479" s="18" t="inlineStr">
        <is>
          <t>BP_FERNDALE</t>
        </is>
      </c>
      <c r="B479" s="18" t="n">
        <v>5</v>
      </c>
      <c r="C479" s="18" t="inlineStr">
        <is>
          <t>Alaska North Slope</t>
        </is>
      </c>
      <c r="D479" s="18" t="inlineStr">
        <is>
          <t>US (Alaska)</t>
        </is>
      </c>
      <c r="E479" s="18" t="n">
        <v>2024</v>
      </c>
      <c r="F479" s="37" t="n">
        <v>0.4138</v>
      </c>
    </row>
    <row r="480">
      <c r="A480" s="18" t="inlineStr">
        <is>
          <t>BP_FERNDALE</t>
        </is>
      </c>
      <c r="B480" s="18" t="n">
        <v>5</v>
      </c>
      <c r="C480" s="18" t="inlineStr">
        <is>
          <t>Bakken</t>
        </is>
      </c>
      <c r="D480" s="18" t="inlineStr">
        <is>
          <t>United States</t>
        </is>
      </c>
      <c r="E480" s="18" t="n">
        <v>2024</v>
      </c>
      <c r="F480" s="37" t="n">
        <v>0.1728</v>
      </c>
    </row>
    <row r="481">
      <c r="A481" s="18" t="inlineStr">
        <is>
          <t>BP_FERNDALE</t>
        </is>
      </c>
      <c r="B481" s="18" t="n">
        <v>5</v>
      </c>
      <c r="C481" s="18" t="inlineStr">
        <is>
          <t>Milk River</t>
        </is>
      </c>
      <c r="D481" s="18" t="inlineStr">
        <is>
          <t>Canada</t>
        </is>
      </c>
      <c r="E481" s="18" t="n">
        <v>2024</v>
      </c>
      <c r="F481" s="37" t="n">
        <v>0.0993</v>
      </c>
    </row>
    <row r="482">
      <c r="A482" s="18" t="inlineStr">
        <is>
          <t>BP_FERNDALE</t>
        </is>
      </c>
      <c r="B482" s="18" t="n">
        <v>5</v>
      </c>
      <c r="C482" s="18" t="inlineStr">
        <is>
          <t>Cold Lake</t>
        </is>
      </c>
      <c r="D482" s="18" t="inlineStr">
        <is>
          <t>Canada (Oil Sands)</t>
        </is>
      </c>
      <c r="E482" s="18" t="n">
        <v>2024</v>
      </c>
      <c r="F482" s="37" t="n">
        <v>0.08740000000000001</v>
      </c>
    </row>
    <row r="483">
      <c r="A483" s="18" t="inlineStr">
        <is>
          <t>BP_FERNDALE</t>
        </is>
      </c>
      <c r="B483" s="18" t="n">
        <v>5</v>
      </c>
      <c r="C483" s="18" t="inlineStr">
        <is>
          <t>Mixed Sweet Blend</t>
        </is>
      </c>
      <c r="D483" s="18" t="inlineStr">
        <is>
          <t>Canada</t>
        </is>
      </c>
      <c r="E483" s="18" t="n">
        <v>2024</v>
      </c>
      <c r="F483" s="37" t="n">
        <v>0.07190000000000001</v>
      </c>
    </row>
    <row r="484">
      <c r="A484" s="18" t="inlineStr">
        <is>
          <t>BP_FERNDALE</t>
        </is>
      </c>
      <c r="B484" s="18" t="n">
        <v>5</v>
      </c>
      <c r="C484" s="18" t="inlineStr">
        <is>
          <t>Oil Sands Synthetic</t>
        </is>
      </c>
      <c r="D484" s="18" t="inlineStr">
        <is>
          <t>Canada (Oil Sands)</t>
        </is>
      </c>
      <c r="E484" s="18" t="n">
        <v>2024</v>
      </c>
      <c r="F484" s="37" t="n">
        <v>0.0591</v>
      </c>
    </row>
    <row r="485">
      <c r="A485" s="18" t="inlineStr">
        <is>
          <t>BP_FERNDALE</t>
        </is>
      </c>
      <c r="B485" s="18" t="n">
        <v>5</v>
      </c>
      <c r="C485" s="18" t="inlineStr">
        <is>
          <t>Lula</t>
        </is>
      </c>
      <c r="D485" s="18" t="inlineStr">
        <is>
          <t>Brazil</t>
        </is>
      </c>
      <c r="E485" s="18" t="n">
        <v>2024</v>
      </c>
      <c r="F485" s="37" t="n">
        <v>0.0527</v>
      </c>
    </row>
    <row r="486">
      <c r="A486" s="18" t="inlineStr">
        <is>
          <t>BP_FERNDALE</t>
        </is>
      </c>
      <c r="B486" s="18" t="n">
        <v>5</v>
      </c>
      <c r="C486" s="18" t="inlineStr">
        <is>
          <t>Escalante</t>
        </is>
      </c>
      <c r="D486" s="18" t="inlineStr">
        <is>
          <t>Argentina</t>
        </is>
      </c>
      <c r="E486" s="18" t="n">
        <v>2024</v>
      </c>
      <c r="F486" s="37" t="n">
        <v>0.0406</v>
      </c>
    </row>
    <row r="487">
      <c r="A487" s="18" t="inlineStr">
        <is>
          <t>BP_FERNDALE</t>
        </is>
      </c>
      <c r="B487" s="18" t="n">
        <v>5</v>
      </c>
      <c r="C487" s="18" t="inlineStr">
        <is>
          <t>Domestic Oil Other Argentina</t>
        </is>
      </c>
      <c r="D487" s="18" t="inlineStr">
        <is>
          <t>Argentina</t>
        </is>
      </c>
      <c r="E487" s="18" t="n">
        <v>2024</v>
      </c>
      <c r="F487" s="37" t="n">
        <v>0.0024</v>
      </c>
    </row>
    <row r="488">
      <c r="A488" s="18" t="inlineStr">
        <is>
          <t>CHEVRON_EL_SEGUNDO</t>
        </is>
      </c>
      <c r="B488" s="18" t="n">
        <v>5</v>
      </c>
      <c r="C488" s="18" t="inlineStr">
        <is>
          <t>Liza-Payara</t>
        </is>
      </c>
      <c r="D488" s="18" t="inlineStr">
        <is>
          <t>Guyana</t>
        </is>
      </c>
      <c r="E488" s="18" t="n">
        <v>2024</v>
      </c>
      <c r="F488" s="37" t="n">
        <v>0.362</v>
      </c>
    </row>
    <row r="489">
      <c r="A489" s="18" t="inlineStr">
        <is>
          <t>CHEVRON_EL_SEGUNDO</t>
        </is>
      </c>
      <c r="B489" s="18" t="n">
        <v>5</v>
      </c>
      <c r="C489" s="18" t="inlineStr">
        <is>
          <t>San Joaquin Valley Lt</t>
        </is>
      </c>
      <c r="D489" s="18" t="inlineStr">
        <is>
          <t>United States</t>
        </is>
      </c>
      <c r="E489" s="18" t="n">
        <v>2024</v>
      </c>
      <c r="F489" s="37" t="n">
        <v>0.3302</v>
      </c>
    </row>
    <row r="490">
      <c r="A490" s="18" t="inlineStr">
        <is>
          <t>CHEVRON_EL_SEGUNDO</t>
        </is>
      </c>
      <c r="B490" s="18" t="n">
        <v>5</v>
      </c>
      <c r="C490" s="18" t="inlineStr">
        <is>
          <t>Vasconia</t>
        </is>
      </c>
      <c r="D490" s="18" t="inlineStr">
        <is>
          <t>Colombia</t>
        </is>
      </c>
      <c r="E490" s="18" t="n">
        <v>2024</v>
      </c>
      <c r="F490" s="37" t="n">
        <v>0.1123</v>
      </c>
    </row>
    <row r="491">
      <c r="A491" s="18" t="inlineStr">
        <is>
          <t>CHEVRON_EL_SEGUNDO</t>
        </is>
      </c>
      <c r="B491" s="18" t="n">
        <v>5</v>
      </c>
      <c r="C491" s="18" t="inlineStr">
        <is>
          <t>Napo</t>
        </is>
      </c>
      <c r="D491" s="18" t="inlineStr">
        <is>
          <t>Ecuador</t>
        </is>
      </c>
      <c r="E491" s="18" t="n">
        <v>2024</v>
      </c>
      <c r="F491" s="37" t="n">
        <v>0.0345</v>
      </c>
    </row>
    <row r="492">
      <c r="A492" s="18" t="inlineStr">
        <is>
          <t>CHEVRON_EL_SEGUNDO</t>
        </is>
      </c>
      <c r="B492" s="18" t="n">
        <v>5</v>
      </c>
      <c r="C492" s="18" t="inlineStr">
        <is>
          <t>Western Canadian Select</t>
        </is>
      </c>
      <c r="D492" s="18" t="inlineStr">
        <is>
          <t>Canada</t>
        </is>
      </c>
      <c r="E492" s="18" t="n">
        <v>2024</v>
      </c>
      <c r="F492" s="37" t="n">
        <v>0.027</v>
      </c>
    </row>
    <row r="493">
      <c r="A493" s="18" t="inlineStr">
        <is>
          <t>CHEVRON_EL_SEGUNDO</t>
        </is>
      </c>
      <c r="B493" s="18" t="n">
        <v>5</v>
      </c>
      <c r="C493" s="18" t="inlineStr">
        <is>
          <t>Oil Sands Synthetic</t>
        </is>
      </c>
      <c r="D493" s="18" t="inlineStr">
        <is>
          <t>Canada (Oil Sands)</t>
        </is>
      </c>
      <c r="E493" s="18" t="n">
        <v>2024</v>
      </c>
      <c r="F493" s="37" t="n">
        <v>0.0267</v>
      </c>
    </row>
    <row r="494">
      <c r="A494" s="18" t="inlineStr">
        <is>
          <t>CHEVRON_EL_SEGUNDO</t>
        </is>
      </c>
      <c r="B494" s="18" t="n">
        <v>5</v>
      </c>
      <c r="C494" s="18" t="inlineStr">
        <is>
          <t>Lula</t>
        </is>
      </c>
      <c r="D494" s="18" t="inlineStr">
        <is>
          <t>Brazil</t>
        </is>
      </c>
      <c r="E494" s="18" t="n">
        <v>2024</v>
      </c>
      <c r="F494" s="37" t="n">
        <v>0.0184</v>
      </c>
    </row>
    <row r="495">
      <c r="A495" s="18" t="inlineStr">
        <is>
          <t>CHEVRON_EL_SEGUNDO</t>
        </is>
      </c>
      <c r="B495" s="18" t="n">
        <v>5</v>
      </c>
      <c r="C495" s="18" t="inlineStr">
        <is>
          <t>Marlim</t>
        </is>
      </c>
      <c r="D495" s="18" t="inlineStr">
        <is>
          <t>Brazil</t>
        </is>
      </c>
      <c r="E495" s="18" t="n">
        <v>2024</v>
      </c>
      <c r="F495" s="37" t="n">
        <v>0.0175</v>
      </c>
    </row>
    <row r="496">
      <c r="A496" s="18" t="inlineStr">
        <is>
          <t>CHEVRON_EL_SEGUNDO</t>
        </is>
      </c>
      <c r="B496" s="18" t="n">
        <v>5</v>
      </c>
      <c r="C496" s="18" t="inlineStr">
        <is>
          <t>Basrah Heavy</t>
        </is>
      </c>
      <c r="D496" s="18" t="inlineStr">
        <is>
          <t>Iraq</t>
        </is>
      </c>
      <c r="E496" s="18" t="n">
        <v>2024</v>
      </c>
      <c r="F496" s="37" t="n">
        <v>0.009599999999999999</v>
      </c>
    </row>
    <row r="497">
      <c r="A497" s="18" t="inlineStr">
        <is>
          <t>CHEVRON_EL_SEGUNDO</t>
        </is>
      </c>
      <c r="B497" s="18" t="n">
        <v>5</v>
      </c>
      <c r="C497" s="18" t="inlineStr">
        <is>
          <t>Tight Oil Argentina</t>
        </is>
      </c>
      <c r="D497" s="18" t="inlineStr">
        <is>
          <t>Argentina</t>
        </is>
      </c>
      <c r="E497" s="18" t="n">
        <v>2024</v>
      </c>
      <c r="F497" s="37" t="n">
        <v>0.0076</v>
      </c>
    </row>
    <row r="498">
      <c r="A498" s="18" t="inlineStr">
        <is>
          <t>CHEVRON_EL_SEGUNDO</t>
        </is>
      </c>
      <c r="B498" s="18" t="n">
        <v>5</v>
      </c>
      <c r="C498" s="18" t="inlineStr">
        <is>
          <t>Pt. Arguello</t>
        </is>
      </c>
      <c r="D498" s="18" t="inlineStr">
        <is>
          <t>United States</t>
        </is>
      </c>
      <c r="E498" s="18" t="n">
        <v>2024</v>
      </c>
      <c r="F498" s="37" t="n">
        <v>0.0075</v>
      </c>
    </row>
    <row r="499">
      <c r="A499" s="18" t="inlineStr">
        <is>
          <t>CHEVRON_EL_SEGUNDO</t>
        </is>
      </c>
      <c r="B499" s="18" t="n">
        <v>5</v>
      </c>
      <c r="C499" s="18" t="inlineStr">
        <is>
          <t>Suncor Synthetic H</t>
        </is>
      </c>
      <c r="D499" s="18" t="inlineStr">
        <is>
          <t>Canada (Saskatchewan)</t>
        </is>
      </c>
      <c r="E499" s="18" t="n">
        <v>2024</v>
      </c>
      <c r="F499" s="37" t="n">
        <v>0.0067</v>
      </c>
    </row>
    <row r="500">
      <c r="A500" s="18" t="inlineStr">
        <is>
          <t>CHEVRON_EL_SEGUNDO</t>
        </is>
      </c>
      <c r="B500" s="18" t="n">
        <v>5</v>
      </c>
      <c r="C500" s="18" t="inlineStr">
        <is>
          <t>W. Canada Conventional Heavy Sour (Alberta)</t>
        </is>
      </c>
      <c r="D500" s="18" t="inlineStr">
        <is>
          <t>Canada (Alberta)</t>
        </is>
      </c>
      <c r="E500" s="18" t="n">
        <v>2024</v>
      </c>
      <c r="F500" s="37" t="n">
        <v>0.0067</v>
      </c>
    </row>
    <row r="501">
      <c r="A501" s="18" t="inlineStr">
        <is>
          <t>CHEVRON_EL_SEGUNDO</t>
        </is>
      </c>
      <c r="B501" s="18" t="n">
        <v>5</v>
      </c>
      <c r="C501" s="18" t="inlineStr">
        <is>
          <t>Domestic Oil Colombia</t>
        </is>
      </c>
      <c r="D501" s="18" t="inlineStr">
        <is>
          <t>Colombia</t>
        </is>
      </c>
      <c r="E501" s="18" t="n">
        <v>2024</v>
      </c>
      <c r="F501" s="37" t="n">
        <v>0.0064</v>
      </c>
    </row>
    <row r="502">
      <c r="A502" s="18" t="inlineStr">
        <is>
          <t>CHEVRON_EL_SEGUNDO</t>
        </is>
      </c>
      <c r="B502" s="18" t="n">
        <v>5</v>
      </c>
      <c r="C502" s="18" t="inlineStr">
        <is>
          <t>Sapinhoa</t>
        </is>
      </c>
      <c r="D502" s="18" t="inlineStr">
        <is>
          <t>Brazil</t>
        </is>
      </c>
      <c r="E502" s="18" t="n">
        <v>2024</v>
      </c>
      <c r="F502" s="37" t="n">
        <v>0.0061</v>
      </c>
    </row>
    <row r="503">
      <c r="A503" s="18" t="inlineStr">
        <is>
          <t>CHEVRON_EL_SEGUNDO</t>
        </is>
      </c>
      <c r="B503" s="18" t="n">
        <v>5</v>
      </c>
      <c r="C503" s="18" t="inlineStr">
        <is>
          <t>South Blend</t>
        </is>
      </c>
      <c r="D503" s="18" t="inlineStr">
        <is>
          <t>Colombia</t>
        </is>
      </c>
      <c r="E503" s="18" t="n">
        <v>2024</v>
      </c>
      <c r="F503" s="37" t="n">
        <v>0.0061</v>
      </c>
    </row>
    <row r="504">
      <c r="A504" s="18" t="inlineStr">
        <is>
          <t>CHEVRON_EL_SEGUNDO</t>
        </is>
      </c>
      <c r="B504" s="18" t="n">
        <v>5</v>
      </c>
      <c r="C504" s="18" t="inlineStr">
        <is>
          <t>Basrah Medium</t>
        </is>
      </c>
      <c r="D504" s="18" t="inlineStr">
        <is>
          <t>Iraq</t>
        </is>
      </c>
      <c r="E504" s="18" t="n">
        <v>2024</v>
      </c>
      <c r="F504" s="37" t="n">
        <v>0.005699999999999999</v>
      </c>
    </row>
    <row r="505">
      <c r="A505" s="18" t="inlineStr">
        <is>
          <t>CHEVRON_EL_SEGUNDO</t>
        </is>
      </c>
      <c r="B505" s="18" t="n">
        <v>5</v>
      </c>
      <c r="C505" s="18" t="inlineStr">
        <is>
          <t>Maya</t>
        </is>
      </c>
      <c r="D505" s="18" t="inlineStr">
        <is>
          <t>Mexico</t>
        </is>
      </c>
      <c r="E505" s="18" t="n">
        <v>2024</v>
      </c>
      <c r="F505" s="37" t="n">
        <v>0.0049</v>
      </c>
    </row>
    <row r="506">
      <c r="A506" s="18" t="inlineStr">
        <is>
          <t>CHEVRON_EL_SEGUNDO</t>
        </is>
      </c>
      <c r="B506" s="18" t="n">
        <v>5</v>
      </c>
      <c r="C506" s="18" t="inlineStr">
        <is>
          <t>Eocene</t>
        </is>
      </c>
      <c r="D506" s="18" t="inlineStr">
        <is>
          <t>Kuwait</t>
        </is>
      </c>
      <c r="E506" s="18" t="n">
        <v>2024</v>
      </c>
      <c r="F506" s="37" t="n">
        <v>0.0016</v>
      </c>
    </row>
    <row r="507">
      <c r="A507" s="18" t="inlineStr">
        <is>
          <t>CHEVRON_EL_SEGUNDO</t>
        </is>
      </c>
      <c r="B507" s="18" t="n">
        <v>5</v>
      </c>
      <c r="C507" s="18" t="inlineStr">
        <is>
          <t>Cano Limon</t>
        </is>
      </c>
      <c r="D507" s="18" t="inlineStr">
        <is>
          <t>Colombia</t>
        </is>
      </c>
      <c r="E507" s="18" t="n">
        <v>2024</v>
      </c>
      <c r="F507" s="37" t="n">
        <v>0.0011</v>
      </c>
    </row>
    <row r="508">
      <c r="A508" s="18" t="inlineStr">
        <is>
          <t>CHEVRON_EL_SEGUNDO</t>
        </is>
      </c>
      <c r="B508" s="18" t="n">
        <v>5</v>
      </c>
      <c r="C508" s="18" t="inlineStr">
        <is>
          <t>Oriente</t>
        </is>
      </c>
      <c r="D508" s="18" t="inlineStr">
        <is>
          <t>Ecuador</t>
        </is>
      </c>
      <c r="E508" s="18" t="n">
        <v>2024</v>
      </c>
      <c r="F508" s="37" t="n">
        <v>0.0011</v>
      </c>
    </row>
    <row r="509">
      <c r="A509" s="18" t="inlineStr">
        <is>
          <t>CHEVRON_EL_SEGUNDO</t>
        </is>
      </c>
      <c r="B509" s="18" t="n">
        <v>5</v>
      </c>
      <c r="C509" s="18" t="inlineStr">
        <is>
          <t>San Joaquin Valley Hvy</t>
        </is>
      </c>
      <c r="D509" s="18" t="inlineStr">
        <is>
          <t>United States</t>
        </is>
      </c>
      <c r="E509" s="18" t="n">
        <v>2024</v>
      </c>
      <c r="F509" s="37" t="n">
        <v>0.0003</v>
      </c>
    </row>
    <row r="510">
      <c r="A510" s="18" t="inlineStr">
        <is>
          <t>CHEVRON_RICHMOND</t>
        </is>
      </c>
      <c r="B510" s="18" t="n">
        <v>5</v>
      </c>
      <c r="C510" s="18" t="inlineStr">
        <is>
          <t>Alaska North Slope</t>
        </is>
      </c>
      <c r="D510" s="18" t="inlineStr">
        <is>
          <t>US (Alaska)</t>
        </is>
      </c>
      <c r="E510" s="18" t="n">
        <v>2024</v>
      </c>
      <c r="F510" s="37" t="n">
        <v>0.3093</v>
      </c>
    </row>
    <row r="511">
      <c r="A511" s="18" t="inlineStr">
        <is>
          <t>CHEVRON_RICHMOND</t>
        </is>
      </c>
      <c r="B511" s="18" t="n">
        <v>5</v>
      </c>
      <c r="C511" s="18" t="inlineStr">
        <is>
          <t>Basrah Medium</t>
        </is>
      </c>
      <c r="D511" s="18" t="inlineStr">
        <is>
          <t>Iraq</t>
        </is>
      </c>
      <c r="E511" s="18" t="n">
        <v>2024</v>
      </c>
      <c r="F511" s="37" t="n">
        <v>0.2786</v>
      </c>
    </row>
    <row r="512">
      <c r="A512" s="18" t="inlineStr">
        <is>
          <t>CHEVRON_RICHMOND</t>
        </is>
      </c>
      <c r="B512" s="18" t="n">
        <v>5</v>
      </c>
      <c r="C512" s="18" t="inlineStr">
        <is>
          <t>Arab Light</t>
        </is>
      </c>
      <c r="D512" s="18" t="inlineStr">
        <is>
          <t>Saudi Arabia</t>
        </is>
      </c>
      <c r="E512" s="18" t="n">
        <v>2024</v>
      </c>
      <c r="F512" s="37" t="n">
        <v>0.1568</v>
      </c>
    </row>
    <row r="513">
      <c r="A513" s="18" t="inlineStr">
        <is>
          <t>CHEVRON_RICHMOND</t>
        </is>
      </c>
      <c r="B513" s="18" t="n">
        <v>5</v>
      </c>
      <c r="C513" s="18" t="inlineStr">
        <is>
          <t>Liza-Payara</t>
        </is>
      </c>
      <c r="D513" s="18" t="inlineStr">
        <is>
          <t>Guyana</t>
        </is>
      </c>
      <c r="E513" s="18" t="n">
        <v>2024</v>
      </c>
      <c r="F513" s="37" t="n">
        <v>0.0888</v>
      </c>
    </row>
    <row r="514">
      <c r="A514" s="18" t="inlineStr">
        <is>
          <t>CHEVRON_RICHMOND</t>
        </is>
      </c>
      <c r="B514" s="18" t="n">
        <v>5</v>
      </c>
      <c r="C514" s="18" t="inlineStr">
        <is>
          <t>Tight Oil Argentina</t>
        </is>
      </c>
      <c r="D514" s="18" t="inlineStr">
        <is>
          <t>Argentina</t>
        </is>
      </c>
      <c r="E514" s="18" t="n">
        <v>2024</v>
      </c>
      <c r="F514" s="37" t="n">
        <v>0.0375</v>
      </c>
    </row>
    <row r="515">
      <c r="A515" s="18" t="inlineStr">
        <is>
          <t>CHEVRON_RICHMOND</t>
        </is>
      </c>
      <c r="B515" s="18" t="n">
        <v>5</v>
      </c>
      <c r="C515" s="18" t="inlineStr">
        <is>
          <t>Murban</t>
        </is>
      </c>
      <c r="D515" s="18" t="inlineStr">
        <is>
          <t>United Arab Emirates</t>
        </is>
      </c>
      <c r="E515" s="18" t="n">
        <v>2024</v>
      </c>
      <c r="F515" s="37" t="n">
        <v>0.0365</v>
      </c>
    </row>
    <row r="516">
      <c r="A516" s="18" t="inlineStr">
        <is>
          <t>CHEVRON_RICHMOND</t>
        </is>
      </c>
      <c r="B516" s="18" t="n">
        <v>5</v>
      </c>
      <c r="C516" s="18" t="inlineStr">
        <is>
          <t>Arab Heavy</t>
        </is>
      </c>
      <c r="D516" s="18" t="inlineStr">
        <is>
          <t>Saudi Arabia</t>
        </is>
      </c>
      <c r="E516" s="18" t="n">
        <v>2024</v>
      </c>
      <c r="F516" s="37" t="n">
        <v>0.0209</v>
      </c>
    </row>
    <row r="517">
      <c r="A517" s="18" t="inlineStr">
        <is>
          <t>CHEVRON_RICHMOND</t>
        </is>
      </c>
      <c r="B517" s="18" t="n">
        <v>5</v>
      </c>
      <c r="C517" s="18" t="inlineStr">
        <is>
          <t>Basrah Heavy</t>
        </is>
      </c>
      <c r="D517" s="18" t="inlineStr">
        <is>
          <t>Iraq</t>
        </is>
      </c>
      <c r="E517" s="18" t="n">
        <v>2024</v>
      </c>
      <c r="F517" s="37" t="n">
        <v>0.0178</v>
      </c>
    </row>
    <row r="518">
      <c r="A518" s="18" t="inlineStr">
        <is>
          <t>CHEVRON_RICHMOND</t>
        </is>
      </c>
      <c r="B518" s="18" t="n">
        <v>5</v>
      </c>
      <c r="C518" s="18" t="inlineStr">
        <is>
          <t>Dubai</t>
        </is>
      </c>
      <c r="D518" s="18" t="inlineStr">
        <is>
          <t>United Arab Emirates</t>
        </is>
      </c>
      <c r="E518" s="18" t="n">
        <v>2024</v>
      </c>
      <c r="F518" s="37" t="n">
        <v>0.0116</v>
      </c>
    </row>
    <row r="519">
      <c r="A519" s="18" t="inlineStr">
        <is>
          <t>CHEVRON_RICHMOND</t>
        </is>
      </c>
      <c r="B519" s="18" t="n">
        <v>5</v>
      </c>
      <c r="C519" s="18" t="inlineStr">
        <is>
          <t>Khafji (Saudi Arabia)</t>
        </is>
      </c>
      <c r="D519" s="18" t="inlineStr">
        <is>
          <t>Saudi Arabia</t>
        </is>
      </c>
      <c r="E519" s="18" t="n">
        <v>2024</v>
      </c>
      <c r="F519" s="37" t="n">
        <v>0.008699999999999999</v>
      </c>
    </row>
    <row r="520">
      <c r="A520" s="18" t="inlineStr">
        <is>
          <t>CHEVRON_RICHMOND</t>
        </is>
      </c>
      <c r="B520" s="18" t="n">
        <v>5</v>
      </c>
      <c r="C520" s="18" t="inlineStr">
        <is>
          <t>Eocene</t>
        </is>
      </c>
      <c r="D520" s="18" t="inlineStr">
        <is>
          <t>Kuwait</t>
        </is>
      </c>
      <c r="E520" s="18" t="n">
        <v>2024</v>
      </c>
      <c r="F520" s="37" t="n">
        <v>0.008199999999999999</v>
      </c>
    </row>
    <row r="521">
      <c r="A521" s="18" t="inlineStr">
        <is>
          <t>CHEVRON_RICHMOND</t>
        </is>
      </c>
      <c r="B521" s="18" t="n">
        <v>5</v>
      </c>
      <c r="C521" s="18" t="inlineStr">
        <is>
          <t>Kirkuk Blend</t>
        </is>
      </c>
      <c r="D521" s="18" t="inlineStr">
        <is>
          <t>Iraq</t>
        </is>
      </c>
      <c r="E521" s="18" t="n">
        <v>2024</v>
      </c>
      <c r="F521" s="37" t="n">
        <v>0.006500000000000001</v>
      </c>
    </row>
    <row r="522">
      <c r="A522" s="18" t="inlineStr">
        <is>
          <t>CHEVRON_RICHMOND</t>
        </is>
      </c>
      <c r="B522" s="18" t="n">
        <v>5</v>
      </c>
      <c r="C522" s="18" t="inlineStr">
        <is>
          <t>Arab Medium</t>
        </is>
      </c>
      <c r="D522" s="18" t="inlineStr">
        <is>
          <t>Saudi Arabia</t>
        </is>
      </c>
      <c r="E522" s="18" t="n">
        <v>2024</v>
      </c>
      <c r="F522" s="37" t="n">
        <v>0.004500000000000001</v>
      </c>
    </row>
    <row r="523">
      <c r="A523" s="18" t="inlineStr">
        <is>
          <t>CHEVRON_RICHMOND</t>
        </is>
      </c>
      <c r="B523" s="18" t="n">
        <v>5</v>
      </c>
      <c r="C523" s="18" t="inlineStr">
        <is>
          <t>Domestic NGL British Columbia Canada</t>
        </is>
      </c>
      <c r="D523" s="18" t="inlineStr">
        <is>
          <t>Canada (British Columbia)</t>
        </is>
      </c>
      <c r="E523" s="18" t="n">
        <v>2024</v>
      </c>
      <c r="F523" s="37" t="n">
        <v>0.004</v>
      </c>
    </row>
    <row r="524">
      <c r="A524" s="18" t="inlineStr">
        <is>
          <t>CHEVRON_RICHMOND</t>
        </is>
      </c>
      <c r="B524" s="18" t="n">
        <v>5</v>
      </c>
      <c r="C524" s="18" t="inlineStr">
        <is>
          <t>Light Sour Blend</t>
        </is>
      </c>
      <c r="D524" s="18" t="inlineStr">
        <is>
          <t>Canada</t>
        </is>
      </c>
      <c r="E524" s="18" t="n">
        <v>2024</v>
      </c>
      <c r="F524" s="37" t="n">
        <v>0.0028</v>
      </c>
    </row>
    <row r="525">
      <c r="A525" s="18" t="inlineStr">
        <is>
          <t>CHEVRON_RICHMOND</t>
        </is>
      </c>
      <c r="B525" s="18" t="n">
        <v>5</v>
      </c>
      <c r="C525" s="18" t="inlineStr">
        <is>
          <t>W. Canada Conventional Heavy Sour (Alberta)</t>
        </is>
      </c>
      <c r="D525" s="18" t="inlineStr">
        <is>
          <t>Canada (Alberta)</t>
        </is>
      </c>
      <c r="E525" s="18" t="n">
        <v>2024</v>
      </c>
      <c r="F525" s="37" t="n">
        <v>0.0023</v>
      </c>
    </row>
    <row r="526">
      <c r="A526" s="18" t="inlineStr">
        <is>
          <t>CHEVRON_RICHMOND</t>
        </is>
      </c>
      <c r="B526" s="18" t="n">
        <v>5</v>
      </c>
      <c r="C526" s="18" t="inlineStr">
        <is>
          <t>Arab Extra Light</t>
        </is>
      </c>
      <c r="D526" s="18" t="inlineStr">
        <is>
          <t>Saudi Arabia</t>
        </is>
      </c>
      <c r="E526" s="18" t="n">
        <v>2024</v>
      </c>
      <c r="F526" s="37" t="n">
        <v>0.0022</v>
      </c>
    </row>
    <row r="527">
      <c r="A527" s="18" t="inlineStr">
        <is>
          <t>CHEVRON_RICHMOND</t>
        </is>
      </c>
      <c r="B527" s="18" t="n">
        <v>5</v>
      </c>
      <c r="C527" s="18" t="inlineStr">
        <is>
          <t>Oil Sands Synthetic</t>
        </is>
      </c>
      <c r="D527" s="18" t="inlineStr">
        <is>
          <t>Canada (Oil Sands)</t>
        </is>
      </c>
      <c r="E527" s="18" t="n">
        <v>2024</v>
      </c>
      <c r="F527" s="37" t="n">
        <v>0.0017</v>
      </c>
    </row>
    <row r="528">
      <c r="A528" s="18" t="inlineStr">
        <is>
          <t>CHEVRON_RICHMOND</t>
        </is>
      </c>
      <c r="B528" s="18" t="n">
        <v>5</v>
      </c>
      <c r="C528" s="18" t="inlineStr">
        <is>
          <t>Ratawi (Saudi Arabia)</t>
        </is>
      </c>
      <c r="D528" s="18" t="inlineStr">
        <is>
          <t>Saudi Arabia</t>
        </is>
      </c>
      <c r="E528" s="18" t="n">
        <v>2024</v>
      </c>
      <c r="F528" s="37" t="n">
        <v>0.0013</v>
      </c>
    </row>
    <row r="529">
      <c r="A529" s="18" t="inlineStr">
        <is>
          <t>HF_ANACORTES</t>
        </is>
      </c>
      <c r="B529" s="18" t="n">
        <v>5</v>
      </c>
      <c r="C529" s="18" t="inlineStr">
        <is>
          <t>Alaska North Slope</t>
        </is>
      </c>
      <c r="D529" s="18" t="inlineStr">
        <is>
          <t>US (Alaska)</t>
        </is>
      </c>
      <c r="E529" s="18" t="n">
        <v>2024</v>
      </c>
      <c r="F529" s="37" t="n">
        <v>0.5182</v>
      </c>
    </row>
    <row r="530">
      <c r="A530" s="18" t="inlineStr">
        <is>
          <t>HF_ANACORTES</t>
        </is>
      </c>
      <c r="B530" s="18" t="n">
        <v>5</v>
      </c>
      <c r="C530" s="18" t="inlineStr">
        <is>
          <t>Tight Oil Canada Saskatchewan Midale</t>
        </is>
      </c>
      <c r="D530" s="18" t="inlineStr">
        <is>
          <t>Canada (Saskatchewan)</t>
        </is>
      </c>
      <c r="E530" s="18" t="n">
        <v>2024</v>
      </c>
      <c r="F530" s="37" t="n">
        <v>0.2321</v>
      </c>
    </row>
    <row r="531">
      <c r="A531" s="18" t="inlineStr">
        <is>
          <t>HF_ANACORTES</t>
        </is>
      </c>
      <c r="B531" s="18" t="n">
        <v>5</v>
      </c>
      <c r="C531" s="18" t="inlineStr">
        <is>
          <t>Oil Sands Synthetic</t>
        </is>
      </c>
      <c r="D531" s="18" t="inlineStr">
        <is>
          <t>Canada (Oil Sands)</t>
        </is>
      </c>
      <c r="E531" s="18" t="n">
        <v>2024</v>
      </c>
      <c r="F531" s="37" t="n">
        <v>0.214</v>
      </c>
    </row>
    <row r="532">
      <c r="A532" s="18" t="inlineStr">
        <is>
          <t>HF_ANACORTES</t>
        </is>
      </c>
      <c r="B532" s="18" t="n">
        <v>5</v>
      </c>
      <c r="C532" s="18" t="inlineStr">
        <is>
          <t>Light Sour Blend</t>
        </is>
      </c>
      <c r="D532" s="18" t="inlineStr">
        <is>
          <t>Canada</t>
        </is>
      </c>
      <c r="E532" s="18" t="n">
        <v>2024</v>
      </c>
      <c r="F532" s="37" t="n">
        <v>0.0163</v>
      </c>
    </row>
    <row r="533">
      <c r="A533" s="18" t="inlineStr">
        <is>
          <t>HF_ANACORTES</t>
        </is>
      </c>
      <c r="B533" s="18" t="n">
        <v>5</v>
      </c>
      <c r="C533" s="18" t="inlineStr">
        <is>
          <t>Pembina</t>
        </is>
      </c>
      <c r="D533" s="18" t="inlineStr">
        <is>
          <t>Canada</t>
        </is>
      </c>
      <c r="E533" s="18" t="n">
        <v>2024</v>
      </c>
      <c r="F533" s="37" t="n">
        <v>0.0131</v>
      </c>
    </row>
    <row r="534">
      <c r="A534" s="18" t="inlineStr">
        <is>
          <t>HF_ANACORTES</t>
        </is>
      </c>
      <c r="B534" s="18" t="n">
        <v>5</v>
      </c>
      <c r="C534" s="18" t="inlineStr">
        <is>
          <t>Domestic NGL British Columbia Canada</t>
        </is>
      </c>
      <c r="D534" s="18" t="inlineStr">
        <is>
          <t>Canada (British Columbia)</t>
        </is>
      </c>
      <c r="E534" s="18" t="n">
        <v>2024</v>
      </c>
      <c r="F534" s="37" t="n">
        <v>0.0036</v>
      </c>
    </row>
    <row r="535">
      <c r="A535" s="18" t="inlineStr">
        <is>
          <t>HF_ANACORTES</t>
        </is>
      </c>
      <c r="B535" s="18" t="n">
        <v>5</v>
      </c>
      <c r="C535" s="18" t="inlineStr">
        <is>
          <t>Domestic Oil Alberta Canada</t>
        </is>
      </c>
      <c r="D535" s="18" t="inlineStr">
        <is>
          <t>Canada (Alberta)</t>
        </is>
      </c>
      <c r="E535" s="18" t="n">
        <v>2024</v>
      </c>
      <c r="F535" s="37" t="n">
        <v>0.0016</v>
      </c>
    </row>
    <row r="536">
      <c r="A536" s="18" t="inlineStr">
        <is>
          <t>HF_ANACORTES</t>
        </is>
      </c>
      <c r="B536" s="18" t="n">
        <v>5</v>
      </c>
      <c r="C536" s="18" t="inlineStr">
        <is>
          <t>Mixed Sweet Blend</t>
        </is>
      </c>
      <c r="D536" s="18" t="inlineStr">
        <is>
          <t>Canada</t>
        </is>
      </c>
      <c r="E536" s="18" t="n">
        <v>2024</v>
      </c>
      <c r="F536" s="37" t="n">
        <v>0.0011</v>
      </c>
    </row>
    <row r="537">
      <c r="A537" s="18" t="inlineStr">
        <is>
          <t>MARATHON_ANACORTES</t>
        </is>
      </c>
      <c r="B537" s="18" t="n">
        <v>5</v>
      </c>
      <c r="C537" s="18" t="inlineStr">
        <is>
          <t>Bakken</t>
        </is>
      </c>
      <c r="D537" s="18" t="inlineStr">
        <is>
          <t>United States</t>
        </is>
      </c>
      <c r="E537" s="18" t="n">
        <v>2024</v>
      </c>
      <c r="F537" s="37" t="n">
        <v>0.3561</v>
      </c>
    </row>
    <row r="538">
      <c r="A538" s="18" t="inlineStr">
        <is>
          <t>MARATHON_ANACORTES</t>
        </is>
      </c>
      <c r="B538" s="18" t="n">
        <v>5</v>
      </c>
      <c r="C538" s="18" t="inlineStr">
        <is>
          <t>Domestic NGL British Columbia Canada</t>
        </is>
      </c>
      <c r="D538" s="18" t="inlineStr">
        <is>
          <t>Canada (British Columbia)</t>
        </is>
      </c>
      <c r="E538" s="18" t="n">
        <v>2024</v>
      </c>
      <c r="F538" s="37" t="n">
        <v>0.3227</v>
      </c>
    </row>
    <row r="539">
      <c r="A539" s="18" t="inlineStr">
        <is>
          <t>MARATHON_ANACORTES</t>
        </is>
      </c>
      <c r="B539" s="18" t="n">
        <v>5</v>
      </c>
      <c r="C539" s="18" t="inlineStr">
        <is>
          <t>Hebron/Ben Nevis</t>
        </is>
      </c>
      <c r="D539" s="18" t="inlineStr">
        <is>
          <t>Canada (East Coast)</t>
        </is>
      </c>
      <c r="E539" s="18" t="n">
        <v>2024</v>
      </c>
      <c r="F539" s="37" t="n">
        <v>0.216</v>
      </c>
    </row>
    <row r="540">
      <c r="A540" s="18" t="inlineStr">
        <is>
          <t>MARATHON_ANACORTES</t>
        </is>
      </c>
      <c r="B540" s="18" t="n">
        <v>5</v>
      </c>
      <c r="C540" s="18" t="inlineStr">
        <is>
          <t>Tight Oil Argentina</t>
        </is>
      </c>
      <c r="D540" s="18" t="inlineStr">
        <is>
          <t>Argentina</t>
        </is>
      </c>
      <c r="E540" s="18" t="n">
        <v>2024</v>
      </c>
      <c r="F540" s="37" t="n">
        <v>0.0924</v>
      </c>
    </row>
    <row r="541">
      <c r="A541" s="18" t="inlineStr">
        <is>
          <t>MARATHON_ANACORTES</t>
        </is>
      </c>
      <c r="B541" s="18" t="n">
        <v>5</v>
      </c>
      <c r="C541" s="18" t="inlineStr">
        <is>
          <t>Domestic Oil Other Argentina</t>
        </is>
      </c>
      <c r="D541" s="18" t="inlineStr">
        <is>
          <t>Argentina</t>
        </is>
      </c>
      <c r="E541" s="18" t="n">
        <v>2024</v>
      </c>
      <c r="F541" s="37" t="n">
        <v>0.01</v>
      </c>
    </row>
    <row r="542">
      <c r="A542" s="18" t="inlineStr">
        <is>
          <t>MARATHON_ANACORTES</t>
        </is>
      </c>
      <c r="B542" s="18" t="n">
        <v>5</v>
      </c>
      <c r="C542" s="18" t="inlineStr">
        <is>
          <t>Oil Sands Synthetic</t>
        </is>
      </c>
      <c r="D542" s="18" t="inlineStr">
        <is>
          <t>Canada (Oil Sands)</t>
        </is>
      </c>
      <c r="E542" s="18" t="n">
        <v>2024</v>
      </c>
      <c r="F542" s="37" t="n">
        <v>0.0028</v>
      </c>
    </row>
    <row r="543">
      <c r="A543" s="18" t="inlineStr">
        <is>
          <t>MARATHON_NIKISKI</t>
        </is>
      </c>
      <c r="B543" s="18" t="n">
        <v>5</v>
      </c>
      <c r="C543" s="18" t="inlineStr">
        <is>
          <t>Alaska North Slope</t>
        </is>
      </c>
      <c r="D543" s="18" t="inlineStr">
        <is>
          <t>US (Alaska)</t>
        </is>
      </c>
      <c r="E543" s="18" t="n">
        <v>2024</v>
      </c>
      <c r="F543" s="37" t="n">
        <v>0.6898000000000001</v>
      </c>
    </row>
    <row r="544">
      <c r="A544" s="18" t="inlineStr">
        <is>
          <t>MARATHON_NIKISKI</t>
        </is>
      </c>
      <c r="B544" s="18" t="n">
        <v>5</v>
      </c>
      <c r="C544" s="18" t="inlineStr">
        <is>
          <t>Cook Inlet</t>
        </is>
      </c>
      <c r="D544" s="18" t="inlineStr">
        <is>
          <t>US (Alaska)</t>
        </is>
      </c>
      <c r="E544" s="18" t="n">
        <v>2024</v>
      </c>
      <c r="F544" s="37" t="n">
        <v>0.2966</v>
      </c>
    </row>
    <row r="545">
      <c r="A545" s="18" t="inlineStr">
        <is>
          <t>MARATHON_NIKISKI</t>
        </is>
      </c>
      <c r="B545" s="18" t="n">
        <v>5</v>
      </c>
      <c r="C545" s="18" t="inlineStr">
        <is>
          <t>Oil Sands Synthetic</t>
        </is>
      </c>
      <c r="D545" s="18" t="inlineStr">
        <is>
          <t>Canada (Oil Sands)</t>
        </is>
      </c>
      <c r="E545" s="18" t="n">
        <v>2024</v>
      </c>
      <c r="F545" s="37" t="n">
        <v>0.0136</v>
      </c>
    </row>
    <row r="546">
      <c r="A546" s="18" t="inlineStr">
        <is>
          <t>PAR_EWA_BEACH</t>
        </is>
      </c>
      <c r="B546" s="18" t="n">
        <v>5</v>
      </c>
      <c r="C546" s="18" t="inlineStr">
        <is>
          <t>Alaska North Slope</t>
        </is>
      </c>
      <c r="D546" s="18" t="inlineStr">
        <is>
          <t>US (Alaska)</t>
        </is>
      </c>
      <c r="E546" s="18" t="n">
        <v>2024</v>
      </c>
      <c r="F546" s="37" t="n">
        <v>0.7716</v>
      </c>
    </row>
    <row r="547">
      <c r="A547" s="18" t="inlineStr">
        <is>
          <t>PAR_EWA_BEACH</t>
        </is>
      </c>
      <c r="B547" s="18" t="n">
        <v>5</v>
      </c>
      <c r="C547" s="18" t="inlineStr">
        <is>
          <t>Amna</t>
        </is>
      </c>
      <c r="D547" s="18" t="inlineStr">
        <is>
          <t>Libya</t>
        </is>
      </c>
      <c r="E547" s="18" t="n">
        <v>2024</v>
      </c>
      <c r="F547" s="37" t="n">
        <v>0.0698</v>
      </c>
    </row>
    <row r="548">
      <c r="A548" s="18" t="inlineStr">
        <is>
          <t>PAR_EWA_BEACH</t>
        </is>
      </c>
      <c r="B548" s="18" t="n">
        <v>5</v>
      </c>
      <c r="C548" s="18" t="inlineStr">
        <is>
          <t>Tight Oil Argentina</t>
        </is>
      </c>
      <c r="D548" s="18" t="inlineStr">
        <is>
          <t>Argentina</t>
        </is>
      </c>
      <c r="E548" s="18" t="n">
        <v>2024</v>
      </c>
      <c r="F548" s="37" t="n">
        <v>0.0441</v>
      </c>
    </row>
    <row r="549">
      <c r="A549" s="18" t="inlineStr">
        <is>
          <t>PAR_EWA_BEACH</t>
        </is>
      </c>
      <c r="B549" s="18" t="n">
        <v>5</v>
      </c>
      <c r="C549" s="18" t="inlineStr">
        <is>
          <t>Saharan Blend</t>
        </is>
      </c>
      <c r="D549" s="18" t="inlineStr">
        <is>
          <t>Algeria</t>
        </is>
      </c>
      <c r="E549" s="18" t="n">
        <v>2024</v>
      </c>
      <c r="F549" s="37" t="n">
        <v>0.0352</v>
      </c>
    </row>
    <row r="550">
      <c r="A550" s="18" t="inlineStr">
        <is>
          <t>PAR_EWA_BEACH</t>
        </is>
      </c>
      <c r="B550" s="18" t="n">
        <v>5</v>
      </c>
      <c r="C550" s="18" t="inlineStr">
        <is>
          <t>Cañadón Seco</t>
        </is>
      </c>
      <c r="D550" s="18" t="inlineStr">
        <is>
          <t>Argentina</t>
        </is>
      </c>
      <c r="E550" s="18" t="n">
        <v>2024</v>
      </c>
      <c r="F550" s="37" t="n">
        <v>0.0343</v>
      </c>
    </row>
    <row r="551">
      <c r="A551" s="18" t="inlineStr">
        <is>
          <t>PAR_EWA_BEACH</t>
        </is>
      </c>
      <c r="B551" s="18" t="n">
        <v>5</v>
      </c>
      <c r="C551" s="18" t="inlineStr">
        <is>
          <t>Agbami-Ekoli Condensate</t>
        </is>
      </c>
      <c r="D551" s="18" t="inlineStr">
        <is>
          <t>Nigeria</t>
        </is>
      </c>
      <c r="E551" s="18" t="n">
        <v>2024</v>
      </c>
      <c r="F551" s="37" t="n">
        <v>0.0333</v>
      </c>
    </row>
    <row r="552">
      <c r="A552" s="18" t="inlineStr">
        <is>
          <t>PAR_EWA_BEACH</t>
        </is>
      </c>
      <c r="B552" s="18" t="n">
        <v>5</v>
      </c>
      <c r="C552" s="18" t="inlineStr">
        <is>
          <t>Okono-Okpoho</t>
        </is>
      </c>
      <c r="D552" s="18" t="inlineStr">
        <is>
          <t>Nigeria</t>
        </is>
      </c>
      <c r="E552" s="18" t="n">
        <v>2024</v>
      </c>
      <c r="F552" s="37" t="n">
        <v>0.008800000000000001</v>
      </c>
    </row>
    <row r="553">
      <c r="A553" s="18" t="inlineStr">
        <is>
          <t>PAR_EWA_BEACH</t>
        </is>
      </c>
      <c r="B553" s="18" t="n">
        <v>5</v>
      </c>
      <c r="C553" s="18" t="inlineStr">
        <is>
          <t>Domestic NGL Argentina</t>
        </is>
      </c>
      <c r="D553" s="18" t="inlineStr">
        <is>
          <t>Argentina</t>
        </is>
      </c>
      <c r="E553" s="18" t="n">
        <v>2024</v>
      </c>
      <c r="F553" s="37" t="n">
        <v>0.0029</v>
      </c>
    </row>
    <row r="554">
      <c r="A554" s="18" t="inlineStr">
        <is>
          <t>PBF_MARTINEZ</t>
        </is>
      </c>
      <c r="B554" s="18" t="n">
        <v>5</v>
      </c>
      <c r="C554" s="18" t="inlineStr">
        <is>
          <t>San Joaquin Valley Lt</t>
        </is>
      </c>
      <c r="D554" s="18" t="inlineStr">
        <is>
          <t>United States</t>
        </is>
      </c>
      <c r="E554" s="18" t="n">
        <v>2024</v>
      </c>
      <c r="F554" s="37" t="n">
        <v>0.3719</v>
      </c>
    </row>
    <row r="555">
      <c r="A555" s="18" t="inlineStr">
        <is>
          <t>PBF_MARTINEZ</t>
        </is>
      </c>
      <c r="B555" s="18" t="n">
        <v>5</v>
      </c>
      <c r="C555" s="18" t="inlineStr">
        <is>
          <t>Oriente</t>
        </is>
      </c>
      <c r="D555" s="18" t="inlineStr">
        <is>
          <t>Ecuador</t>
        </is>
      </c>
      <c r="E555" s="18" t="n">
        <v>2024</v>
      </c>
      <c r="F555" s="37" t="n">
        <v>0.177</v>
      </c>
    </row>
    <row r="556">
      <c r="A556" s="18" t="inlineStr">
        <is>
          <t>PBF_MARTINEZ</t>
        </is>
      </c>
      <c r="B556" s="18" t="n">
        <v>5</v>
      </c>
      <c r="C556" s="18" t="inlineStr">
        <is>
          <t>Lula</t>
        </is>
      </c>
      <c r="D556" s="18" t="inlineStr">
        <is>
          <t>Brazil</t>
        </is>
      </c>
      <c r="E556" s="18" t="n">
        <v>2024</v>
      </c>
      <c r="F556" s="37" t="n">
        <v>0.1183</v>
      </c>
    </row>
    <row r="557">
      <c r="A557" s="18" t="inlineStr">
        <is>
          <t>PBF_MARTINEZ</t>
        </is>
      </c>
      <c r="B557" s="18" t="n">
        <v>5</v>
      </c>
      <c r="C557" s="18" t="inlineStr">
        <is>
          <t>Napo</t>
        </is>
      </c>
      <c r="D557" s="18" t="inlineStr">
        <is>
          <t>Ecuador</t>
        </is>
      </c>
      <c r="E557" s="18" t="n">
        <v>2024</v>
      </c>
      <c r="F557" s="37" t="n">
        <v>0.1008</v>
      </c>
    </row>
    <row r="558">
      <c r="A558" s="18" t="inlineStr">
        <is>
          <t>PBF_MARTINEZ</t>
        </is>
      </c>
      <c r="B558" s="18" t="n">
        <v>5</v>
      </c>
      <c r="C558" s="18" t="inlineStr">
        <is>
          <t>Marlim</t>
        </is>
      </c>
      <c r="D558" s="18" t="inlineStr">
        <is>
          <t>Brazil</t>
        </is>
      </c>
      <c r="E558" s="18" t="n">
        <v>2024</v>
      </c>
      <c r="F558" s="37" t="n">
        <v>0.0506</v>
      </c>
    </row>
    <row r="559">
      <c r="A559" s="18" t="inlineStr">
        <is>
          <t>PBF_MARTINEZ</t>
        </is>
      </c>
      <c r="B559" s="18" t="n">
        <v>5</v>
      </c>
      <c r="C559" s="18" t="inlineStr">
        <is>
          <t>Sapinhoa</t>
        </is>
      </c>
      <c r="D559" s="18" t="inlineStr">
        <is>
          <t>Brazil</t>
        </is>
      </c>
      <c r="E559" s="18" t="n">
        <v>2024</v>
      </c>
      <c r="F559" s="37" t="n">
        <v>0.04219999999999999</v>
      </c>
    </row>
    <row r="560">
      <c r="A560" s="18" t="inlineStr">
        <is>
          <t>PBF_MARTINEZ</t>
        </is>
      </c>
      <c r="B560" s="18" t="n">
        <v>5</v>
      </c>
      <c r="C560" s="18" t="inlineStr">
        <is>
          <t>Buzios</t>
        </is>
      </c>
      <c r="D560" s="18" t="inlineStr">
        <is>
          <t>Brazil</t>
        </is>
      </c>
      <c r="E560" s="18" t="n">
        <v>2024</v>
      </c>
      <c r="F560" s="37" t="n">
        <v>0.04019999999999999</v>
      </c>
    </row>
    <row r="561">
      <c r="A561" s="18" t="inlineStr">
        <is>
          <t>PBF_MARTINEZ</t>
        </is>
      </c>
      <c r="B561" s="18" t="n">
        <v>5</v>
      </c>
      <c r="C561" s="18" t="inlineStr">
        <is>
          <t>Oil Sands Synthetic</t>
        </is>
      </c>
      <c r="D561" s="18" t="inlineStr">
        <is>
          <t>Canada (Oil Sands)</t>
        </is>
      </c>
      <c r="E561" s="18" t="n">
        <v>2024</v>
      </c>
      <c r="F561" s="37" t="n">
        <v>0.0272</v>
      </c>
    </row>
    <row r="562">
      <c r="A562" s="18" t="inlineStr">
        <is>
          <t>PBF_MARTINEZ</t>
        </is>
      </c>
      <c r="B562" s="18" t="n">
        <v>5</v>
      </c>
      <c r="C562" s="18" t="inlineStr">
        <is>
          <t>Cold Lake</t>
        </is>
      </c>
      <c r="D562" s="18" t="inlineStr">
        <is>
          <t>Canada (Oil Sands)</t>
        </is>
      </c>
      <c r="E562" s="18" t="n">
        <v>2024</v>
      </c>
      <c r="F562" s="37" t="n">
        <v>0.0267</v>
      </c>
    </row>
    <row r="563">
      <c r="A563" s="18" t="inlineStr">
        <is>
          <t>PBF_MARTINEZ</t>
        </is>
      </c>
      <c r="B563" s="18" t="n">
        <v>5</v>
      </c>
      <c r="C563" s="18" t="inlineStr">
        <is>
          <t>San Joaquin Valley Hvy</t>
        </is>
      </c>
      <c r="D563" s="18" t="inlineStr">
        <is>
          <t>United States</t>
        </is>
      </c>
      <c r="E563" s="18" t="n">
        <v>2024</v>
      </c>
      <c r="F563" s="37" t="n">
        <v>0.0252</v>
      </c>
    </row>
    <row r="564">
      <c r="A564" s="18" t="inlineStr">
        <is>
          <t>PBF_MARTINEZ</t>
        </is>
      </c>
      <c r="B564" s="18" t="n">
        <v>5</v>
      </c>
      <c r="C564" s="18" t="inlineStr">
        <is>
          <t>Sergipano Terra</t>
        </is>
      </c>
      <c r="D564" s="18" t="inlineStr">
        <is>
          <t>Brazil</t>
        </is>
      </c>
      <c r="E564" s="18" t="n">
        <v>2024</v>
      </c>
      <c r="F564" s="37" t="n">
        <v>0.0107</v>
      </c>
    </row>
    <row r="565">
      <c r="A565" s="18" t="inlineStr">
        <is>
          <t>PBF_MARTINEZ</t>
        </is>
      </c>
      <c r="B565" s="18" t="n">
        <v>5</v>
      </c>
      <c r="C565" s="18" t="inlineStr">
        <is>
          <t>Lloyd Blend</t>
        </is>
      </c>
      <c r="D565" s="18" t="inlineStr">
        <is>
          <t>United States</t>
        </is>
      </c>
      <c r="E565" s="18" t="n">
        <v>2024</v>
      </c>
      <c r="F565" s="37" t="n">
        <v>0.0092</v>
      </c>
    </row>
    <row r="566">
      <c r="A566" s="18" t="inlineStr">
        <is>
          <t>PBF_TORRANCE</t>
        </is>
      </c>
      <c r="B566" s="18" t="n">
        <v>5</v>
      </c>
      <c r="C566" s="18" t="inlineStr">
        <is>
          <t>San Joaquin Valley Hvy</t>
        </is>
      </c>
      <c r="D566" s="18" t="inlineStr">
        <is>
          <t>United States</t>
        </is>
      </c>
      <c r="E566" s="18" t="n">
        <v>2024</v>
      </c>
      <c r="F566" s="37" t="n">
        <v>0.386</v>
      </c>
    </row>
    <row r="567">
      <c r="A567" s="18" t="inlineStr">
        <is>
          <t>PBF_TORRANCE</t>
        </is>
      </c>
      <c r="B567" s="18" t="n">
        <v>5</v>
      </c>
      <c r="C567" s="18" t="inlineStr">
        <is>
          <t>San Joaquin Valley Lt</t>
        </is>
      </c>
      <c r="D567" s="18" t="inlineStr">
        <is>
          <t>United States</t>
        </is>
      </c>
      <c r="E567" s="18" t="n">
        <v>2024</v>
      </c>
      <c r="F567" s="37" t="n">
        <v>0.1802</v>
      </c>
    </row>
    <row r="568">
      <c r="A568" s="18" t="inlineStr">
        <is>
          <t>PBF_TORRANCE</t>
        </is>
      </c>
      <c r="B568" s="18" t="n">
        <v>5</v>
      </c>
      <c r="C568" s="18" t="inlineStr">
        <is>
          <t>Napo</t>
        </is>
      </c>
      <c r="D568" s="18" t="inlineStr">
        <is>
          <t>Ecuador</t>
        </is>
      </c>
      <c r="E568" s="18" t="n">
        <v>2024</v>
      </c>
      <c r="F568" s="37" t="n">
        <v>0.1111</v>
      </c>
    </row>
    <row r="569">
      <c r="A569" s="18" t="inlineStr">
        <is>
          <t>PBF_TORRANCE</t>
        </is>
      </c>
      <c r="B569" s="18" t="n">
        <v>5</v>
      </c>
      <c r="C569" s="18" t="inlineStr">
        <is>
          <t>Lula</t>
        </is>
      </c>
      <c r="D569" s="18" t="inlineStr">
        <is>
          <t>Brazil</t>
        </is>
      </c>
      <c r="E569" s="18" t="n">
        <v>2024</v>
      </c>
      <c r="F569" s="37" t="n">
        <v>0.0968</v>
      </c>
    </row>
    <row r="570">
      <c r="A570" s="18" t="inlineStr">
        <is>
          <t>PBF_TORRANCE</t>
        </is>
      </c>
      <c r="B570" s="18" t="n">
        <v>5</v>
      </c>
      <c r="C570" s="18" t="inlineStr">
        <is>
          <t>Sapinhoa</t>
        </is>
      </c>
      <c r="D570" s="18" t="inlineStr">
        <is>
          <t>Brazil</t>
        </is>
      </c>
      <c r="E570" s="18" t="n">
        <v>2024</v>
      </c>
      <c r="F570" s="37" t="n">
        <v>0.0944</v>
      </c>
    </row>
    <row r="571">
      <c r="A571" s="18" t="inlineStr">
        <is>
          <t>PBF_TORRANCE</t>
        </is>
      </c>
      <c r="B571" s="18" t="n">
        <v>5</v>
      </c>
      <c r="C571" s="18" t="inlineStr">
        <is>
          <t>Oriente</t>
        </is>
      </c>
      <c r="D571" s="18" t="inlineStr">
        <is>
          <t>Ecuador</t>
        </is>
      </c>
      <c r="E571" s="18" t="n">
        <v>2024</v>
      </c>
      <c r="F571" s="37" t="n">
        <v>0.0673</v>
      </c>
    </row>
    <row r="572">
      <c r="A572" s="18" t="inlineStr">
        <is>
          <t>PBF_TORRANCE</t>
        </is>
      </c>
      <c r="B572" s="18" t="n">
        <v>5</v>
      </c>
      <c r="C572" s="18" t="inlineStr">
        <is>
          <t>Marlim</t>
        </is>
      </c>
      <c r="D572" s="18" t="inlineStr">
        <is>
          <t>Brazil</t>
        </is>
      </c>
      <c r="E572" s="18" t="n">
        <v>2024</v>
      </c>
      <c r="F572" s="37" t="n">
        <v>0.0192</v>
      </c>
    </row>
    <row r="573">
      <c r="A573" s="18" t="inlineStr">
        <is>
          <t>PBF_TORRANCE</t>
        </is>
      </c>
      <c r="B573" s="18" t="n">
        <v>5</v>
      </c>
      <c r="C573" s="18" t="inlineStr">
        <is>
          <t>Loreto</t>
        </is>
      </c>
      <c r="D573" s="18" t="inlineStr">
        <is>
          <t>Peru</t>
        </is>
      </c>
      <c r="E573" s="18" t="n">
        <v>2024</v>
      </c>
      <c r="F573" s="37" t="n">
        <v>0.0143</v>
      </c>
    </row>
    <row r="574">
      <c r="A574" s="18" t="inlineStr">
        <is>
          <t>PBF_TORRANCE</t>
        </is>
      </c>
      <c r="B574" s="18" t="n">
        <v>5</v>
      </c>
      <c r="C574" s="18" t="inlineStr">
        <is>
          <t>Pt. Arguello</t>
        </is>
      </c>
      <c r="D574" s="18" t="inlineStr">
        <is>
          <t>United States</t>
        </is>
      </c>
      <c r="E574" s="18" t="n">
        <v>2024</v>
      </c>
      <c r="F574" s="37" t="n">
        <v>0.0127</v>
      </c>
    </row>
    <row r="575">
      <c r="A575" s="18" t="inlineStr">
        <is>
          <t>PBF_TORRANCE</t>
        </is>
      </c>
      <c r="B575" s="18" t="n">
        <v>5</v>
      </c>
      <c r="C575" s="18" t="inlineStr">
        <is>
          <t>Vasconia</t>
        </is>
      </c>
      <c r="D575" s="18" t="inlineStr">
        <is>
          <t>Colombia</t>
        </is>
      </c>
      <c r="E575" s="18" t="n">
        <v>2024</v>
      </c>
      <c r="F575" s="37" t="n">
        <v>0.0107</v>
      </c>
    </row>
    <row r="576">
      <c r="A576" s="18" t="inlineStr">
        <is>
          <t>PBF_TORRANCE</t>
        </is>
      </c>
      <c r="B576" s="18" t="n">
        <v>5</v>
      </c>
      <c r="C576" s="18" t="inlineStr">
        <is>
          <t>Cold Lake</t>
        </is>
      </c>
      <c r="D576" s="18" t="inlineStr">
        <is>
          <t>Canada (Oil Sands)</t>
        </is>
      </c>
      <c r="E576" s="18" t="n">
        <v>2024</v>
      </c>
      <c r="F576" s="37" t="n">
        <v>0.0033</v>
      </c>
    </row>
    <row r="577">
      <c r="A577" s="18" t="inlineStr">
        <is>
          <t>PBF_TORRANCE</t>
        </is>
      </c>
      <c r="B577" s="18" t="n">
        <v>5</v>
      </c>
      <c r="C577" s="18" t="inlineStr">
        <is>
          <t>Lloyd Blend</t>
        </is>
      </c>
      <c r="D577" s="18" t="inlineStr">
        <is>
          <t>United States</t>
        </is>
      </c>
      <c r="E577" s="18" t="n">
        <v>2024</v>
      </c>
      <c r="F577" s="37" t="n">
        <v>0.0032</v>
      </c>
    </row>
    <row r="578">
      <c r="A578" s="18" t="inlineStr">
        <is>
          <t>PBF_TORRANCE</t>
        </is>
      </c>
      <c r="B578" s="18" t="n">
        <v>5</v>
      </c>
      <c r="C578" s="18" t="inlineStr">
        <is>
          <t>Oil Sands Synthetic</t>
        </is>
      </c>
      <c r="D578" s="18" t="inlineStr">
        <is>
          <t>Canada (Oil Sands)</t>
        </is>
      </c>
      <c r="E578" s="18" t="n">
        <v>2024</v>
      </c>
      <c r="F578" s="37" t="n">
        <v>0.0008</v>
      </c>
    </row>
    <row r="579">
      <c r="A579" s="18" t="inlineStr">
        <is>
          <t>PETRO_NORTH_POLE</t>
        </is>
      </c>
      <c r="B579" s="18" t="n">
        <v>5</v>
      </c>
      <c r="C579" s="18" t="inlineStr">
        <is>
          <t>Alaska North Slope</t>
        </is>
      </c>
      <c r="D579" s="18" t="inlineStr">
        <is>
          <t>US (Alaska)</t>
        </is>
      </c>
      <c r="E579" s="18" t="n">
        <v>2014</v>
      </c>
      <c r="F579" s="37" t="n">
        <v>1</v>
      </c>
    </row>
    <row r="580">
      <c r="A580" s="18" t="inlineStr">
        <is>
          <t>PHILLIPS_FERNDALE</t>
        </is>
      </c>
      <c r="B580" s="18" t="n">
        <v>5</v>
      </c>
      <c r="C580" s="18" t="inlineStr">
        <is>
          <t>Oil Sands Synthetic</t>
        </is>
      </c>
      <c r="D580" s="18" t="inlineStr">
        <is>
          <t>Canada (Oil Sands)</t>
        </is>
      </c>
      <c r="E580" s="18" t="n">
        <v>2024</v>
      </c>
      <c r="F580" s="37" t="n">
        <v>0.6068</v>
      </c>
    </row>
    <row r="581">
      <c r="A581" s="18" t="inlineStr">
        <is>
          <t>PHILLIPS_FERNDALE</t>
        </is>
      </c>
      <c r="B581" s="18" t="n">
        <v>5</v>
      </c>
      <c r="C581" s="18" t="inlineStr">
        <is>
          <t>Bakken</t>
        </is>
      </c>
      <c r="D581" s="18" t="inlineStr">
        <is>
          <t>United States</t>
        </is>
      </c>
      <c r="E581" s="18" t="n">
        <v>2024</v>
      </c>
      <c r="F581" s="37" t="n">
        <v>0.1946</v>
      </c>
    </row>
    <row r="582">
      <c r="A582" s="18" t="inlineStr">
        <is>
          <t>PHILLIPS_FERNDALE</t>
        </is>
      </c>
      <c r="B582" s="18" t="n">
        <v>5</v>
      </c>
      <c r="C582" s="18" t="inlineStr">
        <is>
          <t>Alaska North Slope</t>
        </is>
      </c>
      <c r="D582" s="18" t="inlineStr">
        <is>
          <t>US (Alaska)</t>
        </is>
      </c>
      <c r="E582" s="18" t="n">
        <v>2024</v>
      </c>
      <c r="F582" s="37" t="n">
        <v>0.126</v>
      </c>
    </row>
    <row r="583">
      <c r="A583" s="18" t="inlineStr">
        <is>
          <t>PHILLIPS_FERNDALE</t>
        </is>
      </c>
      <c r="B583" s="18" t="n">
        <v>5</v>
      </c>
      <c r="C583" s="18" t="inlineStr">
        <is>
          <t>Tight Oil Argentina</t>
        </is>
      </c>
      <c r="D583" s="18" t="inlineStr">
        <is>
          <t>Argentina</t>
        </is>
      </c>
      <c r="E583" s="18" t="n">
        <v>2024</v>
      </c>
      <c r="F583" s="37" t="n">
        <v>0.0206</v>
      </c>
    </row>
    <row r="584">
      <c r="A584" s="18" t="inlineStr">
        <is>
          <t>PHILLIPS_FERNDALE</t>
        </is>
      </c>
      <c r="B584" s="18" t="n">
        <v>5</v>
      </c>
      <c r="C584" s="18" t="inlineStr">
        <is>
          <t>Western Canadian Select</t>
        </is>
      </c>
      <c r="D584" s="18" t="inlineStr">
        <is>
          <t>Canada</t>
        </is>
      </c>
      <c r="E584" s="18" t="n">
        <v>2024</v>
      </c>
      <c r="F584" s="37" t="n">
        <v>0.0204</v>
      </c>
    </row>
    <row r="585">
      <c r="A585" s="18" t="inlineStr">
        <is>
          <t>PHILLIPS_FERNDALE</t>
        </is>
      </c>
      <c r="B585" s="18" t="n">
        <v>5</v>
      </c>
      <c r="C585" s="18" t="inlineStr">
        <is>
          <t>Albian Heavy Synthetic</t>
        </is>
      </c>
      <c r="D585" s="18" t="inlineStr">
        <is>
          <t>Canada (Saskatchewan)</t>
        </is>
      </c>
      <c r="E585" s="18" t="n">
        <v>2024</v>
      </c>
      <c r="F585" s="37" t="n">
        <v>0.0168</v>
      </c>
    </row>
    <row r="586">
      <c r="A586" s="18" t="inlineStr">
        <is>
          <t>PHILLIPS_FERNDALE</t>
        </is>
      </c>
      <c r="B586" s="18" t="n">
        <v>5</v>
      </c>
      <c r="C586" s="18" t="inlineStr">
        <is>
          <t>Pembina</t>
        </is>
      </c>
      <c r="D586" s="18" t="inlineStr">
        <is>
          <t>Canada</t>
        </is>
      </c>
      <c r="E586" s="18" t="n">
        <v>2024</v>
      </c>
      <c r="F586" s="37" t="n">
        <v>0.0063</v>
      </c>
    </row>
    <row r="587">
      <c r="A587" s="18" t="inlineStr">
        <is>
          <t>PHILLIPS_FERNDALE</t>
        </is>
      </c>
      <c r="B587" s="18" t="n">
        <v>5</v>
      </c>
      <c r="C587" s="18" t="inlineStr">
        <is>
          <t>Domestic NGL British Columbia Canada</t>
        </is>
      </c>
      <c r="D587" s="18" t="inlineStr">
        <is>
          <t>Canada (British Columbia)</t>
        </is>
      </c>
      <c r="E587" s="18" t="n">
        <v>2024</v>
      </c>
      <c r="F587" s="37" t="n">
        <v>0.004500000000000001</v>
      </c>
    </row>
    <row r="588">
      <c r="A588" s="18" t="inlineStr">
        <is>
          <t>PHILLIPS_FERNDALE</t>
        </is>
      </c>
      <c r="B588" s="18" t="n">
        <v>5</v>
      </c>
      <c r="C588" s="18" t="inlineStr">
        <is>
          <t>Mixed Sweet Blend</t>
        </is>
      </c>
      <c r="D588" s="18" t="inlineStr">
        <is>
          <t>Canada</t>
        </is>
      </c>
      <c r="E588" s="18" t="n">
        <v>2024</v>
      </c>
      <c r="F588" s="37" t="n">
        <v>0.0036</v>
      </c>
    </row>
    <row r="589">
      <c r="A589" s="18" t="inlineStr">
        <is>
          <t>PHILLIPS_FERNDALE</t>
        </is>
      </c>
      <c r="B589" s="18" t="n">
        <v>5</v>
      </c>
      <c r="C589" s="18" t="inlineStr">
        <is>
          <t>Milk River</t>
        </is>
      </c>
      <c r="D589" s="18" t="inlineStr">
        <is>
          <t>Canada</t>
        </is>
      </c>
      <c r="E589" s="18" t="n">
        <v>2024</v>
      </c>
      <c r="F589" s="37" t="n">
        <v>0.0004</v>
      </c>
    </row>
    <row r="590">
      <c r="A590" s="18" t="inlineStr">
        <is>
          <t>PHILLIPS_LOS_ANGELES</t>
        </is>
      </c>
      <c r="B590" s="18" t="n">
        <v>5</v>
      </c>
      <c r="C590" s="18" t="inlineStr">
        <is>
          <t>Alaska North Slope</t>
        </is>
      </c>
      <c r="D590" s="18" t="inlineStr">
        <is>
          <t>US (Alaska)</t>
        </is>
      </c>
      <c r="E590" s="18" t="n">
        <v>2024</v>
      </c>
      <c r="F590" s="37" t="n">
        <v>0.2002</v>
      </c>
    </row>
    <row r="591">
      <c r="A591" s="18" t="inlineStr">
        <is>
          <t>PHILLIPS_LOS_ANGELES</t>
        </is>
      </c>
      <c r="B591" s="18" t="n">
        <v>5</v>
      </c>
      <c r="C591" s="18" t="inlineStr">
        <is>
          <t>Wilmington/THUMS</t>
        </is>
      </c>
      <c r="D591" s="18" t="inlineStr">
        <is>
          <t>United States</t>
        </is>
      </c>
      <c r="E591" s="18" t="n">
        <v>2024</v>
      </c>
      <c r="F591" s="37" t="n">
        <v>0.194</v>
      </c>
    </row>
    <row r="592">
      <c r="A592" s="18" t="inlineStr">
        <is>
          <t>PHILLIPS_LOS_ANGELES</t>
        </is>
      </c>
      <c r="B592" s="18" t="n">
        <v>5</v>
      </c>
      <c r="C592" s="18" t="inlineStr">
        <is>
          <t>Isthmus</t>
        </is>
      </c>
      <c r="D592" s="18" t="inlineStr">
        <is>
          <t>Mexico</t>
        </is>
      </c>
      <c r="E592" s="18" t="n">
        <v>2024</v>
      </c>
      <c r="F592" s="37" t="n">
        <v>0.0992</v>
      </c>
    </row>
    <row r="593">
      <c r="A593" s="18" t="inlineStr">
        <is>
          <t>PHILLIPS_LOS_ANGELES</t>
        </is>
      </c>
      <c r="B593" s="18" t="n">
        <v>5</v>
      </c>
      <c r="C593" s="18" t="inlineStr">
        <is>
          <t>Liza-Payara</t>
        </is>
      </c>
      <c r="D593" s="18" t="inlineStr">
        <is>
          <t>Guyana</t>
        </is>
      </c>
      <c r="E593" s="18" t="n">
        <v>2024</v>
      </c>
      <c r="F593" s="37" t="n">
        <v>0.0915</v>
      </c>
    </row>
    <row r="594">
      <c r="A594" s="18" t="inlineStr">
        <is>
          <t>PHILLIPS_LOS_ANGELES</t>
        </is>
      </c>
      <c r="B594" s="18" t="n">
        <v>5</v>
      </c>
      <c r="C594" s="18" t="inlineStr">
        <is>
          <t>Cold Lake</t>
        </is>
      </c>
      <c r="D594" s="18" t="inlineStr">
        <is>
          <t>Canada (Oil Sands)</t>
        </is>
      </c>
      <c r="E594" s="18" t="n">
        <v>2024</v>
      </c>
      <c r="F594" s="37" t="n">
        <v>0.079</v>
      </c>
    </row>
    <row r="595">
      <c r="A595" s="18" t="inlineStr">
        <is>
          <t>PHILLIPS_LOS_ANGELES</t>
        </is>
      </c>
      <c r="B595" s="18" t="n">
        <v>5</v>
      </c>
      <c r="C595" s="18" t="inlineStr">
        <is>
          <t>San Joaquin Valley Lt</t>
        </is>
      </c>
      <c r="D595" s="18" t="inlineStr">
        <is>
          <t>United States</t>
        </is>
      </c>
      <c r="E595" s="18" t="n">
        <v>2024</v>
      </c>
      <c r="F595" s="37" t="n">
        <v>0.07829999999999999</v>
      </c>
    </row>
    <row r="596">
      <c r="A596" s="18" t="inlineStr">
        <is>
          <t>PHILLIPS_LOS_ANGELES</t>
        </is>
      </c>
      <c r="B596" s="18" t="n">
        <v>5</v>
      </c>
      <c r="C596" s="18" t="inlineStr">
        <is>
          <t>Marlim</t>
        </is>
      </c>
      <c r="D596" s="18" t="inlineStr">
        <is>
          <t>Brazil</t>
        </is>
      </c>
      <c r="E596" s="18" t="n">
        <v>2024</v>
      </c>
      <c r="F596" s="37" t="n">
        <v>0.0528</v>
      </c>
    </row>
    <row r="597">
      <c r="A597" s="18" t="inlineStr">
        <is>
          <t>PHILLIPS_LOS_ANGELES</t>
        </is>
      </c>
      <c r="B597" s="18" t="n">
        <v>5</v>
      </c>
      <c r="C597" s="18" t="inlineStr">
        <is>
          <t>Cat Canyon</t>
        </is>
      </c>
      <c r="D597" s="18" t="inlineStr">
        <is>
          <t>United States</t>
        </is>
      </c>
      <c r="E597" s="18" t="n">
        <v>2024</v>
      </c>
      <c r="F597" s="37" t="n">
        <v>0.0496</v>
      </c>
    </row>
    <row r="598">
      <c r="A598" s="18" t="inlineStr">
        <is>
          <t>PHILLIPS_LOS_ANGELES</t>
        </is>
      </c>
      <c r="B598" s="18" t="n">
        <v>5</v>
      </c>
      <c r="C598" s="18" t="inlineStr">
        <is>
          <t>Oil Sands Synthetic</t>
        </is>
      </c>
      <c r="D598" s="18" t="inlineStr">
        <is>
          <t>Canada (Oil Sands)</t>
        </is>
      </c>
      <c r="E598" s="18" t="n">
        <v>2024</v>
      </c>
      <c r="F598" s="37" t="n">
        <v>0.0495</v>
      </c>
    </row>
    <row r="599">
      <c r="A599" s="18" t="inlineStr">
        <is>
          <t>PHILLIPS_LOS_ANGELES</t>
        </is>
      </c>
      <c r="B599" s="18" t="n">
        <v>5</v>
      </c>
      <c r="C599" s="18" t="inlineStr">
        <is>
          <t>Lula</t>
        </is>
      </c>
      <c r="D599" s="18" t="inlineStr">
        <is>
          <t>Brazil</t>
        </is>
      </c>
      <c r="E599" s="18" t="n">
        <v>2024</v>
      </c>
      <c r="F599" s="37" t="n">
        <v>0.0316</v>
      </c>
    </row>
    <row r="600">
      <c r="A600" s="18" t="inlineStr">
        <is>
          <t>PHILLIPS_LOS_ANGELES</t>
        </is>
      </c>
      <c r="B600" s="18" t="n">
        <v>5</v>
      </c>
      <c r="C600" s="18" t="inlineStr">
        <is>
          <t>Oriente</t>
        </is>
      </c>
      <c r="D600" s="18" t="inlineStr">
        <is>
          <t>Ecuador</t>
        </is>
      </c>
      <c r="E600" s="18" t="n">
        <v>2024</v>
      </c>
      <c r="F600" s="37" t="n">
        <v>0.0208</v>
      </c>
    </row>
    <row r="601">
      <c r="A601" s="18" t="inlineStr">
        <is>
          <t>PHILLIPS_LOS_ANGELES</t>
        </is>
      </c>
      <c r="B601" s="18" t="n">
        <v>5</v>
      </c>
      <c r="C601" s="18" t="inlineStr">
        <is>
          <t>Basrah Medium</t>
        </is>
      </c>
      <c r="D601" s="18" t="inlineStr">
        <is>
          <t>Iraq</t>
        </is>
      </c>
      <c r="E601" s="18" t="n">
        <v>2024</v>
      </c>
      <c r="F601" s="37" t="n">
        <v>0.0108</v>
      </c>
    </row>
    <row r="602">
      <c r="A602" s="18" t="inlineStr">
        <is>
          <t>PHILLIPS_LOS_ANGELES</t>
        </is>
      </c>
      <c r="B602" s="18" t="n">
        <v>5</v>
      </c>
      <c r="C602" s="18" t="inlineStr">
        <is>
          <t>Western Canadian Select</t>
        </is>
      </c>
      <c r="D602" s="18" t="inlineStr">
        <is>
          <t>Canada</t>
        </is>
      </c>
      <c r="E602" s="18" t="n">
        <v>2024</v>
      </c>
      <c r="F602" s="37" t="n">
        <v>0.0106</v>
      </c>
    </row>
    <row r="603">
      <c r="A603" s="18" t="inlineStr">
        <is>
          <t>PHILLIPS_LOS_ANGELES</t>
        </is>
      </c>
      <c r="B603" s="18" t="n">
        <v>5</v>
      </c>
      <c r="C603" s="18" t="inlineStr">
        <is>
          <t>Sergipano Terra</t>
        </is>
      </c>
      <c r="D603" s="18" t="inlineStr">
        <is>
          <t>Brazil</t>
        </is>
      </c>
      <c r="E603" s="18" t="n">
        <v>2024</v>
      </c>
      <c r="F603" s="37" t="n">
        <v>0.0105</v>
      </c>
    </row>
    <row r="604">
      <c r="A604" s="18" t="inlineStr">
        <is>
          <t>PHILLIPS_LOS_ANGELES</t>
        </is>
      </c>
      <c r="B604" s="18" t="n">
        <v>5</v>
      </c>
      <c r="C604" s="18" t="inlineStr">
        <is>
          <t>Olmeca</t>
        </is>
      </c>
      <c r="D604" s="18" t="inlineStr">
        <is>
          <t>Mexico</t>
        </is>
      </c>
      <c r="E604" s="18" t="n">
        <v>2024</v>
      </c>
      <c r="F604" s="37" t="n">
        <v>0.008399999999999999</v>
      </c>
    </row>
    <row r="605">
      <c r="A605" s="18" t="inlineStr">
        <is>
          <t>PHILLIPS_LOS_ANGELES</t>
        </is>
      </c>
      <c r="B605" s="18" t="n">
        <v>5</v>
      </c>
      <c r="C605" s="18" t="inlineStr">
        <is>
          <t>Napo</t>
        </is>
      </c>
      <c r="D605" s="18" t="inlineStr">
        <is>
          <t>Ecuador</t>
        </is>
      </c>
      <c r="E605" s="18" t="n">
        <v>2024</v>
      </c>
      <c r="F605" s="37" t="n">
        <v>0.0074</v>
      </c>
    </row>
    <row r="606">
      <c r="A606" s="18" t="inlineStr">
        <is>
          <t>PHILLIPS_LOS_ANGELES</t>
        </is>
      </c>
      <c r="B606" s="18" t="n">
        <v>5</v>
      </c>
      <c r="C606" s="18" t="inlineStr">
        <is>
          <t>Cano Limon</t>
        </is>
      </c>
      <c r="D606" s="18" t="inlineStr">
        <is>
          <t>Colombia</t>
        </is>
      </c>
      <c r="E606" s="18" t="n">
        <v>2024</v>
      </c>
      <c r="F606" s="37" t="n">
        <v>0.0058</v>
      </c>
    </row>
    <row r="607">
      <c r="A607" s="18" t="inlineStr">
        <is>
          <t>VALERO_BENICIA</t>
        </is>
      </c>
      <c r="B607" s="18" t="n">
        <v>5</v>
      </c>
      <c r="C607" s="18" t="inlineStr">
        <is>
          <t>San Joaquin Valley Lt</t>
        </is>
      </c>
      <c r="D607" s="18" t="inlineStr">
        <is>
          <t>United States</t>
        </is>
      </c>
      <c r="E607" s="18" t="n">
        <v>2024</v>
      </c>
      <c r="F607" s="37" t="n">
        <v>0.2622</v>
      </c>
    </row>
    <row r="608">
      <c r="A608" s="18" t="inlineStr">
        <is>
          <t>VALERO_BENICIA</t>
        </is>
      </c>
      <c r="B608" s="18" t="n">
        <v>5</v>
      </c>
      <c r="C608" s="18" t="inlineStr">
        <is>
          <t>Domestic Oil Onshore Brazil</t>
        </is>
      </c>
      <c r="D608" s="18" t="inlineStr">
        <is>
          <t>Brazil</t>
        </is>
      </c>
      <c r="E608" s="18" t="n">
        <v>2024</v>
      </c>
      <c r="F608" s="37" t="n">
        <v>0.118</v>
      </c>
    </row>
    <row r="609">
      <c r="A609" s="18" t="inlineStr">
        <is>
          <t>VALERO_BENICIA</t>
        </is>
      </c>
      <c r="B609" s="18" t="n">
        <v>5</v>
      </c>
      <c r="C609" s="18" t="inlineStr">
        <is>
          <t>Lula</t>
        </is>
      </c>
      <c r="D609" s="18" t="inlineStr">
        <is>
          <t>Brazil</t>
        </is>
      </c>
      <c r="E609" s="18" t="n">
        <v>2024</v>
      </c>
      <c r="F609" s="37" t="n">
        <v>0.1002</v>
      </c>
    </row>
    <row r="610">
      <c r="A610" s="18" t="inlineStr">
        <is>
          <t>VALERO_BENICIA</t>
        </is>
      </c>
      <c r="B610" s="18" t="n">
        <v>5</v>
      </c>
      <c r="C610" s="18" t="inlineStr">
        <is>
          <t>San Joaquin Valley Hvy</t>
        </is>
      </c>
      <c r="D610" s="18" t="inlineStr">
        <is>
          <t>United States</t>
        </is>
      </c>
      <c r="E610" s="18" t="n">
        <v>2024</v>
      </c>
      <c r="F610" s="37" t="n">
        <v>0.09519999999999999</v>
      </c>
    </row>
    <row r="611">
      <c r="A611" s="18" t="inlineStr">
        <is>
          <t>VALERO_BENICIA</t>
        </is>
      </c>
      <c r="B611" s="18" t="n">
        <v>5</v>
      </c>
      <c r="C611" s="18" t="inlineStr">
        <is>
          <t>Alaska North Slope</t>
        </is>
      </c>
      <c r="D611" s="18" t="inlineStr">
        <is>
          <t>US (Alaska)</t>
        </is>
      </c>
      <c r="E611" s="18" t="n">
        <v>2024</v>
      </c>
      <c r="F611" s="37" t="n">
        <v>0.0843</v>
      </c>
    </row>
    <row r="612">
      <c r="A612" s="18" t="inlineStr">
        <is>
          <t>VALERO_BENICIA</t>
        </is>
      </c>
      <c r="B612" s="18" t="n">
        <v>5</v>
      </c>
      <c r="C612" s="18" t="inlineStr">
        <is>
          <t>Cold Lake</t>
        </is>
      </c>
      <c r="D612" s="18" t="inlineStr">
        <is>
          <t>Canada (Oil Sands)</t>
        </is>
      </c>
      <c r="E612" s="18" t="n">
        <v>2024</v>
      </c>
      <c r="F612" s="37" t="n">
        <v>0.0496</v>
      </c>
    </row>
    <row r="613">
      <c r="A613" s="18" t="inlineStr">
        <is>
          <t>VALERO_BENICIA</t>
        </is>
      </c>
      <c r="B613" s="18" t="n">
        <v>5</v>
      </c>
      <c r="C613" s="18" t="inlineStr">
        <is>
          <t>Oil Sands Synthetic</t>
        </is>
      </c>
      <c r="D613" s="18" t="inlineStr">
        <is>
          <t>Canada (Oil Sands)</t>
        </is>
      </c>
      <c r="E613" s="18" t="n">
        <v>2024</v>
      </c>
      <c r="F613" s="37" t="n">
        <v>0.04099999999999999</v>
      </c>
    </row>
    <row r="614">
      <c r="A614" s="18" t="inlineStr">
        <is>
          <t>VALERO_BENICIA</t>
        </is>
      </c>
      <c r="B614" s="18" t="n">
        <v>5</v>
      </c>
      <c r="C614" s="18" t="inlineStr">
        <is>
          <t>Western Canadian Select</t>
        </is>
      </c>
      <c r="D614" s="18" t="inlineStr">
        <is>
          <t>Canada</t>
        </is>
      </c>
      <c r="E614" s="18" t="n">
        <v>2024</v>
      </c>
      <c r="F614" s="37" t="n">
        <v>0.04019999999999999</v>
      </c>
    </row>
    <row r="615">
      <c r="A615" s="18" t="inlineStr">
        <is>
          <t>VALERO_BENICIA</t>
        </is>
      </c>
      <c r="B615" s="18" t="n">
        <v>5</v>
      </c>
      <c r="C615" s="18" t="inlineStr">
        <is>
          <t>Basrah Medium</t>
        </is>
      </c>
      <c r="D615" s="18" t="inlineStr">
        <is>
          <t>Iraq</t>
        </is>
      </c>
      <c r="E615" s="18" t="n">
        <v>2024</v>
      </c>
      <c r="F615" s="37" t="n">
        <v>0.0359</v>
      </c>
    </row>
    <row r="616">
      <c r="A616" s="18" t="inlineStr">
        <is>
          <t>VALERO_BENICIA</t>
        </is>
      </c>
      <c r="B616" s="18" t="n">
        <v>5</v>
      </c>
      <c r="C616" s="18" t="inlineStr">
        <is>
          <t>Tight Oil Argentina</t>
        </is>
      </c>
      <c r="D616" s="18" t="inlineStr">
        <is>
          <t>Argentina</t>
        </is>
      </c>
      <c r="E616" s="18" t="n">
        <v>2024</v>
      </c>
      <c r="F616" s="37" t="n">
        <v>0.0319</v>
      </c>
    </row>
    <row r="617">
      <c r="A617" s="18" t="inlineStr">
        <is>
          <t>VALERO_BENICIA</t>
        </is>
      </c>
      <c r="B617" s="18" t="n">
        <v>5</v>
      </c>
      <c r="C617" s="18" t="inlineStr">
        <is>
          <t>Liza-Payara</t>
        </is>
      </c>
      <c r="D617" s="18" t="inlineStr">
        <is>
          <t>Guyana</t>
        </is>
      </c>
      <c r="E617" s="18" t="n">
        <v>2024</v>
      </c>
      <c r="F617" s="37" t="n">
        <v>0.0311</v>
      </c>
    </row>
    <row r="618">
      <c r="A618" s="18" t="inlineStr">
        <is>
          <t>VALERO_BENICIA</t>
        </is>
      </c>
      <c r="B618" s="18" t="n">
        <v>5</v>
      </c>
      <c r="C618" s="18" t="inlineStr">
        <is>
          <t>Lloyd Blend</t>
        </is>
      </c>
      <c r="D618" s="18" t="inlineStr">
        <is>
          <t>United States</t>
        </is>
      </c>
      <c r="E618" s="18" t="n">
        <v>2024</v>
      </c>
      <c r="F618" s="37" t="n">
        <v>0.0222</v>
      </c>
    </row>
    <row r="619">
      <c r="A619" s="18" t="inlineStr">
        <is>
          <t>VALERO_BENICIA</t>
        </is>
      </c>
      <c r="B619" s="18" t="n">
        <v>5</v>
      </c>
      <c r="C619" s="18" t="inlineStr">
        <is>
          <t>Napo</t>
        </is>
      </c>
      <c r="D619" s="18" t="inlineStr">
        <is>
          <t>Ecuador</t>
        </is>
      </c>
      <c r="E619" s="18" t="n">
        <v>2024</v>
      </c>
      <c r="F619" s="37" t="n">
        <v>0.0162</v>
      </c>
    </row>
    <row r="620">
      <c r="A620" s="18" t="inlineStr">
        <is>
          <t>VALERO_BENICIA</t>
        </is>
      </c>
      <c r="B620" s="18" t="n">
        <v>5</v>
      </c>
      <c r="C620" s="18" t="inlineStr">
        <is>
          <t>Marlim</t>
        </is>
      </c>
      <c r="D620" s="18" t="inlineStr">
        <is>
          <t>Brazil</t>
        </is>
      </c>
      <c r="E620" s="18" t="n">
        <v>2024</v>
      </c>
      <c r="F620" s="37" t="n">
        <v>0.0155</v>
      </c>
    </row>
    <row r="621">
      <c r="A621" s="18" t="inlineStr">
        <is>
          <t>VALERO_BENICIA</t>
        </is>
      </c>
      <c r="B621" s="18" t="n">
        <v>5</v>
      </c>
      <c r="C621" s="18" t="inlineStr">
        <is>
          <t>Castilla</t>
        </is>
      </c>
      <c r="D621" s="18" t="inlineStr">
        <is>
          <t>Colombia</t>
        </is>
      </c>
      <c r="E621" s="18" t="n">
        <v>2024</v>
      </c>
      <c r="F621" s="37" t="n">
        <v>0.0144</v>
      </c>
    </row>
    <row r="622">
      <c r="A622" s="18" t="inlineStr">
        <is>
          <t>VALERO_BENICIA</t>
        </is>
      </c>
      <c r="B622" s="18" t="n">
        <v>5</v>
      </c>
      <c r="C622" s="18" t="inlineStr">
        <is>
          <t>Mixed Sweet Blend</t>
        </is>
      </c>
      <c r="D622" s="18" t="inlineStr">
        <is>
          <t>Canada</t>
        </is>
      </c>
      <c r="E622" s="18" t="n">
        <v>2024</v>
      </c>
      <c r="F622" s="37" t="n">
        <v>0.0111</v>
      </c>
    </row>
    <row r="623">
      <c r="A623" s="18" t="inlineStr">
        <is>
          <t>VALERO_BENICIA</t>
        </is>
      </c>
      <c r="B623" s="18" t="n">
        <v>5</v>
      </c>
      <c r="C623" s="18" t="inlineStr">
        <is>
          <t>Sergipano Terra</t>
        </is>
      </c>
      <c r="D623" s="18" t="inlineStr">
        <is>
          <t>Brazil</t>
        </is>
      </c>
      <c r="E623" s="18" t="n">
        <v>2024</v>
      </c>
      <c r="F623" s="37" t="n">
        <v>0.0074</v>
      </c>
    </row>
    <row r="624">
      <c r="A624" s="18" t="inlineStr">
        <is>
          <t>VALERO_BENICIA</t>
        </is>
      </c>
      <c r="B624" s="18" t="n">
        <v>5</v>
      </c>
      <c r="C624" s="18" t="inlineStr">
        <is>
          <t>Wabasca</t>
        </is>
      </c>
      <c r="D624" s="18" t="inlineStr">
        <is>
          <t>Canada</t>
        </is>
      </c>
      <c r="E624" s="18" t="n">
        <v>2024</v>
      </c>
      <c r="F624" s="37" t="n">
        <v>0.0074</v>
      </c>
    </row>
    <row r="625">
      <c r="A625" s="18" t="inlineStr">
        <is>
          <t>VALERO_BENICIA</t>
        </is>
      </c>
      <c r="B625" s="18" t="n">
        <v>5</v>
      </c>
      <c r="C625" s="18" t="inlineStr">
        <is>
          <t>Domestic NGL British Columbia Canada</t>
        </is>
      </c>
      <c r="D625" s="18" t="inlineStr">
        <is>
          <t>Canada (British Columbia)</t>
        </is>
      </c>
      <c r="E625" s="18" t="n">
        <v>2024</v>
      </c>
      <c r="F625" s="37" t="n">
        <v>0.0066</v>
      </c>
    </row>
    <row r="626">
      <c r="A626" s="18" t="inlineStr">
        <is>
          <t>VALERO_BENICIA</t>
        </is>
      </c>
      <c r="B626" s="18" t="n">
        <v>5</v>
      </c>
      <c r="C626" s="18" t="inlineStr">
        <is>
          <t>Buzios</t>
        </is>
      </c>
      <c r="D626" s="18" t="inlineStr">
        <is>
          <t>Brazil</t>
        </is>
      </c>
      <c r="E626" s="18" t="n">
        <v>2024</v>
      </c>
      <c r="F626" s="37" t="n">
        <v>0.0059</v>
      </c>
    </row>
    <row r="627">
      <c r="A627" s="18" t="inlineStr">
        <is>
          <t>VALERO_BENICIA</t>
        </is>
      </c>
      <c r="B627" s="18" t="n">
        <v>5</v>
      </c>
      <c r="C627" s="18" t="inlineStr">
        <is>
          <t>South Blend</t>
        </is>
      </c>
      <c r="D627" s="18" t="inlineStr">
        <is>
          <t>Colombia</t>
        </is>
      </c>
      <c r="E627" s="18" t="n">
        <v>2024</v>
      </c>
      <c r="F627" s="37" t="n">
        <v>0.0037</v>
      </c>
    </row>
    <row r="628">
      <c r="A628" s="18" t="inlineStr">
        <is>
          <t>VALERO_LOS_ANGELES</t>
        </is>
      </c>
      <c r="B628" s="18" t="n">
        <v>5</v>
      </c>
      <c r="C628" s="18" t="inlineStr">
        <is>
          <t>Lula</t>
        </is>
      </c>
      <c r="D628" s="18" t="inlineStr">
        <is>
          <t>Brazil</t>
        </is>
      </c>
      <c r="E628" s="18" t="n">
        <v>2024</v>
      </c>
      <c r="F628" s="37" t="n">
        <v>0.1276</v>
      </c>
    </row>
    <row r="629">
      <c r="A629" s="18" t="inlineStr">
        <is>
          <t>VALERO_LOS_ANGELES</t>
        </is>
      </c>
      <c r="B629" s="18" t="n">
        <v>5</v>
      </c>
      <c r="C629" s="18" t="inlineStr">
        <is>
          <t>Cold Lake</t>
        </is>
      </c>
      <c r="D629" s="18" t="inlineStr">
        <is>
          <t>Canada (Oil Sands)</t>
        </is>
      </c>
      <c r="E629" s="18" t="n">
        <v>2024</v>
      </c>
      <c r="F629" s="37" t="n">
        <v>0.1049</v>
      </c>
    </row>
    <row r="630">
      <c r="A630" s="18" t="inlineStr">
        <is>
          <t>VALERO_LOS_ANGELES</t>
        </is>
      </c>
      <c r="B630" s="18" t="n">
        <v>5</v>
      </c>
      <c r="C630" s="18" t="inlineStr">
        <is>
          <t>Sapinhoa</t>
        </is>
      </c>
      <c r="D630" s="18" t="inlineStr">
        <is>
          <t>Brazil</t>
        </is>
      </c>
      <c r="E630" s="18" t="n">
        <v>2024</v>
      </c>
      <c r="F630" s="37" t="n">
        <v>0.09539999999999998</v>
      </c>
    </row>
    <row r="631">
      <c r="A631" s="18" t="inlineStr">
        <is>
          <t>VALERO_LOS_ANGELES</t>
        </is>
      </c>
      <c r="B631" s="18" t="n">
        <v>5</v>
      </c>
      <c r="C631" s="18" t="inlineStr">
        <is>
          <t>Basrah Medium</t>
        </is>
      </c>
      <c r="D631" s="18" t="inlineStr">
        <is>
          <t>Iraq</t>
        </is>
      </c>
      <c r="E631" s="18" t="n">
        <v>2024</v>
      </c>
      <c r="F631" s="37" t="n">
        <v>0.08990000000000001</v>
      </c>
    </row>
    <row r="632">
      <c r="A632" s="18" t="inlineStr">
        <is>
          <t>VALERO_LOS_ANGELES</t>
        </is>
      </c>
      <c r="B632" s="18" t="n">
        <v>5</v>
      </c>
      <c r="C632" s="18" t="inlineStr">
        <is>
          <t>CPC (Augusta)</t>
        </is>
      </c>
      <c r="D632" s="18" t="inlineStr">
        <is>
          <t>Kazakhstan</t>
        </is>
      </c>
      <c r="E632" s="18" t="n">
        <v>2024</v>
      </c>
      <c r="F632" s="37" t="n">
        <v>0.0697</v>
      </c>
    </row>
    <row r="633">
      <c r="A633" s="18" t="inlineStr">
        <is>
          <t>VALERO_LOS_ANGELES</t>
        </is>
      </c>
      <c r="B633" s="18" t="n">
        <v>5</v>
      </c>
      <c r="C633" s="18" t="inlineStr">
        <is>
          <t>Oil Sands Synthetic</t>
        </is>
      </c>
      <c r="D633" s="18" t="inlineStr">
        <is>
          <t>Canada (Oil Sands)</t>
        </is>
      </c>
      <c r="E633" s="18" t="n">
        <v>2024</v>
      </c>
      <c r="F633" s="37" t="n">
        <v>0.0696</v>
      </c>
    </row>
    <row r="634">
      <c r="A634" s="18" t="inlineStr">
        <is>
          <t>VALERO_LOS_ANGELES</t>
        </is>
      </c>
      <c r="B634" s="18" t="n">
        <v>5</v>
      </c>
      <c r="C634" s="18" t="inlineStr">
        <is>
          <t>Alaska North Slope</t>
        </is>
      </c>
      <c r="D634" s="18" t="inlineStr">
        <is>
          <t>US (Alaska)</t>
        </is>
      </c>
      <c r="E634" s="18" t="n">
        <v>2024</v>
      </c>
      <c r="F634" s="37" t="n">
        <v>0.06849999999999999</v>
      </c>
    </row>
    <row r="635">
      <c r="A635" s="18" t="inlineStr">
        <is>
          <t>VALERO_LOS_ANGELES</t>
        </is>
      </c>
      <c r="B635" s="18" t="n">
        <v>5</v>
      </c>
      <c r="C635" s="18" t="inlineStr">
        <is>
          <t>Napo</t>
        </is>
      </c>
      <c r="D635" s="18" t="inlineStr">
        <is>
          <t>Ecuador</t>
        </is>
      </c>
      <c r="E635" s="18" t="n">
        <v>2024</v>
      </c>
      <c r="F635" s="37" t="n">
        <v>0.06320000000000001</v>
      </c>
    </row>
    <row r="636">
      <c r="A636" s="18" t="inlineStr">
        <is>
          <t>VALERO_LOS_ANGELES</t>
        </is>
      </c>
      <c r="B636" s="18" t="n">
        <v>5</v>
      </c>
      <c r="C636" s="18" t="inlineStr">
        <is>
          <t>LA Basin Light</t>
        </is>
      </c>
      <c r="D636" s="18" t="inlineStr">
        <is>
          <t>United States</t>
        </is>
      </c>
      <c r="E636" s="18" t="n">
        <v>2024</v>
      </c>
      <c r="F636" s="37" t="n">
        <v>0.061</v>
      </c>
    </row>
    <row r="637">
      <c r="A637" s="18" t="inlineStr">
        <is>
          <t>VALERO_LOS_ANGELES</t>
        </is>
      </c>
      <c r="B637" s="18" t="n">
        <v>5</v>
      </c>
      <c r="C637" s="18" t="inlineStr">
        <is>
          <t>Tight Oil Argentina</t>
        </is>
      </c>
      <c r="D637" s="18" t="inlineStr">
        <is>
          <t>Argentina</t>
        </is>
      </c>
      <c r="E637" s="18" t="n">
        <v>2024</v>
      </c>
      <c r="F637" s="37" t="n">
        <v>0.0351</v>
      </c>
    </row>
    <row r="638">
      <c r="A638" s="18" t="inlineStr">
        <is>
          <t>VALERO_LOS_ANGELES</t>
        </is>
      </c>
      <c r="B638" s="18" t="n">
        <v>5</v>
      </c>
      <c r="C638" s="18" t="inlineStr">
        <is>
          <t>Kirkuk Blend</t>
        </is>
      </c>
      <c r="D638" s="18" t="inlineStr">
        <is>
          <t>Iraq</t>
        </is>
      </c>
      <c r="E638" s="18" t="n">
        <v>2024</v>
      </c>
      <c r="F638" s="37" t="n">
        <v>0.0333</v>
      </c>
    </row>
    <row r="639">
      <c r="A639" s="18" t="inlineStr">
        <is>
          <t>VALERO_LOS_ANGELES</t>
        </is>
      </c>
      <c r="B639" s="18" t="n">
        <v>5</v>
      </c>
      <c r="C639" s="18" t="inlineStr">
        <is>
          <t>San Joaquin Valley Hvy</t>
        </is>
      </c>
      <c r="D639" s="18" t="inlineStr">
        <is>
          <t>United States</t>
        </is>
      </c>
      <c r="E639" s="18" t="n">
        <v>2024</v>
      </c>
      <c r="F639" s="37" t="n">
        <v>0.03240000000000001</v>
      </c>
    </row>
    <row r="640">
      <c r="A640" s="18" t="inlineStr">
        <is>
          <t>VALERO_LOS_ANGELES</t>
        </is>
      </c>
      <c r="B640" s="18" t="n">
        <v>5</v>
      </c>
      <c r="C640" s="18" t="inlineStr">
        <is>
          <t>Liza-Payara</t>
        </is>
      </c>
      <c r="D640" s="18" t="inlineStr">
        <is>
          <t>Guyana</t>
        </is>
      </c>
      <c r="E640" s="18" t="n">
        <v>2024</v>
      </c>
      <c r="F640" s="37" t="n">
        <v>0.0317</v>
      </c>
    </row>
    <row r="641">
      <c r="A641" s="18" t="inlineStr">
        <is>
          <t>VALERO_LOS_ANGELES</t>
        </is>
      </c>
      <c r="B641" s="18" t="n">
        <v>5</v>
      </c>
      <c r="C641" s="18" t="inlineStr">
        <is>
          <t>Western Canadian Select</t>
        </is>
      </c>
      <c r="D641" s="18" t="inlineStr">
        <is>
          <t>Canada</t>
        </is>
      </c>
      <c r="E641" s="18" t="n">
        <v>2024</v>
      </c>
      <c r="F641" s="37" t="n">
        <v>0.0265</v>
      </c>
    </row>
    <row r="642">
      <c r="A642" s="18" t="inlineStr">
        <is>
          <t>VALERO_LOS_ANGELES</t>
        </is>
      </c>
      <c r="B642" s="18" t="n">
        <v>5</v>
      </c>
      <c r="C642" s="18" t="inlineStr">
        <is>
          <t>Domestic Oil Other Argentina</t>
        </is>
      </c>
      <c r="D642" s="18" t="inlineStr">
        <is>
          <t>Argentina</t>
        </is>
      </c>
      <c r="E642" s="18" t="n">
        <v>2024</v>
      </c>
      <c r="F642" s="37" t="n">
        <v>0.0199</v>
      </c>
    </row>
    <row r="643">
      <c r="A643" s="18" t="inlineStr">
        <is>
          <t>VALERO_LOS_ANGELES</t>
        </is>
      </c>
      <c r="B643" s="18" t="n">
        <v>5</v>
      </c>
      <c r="C643" s="18" t="inlineStr">
        <is>
          <t>Oriente</t>
        </is>
      </c>
      <c r="D643" s="18" t="inlineStr">
        <is>
          <t>Ecuador</t>
        </is>
      </c>
      <c r="E643" s="18" t="n">
        <v>2024</v>
      </c>
      <c r="F643" s="37" t="n">
        <v>0.0196</v>
      </c>
    </row>
    <row r="644">
      <c r="A644" s="18" t="inlineStr">
        <is>
          <t>VALERO_LOS_ANGELES</t>
        </is>
      </c>
      <c r="B644" s="18" t="n">
        <v>5</v>
      </c>
      <c r="C644" s="18" t="inlineStr">
        <is>
          <t>Marlim</t>
        </is>
      </c>
      <c r="D644" s="18" t="inlineStr">
        <is>
          <t>Brazil</t>
        </is>
      </c>
      <c r="E644" s="18" t="n">
        <v>2024</v>
      </c>
      <c r="F644" s="37" t="n">
        <v>0.0147</v>
      </c>
    </row>
    <row r="645">
      <c r="A645" s="18" t="inlineStr">
        <is>
          <t>VALERO_LOS_ANGELES</t>
        </is>
      </c>
      <c r="B645" s="18" t="n">
        <v>5</v>
      </c>
      <c r="C645" s="18" t="inlineStr">
        <is>
          <t>Lloyd Blend</t>
        </is>
      </c>
      <c r="D645" s="18" t="inlineStr">
        <is>
          <t>United States</t>
        </is>
      </c>
      <c r="E645" s="18" t="n">
        <v>2024</v>
      </c>
      <c r="F645" s="37" t="n">
        <v>0.0134</v>
      </c>
    </row>
    <row r="646">
      <c r="A646" s="18" t="inlineStr">
        <is>
          <t>VALERO_LOS_ANGELES</t>
        </is>
      </c>
      <c r="B646" s="18" t="n">
        <v>5</v>
      </c>
      <c r="C646" s="18" t="inlineStr">
        <is>
          <t>Sergipano Terra</t>
        </is>
      </c>
      <c r="D646" s="18" t="inlineStr">
        <is>
          <t>Brazil</t>
        </is>
      </c>
      <c r="E646" s="18" t="n">
        <v>2024</v>
      </c>
      <c r="F646" s="37" t="n">
        <v>0.0091</v>
      </c>
    </row>
    <row r="647">
      <c r="A647" s="18" t="inlineStr">
        <is>
          <t>VALERO_LOS_ANGELES</t>
        </is>
      </c>
      <c r="B647" s="18" t="n">
        <v>5</v>
      </c>
      <c r="C647" s="18" t="inlineStr">
        <is>
          <t>Buzios</t>
        </is>
      </c>
      <c r="D647" s="18" t="inlineStr">
        <is>
          <t>Brazil</t>
        </is>
      </c>
      <c r="E647" s="18" t="n">
        <v>2024</v>
      </c>
      <c r="F647" s="37" t="n">
        <v>0.008699999999999999</v>
      </c>
    </row>
    <row r="648">
      <c r="A648" s="18" t="inlineStr">
        <is>
          <t>VALERO_LOS_ANGELES</t>
        </is>
      </c>
      <c r="B648" s="18" t="n">
        <v>5</v>
      </c>
      <c r="C648" s="18" t="inlineStr">
        <is>
          <t>Mixed Sweet Blend</t>
        </is>
      </c>
      <c r="D648" s="18" t="inlineStr">
        <is>
          <t>Canada</t>
        </is>
      </c>
      <c r="E648" s="18" t="n">
        <v>2024</v>
      </c>
      <c r="F648" s="37" t="n">
        <v>0.0058</v>
      </c>
    </row>
    <row r="650" ht="20" customHeight="1">
      <c r="A650" s="8" t="inlineStr">
        <is>
          <t>Purchased supplementary feedstocks, 2024 — naphtha/reformate purchases mark merchant naphtha BUYERS</t>
        </is>
      </c>
      <c r="B650" s="9" t="n"/>
      <c r="C650" s="9" t="n"/>
      <c r="D650" s="9" t="n"/>
      <c r="E650" s="9" t="n"/>
      <c r="F650" s="9" t="n"/>
      <c r="G650" s="9" t="n"/>
      <c r="H650" s="9" t="n"/>
    </row>
    <row r="651">
      <c r="A651" s="17" t="inlineStr">
        <is>
          <t>refinery_id</t>
        </is>
      </c>
      <c r="B651" s="17" t="inlineStr">
        <is>
          <t>padd</t>
        </is>
      </c>
      <c r="C651" s="17" t="inlineStr">
        <is>
          <t>feedstock</t>
        </is>
      </c>
      <c r="D651" s="17" t="inlineStr">
        <is>
          <t>to unit</t>
        </is>
      </c>
      <c r="E651" s="17" t="inlineStr">
        <is>
          <t>kbd</t>
        </is>
      </c>
      <c r="F651" s="17" t="inlineStr">
        <is>
          <t>API</t>
        </is>
      </c>
      <c r="G651" s="17" t="inlineStr">
        <is>
          <t>type</t>
        </is>
      </c>
      <c r="H651" s="17" t="inlineStr">
        <is>
          <t>naphtha buyer?</t>
        </is>
      </c>
    </row>
    <row r="652">
      <c r="A652" s="18" t="inlineStr">
        <is>
          <t>UNITED_WARREN</t>
        </is>
      </c>
      <c r="B652" s="18" t="n">
        <v>1</v>
      </c>
      <c r="C652" s="18" t="inlineStr">
        <is>
          <t>I-Butane</t>
        </is>
      </c>
      <c r="D652" s="18" t="inlineStr">
        <is>
          <t>IC4imports</t>
        </is>
      </c>
      <c r="E652" s="38" t="n">
        <v>0.85</v>
      </c>
      <c r="F652" s="38" t="n">
        <v>120.01</v>
      </c>
      <c r="G652" s="18" t="inlineStr">
        <is>
          <t>Light</t>
        </is>
      </c>
      <c r="H652" s="18" t="inlineStr"/>
    </row>
    <row r="653">
      <c r="A653" s="18" t="inlineStr">
        <is>
          <t>CENOVUS_LIMA</t>
        </is>
      </c>
      <c r="B653" s="18" t="n">
        <v>2</v>
      </c>
      <c r="C653" s="18" t="inlineStr">
        <is>
          <t>Naphtha</t>
        </is>
      </c>
      <c r="D653" s="18" t="inlineStr">
        <is>
          <t>NHT</t>
        </is>
      </c>
      <c r="E653" s="38" t="n">
        <v>10</v>
      </c>
      <c r="F653" s="38" t="n">
        <v>56</v>
      </c>
      <c r="G653" s="18" t="inlineStr">
        <is>
          <t>Light</t>
        </is>
      </c>
      <c r="H653" s="28" t="inlineStr">
        <is>
          <t>BUYER</t>
        </is>
      </c>
    </row>
    <row r="654">
      <c r="A654" s="18" t="inlineStr">
        <is>
          <t>CENOVUS_WOOD_RIVER</t>
        </is>
      </c>
      <c r="B654" s="18" t="n">
        <v>2</v>
      </c>
      <c r="C654" s="18" t="inlineStr">
        <is>
          <t>VGO - Low Sulphur</t>
        </is>
      </c>
      <c r="D654" s="18" t="inlineStr">
        <is>
          <t>FCC</t>
        </is>
      </c>
      <c r="E654" s="38" t="n">
        <v>10</v>
      </c>
      <c r="F654" s="38" t="n">
        <v>27.19</v>
      </c>
      <c r="G654" s="18" t="inlineStr">
        <is>
          <t>Heavy</t>
        </is>
      </c>
      <c r="H654" s="18" t="inlineStr"/>
    </row>
    <row r="655">
      <c r="A655" s="18" t="inlineStr">
        <is>
          <t>PBF_TOLEDO</t>
        </is>
      </c>
      <c r="B655" s="18" t="n">
        <v>2</v>
      </c>
      <c r="C655" s="18" t="inlineStr">
        <is>
          <t>VGO - High Sulphur</t>
        </is>
      </c>
      <c r="D655" s="18" t="inlineStr">
        <is>
          <t>RFCC</t>
        </is>
      </c>
      <c r="E655" s="38" t="n">
        <v>10</v>
      </c>
      <c r="F655" s="38" t="n">
        <v>24.15</v>
      </c>
      <c r="G655" s="18" t="inlineStr">
        <is>
          <t>Heavy</t>
        </is>
      </c>
      <c r="H655" s="18" t="inlineStr"/>
    </row>
    <row r="656">
      <c r="A656" s="18" t="inlineStr">
        <is>
          <t>HF_TULSA</t>
        </is>
      </c>
      <c r="B656" s="18" t="n">
        <v>2</v>
      </c>
      <c r="C656" s="18" t="inlineStr">
        <is>
          <t>VGO - Low Sulphur</t>
        </is>
      </c>
      <c r="D656" s="18" t="inlineStr">
        <is>
          <t>FCC</t>
        </is>
      </c>
      <c r="E656" s="38" t="n">
        <v>7</v>
      </c>
      <c r="F656" s="38" t="n">
        <v>27.19</v>
      </c>
      <c r="G656" s="18" t="inlineStr">
        <is>
          <t>Heavy</t>
        </is>
      </c>
      <c r="H656" s="18" t="inlineStr"/>
    </row>
    <row r="657">
      <c r="A657" s="18" t="inlineStr">
        <is>
          <t>MARATHON_CATLETTSBURG</t>
        </is>
      </c>
      <c r="B657" s="18" t="n">
        <v>2</v>
      </c>
      <c r="C657" s="18" t="inlineStr">
        <is>
          <t>I-Butane</t>
        </is>
      </c>
      <c r="D657" s="18" t="inlineStr">
        <is>
          <t>IC4Imports</t>
        </is>
      </c>
      <c r="E657" s="38" t="n">
        <v>6.92</v>
      </c>
      <c r="F657" s="38" t="n">
        <v>120.01</v>
      </c>
      <c r="G657" s="18" t="inlineStr">
        <is>
          <t>Light</t>
        </is>
      </c>
      <c r="H657" s="18" t="inlineStr"/>
    </row>
    <row r="658">
      <c r="A658" s="18" t="inlineStr">
        <is>
          <t>CITGO_LEMONT</t>
        </is>
      </c>
      <c r="B658" s="18" t="n">
        <v>2</v>
      </c>
      <c r="C658" s="18" t="inlineStr">
        <is>
          <t>I-Butane</t>
        </is>
      </c>
      <c r="D658" s="18" t="inlineStr">
        <is>
          <t>IC4Imports</t>
        </is>
      </c>
      <c r="E658" s="38" t="n">
        <v>6.53</v>
      </c>
      <c r="F658" s="38" t="n">
        <v>120.01</v>
      </c>
      <c r="G658" s="18" t="inlineStr">
        <is>
          <t>Light</t>
        </is>
      </c>
      <c r="H658" s="18" t="inlineStr"/>
    </row>
    <row r="659">
      <c r="A659" s="18" t="inlineStr">
        <is>
          <t>EXXONMOBIL_JOLIET</t>
        </is>
      </c>
      <c r="B659" s="18" t="n">
        <v>2</v>
      </c>
      <c r="C659" s="18" t="inlineStr">
        <is>
          <t>I-Butane</t>
        </is>
      </c>
      <c r="D659" s="18" t="inlineStr">
        <is>
          <t>IC4Imports</t>
        </is>
      </c>
      <c r="E659" s="38" t="n">
        <v>6.02</v>
      </c>
      <c r="F659" s="38" t="n">
        <v>120.01</v>
      </c>
      <c r="G659" s="18" t="inlineStr">
        <is>
          <t>Light</t>
        </is>
      </c>
      <c r="H659" s="18" t="inlineStr"/>
    </row>
    <row r="660">
      <c r="A660" s="18" t="inlineStr">
        <is>
          <t>CVR_COFFEYVILLE</t>
        </is>
      </c>
      <c r="B660" s="18" t="n">
        <v>2</v>
      </c>
      <c r="C660" s="18" t="inlineStr">
        <is>
          <t>Atres - High Sulphur</t>
        </is>
      </c>
      <c r="D660" s="18" t="inlineStr">
        <is>
          <t>AtRes Spl</t>
        </is>
      </c>
      <c r="E660" s="38" t="n">
        <v>6</v>
      </c>
      <c r="F660" s="38" t="n">
        <v>9.949999999999999</v>
      </c>
      <c r="G660" s="18" t="inlineStr">
        <is>
          <t>Heavy</t>
        </is>
      </c>
      <c r="H660" s="18" t="inlineStr"/>
    </row>
    <row r="661">
      <c r="A661" s="18" t="inlineStr">
        <is>
          <t>NCRA_MCPHERSON</t>
        </is>
      </c>
      <c r="B661" s="18" t="n">
        <v>2</v>
      </c>
      <c r="C661" s="18" t="inlineStr">
        <is>
          <t>VGO - Low Sulphur</t>
        </is>
      </c>
      <c r="D661" s="18" t="inlineStr">
        <is>
          <t>FCC</t>
        </is>
      </c>
      <c r="E661" s="38" t="n">
        <v>6</v>
      </c>
      <c r="F661" s="38" t="n">
        <v>27.19</v>
      </c>
      <c r="G661" s="18" t="inlineStr">
        <is>
          <t>Heavy</t>
        </is>
      </c>
      <c r="H661" s="18" t="inlineStr"/>
    </row>
    <row r="662">
      <c r="A662" s="18" t="inlineStr">
        <is>
          <t>BP_WHITING</t>
        </is>
      </c>
      <c r="B662" s="18" t="n">
        <v>2</v>
      </c>
      <c r="C662" s="18" t="inlineStr">
        <is>
          <t>VGO - Low Sulphur</t>
        </is>
      </c>
      <c r="D662" s="18" t="inlineStr">
        <is>
          <t>FCC ZSM</t>
        </is>
      </c>
      <c r="E662" s="38" t="n">
        <v>5.8</v>
      </c>
      <c r="F662" s="38" t="n">
        <v>27.19</v>
      </c>
      <c r="G662" s="18" t="inlineStr">
        <is>
          <t>Heavy</t>
        </is>
      </c>
      <c r="H662" s="18" t="inlineStr"/>
    </row>
    <row r="663">
      <c r="A663" s="18" t="inlineStr">
        <is>
          <t>BP_WHITING</t>
        </is>
      </c>
      <c r="B663" s="18" t="n">
        <v>2</v>
      </c>
      <c r="C663" s="18" t="inlineStr">
        <is>
          <t>I-Butane</t>
        </is>
      </c>
      <c r="D663" s="18" t="inlineStr">
        <is>
          <t>IC4Imports</t>
        </is>
      </c>
      <c r="E663" s="38" t="n">
        <v>5.72</v>
      </c>
      <c r="F663" s="38" t="n">
        <v>120.01</v>
      </c>
      <c r="G663" s="18" t="inlineStr">
        <is>
          <t>Light</t>
        </is>
      </c>
      <c r="H663" s="18" t="inlineStr"/>
    </row>
    <row r="664">
      <c r="A664" s="18" t="inlineStr">
        <is>
          <t>CVR_WYNNEWOOD</t>
        </is>
      </c>
      <c r="B664" s="18" t="n">
        <v>2</v>
      </c>
      <c r="C664" s="18" t="inlineStr">
        <is>
          <t>Refined Veg Oils</t>
        </is>
      </c>
      <c r="D664" s="18" t="inlineStr">
        <is>
          <t>HVOHT</t>
        </is>
      </c>
      <c r="E664" s="38" t="n">
        <v>5.53</v>
      </c>
      <c r="F664" s="38" t="n">
        <v>23.99</v>
      </c>
      <c r="G664" s="18" t="inlineStr">
        <is>
          <t>Heavy</t>
        </is>
      </c>
      <c r="H664" s="18" t="inlineStr"/>
    </row>
    <row r="665">
      <c r="A665" s="18" t="inlineStr">
        <is>
          <t>BP_WHITING</t>
        </is>
      </c>
      <c r="B665" s="18" t="n">
        <v>2</v>
      </c>
      <c r="C665" s="18" t="inlineStr">
        <is>
          <t>Naphtha</t>
        </is>
      </c>
      <c r="D665" s="18" t="inlineStr">
        <is>
          <t>NHT</t>
        </is>
      </c>
      <c r="E665" s="38" t="n">
        <v>5.3</v>
      </c>
      <c r="F665" s="38" t="n">
        <v>56</v>
      </c>
      <c r="G665" s="18" t="inlineStr">
        <is>
          <t>Light</t>
        </is>
      </c>
      <c r="H665" s="28" t="inlineStr">
        <is>
          <t>BUYER</t>
        </is>
      </c>
    </row>
    <row r="666">
      <c r="A666" s="18" t="inlineStr">
        <is>
          <t>PHILLIPS_PONCA_CITY</t>
        </is>
      </c>
      <c r="B666" s="18" t="n">
        <v>2</v>
      </c>
      <c r="C666" s="18" t="inlineStr">
        <is>
          <t>VGO - High Sulphur</t>
        </is>
      </c>
      <c r="D666" s="18" t="inlineStr">
        <is>
          <t>CFHT</t>
        </is>
      </c>
      <c r="E666" s="38" t="n">
        <v>5</v>
      </c>
      <c r="F666" s="38" t="n">
        <v>24.15</v>
      </c>
      <c r="G666" s="18" t="inlineStr">
        <is>
          <t>Heavy</t>
        </is>
      </c>
      <c r="H666" s="18" t="inlineStr"/>
    </row>
    <row r="667">
      <c r="A667" s="18" t="inlineStr">
        <is>
          <t>BP_WHITING</t>
        </is>
      </c>
      <c r="B667" s="18" t="n">
        <v>2</v>
      </c>
      <c r="C667" s="18" t="inlineStr">
        <is>
          <t>Reformate</t>
        </is>
      </c>
      <c r="D667" s="18" t="inlineStr">
        <is>
          <t>PurRefor Spl</t>
        </is>
      </c>
      <c r="E667" s="38" t="n">
        <v>3.5</v>
      </c>
      <c r="F667" s="38" t="n">
        <v>38.8</v>
      </c>
      <c r="G667" s="18" t="inlineStr">
        <is>
          <t>Light</t>
        </is>
      </c>
      <c r="H667" s="28" t="inlineStr">
        <is>
          <t>BUYER</t>
        </is>
      </c>
    </row>
    <row r="668">
      <c r="A668" s="18" t="inlineStr">
        <is>
          <t>CVR_COFFEYVILLE</t>
        </is>
      </c>
      <c r="B668" s="18" t="n">
        <v>2</v>
      </c>
      <c r="C668" s="18" t="inlineStr">
        <is>
          <t>I-Butane</t>
        </is>
      </c>
      <c r="D668" s="18" t="inlineStr">
        <is>
          <t>IC4Imports</t>
        </is>
      </c>
      <c r="E668" s="38" t="n">
        <v>3.37</v>
      </c>
      <c r="F668" s="38" t="n">
        <v>120.01</v>
      </c>
      <c r="G668" s="18" t="inlineStr">
        <is>
          <t>Light</t>
        </is>
      </c>
      <c r="H668" s="18" t="inlineStr"/>
    </row>
    <row r="669">
      <c r="A669" s="18" t="inlineStr">
        <is>
          <t>CITGO_LEMONT</t>
        </is>
      </c>
      <c r="B669" s="18" t="n">
        <v>2</v>
      </c>
      <c r="C669" s="18" t="inlineStr">
        <is>
          <t>VGO - Low Sulphur</t>
        </is>
      </c>
      <c r="D669" s="18" t="inlineStr">
        <is>
          <t>FCC</t>
        </is>
      </c>
      <c r="E669" s="38" t="n">
        <v>3</v>
      </c>
      <c r="F669" s="38" t="n">
        <v>27.19</v>
      </c>
      <c r="G669" s="18" t="inlineStr">
        <is>
          <t>Heavy</t>
        </is>
      </c>
      <c r="H669" s="18" t="inlineStr"/>
    </row>
    <row r="670">
      <c r="A670" s="18" t="inlineStr">
        <is>
          <t>HF_EL_DORADO_KS</t>
        </is>
      </c>
      <c r="B670" s="18" t="n">
        <v>2</v>
      </c>
      <c r="C670" s="18" t="inlineStr">
        <is>
          <t>Butane</t>
        </is>
      </c>
      <c r="D670" s="18" t="inlineStr">
        <is>
          <t>NC4Imports</t>
        </is>
      </c>
      <c r="E670" s="38" t="n">
        <v>2.42</v>
      </c>
      <c r="F670" s="38" t="n">
        <v>112.47</v>
      </c>
      <c r="G670" s="18" t="inlineStr">
        <is>
          <t>Light</t>
        </is>
      </c>
      <c r="H670" s="18" t="inlineStr"/>
    </row>
    <row r="671">
      <c r="A671" s="18" t="inlineStr">
        <is>
          <t>CENOVUS_TOLEDO</t>
        </is>
      </c>
      <c r="B671" s="18" t="n">
        <v>2</v>
      </c>
      <c r="C671" s="18" t="inlineStr">
        <is>
          <t>I-Butane</t>
        </is>
      </c>
      <c r="D671" s="18" t="inlineStr">
        <is>
          <t>IC4imports</t>
        </is>
      </c>
      <c r="E671" s="38" t="n">
        <v>2.28</v>
      </c>
      <c r="F671" s="38" t="n">
        <v>120.01</v>
      </c>
      <c r="G671" s="18" t="inlineStr">
        <is>
          <t>Light</t>
        </is>
      </c>
      <c r="H671" s="18" t="inlineStr"/>
    </row>
    <row r="672">
      <c r="A672" s="18" t="inlineStr">
        <is>
          <t>CVR_COFFEYVILLE</t>
        </is>
      </c>
      <c r="B672" s="18" t="n">
        <v>2</v>
      </c>
      <c r="C672" s="18" t="inlineStr">
        <is>
          <t>VGO - Low Sulphur</t>
        </is>
      </c>
      <c r="D672" s="18" t="inlineStr">
        <is>
          <t>FCC</t>
        </is>
      </c>
      <c r="E672" s="38" t="n">
        <v>2</v>
      </c>
      <c r="F672" s="38" t="n">
        <v>27.19</v>
      </c>
      <c r="G672" s="18" t="inlineStr">
        <is>
          <t>Heavy</t>
        </is>
      </c>
      <c r="H672" s="18" t="inlineStr"/>
    </row>
    <row r="673">
      <c r="A673" s="18" t="inlineStr">
        <is>
          <t>HF_TULSA</t>
        </is>
      </c>
      <c r="B673" s="18" t="n">
        <v>2</v>
      </c>
      <c r="C673" s="18" t="inlineStr">
        <is>
          <t>Atres - High Sulphur</t>
        </is>
      </c>
      <c r="D673" s="18" t="inlineStr">
        <is>
          <t>VDU</t>
        </is>
      </c>
      <c r="E673" s="38" t="n">
        <v>2</v>
      </c>
      <c r="F673" s="38" t="n">
        <v>9.949999999999999</v>
      </c>
      <c r="G673" s="18" t="inlineStr">
        <is>
          <t>Heavy</t>
        </is>
      </c>
      <c r="H673" s="18" t="inlineStr"/>
    </row>
    <row r="674">
      <c r="A674" s="18" t="inlineStr">
        <is>
          <t>PHILLIPS_PONCA_CITY</t>
        </is>
      </c>
      <c r="B674" s="18" t="n">
        <v>2</v>
      </c>
      <c r="C674" s="18" t="inlineStr">
        <is>
          <t>I-Butane</t>
        </is>
      </c>
      <c r="D674" s="18" t="inlineStr">
        <is>
          <t>IC4imports</t>
        </is>
      </c>
      <c r="E674" s="38" t="n">
        <v>1.95</v>
      </c>
      <c r="F674" s="38" t="n">
        <v>120.01</v>
      </c>
      <c r="G674" s="18" t="inlineStr">
        <is>
          <t>Light</t>
        </is>
      </c>
      <c r="H674" s="18" t="inlineStr"/>
    </row>
    <row r="675">
      <c r="A675" s="18" t="inlineStr">
        <is>
          <t>CENOVUS_WOOD_RIVER</t>
        </is>
      </c>
      <c r="B675" s="18" t="n">
        <v>2</v>
      </c>
      <c r="C675" s="18" t="inlineStr">
        <is>
          <t>I-Butane</t>
        </is>
      </c>
      <c r="D675" s="18" t="inlineStr">
        <is>
          <t>IC4imports</t>
        </is>
      </c>
      <c r="E675" s="38" t="n">
        <v>1.78</v>
      </c>
      <c r="F675" s="38" t="n">
        <v>120.01</v>
      </c>
      <c r="G675" s="18" t="inlineStr">
        <is>
          <t>Light</t>
        </is>
      </c>
      <c r="H675" s="18" t="inlineStr"/>
    </row>
    <row r="676">
      <c r="A676" s="18" t="inlineStr">
        <is>
          <t>MARATHON_CANTON</t>
        </is>
      </c>
      <c r="B676" s="18" t="n">
        <v>2</v>
      </c>
      <c r="C676" s="18" t="inlineStr">
        <is>
          <t>I-Butane</t>
        </is>
      </c>
      <c r="D676" s="18" t="inlineStr">
        <is>
          <t>IC4Imports</t>
        </is>
      </c>
      <c r="E676" s="38" t="n">
        <v>1.45</v>
      </c>
      <c r="F676" s="38" t="n">
        <v>120.01</v>
      </c>
      <c r="G676" s="18" t="inlineStr">
        <is>
          <t>Light</t>
        </is>
      </c>
      <c r="H676" s="18" t="inlineStr"/>
    </row>
    <row r="677">
      <c r="A677" s="18" t="inlineStr">
        <is>
          <t>MARATHON_MANDAN</t>
        </is>
      </c>
      <c r="B677" s="18" t="n">
        <v>2</v>
      </c>
      <c r="C677" s="18" t="inlineStr">
        <is>
          <t>I-Butane</t>
        </is>
      </c>
      <c r="D677" s="18" t="inlineStr">
        <is>
          <t>IC4Imports</t>
        </is>
      </c>
      <c r="E677" s="38" t="n">
        <v>1.43</v>
      </c>
      <c r="F677" s="38" t="n">
        <v>120.01</v>
      </c>
      <c r="G677" s="18" t="inlineStr">
        <is>
          <t>Light</t>
        </is>
      </c>
      <c r="H677" s="18" t="inlineStr"/>
    </row>
    <row r="678">
      <c r="A678" s="18" t="inlineStr">
        <is>
          <t>MARATHON_ROBINSON</t>
        </is>
      </c>
      <c r="B678" s="18" t="n">
        <v>2</v>
      </c>
      <c r="C678" s="18" t="inlineStr">
        <is>
          <t>I-Butane</t>
        </is>
      </c>
      <c r="D678" s="18" t="inlineStr">
        <is>
          <t>IC4Imports</t>
        </is>
      </c>
      <c r="E678" s="38" t="n">
        <v>1.33</v>
      </c>
      <c r="F678" s="38" t="n">
        <v>120.01</v>
      </c>
      <c r="G678" s="18" t="inlineStr">
        <is>
          <t>Light</t>
        </is>
      </c>
      <c r="H678" s="18" t="inlineStr"/>
    </row>
    <row r="679">
      <c r="A679" s="18" t="inlineStr">
        <is>
          <t>CVR_WYNNEWOOD</t>
        </is>
      </c>
      <c r="B679" s="18" t="n">
        <v>2</v>
      </c>
      <c r="C679" s="18" t="inlineStr">
        <is>
          <t>I-Butane</t>
        </is>
      </c>
      <c r="D679" s="18" t="inlineStr">
        <is>
          <t>IC4Imports</t>
        </is>
      </c>
      <c r="E679" s="38" t="n">
        <v>0.77</v>
      </c>
      <c r="F679" s="38" t="n">
        <v>120.01</v>
      </c>
      <c r="G679" s="18" t="inlineStr">
        <is>
          <t>Light</t>
        </is>
      </c>
      <c r="H679" s="18" t="inlineStr"/>
    </row>
    <row r="680">
      <c r="A680" s="18" t="inlineStr">
        <is>
          <t>VALERO_ARDMORE</t>
        </is>
      </c>
      <c r="B680" s="18" t="n">
        <v>2</v>
      </c>
      <c r="C680" s="18" t="inlineStr">
        <is>
          <t>I-Butane</t>
        </is>
      </c>
      <c r="D680" s="18" t="inlineStr">
        <is>
          <t>IC4imports</t>
        </is>
      </c>
      <c r="E680" s="38" t="n">
        <v>0.15</v>
      </c>
      <c r="F680" s="38" t="n">
        <v>120.01</v>
      </c>
      <c r="G680" s="18" t="inlineStr">
        <is>
          <t>Light</t>
        </is>
      </c>
      <c r="H680" s="18" t="inlineStr"/>
    </row>
    <row r="681">
      <c r="A681" s="18" t="inlineStr">
        <is>
          <t>VALERO_SAINT_CHARLES</t>
        </is>
      </c>
      <c r="B681" s="18" t="n">
        <v>3</v>
      </c>
      <c r="C681" s="18" t="inlineStr">
        <is>
          <t>Atres - High Sulphur</t>
        </is>
      </c>
      <c r="D681" s="18" t="inlineStr">
        <is>
          <t>VDU</t>
        </is>
      </c>
      <c r="E681" s="38" t="n">
        <v>90</v>
      </c>
      <c r="F681" s="38" t="n">
        <v>16.86</v>
      </c>
      <c r="G681" s="18" t="inlineStr">
        <is>
          <t>Heavy</t>
        </is>
      </c>
      <c r="H681" s="18" t="inlineStr"/>
    </row>
    <row r="682">
      <c r="A682" s="18" t="inlineStr">
        <is>
          <t>MARATHON_GARYVILLE</t>
        </is>
      </c>
      <c r="B682" s="18" t="n">
        <v>3</v>
      </c>
      <c r="C682" s="18" t="inlineStr">
        <is>
          <t>VGO - Low Sulphur</t>
        </is>
      </c>
      <c r="D682" s="18" t="inlineStr">
        <is>
          <t>LVGO Spl</t>
        </is>
      </c>
      <c r="E682" s="38" t="n">
        <v>85</v>
      </c>
      <c r="F682" s="38" t="n">
        <v>27.19</v>
      </c>
      <c r="G682" s="18" t="inlineStr">
        <is>
          <t>Heavy</t>
        </is>
      </c>
      <c r="H682" s="18" t="inlineStr"/>
    </row>
    <row r="683">
      <c r="A683" s="18" t="inlineStr">
        <is>
          <t>XOM_BAYTOWN</t>
        </is>
      </c>
      <c r="B683" s="18" t="n">
        <v>3</v>
      </c>
      <c r="C683" s="18" t="inlineStr">
        <is>
          <t>VGO - Low Sulphur</t>
        </is>
      </c>
      <c r="D683" s="18" t="inlineStr">
        <is>
          <t>FCC</t>
        </is>
      </c>
      <c r="E683" s="38" t="n">
        <v>80</v>
      </c>
      <c r="F683" s="38" t="n">
        <v>27.19</v>
      </c>
      <c r="G683" s="18" t="inlineStr">
        <is>
          <t>Heavy</t>
        </is>
      </c>
      <c r="H683" s="18" t="inlineStr"/>
    </row>
    <row r="684">
      <c r="A684" s="18" t="inlineStr">
        <is>
          <t>VALERO_CORPUS_CHRISTI</t>
        </is>
      </c>
      <c r="B684" s="18" t="n">
        <v>3</v>
      </c>
      <c r="C684" s="18" t="inlineStr">
        <is>
          <t>Atres - High Sulphur</t>
        </is>
      </c>
      <c r="D684" s="18" t="inlineStr">
        <is>
          <t>VDU</t>
        </is>
      </c>
      <c r="E684" s="38" t="n">
        <v>40</v>
      </c>
      <c r="F684" s="38" t="n">
        <v>16.86</v>
      </c>
      <c r="G684" s="18" t="inlineStr">
        <is>
          <t>Heavy</t>
        </is>
      </c>
      <c r="H684" s="18" t="inlineStr"/>
    </row>
    <row r="685">
      <c r="A685" s="18" t="inlineStr">
        <is>
          <t>EXXONMOBIL_BATON_ROUGE</t>
        </is>
      </c>
      <c r="B685" s="18" t="n">
        <v>3</v>
      </c>
      <c r="C685" s="18" t="inlineStr">
        <is>
          <t>Atres - High Sulphur</t>
        </is>
      </c>
      <c r="D685" s="18" t="inlineStr">
        <is>
          <t>VDU</t>
        </is>
      </c>
      <c r="E685" s="38" t="n">
        <v>38</v>
      </c>
      <c r="F685" s="38" t="n">
        <v>16.86</v>
      </c>
      <c r="G685" s="18" t="inlineStr">
        <is>
          <t>Heavy</t>
        </is>
      </c>
      <c r="H685" s="18" t="inlineStr"/>
    </row>
    <row r="686">
      <c r="A686" s="18" t="inlineStr">
        <is>
          <t>EXXONMOBIL_BATON_ROUGE</t>
        </is>
      </c>
      <c r="B686" s="18" t="n">
        <v>3</v>
      </c>
      <c r="C686" s="18" t="inlineStr">
        <is>
          <t>VGO - High Sulphur</t>
        </is>
      </c>
      <c r="D686" s="18" t="inlineStr">
        <is>
          <t>FCC</t>
        </is>
      </c>
      <c r="E686" s="38" t="n">
        <v>35</v>
      </c>
      <c r="F686" s="38" t="n">
        <v>24.15</v>
      </c>
      <c r="G686" s="18" t="inlineStr">
        <is>
          <t>Heavy</t>
        </is>
      </c>
      <c r="H686" s="18" t="inlineStr"/>
    </row>
    <row r="687">
      <c r="A687" s="18" t="inlineStr">
        <is>
          <t>MPC_GALV_BAY</t>
        </is>
      </c>
      <c r="B687" s="18" t="n">
        <v>3</v>
      </c>
      <c r="C687" s="18" t="inlineStr">
        <is>
          <t>VGO - High Sulphur</t>
        </is>
      </c>
      <c r="D687" s="18" t="inlineStr">
        <is>
          <t>LVGO Spl</t>
        </is>
      </c>
      <c r="E687" s="38" t="n">
        <v>33</v>
      </c>
      <c r="F687" s="38" t="n">
        <v>24.15</v>
      </c>
      <c r="G687" s="18" t="inlineStr">
        <is>
          <t>Heavy</t>
        </is>
      </c>
      <c r="H687" s="18" t="inlineStr"/>
    </row>
    <row r="688">
      <c r="A688" s="18" t="inlineStr">
        <is>
          <t>MARATHON_GARYVILLE</t>
        </is>
      </c>
      <c r="B688" s="18" t="n">
        <v>3</v>
      </c>
      <c r="C688" s="18" t="inlineStr">
        <is>
          <t>Naphtha</t>
        </is>
      </c>
      <c r="D688" s="18" t="inlineStr">
        <is>
          <t>CCR</t>
        </is>
      </c>
      <c r="E688" s="38" t="n">
        <v>30</v>
      </c>
      <c r="F688" s="38" t="n">
        <v>56</v>
      </c>
      <c r="G688" s="18" t="inlineStr">
        <is>
          <t>Light</t>
        </is>
      </c>
      <c r="H688" s="28" t="inlineStr">
        <is>
          <t>BUYER</t>
        </is>
      </c>
    </row>
    <row r="689">
      <c r="A689" s="18" t="inlineStr">
        <is>
          <t>MARATHON_GARYVILLE</t>
        </is>
      </c>
      <c r="B689" s="18" t="n">
        <v>3</v>
      </c>
      <c r="C689" s="18" t="inlineStr">
        <is>
          <t>RuGo</t>
        </is>
      </c>
      <c r="D689" s="18" t="inlineStr">
        <is>
          <t>DHT</t>
        </is>
      </c>
      <c r="E689" s="38" t="n">
        <v>30</v>
      </c>
      <c r="F689" s="38" t="n">
        <v>38.98</v>
      </c>
      <c r="G689" s="18" t="inlineStr">
        <is>
          <t>Light</t>
        </is>
      </c>
      <c r="H689" s="18" t="inlineStr"/>
    </row>
    <row r="690">
      <c r="A690" s="18" t="inlineStr">
        <is>
          <t>PBF_CHALMETTE</t>
        </is>
      </c>
      <c r="B690" s="18" t="n">
        <v>3</v>
      </c>
      <c r="C690" s="18" t="inlineStr">
        <is>
          <t>Atres - High Sulphur</t>
        </is>
      </c>
      <c r="D690" s="18" t="inlineStr">
        <is>
          <t>VDU</t>
        </is>
      </c>
      <c r="E690" s="38" t="n">
        <v>30</v>
      </c>
      <c r="F690" s="38" t="n">
        <v>16.86</v>
      </c>
      <c r="G690" s="18" t="inlineStr">
        <is>
          <t>Heavy</t>
        </is>
      </c>
      <c r="H690" s="18" t="inlineStr"/>
    </row>
    <row r="691">
      <c r="A691" s="18" t="inlineStr">
        <is>
          <t>VALERO_SAINT_CHARLES</t>
        </is>
      </c>
      <c r="B691" s="18" t="n">
        <v>3</v>
      </c>
      <c r="C691" s="18" t="inlineStr">
        <is>
          <t>VGO - High Sulphur</t>
        </is>
      </c>
      <c r="D691" s="18" t="inlineStr">
        <is>
          <t>FCC</t>
        </is>
      </c>
      <c r="E691" s="38" t="n">
        <v>30</v>
      </c>
      <c r="F691" s="38" t="n">
        <v>24.15</v>
      </c>
      <c r="G691" s="18" t="inlineStr">
        <is>
          <t>Heavy</t>
        </is>
      </c>
      <c r="H691" s="18" t="inlineStr"/>
    </row>
    <row r="692">
      <c r="A692" s="18" t="inlineStr">
        <is>
          <t>VALERO_PORT_ARTHUR</t>
        </is>
      </c>
      <c r="B692" s="18" t="n">
        <v>3</v>
      </c>
      <c r="C692" s="18" t="inlineStr">
        <is>
          <t>Atres - High Sulphur</t>
        </is>
      </c>
      <c r="D692" s="18" t="inlineStr">
        <is>
          <t>VDU</t>
        </is>
      </c>
      <c r="E692" s="38" t="n">
        <v>20</v>
      </c>
      <c r="F692" s="38" t="n">
        <v>16.86</v>
      </c>
      <c r="G692" s="18" t="inlineStr">
        <is>
          <t>Heavy</t>
        </is>
      </c>
      <c r="H692" s="18" t="inlineStr"/>
    </row>
    <row r="693">
      <c r="A693" s="18" t="inlineStr">
        <is>
          <t>PHILLIPS_SWEENY</t>
        </is>
      </c>
      <c r="B693" s="18" t="n">
        <v>3</v>
      </c>
      <c r="C693" s="18" t="inlineStr">
        <is>
          <t>Atres - High Sulphur</t>
        </is>
      </c>
      <c r="D693" s="18" t="inlineStr">
        <is>
          <t>VDU</t>
        </is>
      </c>
      <c r="E693" s="38" t="n">
        <v>20</v>
      </c>
      <c r="F693" s="38" t="n">
        <v>16.86</v>
      </c>
      <c r="G693" s="18" t="inlineStr">
        <is>
          <t>Heavy</t>
        </is>
      </c>
      <c r="H693" s="18" t="inlineStr"/>
    </row>
    <row r="694">
      <c r="A694" s="18" t="inlineStr">
        <is>
          <t>XOM_BAYTOWN</t>
        </is>
      </c>
      <c r="B694" s="18" t="n">
        <v>3</v>
      </c>
      <c r="C694" s="18" t="inlineStr">
        <is>
          <t>VGO - High Sulphur</t>
        </is>
      </c>
      <c r="D694" s="18" t="inlineStr">
        <is>
          <t>CFHT</t>
        </is>
      </c>
      <c r="E694" s="38" t="n">
        <v>20</v>
      </c>
      <c r="F694" s="38" t="n">
        <v>24.15</v>
      </c>
      <c r="G694" s="18" t="inlineStr">
        <is>
          <t>Heavy</t>
        </is>
      </c>
      <c r="H694" s="18" t="inlineStr"/>
    </row>
    <row r="695">
      <c r="A695" s="18" t="inlineStr">
        <is>
          <t>MPC_GALV_BAY</t>
        </is>
      </c>
      <c r="B695" s="18" t="n">
        <v>3</v>
      </c>
      <c r="C695" s="18" t="inlineStr">
        <is>
          <t>I-Butane</t>
        </is>
      </c>
      <c r="D695" s="18" t="inlineStr">
        <is>
          <t>IC4Imports</t>
        </is>
      </c>
      <c r="E695" s="38" t="n">
        <v>17.3</v>
      </c>
      <c r="F695" s="38" t="n">
        <v>120.01</v>
      </c>
      <c r="G695" s="18" t="inlineStr">
        <is>
          <t>Light</t>
        </is>
      </c>
      <c r="H695" s="18" t="inlineStr"/>
    </row>
    <row r="696">
      <c r="A696" s="18" t="inlineStr">
        <is>
          <t>MOTIVA_PAR</t>
        </is>
      </c>
      <c r="B696" s="18" t="n">
        <v>3</v>
      </c>
      <c r="C696" s="18" t="inlineStr">
        <is>
          <t>Atres - High Sulphur</t>
        </is>
      </c>
      <c r="D696" s="18" t="inlineStr">
        <is>
          <t>VDU</t>
        </is>
      </c>
      <c r="E696" s="38" t="n">
        <v>17</v>
      </c>
      <c r="F696" s="38" t="n">
        <v>16.86</v>
      </c>
      <c r="G696" s="18" t="inlineStr">
        <is>
          <t>Heavy</t>
        </is>
      </c>
      <c r="H696" s="18" t="inlineStr"/>
    </row>
    <row r="697">
      <c r="A697" s="18" t="inlineStr">
        <is>
          <t>HF_ARTESIA</t>
        </is>
      </c>
      <c r="B697" s="18" t="n">
        <v>3</v>
      </c>
      <c r="C697" s="18" t="inlineStr">
        <is>
          <t>VGO - Low Sulphur</t>
        </is>
      </c>
      <c r="D697" s="18" t="inlineStr">
        <is>
          <t>VGOSPL</t>
        </is>
      </c>
      <c r="E697" s="38" t="n">
        <v>15</v>
      </c>
      <c r="F697" s="38" t="n">
        <v>27.19</v>
      </c>
      <c r="G697" s="18" t="inlineStr">
        <is>
          <t>Heavy</t>
        </is>
      </c>
      <c r="H697" s="18" t="inlineStr"/>
    </row>
    <row r="698">
      <c r="A698" s="18" t="inlineStr">
        <is>
          <t>PHILLIPS_SWEENY</t>
        </is>
      </c>
      <c r="B698" s="18" t="n">
        <v>3</v>
      </c>
      <c r="C698" s="18" t="inlineStr">
        <is>
          <t>VGO - High Sulphur</t>
        </is>
      </c>
      <c r="D698" s="18" t="inlineStr">
        <is>
          <t>CFHT</t>
        </is>
      </c>
      <c r="E698" s="38" t="n">
        <v>15</v>
      </c>
      <c r="F698" s="38" t="n">
        <v>24.15</v>
      </c>
      <c r="G698" s="18" t="inlineStr">
        <is>
          <t>Heavy</t>
        </is>
      </c>
      <c r="H698" s="18" t="inlineStr"/>
    </row>
    <row r="699">
      <c r="A699" s="18" t="inlineStr">
        <is>
          <t>VALERO_HOUSTON</t>
        </is>
      </c>
      <c r="B699" s="18" t="n">
        <v>3</v>
      </c>
      <c r="C699" s="18" t="inlineStr">
        <is>
          <t>I-Butane</t>
        </is>
      </c>
      <c r="D699" s="18" t="inlineStr">
        <is>
          <t>IC4imports</t>
        </is>
      </c>
      <c r="E699" s="38" t="n">
        <v>12.37</v>
      </c>
      <c r="F699" s="38" t="n">
        <v>120.01</v>
      </c>
      <c r="G699" s="18" t="inlineStr">
        <is>
          <t>Light</t>
        </is>
      </c>
      <c r="H699" s="18" t="inlineStr"/>
    </row>
    <row r="700">
      <c r="A700" s="18" t="inlineStr">
        <is>
          <t>CITGO_CORPUS_CHRISTI</t>
        </is>
      </c>
      <c r="B700" s="18" t="n">
        <v>3</v>
      </c>
      <c r="C700" s="18" t="inlineStr">
        <is>
          <t>I-Butane</t>
        </is>
      </c>
      <c r="D700" s="18" t="inlineStr">
        <is>
          <t>IC4Imports</t>
        </is>
      </c>
      <c r="E700" s="38" t="n">
        <v>10.69</v>
      </c>
      <c r="F700" s="38" t="n">
        <v>120.01</v>
      </c>
      <c r="G700" s="18" t="inlineStr">
        <is>
          <t>Light</t>
        </is>
      </c>
      <c r="H700" s="18" t="inlineStr"/>
    </row>
    <row r="701">
      <c r="A701" s="18" t="inlineStr">
        <is>
          <t>VALERO_TEXAS_CITY</t>
        </is>
      </c>
      <c r="B701" s="18" t="n">
        <v>3</v>
      </c>
      <c r="C701" s="18" t="inlineStr">
        <is>
          <t>VGO - High Sulphur</t>
        </is>
      </c>
      <c r="D701" s="18" t="inlineStr">
        <is>
          <t>CFHT</t>
        </is>
      </c>
      <c r="E701" s="38" t="n">
        <v>10</v>
      </c>
      <c r="F701" s="38" t="n">
        <v>24.15</v>
      </c>
      <c r="G701" s="18" t="inlineStr">
        <is>
          <t>Heavy</t>
        </is>
      </c>
      <c r="H701" s="18" t="inlineStr"/>
    </row>
    <row r="702">
      <c r="A702" s="18" t="inlineStr">
        <is>
          <t>VALERO_TEXAS_CITY</t>
        </is>
      </c>
      <c r="B702" s="18" t="n">
        <v>3</v>
      </c>
      <c r="C702" s="18" t="inlineStr">
        <is>
          <t>Atres - High Sulphur</t>
        </is>
      </c>
      <c r="D702" s="18" t="inlineStr">
        <is>
          <t>VDU</t>
        </is>
      </c>
      <c r="E702" s="38" t="n">
        <v>10</v>
      </c>
      <c r="F702" s="38" t="n">
        <v>16.86</v>
      </c>
      <c r="G702" s="18" t="inlineStr">
        <is>
          <t>Heavy</t>
        </is>
      </c>
      <c r="H702" s="18" t="inlineStr"/>
    </row>
    <row r="703">
      <c r="A703" s="18" t="inlineStr">
        <is>
          <t>CITGO_CORPUS_CHRISTI</t>
        </is>
      </c>
      <c r="B703" s="18" t="n">
        <v>3</v>
      </c>
      <c r="C703" s="18" t="inlineStr">
        <is>
          <t>Atres - High Sulphur</t>
        </is>
      </c>
      <c r="D703" s="18" t="inlineStr">
        <is>
          <t>VDU</t>
        </is>
      </c>
      <c r="E703" s="38" t="n">
        <v>7</v>
      </c>
      <c r="F703" s="38" t="n">
        <v>21.92</v>
      </c>
      <c r="G703" s="18" t="inlineStr">
        <is>
          <t>Heavy</t>
        </is>
      </c>
      <c r="H703" s="18" t="inlineStr"/>
    </row>
    <row r="704">
      <c r="A704" s="18" t="inlineStr">
        <is>
          <t>VALERO_THREE_RIVERS</t>
        </is>
      </c>
      <c r="B704" s="18" t="n">
        <v>3</v>
      </c>
      <c r="C704" s="18" t="inlineStr">
        <is>
          <t>Atres - High Sulphur</t>
        </is>
      </c>
      <c r="D704" s="18" t="inlineStr">
        <is>
          <t>VDU</t>
        </is>
      </c>
      <c r="E704" s="38" t="n">
        <v>7</v>
      </c>
      <c r="F704" s="38" t="n">
        <v>16.86</v>
      </c>
      <c r="G704" s="18" t="inlineStr">
        <is>
          <t>Heavy</t>
        </is>
      </c>
      <c r="H704" s="18" t="inlineStr"/>
    </row>
    <row r="705">
      <c r="A705" s="18" t="inlineStr">
        <is>
          <t>SHELL_NORCO</t>
        </is>
      </c>
      <c r="B705" s="18" t="n">
        <v>3</v>
      </c>
      <c r="C705" s="18" t="inlineStr">
        <is>
          <t>VGO - Low Sulphur</t>
        </is>
      </c>
      <c r="D705" s="18" t="inlineStr">
        <is>
          <t>RFCC</t>
        </is>
      </c>
      <c r="E705" s="38" t="n">
        <v>7</v>
      </c>
      <c r="F705" s="38" t="n">
        <v>22.3</v>
      </c>
      <c r="G705" s="18" t="inlineStr">
        <is>
          <t>Heavy</t>
        </is>
      </c>
      <c r="H705" s="18" t="inlineStr"/>
    </row>
    <row r="706">
      <c r="A706" s="18" t="inlineStr">
        <is>
          <t>EXXONMOBIL_BATON_ROUGE</t>
        </is>
      </c>
      <c r="B706" s="18" t="n">
        <v>3</v>
      </c>
      <c r="C706" s="18" t="inlineStr">
        <is>
          <t>I-Butane</t>
        </is>
      </c>
      <c r="D706" s="18" t="inlineStr">
        <is>
          <t>IC4imports</t>
        </is>
      </c>
      <c r="E706" s="38" t="n">
        <v>6.44</v>
      </c>
      <c r="F706" s="38" t="n">
        <v>120.01</v>
      </c>
      <c r="G706" s="18" t="inlineStr">
        <is>
          <t>Light</t>
        </is>
      </c>
      <c r="H706" s="18" t="inlineStr"/>
    </row>
    <row r="707">
      <c r="A707" s="18" t="inlineStr">
        <is>
          <t>VALERO_PORT_ARTHUR</t>
        </is>
      </c>
      <c r="B707" s="18" t="n">
        <v>3</v>
      </c>
      <c r="C707" s="18" t="inlineStr">
        <is>
          <t>I-Butane</t>
        </is>
      </c>
      <c r="D707" s="18" t="inlineStr">
        <is>
          <t>IC4imports</t>
        </is>
      </c>
      <c r="E707" s="38" t="n">
        <v>6.15</v>
      </c>
      <c r="F707" s="38" t="n">
        <v>120.01</v>
      </c>
      <c r="G707" s="18" t="inlineStr">
        <is>
          <t>Light</t>
        </is>
      </c>
      <c r="H707" s="18" t="inlineStr"/>
    </row>
    <row r="708">
      <c r="A708" s="18" t="inlineStr">
        <is>
          <t>PEMEX_DEER_PARK</t>
        </is>
      </c>
      <c r="B708" s="18" t="n">
        <v>3</v>
      </c>
      <c r="C708" s="18" t="inlineStr">
        <is>
          <t>VGO - High Sulphur</t>
        </is>
      </c>
      <c r="D708" s="18" t="inlineStr">
        <is>
          <t>FCC</t>
        </is>
      </c>
      <c r="E708" s="38" t="n">
        <v>6</v>
      </c>
      <c r="F708" s="38" t="n">
        <v>24.15</v>
      </c>
      <c r="G708" s="18" t="inlineStr">
        <is>
          <t>Heavy</t>
        </is>
      </c>
      <c r="H708" s="18" t="inlineStr"/>
    </row>
    <row r="709">
      <c r="A709" s="18" t="inlineStr">
        <is>
          <t>VALERO_PORT_ARTHUR</t>
        </is>
      </c>
      <c r="B709" s="18" t="n">
        <v>3</v>
      </c>
      <c r="C709" s="18" t="inlineStr">
        <is>
          <t>VGO - High Sulphur</t>
        </is>
      </c>
      <c r="D709" s="18" t="inlineStr">
        <is>
          <t>DHCU</t>
        </is>
      </c>
      <c r="E709" s="38" t="n">
        <v>5</v>
      </c>
      <c r="F709" s="38" t="n">
        <v>24.15</v>
      </c>
      <c r="G709" s="18" t="inlineStr">
        <is>
          <t>Heavy</t>
        </is>
      </c>
      <c r="H709" s="18" t="inlineStr"/>
    </row>
    <row r="710">
      <c r="A710" s="18" t="inlineStr">
        <is>
          <t>CHEVRON_PASCAGOULA</t>
        </is>
      </c>
      <c r="B710" s="18" t="n">
        <v>3</v>
      </c>
      <c r="C710" s="18" t="inlineStr">
        <is>
          <t>VGO - Low Sulphur</t>
        </is>
      </c>
      <c r="D710" s="18" t="inlineStr">
        <is>
          <t>FCC</t>
        </is>
      </c>
      <c r="E710" s="38" t="n">
        <v>5</v>
      </c>
      <c r="F710" s="38" t="n">
        <v>27.19</v>
      </c>
      <c r="G710" s="18" t="inlineStr">
        <is>
          <t>Heavy</t>
        </is>
      </c>
      <c r="H710" s="18" t="inlineStr"/>
    </row>
    <row r="711">
      <c r="A711" s="18" t="inlineStr">
        <is>
          <t>PEMEX_DEER_PARK</t>
        </is>
      </c>
      <c r="B711" s="18" t="n">
        <v>3</v>
      </c>
      <c r="C711" s="18" t="inlineStr">
        <is>
          <t>I-Butane</t>
        </is>
      </c>
      <c r="D711" s="18" t="inlineStr">
        <is>
          <t>IC4imports</t>
        </is>
      </c>
      <c r="E711" s="38" t="n">
        <v>4.79</v>
      </c>
      <c r="F711" s="38" t="n">
        <v>120.01</v>
      </c>
      <c r="G711" s="18" t="inlineStr">
        <is>
          <t>Light</t>
        </is>
      </c>
      <c r="H711" s="18" t="inlineStr"/>
    </row>
    <row r="712">
      <c r="A712" s="18" t="inlineStr">
        <is>
          <t>PHILLIPS_SWEENY</t>
        </is>
      </c>
      <c r="B712" s="18" t="n">
        <v>3</v>
      </c>
      <c r="C712" s="18" t="inlineStr">
        <is>
          <t>I-Butane</t>
        </is>
      </c>
      <c r="D712" s="18" t="inlineStr">
        <is>
          <t>IC4imports</t>
        </is>
      </c>
      <c r="E712" s="38" t="n">
        <v>4.14</v>
      </c>
      <c r="F712" s="38" t="n">
        <v>120.01</v>
      </c>
      <c r="G712" s="18" t="inlineStr">
        <is>
          <t>Light</t>
        </is>
      </c>
      <c r="H712" s="18" t="inlineStr"/>
    </row>
    <row r="713">
      <c r="A713" s="18" t="inlineStr">
        <is>
          <t>VALERO_TEXAS_CITY</t>
        </is>
      </c>
      <c r="B713" s="18" t="n">
        <v>3</v>
      </c>
      <c r="C713" s="18" t="inlineStr">
        <is>
          <t>I-Butane</t>
        </is>
      </c>
      <c r="D713" s="18" t="inlineStr">
        <is>
          <t>IC4imports</t>
        </is>
      </c>
      <c r="E713" s="38" t="n">
        <v>3.97</v>
      </c>
      <c r="F713" s="38" t="n">
        <v>120.01</v>
      </c>
      <c r="G713" s="18" t="inlineStr">
        <is>
          <t>Light</t>
        </is>
      </c>
      <c r="H713" s="18" t="inlineStr"/>
    </row>
    <row r="714">
      <c r="A714" s="18" t="inlineStr">
        <is>
          <t>CITGO_LAKE_CHARLES</t>
        </is>
      </c>
      <c r="B714" s="18" t="n">
        <v>3</v>
      </c>
      <c r="C714" s="18" t="inlineStr">
        <is>
          <t>I-Butane</t>
        </is>
      </c>
      <c r="D714" s="18" t="inlineStr">
        <is>
          <t>IC4Imports</t>
        </is>
      </c>
      <c r="E714" s="38" t="n">
        <v>3.32</v>
      </c>
      <c r="F714" s="38" t="n">
        <v>120.01</v>
      </c>
      <c r="G714" s="18" t="inlineStr">
        <is>
          <t>Light</t>
        </is>
      </c>
      <c r="H714" s="18" t="inlineStr"/>
    </row>
    <row r="715">
      <c r="A715" s="18" t="inlineStr">
        <is>
          <t>VALERO_SAINT_CHARLES</t>
        </is>
      </c>
      <c r="B715" s="18" t="n">
        <v>3</v>
      </c>
      <c r="C715" s="18" t="inlineStr">
        <is>
          <t>I-Butane</t>
        </is>
      </c>
      <c r="D715" s="18" t="inlineStr">
        <is>
          <t>IC4imports</t>
        </is>
      </c>
      <c r="E715" s="38" t="n">
        <v>3.15</v>
      </c>
      <c r="F715" s="38" t="n">
        <v>120.01</v>
      </c>
      <c r="G715" s="18" t="inlineStr">
        <is>
          <t>Light</t>
        </is>
      </c>
      <c r="H715" s="18" t="inlineStr"/>
    </row>
    <row r="716">
      <c r="A716" s="18" t="inlineStr">
        <is>
          <t>HF_ARTESIA</t>
        </is>
      </c>
      <c r="B716" s="18" t="n">
        <v>3</v>
      </c>
      <c r="C716" s="18" t="inlineStr">
        <is>
          <t>Crude Animal Fats</t>
        </is>
      </c>
      <c r="D716" s="18" t="inlineStr">
        <is>
          <t>HVOHT</t>
        </is>
      </c>
      <c r="E716" s="38" t="n">
        <v>3.06</v>
      </c>
      <c r="F716" s="38" t="n">
        <v>23.99</v>
      </c>
      <c r="G716" s="18" t="inlineStr">
        <is>
          <t>Heavy</t>
        </is>
      </c>
      <c r="H716" s="18" t="inlineStr"/>
    </row>
    <row r="717">
      <c r="A717" s="18" t="inlineStr">
        <is>
          <t>HF_ARTESIA</t>
        </is>
      </c>
      <c r="B717" s="18" t="n">
        <v>3</v>
      </c>
      <c r="C717" s="18" t="inlineStr">
        <is>
          <t>Crude Veg Oils</t>
        </is>
      </c>
      <c r="D717" s="18" t="inlineStr">
        <is>
          <t>HVOHT</t>
        </is>
      </c>
      <c r="E717" s="38" t="n">
        <v>3.04</v>
      </c>
      <c r="F717" s="38" t="n">
        <v>23.99</v>
      </c>
      <c r="G717" s="18" t="inlineStr">
        <is>
          <t>Heavy</t>
        </is>
      </c>
      <c r="H717" s="18" t="inlineStr"/>
    </row>
    <row r="718">
      <c r="A718" s="18" t="inlineStr">
        <is>
          <t>VERTEX_MOBILE</t>
        </is>
      </c>
      <c r="B718" s="18" t="n">
        <v>3</v>
      </c>
      <c r="C718" s="18" t="inlineStr">
        <is>
          <t>Crude Veg Oils</t>
        </is>
      </c>
      <c r="D718" s="18" t="inlineStr">
        <is>
          <t>HVOHT</t>
        </is>
      </c>
      <c r="E718" s="38" t="n">
        <v>2.97</v>
      </c>
      <c r="F718" s="38" t="n">
        <v>23.99</v>
      </c>
      <c r="G718" s="18" t="inlineStr">
        <is>
          <t>Heavy</t>
        </is>
      </c>
      <c r="H718" s="18" t="inlineStr"/>
    </row>
    <row r="719">
      <c r="A719" s="18" t="inlineStr">
        <is>
          <t>DELEK_EL_DORADO_AR</t>
        </is>
      </c>
      <c r="B719" s="18" t="n">
        <v>3</v>
      </c>
      <c r="C719" s="18" t="inlineStr">
        <is>
          <t>Atres - High Sulphur</t>
        </is>
      </c>
      <c r="D719" s="18" t="inlineStr">
        <is>
          <t>VDU</t>
        </is>
      </c>
      <c r="E719" s="38" t="n">
        <v>2.89</v>
      </c>
      <c r="F719" s="38" t="n">
        <v>9.949999999999999</v>
      </c>
      <c r="G719" s="18" t="inlineStr">
        <is>
          <t>Heavy</t>
        </is>
      </c>
      <c r="H719" s="18" t="inlineStr"/>
    </row>
    <row r="720">
      <c r="A720" s="18" t="inlineStr">
        <is>
          <t>PBF_CHALMETTE</t>
        </is>
      </c>
      <c r="B720" s="18" t="n">
        <v>3</v>
      </c>
      <c r="C720" s="18" t="inlineStr">
        <is>
          <t>Butane</t>
        </is>
      </c>
      <c r="D720" s="18" t="inlineStr">
        <is>
          <t>NC4Imports</t>
        </is>
      </c>
      <c r="E720" s="38" t="n">
        <v>2.03</v>
      </c>
      <c r="F720" s="38" t="n">
        <v>112.47</v>
      </c>
      <c r="G720" s="18" t="inlineStr">
        <is>
          <t>Light</t>
        </is>
      </c>
      <c r="H720" s="18" t="inlineStr"/>
    </row>
    <row r="721">
      <c r="A721" s="18" t="inlineStr">
        <is>
          <t>MARATHON_EL_PASO</t>
        </is>
      </c>
      <c r="B721" s="18" t="n">
        <v>3</v>
      </c>
      <c r="C721" s="18" t="inlineStr">
        <is>
          <t>Butane</t>
        </is>
      </c>
      <c r="D721" s="18" t="inlineStr">
        <is>
          <t>NC4Imports</t>
        </is>
      </c>
      <c r="E721" s="38" t="n">
        <v>1.8</v>
      </c>
      <c r="F721" s="38" t="n">
        <v>112.47</v>
      </c>
      <c r="G721" s="18" t="inlineStr">
        <is>
          <t>Light</t>
        </is>
      </c>
      <c r="H721" s="18" t="inlineStr"/>
    </row>
    <row r="722">
      <c r="A722" s="18" t="inlineStr">
        <is>
          <t>SHELL_NORCO</t>
        </is>
      </c>
      <c r="B722" s="18" t="n">
        <v>3</v>
      </c>
      <c r="C722" s="18" t="inlineStr">
        <is>
          <t>I-Butane</t>
        </is>
      </c>
      <c r="D722" s="18" t="inlineStr">
        <is>
          <t>IC4imports</t>
        </is>
      </c>
      <c r="E722" s="38" t="n">
        <v>1.8</v>
      </c>
      <c r="F722" s="38" t="n">
        <v>120.01</v>
      </c>
      <c r="G722" s="18" t="inlineStr">
        <is>
          <t>Light</t>
        </is>
      </c>
      <c r="H722" s="18" t="inlineStr"/>
    </row>
    <row r="723">
      <c r="A723" s="18" t="inlineStr">
        <is>
          <t>PLACID_PORT_ALLEN</t>
        </is>
      </c>
      <c r="B723" s="18" t="n">
        <v>3</v>
      </c>
      <c r="C723" s="18" t="inlineStr">
        <is>
          <t>I-Butane</t>
        </is>
      </c>
      <c r="D723" s="18" t="inlineStr">
        <is>
          <t>IC4Imports</t>
        </is>
      </c>
      <c r="E723" s="38" t="n">
        <v>1.63</v>
      </c>
      <c r="F723" s="38" t="n">
        <v>120.01</v>
      </c>
      <c r="G723" s="18" t="inlineStr">
        <is>
          <t>Light</t>
        </is>
      </c>
      <c r="H723" s="18" t="inlineStr"/>
    </row>
    <row r="724">
      <c r="A724" s="18" t="inlineStr">
        <is>
          <t>CHEVRON_PASCAGOULA</t>
        </is>
      </c>
      <c r="B724" s="18" t="n">
        <v>3</v>
      </c>
      <c r="C724" s="18" t="inlineStr">
        <is>
          <t>I-Butane</t>
        </is>
      </c>
      <c r="D724" s="18" t="inlineStr">
        <is>
          <t>IC4Imports</t>
        </is>
      </c>
      <c r="E724" s="38" t="n">
        <v>1.56</v>
      </c>
      <c r="F724" s="38" t="n">
        <v>120.01</v>
      </c>
      <c r="G724" s="18" t="inlineStr">
        <is>
          <t>Light</t>
        </is>
      </c>
      <c r="H724" s="18" t="inlineStr"/>
    </row>
    <row r="725">
      <c r="A725" s="18" t="inlineStr">
        <is>
          <t>FLINT_CORPUS_CHRISTI</t>
        </is>
      </c>
      <c r="B725" s="18" t="n">
        <v>3</v>
      </c>
      <c r="C725" s="18" t="inlineStr">
        <is>
          <t>I-Butane</t>
        </is>
      </c>
      <c r="D725" s="18" t="inlineStr">
        <is>
          <t>IC4imports</t>
        </is>
      </c>
      <c r="E725" s="38" t="n">
        <v>1.38</v>
      </c>
      <c r="F725" s="38" t="n">
        <v>120.01</v>
      </c>
      <c r="G725" s="18" t="inlineStr">
        <is>
          <t>Light</t>
        </is>
      </c>
      <c r="H725" s="18" t="inlineStr"/>
    </row>
    <row r="726">
      <c r="A726" s="18" t="inlineStr">
        <is>
          <t>HF_ARTESIA</t>
        </is>
      </c>
      <c r="B726" s="18" t="n">
        <v>3</v>
      </c>
      <c r="C726" s="18" t="inlineStr">
        <is>
          <t>I-Butane</t>
        </is>
      </c>
      <c r="D726" s="18" t="inlineStr">
        <is>
          <t>IC4Imports</t>
        </is>
      </c>
      <c r="E726" s="38" t="n">
        <v>1.32</v>
      </c>
      <c r="F726" s="38" t="n">
        <v>120.01</v>
      </c>
      <c r="G726" s="18" t="inlineStr">
        <is>
          <t>Light</t>
        </is>
      </c>
      <c r="H726" s="18" t="inlineStr"/>
    </row>
    <row r="727">
      <c r="A727" s="18" t="inlineStr">
        <is>
          <t>DELEK_TYLER</t>
        </is>
      </c>
      <c r="B727" s="18" t="n">
        <v>3</v>
      </c>
      <c r="C727" s="18" t="inlineStr">
        <is>
          <t>I-Butane</t>
        </is>
      </c>
      <c r="D727" s="18" t="inlineStr">
        <is>
          <t>IC4Imports</t>
        </is>
      </c>
      <c r="E727" s="38" t="n">
        <v>0.72</v>
      </c>
      <c r="F727" s="38" t="n">
        <v>120.01</v>
      </c>
      <c r="G727" s="18" t="inlineStr">
        <is>
          <t>Light</t>
        </is>
      </c>
      <c r="H727" s="18" t="inlineStr"/>
    </row>
    <row r="728">
      <c r="A728" s="18" t="inlineStr">
        <is>
          <t>MOTIVA_PAR</t>
        </is>
      </c>
      <c r="B728" s="18" t="n">
        <v>3</v>
      </c>
      <c r="C728" s="18" t="inlineStr">
        <is>
          <t>I-Butane</t>
        </is>
      </c>
      <c r="D728" s="18" t="inlineStr">
        <is>
          <t>IC4imports</t>
        </is>
      </c>
      <c r="E728" s="38" t="n">
        <v>0.68</v>
      </c>
      <c r="F728" s="38" t="n">
        <v>120.01</v>
      </c>
      <c r="G728" s="18" t="inlineStr">
        <is>
          <t>Light</t>
        </is>
      </c>
      <c r="H728" s="18" t="inlineStr"/>
    </row>
    <row r="729">
      <c r="A729" s="18" t="inlineStr">
        <is>
          <t>ALON_BIG_SPRINGS</t>
        </is>
      </c>
      <c r="B729" s="18" t="n">
        <v>3</v>
      </c>
      <c r="C729" s="18" t="inlineStr">
        <is>
          <t>I-Butane</t>
        </is>
      </c>
      <c r="D729" s="18" t="inlineStr">
        <is>
          <t>IC4Imports</t>
        </is>
      </c>
      <c r="E729" s="38" t="n">
        <v>0.54</v>
      </c>
      <c r="F729" s="38" t="n">
        <v>120.01</v>
      </c>
      <c r="G729" s="18" t="inlineStr">
        <is>
          <t>Light</t>
        </is>
      </c>
      <c r="H729" s="18" t="inlineStr"/>
    </row>
    <row r="730">
      <c r="A730" s="18" t="inlineStr">
        <is>
          <t>HF_WOODS_CROSS</t>
        </is>
      </c>
      <c r="B730" s="18" t="n">
        <v>4</v>
      </c>
      <c r="C730" s="18" t="inlineStr">
        <is>
          <t>VGO - Low Sulphur</t>
        </is>
      </c>
      <c r="D730" s="18" t="inlineStr">
        <is>
          <t>DHCU</t>
        </is>
      </c>
      <c r="E730" s="38" t="n">
        <v>5.8</v>
      </c>
      <c r="F730" s="38" t="n">
        <v>27.19</v>
      </c>
      <c r="G730" s="18" t="inlineStr">
        <is>
          <t>Heavy</t>
        </is>
      </c>
      <c r="H730" s="18" t="inlineStr"/>
    </row>
    <row r="731">
      <c r="A731" s="18" t="inlineStr">
        <is>
          <t>SINCLAIR_SINCLAIR</t>
        </is>
      </c>
      <c r="B731" s="18" t="n">
        <v>4</v>
      </c>
      <c r="C731" s="18" t="inlineStr">
        <is>
          <t>Crude Veg Oils</t>
        </is>
      </c>
      <c r="D731" s="18" t="inlineStr">
        <is>
          <t>HVOHT</t>
        </is>
      </c>
      <c r="E731" s="38" t="n">
        <v>5.08</v>
      </c>
      <c r="F731" s="38" t="n">
        <v>23.99</v>
      </c>
      <c r="G731" s="18" t="inlineStr">
        <is>
          <t>Heavy</t>
        </is>
      </c>
      <c r="H731" s="18" t="inlineStr"/>
    </row>
    <row r="732">
      <c r="A732" s="18" t="inlineStr">
        <is>
          <t>CHS_LAUREL</t>
        </is>
      </c>
      <c r="B732" s="18" t="n">
        <v>4</v>
      </c>
      <c r="C732" s="18" t="inlineStr">
        <is>
          <t>VGO - Low Sulphur</t>
        </is>
      </c>
      <c r="D732" s="18" t="inlineStr">
        <is>
          <t>FCC</t>
        </is>
      </c>
      <c r="E732" s="38" t="n">
        <v>4</v>
      </c>
      <c r="F732" s="38" t="n">
        <v>27.19</v>
      </c>
      <c r="G732" s="18" t="inlineStr">
        <is>
          <t>Heavy</t>
        </is>
      </c>
      <c r="H732" s="18" t="inlineStr"/>
    </row>
    <row r="733">
      <c r="A733" s="18" t="inlineStr">
        <is>
          <t>HF_WOODS_CROSS</t>
        </is>
      </c>
      <c r="B733" s="18" t="n">
        <v>4</v>
      </c>
      <c r="C733" s="18" t="inlineStr">
        <is>
          <t>I-Butane</t>
        </is>
      </c>
      <c r="D733" s="18" t="inlineStr">
        <is>
          <t>IC4Imports</t>
        </is>
      </c>
      <c r="E733" s="38" t="n">
        <v>2.15</v>
      </c>
      <c r="F733" s="38" t="n">
        <v>120.01</v>
      </c>
      <c r="G733" s="18" t="inlineStr">
        <is>
          <t>Light</t>
        </is>
      </c>
      <c r="H733" s="18" t="inlineStr"/>
    </row>
    <row r="734">
      <c r="A734" s="18" t="inlineStr">
        <is>
          <t>PAR_BILLINGS</t>
        </is>
      </c>
      <c r="B734" s="18" t="n">
        <v>4</v>
      </c>
      <c r="C734" s="18" t="inlineStr">
        <is>
          <t>I-Butane</t>
        </is>
      </c>
      <c r="D734" s="18" t="inlineStr">
        <is>
          <t>IC4imports</t>
        </is>
      </c>
      <c r="E734" s="38" t="n">
        <v>1.09</v>
      </c>
      <c r="F734" s="38" t="n">
        <v>120.01</v>
      </c>
      <c r="G734" s="18" t="inlineStr">
        <is>
          <t>Light</t>
        </is>
      </c>
      <c r="H734" s="18" t="inlineStr"/>
    </row>
    <row r="735">
      <c r="A735" s="18" t="inlineStr">
        <is>
          <t>MARATHON_SALT_LAKE_CITY</t>
        </is>
      </c>
      <c r="B735" s="18" t="n">
        <v>4</v>
      </c>
      <c r="C735" s="18" t="inlineStr">
        <is>
          <t>I-Butane</t>
        </is>
      </c>
      <c r="D735" s="18" t="inlineStr">
        <is>
          <t>IC4Imports</t>
        </is>
      </c>
      <c r="E735" s="38" t="n">
        <v>1.05</v>
      </c>
      <c r="F735" s="38" t="n">
        <v>120.01</v>
      </c>
      <c r="G735" s="18" t="inlineStr">
        <is>
          <t>Light</t>
        </is>
      </c>
      <c r="H735" s="18" t="inlineStr"/>
    </row>
    <row r="736">
      <c r="A736" s="18" t="inlineStr">
        <is>
          <t>CHEVRON_SALT_LAKE_CITY</t>
        </is>
      </c>
      <c r="B736" s="18" t="n">
        <v>4</v>
      </c>
      <c r="C736" s="18" t="inlineStr">
        <is>
          <t>Butane</t>
        </is>
      </c>
      <c r="D736" s="18" t="inlineStr">
        <is>
          <t>NC4Imports</t>
        </is>
      </c>
      <c r="E736" s="38" t="n">
        <v>0.48</v>
      </c>
      <c r="F736" s="38" t="n">
        <v>112.47</v>
      </c>
      <c r="G736" s="18" t="inlineStr">
        <is>
          <t>Light</t>
        </is>
      </c>
      <c r="H736" s="18" t="inlineStr"/>
    </row>
    <row r="737">
      <c r="A737" s="18" t="inlineStr">
        <is>
          <t>PBF_MARTINEZ</t>
        </is>
      </c>
      <c r="B737" s="18" t="n">
        <v>5</v>
      </c>
      <c r="C737" s="18" t="inlineStr">
        <is>
          <t>VGO - Low Sulphur</t>
        </is>
      </c>
      <c r="D737" s="18" t="inlineStr">
        <is>
          <t>FCC</t>
        </is>
      </c>
      <c r="E737" s="38" t="n">
        <v>37</v>
      </c>
      <c r="F737" s="38" t="n">
        <v>27.19</v>
      </c>
      <c r="G737" s="18" t="inlineStr">
        <is>
          <t>Heavy</t>
        </is>
      </c>
      <c r="H737" s="18" t="inlineStr"/>
    </row>
    <row r="738">
      <c r="A738" s="18" t="inlineStr">
        <is>
          <t>VALERO_BENICIA</t>
        </is>
      </c>
      <c r="B738" s="18" t="n">
        <v>5</v>
      </c>
      <c r="C738" s="18" t="inlineStr">
        <is>
          <t>VGO - High Sulphur</t>
        </is>
      </c>
      <c r="D738" s="18" t="inlineStr">
        <is>
          <t>FCC</t>
        </is>
      </c>
      <c r="E738" s="38" t="n">
        <v>22</v>
      </c>
      <c r="F738" s="38" t="n">
        <v>24.15</v>
      </c>
      <c r="G738" s="18" t="inlineStr">
        <is>
          <t>Heavy</t>
        </is>
      </c>
      <c r="H738" s="18" t="inlineStr"/>
    </row>
    <row r="739">
      <c r="A739" s="18" t="inlineStr">
        <is>
          <t>CHEVRON_RICHMOND</t>
        </is>
      </c>
      <c r="B739" s="18" t="n">
        <v>5</v>
      </c>
      <c r="C739" s="18" t="inlineStr">
        <is>
          <t>VGO - Low Sulphur</t>
        </is>
      </c>
      <c r="D739" s="18" t="inlineStr">
        <is>
          <t>DHCU</t>
        </is>
      </c>
      <c r="E739" s="38" t="n">
        <v>13.87</v>
      </c>
      <c r="F739" s="38" t="n">
        <v>27.19</v>
      </c>
      <c r="G739" s="18" t="inlineStr">
        <is>
          <t>Heavy</t>
        </is>
      </c>
      <c r="H739" s="18" t="inlineStr"/>
    </row>
    <row r="740">
      <c r="A740" s="18" t="inlineStr">
        <is>
          <t>VALERO_LOS_ANGELES</t>
        </is>
      </c>
      <c r="B740" s="18" t="n">
        <v>5</v>
      </c>
      <c r="C740" s="18" t="inlineStr">
        <is>
          <t>VGO - High Sulphur</t>
        </is>
      </c>
      <c r="D740" s="18" t="inlineStr">
        <is>
          <t>CFHT</t>
        </is>
      </c>
      <c r="E740" s="38" t="n">
        <v>10</v>
      </c>
      <c r="F740" s="38" t="n">
        <v>24.15</v>
      </c>
      <c r="G740" s="18" t="inlineStr">
        <is>
          <t>Heavy</t>
        </is>
      </c>
      <c r="H740" s="18" t="inlineStr"/>
    </row>
    <row r="741">
      <c r="A741" s="18" t="inlineStr">
        <is>
          <t>MARATHON_ANACORTES</t>
        </is>
      </c>
      <c r="B741" s="18" t="n">
        <v>5</v>
      </c>
      <c r="C741" s="18" t="inlineStr">
        <is>
          <t>VGO - Low Sulphur</t>
        </is>
      </c>
      <c r="D741" s="18" t="inlineStr">
        <is>
          <t>FCC</t>
        </is>
      </c>
      <c r="E741" s="38" t="n">
        <v>8</v>
      </c>
      <c r="F741" s="38" t="n">
        <v>27.19</v>
      </c>
      <c r="G741" s="18" t="inlineStr">
        <is>
          <t>Heavy</t>
        </is>
      </c>
      <c r="H741" s="18" t="inlineStr"/>
    </row>
    <row r="742">
      <c r="A742" s="18" t="inlineStr">
        <is>
          <t>PHILLIPS_LOS_ANGELES</t>
        </is>
      </c>
      <c r="B742" s="18" t="n">
        <v>5</v>
      </c>
      <c r="C742" s="18" t="inlineStr">
        <is>
          <t>VGO - High Sulphur</t>
        </is>
      </c>
      <c r="D742" s="18" t="inlineStr">
        <is>
          <t>FCC</t>
        </is>
      </c>
      <c r="E742" s="38" t="n">
        <v>8</v>
      </c>
      <c r="F742" s="38" t="n">
        <v>24.15</v>
      </c>
      <c r="G742" s="18" t="inlineStr">
        <is>
          <t>Heavy</t>
        </is>
      </c>
      <c r="H742" s="18" t="inlineStr"/>
    </row>
    <row r="743">
      <c r="A743" s="18" t="inlineStr">
        <is>
          <t>PBF_TORRANCE</t>
        </is>
      </c>
      <c r="B743" s="18" t="n">
        <v>5</v>
      </c>
      <c r="C743" s="18" t="inlineStr">
        <is>
          <t>VGO - Low Sulphur</t>
        </is>
      </c>
      <c r="D743" s="18" t="inlineStr">
        <is>
          <t>DHCUN</t>
        </is>
      </c>
      <c r="E743" s="38" t="n">
        <v>5</v>
      </c>
      <c r="F743" s="38" t="n">
        <v>27.19</v>
      </c>
      <c r="G743" s="18" t="inlineStr">
        <is>
          <t>Heavy</t>
        </is>
      </c>
      <c r="H743" s="18" t="inlineStr"/>
    </row>
    <row r="744">
      <c r="A744" s="18" t="inlineStr">
        <is>
          <t>BP_FERNDALE</t>
        </is>
      </c>
      <c r="B744" s="18" t="n">
        <v>5</v>
      </c>
      <c r="C744" s="18" t="inlineStr">
        <is>
          <t>Crude Animal Fats</t>
        </is>
      </c>
      <c r="D744" s="18" t="inlineStr">
        <is>
          <t>HVOHT</t>
        </is>
      </c>
      <c r="E744" s="38" t="n">
        <v>3.26</v>
      </c>
      <c r="F744" s="38" t="n">
        <v>23.99</v>
      </c>
      <c r="G744" s="18" t="inlineStr">
        <is>
          <t>Heavy</t>
        </is>
      </c>
      <c r="H744" s="18" t="inlineStr"/>
    </row>
    <row r="745">
      <c r="A745" s="18" t="inlineStr">
        <is>
          <t>CHEVRON_RICHMOND</t>
        </is>
      </c>
      <c r="B745" s="18" t="n">
        <v>5</v>
      </c>
      <c r="C745" s="18" t="inlineStr">
        <is>
          <t>Naphtha</t>
        </is>
      </c>
      <c r="D745" s="18" t="inlineStr">
        <is>
          <t>NHT</t>
        </is>
      </c>
      <c r="E745" s="38" t="n">
        <v>2.02</v>
      </c>
      <c r="F745" s="38" t="n">
        <v>56</v>
      </c>
      <c r="G745" s="18" t="inlineStr">
        <is>
          <t>Light</t>
        </is>
      </c>
      <c r="H745" s="28" t="inlineStr">
        <is>
          <t>BUYER</t>
        </is>
      </c>
    </row>
    <row r="746">
      <c r="A746" s="18" t="inlineStr">
        <is>
          <t>VALERO_LOS_ANGELES</t>
        </is>
      </c>
      <c r="B746" s="18" t="n">
        <v>5</v>
      </c>
      <c r="C746" s="18" t="inlineStr">
        <is>
          <t>I-Butane</t>
        </is>
      </c>
      <c r="D746" s="18" t="inlineStr">
        <is>
          <t>IC4imports</t>
        </is>
      </c>
      <c r="E746" s="38" t="n">
        <v>1.88</v>
      </c>
      <c r="F746" s="38" t="n">
        <v>120.01</v>
      </c>
      <c r="G746" s="18" t="inlineStr">
        <is>
          <t>Light</t>
        </is>
      </c>
      <c r="H746" s="18" t="inlineStr"/>
    </row>
    <row r="747">
      <c r="A747" s="18" t="inlineStr">
        <is>
          <t>PBF_MARTINEZ</t>
        </is>
      </c>
      <c r="B747" s="18" t="n">
        <v>5</v>
      </c>
      <c r="C747" s="18" t="inlineStr">
        <is>
          <t>I-Butane</t>
        </is>
      </c>
      <c r="D747" s="18" t="inlineStr">
        <is>
          <t>IC4imports</t>
        </is>
      </c>
      <c r="E747" s="38" t="n">
        <v>1.77</v>
      </c>
      <c r="F747" s="38" t="n">
        <v>120.01</v>
      </c>
      <c r="G747" s="18" t="inlineStr">
        <is>
          <t>Light</t>
        </is>
      </c>
      <c r="H747" s="18" t="inlineStr"/>
    </row>
    <row r="748">
      <c r="A748" s="18" t="inlineStr">
        <is>
          <t>PHILLIPS_FERNDALE</t>
        </is>
      </c>
      <c r="B748" s="18" t="n">
        <v>5</v>
      </c>
      <c r="C748" s="18" t="inlineStr">
        <is>
          <t>Butane</t>
        </is>
      </c>
      <c r="D748" s="18" t="inlineStr">
        <is>
          <t>NC4Imports</t>
        </is>
      </c>
      <c r="E748" s="38" t="n">
        <v>1.53</v>
      </c>
      <c r="F748" s="38" t="n">
        <v>112.47</v>
      </c>
      <c r="G748" s="18" t="inlineStr">
        <is>
          <t>Light</t>
        </is>
      </c>
      <c r="H748" s="18" t="inlineStr"/>
    </row>
    <row r="749">
      <c r="A749" s="18" t="inlineStr">
        <is>
          <t>HF_ANACORTES</t>
        </is>
      </c>
      <c r="B749" s="18" t="n">
        <v>5</v>
      </c>
      <c r="C749" s="18" t="inlineStr">
        <is>
          <t>I-Butane</t>
        </is>
      </c>
      <c r="D749" s="18" t="inlineStr">
        <is>
          <t>IC4imports</t>
        </is>
      </c>
      <c r="E749" s="38" t="n">
        <v>1.5</v>
      </c>
      <c r="F749" s="38" t="n">
        <v>120.01</v>
      </c>
      <c r="G749" s="18" t="inlineStr">
        <is>
          <t>Light</t>
        </is>
      </c>
      <c r="H749" s="18" t="inlineStr"/>
    </row>
    <row r="750">
      <c r="A750" s="18" t="inlineStr">
        <is>
          <t>MARATHON_ANACORTES</t>
        </is>
      </c>
      <c r="B750" s="18" t="n">
        <v>5</v>
      </c>
      <c r="C750" s="18" t="inlineStr">
        <is>
          <t>Butane</t>
        </is>
      </c>
      <c r="D750" s="18" t="inlineStr">
        <is>
          <t>NC4Imports</t>
        </is>
      </c>
      <c r="E750" s="38" t="n">
        <v>1.01</v>
      </c>
      <c r="F750" s="38" t="n">
        <v>112.47</v>
      </c>
      <c r="G750" s="18" t="inlineStr">
        <is>
          <t>Light</t>
        </is>
      </c>
      <c r="H750" s="18" t="inlineStr"/>
    </row>
    <row r="751">
      <c r="A751" s="18" t="inlineStr">
        <is>
          <t>PBF_TORRANCE</t>
        </is>
      </c>
      <c r="B751" s="18" t="n">
        <v>5</v>
      </c>
      <c r="C751" s="18" t="inlineStr">
        <is>
          <t>I-Butane</t>
        </is>
      </c>
      <c r="D751" s="18" t="inlineStr">
        <is>
          <t>IC4imports</t>
        </is>
      </c>
      <c r="E751" s="38" t="n">
        <v>0.85</v>
      </c>
      <c r="F751" s="38" t="n">
        <v>120.01</v>
      </c>
      <c r="G751" s="18" t="inlineStr">
        <is>
          <t>Light</t>
        </is>
      </c>
      <c r="H751" s="18" t="inlineStr"/>
    </row>
    <row r="752">
      <c r="A752" s="18" t="inlineStr">
        <is>
          <t>BP_FERNDALE</t>
        </is>
      </c>
      <c r="B752" s="18" t="n">
        <v>5</v>
      </c>
      <c r="C752" s="18" t="inlineStr">
        <is>
          <t>Crude UCO</t>
        </is>
      </c>
      <c r="D752" s="18" t="inlineStr">
        <is>
          <t>HVOHT</t>
        </is>
      </c>
      <c r="E752" s="38" t="n">
        <v>0.61</v>
      </c>
      <c r="F752" s="38" t="n">
        <v>23.99</v>
      </c>
      <c r="G752" s="18" t="inlineStr">
        <is>
          <t>Heavy</t>
        </is>
      </c>
      <c r="H752" s="18" t="inlineStr"/>
    </row>
  </sheetData>
  <mergeCells count="2">
    <mergeCell ref="A650:H650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23B3B"/>
    <outlinePr summaryBelow="1" summaryRight="1"/>
    <pageSetUpPr/>
  </sheetPr>
  <dimension ref="A1:H22"/>
  <sheetViews>
    <sheetView showGridLines="0" zoomScale="9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8" t="inlineStr">
        <is>
          <t>Blending economics — FRAMEWORK: fill the blue price / freight / scenario inputs on the Assumptions tab and every number here goes live.</t>
        </is>
      </c>
      <c r="B1" s="9" t="n"/>
      <c r="C1" s="9" t="n"/>
      <c r="D1" s="9" t="n"/>
      <c r="E1" s="9" t="n"/>
      <c r="F1" s="9" t="n"/>
      <c r="G1" s="9" t="n"/>
      <c r="H1" s="9" t="n"/>
    </row>
    <row r="3" ht="20" customHeight="1">
      <c r="A3" s="8" t="inlineStr">
        <is>
          <t>Blend value spreads ($/bbl)</t>
        </is>
      </c>
      <c r="B3" s="9" t="n"/>
      <c r="C3" s="9" t="n"/>
      <c r="D3" s="9" t="n"/>
    </row>
    <row r="4">
      <c r="A4" s="11" t="inlineStr">
        <is>
          <t>Gasoline - HVN (naphtha pull into mogas when positive)</t>
        </is>
      </c>
      <c r="D4" s="39">
        <f>Assumptions!$S$14-Assumptions!$S$15</f>
        <v/>
      </c>
    </row>
    <row r="5">
      <c r="A5" s="11" t="inlineStr">
        <is>
          <t>Gasoline - LVN</t>
        </is>
      </c>
      <c r="D5" s="39">
        <f>Assumptions!$S$14-Assumptions!$S$16</f>
        <v/>
      </c>
    </row>
    <row r="6">
      <c r="A6" s="11" t="inlineStr">
        <is>
          <t>Reformate - HVN (reforming uplift)</t>
        </is>
      </c>
      <c r="D6" s="39">
        <f>Assumptions!$S$19-Assumptions!$S$15</f>
        <v/>
      </c>
    </row>
    <row r="7">
      <c r="A7" s="11" t="inlineStr">
        <is>
          <t>Naphtha USGC - WTI (naphtha crack)</t>
        </is>
      </c>
      <c r="D7" s="39">
        <f>Assumptions!$S$15-Assumptions!$S$20</f>
        <v/>
      </c>
    </row>
    <row r="9" ht="20" customHeight="1">
      <c r="A9" s="8" t="inlineStr">
        <is>
          <t>Arbitrage netbacks ($/bbl) — positive = arb OPEN</t>
        </is>
      </c>
      <c r="B9" s="9" t="n"/>
      <c r="C9" s="9" t="n"/>
      <c r="D9" s="9" t="n"/>
    </row>
    <row r="10">
      <c r="A10" s="11" t="inlineStr">
        <is>
          <t>USGC -&gt; Asia</t>
        </is>
      </c>
      <c r="D10" s="40">
        <f>Assumptions!$S$18-Assumptions!$S$15-Assumptions!$S$26</f>
        <v/>
      </c>
      <c r="E10" s="41">
        <f>IF(D10&gt;0,"OPEN","shut")</f>
        <v/>
      </c>
    </row>
    <row r="11">
      <c r="A11" s="11" t="inlineStr">
        <is>
          <t>USGC -&gt; NWE</t>
        </is>
      </c>
      <c r="D11" s="40">
        <f>Assumptions!$S$17-Assumptions!$S$15-Assumptions!$S$27</f>
        <v/>
      </c>
      <c r="E11" s="41">
        <f>IF(D11&gt;0,"OPEN","shut")</f>
        <v/>
      </c>
    </row>
    <row r="12">
      <c r="A12" s="11" t="inlineStr">
        <is>
          <t>NWE -&gt; USGC (imports)</t>
        </is>
      </c>
      <c r="D12" s="40">
        <f>Assumptions!$S$15-Assumptions!$S$17-Assumptions!$S$28</f>
        <v/>
      </c>
      <c r="E12" s="41">
        <f>IF(D12&gt;0,"OPEN","shut")</f>
        <v/>
      </c>
    </row>
    <row r="14" ht="20" customHeight="1">
      <c r="A14" s="8" t="inlineStr">
        <is>
          <t>Slate scenarios by PADD (kbd) — max-light vs max-heavy crude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17" t="inlineStr">
        <is>
          <t>PADD</t>
        </is>
      </c>
      <c r="B15" s="17" t="inlineStr">
        <is>
          <t>crude runs</t>
        </is>
      </c>
      <c r="C15" s="17" t="inlineStr">
        <is>
          <t>net naphtha (base)</t>
        </is>
      </c>
      <c r="D15" s="17" t="inlineStr">
        <is>
          <t>max-light delta</t>
        </is>
      </c>
      <c r="E15" s="17" t="inlineStr">
        <is>
          <t>max-heavy delta</t>
        </is>
      </c>
      <c r="F15" s="17" t="inlineStr">
        <is>
          <t>$k/day at stake (light, vs mogas)</t>
        </is>
      </c>
    </row>
    <row r="16">
      <c r="A16" s="33" t="n">
        <v>1</v>
      </c>
      <c r="B16" s="21">
        <f>SUMPRODUCT(((Boxes!$D$3:$D$1084="CDU")+(Boxes!$D$3:$D$1084="CRUDE-EST"))*(Boxes!$C$3:$C$1084=1)*Boxes!$F$3:$F$1084*Boxes!$J$3:$J$1084)</f>
        <v/>
      </c>
      <c r="C16" s="26">
        <f>SUMPRODUCT((Boxes!$A$3:$A$1084="TOTAL")*(Boxes!$C$3:$C$1084=1)*Boxes!$P$3:$P$1084)</f>
        <v/>
      </c>
      <c r="D16" s="42">
        <f>$B16*Assumptions!$S$34/100</f>
        <v/>
      </c>
      <c r="E16" s="42">
        <f>-$B16*Assumptions!$S$35/100</f>
        <v/>
      </c>
      <c r="F16" s="26">
        <f>$D16*1000*$D$4/1000</f>
        <v/>
      </c>
    </row>
    <row r="17">
      <c r="A17" s="33" t="n">
        <v>2</v>
      </c>
      <c r="B17" s="21">
        <f>SUMPRODUCT(((Boxes!$D$3:$D$1084="CDU")+(Boxes!$D$3:$D$1084="CRUDE-EST"))*(Boxes!$C$3:$C$1084=2)*Boxes!$F$3:$F$1084*Boxes!$J$3:$J$1084)</f>
        <v/>
      </c>
      <c r="C17" s="26">
        <f>SUMPRODUCT((Boxes!$A$3:$A$1084="TOTAL")*(Boxes!$C$3:$C$1084=2)*Boxes!$P$3:$P$1084)</f>
        <v/>
      </c>
      <c r="D17" s="42">
        <f>$B17*Assumptions!$S$34/100</f>
        <v/>
      </c>
      <c r="E17" s="42">
        <f>-$B17*Assumptions!$S$35/100</f>
        <v/>
      </c>
      <c r="F17" s="26">
        <f>$D17*1000*$D$4/1000</f>
        <v/>
      </c>
    </row>
    <row r="18">
      <c r="A18" s="33" t="n">
        <v>3</v>
      </c>
      <c r="B18" s="21">
        <f>SUMPRODUCT(((Boxes!$D$3:$D$1084="CDU")+(Boxes!$D$3:$D$1084="CRUDE-EST"))*(Boxes!$C$3:$C$1084=3)*Boxes!$F$3:$F$1084*Boxes!$J$3:$J$1084)</f>
        <v/>
      </c>
      <c r="C18" s="26">
        <f>SUMPRODUCT((Boxes!$A$3:$A$1084="TOTAL")*(Boxes!$C$3:$C$1084=3)*Boxes!$P$3:$P$1084)</f>
        <v/>
      </c>
      <c r="D18" s="42">
        <f>$B18*Assumptions!$S$34/100</f>
        <v/>
      </c>
      <c r="E18" s="42">
        <f>-$B18*Assumptions!$S$35/100</f>
        <v/>
      </c>
      <c r="F18" s="26">
        <f>$D18*1000*$D$4/1000</f>
        <v/>
      </c>
    </row>
    <row r="19">
      <c r="A19" s="33" t="n">
        <v>4</v>
      </c>
      <c r="B19" s="21">
        <f>SUMPRODUCT(((Boxes!$D$3:$D$1084="CDU")+(Boxes!$D$3:$D$1084="CRUDE-EST"))*(Boxes!$C$3:$C$1084=4)*Boxes!$F$3:$F$1084*Boxes!$J$3:$J$1084)</f>
        <v/>
      </c>
      <c r="C19" s="26">
        <f>SUMPRODUCT((Boxes!$A$3:$A$1084="TOTAL")*(Boxes!$C$3:$C$1084=4)*Boxes!$P$3:$P$1084)</f>
        <v/>
      </c>
      <c r="D19" s="42">
        <f>$B19*Assumptions!$S$34/100</f>
        <v/>
      </c>
      <c r="E19" s="42">
        <f>-$B19*Assumptions!$S$35/100</f>
        <v/>
      </c>
      <c r="F19" s="26">
        <f>$D19*1000*$D$4/1000</f>
        <v/>
      </c>
    </row>
    <row r="20">
      <c r="A20" s="33" t="n">
        <v>5</v>
      </c>
      <c r="B20" s="21">
        <f>SUMPRODUCT(((Boxes!$D$3:$D$1084="CDU")+(Boxes!$D$3:$D$1084="CRUDE-EST"))*(Boxes!$C$3:$C$1084=5)*Boxes!$F$3:$F$1084*Boxes!$J$3:$J$1084)</f>
        <v/>
      </c>
      <c r="C20" s="26">
        <f>SUMPRODUCT((Boxes!$A$3:$A$1084="TOTAL")*(Boxes!$C$3:$C$1084=5)*Boxes!$P$3:$P$1084)</f>
        <v/>
      </c>
      <c r="D20" s="42">
        <f>$B20*Assumptions!$S$34/100</f>
        <v/>
      </c>
      <c r="E20" s="42">
        <f>-$B20*Assumptions!$S$35/100</f>
        <v/>
      </c>
      <c r="F20" s="26">
        <f>$D20*1000*$D$4/1000</f>
        <v/>
      </c>
    </row>
    <row r="22">
      <c r="A22" s="11" t="inlineStr">
        <is>
          <t>Where blends become economical: switch to max-light when the naphtha value chain (spreads + open arbs) beats the light-crude premium plus logistics; the desk sets those inputs on Assumptions.</t>
        </is>
      </c>
    </row>
  </sheetData>
  <mergeCells count="4">
    <mergeCell ref="A9:D9"/>
    <mergeCell ref="A14:H14"/>
    <mergeCell ref="A3:D3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A5195"/>
    <outlinePr summaryBelow="1" summaryRight="1"/>
    <pageSetUpPr/>
  </sheetPr>
  <dimension ref="A1:O113"/>
  <sheetViews>
    <sheetView showGridLines="0" zoomScale="9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11" customWidth="1" min="7" max="7"/>
    <col width="8" customWidth="1" min="8" max="8"/>
    <col width="12" customWidth="1" min="9" max="9"/>
    <col width="9" customWidth="1" min="10" max="10"/>
    <col width="11" customWidth="1" min="11" max="11"/>
    <col width="11" customWidth="1" min="12" max="12"/>
    <col width="10" customWidth="1" min="13" max="13"/>
    <col width="11" customWidth="1" min="14" max="14"/>
    <col width="13" customWidth="1" min="15" max="15"/>
  </cols>
  <sheetData>
    <row r="1" ht="20" customHeight="1">
      <c r="A1" s="8" t="inlineStr">
        <is>
          <t>Kit walk — CDU -&gt; overheads (SR naphtha) -&gt; naphtha hydrofiner -&gt; reformer -&gt; net naphtha vs 2024 actual. The yield-tuning workbench: adjust Assumptions/Boxes yields until delta ~ 0 per refinery.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2">
      <c r="A2" s="17" t="inlineStr">
        <is>
          <t>refinery_id</t>
        </is>
      </c>
      <c r="B2" s="17" t="inlineStr">
        <is>
          <t>padd</t>
        </is>
      </c>
      <c r="C2" s="17" t="inlineStr">
        <is>
          <t>CDU cap</t>
        </is>
      </c>
      <c r="D2" s="17" t="inlineStr">
        <is>
          <t>CDU util</t>
        </is>
      </c>
      <c r="E2" s="17" t="inlineStr">
        <is>
          <t>CDU runs</t>
        </is>
      </c>
      <c r="F2" s="17" t="inlineStr">
        <is>
          <t>SR naphtha %</t>
        </is>
      </c>
      <c r="G2" s="17" t="inlineStr">
        <is>
          <t>SR naphtha kbd</t>
        </is>
      </c>
      <c r="H2" s="17" t="inlineStr">
        <is>
          <t>NHT cap</t>
        </is>
      </c>
      <c r="I2" s="17" t="inlineStr">
        <is>
          <t>reformer feed</t>
        </is>
      </c>
      <c r="J2" s="17" t="inlineStr">
        <is>
          <t>isom pull</t>
        </is>
      </c>
      <c r="K2" s="17" t="inlineStr">
        <is>
          <t>net naphtha</t>
        </is>
      </c>
      <c r="L2" s="17" t="inlineStr">
        <is>
          <t>2024 actual %</t>
        </is>
      </c>
      <c r="M2" s="17" t="inlineStr">
        <is>
          <t>implied %</t>
        </is>
      </c>
      <c r="N2" s="17" t="inlineStr">
        <is>
          <t>delta (pts)</t>
        </is>
      </c>
      <c r="O2" s="17" t="inlineStr">
        <is>
          <t>flag</t>
        </is>
      </c>
    </row>
    <row r="3">
      <c r="A3" s="18" t="inlineStr">
        <is>
          <t>PHILLIPS_LINDEN</t>
        </is>
      </c>
      <c r="B3" s="18" t="n">
        <v>1</v>
      </c>
      <c r="C3" s="21">
        <f>SUMPRODUCT((Boxes!$B$3:$B$1084=$A3)*(Boxes!$D$3:$D$1084="CDU")*Boxes!$F$3:$F$1084)</f>
        <v/>
      </c>
      <c r="D3" s="35">
        <f>SUMPRODUCT((Boxes!$B$3:$B$1084=$A3)*(Boxes!$D$3:$D$1084="CDU")*Boxes!$J$3:$J$1084)</f>
        <v/>
      </c>
      <c r="E3" s="21">
        <f>$C3*$D3</f>
        <v/>
      </c>
      <c r="F3" s="24">
        <f>SUMPRODUCT((Boxes!$B$3:$B$1084=$A3)*(Boxes!$D$3:$D$1084="CDU")*Boxes!$O$3:$O$1084)</f>
        <v/>
      </c>
      <c r="G3" s="26">
        <f>$E3*$F3</f>
        <v/>
      </c>
      <c r="H3" s="21">
        <f>SUMPRODUCT((Boxes!$B$3:$B$1084=$A3)*(Boxes!$D$3:$D$1084="NHT")*Boxes!$F$3:$F$1084)</f>
        <v/>
      </c>
      <c r="I3" s="26">
        <f>SUMPRODUCT((Boxes!$B$3:$B$1084=$A3)*(Boxes!$D$3:$D$1084="REF")*Boxes!$F$3:$F$1084)*SUMPRODUCT((Boxes!$B$3:$B$1084=$A3)*(Boxes!$D$3:$D$1084="REF")*Boxes!$J$3:$J$1084)+SUMPRODUCT((Boxes!$B$3:$B$1084=$A3)*(Boxes!$D$3:$D$1084="CCR")*Boxes!$F$3:$F$1084)*SUMPRODUCT((Boxes!$B$3:$B$1084=$A3)*(Boxes!$D$3:$D$1084="CCR")*Boxes!$J$3:$J$1084)</f>
        <v/>
      </c>
      <c r="J3" s="26">
        <f>SUMPRODUCT((Boxes!$B$3:$B$1084=$A3)*(Boxes!$D$3:$D$1084="ISOM")*Boxes!$F$3:$F$1084)*SUMPRODUCT((Boxes!$B$3:$B$1084=$A3)*(Boxes!$D$3:$D$1084="ISOM")*Boxes!$J$3:$J$1084)</f>
        <v/>
      </c>
      <c r="K3" s="26">
        <f>SUMPRODUCT((Boxes!$A$3:$A$1084="TOTAL")*(Boxes!$B$3:$B$1084=$A3)*Boxes!$P$3:$P$1084)</f>
        <v/>
      </c>
      <c r="L3" s="25">
        <f>SUMIFS(Data!$N$3:$N$125,Data!$A$3:$A$125,$A3)</f>
        <v/>
      </c>
      <c r="M3" s="25">
        <f>IFERROR($K3/(SUMIFS(Data!$G$3:$G$125,Data!$A$3:$A$125,$A3)*$D3),"")</f>
        <v/>
      </c>
      <c r="N3" s="43">
        <f>IF($M3="","",$M3-$L3)</f>
        <v/>
      </c>
      <c r="O3" s="41">
        <f>IF(AND($H3&gt;0,$G3&gt;$H3*1.05),"SR &gt; NHT cap","")</f>
        <v/>
      </c>
    </row>
    <row r="4">
      <c r="A4" s="18" t="inlineStr">
        <is>
          <t>MONROE_TRAINER</t>
        </is>
      </c>
      <c r="B4" s="18" t="n">
        <v>1</v>
      </c>
      <c r="C4" s="21">
        <f>SUMPRODUCT((Boxes!$B$3:$B$1084=$A4)*(Boxes!$D$3:$D$1084="CDU")*Boxes!$F$3:$F$1084)</f>
        <v/>
      </c>
      <c r="D4" s="35">
        <f>SUMPRODUCT((Boxes!$B$3:$B$1084=$A4)*(Boxes!$D$3:$D$1084="CDU")*Boxes!$J$3:$J$1084)</f>
        <v/>
      </c>
      <c r="E4" s="21">
        <f>$C4*$D4</f>
        <v/>
      </c>
      <c r="F4" s="24">
        <f>SUMPRODUCT((Boxes!$B$3:$B$1084=$A4)*(Boxes!$D$3:$D$1084="CDU")*Boxes!$O$3:$O$1084)</f>
        <v/>
      </c>
      <c r="G4" s="26">
        <f>$E4*$F4</f>
        <v/>
      </c>
      <c r="H4" s="21">
        <f>SUMPRODUCT((Boxes!$B$3:$B$1084=$A4)*(Boxes!$D$3:$D$1084="NHT")*Boxes!$F$3:$F$1084)</f>
        <v/>
      </c>
      <c r="I4" s="26">
        <f>SUMPRODUCT((Boxes!$B$3:$B$1084=$A4)*(Boxes!$D$3:$D$1084="REF")*Boxes!$F$3:$F$1084)*SUMPRODUCT((Boxes!$B$3:$B$1084=$A4)*(Boxes!$D$3:$D$1084="REF")*Boxes!$J$3:$J$1084)+SUMPRODUCT((Boxes!$B$3:$B$1084=$A4)*(Boxes!$D$3:$D$1084="CCR")*Boxes!$F$3:$F$1084)*SUMPRODUCT((Boxes!$B$3:$B$1084=$A4)*(Boxes!$D$3:$D$1084="CCR")*Boxes!$J$3:$J$1084)</f>
        <v/>
      </c>
      <c r="J4" s="26">
        <f>SUMPRODUCT((Boxes!$B$3:$B$1084=$A4)*(Boxes!$D$3:$D$1084="ISOM")*Boxes!$F$3:$F$1084)*SUMPRODUCT((Boxes!$B$3:$B$1084=$A4)*(Boxes!$D$3:$D$1084="ISOM")*Boxes!$J$3:$J$1084)</f>
        <v/>
      </c>
      <c r="K4" s="26">
        <f>SUMPRODUCT((Boxes!$A$3:$A$1084="TOTAL")*(Boxes!$B$3:$B$1084=$A4)*Boxes!$P$3:$P$1084)</f>
        <v/>
      </c>
      <c r="L4" s="25">
        <f>SUMIFS(Data!$N$3:$N$125,Data!$A$3:$A$125,$A4)</f>
        <v/>
      </c>
      <c r="M4" s="25">
        <f>IFERROR($K4/(SUMIFS(Data!$G$3:$G$125,Data!$A$3:$A$125,$A4)*$D4),"")</f>
        <v/>
      </c>
      <c r="N4" s="43">
        <f>IF($M4="","",$M4-$L4)</f>
        <v/>
      </c>
      <c r="O4" s="41">
        <f>IF(AND($H4&gt;0,$G4&gt;$H4*1.05),"SR &gt; NHT cap","")</f>
        <v/>
      </c>
    </row>
    <row r="5">
      <c r="A5" s="18" t="inlineStr">
        <is>
          <t>UNITED_WARREN</t>
        </is>
      </c>
      <c r="B5" s="18" t="n">
        <v>1</v>
      </c>
      <c r="C5" s="21">
        <f>SUMPRODUCT((Boxes!$B$3:$B$1084=$A5)*(Boxes!$D$3:$D$1084="CDU")*Boxes!$F$3:$F$1084)</f>
        <v/>
      </c>
      <c r="D5" s="35">
        <f>SUMPRODUCT((Boxes!$B$3:$B$1084=$A5)*(Boxes!$D$3:$D$1084="CDU")*Boxes!$J$3:$J$1084)</f>
        <v/>
      </c>
      <c r="E5" s="21">
        <f>$C5*$D5</f>
        <v/>
      </c>
      <c r="F5" s="24">
        <f>SUMPRODUCT((Boxes!$B$3:$B$1084=$A5)*(Boxes!$D$3:$D$1084="CDU")*Boxes!$O$3:$O$1084)</f>
        <v/>
      </c>
      <c r="G5" s="26">
        <f>$E5*$F5</f>
        <v/>
      </c>
      <c r="H5" s="21">
        <f>SUMPRODUCT((Boxes!$B$3:$B$1084=$A5)*(Boxes!$D$3:$D$1084="NHT")*Boxes!$F$3:$F$1084)</f>
        <v/>
      </c>
      <c r="I5" s="26">
        <f>SUMPRODUCT((Boxes!$B$3:$B$1084=$A5)*(Boxes!$D$3:$D$1084="REF")*Boxes!$F$3:$F$1084)*SUMPRODUCT((Boxes!$B$3:$B$1084=$A5)*(Boxes!$D$3:$D$1084="REF")*Boxes!$J$3:$J$1084)+SUMPRODUCT((Boxes!$B$3:$B$1084=$A5)*(Boxes!$D$3:$D$1084="CCR")*Boxes!$F$3:$F$1084)*SUMPRODUCT((Boxes!$B$3:$B$1084=$A5)*(Boxes!$D$3:$D$1084="CCR")*Boxes!$J$3:$J$1084)</f>
        <v/>
      </c>
      <c r="J5" s="26">
        <f>SUMPRODUCT((Boxes!$B$3:$B$1084=$A5)*(Boxes!$D$3:$D$1084="ISOM")*Boxes!$F$3:$F$1084)*SUMPRODUCT((Boxes!$B$3:$B$1084=$A5)*(Boxes!$D$3:$D$1084="ISOM")*Boxes!$J$3:$J$1084)</f>
        <v/>
      </c>
      <c r="K5" s="26">
        <f>SUMPRODUCT((Boxes!$A$3:$A$1084="TOTAL")*(Boxes!$B$3:$B$1084=$A5)*Boxes!$P$3:$P$1084)</f>
        <v/>
      </c>
      <c r="L5" s="25">
        <f>SUMIFS(Data!$N$3:$N$125,Data!$A$3:$A$125,$A5)</f>
        <v/>
      </c>
      <c r="M5" s="25">
        <f>IFERROR($K5/(SUMIFS(Data!$G$3:$G$125,Data!$A$3:$A$125,$A5)*$D5),"")</f>
        <v/>
      </c>
      <c r="N5" s="43">
        <f>IF($M5="","",$M5-$L5)</f>
        <v/>
      </c>
      <c r="O5" s="41">
        <f>IF(AND($H5&gt;0,$G5&gt;$H5*1.05),"SR &gt; NHT cap","")</f>
        <v/>
      </c>
    </row>
    <row r="6">
      <c r="A6" s="18" t="inlineStr">
        <is>
          <t>ERGON_NEWELL</t>
        </is>
      </c>
      <c r="B6" s="18" t="n">
        <v>1</v>
      </c>
      <c r="C6" s="21">
        <f>SUMPRODUCT((Boxes!$B$3:$B$1084=$A6)*(Boxes!$D$3:$D$1084="CDU")*Boxes!$F$3:$F$1084)</f>
        <v/>
      </c>
      <c r="D6" s="35">
        <f>SUMPRODUCT((Boxes!$B$3:$B$1084=$A6)*(Boxes!$D$3:$D$1084="CDU")*Boxes!$J$3:$J$1084)</f>
        <v/>
      </c>
      <c r="E6" s="21">
        <f>$C6*$D6</f>
        <v/>
      </c>
      <c r="F6" s="24">
        <f>SUMPRODUCT((Boxes!$B$3:$B$1084=$A6)*(Boxes!$D$3:$D$1084="CDU")*Boxes!$O$3:$O$1084)</f>
        <v/>
      </c>
      <c r="G6" s="26">
        <f>$E6*$F6</f>
        <v/>
      </c>
      <c r="H6" s="21">
        <f>SUMPRODUCT((Boxes!$B$3:$B$1084=$A6)*(Boxes!$D$3:$D$1084="NHT")*Boxes!$F$3:$F$1084)</f>
        <v/>
      </c>
      <c r="I6" s="26">
        <f>SUMPRODUCT((Boxes!$B$3:$B$1084=$A6)*(Boxes!$D$3:$D$1084="REF")*Boxes!$F$3:$F$1084)*SUMPRODUCT((Boxes!$B$3:$B$1084=$A6)*(Boxes!$D$3:$D$1084="REF")*Boxes!$J$3:$J$1084)+SUMPRODUCT((Boxes!$B$3:$B$1084=$A6)*(Boxes!$D$3:$D$1084="CCR")*Boxes!$F$3:$F$1084)*SUMPRODUCT((Boxes!$B$3:$B$1084=$A6)*(Boxes!$D$3:$D$1084="CCR")*Boxes!$J$3:$J$1084)</f>
        <v/>
      </c>
      <c r="J6" s="26">
        <f>SUMPRODUCT((Boxes!$B$3:$B$1084=$A6)*(Boxes!$D$3:$D$1084="ISOM")*Boxes!$F$3:$F$1084)*SUMPRODUCT((Boxes!$B$3:$B$1084=$A6)*(Boxes!$D$3:$D$1084="ISOM")*Boxes!$J$3:$J$1084)</f>
        <v/>
      </c>
      <c r="K6" s="26">
        <f>SUMPRODUCT((Boxes!$A$3:$A$1084="TOTAL")*(Boxes!$B$3:$B$1084=$A6)*Boxes!$P$3:$P$1084)</f>
        <v/>
      </c>
      <c r="L6" s="25">
        <f>SUMIFS(Data!$N$3:$N$125,Data!$A$3:$A$125,$A6)</f>
        <v/>
      </c>
      <c r="M6" s="25">
        <f>IFERROR($K6/(SUMIFS(Data!$G$3:$G$125,Data!$A$3:$A$125,$A6)*$D6),"")</f>
        <v/>
      </c>
      <c r="N6" s="43">
        <f>IF($M6="","",$M6-$L6)</f>
        <v/>
      </c>
      <c r="O6" s="41">
        <f>IF(AND($H6&gt;0,$G6&gt;$H6*1.05),"SR &gt; NHT cap","")</f>
        <v/>
      </c>
    </row>
    <row r="7">
      <c r="A7" s="18" t="inlineStr">
        <is>
          <t>AMERICAN_BRADFORD</t>
        </is>
      </c>
      <c r="B7" s="18" t="n">
        <v>1</v>
      </c>
      <c r="C7" s="21">
        <f>SUMPRODUCT((Boxes!$B$3:$B$1084=$A7)*(Boxes!$D$3:$D$1084="CDU")*Boxes!$F$3:$F$1084)</f>
        <v/>
      </c>
      <c r="D7" s="35">
        <f>SUMPRODUCT((Boxes!$B$3:$B$1084=$A7)*(Boxes!$D$3:$D$1084="CDU")*Boxes!$J$3:$J$1084)</f>
        <v/>
      </c>
      <c r="E7" s="21">
        <f>$C7*$D7</f>
        <v/>
      </c>
      <c r="F7" s="24">
        <f>SUMPRODUCT((Boxes!$B$3:$B$1084=$A7)*(Boxes!$D$3:$D$1084="CDU")*Boxes!$O$3:$O$1084)</f>
        <v/>
      </c>
      <c r="G7" s="26">
        <f>$E7*$F7</f>
        <v/>
      </c>
      <c r="H7" s="21">
        <f>SUMPRODUCT((Boxes!$B$3:$B$1084=$A7)*(Boxes!$D$3:$D$1084="NHT")*Boxes!$F$3:$F$1084)</f>
        <v/>
      </c>
      <c r="I7" s="26">
        <f>SUMPRODUCT((Boxes!$B$3:$B$1084=$A7)*(Boxes!$D$3:$D$1084="REF")*Boxes!$F$3:$F$1084)*SUMPRODUCT((Boxes!$B$3:$B$1084=$A7)*(Boxes!$D$3:$D$1084="REF")*Boxes!$J$3:$J$1084)+SUMPRODUCT((Boxes!$B$3:$B$1084=$A7)*(Boxes!$D$3:$D$1084="CCR")*Boxes!$F$3:$F$1084)*SUMPRODUCT((Boxes!$B$3:$B$1084=$A7)*(Boxes!$D$3:$D$1084="CCR")*Boxes!$J$3:$J$1084)</f>
        <v/>
      </c>
      <c r="J7" s="26">
        <f>SUMPRODUCT((Boxes!$B$3:$B$1084=$A7)*(Boxes!$D$3:$D$1084="ISOM")*Boxes!$F$3:$F$1084)*SUMPRODUCT((Boxes!$B$3:$B$1084=$A7)*(Boxes!$D$3:$D$1084="ISOM")*Boxes!$J$3:$J$1084)</f>
        <v/>
      </c>
      <c r="K7" s="26">
        <f>SUMPRODUCT((Boxes!$A$3:$A$1084="TOTAL")*(Boxes!$B$3:$B$1084=$A7)*Boxes!$P$3:$P$1084)</f>
        <v/>
      </c>
      <c r="L7" s="25">
        <f>SUMIFS(Data!$N$3:$N$125,Data!$A$3:$A$125,$A7)</f>
        <v/>
      </c>
      <c r="M7" s="25">
        <f>IFERROR($K7/(SUMIFS(Data!$G$3:$G$125,Data!$A$3:$A$125,$A7)*$D7),"")</f>
        <v/>
      </c>
      <c r="N7" s="43">
        <f>IF($M7="","",$M7-$L7)</f>
        <v/>
      </c>
      <c r="O7" s="41">
        <f>IF(AND($H7&gt;0,$G7&gt;$H7*1.05),"SR &gt; NHT cap","")</f>
        <v/>
      </c>
    </row>
    <row r="8">
      <c r="A8" s="18" t="inlineStr">
        <is>
          <t>BP_WHITING</t>
        </is>
      </c>
      <c r="B8" s="18" t="n">
        <v>2</v>
      </c>
      <c r="C8" s="21">
        <f>SUMPRODUCT((Boxes!$B$3:$B$1084=$A8)*(Boxes!$D$3:$D$1084="CDU")*Boxes!$F$3:$F$1084)</f>
        <v/>
      </c>
      <c r="D8" s="35">
        <f>SUMPRODUCT((Boxes!$B$3:$B$1084=$A8)*(Boxes!$D$3:$D$1084="CDU")*Boxes!$J$3:$J$1084)</f>
        <v/>
      </c>
      <c r="E8" s="21">
        <f>$C8*$D8</f>
        <v/>
      </c>
      <c r="F8" s="24">
        <f>SUMPRODUCT((Boxes!$B$3:$B$1084=$A8)*(Boxes!$D$3:$D$1084="CDU")*Boxes!$O$3:$O$1084)</f>
        <v/>
      </c>
      <c r="G8" s="26">
        <f>$E8*$F8</f>
        <v/>
      </c>
      <c r="H8" s="21">
        <f>SUMPRODUCT((Boxes!$B$3:$B$1084=$A8)*(Boxes!$D$3:$D$1084="NHT")*Boxes!$F$3:$F$1084)</f>
        <v/>
      </c>
      <c r="I8" s="26">
        <f>SUMPRODUCT((Boxes!$B$3:$B$1084=$A8)*(Boxes!$D$3:$D$1084="REF")*Boxes!$F$3:$F$1084)*SUMPRODUCT((Boxes!$B$3:$B$1084=$A8)*(Boxes!$D$3:$D$1084="REF")*Boxes!$J$3:$J$1084)+SUMPRODUCT((Boxes!$B$3:$B$1084=$A8)*(Boxes!$D$3:$D$1084="CCR")*Boxes!$F$3:$F$1084)*SUMPRODUCT((Boxes!$B$3:$B$1084=$A8)*(Boxes!$D$3:$D$1084="CCR")*Boxes!$J$3:$J$1084)</f>
        <v/>
      </c>
      <c r="J8" s="26">
        <f>SUMPRODUCT((Boxes!$B$3:$B$1084=$A8)*(Boxes!$D$3:$D$1084="ISOM")*Boxes!$F$3:$F$1084)*SUMPRODUCT((Boxes!$B$3:$B$1084=$A8)*(Boxes!$D$3:$D$1084="ISOM")*Boxes!$J$3:$J$1084)</f>
        <v/>
      </c>
      <c r="K8" s="26">
        <f>SUMPRODUCT((Boxes!$A$3:$A$1084="TOTAL")*(Boxes!$B$3:$B$1084=$A8)*Boxes!$P$3:$P$1084)</f>
        <v/>
      </c>
      <c r="L8" s="25">
        <f>SUMIFS(Data!$N$3:$N$125,Data!$A$3:$A$125,$A8)</f>
        <v/>
      </c>
      <c r="M8" s="25">
        <f>IFERROR($K8/(SUMIFS(Data!$G$3:$G$125,Data!$A$3:$A$125,$A8)*$D8),"")</f>
        <v/>
      </c>
      <c r="N8" s="43">
        <f>IF($M8="","",$M8-$L8)</f>
        <v/>
      </c>
      <c r="O8" s="41">
        <f>IF(AND($H8&gt;0,$G8&gt;$H8*1.05),"SR &gt; NHT cap","")</f>
        <v/>
      </c>
    </row>
    <row r="9">
      <c r="A9" s="18" t="inlineStr">
        <is>
          <t>FLINT_ROSEMOUNT</t>
        </is>
      </c>
      <c r="B9" s="18" t="n">
        <v>2</v>
      </c>
      <c r="C9" s="21">
        <f>SUMPRODUCT((Boxes!$B$3:$B$1084=$A9)*(Boxes!$D$3:$D$1084="CDU")*Boxes!$F$3:$F$1084)</f>
        <v/>
      </c>
      <c r="D9" s="35">
        <f>SUMPRODUCT((Boxes!$B$3:$B$1084=$A9)*(Boxes!$D$3:$D$1084="CDU")*Boxes!$J$3:$J$1084)</f>
        <v/>
      </c>
      <c r="E9" s="21">
        <f>$C9*$D9</f>
        <v/>
      </c>
      <c r="F9" s="24">
        <f>SUMPRODUCT((Boxes!$B$3:$B$1084=$A9)*(Boxes!$D$3:$D$1084="CDU")*Boxes!$O$3:$O$1084)</f>
        <v/>
      </c>
      <c r="G9" s="26">
        <f>$E9*$F9</f>
        <v/>
      </c>
      <c r="H9" s="21">
        <f>SUMPRODUCT((Boxes!$B$3:$B$1084=$A9)*(Boxes!$D$3:$D$1084="NHT")*Boxes!$F$3:$F$1084)</f>
        <v/>
      </c>
      <c r="I9" s="26">
        <f>SUMPRODUCT((Boxes!$B$3:$B$1084=$A9)*(Boxes!$D$3:$D$1084="REF")*Boxes!$F$3:$F$1084)*SUMPRODUCT((Boxes!$B$3:$B$1084=$A9)*(Boxes!$D$3:$D$1084="REF")*Boxes!$J$3:$J$1084)+SUMPRODUCT((Boxes!$B$3:$B$1084=$A9)*(Boxes!$D$3:$D$1084="CCR")*Boxes!$F$3:$F$1084)*SUMPRODUCT((Boxes!$B$3:$B$1084=$A9)*(Boxes!$D$3:$D$1084="CCR")*Boxes!$J$3:$J$1084)</f>
        <v/>
      </c>
      <c r="J9" s="26">
        <f>SUMPRODUCT((Boxes!$B$3:$B$1084=$A9)*(Boxes!$D$3:$D$1084="ISOM")*Boxes!$F$3:$F$1084)*SUMPRODUCT((Boxes!$B$3:$B$1084=$A9)*(Boxes!$D$3:$D$1084="ISOM")*Boxes!$J$3:$J$1084)</f>
        <v/>
      </c>
      <c r="K9" s="26">
        <f>SUMPRODUCT((Boxes!$A$3:$A$1084="TOTAL")*(Boxes!$B$3:$B$1084=$A9)*Boxes!$P$3:$P$1084)</f>
        <v/>
      </c>
      <c r="L9" s="25">
        <f>SUMIFS(Data!$N$3:$N$125,Data!$A$3:$A$125,$A9)</f>
        <v/>
      </c>
      <c r="M9" s="25">
        <f>IFERROR($K9/(SUMIFS(Data!$G$3:$G$125,Data!$A$3:$A$125,$A9)*$D9),"")</f>
        <v/>
      </c>
      <c r="N9" s="43">
        <f>IF($M9="","",$M9-$L9)</f>
        <v/>
      </c>
      <c r="O9" s="41">
        <f>IF(AND($H9&gt;0,$G9&gt;$H9*1.05),"SR &gt; NHT cap","")</f>
        <v/>
      </c>
    </row>
    <row r="10">
      <c r="A10" s="18" t="inlineStr">
        <is>
          <t>CENOVUS_WOOD_RIVER</t>
        </is>
      </c>
      <c r="B10" s="18" t="n">
        <v>2</v>
      </c>
      <c r="C10" s="21">
        <f>SUMPRODUCT((Boxes!$B$3:$B$1084=$A10)*(Boxes!$D$3:$D$1084="CDU")*Boxes!$F$3:$F$1084)</f>
        <v/>
      </c>
      <c r="D10" s="35">
        <f>SUMPRODUCT((Boxes!$B$3:$B$1084=$A10)*(Boxes!$D$3:$D$1084="CDU")*Boxes!$J$3:$J$1084)</f>
        <v/>
      </c>
      <c r="E10" s="21">
        <f>$C10*$D10</f>
        <v/>
      </c>
      <c r="F10" s="24">
        <f>SUMPRODUCT((Boxes!$B$3:$B$1084=$A10)*(Boxes!$D$3:$D$1084="CDU")*Boxes!$O$3:$O$1084)</f>
        <v/>
      </c>
      <c r="G10" s="26">
        <f>$E10*$F10</f>
        <v/>
      </c>
      <c r="H10" s="21">
        <f>SUMPRODUCT((Boxes!$B$3:$B$1084=$A10)*(Boxes!$D$3:$D$1084="NHT")*Boxes!$F$3:$F$1084)</f>
        <v/>
      </c>
      <c r="I10" s="26">
        <f>SUMPRODUCT((Boxes!$B$3:$B$1084=$A10)*(Boxes!$D$3:$D$1084="REF")*Boxes!$F$3:$F$1084)*SUMPRODUCT((Boxes!$B$3:$B$1084=$A10)*(Boxes!$D$3:$D$1084="REF")*Boxes!$J$3:$J$1084)+SUMPRODUCT((Boxes!$B$3:$B$1084=$A10)*(Boxes!$D$3:$D$1084="CCR")*Boxes!$F$3:$F$1084)*SUMPRODUCT((Boxes!$B$3:$B$1084=$A10)*(Boxes!$D$3:$D$1084="CCR")*Boxes!$J$3:$J$1084)</f>
        <v/>
      </c>
      <c r="J10" s="26">
        <f>SUMPRODUCT((Boxes!$B$3:$B$1084=$A10)*(Boxes!$D$3:$D$1084="ISOM")*Boxes!$F$3:$F$1084)*SUMPRODUCT((Boxes!$B$3:$B$1084=$A10)*(Boxes!$D$3:$D$1084="ISOM")*Boxes!$J$3:$J$1084)</f>
        <v/>
      </c>
      <c r="K10" s="26">
        <f>SUMPRODUCT((Boxes!$A$3:$A$1084="TOTAL")*(Boxes!$B$3:$B$1084=$A10)*Boxes!$P$3:$P$1084)</f>
        <v/>
      </c>
      <c r="L10" s="25">
        <f>SUMIFS(Data!$N$3:$N$125,Data!$A$3:$A$125,$A10)</f>
        <v/>
      </c>
      <c r="M10" s="25">
        <f>IFERROR($K10/(SUMIFS(Data!$G$3:$G$125,Data!$A$3:$A$125,$A10)*$D10),"")</f>
        <v/>
      </c>
      <c r="N10" s="43">
        <f>IF($M10="","",$M10-$L10)</f>
        <v/>
      </c>
      <c r="O10" s="41">
        <f>IF(AND($H10&gt;0,$G10&gt;$H10*1.05),"SR &gt; NHT cap","")</f>
        <v/>
      </c>
    </row>
    <row r="11">
      <c r="A11" s="18" t="inlineStr">
        <is>
          <t>MARATHON_CATLETTSBURG</t>
        </is>
      </c>
      <c r="B11" s="18" t="n">
        <v>2</v>
      </c>
      <c r="C11" s="21">
        <f>SUMPRODUCT((Boxes!$B$3:$B$1084=$A11)*(Boxes!$D$3:$D$1084="CDU")*Boxes!$F$3:$F$1084)</f>
        <v/>
      </c>
      <c r="D11" s="35">
        <f>SUMPRODUCT((Boxes!$B$3:$B$1084=$A11)*(Boxes!$D$3:$D$1084="CDU")*Boxes!$J$3:$J$1084)</f>
        <v/>
      </c>
      <c r="E11" s="21">
        <f>$C11*$D11</f>
        <v/>
      </c>
      <c r="F11" s="24">
        <f>SUMPRODUCT((Boxes!$B$3:$B$1084=$A11)*(Boxes!$D$3:$D$1084="CDU")*Boxes!$O$3:$O$1084)</f>
        <v/>
      </c>
      <c r="G11" s="26">
        <f>$E11*$F11</f>
        <v/>
      </c>
      <c r="H11" s="21">
        <f>SUMPRODUCT((Boxes!$B$3:$B$1084=$A11)*(Boxes!$D$3:$D$1084="NHT")*Boxes!$F$3:$F$1084)</f>
        <v/>
      </c>
      <c r="I11" s="26">
        <f>SUMPRODUCT((Boxes!$B$3:$B$1084=$A11)*(Boxes!$D$3:$D$1084="REF")*Boxes!$F$3:$F$1084)*SUMPRODUCT((Boxes!$B$3:$B$1084=$A11)*(Boxes!$D$3:$D$1084="REF")*Boxes!$J$3:$J$1084)+SUMPRODUCT((Boxes!$B$3:$B$1084=$A11)*(Boxes!$D$3:$D$1084="CCR")*Boxes!$F$3:$F$1084)*SUMPRODUCT((Boxes!$B$3:$B$1084=$A11)*(Boxes!$D$3:$D$1084="CCR")*Boxes!$J$3:$J$1084)</f>
        <v/>
      </c>
      <c r="J11" s="26">
        <f>SUMPRODUCT((Boxes!$B$3:$B$1084=$A11)*(Boxes!$D$3:$D$1084="ISOM")*Boxes!$F$3:$F$1084)*SUMPRODUCT((Boxes!$B$3:$B$1084=$A11)*(Boxes!$D$3:$D$1084="ISOM")*Boxes!$J$3:$J$1084)</f>
        <v/>
      </c>
      <c r="K11" s="26">
        <f>SUMPRODUCT((Boxes!$A$3:$A$1084="TOTAL")*(Boxes!$B$3:$B$1084=$A11)*Boxes!$P$3:$P$1084)</f>
        <v/>
      </c>
      <c r="L11" s="25">
        <f>SUMIFS(Data!$N$3:$N$125,Data!$A$3:$A$125,$A11)</f>
        <v/>
      </c>
      <c r="M11" s="25">
        <f>IFERROR($K11/(SUMIFS(Data!$G$3:$G$125,Data!$A$3:$A$125,$A11)*$D11),"")</f>
        <v/>
      </c>
      <c r="N11" s="43">
        <f>IF($M11="","",$M11-$L11)</f>
        <v/>
      </c>
      <c r="O11" s="41">
        <f>IF(AND($H11&gt;0,$G11&gt;$H11*1.05),"SR &gt; NHT cap","")</f>
        <v/>
      </c>
    </row>
    <row r="12">
      <c r="A12" s="18" t="inlineStr">
        <is>
          <t>MARATHON_ROBINSON</t>
        </is>
      </c>
      <c r="B12" s="18" t="n">
        <v>2</v>
      </c>
      <c r="C12" s="21">
        <f>SUMPRODUCT((Boxes!$B$3:$B$1084=$A12)*(Boxes!$D$3:$D$1084="CDU")*Boxes!$F$3:$F$1084)</f>
        <v/>
      </c>
      <c r="D12" s="35">
        <f>SUMPRODUCT((Boxes!$B$3:$B$1084=$A12)*(Boxes!$D$3:$D$1084="CDU")*Boxes!$J$3:$J$1084)</f>
        <v/>
      </c>
      <c r="E12" s="21">
        <f>$C12*$D12</f>
        <v/>
      </c>
      <c r="F12" s="24">
        <f>SUMPRODUCT((Boxes!$B$3:$B$1084=$A12)*(Boxes!$D$3:$D$1084="CDU")*Boxes!$O$3:$O$1084)</f>
        <v/>
      </c>
      <c r="G12" s="26">
        <f>$E12*$F12</f>
        <v/>
      </c>
      <c r="H12" s="21">
        <f>SUMPRODUCT((Boxes!$B$3:$B$1084=$A12)*(Boxes!$D$3:$D$1084="NHT")*Boxes!$F$3:$F$1084)</f>
        <v/>
      </c>
      <c r="I12" s="26">
        <f>SUMPRODUCT((Boxes!$B$3:$B$1084=$A12)*(Boxes!$D$3:$D$1084="REF")*Boxes!$F$3:$F$1084)*SUMPRODUCT((Boxes!$B$3:$B$1084=$A12)*(Boxes!$D$3:$D$1084="REF")*Boxes!$J$3:$J$1084)+SUMPRODUCT((Boxes!$B$3:$B$1084=$A12)*(Boxes!$D$3:$D$1084="CCR")*Boxes!$F$3:$F$1084)*SUMPRODUCT((Boxes!$B$3:$B$1084=$A12)*(Boxes!$D$3:$D$1084="CCR")*Boxes!$J$3:$J$1084)</f>
        <v/>
      </c>
      <c r="J12" s="26">
        <f>SUMPRODUCT((Boxes!$B$3:$B$1084=$A12)*(Boxes!$D$3:$D$1084="ISOM")*Boxes!$F$3:$F$1084)*SUMPRODUCT((Boxes!$B$3:$B$1084=$A12)*(Boxes!$D$3:$D$1084="ISOM")*Boxes!$J$3:$J$1084)</f>
        <v/>
      </c>
      <c r="K12" s="26">
        <f>SUMPRODUCT((Boxes!$A$3:$A$1084="TOTAL")*(Boxes!$B$3:$B$1084=$A12)*Boxes!$P$3:$P$1084)</f>
        <v/>
      </c>
      <c r="L12" s="25">
        <f>SUMIFS(Data!$N$3:$N$125,Data!$A$3:$A$125,$A12)</f>
        <v/>
      </c>
      <c r="M12" s="25">
        <f>IFERROR($K12/(SUMIFS(Data!$G$3:$G$125,Data!$A$3:$A$125,$A12)*$D12),"")</f>
        <v/>
      </c>
      <c r="N12" s="43">
        <f>IF($M12="","",$M12-$L12)</f>
        <v/>
      </c>
      <c r="O12" s="41">
        <f>IF(AND($H12&gt;0,$G12&gt;$H12*1.05),"SR &gt; NHT cap","")</f>
        <v/>
      </c>
    </row>
    <row r="13">
      <c r="A13" s="18" t="inlineStr">
        <is>
          <t>EXXONMOBIL_JOLIET</t>
        </is>
      </c>
      <c r="B13" s="18" t="n">
        <v>2</v>
      </c>
      <c r="C13" s="21">
        <f>SUMPRODUCT((Boxes!$B$3:$B$1084=$A13)*(Boxes!$D$3:$D$1084="CDU")*Boxes!$F$3:$F$1084)</f>
        <v/>
      </c>
      <c r="D13" s="35">
        <f>SUMPRODUCT((Boxes!$B$3:$B$1084=$A13)*(Boxes!$D$3:$D$1084="CDU")*Boxes!$J$3:$J$1084)</f>
        <v/>
      </c>
      <c r="E13" s="21">
        <f>$C13*$D13</f>
        <v/>
      </c>
      <c r="F13" s="24">
        <f>SUMPRODUCT((Boxes!$B$3:$B$1084=$A13)*(Boxes!$D$3:$D$1084="CDU")*Boxes!$O$3:$O$1084)</f>
        <v/>
      </c>
      <c r="G13" s="26">
        <f>$E13*$F13</f>
        <v/>
      </c>
      <c r="H13" s="21">
        <f>SUMPRODUCT((Boxes!$B$3:$B$1084=$A13)*(Boxes!$D$3:$D$1084="NHT")*Boxes!$F$3:$F$1084)</f>
        <v/>
      </c>
      <c r="I13" s="26">
        <f>SUMPRODUCT((Boxes!$B$3:$B$1084=$A13)*(Boxes!$D$3:$D$1084="REF")*Boxes!$F$3:$F$1084)*SUMPRODUCT((Boxes!$B$3:$B$1084=$A13)*(Boxes!$D$3:$D$1084="REF")*Boxes!$J$3:$J$1084)+SUMPRODUCT((Boxes!$B$3:$B$1084=$A13)*(Boxes!$D$3:$D$1084="CCR")*Boxes!$F$3:$F$1084)*SUMPRODUCT((Boxes!$B$3:$B$1084=$A13)*(Boxes!$D$3:$D$1084="CCR")*Boxes!$J$3:$J$1084)</f>
        <v/>
      </c>
      <c r="J13" s="26">
        <f>SUMPRODUCT((Boxes!$B$3:$B$1084=$A13)*(Boxes!$D$3:$D$1084="ISOM")*Boxes!$F$3:$F$1084)*SUMPRODUCT((Boxes!$B$3:$B$1084=$A13)*(Boxes!$D$3:$D$1084="ISOM")*Boxes!$J$3:$J$1084)</f>
        <v/>
      </c>
      <c r="K13" s="26">
        <f>SUMPRODUCT((Boxes!$A$3:$A$1084="TOTAL")*(Boxes!$B$3:$B$1084=$A13)*Boxes!$P$3:$P$1084)</f>
        <v/>
      </c>
      <c r="L13" s="25">
        <f>SUMIFS(Data!$N$3:$N$125,Data!$A$3:$A$125,$A13)</f>
        <v/>
      </c>
      <c r="M13" s="25">
        <f>IFERROR($K13/(SUMIFS(Data!$G$3:$G$125,Data!$A$3:$A$125,$A13)*$D13),"")</f>
        <v/>
      </c>
      <c r="N13" s="43">
        <f>IF($M13="","",$M13-$L13)</f>
        <v/>
      </c>
      <c r="O13" s="41">
        <f>IF(AND($H13&gt;0,$G13&gt;$H13*1.05),"SR &gt; NHT cap","")</f>
        <v/>
      </c>
    </row>
    <row r="14">
      <c r="A14" s="18" t="inlineStr">
        <is>
          <t>PHILLIPS_PONCA_CITY</t>
        </is>
      </c>
      <c r="B14" s="18" t="n">
        <v>2</v>
      </c>
      <c r="C14" s="21">
        <f>SUMPRODUCT((Boxes!$B$3:$B$1084=$A14)*(Boxes!$D$3:$D$1084="CDU")*Boxes!$F$3:$F$1084)</f>
        <v/>
      </c>
      <c r="D14" s="35">
        <f>SUMPRODUCT((Boxes!$B$3:$B$1084=$A14)*(Boxes!$D$3:$D$1084="CDU")*Boxes!$J$3:$J$1084)</f>
        <v/>
      </c>
      <c r="E14" s="21">
        <f>$C14*$D14</f>
        <v/>
      </c>
      <c r="F14" s="24">
        <f>SUMPRODUCT((Boxes!$B$3:$B$1084=$A14)*(Boxes!$D$3:$D$1084="CDU")*Boxes!$O$3:$O$1084)</f>
        <v/>
      </c>
      <c r="G14" s="26">
        <f>$E14*$F14</f>
        <v/>
      </c>
      <c r="H14" s="21">
        <f>SUMPRODUCT((Boxes!$B$3:$B$1084=$A14)*(Boxes!$D$3:$D$1084="NHT")*Boxes!$F$3:$F$1084)</f>
        <v/>
      </c>
      <c r="I14" s="26">
        <f>SUMPRODUCT((Boxes!$B$3:$B$1084=$A14)*(Boxes!$D$3:$D$1084="REF")*Boxes!$F$3:$F$1084)*SUMPRODUCT((Boxes!$B$3:$B$1084=$A14)*(Boxes!$D$3:$D$1084="REF")*Boxes!$J$3:$J$1084)+SUMPRODUCT((Boxes!$B$3:$B$1084=$A14)*(Boxes!$D$3:$D$1084="CCR")*Boxes!$F$3:$F$1084)*SUMPRODUCT((Boxes!$B$3:$B$1084=$A14)*(Boxes!$D$3:$D$1084="CCR")*Boxes!$J$3:$J$1084)</f>
        <v/>
      </c>
      <c r="J14" s="26">
        <f>SUMPRODUCT((Boxes!$B$3:$B$1084=$A14)*(Boxes!$D$3:$D$1084="ISOM")*Boxes!$F$3:$F$1084)*SUMPRODUCT((Boxes!$B$3:$B$1084=$A14)*(Boxes!$D$3:$D$1084="ISOM")*Boxes!$J$3:$J$1084)</f>
        <v/>
      </c>
      <c r="K14" s="26">
        <f>SUMPRODUCT((Boxes!$A$3:$A$1084="TOTAL")*(Boxes!$B$3:$B$1084=$A14)*Boxes!$P$3:$P$1084)</f>
        <v/>
      </c>
      <c r="L14" s="25">
        <f>SUMIFS(Data!$N$3:$N$125,Data!$A$3:$A$125,$A14)</f>
        <v/>
      </c>
      <c r="M14" s="25">
        <f>IFERROR($K14/(SUMIFS(Data!$G$3:$G$125,Data!$A$3:$A$125,$A14)*$D14),"")</f>
        <v/>
      </c>
      <c r="N14" s="43">
        <f>IF($M14="","",$M14-$L14)</f>
        <v/>
      </c>
      <c r="O14" s="41">
        <f>IF(AND($H14&gt;0,$G14&gt;$H14*1.05),"SR &gt; NHT cap","")</f>
        <v/>
      </c>
    </row>
    <row r="15">
      <c r="A15" s="18" t="inlineStr">
        <is>
          <t>CITGO_LEMONT</t>
        </is>
      </c>
      <c r="B15" s="18" t="n">
        <v>2</v>
      </c>
      <c r="C15" s="21">
        <f>SUMPRODUCT((Boxes!$B$3:$B$1084=$A15)*(Boxes!$D$3:$D$1084="CDU")*Boxes!$F$3:$F$1084)</f>
        <v/>
      </c>
      <c r="D15" s="35">
        <f>SUMPRODUCT((Boxes!$B$3:$B$1084=$A15)*(Boxes!$D$3:$D$1084="CDU")*Boxes!$J$3:$J$1084)</f>
        <v/>
      </c>
      <c r="E15" s="21">
        <f>$C15*$D15</f>
        <v/>
      </c>
      <c r="F15" s="24">
        <f>SUMPRODUCT((Boxes!$B$3:$B$1084=$A15)*(Boxes!$D$3:$D$1084="CDU")*Boxes!$O$3:$O$1084)</f>
        <v/>
      </c>
      <c r="G15" s="26">
        <f>$E15*$F15</f>
        <v/>
      </c>
      <c r="H15" s="21">
        <f>SUMPRODUCT((Boxes!$B$3:$B$1084=$A15)*(Boxes!$D$3:$D$1084="NHT")*Boxes!$F$3:$F$1084)</f>
        <v/>
      </c>
      <c r="I15" s="26">
        <f>SUMPRODUCT((Boxes!$B$3:$B$1084=$A15)*(Boxes!$D$3:$D$1084="REF")*Boxes!$F$3:$F$1084)*SUMPRODUCT((Boxes!$B$3:$B$1084=$A15)*(Boxes!$D$3:$D$1084="REF")*Boxes!$J$3:$J$1084)+SUMPRODUCT((Boxes!$B$3:$B$1084=$A15)*(Boxes!$D$3:$D$1084="CCR")*Boxes!$F$3:$F$1084)*SUMPRODUCT((Boxes!$B$3:$B$1084=$A15)*(Boxes!$D$3:$D$1084="CCR")*Boxes!$J$3:$J$1084)</f>
        <v/>
      </c>
      <c r="J15" s="26">
        <f>SUMPRODUCT((Boxes!$B$3:$B$1084=$A15)*(Boxes!$D$3:$D$1084="ISOM")*Boxes!$F$3:$F$1084)*SUMPRODUCT((Boxes!$B$3:$B$1084=$A15)*(Boxes!$D$3:$D$1084="ISOM")*Boxes!$J$3:$J$1084)</f>
        <v/>
      </c>
      <c r="K15" s="26">
        <f>SUMPRODUCT((Boxes!$A$3:$A$1084="TOTAL")*(Boxes!$B$3:$B$1084=$A15)*Boxes!$P$3:$P$1084)</f>
        <v/>
      </c>
      <c r="L15" s="25">
        <f>SUMIFS(Data!$N$3:$N$125,Data!$A$3:$A$125,$A15)</f>
        <v/>
      </c>
      <c r="M15" s="25">
        <f>IFERROR($K15/(SUMIFS(Data!$G$3:$G$125,Data!$A$3:$A$125,$A15)*$D15),"")</f>
        <v/>
      </c>
      <c r="N15" s="43">
        <f>IF($M15="","",$M15-$L15)</f>
        <v/>
      </c>
      <c r="O15" s="41">
        <f>IF(AND($H15&gt;0,$G15&gt;$H15*1.05),"SR &gt; NHT cap","")</f>
        <v/>
      </c>
    </row>
    <row r="16">
      <c r="A16" s="18" t="inlineStr">
        <is>
          <t>CENOVUS_LIMA</t>
        </is>
      </c>
      <c r="B16" s="18" t="n">
        <v>2</v>
      </c>
      <c r="C16" s="21">
        <f>SUMPRODUCT((Boxes!$B$3:$B$1084=$A16)*(Boxes!$D$3:$D$1084="CDU")*Boxes!$F$3:$F$1084)</f>
        <v/>
      </c>
      <c r="D16" s="35">
        <f>SUMPRODUCT((Boxes!$B$3:$B$1084=$A16)*(Boxes!$D$3:$D$1084="CDU")*Boxes!$J$3:$J$1084)</f>
        <v/>
      </c>
      <c r="E16" s="21">
        <f>$C16*$D16</f>
        <v/>
      </c>
      <c r="F16" s="24">
        <f>SUMPRODUCT((Boxes!$B$3:$B$1084=$A16)*(Boxes!$D$3:$D$1084="CDU")*Boxes!$O$3:$O$1084)</f>
        <v/>
      </c>
      <c r="G16" s="26">
        <f>$E16*$F16</f>
        <v/>
      </c>
      <c r="H16" s="21">
        <f>SUMPRODUCT((Boxes!$B$3:$B$1084=$A16)*(Boxes!$D$3:$D$1084="NHT")*Boxes!$F$3:$F$1084)</f>
        <v/>
      </c>
      <c r="I16" s="26">
        <f>SUMPRODUCT((Boxes!$B$3:$B$1084=$A16)*(Boxes!$D$3:$D$1084="REF")*Boxes!$F$3:$F$1084)*SUMPRODUCT((Boxes!$B$3:$B$1084=$A16)*(Boxes!$D$3:$D$1084="REF")*Boxes!$J$3:$J$1084)+SUMPRODUCT((Boxes!$B$3:$B$1084=$A16)*(Boxes!$D$3:$D$1084="CCR")*Boxes!$F$3:$F$1084)*SUMPRODUCT((Boxes!$B$3:$B$1084=$A16)*(Boxes!$D$3:$D$1084="CCR")*Boxes!$J$3:$J$1084)</f>
        <v/>
      </c>
      <c r="J16" s="26">
        <f>SUMPRODUCT((Boxes!$B$3:$B$1084=$A16)*(Boxes!$D$3:$D$1084="ISOM")*Boxes!$F$3:$F$1084)*SUMPRODUCT((Boxes!$B$3:$B$1084=$A16)*(Boxes!$D$3:$D$1084="ISOM")*Boxes!$J$3:$J$1084)</f>
        <v/>
      </c>
      <c r="K16" s="26">
        <f>SUMPRODUCT((Boxes!$A$3:$A$1084="TOTAL")*(Boxes!$B$3:$B$1084=$A16)*Boxes!$P$3:$P$1084)</f>
        <v/>
      </c>
      <c r="L16" s="25">
        <f>SUMIFS(Data!$N$3:$N$125,Data!$A$3:$A$125,$A16)</f>
        <v/>
      </c>
      <c r="M16" s="25">
        <f>IFERROR($K16/(SUMIFS(Data!$G$3:$G$125,Data!$A$3:$A$125,$A16)*$D16),"")</f>
        <v/>
      </c>
      <c r="N16" s="43">
        <f>IF($M16="","",$M16-$L16)</f>
        <v/>
      </c>
      <c r="O16" s="41">
        <f>IF(AND($H16&gt;0,$G16&gt;$H16*1.05),"SR &gt; NHT cap","")</f>
        <v/>
      </c>
    </row>
    <row r="17">
      <c r="A17" s="18" t="inlineStr">
        <is>
          <t>PBF_TOLEDO</t>
        </is>
      </c>
      <c r="B17" s="18" t="n">
        <v>2</v>
      </c>
      <c r="C17" s="21">
        <f>SUMPRODUCT((Boxes!$B$3:$B$1084=$A17)*(Boxes!$D$3:$D$1084="CDU")*Boxes!$F$3:$F$1084)</f>
        <v/>
      </c>
      <c r="D17" s="35">
        <f>SUMPRODUCT((Boxes!$B$3:$B$1084=$A17)*(Boxes!$D$3:$D$1084="CDU")*Boxes!$J$3:$J$1084)</f>
        <v/>
      </c>
      <c r="E17" s="21">
        <f>$C17*$D17</f>
        <v/>
      </c>
      <c r="F17" s="24">
        <f>SUMPRODUCT((Boxes!$B$3:$B$1084=$A17)*(Boxes!$D$3:$D$1084="CDU")*Boxes!$O$3:$O$1084)</f>
        <v/>
      </c>
      <c r="G17" s="26">
        <f>$E17*$F17</f>
        <v/>
      </c>
      <c r="H17" s="21">
        <f>SUMPRODUCT((Boxes!$B$3:$B$1084=$A17)*(Boxes!$D$3:$D$1084="NHT")*Boxes!$F$3:$F$1084)</f>
        <v/>
      </c>
      <c r="I17" s="26">
        <f>SUMPRODUCT((Boxes!$B$3:$B$1084=$A17)*(Boxes!$D$3:$D$1084="REF")*Boxes!$F$3:$F$1084)*SUMPRODUCT((Boxes!$B$3:$B$1084=$A17)*(Boxes!$D$3:$D$1084="REF")*Boxes!$J$3:$J$1084)+SUMPRODUCT((Boxes!$B$3:$B$1084=$A17)*(Boxes!$D$3:$D$1084="CCR")*Boxes!$F$3:$F$1084)*SUMPRODUCT((Boxes!$B$3:$B$1084=$A17)*(Boxes!$D$3:$D$1084="CCR")*Boxes!$J$3:$J$1084)</f>
        <v/>
      </c>
      <c r="J17" s="26">
        <f>SUMPRODUCT((Boxes!$B$3:$B$1084=$A17)*(Boxes!$D$3:$D$1084="ISOM")*Boxes!$F$3:$F$1084)*SUMPRODUCT((Boxes!$B$3:$B$1084=$A17)*(Boxes!$D$3:$D$1084="ISOM")*Boxes!$J$3:$J$1084)</f>
        <v/>
      </c>
      <c r="K17" s="26">
        <f>SUMPRODUCT((Boxes!$A$3:$A$1084="TOTAL")*(Boxes!$B$3:$B$1084=$A17)*Boxes!$P$3:$P$1084)</f>
        <v/>
      </c>
      <c r="L17" s="25">
        <f>SUMIFS(Data!$N$3:$N$125,Data!$A$3:$A$125,$A17)</f>
        <v/>
      </c>
      <c r="M17" s="25">
        <f>IFERROR($K17/(SUMIFS(Data!$G$3:$G$125,Data!$A$3:$A$125,$A17)*$D17),"")</f>
        <v/>
      </c>
      <c r="N17" s="43">
        <f>IF($M17="","",$M17-$L17)</f>
        <v/>
      </c>
      <c r="O17" s="41">
        <f>IF(AND($H17&gt;0,$G17&gt;$H17*1.05),"SR &gt; NHT cap","")</f>
        <v/>
      </c>
    </row>
    <row r="18">
      <c r="A18" s="18" t="inlineStr">
        <is>
          <t>VALERO_MEMPHIS</t>
        </is>
      </c>
      <c r="B18" s="18" t="n">
        <v>2</v>
      </c>
      <c r="C18" s="21">
        <f>SUMPRODUCT((Boxes!$B$3:$B$1084=$A18)*(Boxes!$D$3:$D$1084="CDU")*Boxes!$F$3:$F$1084)</f>
        <v/>
      </c>
      <c r="D18" s="35">
        <f>SUMPRODUCT((Boxes!$B$3:$B$1084=$A18)*(Boxes!$D$3:$D$1084="CDU")*Boxes!$J$3:$J$1084)</f>
        <v/>
      </c>
      <c r="E18" s="21">
        <f>$C18*$D18</f>
        <v/>
      </c>
      <c r="F18" s="24">
        <f>SUMPRODUCT((Boxes!$B$3:$B$1084=$A18)*(Boxes!$D$3:$D$1084="CDU")*Boxes!$O$3:$O$1084)</f>
        <v/>
      </c>
      <c r="G18" s="26">
        <f>$E18*$F18</f>
        <v/>
      </c>
      <c r="H18" s="21">
        <f>SUMPRODUCT((Boxes!$B$3:$B$1084=$A18)*(Boxes!$D$3:$D$1084="NHT")*Boxes!$F$3:$F$1084)</f>
        <v/>
      </c>
      <c r="I18" s="26">
        <f>SUMPRODUCT((Boxes!$B$3:$B$1084=$A18)*(Boxes!$D$3:$D$1084="REF")*Boxes!$F$3:$F$1084)*SUMPRODUCT((Boxes!$B$3:$B$1084=$A18)*(Boxes!$D$3:$D$1084="REF")*Boxes!$J$3:$J$1084)+SUMPRODUCT((Boxes!$B$3:$B$1084=$A18)*(Boxes!$D$3:$D$1084="CCR")*Boxes!$F$3:$F$1084)*SUMPRODUCT((Boxes!$B$3:$B$1084=$A18)*(Boxes!$D$3:$D$1084="CCR")*Boxes!$J$3:$J$1084)</f>
        <v/>
      </c>
      <c r="J18" s="26">
        <f>SUMPRODUCT((Boxes!$B$3:$B$1084=$A18)*(Boxes!$D$3:$D$1084="ISOM")*Boxes!$F$3:$F$1084)*SUMPRODUCT((Boxes!$B$3:$B$1084=$A18)*(Boxes!$D$3:$D$1084="ISOM")*Boxes!$J$3:$J$1084)</f>
        <v/>
      </c>
      <c r="K18" s="26">
        <f>SUMPRODUCT((Boxes!$A$3:$A$1084="TOTAL")*(Boxes!$B$3:$B$1084=$A18)*Boxes!$P$3:$P$1084)</f>
        <v/>
      </c>
      <c r="L18" s="25">
        <f>SUMIFS(Data!$N$3:$N$125,Data!$A$3:$A$125,$A18)</f>
        <v/>
      </c>
      <c r="M18" s="25">
        <f>IFERROR($K18/(SUMIFS(Data!$G$3:$G$125,Data!$A$3:$A$125,$A18)*$D18),"")</f>
        <v/>
      </c>
      <c r="N18" s="43">
        <f>IF($M18="","",$M18-$L18)</f>
        <v/>
      </c>
      <c r="O18" s="41">
        <f>IF(AND($H18&gt;0,$G18&gt;$H18*1.05),"SR &gt; NHT cap","")</f>
        <v/>
      </c>
    </row>
    <row r="19">
      <c r="A19" s="18" t="inlineStr">
        <is>
          <t>CENOVUS_TOLEDO</t>
        </is>
      </c>
      <c r="B19" s="18" t="n">
        <v>2</v>
      </c>
      <c r="C19" s="21">
        <f>SUMPRODUCT((Boxes!$B$3:$B$1084=$A19)*(Boxes!$D$3:$D$1084="CDU")*Boxes!$F$3:$F$1084)</f>
        <v/>
      </c>
      <c r="D19" s="35">
        <f>SUMPRODUCT((Boxes!$B$3:$B$1084=$A19)*(Boxes!$D$3:$D$1084="CDU")*Boxes!$J$3:$J$1084)</f>
        <v/>
      </c>
      <c r="E19" s="21">
        <f>$C19*$D19</f>
        <v/>
      </c>
      <c r="F19" s="24">
        <f>SUMPRODUCT((Boxes!$B$3:$B$1084=$A19)*(Boxes!$D$3:$D$1084="CDU")*Boxes!$O$3:$O$1084)</f>
        <v/>
      </c>
      <c r="G19" s="26">
        <f>$E19*$F19</f>
        <v/>
      </c>
      <c r="H19" s="21">
        <f>SUMPRODUCT((Boxes!$B$3:$B$1084=$A19)*(Boxes!$D$3:$D$1084="NHT")*Boxes!$F$3:$F$1084)</f>
        <v/>
      </c>
      <c r="I19" s="26">
        <f>SUMPRODUCT((Boxes!$B$3:$B$1084=$A19)*(Boxes!$D$3:$D$1084="REF")*Boxes!$F$3:$F$1084)*SUMPRODUCT((Boxes!$B$3:$B$1084=$A19)*(Boxes!$D$3:$D$1084="REF")*Boxes!$J$3:$J$1084)+SUMPRODUCT((Boxes!$B$3:$B$1084=$A19)*(Boxes!$D$3:$D$1084="CCR")*Boxes!$F$3:$F$1084)*SUMPRODUCT((Boxes!$B$3:$B$1084=$A19)*(Boxes!$D$3:$D$1084="CCR")*Boxes!$J$3:$J$1084)</f>
        <v/>
      </c>
      <c r="J19" s="26">
        <f>SUMPRODUCT((Boxes!$B$3:$B$1084=$A19)*(Boxes!$D$3:$D$1084="ISOM")*Boxes!$F$3:$F$1084)*SUMPRODUCT((Boxes!$B$3:$B$1084=$A19)*(Boxes!$D$3:$D$1084="ISOM")*Boxes!$J$3:$J$1084)</f>
        <v/>
      </c>
      <c r="K19" s="26">
        <f>SUMPRODUCT((Boxes!$A$3:$A$1084="TOTAL")*(Boxes!$B$3:$B$1084=$A19)*Boxes!$P$3:$P$1084)</f>
        <v/>
      </c>
      <c r="L19" s="25">
        <f>SUMIFS(Data!$N$3:$N$125,Data!$A$3:$A$125,$A19)</f>
        <v/>
      </c>
      <c r="M19" s="25">
        <f>IFERROR($K19/(SUMIFS(Data!$G$3:$G$125,Data!$A$3:$A$125,$A19)*$D19),"")</f>
        <v/>
      </c>
      <c r="N19" s="43">
        <f>IF($M19="","",$M19-$L19)</f>
        <v/>
      </c>
      <c r="O19" s="41">
        <f>IF(AND($H19&gt;0,$G19&gt;$H19*1.05),"SR &gt; NHT cap","")</f>
        <v/>
      </c>
    </row>
    <row r="20">
      <c r="A20" s="18" t="inlineStr">
        <is>
          <t>MARATHON_DETROIT</t>
        </is>
      </c>
      <c r="B20" s="18" t="n">
        <v>2</v>
      </c>
      <c r="C20" s="21">
        <f>SUMPRODUCT((Boxes!$B$3:$B$1084=$A20)*(Boxes!$D$3:$D$1084="CDU")*Boxes!$F$3:$F$1084)</f>
        <v/>
      </c>
      <c r="D20" s="35">
        <f>SUMPRODUCT((Boxes!$B$3:$B$1084=$A20)*(Boxes!$D$3:$D$1084="CDU")*Boxes!$J$3:$J$1084)</f>
        <v/>
      </c>
      <c r="E20" s="21">
        <f>$C20*$D20</f>
        <v/>
      </c>
      <c r="F20" s="24">
        <f>SUMPRODUCT((Boxes!$B$3:$B$1084=$A20)*(Boxes!$D$3:$D$1084="CDU")*Boxes!$O$3:$O$1084)</f>
        <v/>
      </c>
      <c r="G20" s="26">
        <f>$E20*$F20</f>
        <v/>
      </c>
      <c r="H20" s="21">
        <f>SUMPRODUCT((Boxes!$B$3:$B$1084=$A20)*(Boxes!$D$3:$D$1084="NHT")*Boxes!$F$3:$F$1084)</f>
        <v/>
      </c>
      <c r="I20" s="26">
        <f>SUMPRODUCT((Boxes!$B$3:$B$1084=$A20)*(Boxes!$D$3:$D$1084="REF")*Boxes!$F$3:$F$1084)*SUMPRODUCT((Boxes!$B$3:$B$1084=$A20)*(Boxes!$D$3:$D$1084="REF")*Boxes!$J$3:$J$1084)+SUMPRODUCT((Boxes!$B$3:$B$1084=$A20)*(Boxes!$D$3:$D$1084="CCR")*Boxes!$F$3:$F$1084)*SUMPRODUCT((Boxes!$B$3:$B$1084=$A20)*(Boxes!$D$3:$D$1084="CCR")*Boxes!$J$3:$J$1084)</f>
        <v/>
      </c>
      <c r="J20" s="26">
        <f>SUMPRODUCT((Boxes!$B$3:$B$1084=$A20)*(Boxes!$D$3:$D$1084="ISOM")*Boxes!$F$3:$F$1084)*SUMPRODUCT((Boxes!$B$3:$B$1084=$A20)*(Boxes!$D$3:$D$1084="ISOM")*Boxes!$J$3:$J$1084)</f>
        <v/>
      </c>
      <c r="K20" s="26">
        <f>SUMPRODUCT((Boxes!$A$3:$A$1084="TOTAL")*(Boxes!$B$3:$B$1084=$A20)*Boxes!$P$3:$P$1084)</f>
        <v/>
      </c>
      <c r="L20" s="25">
        <f>SUMIFS(Data!$N$3:$N$125,Data!$A$3:$A$125,$A20)</f>
        <v/>
      </c>
      <c r="M20" s="25">
        <f>IFERROR($K20/(SUMIFS(Data!$G$3:$G$125,Data!$A$3:$A$125,$A20)*$D20),"")</f>
        <v/>
      </c>
      <c r="N20" s="43">
        <f>IF($M20="","",$M20-$L20)</f>
        <v/>
      </c>
      <c r="O20" s="41">
        <f>IF(AND($H20&gt;0,$G20&gt;$H20*1.05),"SR &gt; NHT cap","")</f>
        <v/>
      </c>
    </row>
    <row r="21">
      <c r="A21" s="18" t="inlineStr">
        <is>
          <t>HF_EL_DORADO_KS</t>
        </is>
      </c>
      <c r="B21" s="18" t="n">
        <v>2</v>
      </c>
      <c r="C21" s="21">
        <f>SUMPRODUCT((Boxes!$B$3:$B$1084=$A21)*(Boxes!$D$3:$D$1084="CDU")*Boxes!$F$3:$F$1084)</f>
        <v/>
      </c>
      <c r="D21" s="35">
        <f>SUMPRODUCT((Boxes!$B$3:$B$1084=$A21)*(Boxes!$D$3:$D$1084="CDU")*Boxes!$J$3:$J$1084)</f>
        <v/>
      </c>
      <c r="E21" s="21">
        <f>$C21*$D21</f>
        <v/>
      </c>
      <c r="F21" s="24">
        <f>SUMPRODUCT((Boxes!$B$3:$B$1084=$A21)*(Boxes!$D$3:$D$1084="CDU")*Boxes!$O$3:$O$1084)</f>
        <v/>
      </c>
      <c r="G21" s="26">
        <f>$E21*$F21</f>
        <v/>
      </c>
      <c r="H21" s="21">
        <f>SUMPRODUCT((Boxes!$B$3:$B$1084=$A21)*(Boxes!$D$3:$D$1084="NHT")*Boxes!$F$3:$F$1084)</f>
        <v/>
      </c>
      <c r="I21" s="26">
        <f>SUMPRODUCT((Boxes!$B$3:$B$1084=$A21)*(Boxes!$D$3:$D$1084="REF")*Boxes!$F$3:$F$1084)*SUMPRODUCT((Boxes!$B$3:$B$1084=$A21)*(Boxes!$D$3:$D$1084="REF")*Boxes!$J$3:$J$1084)+SUMPRODUCT((Boxes!$B$3:$B$1084=$A21)*(Boxes!$D$3:$D$1084="CCR")*Boxes!$F$3:$F$1084)*SUMPRODUCT((Boxes!$B$3:$B$1084=$A21)*(Boxes!$D$3:$D$1084="CCR")*Boxes!$J$3:$J$1084)</f>
        <v/>
      </c>
      <c r="J21" s="26">
        <f>SUMPRODUCT((Boxes!$B$3:$B$1084=$A21)*(Boxes!$D$3:$D$1084="ISOM")*Boxes!$F$3:$F$1084)*SUMPRODUCT((Boxes!$B$3:$B$1084=$A21)*(Boxes!$D$3:$D$1084="ISOM")*Boxes!$J$3:$J$1084)</f>
        <v/>
      </c>
      <c r="K21" s="26">
        <f>SUMPRODUCT((Boxes!$A$3:$A$1084="TOTAL")*(Boxes!$B$3:$B$1084=$A21)*Boxes!$P$3:$P$1084)</f>
        <v/>
      </c>
      <c r="L21" s="25">
        <f>SUMIFS(Data!$N$3:$N$125,Data!$A$3:$A$125,$A21)</f>
        <v/>
      </c>
      <c r="M21" s="25">
        <f>IFERROR($K21/(SUMIFS(Data!$G$3:$G$125,Data!$A$3:$A$125,$A21)*$D21),"")</f>
        <v/>
      </c>
      <c r="N21" s="43">
        <f>IF($M21="","",$M21-$L21)</f>
        <v/>
      </c>
      <c r="O21" s="41">
        <f>IF(AND($H21&gt;0,$G21&gt;$H21*1.05),"SR &gt; NHT cap","")</f>
        <v/>
      </c>
    </row>
    <row r="22">
      <c r="A22" s="18" t="inlineStr">
        <is>
          <t>CVR_COFFEYVILLE</t>
        </is>
      </c>
      <c r="B22" s="18" t="n">
        <v>2</v>
      </c>
      <c r="C22" s="21">
        <f>SUMPRODUCT((Boxes!$B$3:$B$1084=$A22)*(Boxes!$D$3:$D$1084="CDU")*Boxes!$F$3:$F$1084)</f>
        <v/>
      </c>
      <c r="D22" s="35">
        <f>SUMPRODUCT((Boxes!$B$3:$B$1084=$A22)*(Boxes!$D$3:$D$1084="CDU")*Boxes!$J$3:$J$1084)</f>
        <v/>
      </c>
      <c r="E22" s="21">
        <f>$C22*$D22</f>
        <v/>
      </c>
      <c r="F22" s="24">
        <f>SUMPRODUCT((Boxes!$B$3:$B$1084=$A22)*(Boxes!$D$3:$D$1084="CDU")*Boxes!$O$3:$O$1084)</f>
        <v/>
      </c>
      <c r="G22" s="26">
        <f>$E22*$F22</f>
        <v/>
      </c>
      <c r="H22" s="21">
        <f>SUMPRODUCT((Boxes!$B$3:$B$1084=$A22)*(Boxes!$D$3:$D$1084="NHT")*Boxes!$F$3:$F$1084)</f>
        <v/>
      </c>
      <c r="I22" s="26">
        <f>SUMPRODUCT((Boxes!$B$3:$B$1084=$A22)*(Boxes!$D$3:$D$1084="REF")*Boxes!$F$3:$F$1084)*SUMPRODUCT((Boxes!$B$3:$B$1084=$A22)*(Boxes!$D$3:$D$1084="REF")*Boxes!$J$3:$J$1084)+SUMPRODUCT((Boxes!$B$3:$B$1084=$A22)*(Boxes!$D$3:$D$1084="CCR")*Boxes!$F$3:$F$1084)*SUMPRODUCT((Boxes!$B$3:$B$1084=$A22)*(Boxes!$D$3:$D$1084="CCR")*Boxes!$J$3:$J$1084)</f>
        <v/>
      </c>
      <c r="J22" s="26">
        <f>SUMPRODUCT((Boxes!$B$3:$B$1084=$A22)*(Boxes!$D$3:$D$1084="ISOM")*Boxes!$F$3:$F$1084)*SUMPRODUCT((Boxes!$B$3:$B$1084=$A22)*(Boxes!$D$3:$D$1084="ISOM")*Boxes!$J$3:$J$1084)</f>
        <v/>
      </c>
      <c r="K22" s="26">
        <f>SUMPRODUCT((Boxes!$A$3:$A$1084="TOTAL")*(Boxes!$B$3:$B$1084=$A22)*Boxes!$P$3:$P$1084)</f>
        <v/>
      </c>
      <c r="L22" s="25">
        <f>SUMIFS(Data!$N$3:$N$125,Data!$A$3:$A$125,$A22)</f>
        <v/>
      </c>
      <c r="M22" s="25">
        <f>IFERROR($K22/(SUMIFS(Data!$G$3:$G$125,Data!$A$3:$A$125,$A22)*$D22),"")</f>
        <v/>
      </c>
      <c r="N22" s="43">
        <f>IF($M22="","",$M22-$L22)</f>
        <v/>
      </c>
      <c r="O22" s="41">
        <f>IF(AND($H22&gt;0,$G22&gt;$H22*1.05),"SR &gt; NHT cap","")</f>
        <v/>
      </c>
    </row>
    <row r="23">
      <c r="A23" s="18" t="inlineStr">
        <is>
          <t>HF_TULSA</t>
        </is>
      </c>
      <c r="B23" s="18" t="n">
        <v>2</v>
      </c>
      <c r="C23" s="21">
        <f>SUMPRODUCT((Boxes!$B$3:$B$1084=$A23)*(Boxes!$D$3:$D$1084="CDU")*Boxes!$F$3:$F$1084)</f>
        <v/>
      </c>
      <c r="D23" s="35">
        <f>SUMPRODUCT((Boxes!$B$3:$B$1084=$A23)*(Boxes!$D$3:$D$1084="CDU")*Boxes!$J$3:$J$1084)</f>
        <v/>
      </c>
      <c r="E23" s="21">
        <f>$C23*$D23</f>
        <v/>
      </c>
      <c r="F23" s="24">
        <f>SUMPRODUCT((Boxes!$B$3:$B$1084=$A23)*(Boxes!$D$3:$D$1084="CDU")*Boxes!$O$3:$O$1084)</f>
        <v/>
      </c>
      <c r="G23" s="26">
        <f>$E23*$F23</f>
        <v/>
      </c>
      <c r="H23" s="21">
        <f>SUMPRODUCT((Boxes!$B$3:$B$1084=$A23)*(Boxes!$D$3:$D$1084="NHT")*Boxes!$F$3:$F$1084)</f>
        <v/>
      </c>
      <c r="I23" s="26">
        <f>SUMPRODUCT((Boxes!$B$3:$B$1084=$A23)*(Boxes!$D$3:$D$1084="REF")*Boxes!$F$3:$F$1084)*SUMPRODUCT((Boxes!$B$3:$B$1084=$A23)*(Boxes!$D$3:$D$1084="REF")*Boxes!$J$3:$J$1084)+SUMPRODUCT((Boxes!$B$3:$B$1084=$A23)*(Boxes!$D$3:$D$1084="CCR")*Boxes!$F$3:$F$1084)*SUMPRODUCT((Boxes!$B$3:$B$1084=$A23)*(Boxes!$D$3:$D$1084="CCR")*Boxes!$J$3:$J$1084)</f>
        <v/>
      </c>
      <c r="J23" s="26">
        <f>SUMPRODUCT((Boxes!$B$3:$B$1084=$A23)*(Boxes!$D$3:$D$1084="ISOM")*Boxes!$F$3:$F$1084)*SUMPRODUCT((Boxes!$B$3:$B$1084=$A23)*(Boxes!$D$3:$D$1084="ISOM")*Boxes!$J$3:$J$1084)</f>
        <v/>
      </c>
      <c r="K23" s="26">
        <f>SUMPRODUCT((Boxes!$A$3:$A$1084="TOTAL")*(Boxes!$B$3:$B$1084=$A23)*Boxes!$P$3:$P$1084)</f>
        <v/>
      </c>
      <c r="L23" s="25">
        <f>SUMIFS(Data!$N$3:$N$125,Data!$A$3:$A$125,$A23)</f>
        <v/>
      </c>
      <c r="M23" s="25">
        <f>IFERROR($K23/(SUMIFS(Data!$G$3:$G$125,Data!$A$3:$A$125,$A23)*$D23),"")</f>
        <v/>
      </c>
      <c r="N23" s="43">
        <f>IF($M23="","",$M23-$L23)</f>
        <v/>
      </c>
      <c r="O23" s="41">
        <f>IF(AND($H23&gt;0,$G23&gt;$H23*1.05),"SR &gt; NHT cap","")</f>
        <v/>
      </c>
    </row>
    <row r="24">
      <c r="A24" s="18" t="inlineStr">
        <is>
          <t>NCRA_MCPHERSON</t>
        </is>
      </c>
      <c r="B24" s="18" t="n">
        <v>2</v>
      </c>
      <c r="C24" s="21">
        <f>SUMPRODUCT((Boxes!$B$3:$B$1084=$A24)*(Boxes!$D$3:$D$1084="CDU")*Boxes!$F$3:$F$1084)</f>
        <v/>
      </c>
      <c r="D24" s="35">
        <f>SUMPRODUCT((Boxes!$B$3:$B$1084=$A24)*(Boxes!$D$3:$D$1084="CDU")*Boxes!$J$3:$J$1084)</f>
        <v/>
      </c>
      <c r="E24" s="21">
        <f>$C24*$D24</f>
        <v/>
      </c>
      <c r="F24" s="24">
        <f>SUMPRODUCT((Boxes!$B$3:$B$1084=$A24)*(Boxes!$D$3:$D$1084="CDU")*Boxes!$O$3:$O$1084)</f>
        <v/>
      </c>
      <c r="G24" s="26">
        <f>$E24*$F24</f>
        <v/>
      </c>
      <c r="H24" s="21">
        <f>SUMPRODUCT((Boxes!$B$3:$B$1084=$A24)*(Boxes!$D$3:$D$1084="NHT")*Boxes!$F$3:$F$1084)</f>
        <v/>
      </c>
      <c r="I24" s="26">
        <f>SUMPRODUCT((Boxes!$B$3:$B$1084=$A24)*(Boxes!$D$3:$D$1084="REF")*Boxes!$F$3:$F$1084)*SUMPRODUCT((Boxes!$B$3:$B$1084=$A24)*(Boxes!$D$3:$D$1084="REF")*Boxes!$J$3:$J$1084)+SUMPRODUCT((Boxes!$B$3:$B$1084=$A24)*(Boxes!$D$3:$D$1084="CCR")*Boxes!$F$3:$F$1084)*SUMPRODUCT((Boxes!$B$3:$B$1084=$A24)*(Boxes!$D$3:$D$1084="CCR")*Boxes!$J$3:$J$1084)</f>
        <v/>
      </c>
      <c r="J24" s="26">
        <f>SUMPRODUCT((Boxes!$B$3:$B$1084=$A24)*(Boxes!$D$3:$D$1084="ISOM")*Boxes!$F$3:$F$1084)*SUMPRODUCT((Boxes!$B$3:$B$1084=$A24)*(Boxes!$D$3:$D$1084="ISOM")*Boxes!$J$3:$J$1084)</f>
        <v/>
      </c>
      <c r="K24" s="26">
        <f>SUMPRODUCT((Boxes!$A$3:$A$1084="TOTAL")*(Boxes!$B$3:$B$1084=$A24)*Boxes!$P$3:$P$1084)</f>
        <v/>
      </c>
      <c r="L24" s="25">
        <f>SUMIFS(Data!$N$3:$N$125,Data!$A$3:$A$125,$A24)</f>
        <v/>
      </c>
      <c r="M24" s="25">
        <f>IFERROR($K24/(SUMIFS(Data!$G$3:$G$125,Data!$A$3:$A$125,$A24)*$D24),"")</f>
        <v/>
      </c>
      <c r="N24" s="43">
        <f>IF($M24="","",$M24-$L24)</f>
        <v/>
      </c>
      <c r="O24" s="41">
        <f>IF(AND($H24&gt;0,$G24&gt;$H24*1.05),"SR &gt; NHT cap","")</f>
        <v/>
      </c>
    </row>
    <row r="25">
      <c r="A25" s="18" t="inlineStr">
        <is>
          <t>MARATHON_SAINT_PAUL_PARK</t>
        </is>
      </c>
      <c r="B25" s="18" t="n">
        <v>2</v>
      </c>
      <c r="C25" s="21">
        <f>SUMPRODUCT((Boxes!$B$3:$B$1084=$A25)*(Boxes!$D$3:$D$1084="CDU")*Boxes!$F$3:$F$1084)</f>
        <v/>
      </c>
      <c r="D25" s="35">
        <f>SUMPRODUCT((Boxes!$B$3:$B$1084=$A25)*(Boxes!$D$3:$D$1084="CDU")*Boxes!$J$3:$J$1084)</f>
        <v/>
      </c>
      <c r="E25" s="21">
        <f>$C25*$D25</f>
        <v/>
      </c>
      <c r="F25" s="24">
        <f>SUMPRODUCT((Boxes!$B$3:$B$1084=$A25)*(Boxes!$D$3:$D$1084="CDU")*Boxes!$O$3:$O$1084)</f>
        <v/>
      </c>
      <c r="G25" s="26">
        <f>$E25*$F25</f>
        <v/>
      </c>
      <c r="H25" s="21">
        <f>SUMPRODUCT((Boxes!$B$3:$B$1084=$A25)*(Boxes!$D$3:$D$1084="NHT")*Boxes!$F$3:$F$1084)</f>
        <v/>
      </c>
      <c r="I25" s="26">
        <f>SUMPRODUCT((Boxes!$B$3:$B$1084=$A25)*(Boxes!$D$3:$D$1084="REF")*Boxes!$F$3:$F$1084)*SUMPRODUCT((Boxes!$B$3:$B$1084=$A25)*(Boxes!$D$3:$D$1084="REF")*Boxes!$J$3:$J$1084)+SUMPRODUCT((Boxes!$B$3:$B$1084=$A25)*(Boxes!$D$3:$D$1084="CCR")*Boxes!$F$3:$F$1084)*SUMPRODUCT((Boxes!$B$3:$B$1084=$A25)*(Boxes!$D$3:$D$1084="CCR")*Boxes!$J$3:$J$1084)</f>
        <v/>
      </c>
      <c r="J25" s="26">
        <f>SUMPRODUCT((Boxes!$B$3:$B$1084=$A25)*(Boxes!$D$3:$D$1084="ISOM")*Boxes!$F$3:$F$1084)*SUMPRODUCT((Boxes!$B$3:$B$1084=$A25)*(Boxes!$D$3:$D$1084="ISOM")*Boxes!$J$3:$J$1084)</f>
        <v/>
      </c>
      <c r="K25" s="26">
        <f>SUMPRODUCT((Boxes!$A$3:$A$1084="TOTAL")*(Boxes!$B$3:$B$1084=$A25)*Boxes!$P$3:$P$1084)</f>
        <v/>
      </c>
      <c r="L25" s="25">
        <f>SUMIFS(Data!$N$3:$N$125,Data!$A$3:$A$125,$A25)</f>
        <v/>
      </c>
      <c r="M25" s="25">
        <f>IFERROR($K25/(SUMIFS(Data!$G$3:$G$125,Data!$A$3:$A$125,$A25)*$D25),"")</f>
        <v/>
      </c>
      <c r="N25" s="43">
        <f>IF($M25="","",$M25-$L25)</f>
        <v/>
      </c>
      <c r="O25" s="41">
        <f>IF(AND($H25&gt;0,$G25&gt;$H25*1.05),"SR &gt; NHT cap","")</f>
        <v/>
      </c>
    </row>
    <row r="26">
      <c r="A26" s="18" t="inlineStr">
        <is>
          <t>MARATHON_CANTON</t>
        </is>
      </c>
      <c r="B26" s="18" t="n">
        <v>2</v>
      </c>
      <c r="C26" s="21">
        <f>SUMPRODUCT((Boxes!$B$3:$B$1084=$A26)*(Boxes!$D$3:$D$1084="CDU")*Boxes!$F$3:$F$1084)</f>
        <v/>
      </c>
      <c r="D26" s="35">
        <f>SUMPRODUCT((Boxes!$B$3:$B$1084=$A26)*(Boxes!$D$3:$D$1084="CDU")*Boxes!$J$3:$J$1084)</f>
        <v/>
      </c>
      <c r="E26" s="21">
        <f>$C26*$D26</f>
        <v/>
      </c>
      <c r="F26" s="24">
        <f>SUMPRODUCT((Boxes!$B$3:$B$1084=$A26)*(Boxes!$D$3:$D$1084="CDU")*Boxes!$O$3:$O$1084)</f>
        <v/>
      </c>
      <c r="G26" s="26">
        <f>$E26*$F26</f>
        <v/>
      </c>
      <c r="H26" s="21">
        <f>SUMPRODUCT((Boxes!$B$3:$B$1084=$A26)*(Boxes!$D$3:$D$1084="NHT")*Boxes!$F$3:$F$1084)</f>
        <v/>
      </c>
      <c r="I26" s="26">
        <f>SUMPRODUCT((Boxes!$B$3:$B$1084=$A26)*(Boxes!$D$3:$D$1084="REF")*Boxes!$F$3:$F$1084)*SUMPRODUCT((Boxes!$B$3:$B$1084=$A26)*(Boxes!$D$3:$D$1084="REF")*Boxes!$J$3:$J$1084)+SUMPRODUCT((Boxes!$B$3:$B$1084=$A26)*(Boxes!$D$3:$D$1084="CCR")*Boxes!$F$3:$F$1084)*SUMPRODUCT((Boxes!$B$3:$B$1084=$A26)*(Boxes!$D$3:$D$1084="CCR")*Boxes!$J$3:$J$1084)</f>
        <v/>
      </c>
      <c r="J26" s="26">
        <f>SUMPRODUCT((Boxes!$B$3:$B$1084=$A26)*(Boxes!$D$3:$D$1084="ISOM")*Boxes!$F$3:$F$1084)*SUMPRODUCT((Boxes!$B$3:$B$1084=$A26)*(Boxes!$D$3:$D$1084="ISOM")*Boxes!$J$3:$J$1084)</f>
        <v/>
      </c>
      <c r="K26" s="26">
        <f>SUMPRODUCT((Boxes!$A$3:$A$1084="TOTAL")*(Boxes!$B$3:$B$1084=$A26)*Boxes!$P$3:$P$1084)</f>
        <v/>
      </c>
      <c r="L26" s="25">
        <f>SUMIFS(Data!$N$3:$N$125,Data!$A$3:$A$125,$A26)</f>
        <v/>
      </c>
      <c r="M26" s="25">
        <f>IFERROR($K26/(SUMIFS(Data!$G$3:$G$125,Data!$A$3:$A$125,$A26)*$D26),"")</f>
        <v/>
      </c>
      <c r="N26" s="43">
        <f>IF($M26="","",$M26-$L26)</f>
        <v/>
      </c>
      <c r="O26" s="41">
        <f>IF(AND($H26&gt;0,$G26&gt;$H26*1.05),"SR &gt; NHT cap","")</f>
        <v/>
      </c>
    </row>
    <row r="27">
      <c r="A27" s="18" t="inlineStr">
        <is>
          <t>VALERO_ARDMORE</t>
        </is>
      </c>
      <c r="B27" s="18" t="n">
        <v>2</v>
      </c>
      <c r="C27" s="21">
        <f>SUMPRODUCT((Boxes!$B$3:$B$1084=$A27)*(Boxes!$D$3:$D$1084="CDU")*Boxes!$F$3:$F$1084)</f>
        <v/>
      </c>
      <c r="D27" s="35">
        <f>SUMPRODUCT((Boxes!$B$3:$B$1084=$A27)*(Boxes!$D$3:$D$1084="CDU")*Boxes!$J$3:$J$1084)</f>
        <v/>
      </c>
      <c r="E27" s="21">
        <f>$C27*$D27</f>
        <v/>
      </c>
      <c r="F27" s="24">
        <f>SUMPRODUCT((Boxes!$B$3:$B$1084=$A27)*(Boxes!$D$3:$D$1084="CDU")*Boxes!$O$3:$O$1084)</f>
        <v/>
      </c>
      <c r="G27" s="26">
        <f>$E27*$F27</f>
        <v/>
      </c>
      <c r="H27" s="21">
        <f>SUMPRODUCT((Boxes!$B$3:$B$1084=$A27)*(Boxes!$D$3:$D$1084="NHT")*Boxes!$F$3:$F$1084)</f>
        <v/>
      </c>
      <c r="I27" s="26">
        <f>SUMPRODUCT((Boxes!$B$3:$B$1084=$A27)*(Boxes!$D$3:$D$1084="REF")*Boxes!$F$3:$F$1084)*SUMPRODUCT((Boxes!$B$3:$B$1084=$A27)*(Boxes!$D$3:$D$1084="REF")*Boxes!$J$3:$J$1084)+SUMPRODUCT((Boxes!$B$3:$B$1084=$A27)*(Boxes!$D$3:$D$1084="CCR")*Boxes!$F$3:$F$1084)*SUMPRODUCT((Boxes!$B$3:$B$1084=$A27)*(Boxes!$D$3:$D$1084="CCR")*Boxes!$J$3:$J$1084)</f>
        <v/>
      </c>
      <c r="J27" s="26">
        <f>SUMPRODUCT((Boxes!$B$3:$B$1084=$A27)*(Boxes!$D$3:$D$1084="ISOM")*Boxes!$F$3:$F$1084)*SUMPRODUCT((Boxes!$B$3:$B$1084=$A27)*(Boxes!$D$3:$D$1084="ISOM")*Boxes!$J$3:$J$1084)</f>
        <v/>
      </c>
      <c r="K27" s="26">
        <f>SUMPRODUCT((Boxes!$A$3:$A$1084="TOTAL")*(Boxes!$B$3:$B$1084=$A27)*Boxes!$P$3:$P$1084)</f>
        <v/>
      </c>
      <c r="L27" s="25">
        <f>SUMIFS(Data!$N$3:$N$125,Data!$A$3:$A$125,$A27)</f>
        <v/>
      </c>
      <c r="M27" s="25">
        <f>IFERROR($K27/(SUMIFS(Data!$G$3:$G$125,Data!$A$3:$A$125,$A27)*$D27),"")</f>
        <v/>
      </c>
      <c r="N27" s="43">
        <f>IF($M27="","",$M27-$L27)</f>
        <v/>
      </c>
      <c r="O27" s="41">
        <f>IF(AND($H27&gt;0,$G27&gt;$H27*1.05),"SR &gt; NHT cap","")</f>
        <v/>
      </c>
    </row>
    <row r="28">
      <c r="A28" s="18" t="inlineStr">
        <is>
          <t>MARATHON_MANDAN</t>
        </is>
      </c>
      <c r="B28" s="18" t="n">
        <v>2</v>
      </c>
      <c r="C28" s="21">
        <f>SUMPRODUCT((Boxes!$B$3:$B$1084=$A28)*(Boxes!$D$3:$D$1084="CDU")*Boxes!$F$3:$F$1084)</f>
        <v/>
      </c>
      <c r="D28" s="35">
        <f>SUMPRODUCT((Boxes!$B$3:$B$1084=$A28)*(Boxes!$D$3:$D$1084="CDU")*Boxes!$J$3:$J$1084)</f>
        <v/>
      </c>
      <c r="E28" s="21">
        <f>$C28*$D28</f>
        <v/>
      </c>
      <c r="F28" s="24">
        <f>SUMPRODUCT((Boxes!$B$3:$B$1084=$A28)*(Boxes!$D$3:$D$1084="CDU")*Boxes!$O$3:$O$1084)</f>
        <v/>
      </c>
      <c r="G28" s="26">
        <f>$E28*$F28</f>
        <v/>
      </c>
      <c r="H28" s="21">
        <f>SUMPRODUCT((Boxes!$B$3:$B$1084=$A28)*(Boxes!$D$3:$D$1084="NHT")*Boxes!$F$3:$F$1084)</f>
        <v/>
      </c>
      <c r="I28" s="26">
        <f>SUMPRODUCT((Boxes!$B$3:$B$1084=$A28)*(Boxes!$D$3:$D$1084="REF")*Boxes!$F$3:$F$1084)*SUMPRODUCT((Boxes!$B$3:$B$1084=$A28)*(Boxes!$D$3:$D$1084="REF")*Boxes!$J$3:$J$1084)+SUMPRODUCT((Boxes!$B$3:$B$1084=$A28)*(Boxes!$D$3:$D$1084="CCR")*Boxes!$F$3:$F$1084)*SUMPRODUCT((Boxes!$B$3:$B$1084=$A28)*(Boxes!$D$3:$D$1084="CCR")*Boxes!$J$3:$J$1084)</f>
        <v/>
      </c>
      <c r="J28" s="26">
        <f>SUMPRODUCT((Boxes!$B$3:$B$1084=$A28)*(Boxes!$D$3:$D$1084="ISOM")*Boxes!$F$3:$F$1084)*SUMPRODUCT((Boxes!$B$3:$B$1084=$A28)*(Boxes!$D$3:$D$1084="ISOM")*Boxes!$J$3:$J$1084)</f>
        <v/>
      </c>
      <c r="K28" s="26">
        <f>SUMPRODUCT((Boxes!$A$3:$A$1084="TOTAL")*(Boxes!$B$3:$B$1084=$A28)*Boxes!$P$3:$P$1084)</f>
        <v/>
      </c>
      <c r="L28" s="25">
        <f>SUMIFS(Data!$N$3:$N$125,Data!$A$3:$A$125,$A28)</f>
        <v/>
      </c>
      <c r="M28" s="25">
        <f>IFERROR($K28/(SUMIFS(Data!$G$3:$G$125,Data!$A$3:$A$125,$A28)*$D28),"")</f>
        <v/>
      </c>
      <c r="N28" s="43">
        <f>IF($M28="","",$M28-$L28)</f>
        <v/>
      </c>
      <c r="O28" s="41">
        <f>IF(AND($H28&gt;0,$G28&gt;$H28*1.05),"SR &gt; NHT cap","")</f>
        <v/>
      </c>
    </row>
    <row r="29">
      <c r="A29" s="18" t="inlineStr">
        <is>
          <t>CVR_WYNNEWOOD</t>
        </is>
      </c>
      <c r="B29" s="18" t="n">
        <v>2</v>
      </c>
      <c r="C29" s="21">
        <f>SUMPRODUCT((Boxes!$B$3:$B$1084=$A29)*(Boxes!$D$3:$D$1084="CDU")*Boxes!$F$3:$F$1084)</f>
        <v/>
      </c>
      <c r="D29" s="35">
        <f>SUMPRODUCT((Boxes!$B$3:$B$1084=$A29)*(Boxes!$D$3:$D$1084="CDU")*Boxes!$J$3:$J$1084)</f>
        <v/>
      </c>
      <c r="E29" s="21">
        <f>$C29*$D29</f>
        <v/>
      </c>
      <c r="F29" s="24">
        <f>SUMPRODUCT((Boxes!$B$3:$B$1084=$A29)*(Boxes!$D$3:$D$1084="CDU")*Boxes!$O$3:$O$1084)</f>
        <v/>
      </c>
      <c r="G29" s="26">
        <f>$E29*$F29</f>
        <v/>
      </c>
      <c r="H29" s="21">
        <f>SUMPRODUCT((Boxes!$B$3:$B$1084=$A29)*(Boxes!$D$3:$D$1084="NHT")*Boxes!$F$3:$F$1084)</f>
        <v/>
      </c>
      <c r="I29" s="26">
        <f>SUMPRODUCT((Boxes!$B$3:$B$1084=$A29)*(Boxes!$D$3:$D$1084="REF")*Boxes!$F$3:$F$1084)*SUMPRODUCT((Boxes!$B$3:$B$1084=$A29)*(Boxes!$D$3:$D$1084="REF")*Boxes!$J$3:$J$1084)+SUMPRODUCT((Boxes!$B$3:$B$1084=$A29)*(Boxes!$D$3:$D$1084="CCR")*Boxes!$F$3:$F$1084)*SUMPRODUCT((Boxes!$B$3:$B$1084=$A29)*(Boxes!$D$3:$D$1084="CCR")*Boxes!$J$3:$J$1084)</f>
        <v/>
      </c>
      <c r="J29" s="26">
        <f>SUMPRODUCT((Boxes!$B$3:$B$1084=$A29)*(Boxes!$D$3:$D$1084="ISOM")*Boxes!$F$3:$F$1084)*SUMPRODUCT((Boxes!$B$3:$B$1084=$A29)*(Boxes!$D$3:$D$1084="ISOM")*Boxes!$J$3:$J$1084)</f>
        <v/>
      </c>
      <c r="K29" s="26">
        <f>SUMPRODUCT((Boxes!$A$3:$A$1084="TOTAL")*(Boxes!$B$3:$B$1084=$A29)*Boxes!$P$3:$P$1084)</f>
        <v/>
      </c>
      <c r="L29" s="25">
        <f>SUMIFS(Data!$N$3:$N$125,Data!$A$3:$A$125,$A29)</f>
        <v/>
      </c>
      <c r="M29" s="25">
        <f>IFERROR($K29/(SUMIFS(Data!$G$3:$G$125,Data!$A$3:$A$125,$A29)*$D29),"")</f>
        <v/>
      </c>
      <c r="N29" s="43">
        <f>IF($M29="","",$M29-$L29)</f>
        <v/>
      </c>
      <c r="O29" s="41">
        <f>IF(AND($H29&gt;0,$G29&gt;$H29*1.05),"SR &gt; NHT cap","")</f>
        <v/>
      </c>
    </row>
    <row r="30">
      <c r="A30" s="18" t="inlineStr">
        <is>
          <t>CENOVUS_SUPERIOR</t>
        </is>
      </c>
      <c r="B30" s="18" t="n">
        <v>2</v>
      </c>
      <c r="C30" s="21">
        <f>SUMPRODUCT((Boxes!$B$3:$B$1084=$A30)*(Boxes!$D$3:$D$1084="CDU")*Boxes!$F$3:$F$1084)</f>
        <v/>
      </c>
      <c r="D30" s="35">
        <f>SUMPRODUCT((Boxes!$B$3:$B$1084=$A30)*(Boxes!$D$3:$D$1084="CDU")*Boxes!$J$3:$J$1084)</f>
        <v/>
      </c>
      <c r="E30" s="21">
        <f>$C30*$D30</f>
        <v/>
      </c>
      <c r="F30" s="24">
        <f>SUMPRODUCT((Boxes!$B$3:$B$1084=$A30)*(Boxes!$D$3:$D$1084="CDU")*Boxes!$O$3:$O$1084)</f>
        <v/>
      </c>
      <c r="G30" s="26">
        <f>$E30*$F30</f>
        <v/>
      </c>
      <c r="H30" s="21">
        <f>SUMPRODUCT((Boxes!$B$3:$B$1084=$A30)*(Boxes!$D$3:$D$1084="NHT")*Boxes!$F$3:$F$1084)</f>
        <v/>
      </c>
      <c r="I30" s="26">
        <f>SUMPRODUCT((Boxes!$B$3:$B$1084=$A30)*(Boxes!$D$3:$D$1084="REF")*Boxes!$F$3:$F$1084)*SUMPRODUCT((Boxes!$B$3:$B$1084=$A30)*(Boxes!$D$3:$D$1084="REF")*Boxes!$J$3:$J$1084)+SUMPRODUCT((Boxes!$B$3:$B$1084=$A30)*(Boxes!$D$3:$D$1084="CCR")*Boxes!$F$3:$F$1084)*SUMPRODUCT((Boxes!$B$3:$B$1084=$A30)*(Boxes!$D$3:$D$1084="CCR")*Boxes!$J$3:$J$1084)</f>
        <v/>
      </c>
      <c r="J30" s="26">
        <f>SUMPRODUCT((Boxes!$B$3:$B$1084=$A30)*(Boxes!$D$3:$D$1084="ISOM")*Boxes!$F$3:$F$1084)*SUMPRODUCT((Boxes!$B$3:$B$1084=$A30)*(Boxes!$D$3:$D$1084="ISOM")*Boxes!$J$3:$J$1084)</f>
        <v/>
      </c>
      <c r="K30" s="26">
        <f>SUMPRODUCT((Boxes!$A$3:$A$1084="TOTAL")*(Boxes!$B$3:$B$1084=$A30)*Boxes!$P$3:$P$1084)</f>
        <v/>
      </c>
      <c r="L30" s="25">
        <f>SUMIFS(Data!$N$3:$N$125,Data!$A$3:$A$125,$A30)</f>
        <v/>
      </c>
      <c r="M30" s="25">
        <f>IFERROR($K30/(SUMIFS(Data!$G$3:$G$125,Data!$A$3:$A$125,$A30)*$D30),"")</f>
        <v/>
      </c>
      <c r="N30" s="43">
        <f>IF($M30="","",$M30-$L30)</f>
        <v/>
      </c>
      <c r="O30" s="41">
        <f>IF(AND($H30&gt;0,$G30&gt;$H30*1.05),"SR &gt; NHT cap","")</f>
        <v/>
      </c>
    </row>
    <row r="31">
      <c r="A31" s="18" t="inlineStr">
        <is>
          <t>COUNTRYMARK_MOUNT_VERNON</t>
        </is>
      </c>
      <c r="B31" s="18" t="n">
        <v>2</v>
      </c>
      <c r="C31" s="21">
        <f>SUMPRODUCT((Boxes!$B$3:$B$1084=$A31)*(Boxes!$D$3:$D$1084="CDU")*Boxes!$F$3:$F$1084)</f>
        <v/>
      </c>
      <c r="D31" s="35">
        <f>SUMPRODUCT((Boxes!$B$3:$B$1084=$A31)*(Boxes!$D$3:$D$1084="CDU")*Boxes!$J$3:$J$1084)</f>
        <v/>
      </c>
      <c r="E31" s="21">
        <f>$C31*$D31</f>
        <v/>
      </c>
      <c r="F31" s="24">
        <f>SUMPRODUCT((Boxes!$B$3:$B$1084=$A31)*(Boxes!$D$3:$D$1084="CDU")*Boxes!$O$3:$O$1084)</f>
        <v/>
      </c>
      <c r="G31" s="26">
        <f>$E31*$F31</f>
        <v/>
      </c>
      <c r="H31" s="21">
        <f>SUMPRODUCT((Boxes!$B$3:$B$1084=$A31)*(Boxes!$D$3:$D$1084="NHT")*Boxes!$F$3:$F$1084)</f>
        <v/>
      </c>
      <c r="I31" s="26">
        <f>SUMPRODUCT((Boxes!$B$3:$B$1084=$A31)*(Boxes!$D$3:$D$1084="REF")*Boxes!$F$3:$F$1084)*SUMPRODUCT((Boxes!$B$3:$B$1084=$A31)*(Boxes!$D$3:$D$1084="REF")*Boxes!$J$3:$J$1084)+SUMPRODUCT((Boxes!$B$3:$B$1084=$A31)*(Boxes!$D$3:$D$1084="CCR")*Boxes!$F$3:$F$1084)*SUMPRODUCT((Boxes!$B$3:$B$1084=$A31)*(Boxes!$D$3:$D$1084="CCR")*Boxes!$J$3:$J$1084)</f>
        <v/>
      </c>
      <c r="J31" s="26">
        <f>SUMPRODUCT((Boxes!$B$3:$B$1084=$A31)*(Boxes!$D$3:$D$1084="ISOM")*Boxes!$F$3:$F$1084)*SUMPRODUCT((Boxes!$B$3:$B$1084=$A31)*(Boxes!$D$3:$D$1084="ISOM")*Boxes!$J$3:$J$1084)</f>
        <v/>
      </c>
      <c r="K31" s="26">
        <f>SUMPRODUCT((Boxes!$A$3:$A$1084="TOTAL")*(Boxes!$B$3:$B$1084=$A31)*Boxes!$P$3:$P$1084)</f>
        <v/>
      </c>
      <c r="L31" s="25">
        <f>SUMIFS(Data!$N$3:$N$125,Data!$A$3:$A$125,$A31)</f>
        <v/>
      </c>
      <c r="M31" s="25">
        <f>IFERROR($K31/(SUMIFS(Data!$G$3:$G$125,Data!$A$3:$A$125,$A31)*$D31),"")</f>
        <v/>
      </c>
      <c r="N31" s="43">
        <f>IF($M31="","",$M31-$L31)</f>
        <v/>
      </c>
      <c r="O31" s="41">
        <f>IF(AND($H31&gt;0,$G31&gt;$H31*1.05),"SR &gt; NHT cap","")</f>
        <v/>
      </c>
    </row>
    <row r="32">
      <c r="A32" s="18" t="inlineStr">
        <is>
          <t>MPC_GALV_BAY</t>
        </is>
      </c>
      <c r="B32" s="18" t="n">
        <v>3</v>
      </c>
      <c r="C32" s="21">
        <f>SUMPRODUCT((Boxes!$B$3:$B$1084=$A32)*(Boxes!$D$3:$D$1084="CDU")*Boxes!$F$3:$F$1084)</f>
        <v/>
      </c>
      <c r="D32" s="35">
        <f>SUMPRODUCT((Boxes!$B$3:$B$1084=$A32)*(Boxes!$D$3:$D$1084="CDU")*Boxes!$J$3:$J$1084)</f>
        <v/>
      </c>
      <c r="E32" s="21">
        <f>$C32*$D32</f>
        <v/>
      </c>
      <c r="F32" s="24">
        <f>SUMPRODUCT((Boxes!$B$3:$B$1084=$A32)*(Boxes!$D$3:$D$1084="CDU")*Boxes!$O$3:$O$1084)</f>
        <v/>
      </c>
      <c r="G32" s="26">
        <f>$E32*$F32</f>
        <v/>
      </c>
      <c r="H32" s="21">
        <f>SUMPRODUCT((Boxes!$B$3:$B$1084=$A32)*(Boxes!$D$3:$D$1084="NHT")*Boxes!$F$3:$F$1084)</f>
        <v/>
      </c>
      <c r="I32" s="26">
        <f>SUMPRODUCT((Boxes!$B$3:$B$1084=$A32)*(Boxes!$D$3:$D$1084="REF")*Boxes!$F$3:$F$1084)*SUMPRODUCT((Boxes!$B$3:$B$1084=$A32)*(Boxes!$D$3:$D$1084="REF")*Boxes!$J$3:$J$1084)+SUMPRODUCT((Boxes!$B$3:$B$1084=$A32)*(Boxes!$D$3:$D$1084="CCR")*Boxes!$F$3:$F$1084)*SUMPRODUCT((Boxes!$B$3:$B$1084=$A32)*(Boxes!$D$3:$D$1084="CCR")*Boxes!$J$3:$J$1084)</f>
        <v/>
      </c>
      <c r="J32" s="26">
        <f>SUMPRODUCT((Boxes!$B$3:$B$1084=$A32)*(Boxes!$D$3:$D$1084="ISOM")*Boxes!$F$3:$F$1084)*SUMPRODUCT((Boxes!$B$3:$B$1084=$A32)*(Boxes!$D$3:$D$1084="ISOM")*Boxes!$J$3:$J$1084)</f>
        <v/>
      </c>
      <c r="K32" s="26">
        <f>SUMPRODUCT((Boxes!$A$3:$A$1084="TOTAL")*(Boxes!$B$3:$B$1084=$A32)*Boxes!$P$3:$P$1084)</f>
        <v/>
      </c>
      <c r="L32" s="25">
        <f>SUMIFS(Data!$N$3:$N$125,Data!$A$3:$A$125,$A32)</f>
        <v/>
      </c>
      <c r="M32" s="25">
        <f>IFERROR($K32/(SUMIFS(Data!$G$3:$G$125,Data!$A$3:$A$125,$A32)*$D32),"")</f>
        <v/>
      </c>
      <c r="N32" s="43">
        <f>IF($M32="","",$M32-$L32)</f>
        <v/>
      </c>
      <c r="O32" s="41">
        <f>IF(AND($H32&gt;0,$G32&gt;$H32*1.05),"SR &gt; NHT cap","")</f>
        <v/>
      </c>
    </row>
    <row r="33">
      <c r="A33" s="18" t="inlineStr">
        <is>
          <t>MOTIVA_PAR</t>
        </is>
      </c>
      <c r="B33" s="18" t="n">
        <v>3</v>
      </c>
      <c r="C33" s="21">
        <f>SUMPRODUCT((Boxes!$B$3:$B$1084=$A33)*(Boxes!$D$3:$D$1084="CDU")*Boxes!$F$3:$F$1084)</f>
        <v/>
      </c>
      <c r="D33" s="35">
        <f>SUMPRODUCT((Boxes!$B$3:$B$1084=$A33)*(Boxes!$D$3:$D$1084="CDU")*Boxes!$J$3:$J$1084)</f>
        <v/>
      </c>
      <c r="E33" s="21">
        <f>$C33*$D33</f>
        <v/>
      </c>
      <c r="F33" s="24">
        <f>SUMPRODUCT((Boxes!$B$3:$B$1084=$A33)*(Boxes!$D$3:$D$1084="CDU")*Boxes!$O$3:$O$1084)</f>
        <v/>
      </c>
      <c r="G33" s="26">
        <f>$E33*$F33</f>
        <v/>
      </c>
      <c r="H33" s="21">
        <f>SUMPRODUCT((Boxes!$B$3:$B$1084=$A33)*(Boxes!$D$3:$D$1084="NHT")*Boxes!$F$3:$F$1084)</f>
        <v/>
      </c>
      <c r="I33" s="26">
        <f>SUMPRODUCT((Boxes!$B$3:$B$1084=$A33)*(Boxes!$D$3:$D$1084="REF")*Boxes!$F$3:$F$1084)*SUMPRODUCT((Boxes!$B$3:$B$1084=$A33)*(Boxes!$D$3:$D$1084="REF")*Boxes!$J$3:$J$1084)+SUMPRODUCT((Boxes!$B$3:$B$1084=$A33)*(Boxes!$D$3:$D$1084="CCR")*Boxes!$F$3:$F$1084)*SUMPRODUCT((Boxes!$B$3:$B$1084=$A33)*(Boxes!$D$3:$D$1084="CCR")*Boxes!$J$3:$J$1084)</f>
        <v/>
      </c>
      <c r="J33" s="26">
        <f>SUMPRODUCT((Boxes!$B$3:$B$1084=$A33)*(Boxes!$D$3:$D$1084="ISOM")*Boxes!$F$3:$F$1084)*SUMPRODUCT((Boxes!$B$3:$B$1084=$A33)*(Boxes!$D$3:$D$1084="ISOM")*Boxes!$J$3:$J$1084)</f>
        <v/>
      </c>
      <c r="K33" s="26">
        <f>SUMPRODUCT((Boxes!$A$3:$A$1084="TOTAL")*(Boxes!$B$3:$B$1084=$A33)*Boxes!$P$3:$P$1084)</f>
        <v/>
      </c>
      <c r="L33" s="25">
        <f>SUMIFS(Data!$N$3:$N$125,Data!$A$3:$A$125,$A33)</f>
        <v/>
      </c>
      <c r="M33" s="25">
        <f>IFERROR($K33/(SUMIFS(Data!$G$3:$G$125,Data!$A$3:$A$125,$A33)*$D33),"")</f>
        <v/>
      </c>
      <c r="N33" s="43">
        <f>IF($M33="","",$M33-$L33)</f>
        <v/>
      </c>
      <c r="O33" s="41">
        <f>IF(AND($H33&gt;0,$G33&gt;$H33*1.05),"SR &gt; NHT cap","")</f>
        <v/>
      </c>
    </row>
    <row r="34">
      <c r="A34" s="18" t="inlineStr">
        <is>
          <t>EXXONMOBIL_BEAUMONT</t>
        </is>
      </c>
      <c r="B34" s="18" t="n">
        <v>3</v>
      </c>
      <c r="C34" s="21">
        <f>SUMPRODUCT((Boxes!$B$3:$B$1084=$A34)*(Boxes!$D$3:$D$1084="CDU")*Boxes!$F$3:$F$1084)</f>
        <v/>
      </c>
      <c r="D34" s="35">
        <f>SUMPRODUCT((Boxes!$B$3:$B$1084=$A34)*(Boxes!$D$3:$D$1084="CDU")*Boxes!$J$3:$J$1084)</f>
        <v/>
      </c>
      <c r="E34" s="21">
        <f>$C34*$D34</f>
        <v/>
      </c>
      <c r="F34" s="24">
        <f>SUMPRODUCT((Boxes!$B$3:$B$1084=$A34)*(Boxes!$D$3:$D$1084="CDU")*Boxes!$O$3:$O$1084)</f>
        <v/>
      </c>
      <c r="G34" s="26">
        <f>$E34*$F34</f>
        <v/>
      </c>
      <c r="H34" s="21">
        <f>SUMPRODUCT((Boxes!$B$3:$B$1084=$A34)*(Boxes!$D$3:$D$1084="NHT")*Boxes!$F$3:$F$1084)</f>
        <v/>
      </c>
      <c r="I34" s="26">
        <f>SUMPRODUCT((Boxes!$B$3:$B$1084=$A34)*(Boxes!$D$3:$D$1084="REF")*Boxes!$F$3:$F$1084)*SUMPRODUCT((Boxes!$B$3:$B$1084=$A34)*(Boxes!$D$3:$D$1084="REF")*Boxes!$J$3:$J$1084)+SUMPRODUCT((Boxes!$B$3:$B$1084=$A34)*(Boxes!$D$3:$D$1084="CCR")*Boxes!$F$3:$F$1084)*SUMPRODUCT((Boxes!$B$3:$B$1084=$A34)*(Boxes!$D$3:$D$1084="CCR")*Boxes!$J$3:$J$1084)</f>
        <v/>
      </c>
      <c r="J34" s="26">
        <f>SUMPRODUCT((Boxes!$B$3:$B$1084=$A34)*(Boxes!$D$3:$D$1084="ISOM")*Boxes!$F$3:$F$1084)*SUMPRODUCT((Boxes!$B$3:$B$1084=$A34)*(Boxes!$D$3:$D$1084="ISOM")*Boxes!$J$3:$J$1084)</f>
        <v/>
      </c>
      <c r="K34" s="26">
        <f>SUMPRODUCT((Boxes!$A$3:$A$1084="TOTAL")*(Boxes!$B$3:$B$1084=$A34)*Boxes!$P$3:$P$1084)</f>
        <v/>
      </c>
      <c r="L34" s="25">
        <f>SUMIFS(Data!$N$3:$N$125,Data!$A$3:$A$125,$A34)</f>
        <v/>
      </c>
      <c r="M34" s="25">
        <f>IFERROR($K34/(SUMIFS(Data!$G$3:$G$125,Data!$A$3:$A$125,$A34)*$D34),"")</f>
        <v/>
      </c>
      <c r="N34" s="43">
        <f>IF($M34="","",$M34-$L34)</f>
        <v/>
      </c>
      <c r="O34" s="41">
        <f>IF(AND($H34&gt;0,$G34&gt;$H34*1.05),"SR &gt; NHT cap","")</f>
        <v/>
      </c>
    </row>
    <row r="35">
      <c r="A35" s="18" t="inlineStr">
        <is>
          <t>MARATHON_GARYVILLE</t>
        </is>
      </c>
      <c r="B35" s="18" t="n">
        <v>3</v>
      </c>
      <c r="C35" s="21">
        <f>SUMPRODUCT((Boxes!$B$3:$B$1084=$A35)*(Boxes!$D$3:$D$1084="CDU")*Boxes!$F$3:$F$1084)</f>
        <v/>
      </c>
      <c r="D35" s="35">
        <f>SUMPRODUCT((Boxes!$B$3:$B$1084=$A35)*(Boxes!$D$3:$D$1084="CDU")*Boxes!$J$3:$J$1084)</f>
        <v/>
      </c>
      <c r="E35" s="21">
        <f>$C35*$D35</f>
        <v/>
      </c>
      <c r="F35" s="24">
        <f>SUMPRODUCT((Boxes!$B$3:$B$1084=$A35)*(Boxes!$D$3:$D$1084="CDU")*Boxes!$O$3:$O$1084)</f>
        <v/>
      </c>
      <c r="G35" s="26">
        <f>$E35*$F35</f>
        <v/>
      </c>
      <c r="H35" s="21">
        <f>SUMPRODUCT((Boxes!$B$3:$B$1084=$A35)*(Boxes!$D$3:$D$1084="NHT")*Boxes!$F$3:$F$1084)</f>
        <v/>
      </c>
      <c r="I35" s="26">
        <f>SUMPRODUCT((Boxes!$B$3:$B$1084=$A35)*(Boxes!$D$3:$D$1084="REF")*Boxes!$F$3:$F$1084)*SUMPRODUCT((Boxes!$B$3:$B$1084=$A35)*(Boxes!$D$3:$D$1084="REF")*Boxes!$J$3:$J$1084)+SUMPRODUCT((Boxes!$B$3:$B$1084=$A35)*(Boxes!$D$3:$D$1084="CCR")*Boxes!$F$3:$F$1084)*SUMPRODUCT((Boxes!$B$3:$B$1084=$A35)*(Boxes!$D$3:$D$1084="CCR")*Boxes!$J$3:$J$1084)</f>
        <v/>
      </c>
      <c r="J35" s="26">
        <f>SUMPRODUCT((Boxes!$B$3:$B$1084=$A35)*(Boxes!$D$3:$D$1084="ISOM")*Boxes!$F$3:$F$1084)*SUMPRODUCT((Boxes!$B$3:$B$1084=$A35)*(Boxes!$D$3:$D$1084="ISOM")*Boxes!$J$3:$J$1084)</f>
        <v/>
      </c>
      <c r="K35" s="26">
        <f>SUMPRODUCT((Boxes!$A$3:$A$1084="TOTAL")*(Boxes!$B$3:$B$1084=$A35)*Boxes!$P$3:$P$1084)</f>
        <v/>
      </c>
      <c r="L35" s="25">
        <f>SUMIFS(Data!$N$3:$N$125,Data!$A$3:$A$125,$A35)</f>
        <v/>
      </c>
      <c r="M35" s="25">
        <f>IFERROR($K35/(SUMIFS(Data!$G$3:$G$125,Data!$A$3:$A$125,$A35)*$D35),"")</f>
        <v/>
      </c>
      <c r="N35" s="43">
        <f>IF($M35="","",$M35-$L35)</f>
        <v/>
      </c>
      <c r="O35" s="41">
        <f>IF(AND($H35&gt;0,$G35&gt;$H35*1.05),"SR &gt; NHT cap","")</f>
        <v/>
      </c>
    </row>
    <row r="36">
      <c r="A36" s="18" t="inlineStr">
        <is>
          <t>XOM_BAYTOWN</t>
        </is>
      </c>
      <c r="B36" s="18" t="n">
        <v>3</v>
      </c>
      <c r="C36" s="21">
        <f>SUMPRODUCT((Boxes!$B$3:$B$1084=$A36)*(Boxes!$D$3:$D$1084="CDU")*Boxes!$F$3:$F$1084)</f>
        <v/>
      </c>
      <c r="D36" s="35">
        <f>SUMPRODUCT((Boxes!$B$3:$B$1084=$A36)*(Boxes!$D$3:$D$1084="CDU")*Boxes!$J$3:$J$1084)</f>
        <v/>
      </c>
      <c r="E36" s="21">
        <f>$C36*$D36</f>
        <v/>
      </c>
      <c r="F36" s="24">
        <f>SUMPRODUCT((Boxes!$B$3:$B$1084=$A36)*(Boxes!$D$3:$D$1084="CDU")*Boxes!$O$3:$O$1084)</f>
        <v/>
      </c>
      <c r="G36" s="26">
        <f>$E36*$F36</f>
        <v/>
      </c>
      <c r="H36" s="21">
        <f>SUMPRODUCT((Boxes!$B$3:$B$1084=$A36)*(Boxes!$D$3:$D$1084="NHT")*Boxes!$F$3:$F$1084)</f>
        <v/>
      </c>
      <c r="I36" s="26">
        <f>SUMPRODUCT((Boxes!$B$3:$B$1084=$A36)*(Boxes!$D$3:$D$1084="REF")*Boxes!$F$3:$F$1084)*SUMPRODUCT((Boxes!$B$3:$B$1084=$A36)*(Boxes!$D$3:$D$1084="REF")*Boxes!$J$3:$J$1084)+SUMPRODUCT((Boxes!$B$3:$B$1084=$A36)*(Boxes!$D$3:$D$1084="CCR")*Boxes!$F$3:$F$1084)*SUMPRODUCT((Boxes!$B$3:$B$1084=$A36)*(Boxes!$D$3:$D$1084="CCR")*Boxes!$J$3:$J$1084)</f>
        <v/>
      </c>
      <c r="J36" s="26">
        <f>SUMPRODUCT((Boxes!$B$3:$B$1084=$A36)*(Boxes!$D$3:$D$1084="ISOM")*Boxes!$F$3:$F$1084)*SUMPRODUCT((Boxes!$B$3:$B$1084=$A36)*(Boxes!$D$3:$D$1084="ISOM")*Boxes!$J$3:$J$1084)</f>
        <v/>
      </c>
      <c r="K36" s="26">
        <f>SUMPRODUCT((Boxes!$A$3:$A$1084="TOTAL")*(Boxes!$B$3:$B$1084=$A36)*Boxes!$P$3:$P$1084)</f>
        <v/>
      </c>
      <c r="L36" s="25">
        <f>SUMIFS(Data!$N$3:$N$125,Data!$A$3:$A$125,$A36)</f>
        <v/>
      </c>
      <c r="M36" s="25">
        <f>IFERROR($K36/(SUMIFS(Data!$G$3:$G$125,Data!$A$3:$A$125,$A36)*$D36),"")</f>
        <v/>
      </c>
      <c r="N36" s="43">
        <f>IF($M36="","",$M36-$L36)</f>
        <v/>
      </c>
      <c r="O36" s="41">
        <f>IF(AND($H36&gt;0,$G36&gt;$H36*1.05),"SR &gt; NHT cap","")</f>
        <v/>
      </c>
    </row>
    <row r="37">
      <c r="A37" s="18" t="inlineStr">
        <is>
          <t>EXXONMOBIL_BATON_ROUGE</t>
        </is>
      </c>
      <c r="B37" s="18" t="n">
        <v>3</v>
      </c>
      <c r="C37" s="21">
        <f>SUMPRODUCT((Boxes!$B$3:$B$1084=$A37)*(Boxes!$D$3:$D$1084="CDU")*Boxes!$F$3:$F$1084)</f>
        <v/>
      </c>
      <c r="D37" s="35">
        <f>SUMPRODUCT((Boxes!$B$3:$B$1084=$A37)*(Boxes!$D$3:$D$1084="CDU")*Boxes!$J$3:$J$1084)</f>
        <v/>
      </c>
      <c r="E37" s="21">
        <f>$C37*$D37</f>
        <v/>
      </c>
      <c r="F37" s="24">
        <f>SUMPRODUCT((Boxes!$B$3:$B$1084=$A37)*(Boxes!$D$3:$D$1084="CDU")*Boxes!$O$3:$O$1084)</f>
        <v/>
      </c>
      <c r="G37" s="26">
        <f>$E37*$F37</f>
        <v/>
      </c>
      <c r="H37" s="21">
        <f>SUMPRODUCT((Boxes!$B$3:$B$1084=$A37)*(Boxes!$D$3:$D$1084="NHT")*Boxes!$F$3:$F$1084)</f>
        <v/>
      </c>
      <c r="I37" s="26">
        <f>SUMPRODUCT((Boxes!$B$3:$B$1084=$A37)*(Boxes!$D$3:$D$1084="REF")*Boxes!$F$3:$F$1084)*SUMPRODUCT((Boxes!$B$3:$B$1084=$A37)*(Boxes!$D$3:$D$1084="REF")*Boxes!$J$3:$J$1084)+SUMPRODUCT((Boxes!$B$3:$B$1084=$A37)*(Boxes!$D$3:$D$1084="CCR")*Boxes!$F$3:$F$1084)*SUMPRODUCT((Boxes!$B$3:$B$1084=$A37)*(Boxes!$D$3:$D$1084="CCR")*Boxes!$J$3:$J$1084)</f>
        <v/>
      </c>
      <c r="J37" s="26">
        <f>SUMPRODUCT((Boxes!$B$3:$B$1084=$A37)*(Boxes!$D$3:$D$1084="ISOM")*Boxes!$F$3:$F$1084)*SUMPRODUCT((Boxes!$B$3:$B$1084=$A37)*(Boxes!$D$3:$D$1084="ISOM")*Boxes!$J$3:$J$1084)</f>
        <v/>
      </c>
      <c r="K37" s="26">
        <f>SUMPRODUCT((Boxes!$A$3:$A$1084="TOTAL")*(Boxes!$B$3:$B$1084=$A37)*Boxes!$P$3:$P$1084)</f>
        <v/>
      </c>
      <c r="L37" s="25">
        <f>SUMIFS(Data!$N$3:$N$125,Data!$A$3:$A$125,$A37)</f>
        <v/>
      </c>
      <c r="M37" s="25">
        <f>IFERROR($K37/(SUMIFS(Data!$G$3:$G$125,Data!$A$3:$A$125,$A37)*$D37),"")</f>
        <v/>
      </c>
      <c r="N37" s="43">
        <f>IF($M37="","",$M37-$L37)</f>
        <v/>
      </c>
      <c r="O37" s="41">
        <f>IF(AND($H37&gt;0,$G37&gt;$H37*1.05),"SR &gt; NHT cap","")</f>
        <v/>
      </c>
    </row>
    <row r="38">
      <c r="A38" s="18" t="inlineStr">
        <is>
          <t>CITGO_LAKE_CHARLES</t>
        </is>
      </c>
      <c r="B38" s="18" t="n">
        <v>3</v>
      </c>
      <c r="C38" s="21">
        <f>SUMPRODUCT((Boxes!$B$3:$B$1084=$A38)*(Boxes!$D$3:$D$1084="CDU")*Boxes!$F$3:$F$1084)</f>
        <v/>
      </c>
      <c r="D38" s="35">
        <f>SUMPRODUCT((Boxes!$B$3:$B$1084=$A38)*(Boxes!$D$3:$D$1084="CDU")*Boxes!$J$3:$J$1084)</f>
        <v/>
      </c>
      <c r="E38" s="21">
        <f>$C38*$D38</f>
        <v/>
      </c>
      <c r="F38" s="24">
        <f>SUMPRODUCT((Boxes!$B$3:$B$1084=$A38)*(Boxes!$D$3:$D$1084="CDU")*Boxes!$O$3:$O$1084)</f>
        <v/>
      </c>
      <c r="G38" s="26">
        <f>$E38*$F38</f>
        <v/>
      </c>
      <c r="H38" s="21">
        <f>SUMPRODUCT((Boxes!$B$3:$B$1084=$A38)*(Boxes!$D$3:$D$1084="NHT")*Boxes!$F$3:$F$1084)</f>
        <v/>
      </c>
      <c r="I38" s="26">
        <f>SUMPRODUCT((Boxes!$B$3:$B$1084=$A38)*(Boxes!$D$3:$D$1084="REF")*Boxes!$F$3:$F$1084)*SUMPRODUCT((Boxes!$B$3:$B$1084=$A38)*(Boxes!$D$3:$D$1084="REF")*Boxes!$J$3:$J$1084)+SUMPRODUCT((Boxes!$B$3:$B$1084=$A38)*(Boxes!$D$3:$D$1084="CCR")*Boxes!$F$3:$F$1084)*SUMPRODUCT((Boxes!$B$3:$B$1084=$A38)*(Boxes!$D$3:$D$1084="CCR")*Boxes!$J$3:$J$1084)</f>
        <v/>
      </c>
      <c r="J38" s="26">
        <f>SUMPRODUCT((Boxes!$B$3:$B$1084=$A38)*(Boxes!$D$3:$D$1084="ISOM")*Boxes!$F$3:$F$1084)*SUMPRODUCT((Boxes!$B$3:$B$1084=$A38)*(Boxes!$D$3:$D$1084="ISOM")*Boxes!$J$3:$J$1084)</f>
        <v/>
      </c>
      <c r="K38" s="26">
        <f>SUMPRODUCT((Boxes!$A$3:$A$1084="TOTAL")*(Boxes!$B$3:$B$1084=$A38)*Boxes!$P$3:$P$1084)</f>
        <v/>
      </c>
      <c r="L38" s="25">
        <f>SUMIFS(Data!$N$3:$N$125,Data!$A$3:$A$125,$A38)</f>
        <v/>
      </c>
      <c r="M38" s="25">
        <f>IFERROR($K38/(SUMIFS(Data!$G$3:$G$125,Data!$A$3:$A$125,$A38)*$D38),"")</f>
        <v/>
      </c>
      <c r="N38" s="43">
        <f>IF($M38="","",$M38-$L38)</f>
        <v/>
      </c>
      <c r="O38" s="41">
        <f>IF(AND($H38&gt;0,$G38&gt;$H38*1.05),"SR &gt; NHT cap","")</f>
        <v/>
      </c>
    </row>
    <row r="39">
      <c r="A39" s="18" t="inlineStr">
        <is>
          <t>VALERO_PORT_ARTHUR</t>
        </is>
      </c>
      <c r="B39" s="18" t="n">
        <v>3</v>
      </c>
      <c r="C39" s="21">
        <f>SUMPRODUCT((Boxes!$B$3:$B$1084=$A39)*(Boxes!$D$3:$D$1084="CDU")*Boxes!$F$3:$F$1084)</f>
        <v/>
      </c>
      <c r="D39" s="35">
        <f>SUMPRODUCT((Boxes!$B$3:$B$1084=$A39)*(Boxes!$D$3:$D$1084="CDU")*Boxes!$J$3:$J$1084)</f>
        <v/>
      </c>
      <c r="E39" s="21">
        <f>$C39*$D39</f>
        <v/>
      </c>
      <c r="F39" s="24">
        <f>SUMPRODUCT((Boxes!$B$3:$B$1084=$A39)*(Boxes!$D$3:$D$1084="CDU")*Boxes!$O$3:$O$1084)</f>
        <v/>
      </c>
      <c r="G39" s="26">
        <f>$E39*$F39</f>
        <v/>
      </c>
      <c r="H39" s="21">
        <f>SUMPRODUCT((Boxes!$B$3:$B$1084=$A39)*(Boxes!$D$3:$D$1084="NHT")*Boxes!$F$3:$F$1084)</f>
        <v/>
      </c>
      <c r="I39" s="26">
        <f>SUMPRODUCT((Boxes!$B$3:$B$1084=$A39)*(Boxes!$D$3:$D$1084="REF")*Boxes!$F$3:$F$1084)*SUMPRODUCT((Boxes!$B$3:$B$1084=$A39)*(Boxes!$D$3:$D$1084="REF")*Boxes!$J$3:$J$1084)+SUMPRODUCT((Boxes!$B$3:$B$1084=$A39)*(Boxes!$D$3:$D$1084="CCR")*Boxes!$F$3:$F$1084)*SUMPRODUCT((Boxes!$B$3:$B$1084=$A39)*(Boxes!$D$3:$D$1084="CCR")*Boxes!$J$3:$J$1084)</f>
        <v/>
      </c>
      <c r="J39" s="26">
        <f>SUMPRODUCT((Boxes!$B$3:$B$1084=$A39)*(Boxes!$D$3:$D$1084="ISOM")*Boxes!$F$3:$F$1084)*SUMPRODUCT((Boxes!$B$3:$B$1084=$A39)*(Boxes!$D$3:$D$1084="ISOM")*Boxes!$J$3:$J$1084)</f>
        <v/>
      </c>
      <c r="K39" s="26">
        <f>SUMPRODUCT((Boxes!$A$3:$A$1084="TOTAL")*(Boxes!$B$3:$B$1084=$A39)*Boxes!$P$3:$P$1084)</f>
        <v/>
      </c>
      <c r="L39" s="25">
        <f>SUMIFS(Data!$N$3:$N$125,Data!$A$3:$A$125,$A39)</f>
        <v/>
      </c>
      <c r="M39" s="25">
        <f>IFERROR($K39/(SUMIFS(Data!$G$3:$G$125,Data!$A$3:$A$125,$A39)*$D39),"")</f>
        <v/>
      </c>
      <c r="N39" s="43">
        <f>IF($M39="","",$M39-$L39)</f>
        <v/>
      </c>
      <c r="O39" s="41">
        <f>IF(AND($H39&gt;0,$G39&gt;$H39*1.05),"SR &gt; NHT cap","")</f>
        <v/>
      </c>
    </row>
    <row r="40">
      <c r="A40" s="18" t="inlineStr">
        <is>
          <t>CHEVRON_PASCAGOULA</t>
        </is>
      </c>
      <c r="B40" s="18" t="n">
        <v>3</v>
      </c>
      <c r="C40" s="21">
        <f>SUMPRODUCT((Boxes!$B$3:$B$1084=$A40)*(Boxes!$D$3:$D$1084="CDU")*Boxes!$F$3:$F$1084)</f>
        <v/>
      </c>
      <c r="D40" s="35">
        <f>SUMPRODUCT((Boxes!$B$3:$B$1084=$A40)*(Boxes!$D$3:$D$1084="CDU")*Boxes!$J$3:$J$1084)</f>
        <v/>
      </c>
      <c r="E40" s="21">
        <f>$C40*$D40</f>
        <v/>
      </c>
      <c r="F40" s="24">
        <f>SUMPRODUCT((Boxes!$B$3:$B$1084=$A40)*(Boxes!$D$3:$D$1084="CDU")*Boxes!$O$3:$O$1084)</f>
        <v/>
      </c>
      <c r="G40" s="26">
        <f>$E40*$F40</f>
        <v/>
      </c>
      <c r="H40" s="21">
        <f>SUMPRODUCT((Boxes!$B$3:$B$1084=$A40)*(Boxes!$D$3:$D$1084="NHT")*Boxes!$F$3:$F$1084)</f>
        <v/>
      </c>
      <c r="I40" s="26">
        <f>SUMPRODUCT((Boxes!$B$3:$B$1084=$A40)*(Boxes!$D$3:$D$1084="REF")*Boxes!$F$3:$F$1084)*SUMPRODUCT((Boxes!$B$3:$B$1084=$A40)*(Boxes!$D$3:$D$1084="REF")*Boxes!$J$3:$J$1084)+SUMPRODUCT((Boxes!$B$3:$B$1084=$A40)*(Boxes!$D$3:$D$1084="CCR")*Boxes!$F$3:$F$1084)*SUMPRODUCT((Boxes!$B$3:$B$1084=$A40)*(Boxes!$D$3:$D$1084="CCR")*Boxes!$J$3:$J$1084)</f>
        <v/>
      </c>
      <c r="J40" s="26">
        <f>SUMPRODUCT((Boxes!$B$3:$B$1084=$A40)*(Boxes!$D$3:$D$1084="ISOM")*Boxes!$F$3:$F$1084)*SUMPRODUCT((Boxes!$B$3:$B$1084=$A40)*(Boxes!$D$3:$D$1084="ISOM")*Boxes!$J$3:$J$1084)</f>
        <v/>
      </c>
      <c r="K40" s="26">
        <f>SUMPRODUCT((Boxes!$A$3:$A$1084="TOTAL")*(Boxes!$B$3:$B$1084=$A40)*Boxes!$P$3:$P$1084)</f>
        <v/>
      </c>
      <c r="L40" s="25">
        <f>SUMIFS(Data!$N$3:$N$125,Data!$A$3:$A$125,$A40)</f>
        <v/>
      </c>
      <c r="M40" s="25">
        <f>IFERROR($K40/(SUMIFS(Data!$G$3:$G$125,Data!$A$3:$A$125,$A40)*$D40),"")</f>
        <v/>
      </c>
      <c r="N40" s="43">
        <f>IF($M40="","",$M40-$L40)</f>
        <v/>
      </c>
      <c r="O40" s="41">
        <f>IF(AND($H40&gt;0,$G40&gt;$H40*1.05),"SR &gt; NHT cap","")</f>
        <v/>
      </c>
    </row>
    <row r="41">
      <c r="A41" s="18" t="inlineStr">
        <is>
          <t>PEMEX_DEER_PARK</t>
        </is>
      </c>
      <c r="B41" s="18" t="n">
        <v>3</v>
      </c>
      <c r="C41" s="21">
        <f>SUMPRODUCT((Boxes!$B$3:$B$1084=$A41)*(Boxes!$D$3:$D$1084="CDU")*Boxes!$F$3:$F$1084)</f>
        <v/>
      </c>
      <c r="D41" s="35">
        <f>SUMPRODUCT((Boxes!$B$3:$B$1084=$A41)*(Boxes!$D$3:$D$1084="CDU")*Boxes!$J$3:$J$1084)</f>
        <v/>
      </c>
      <c r="E41" s="21">
        <f>$C41*$D41</f>
        <v/>
      </c>
      <c r="F41" s="24">
        <f>SUMPRODUCT((Boxes!$B$3:$B$1084=$A41)*(Boxes!$D$3:$D$1084="CDU")*Boxes!$O$3:$O$1084)</f>
        <v/>
      </c>
      <c r="G41" s="26">
        <f>$E41*$F41</f>
        <v/>
      </c>
      <c r="H41" s="21">
        <f>SUMPRODUCT((Boxes!$B$3:$B$1084=$A41)*(Boxes!$D$3:$D$1084="NHT")*Boxes!$F$3:$F$1084)</f>
        <v/>
      </c>
      <c r="I41" s="26">
        <f>SUMPRODUCT((Boxes!$B$3:$B$1084=$A41)*(Boxes!$D$3:$D$1084="REF")*Boxes!$F$3:$F$1084)*SUMPRODUCT((Boxes!$B$3:$B$1084=$A41)*(Boxes!$D$3:$D$1084="REF")*Boxes!$J$3:$J$1084)+SUMPRODUCT((Boxes!$B$3:$B$1084=$A41)*(Boxes!$D$3:$D$1084="CCR")*Boxes!$F$3:$F$1084)*SUMPRODUCT((Boxes!$B$3:$B$1084=$A41)*(Boxes!$D$3:$D$1084="CCR")*Boxes!$J$3:$J$1084)</f>
        <v/>
      </c>
      <c r="J41" s="26">
        <f>SUMPRODUCT((Boxes!$B$3:$B$1084=$A41)*(Boxes!$D$3:$D$1084="ISOM")*Boxes!$F$3:$F$1084)*SUMPRODUCT((Boxes!$B$3:$B$1084=$A41)*(Boxes!$D$3:$D$1084="ISOM")*Boxes!$J$3:$J$1084)</f>
        <v/>
      </c>
      <c r="K41" s="26">
        <f>SUMPRODUCT((Boxes!$A$3:$A$1084="TOTAL")*(Boxes!$B$3:$B$1084=$A41)*Boxes!$P$3:$P$1084)</f>
        <v/>
      </c>
      <c r="L41" s="25">
        <f>SUMIFS(Data!$N$3:$N$125,Data!$A$3:$A$125,$A41)</f>
        <v/>
      </c>
      <c r="M41" s="25">
        <f>IFERROR($K41/(SUMIFS(Data!$G$3:$G$125,Data!$A$3:$A$125,$A41)*$D41),"")</f>
        <v/>
      </c>
      <c r="N41" s="43">
        <f>IF($M41="","",$M41-$L41)</f>
        <v/>
      </c>
      <c r="O41" s="41">
        <f>IF(AND($H41&gt;0,$G41&gt;$H41*1.05),"SR &gt; NHT cap","")</f>
        <v/>
      </c>
    </row>
    <row r="42">
      <c r="A42" s="18" t="inlineStr">
        <is>
          <t>FLINT_CORPUS_CHRISTI</t>
        </is>
      </c>
      <c r="B42" s="18" t="n">
        <v>3</v>
      </c>
      <c r="C42" s="21">
        <f>SUMPRODUCT((Boxes!$B$3:$B$1084=$A42)*(Boxes!$D$3:$D$1084="CDU")*Boxes!$F$3:$F$1084)</f>
        <v/>
      </c>
      <c r="D42" s="35">
        <f>SUMPRODUCT((Boxes!$B$3:$B$1084=$A42)*(Boxes!$D$3:$D$1084="CDU")*Boxes!$J$3:$J$1084)</f>
        <v/>
      </c>
      <c r="E42" s="21">
        <f>$C42*$D42</f>
        <v/>
      </c>
      <c r="F42" s="24">
        <f>SUMPRODUCT((Boxes!$B$3:$B$1084=$A42)*(Boxes!$D$3:$D$1084="CDU")*Boxes!$O$3:$O$1084)</f>
        <v/>
      </c>
      <c r="G42" s="26">
        <f>$E42*$F42</f>
        <v/>
      </c>
      <c r="H42" s="21">
        <f>SUMPRODUCT((Boxes!$B$3:$B$1084=$A42)*(Boxes!$D$3:$D$1084="NHT")*Boxes!$F$3:$F$1084)</f>
        <v/>
      </c>
      <c r="I42" s="26">
        <f>SUMPRODUCT((Boxes!$B$3:$B$1084=$A42)*(Boxes!$D$3:$D$1084="REF")*Boxes!$F$3:$F$1084)*SUMPRODUCT((Boxes!$B$3:$B$1084=$A42)*(Boxes!$D$3:$D$1084="REF")*Boxes!$J$3:$J$1084)+SUMPRODUCT((Boxes!$B$3:$B$1084=$A42)*(Boxes!$D$3:$D$1084="CCR")*Boxes!$F$3:$F$1084)*SUMPRODUCT((Boxes!$B$3:$B$1084=$A42)*(Boxes!$D$3:$D$1084="CCR")*Boxes!$J$3:$J$1084)</f>
        <v/>
      </c>
      <c r="J42" s="26">
        <f>SUMPRODUCT((Boxes!$B$3:$B$1084=$A42)*(Boxes!$D$3:$D$1084="ISOM")*Boxes!$F$3:$F$1084)*SUMPRODUCT((Boxes!$B$3:$B$1084=$A42)*(Boxes!$D$3:$D$1084="ISOM")*Boxes!$J$3:$J$1084)</f>
        <v/>
      </c>
      <c r="K42" s="26">
        <f>SUMPRODUCT((Boxes!$A$3:$A$1084="TOTAL")*(Boxes!$B$3:$B$1084=$A42)*Boxes!$P$3:$P$1084)</f>
        <v/>
      </c>
      <c r="L42" s="25">
        <f>SUMIFS(Data!$N$3:$N$125,Data!$A$3:$A$125,$A42)</f>
        <v/>
      </c>
      <c r="M42" s="25">
        <f>IFERROR($K42/(SUMIFS(Data!$G$3:$G$125,Data!$A$3:$A$125,$A42)*$D42),"")</f>
        <v/>
      </c>
      <c r="N42" s="43">
        <f>IF($M42="","",$M42-$L42)</f>
        <v/>
      </c>
      <c r="O42" s="41">
        <f>IF(AND($H42&gt;0,$G42&gt;$H42*1.05),"SR &gt; NHT cap","")</f>
        <v/>
      </c>
    </row>
    <row r="43">
      <c r="A43" s="18" t="inlineStr">
        <is>
          <t>VALERO_CORPUS_CHRISTI</t>
        </is>
      </c>
      <c r="B43" s="18" t="n">
        <v>3</v>
      </c>
      <c r="C43" s="21">
        <f>SUMPRODUCT((Boxes!$B$3:$B$1084=$A43)*(Boxes!$D$3:$D$1084="CDU")*Boxes!$F$3:$F$1084)</f>
        <v/>
      </c>
      <c r="D43" s="35">
        <f>SUMPRODUCT((Boxes!$B$3:$B$1084=$A43)*(Boxes!$D$3:$D$1084="CDU")*Boxes!$J$3:$J$1084)</f>
        <v/>
      </c>
      <c r="E43" s="21">
        <f>$C43*$D43</f>
        <v/>
      </c>
      <c r="F43" s="24">
        <f>SUMPRODUCT((Boxes!$B$3:$B$1084=$A43)*(Boxes!$D$3:$D$1084="CDU")*Boxes!$O$3:$O$1084)</f>
        <v/>
      </c>
      <c r="G43" s="26">
        <f>$E43*$F43</f>
        <v/>
      </c>
      <c r="H43" s="21">
        <f>SUMPRODUCT((Boxes!$B$3:$B$1084=$A43)*(Boxes!$D$3:$D$1084="NHT")*Boxes!$F$3:$F$1084)</f>
        <v/>
      </c>
      <c r="I43" s="26">
        <f>SUMPRODUCT((Boxes!$B$3:$B$1084=$A43)*(Boxes!$D$3:$D$1084="REF")*Boxes!$F$3:$F$1084)*SUMPRODUCT((Boxes!$B$3:$B$1084=$A43)*(Boxes!$D$3:$D$1084="REF")*Boxes!$J$3:$J$1084)+SUMPRODUCT((Boxes!$B$3:$B$1084=$A43)*(Boxes!$D$3:$D$1084="CCR")*Boxes!$F$3:$F$1084)*SUMPRODUCT((Boxes!$B$3:$B$1084=$A43)*(Boxes!$D$3:$D$1084="CCR")*Boxes!$J$3:$J$1084)</f>
        <v/>
      </c>
      <c r="J43" s="26">
        <f>SUMPRODUCT((Boxes!$B$3:$B$1084=$A43)*(Boxes!$D$3:$D$1084="ISOM")*Boxes!$F$3:$F$1084)*SUMPRODUCT((Boxes!$B$3:$B$1084=$A43)*(Boxes!$D$3:$D$1084="ISOM")*Boxes!$J$3:$J$1084)</f>
        <v/>
      </c>
      <c r="K43" s="26">
        <f>SUMPRODUCT((Boxes!$A$3:$A$1084="TOTAL")*(Boxes!$B$3:$B$1084=$A43)*Boxes!$P$3:$P$1084)</f>
        <v/>
      </c>
      <c r="L43" s="25">
        <f>SUMIFS(Data!$N$3:$N$125,Data!$A$3:$A$125,$A43)</f>
        <v/>
      </c>
      <c r="M43" s="25">
        <f>IFERROR($K43/(SUMIFS(Data!$G$3:$G$125,Data!$A$3:$A$125,$A43)*$D43),"")</f>
        <v/>
      </c>
      <c r="N43" s="43">
        <f>IF($M43="","",$M43-$L43)</f>
        <v/>
      </c>
      <c r="O43" s="41">
        <f>IF(AND($H43&gt;0,$G43&gt;$H43*1.05),"SR &gt; NHT cap","")</f>
        <v/>
      </c>
    </row>
    <row r="44">
      <c r="A44" s="18" t="inlineStr">
        <is>
          <t>PHILLIPS_WESTLAKE</t>
        </is>
      </c>
      <c r="B44" s="18" t="n">
        <v>3</v>
      </c>
      <c r="C44" s="21">
        <f>SUMPRODUCT((Boxes!$B$3:$B$1084=$A44)*(Boxes!$D$3:$D$1084="CDU")*Boxes!$F$3:$F$1084)</f>
        <v/>
      </c>
      <c r="D44" s="35">
        <f>SUMPRODUCT((Boxes!$B$3:$B$1084=$A44)*(Boxes!$D$3:$D$1084="CDU")*Boxes!$J$3:$J$1084)</f>
        <v/>
      </c>
      <c r="E44" s="21">
        <f>$C44*$D44</f>
        <v/>
      </c>
      <c r="F44" s="24">
        <f>SUMPRODUCT((Boxes!$B$3:$B$1084=$A44)*(Boxes!$D$3:$D$1084="CDU")*Boxes!$O$3:$O$1084)</f>
        <v/>
      </c>
      <c r="G44" s="26">
        <f>$E44*$F44</f>
        <v/>
      </c>
      <c r="H44" s="21">
        <f>SUMPRODUCT((Boxes!$B$3:$B$1084=$A44)*(Boxes!$D$3:$D$1084="NHT")*Boxes!$F$3:$F$1084)</f>
        <v/>
      </c>
      <c r="I44" s="26">
        <f>SUMPRODUCT((Boxes!$B$3:$B$1084=$A44)*(Boxes!$D$3:$D$1084="REF")*Boxes!$F$3:$F$1084)*SUMPRODUCT((Boxes!$B$3:$B$1084=$A44)*(Boxes!$D$3:$D$1084="REF")*Boxes!$J$3:$J$1084)+SUMPRODUCT((Boxes!$B$3:$B$1084=$A44)*(Boxes!$D$3:$D$1084="CCR")*Boxes!$F$3:$F$1084)*SUMPRODUCT((Boxes!$B$3:$B$1084=$A44)*(Boxes!$D$3:$D$1084="CCR")*Boxes!$J$3:$J$1084)</f>
        <v/>
      </c>
      <c r="J44" s="26">
        <f>SUMPRODUCT((Boxes!$B$3:$B$1084=$A44)*(Boxes!$D$3:$D$1084="ISOM")*Boxes!$F$3:$F$1084)*SUMPRODUCT((Boxes!$B$3:$B$1084=$A44)*(Boxes!$D$3:$D$1084="ISOM")*Boxes!$J$3:$J$1084)</f>
        <v/>
      </c>
      <c r="K44" s="26">
        <f>SUMPRODUCT((Boxes!$A$3:$A$1084="TOTAL")*(Boxes!$B$3:$B$1084=$A44)*Boxes!$P$3:$P$1084)</f>
        <v/>
      </c>
      <c r="L44" s="25">
        <f>SUMIFS(Data!$N$3:$N$125,Data!$A$3:$A$125,$A44)</f>
        <v/>
      </c>
      <c r="M44" s="25">
        <f>IFERROR($K44/(SUMIFS(Data!$G$3:$G$125,Data!$A$3:$A$125,$A44)*$D44),"")</f>
        <v/>
      </c>
      <c r="N44" s="43">
        <f>IF($M44="","",$M44-$L44)</f>
        <v/>
      </c>
      <c r="O44" s="41">
        <f>IF(AND($H44&gt;0,$G44&gt;$H44*1.05),"SR &gt; NHT cap","")</f>
        <v/>
      </c>
    </row>
    <row r="45">
      <c r="A45" s="18" t="inlineStr">
        <is>
          <t>PHILLIPS_SWEENY</t>
        </is>
      </c>
      <c r="B45" s="18" t="n">
        <v>3</v>
      </c>
      <c r="C45" s="21">
        <f>SUMPRODUCT((Boxes!$B$3:$B$1084=$A45)*(Boxes!$D$3:$D$1084="CDU")*Boxes!$F$3:$F$1084)</f>
        <v/>
      </c>
      <c r="D45" s="35">
        <f>SUMPRODUCT((Boxes!$B$3:$B$1084=$A45)*(Boxes!$D$3:$D$1084="CDU")*Boxes!$J$3:$J$1084)</f>
        <v/>
      </c>
      <c r="E45" s="21">
        <f>$C45*$D45</f>
        <v/>
      </c>
      <c r="F45" s="24">
        <f>SUMPRODUCT((Boxes!$B$3:$B$1084=$A45)*(Boxes!$D$3:$D$1084="CDU")*Boxes!$O$3:$O$1084)</f>
        <v/>
      </c>
      <c r="G45" s="26">
        <f>$E45*$F45</f>
        <v/>
      </c>
      <c r="H45" s="21">
        <f>SUMPRODUCT((Boxes!$B$3:$B$1084=$A45)*(Boxes!$D$3:$D$1084="NHT")*Boxes!$F$3:$F$1084)</f>
        <v/>
      </c>
      <c r="I45" s="26">
        <f>SUMPRODUCT((Boxes!$B$3:$B$1084=$A45)*(Boxes!$D$3:$D$1084="REF")*Boxes!$F$3:$F$1084)*SUMPRODUCT((Boxes!$B$3:$B$1084=$A45)*(Boxes!$D$3:$D$1084="REF")*Boxes!$J$3:$J$1084)+SUMPRODUCT((Boxes!$B$3:$B$1084=$A45)*(Boxes!$D$3:$D$1084="CCR")*Boxes!$F$3:$F$1084)*SUMPRODUCT((Boxes!$B$3:$B$1084=$A45)*(Boxes!$D$3:$D$1084="CCR")*Boxes!$J$3:$J$1084)</f>
        <v/>
      </c>
      <c r="J45" s="26">
        <f>SUMPRODUCT((Boxes!$B$3:$B$1084=$A45)*(Boxes!$D$3:$D$1084="ISOM")*Boxes!$F$3:$F$1084)*SUMPRODUCT((Boxes!$B$3:$B$1084=$A45)*(Boxes!$D$3:$D$1084="ISOM")*Boxes!$J$3:$J$1084)</f>
        <v/>
      </c>
      <c r="K45" s="26">
        <f>SUMPRODUCT((Boxes!$A$3:$A$1084="TOTAL")*(Boxes!$B$3:$B$1084=$A45)*Boxes!$P$3:$P$1084)</f>
        <v/>
      </c>
      <c r="L45" s="25">
        <f>SUMIFS(Data!$N$3:$N$125,Data!$A$3:$A$125,$A45)</f>
        <v/>
      </c>
      <c r="M45" s="25">
        <f>IFERROR($K45/(SUMIFS(Data!$G$3:$G$125,Data!$A$3:$A$125,$A45)*$D45),"")</f>
        <v/>
      </c>
      <c r="N45" s="43">
        <f>IF($M45="","",$M45-$L45)</f>
        <v/>
      </c>
      <c r="O45" s="41">
        <f>IF(AND($H45&gt;0,$G45&gt;$H45*1.05),"SR &gt; NHT cap","")</f>
        <v/>
      </c>
    </row>
    <row r="46">
      <c r="A46" s="18" t="inlineStr">
        <is>
          <t>VALERO_TEXAS_CITY</t>
        </is>
      </c>
      <c r="B46" s="18" t="n">
        <v>3</v>
      </c>
      <c r="C46" s="21">
        <f>SUMPRODUCT((Boxes!$B$3:$B$1084=$A46)*(Boxes!$D$3:$D$1084="CDU")*Boxes!$F$3:$F$1084)</f>
        <v/>
      </c>
      <c r="D46" s="35">
        <f>SUMPRODUCT((Boxes!$B$3:$B$1084=$A46)*(Boxes!$D$3:$D$1084="CDU")*Boxes!$J$3:$J$1084)</f>
        <v/>
      </c>
      <c r="E46" s="21">
        <f>$C46*$D46</f>
        <v/>
      </c>
      <c r="F46" s="24">
        <f>SUMPRODUCT((Boxes!$B$3:$B$1084=$A46)*(Boxes!$D$3:$D$1084="CDU")*Boxes!$O$3:$O$1084)</f>
        <v/>
      </c>
      <c r="G46" s="26">
        <f>$E46*$F46</f>
        <v/>
      </c>
      <c r="H46" s="21">
        <f>SUMPRODUCT((Boxes!$B$3:$B$1084=$A46)*(Boxes!$D$3:$D$1084="NHT")*Boxes!$F$3:$F$1084)</f>
        <v/>
      </c>
      <c r="I46" s="26">
        <f>SUMPRODUCT((Boxes!$B$3:$B$1084=$A46)*(Boxes!$D$3:$D$1084="REF")*Boxes!$F$3:$F$1084)*SUMPRODUCT((Boxes!$B$3:$B$1084=$A46)*(Boxes!$D$3:$D$1084="REF")*Boxes!$J$3:$J$1084)+SUMPRODUCT((Boxes!$B$3:$B$1084=$A46)*(Boxes!$D$3:$D$1084="CCR")*Boxes!$F$3:$F$1084)*SUMPRODUCT((Boxes!$B$3:$B$1084=$A46)*(Boxes!$D$3:$D$1084="CCR")*Boxes!$J$3:$J$1084)</f>
        <v/>
      </c>
      <c r="J46" s="26">
        <f>SUMPRODUCT((Boxes!$B$3:$B$1084=$A46)*(Boxes!$D$3:$D$1084="ISOM")*Boxes!$F$3:$F$1084)*SUMPRODUCT((Boxes!$B$3:$B$1084=$A46)*(Boxes!$D$3:$D$1084="ISOM")*Boxes!$J$3:$J$1084)</f>
        <v/>
      </c>
      <c r="K46" s="26">
        <f>SUMPRODUCT((Boxes!$A$3:$A$1084="TOTAL")*(Boxes!$B$3:$B$1084=$A46)*Boxes!$P$3:$P$1084)</f>
        <v/>
      </c>
      <c r="L46" s="25">
        <f>SUMIFS(Data!$N$3:$N$125,Data!$A$3:$A$125,$A46)</f>
        <v/>
      </c>
      <c r="M46" s="25">
        <f>IFERROR($K46/(SUMIFS(Data!$G$3:$G$125,Data!$A$3:$A$125,$A46)*$D46),"")</f>
        <v/>
      </c>
      <c r="N46" s="43">
        <f>IF($M46="","",$M46-$L46)</f>
        <v/>
      </c>
      <c r="O46" s="41">
        <f>IF(AND($H46&gt;0,$G46&gt;$H46*1.05),"SR &gt; NHT cap","")</f>
        <v/>
      </c>
    </row>
    <row r="47">
      <c r="A47" s="18" t="inlineStr">
        <is>
          <t>SHELL_NORCO</t>
        </is>
      </c>
      <c r="B47" s="18" t="n">
        <v>3</v>
      </c>
      <c r="C47" s="21">
        <f>SUMPRODUCT((Boxes!$B$3:$B$1084=$A47)*(Boxes!$D$3:$D$1084="CDU")*Boxes!$F$3:$F$1084)</f>
        <v/>
      </c>
      <c r="D47" s="35">
        <f>SUMPRODUCT((Boxes!$B$3:$B$1084=$A47)*(Boxes!$D$3:$D$1084="CDU")*Boxes!$J$3:$J$1084)</f>
        <v/>
      </c>
      <c r="E47" s="21">
        <f>$C47*$D47</f>
        <v/>
      </c>
      <c r="F47" s="24">
        <f>SUMPRODUCT((Boxes!$B$3:$B$1084=$A47)*(Boxes!$D$3:$D$1084="CDU")*Boxes!$O$3:$O$1084)</f>
        <v/>
      </c>
      <c r="G47" s="26">
        <f>$E47*$F47</f>
        <v/>
      </c>
      <c r="H47" s="21">
        <f>SUMPRODUCT((Boxes!$B$3:$B$1084=$A47)*(Boxes!$D$3:$D$1084="NHT")*Boxes!$F$3:$F$1084)</f>
        <v/>
      </c>
      <c r="I47" s="26">
        <f>SUMPRODUCT((Boxes!$B$3:$B$1084=$A47)*(Boxes!$D$3:$D$1084="REF")*Boxes!$F$3:$F$1084)*SUMPRODUCT((Boxes!$B$3:$B$1084=$A47)*(Boxes!$D$3:$D$1084="REF")*Boxes!$J$3:$J$1084)+SUMPRODUCT((Boxes!$B$3:$B$1084=$A47)*(Boxes!$D$3:$D$1084="CCR")*Boxes!$F$3:$F$1084)*SUMPRODUCT((Boxes!$B$3:$B$1084=$A47)*(Boxes!$D$3:$D$1084="CCR")*Boxes!$J$3:$J$1084)</f>
        <v/>
      </c>
      <c r="J47" s="26">
        <f>SUMPRODUCT((Boxes!$B$3:$B$1084=$A47)*(Boxes!$D$3:$D$1084="ISOM")*Boxes!$F$3:$F$1084)*SUMPRODUCT((Boxes!$B$3:$B$1084=$A47)*(Boxes!$D$3:$D$1084="ISOM")*Boxes!$J$3:$J$1084)</f>
        <v/>
      </c>
      <c r="K47" s="26">
        <f>SUMPRODUCT((Boxes!$A$3:$A$1084="TOTAL")*(Boxes!$B$3:$B$1084=$A47)*Boxes!$P$3:$P$1084)</f>
        <v/>
      </c>
      <c r="L47" s="25">
        <f>SUMIFS(Data!$N$3:$N$125,Data!$A$3:$A$125,$A47)</f>
        <v/>
      </c>
      <c r="M47" s="25">
        <f>IFERROR($K47/(SUMIFS(Data!$G$3:$G$125,Data!$A$3:$A$125,$A47)*$D47),"")</f>
        <v/>
      </c>
      <c r="N47" s="43">
        <f>IF($M47="","",$M47-$L47)</f>
        <v/>
      </c>
      <c r="O47" s="41">
        <f>IF(AND($H47&gt;0,$G47&gt;$H47*1.05),"SR &gt; NHT cap","")</f>
        <v/>
      </c>
    </row>
    <row r="48">
      <c r="A48" s="18" t="inlineStr">
        <is>
          <t>TOTAL_PORT_ARTHUR</t>
        </is>
      </c>
      <c r="B48" s="18" t="n">
        <v>3</v>
      </c>
      <c r="C48" s="21">
        <f>SUMPRODUCT((Boxes!$B$3:$B$1084=$A48)*(Boxes!$D$3:$D$1084="CDU")*Boxes!$F$3:$F$1084)</f>
        <v/>
      </c>
      <c r="D48" s="35">
        <f>SUMPRODUCT((Boxes!$B$3:$B$1084=$A48)*(Boxes!$D$3:$D$1084="CDU")*Boxes!$J$3:$J$1084)</f>
        <v/>
      </c>
      <c r="E48" s="21">
        <f>$C48*$D48</f>
        <v/>
      </c>
      <c r="F48" s="24">
        <f>SUMPRODUCT((Boxes!$B$3:$B$1084=$A48)*(Boxes!$D$3:$D$1084="CDU")*Boxes!$O$3:$O$1084)</f>
        <v/>
      </c>
      <c r="G48" s="26">
        <f>$E48*$F48</f>
        <v/>
      </c>
      <c r="H48" s="21">
        <f>SUMPRODUCT((Boxes!$B$3:$B$1084=$A48)*(Boxes!$D$3:$D$1084="NHT")*Boxes!$F$3:$F$1084)</f>
        <v/>
      </c>
      <c r="I48" s="26">
        <f>SUMPRODUCT((Boxes!$B$3:$B$1084=$A48)*(Boxes!$D$3:$D$1084="REF")*Boxes!$F$3:$F$1084)*SUMPRODUCT((Boxes!$B$3:$B$1084=$A48)*(Boxes!$D$3:$D$1084="REF")*Boxes!$J$3:$J$1084)+SUMPRODUCT((Boxes!$B$3:$B$1084=$A48)*(Boxes!$D$3:$D$1084="CCR")*Boxes!$F$3:$F$1084)*SUMPRODUCT((Boxes!$B$3:$B$1084=$A48)*(Boxes!$D$3:$D$1084="CCR")*Boxes!$J$3:$J$1084)</f>
        <v/>
      </c>
      <c r="J48" s="26">
        <f>SUMPRODUCT((Boxes!$B$3:$B$1084=$A48)*(Boxes!$D$3:$D$1084="ISOM")*Boxes!$F$3:$F$1084)*SUMPRODUCT((Boxes!$B$3:$B$1084=$A48)*(Boxes!$D$3:$D$1084="ISOM")*Boxes!$J$3:$J$1084)</f>
        <v/>
      </c>
      <c r="K48" s="26">
        <f>SUMPRODUCT((Boxes!$A$3:$A$1084="TOTAL")*(Boxes!$B$3:$B$1084=$A48)*Boxes!$P$3:$P$1084)</f>
        <v/>
      </c>
      <c r="L48" s="25">
        <f>SUMIFS(Data!$N$3:$N$125,Data!$A$3:$A$125,$A48)</f>
        <v/>
      </c>
      <c r="M48" s="25">
        <f>IFERROR($K48/(SUMIFS(Data!$G$3:$G$125,Data!$A$3:$A$125,$A48)*$D48),"")</f>
        <v/>
      </c>
      <c r="N48" s="43">
        <f>IF($M48="","",$M48-$L48)</f>
        <v/>
      </c>
      <c r="O48" s="41">
        <f>IF(AND($H48&gt;0,$G48&gt;$H48*1.05),"SR &gt; NHT cap","")</f>
        <v/>
      </c>
    </row>
    <row r="49">
      <c r="A49" s="18" t="inlineStr">
        <is>
          <t>VALERO_SAINT_CHARLES</t>
        </is>
      </c>
      <c r="B49" s="18" t="n">
        <v>3</v>
      </c>
      <c r="C49" s="21">
        <f>SUMPRODUCT((Boxes!$B$3:$B$1084=$A49)*(Boxes!$D$3:$D$1084="CDU")*Boxes!$F$3:$F$1084)</f>
        <v/>
      </c>
      <c r="D49" s="35">
        <f>SUMPRODUCT((Boxes!$B$3:$B$1084=$A49)*(Boxes!$D$3:$D$1084="CDU")*Boxes!$J$3:$J$1084)</f>
        <v/>
      </c>
      <c r="E49" s="21">
        <f>$C49*$D49</f>
        <v/>
      </c>
      <c r="F49" s="24">
        <f>SUMPRODUCT((Boxes!$B$3:$B$1084=$A49)*(Boxes!$D$3:$D$1084="CDU")*Boxes!$O$3:$O$1084)</f>
        <v/>
      </c>
      <c r="G49" s="26">
        <f>$E49*$F49</f>
        <v/>
      </c>
      <c r="H49" s="21">
        <f>SUMPRODUCT((Boxes!$B$3:$B$1084=$A49)*(Boxes!$D$3:$D$1084="NHT")*Boxes!$F$3:$F$1084)</f>
        <v/>
      </c>
      <c r="I49" s="26">
        <f>SUMPRODUCT((Boxes!$B$3:$B$1084=$A49)*(Boxes!$D$3:$D$1084="REF")*Boxes!$F$3:$F$1084)*SUMPRODUCT((Boxes!$B$3:$B$1084=$A49)*(Boxes!$D$3:$D$1084="REF")*Boxes!$J$3:$J$1084)+SUMPRODUCT((Boxes!$B$3:$B$1084=$A49)*(Boxes!$D$3:$D$1084="CCR")*Boxes!$F$3:$F$1084)*SUMPRODUCT((Boxes!$B$3:$B$1084=$A49)*(Boxes!$D$3:$D$1084="CCR")*Boxes!$J$3:$J$1084)</f>
        <v/>
      </c>
      <c r="J49" s="26">
        <f>SUMPRODUCT((Boxes!$B$3:$B$1084=$A49)*(Boxes!$D$3:$D$1084="ISOM")*Boxes!$F$3:$F$1084)*SUMPRODUCT((Boxes!$B$3:$B$1084=$A49)*(Boxes!$D$3:$D$1084="ISOM")*Boxes!$J$3:$J$1084)</f>
        <v/>
      </c>
      <c r="K49" s="26">
        <f>SUMPRODUCT((Boxes!$A$3:$A$1084="TOTAL")*(Boxes!$B$3:$B$1084=$A49)*Boxes!$P$3:$P$1084)</f>
        <v/>
      </c>
      <c r="L49" s="25">
        <f>SUMIFS(Data!$N$3:$N$125,Data!$A$3:$A$125,$A49)</f>
        <v/>
      </c>
      <c r="M49" s="25">
        <f>IFERROR($K49/(SUMIFS(Data!$G$3:$G$125,Data!$A$3:$A$125,$A49)*$D49),"")</f>
        <v/>
      </c>
      <c r="N49" s="43">
        <f>IF($M49="","",$M49-$L49)</f>
        <v/>
      </c>
      <c r="O49" s="41">
        <f>IF(AND($H49&gt;0,$G49&gt;$H49*1.05),"SR &gt; NHT cap","")</f>
        <v/>
      </c>
    </row>
    <row r="50">
      <c r="A50" s="18" t="inlineStr">
        <is>
          <t>VALERO_HOUSTON</t>
        </is>
      </c>
      <c r="B50" s="18" t="n">
        <v>3</v>
      </c>
      <c r="C50" s="21">
        <f>SUMPRODUCT((Boxes!$B$3:$B$1084=$A50)*(Boxes!$D$3:$D$1084="CDU")*Boxes!$F$3:$F$1084)</f>
        <v/>
      </c>
      <c r="D50" s="35">
        <f>SUMPRODUCT((Boxes!$B$3:$B$1084=$A50)*(Boxes!$D$3:$D$1084="CDU")*Boxes!$J$3:$J$1084)</f>
        <v/>
      </c>
      <c r="E50" s="21">
        <f>$C50*$D50</f>
        <v/>
      </c>
      <c r="F50" s="24">
        <f>SUMPRODUCT((Boxes!$B$3:$B$1084=$A50)*(Boxes!$D$3:$D$1084="CDU")*Boxes!$O$3:$O$1084)</f>
        <v/>
      </c>
      <c r="G50" s="26">
        <f>$E50*$F50</f>
        <v/>
      </c>
      <c r="H50" s="21">
        <f>SUMPRODUCT((Boxes!$B$3:$B$1084=$A50)*(Boxes!$D$3:$D$1084="NHT")*Boxes!$F$3:$F$1084)</f>
        <v/>
      </c>
      <c r="I50" s="26">
        <f>SUMPRODUCT((Boxes!$B$3:$B$1084=$A50)*(Boxes!$D$3:$D$1084="REF")*Boxes!$F$3:$F$1084)*SUMPRODUCT((Boxes!$B$3:$B$1084=$A50)*(Boxes!$D$3:$D$1084="REF")*Boxes!$J$3:$J$1084)+SUMPRODUCT((Boxes!$B$3:$B$1084=$A50)*(Boxes!$D$3:$D$1084="CCR")*Boxes!$F$3:$F$1084)*SUMPRODUCT((Boxes!$B$3:$B$1084=$A50)*(Boxes!$D$3:$D$1084="CCR")*Boxes!$J$3:$J$1084)</f>
        <v/>
      </c>
      <c r="J50" s="26">
        <f>SUMPRODUCT((Boxes!$B$3:$B$1084=$A50)*(Boxes!$D$3:$D$1084="ISOM")*Boxes!$F$3:$F$1084)*SUMPRODUCT((Boxes!$B$3:$B$1084=$A50)*(Boxes!$D$3:$D$1084="ISOM")*Boxes!$J$3:$J$1084)</f>
        <v/>
      </c>
      <c r="K50" s="26">
        <f>SUMPRODUCT((Boxes!$A$3:$A$1084="TOTAL")*(Boxes!$B$3:$B$1084=$A50)*Boxes!$P$3:$P$1084)</f>
        <v/>
      </c>
      <c r="L50" s="25">
        <f>SUMIFS(Data!$N$3:$N$125,Data!$A$3:$A$125,$A50)</f>
        <v/>
      </c>
      <c r="M50" s="25">
        <f>IFERROR($K50/(SUMIFS(Data!$G$3:$G$125,Data!$A$3:$A$125,$A50)*$D50),"")</f>
        <v/>
      </c>
      <c r="N50" s="43">
        <f>IF($M50="","",$M50-$L50)</f>
        <v/>
      </c>
      <c r="O50" s="41">
        <f>IF(AND($H50&gt;0,$G50&gt;$H50*1.05),"SR &gt; NHT cap","")</f>
        <v/>
      </c>
    </row>
    <row r="51">
      <c r="A51" s="18" t="inlineStr">
        <is>
          <t>VALERO_SUNRAY</t>
        </is>
      </c>
      <c r="B51" s="18" t="n">
        <v>3</v>
      </c>
      <c r="C51" s="21">
        <f>SUMPRODUCT((Boxes!$B$3:$B$1084=$A51)*(Boxes!$D$3:$D$1084="CDU")*Boxes!$F$3:$F$1084)</f>
        <v/>
      </c>
      <c r="D51" s="35">
        <f>SUMPRODUCT((Boxes!$B$3:$B$1084=$A51)*(Boxes!$D$3:$D$1084="CDU")*Boxes!$J$3:$J$1084)</f>
        <v/>
      </c>
      <c r="E51" s="21">
        <f>$C51*$D51</f>
        <v/>
      </c>
      <c r="F51" s="24">
        <f>SUMPRODUCT((Boxes!$B$3:$B$1084=$A51)*(Boxes!$D$3:$D$1084="CDU")*Boxes!$O$3:$O$1084)</f>
        <v/>
      </c>
      <c r="G51" s="26">
        <f>$E51*$F51</f>
        <v/>
      </c>
      <c r="H51" s="21">
        <f>SUMPRODUCT((Boxes!$B$3:$B$1084=$A51)*(Boxes!$D$3:$D$1084="NHT")*Boxes!$F$3:$F$1084)</f>
        <v/>
      </c>
      <c r="I51" s="26">
        <f>SUMPRODUCT((Boxes!$B$3:$B$1084=$A51)*(Boxes!$D$3:$D$1084="REF")*Boxes!$F$3:$F$1084)*SUMPRODUCT((Boxes!$B$3:$B$1084=$A51)*(Boxes!$D$3:$D$1084="REF")*Boxes!$J$3:$J$1084)+SUMPRODUCT((Boxes!$B$3:$B$1084=$A51)*(Boxes!$D$3:$D$1084="CCR")*Boxes!$F$3:$F$1084)*SUMPRODUCT((Boxes!$B$3:$B$1084=$A51)*(Boxes!$D$3:$D$1084="CCR")*Boxes!$J$3:$J$1084)</f>
        <v/>
      </c>
      <c r="J51" s="26">
        <f>SUMPRODUCT((Boxes!$B$3:$B$1084=$A51)*(Boxes!$D$3:$D$1084="ISOM")*Boxes!$F$3:$F$1084)*SUMPRODUCT((Boxes!$B$3:$B$1084=$A51)*(Boxes!$D$3:$D$1084="ISOM")*Boxes!$J$3:$J$1084)</f>
        <v/>
      </c>
      <c r="K51" s="26">
        <f>SUMPRODUCT((Boxes!$A$3:$A$1084="TOTAL")*(Boxes!$B$3:$B$1084=$A51)*Boxes!$P$3:$P$1084)</f>
        <v/>
      </c>
      <c r="L51" s="25">
        <f>SUMIFS(Data!$N$3:$N$125,Data!$A$3:$A$125,$A51)</f>
        <v/>
      </c>
      <c r="M51" s="25">
        <f>IFERROR($K51/(SUMIFS(Data!$G$3:$G$125,Data!$A$3:$A$125,$A51)*$D51),"")</f>
        <v/>
      </c>
      <c r="N51" s="43">
        <f>IF($M51="","",$M51-$L51)</f>
        <v/>
      </c>
      <c r="O51" s="41">
        <f>IF(AND($H51&gt;0,$G51&gt;$H51*1.05),"SR &gt; NHT cap","")</f>
        <v/>
      </c>
    </row>
    <row r="52">
      <c r="A52" s="18" t="inlineStr">
        <is>
          <t>PBF_CHALMETTE</t>
        </is>
      </c>
      <c r="B52" s="18" t="n">
        <v>3</v>
      </c>
      <c r="C52" s="21">
        <f>SUMPRODUCT((Boxes!$B$3:$B$1084=$A52)*(Boxes!$D$3:$D$1084="CDU")*Boxes!$F$3:$F$1084)</f>
        <v/>
      </c>
      <c r="D52" s="35">
        <f>SUMPRODUCT((Boxes!$B$3:$B$1084=$A52)*(Boxes!$D$3:$D$1084="CDU")*Boxes!$J$3:$J$1084)</f>
        <v/>
      </c>
      <c r="E52" s="21">
        <f>$C52*$D52</f>
        <v/>
      </c>
      <c r="F52" s="24">
        <f>SUMPRODUCT((Boxes!$B$3:$B$1084=$A52)*(Boxes!$D$3:$D$1084="CDU")*Boxes!$O$3:$O$1084)</f>
        <v/>
      </c>
      <c r="G52" s="26">
        <f>$E52*$F52</f>
        <v/>
      </c>
      <c r="H52" s="21">
        <f>SUMPRODUCT((Boxes!$B$3:$B$1084=$A52)*(Boxes!$D$3:$D$1084="NHT")*Boxes!$F$3:$F$1084)</f>
        <v/>
      </c>
      <c r="I52" s="26">
        <f>SUMPRODUCT((Boxes!$B$3:$B$1084=$A52)*(Boxes!$D$3:$D$1084="REF")*Boxes!$F$3:$F$1084)*SUMPRODUCT((Boxes!$B$3:$B$1084=$A52)*(Boxes!$D$3:$D$1084="REF")*Boxes!$J$3:$J$1084)+SUMPRODUCT((Boxes!$B$3:$B$1084=$A52)*(Boxes!$D$3:$D$1084="CCR")*Boxes!$F$3:$F$1084)*SUMPRODUCT((Boxes!$B$3:$B$1084=$A52)*(Boxes!$D$3:$D$1084="CCR")*Boxes!$J$3:$J$1084)</f>
        <v/>
      </c>
      <c r="J52" s="26">
        <f>SUMPRODUCT((Boxes!$B$3:$B$1084=$A52)*(Boxes!$D$3:$D$1084="ISOM")*Boxes!$F$3:$F$1084)*SUMPRODUCT((Boxes!$B$3:$B$1084=$A52)*(Boxes!$D$3:$D$1084="ISOM")*Boxes!$J$3:$J$1084)</f>
        <v/>
      </c>
      <c r="K52" s="26">
        <f>SUMPRODUCT((Boxes!$A$3:$A$1084="TOTAL")*(Boxes!$B$3:$B$1084=$A52)*Boxes!$P$3:$P$1084)</f>
        <v/>
      </c>
      <c r="L52" s="25">
        <f>SUMIFS(Data!$N$3:$N$125,Data!$A$3:$A$125,$A52)</f>
        <v/>
      </c>
      <c r="M52" s="25">
        <f>IFERROR($K52/(SUMIFS(Data!$G$3:$G$125,Data!$A$3:$A$125,$A52)*$D52),"")</f>
        <v/>
      </c>
      <c r="N52" s="43">
        <f>IF($M52="","",$M52-$L52)</f>
        <v/>
      </c>
      <c r="O52" s="41">
        <f>IF(AND($H52&gt;0,$G52&gt;$H52*1.05),"SR &gt; NHT cap","")</f>
        <v/>
      </c>
    </row>
    <row r="53">
      <c r="A53" s="18" t="inlineStr">
        <is>
          <t>CITGO_CORPUS_CHRISTI</t>
        </is>
      </c>
      <c r="B53" s="18" t="n">
        <v>3</v>
      </c>
      <c r="C53" s="21">
        <f>SUMPRODUCT((Boxes!$B$3:$B$1084=$A53)*(Boxes!$D$3:$D$1084="CDU")*Boxes!$F$3:$F$1084)</f>
        <v/>
      </c>
      <c r="D53" s="35">
        <f>SUMPRODUCT((Boxes!$B$3:$B$1084=$A53)*(Boxes!$D$3:$D$1084="CDU")*Boxes!$J$3:$J$1084)</f>
        <v/>
      </c>
      <c r="E53" s="21">
        <f>$C53*$D53</f>
        <v/>
      </c>
      <c r="F53" s="24">
        <f>SUMPRODUCT((Boxes!$B$3:$B$1084=$A53)*(Boxes!$D$3:$D$1084="CDU")*Boxes!$O$3:$O$1084)</f>
        <v/>
      </c>
      <c r="G53" s="26">
        <f>$E53*$F53</f>
        <v/>
      </c>
      <c r="H53" s="21">
        <f>SUMPRODUCT((Boxes!$B$3:$B$1084=$A53)*(Boxes!$D$3:$D$1084="NHT")*Boxes!$F$3:$F$1084)</f>
        <v/>
      </c>
      <c r="I53" s="26">
        <f>SUMPRODUCT((Boxes!$B$3:$B$1084=$A53)*(Boxes!$D$3:$D$1084="REF")*Boxes!$F$3:$F$1084)*SUMPRODUCT((Boxes!$B$3:$B$1084=$A53)*(Boxes!$D$3:$D$1084="REF")*Boxes!$J$3:$J$1084)+SUMPRODUCT((Boxes!$B$3:$B$1084=$A53)*(Boxes!$D$3:$D$1084="CCR")*Boxes!$F$3:$F$1084)*SUMPRODUCT((Boxes!$B$3:$B$1084=$A53)*(Boxes!$D$3:$D$1084="CCR")*Boxes!$J$3:$J$1084)</f>
        <v/>
      </c>
      <c r="J53" s="26">
        <f>SUMPRODUCT((Boxes!$B$3:$B$1084=$A53)*(Boxes!$D$3:$D$1084="ISOM")*Boxes!$F$3:$F$1084)*SUMPRODUCT((Boxes!$B$3:$B$1084=$A53)*(Boxes!$D$3:$D$1084="ISOM")*Boxes!$J$3:$J$1084)</f>
        <v/>
      </c>
      <c r="K53" s="26">
        <f>SUMPRODUCT((Boxes!$A$3:$A$1084="TOTAL")*(Boxes!$B$3:$B$1084=$A53)*Boxes!$P$3:$P$1084)</f>
        <v/>
      </c>
      <c r="L53" s="25">
        <f>SUMIFS(Data!$N$3:$N$125,Data!$A$3:$A$125,$A53)</f>
        <v/>
      </c>
      <c r="M53" s="25">
        <f>IFERROR($K53/(SUMIFS(Data!$G$3:$G$125,Data!$A$3:$A$125,$A53)*$D53),"")</f>
        <v/>
      </c>
      <c r="N53" s="43">
        <f>IF($M53="","",$M53-$L53)</f>
        <v/>
      </c>
      <c r="O53" s="41">
        <f>IF(AND($H53&gt;0,$G53&gt;$H53*1.05),"SR &gt; NHT cap","")</f>
        <v/>
      </c>
    </row>
    <row r="54">
      <c r="A54" s="18" t="inlineStr">
        <is>
          <t>WRB_BORGER</t>
        </is>
      </c>
      <c r="B54" s="18" t="n">
        <v>3</v>
      </c>
      <c r="C54" s="21">
        <f>SUMPRODUCT((Boxes!$B$3:$B$1084=$A54)*(Boxes!$D$3:$D$1084="CDU")*Boxes!$F$3:$F$1084)</f>
        <v/>
      </c>
      <c r="D54" s="35">
        <f>SUMPRODUCT((Boxes!$B$3:$B$1084=$A54)*(Boxes!$D$3:$D$1084="CDU")*Boxes!$J$3:$J$1084)</f>
        <v/>
      </c>
      <c r="E54" s="21">
        <f>$C54*$D54</f>
        <v/>
      </c>
      <c r="F54" s="24">
        <f>SUMPRODUCT((Boxes!$B$3:$B$1084=$A54)*(Boxes!$D$3:$D$1084="CDU")*Boxes!$O$3:$O$1084)</f>
        <v/>
      </c>
      <c r="G54" s="26">
        <f>$E54*$F54</f>
        <v/>
      </c>
      <c r="H54" s="21">
        <f>SUMPRODUCT((Boxes!$B$3:$B$1084=$A54)*(Boxes!$D$3:$D$1084="NHT")*Boxes!$F$3:$F$1084)</f>
        <v/>
      </c>
      <c r="I54" s="26">
        <f>SUMPRODUCT((Boxes!$B$3:$B$1084=$A54)*(Boxes!$D$3:$D$1084="REF")*Boxes!$F$3:$F$1084)*SUMPRODUCT((Boxes!$B$3:$B$1084=$A54)*(Boxes!$D$3:$D$1084="REF")*Boxes!$J$3:$J$1084)+SUMPRODUCT((Boxes!$B$3:$B$1084=$A54)*(Boxes!$D$3:$D$1084="CCR")*Boxes!$F$3:$F$1084)*SUMPRODUCT((Boxes!$B$3:$B$1084=$A54)*(Boxes!$D$3:$D$1084="CCR")*Boxes!$J$3:$J$1084)</f>
        <v/>
      </c>
      <c r="J54" s="26">
        <f>SUMPRODUCT((Boxes!$B$3:$B$1084=$A54)*(Boxes!$D$3:$D$1084="ISOM")*Boxes!$F$3:$F$1084)*SUMPRODUCT((Boxes!$B$3:$B$1084=$A54)*(Boxes!$D$3:$D$1084="ISOM")*Boxes!$J$3:$J$1084)</f>
        <v/>
      </c>
      <c r="K54" s="26">
        <f>SUMPRODUCT((Boxes!$A$3:$A$1084="TOTAL")*(Boxes!$B$3:$B$1084=$A54)*Boxes!$P$3:$P$1084)</f>
        <v/>
      </c>
      <c r="L54" s="25">
        <f>SUMIFS(Data!$N$3:$N$125,Data!$A$3:$A$125,$A54)</f>
        <v/>
      </c>
      <c r="M54" s="25">
        <f>IFERROR($K54/(SUMIFS(Data!$G$3:$G$125,Data!$A$3:$A$125,$A54)*$D54),"")</f>
        <v/>
      </c>
      <c r="N54" s="43">
        <f>IF($M54="","",$M54-$L54)</f>
        <v/>
      </c>
      <c r="O54" s="41">
        <f>IF(AND($H54&gt;0,$G54&gt;$H54*1.05),"SR &gt; NHT cap","")</f>
        <v/>
      </c>
    </row>
    <row r="55">
      <c r="A55" s="18" t="inlineStr">
        <is>
          <t>MARATHON_EL_PASO</t>
        </is>
      </c>
      <c r="B55" s="18" t="n">
        <v>3</v>
      </c>
      <c r="C55" s="21">
        <f>SUMPRODUCT((Boxes!$B$3:$B$1084=$A55)*(Boxes!$D$3:$D$1084="CDU")*Boxes!$F$3:$F$1084)</f>
        <v/>
      </c>
      <c r="D55" s="35">
        <f>SUMPRODUCT((Boxes!$B$3:$B$1084=$A55)*(Boxes!$D$3:$D$1084="CDU")*Boxes!$J$3:$J$1084)</f>
        <v/>
      </c>
      <c r="E55" s="21">
        <f>$C55*$D55</f>
        <v/>
      </c>
      <c r="F55" s="24">
        <f>SUMPRODUCT((Boxes!$B$3:$B$1084=$A55)*(Boxes!$D$3:$D$1084="CDU")*Boxes!$O$3:$O$1084)</f>
        <v/>
      </c>
      <c r="G55" s="26">
        <f>$E55*$F55</f>
        <v/>
      </c>
      <c r="H55" s="21">
        <f>SUMPRODUCT((Boxes!$B$3:$B$1084=$A55)*(Boxes!$D$3:$D$1084="NHT")*Boxes!$F$3:$F$1084)</f>
        <v/>
      </c>
      <c r="I55" s="26">
        <f>SUMPRODUCT((Boxes!$B$3:$B$1084=$A55)*(Boxes!$D$3:$D$1084="REF")*Boxes!$F$3:$F$1084)*SUMPRODUCT((Boxes!$B$3:$B$1084=$A55)*(Boxes!$D$3:$D$1084="REF")*Boxes!$J$3:$J$1084)+SUMPRODUCT((Boxes!$B$3:$B$1084=$A55)*(Boxes!$D$3:$D$1084="CCR")*Boxes!$F$3:$F$1084)*SUMPRODUCT((Boxes!$B$3:$B$1084=$A55)*(Boxes!$D$3:$D$1084="CCR")*Boxes!$J$3:$J$1084)</f>
        <v/>
      </c>
      <c r="J55" s="26">
        <f>SUMPRODUCT((Boxes!$B$3:$B$1084=$A55)*(Boxes!$D$3:$D$1084="ISOM")*Boxes!$F$3:$F$1084)*SUMPRODUCT((Boxes!$B$3:$B$1084=$A55)*(Boxes!$D$3:$D$1084="ISOM")*Boxes!$J$3:$J$1084)</f>
        <v/>
      </c>
      <c r="K55" s="26">
        <f>SUMPRODUCT((Boxes!$A$3:$A$1084="TOTAL")*(Boxes!$B$3:$B$1084=$A55)*Boxes!$P$3:$P$1084)</f>
        <v/>
      </c>
      <c r="L55" s="25">
        <f>SUMIFS(Data!$N$3:$N$125,Data!$A$3:$A$125,$A55)</f>
        <v/>
      </c>
      <c r="M55" s="25">
        <f>IFERROR($K55/(SUMIFS(Data!$G$3:$G$125,Data!$A$3:$A$125,$A55)*$D55),"")</f>
        <v/>
      </c>
      <c r="N55" s="43">
        <f>IF($M55="","",$M55-$L55)</f>
        <v/>
      </c>
      <c r="O55" s="41">
        <f>IF(AND($H55&gt;0,$G55&gt;$H55*1.05),"SR &gt; NHT cap","")</f>
        <v/>
      </c>
    </row>
    <row r="56">
      <c r="A56" s="18" t="inlineStr">
        <is>
          <t>CHEVRON_PASADENA</t>
        </is>
      </c>
      <c r="B56" s="18" t="n">
        <v>3</v>
      </c>
      <c r="C56" s="21">
        <f>SUMPRODUCT((Boxes!$B$3:$B$1084=$A56)*(Boxes!$D$3:$D$1084="CDU")*Boxes!$F$3:$F$1084)</f>
        <v/>
      </c>
      <c r="D56" s="35">
        <f>SUMPRODUCT((Boxes!$B$3:$B$1084=$A56)*(Boxes!$D$3:$D$1084="CDU")*Boxes!$J$3:$J$1084)</f>
        <v/>
      </c>
      <c r="E56" s="21">
        <f>$C56*$D56</f>
        <v/>
      </c>
      <c r="F56" s="24">
        <f>SUMPRODUCT((Boxes!$B$3:$B$1084=$A56)*(Boxes!$D$3:$D$1084="CDU")*Boxes!$O$3:$O$1084)</f>
        <v/>
      </c>
      <c r="G56" s="26">
        <f>$E56*$F56</f>
        <v/>
      </c>
      <c r="H56" s="21">
        <f>SUMPRODUCT((Boxes!$B$3:$B$1084=$A56)*(Boxes!$D$3:$D$1084="NHT")*Boxes!$F$3:$F$1084)</f>
        <v/>
      </c>
      <c r="I56" s="26">
        <f>SUMPRODUCT((Boxes!$B$3:$B$1084=$A56)*(Boxes!$D$3:$D$1084="REF")*Boxes!$F$3:$F$1084)*SUMPRODUCT((Boxes!$B$3:$B$1084=$A56)*(Boxes!$D$3:$D$1084="REF")*Boxes!$J$3:$J$1084)+SUMPRODUCT((Boxes!$B$3:$B$1084=$A56)*(Boxes!$D$3:$D$1084="CCR")*Boxes!$F$3:$F$1084)*SUMPRODUCT((Boxes!$B$3:$B$1084=$A56)*(Boxes!$D$3:$D$1084="CCR")*Boxes!$J$3:$J$1084)</f>
        <v/>
      </c>
      <c r="J56" s="26">
        <f>SUMPRODUCT((Boxes!$B$3:$B$1084=$A56)*(Boxes!$D$3:$D$1084="ISOM")*Boxes!$F$3:$F$1084)*SUMPRODUCT((Boxes!$B$3:$B$1084=$A56)*(Boxes!$D$3:$D$1084="ISOM")*Boxes!$J$3:$J$1084)</f>
        <v/>
      </c>
      <c r="K56" s="26">
        <f>SUMPRODUCT((Boxes!$A$3:$A$1084="TOTAL")*(Boxes!$B$3:$B$1084=$A56)*Boxes!$P$3:$P$1084)</f>
        <v/>
      </c>
      <c r="L56" s="25">
        <f>SUMIFS(Data!$N$3:$N$125,Data!$A$3:$A$125,$A56)</f>
        <v/>
      </c>
      <c r="M56" s="25">
        <f>IFERROR($K56/(SUMIFS(Data!$G$3:$G$125,Data!$A$3:$A$125,$A56)*$D56),"")</f>
        <v/>
      </c>
      <c r="N56" s="43">
        <f>IF($M56="","",$M56-$L56)</f>
        <v/>
      </c>
      <c r="O56" s="41">
        <f>IF(AND($H56&gt;0,$G56&gt;$H56*1.05),"SR &gt; NHT cap","")</f>
        <v/>
      </c>
    </row>
    <row r="57">
      <c r="A57" s="18" t="inlineStr">
        <is>
          <t>VALERO_MERAUX</t>
        </is>
      </c>
      <c r="B57" s="18" t="n">
        <v>3</v>
      </c>
      <c r="C57" s="21">
        <f>SUMPRODUCT((Boxes!$B$3:$B$1084=$A57)*(Boxes!$D$3:$D$1084="CDU")*Boxes!$F$3:$F$1084)</f>
        <v/>
      </c>
      <c r="D57" s="35">
        <f>SUMPRODUCT((Boxes!$B$3:$B$1084=$A57)*(Boxes!$D$3:$D$1084="CDU")*Boxes!$J$3:$J$1084)</f>
        <v/>
      </c>
      <c r="E57" s="21">
        <f>$C57*$D57</f>
        <v/>
      </c>
      <c r="F57" s="24">
        <f>SUMPRODUCT((Boxes!$B$3:$B$1084=$A57)*(Boxes!$D$3:$D$1084="CDU")*Boxes!$O$3:$O$1084)</f>
        <v/>
      </c>
      <c r="G57" s="26">
        <f>$E57*$F57</f>
        <v/>
      </c>
      <c r="H57" s="21">
        <f>SUMPRODUCT((Boxes!$B$3:$B$1084=$A57)*(Boxes!$D$3:$D$1084="NHT")*Boxes!$F$3:$F$1084)</f>
        <v/>
      </c>
      <c r="I57" s="26">
        <f>SUMPRODUCT((Boxes!$B$3:$B$1084=$A57)*(Boxes!$D$3:$D$1084="REF")*Boxes!$F$3:$F$1084)*SUMPRODUCT((Boxes!$B$3:$B$1084=$A57)*(Boxes!$D$3:$D$1084="REF")*Boxes!$J$3:$J$1084)+SUMPRODUCT((Boxes!$B$3:$B$1084=$A57)*(Boxes!$D$3:$D$1084="CCR")*Boxes!$F$3:$F$1084)*SUMPRODUCT((Boxes!$B$3:$B$1084=$A57)*(Boxes!$D$3:$D$1084="CCR")*Boxes!$J$3:$J$1084)</f>
        <v/>
      </c>
      <c r="J57" s="26">
        <f>SUMPRODUCT((Boxes!$B$3:$B$1084=$A57)*(Boxes!$D$3:$D$1084="ISOM")*Boxes!$F$3:$F$1084)*SUMPRODUCT((Boxes!$B$3:$B$1084=$A57)*(Boxes!$D$3:$D$1084="ISOM")*Boxes!$J$3:$J$1084)</f>
        <v/>
      </c>
      <c r="K57" s="26">
        <f>SUMPRODUCT((Boxes!$A$3:$A$1084="TOTAL")*(Boxes!$B$3:$B$1084=$A57)*Boxes!$P$3:$P$1084)</f>
        <v/>
      </c>
      <c r="L57" s="25">
        <f>SUMIFS(Data!$N$3:$N$125,Data!$A$3:$A$125,$A57)</f>
        <v/>
      </c>
      <c r="M57" s="25">
        <f>IFERROR($K57/(SUMIFS(Data!$G$3:$G$125,Data!$A$3:$A$125,$A57)*$D57),"")</f>
        <v/>
      </c>
      <c r="N57" s="43">
        <f>IF($M57="","",$M57-$L57)</f>
        <v/>
      </c>
      <c r="O57" s="41">
        <f>IF(AND($H57&gt;0,$G57&gt;$H57*1.05),"SR &gt; NHT cap","")</f>
        <v/>
      </c>
    </row>
    <row r="58">
      <c r="A58" s="18" t="inlineStr">
        <is>
          <t>KINDER_HOUSTON</t>
        </is>
      </c>
      <c r="B58" s="18" t="n">
        <v>3</v>
      </c>
      <c r="C58" s="21">
        <f>SUMPRODUCT((Boxes!$B$3:$B$1084=$A58)*(Boxes!$D$3:$D$1084="CDU")*Boxes!$F$3:$F$1084)</f>
        <v/>
      </c>
      <c r="D58" s="35">
        <f>SUMPRODUCT((Boxes!$B$3:$B$1084=$A58)*(Boxes!$D$3:$D$1084="CDU")*Boxes!$J$3:$J$1084)</f>
        <v/>
      </c>
      <c r="E58" s="21">
        <f>$C58*$D58</f>
        <v/>
      </c>
      <c r="F58" s="24">
        <f>SUMPRODUCT((Boxes!$B$3:$B$1084=$A58)*(Boxes!$D$3:$D$1084="CDU")*Boxes!$O$3:$O$1084)</f>
        <v/>
      </c>
      <c r="G58" s="26">
        <f>$E58*$F58</f>
        <v/>
      </c>
      <c r="H58" s="21">
        <f>SUMPRODUCT((Boxes!$B$3:$B$1084=$A58)*(Boxes!$D$3:$D$1084="NHT")*Boxes!$F$3:$F$1084)</f>
        <v/>
      </c>
      <c r="I58" s="26">
        <f>SUMPRODUCT((Boxes!$B$3:$B$1084=$A58)*(Boxes!$D$3:$D$1084="REF")*Boxes!$F$3:$F$1084)*SUMPRODUCT((Boxes!$B$3:$B$1084=$A58)*(Boxes!$D$3:$D$1084="REF")*Boxes!$J$3:$J$1084)+SUMPRODUCT((Boxes!$B$3:$B$1084=$A58)*(Boxes!$D$3:$D$1084="CCR")*Boxes!$F$3:$F$1084)*SUMPRODUCT((Boxes!$B$3:$B$1084=$A58)*(Boxes!$D$3:$D$1084="CCR")*Boxes!$J$3:$J$1084)</f>
        <v/>
      </c>
      <c r="J58" s="26">
        <f>SUMPRODUCT((Boxes!$B$3:$B$1084=$A58)*(Boxes!$D$3:$D$1084="ISOM")*Boxes!$F$3:$F$1084)*SUMPRODUCT((Boxes!$B$3:$B$1084=$A58)*(Boxes!$D$3:$D$1084="ISOM")*Boxes!$J$3:$J$1084)</f>
        <v/>
      </c>
      <c r="K58" s="26">
        <f>SUMPRODUCT((Boxes!$A$3:$A$1084="TOTAL")*(Boxes!$B$3:$B$1084=$A58)*Boxes!$P$3:$P$1084)</f>
        <v/>
      </c>
      <c r="L58" s="25">
        <f>SUMIFS(Data!$N$3:$N$125,Data!$A$3:$A$125,$A58)</f>
        <v/>
      </c>
      <c r="M58" s="25">
        <f>IFERROR($K58/(SUMIFS(Data!$G$3:$G$125,Data!$A$3:$A$125,$A58)*$D58),"")</f>
        <v/>
      </c>
      <c r="N58" s="43">
        <f>IF($M58="","",$M58-$L58)</f>
        <v/>
      </c>
      <c r="O58" s="41">
        <f>IF(AND($H58&gt;0,$G58&gt;$H58*1.05),"SR &gt; NHT cap","")</f>
        <v/>
      </c>
    </row>
    <row r="59">
      <c r="A59" s="18" t="inlineStr">
        <is>
          <t>CALCASIEU_LAKE_CHARLES</t>
        </is>
      </c>
      <c r="B59" s="18" t="n">
        <v>3</v>
      </c>
      <c r="C59" s="21">
        <f>SUMPRODUCT((Boxes!$B$3:$B$1084=$A59)*(Boxes!$D$3:$D$1084="CDU")*Boxes!$F$3:$F$1084)</f>
        <v/>
      </c>
      <c r="D59" s="35">
        <f>SUMPRODUCT((Boxes!$B$3:$B$1084=$A59)*(Boxes!$D$3:$D$1084="CDU")*Boxes!$J$3:$J$1084)</f>
        <v/>
      </c>
      <c r="E59" s="21">
        <f>$C59*$D59</f>
        <v/>
      </c>
      <c r="F59" s="24">
        <f>SUMPRODUCT((Boxes!$B$3:$B$1084=$A59)*(Boxes!$D$3:$D$1084="CDU")*Boxes!$O$3:$O$1084)</f>
        <v/>
      </c>
      <c r="G59" s="26">
        <f>$E59*$F59</f>
        <v/>
      </c>
      <c r="H59" s="21">
        <f>SUMPRODUCT((Boxes!$B$3:$B$1084=$A59)*(Boxes!$D$3:$D$1084="NHT")*Boxes!$F$3:$F$1084)</f>
        <v/>
      </c>
      <c r="I59" s="26">
        <f>SUMPRODUCT((Boxes!$B$3:$B$1084=$A59)*(Boxes!$D$3:$D$1084="REF")*Boxes!$F$3:$F$1084)*SUMPRODUCT((Boxes!$B$3:$B$1084=$A59)*(Boxes!$D$3:$D$1084="REF")*Boxes!$J$3:$J$1084)+SUMPRODUCT((Boxes!$B$3:$B$1084=$A59)*(Boxes!$D$3:$D$1084="CCR")*Boxes!$F$3:$F$1084)*SUMPRODUCT((Boxes!$B$3:$B$1084=$A59)*(Boxes!$D$3:$D$1084="CCR")*Boxes!$J$3:$J$1084)</f>
        <v/>
      </c>
      <c r="J59" s="26">
        <f>SUMPRODUCT((Boxes!$B$3:$B$1084=$A59)*(Boxes!$D$3:$D$1084="ISOM")*Boxes!$F$3:$F$1084)*SUMPRODUCT((Boxes!$B$3:$B$1084=$A59)*(Boxes!$D$3:$D$1084="ISOM")*Boxes!$J$3:$J$1084)</f>
        <v/>
      </c>
      <c r="K59" s="26">
        <f>SUMPRODUCT((Boxes!$A$3:$A$1084="TOTAL")*(Boxes!$B$3:$B$1084=$A59)*Boxes!$P$3:$P$1084)</f>
        <v/>
      </c>
      <c r="L59" s="25">
        <f>SUMIFS(Data!$N$3:$N$125,Data!$A$3:$A$125,$A59)</f>
        <v/>
      </c>
      <c r="M59" s="25">
        <f>IFERROR($K59/(SUMIFS(Data!$G$3:$G$125,Data!$A$3:$A$125,$A59)*$D59),"")</f>
        <v/>
      </c>
      <c r="N59" s="43">
        <f>IF($M59="","",$M59-$L59)</f>
        <v/>
      </c>
      <c r="O59" s="41">
        <f>IF(AND($H59&gt;0,$G59&gt;$H59*1.05),"SR &gt; NHT cap","")</f>
        <v/>
      </c>
    </row>
    <row r="60">
      <c r="A60" s="18" t="inlineStr">
        <is>
          <t>HF_ARTESIA</t>
        </is>
      </c>
      <c r="B60" s="18" t="n">
        <v>3</v>
      </c>
      <c r="C60" s="21">
        <f>SUMPRODUCT((Boxes!$B$3:$B$1084=$A60)*(Boxes!$D$3:$D$1084="CDU")*Boxes!$F$3:$F$1084)</f>
        <v/>
      </c>
      <c r="D60" s="35">
        <f>SUMPRODUCT((Boxes!$B$3:$B$1084=$A60)*(Boxes!$D$3:$D$1084="CDU")*Boxes!$J$3:$J$1084)</f>
        <v/>
      </c>
      <c r="E60" s="21">
        <f>$C60*$D60</f>
        <v/>
      </c>
      <c r="F60" s="24">
        <f>SUMPRODUCT((Boxes!$B$3:$B$1084=$A60)*(Boxes!$D$3:$D$1084="CDU")*Boxes!$O$3:$O$1084)</f>
        <v/>
      </c>
      <c r="G60" s="26">
        <f>$E60*$F60</f>
        <v/>
      </c>
      <c r="H60" s="21">
        <f>SUMPRODUCT((Boxes!$B$3:$B$1084=$A60)*(Boxes!$D$3:$D$1084="NHT")*Boxes!$F$3:$F$1084)</f>
        <v/>
      </c>
      <c r="I60" s="26">
        <f>SUMPRODUCT((Boxes!$B$3:$B$1084=$A60)*(Boxes!$D$3:$D$1084="REF")*Boxes!$F$3:$F$1084)*SUMPRODUCT((Boxes!$B$3:$B$1084=$A60)*(Boxes!$D$3:$D$1084="REF")*Boxes!$J$3:$J$1084)+SUMPRODUCT((Boxes!$B$3:$B$1084=$A60)*(Boxes!$D$3:$D$1084="CCR")*Boxes!$F$3:$F$1084)*SUMPRODUCT((Boxes!$B$3:$B$1084=$A60)*(Boxes!$D$3:$D$1084="CCR")*Boxes!$J$3:$J$1084)</f>
        <v/>
      </c>
      <c r="J60" s="26">
        <f>SUMPRODUCT((Boxes!$B$3:$B$1084=$A60)*(Boxes!$D$3:$D$1084="ISOM")*Boxes!$F$3:$F$1084)*SUMPRODUCT((Boxes!$B$3:$B$1084=$A60)*(Boxes!$D$3:$D$1084="ISOM")*Boxes!$J$3:$J$1084)</f>
        <v/>
      </c>
      <c r="K60" s="26">
        <f>SUMPRODUCT((Boxes!$A$3:$A$1084="TOTAL")*(Boxes!$B$3:$B$1084=$A60)*Boxes!$P$3:$P$1084)</f>
        <v/>
      </c>
      <c r="L60" s="25">
        <f>SUMIFS(Data!$N$3:$N$125,Data!$A$3:$A$125,$A60)</f>
        <v/>
      </c>
      <c r="M60" s="25">
        <f>IFERROR($K60/(SUMIFS(Data!$G$3:$G$125,Data!$A$3:$A$125,$A60)*$D60),"")</f>
        <v/>
      </c>
      <c r="N60" s="43">
        <f>IF($M60="","",$M60-$L60)</f>
        <v/>
      </c>
      <c r="O60" s="41">
        <f>IF(AND($H60&gt;0,$G60&gt;$H60*1.05),"SR &gt; NHT cap","")</f>
        <v/>
      </c>
    </row>
    <row r="61">
      <c r="A61" s="18" t="inlineStr">
        <is>
          <t>VALERO_THREE_RIVERS</t>
        </is>
      </c>
      <c r="B61" s="18" t="n">
        <v>3</v>
      </c>
      <c r="C61" s="21">
        <f>SUMPRODUCT((Boxes!$B$3:$B$1084=$A61)*(Boxes!$D$3:$D$1084="CDU")*Boxes!$F$3:$F$1084)</f>
        <v/>
      </c>
      <c r="D61" s="35">
        <f>SUMPRODUCT((Boxes!$B$3:$B$1084=$A61)*(Boxes!$D$3:$D$1084="CDU")*Boxes!$J$3:$J$1084)</f>
        <v/>
      </c>
      <c r="E61" s="21">
        <f>$C61*$D61</f>
        <v/>
      </c>
      <c r="F61" s="24">
        <f>SUMPRODUCT((Boxes!$B$3:$B$1084=$A61)*(Boxes!$D$3:$D$1084="CDU")*Boxes!$O$3:$O$1084)</f>
        <v/>
      </c>
      <c r="G61" s="26">
        <f>$E61*$F61</f>
        <v/>
      </c>
      <c r="H61" s="21">
        <f>SUMPRODUCT((Boxes!$B$3:$B$1084=$A61)*(Boxes!$D$3:$D$1084="NHT")*Boxes!$F$3:$F$1084)</f>
        <v/>
      </c>
      <c r="I61" s="26">
        <f>SUMPRODUCT((Boxes!$B$3:$B$1084=$A61)*(Boxes!$D$3:$D$1084="REF")*Boxes!$F$3:$F$1084)*SUMPRODUCT((Boxes!$B$3:$B$1084=$A61)*(Boxes!$D$3:$D$1084="REF")*Boxes!$J$3:$J$1084)+SUMPRODUCT((Boxes!$B$3:$B$1084=$A61)*(Boxes!$D$3:$D$1084="CCR")*Boxes!$F$3:$F$1084)*SUMPRODUCT((Boxes!$B$3:$B$1084=$A61)*(Boxes!$D$3:$D$1084="CCR")*Boxes!$J$3:$J$1084)</f>
        <v/>
      </c>
      <c r="J61" s="26">
        <f>SUMPRODUCT((Boxes!$B$3:$B$1084=$A61)*(Boxes!$D$3:$D$1084="ISOM")*Boxes!$F$3:$F$1084)*SUMPRODUCT((Boxes!$B$3:$B$1084=$A61)*(Boxes!$D$3:$D$1084="ISOM")*Boxes!$J$3:$J$1084)</f>
        <v/>
      </c>
      <c r="K61" s="26">
        <f>SUMPRODUCT((Boxes!$A$3:$A$1084="TOTAL")*(Boxes!$B$3:$B$1084=$A61)*Boxes!$P$3:$P$1084)</f>
        <v/>
      </c>
      <c r="L61" s="25">
        <f>SUMIFS(Data!$N$3:$N$125,Data!$A$3:$A$125,$A61)</f>
        <v/>
      </c>
      <c r="M61" s="25">
        <f>IFERROR($K61/(SUMIFS(Data!$G$3:$G$125,Data!$A$3:$A$125,$A61)*$D61),"")</f>
        <v/>
      </c>
      <c r="N61" s="43">
        <f>IF($M61="","",$M61-$L61)</f>
        <v/>
      </c>
      <c r="O61" s="41">
        <f>IF(AND($H61&gt;0,$G61&gt;$H61*1.05),"SR &gt; NHT cap","")</f>
        <v/>
      </c>
    </row>
    <row r="62">
      <c r="A62" s="18" t="inlineStr">
        <is>
          <t>VERTEX_MOBILE</t>
        </is>
      </c>
      <c r="B62" s="18" t="n">
        <v>3</v>
      </c>
      <c r="C62" s="21">
        <f>SUMPRODUCT((Boxes!$B$3:$B$1084=$A62)*(Boxes!$D$3:$D$1084="CDU")*Boxes!$F$3:$F$1084)</f>
        <v/>
      </c>
      <c r="D62" s="35">
        <f>SUMPRODUCT((Boxes!$B$3:$B$1084=$A62)*(Boxes!$D$3:$D$1084="CDU")*Boxes!$J$3:$J$1084)</f>
        <v/>
      </c>
      <c r="E62" s="21">
        <f>$C62*$D62</f>
        <v/>
      </c>
      <c r="F62" s="24">
        <f>SUMPRODUCT((Boxes!$B$3:$B$1084=$A62)*(Boxes!$D$3:$D$1084="CDU")*Boxes!$O$3:$O$1084)</f>
        <v/>
      </c>
      <c r="G62" s="26">
        <f>$E62*$F62</f>
        <v/>
      </c>
      <c r="H62" s="21">
        <f>SUMPRODUCT((Boxes!$B$3:$B$1084=$A62)*(Boxes!$D$3:$D$1084="NHT")*Boxes!$F$3:$F$1084)</f>
        <v/>
      </c>
      <c r="I62" s="26">
        <f>SUMPRODUCT((Boxes!$B$3:$B$1084=$A62)*(Boxes!$D$3:$D$1084="REF")*Boxes!$F$3:$F$1084)*SUMPRODUCT((Boxes!$B$3:$B$1084=$A62)*(Boxes!$D$3:$D$1084="REF")*Boxes!$J$3:$J$1084)+SUMPRODUCT((Boxes!$B$3:$B$1084=$A62)*(Boxes!$D$3:$D$1084="CCR")*Boxes!$F$3:$F$1084)*SUMPRODUCT((Boxes!$B$3:$B$1084=$A62)*(Boxes!$D$3:$D$1084="CCR")*Boxes!$J$3:$J$1084)</f>
        <v/>
      </c>
      <c r="J62" s="26">
        <f>SUMPRODUCT((Boxes!$B$3:$B$1084=$A62)*(Boxes!$D$3:$D$1084="ISOM")*Boxes!$F$3:$F$1084)*SUMPRODUCT((Boxes!$B$3:$B$1084=$A62)*(Boxes!$D$3:$D$1084="ISOM")*Boxes!$J$3:$J$1084)</f>
        <v/>
      </c>
      <c r="K62" s="26">
        <f>SUMPRODUCT((Boxes!$A$3:$A$1084="TOTAL")*(Boxes!$B$3:$B$1084=$A62)*Boxes!$P$3:$P$1084)</f>
        <v/>
      </c>
      <c r="L62" s="25">
        <f>SUMIFS(Data!$N$3:$N$125,Data!$A$3:$A$125,$A62)</f>
        <v/>
      </c>
      <c r="M62" s="25">
        <f>IFERROR($K62/(SUMIFS(Data!$G$3:$G$125,Data!$A$3:$A$125,$A62)*$D62),"")</f>
        <v/>
      </c>
      <c r="N62" s="43">
        <f>IF($M62="","",$M62-$L62)</f>
        <v/>
      </c>
      <c r="O62" s="41">
        <f>IF(AND($H62&gt;0,$G62&gt;$H62*1.05),"SR &gt; NHT cap","")</f>
        <v/>
      </c>
    </row>
    <row r="63">
      <c r="A63" s="18" t="inlineStr">
        <is>
          <t>DELEK_EL_DORADO_AR</t>
        </is>
      </c>
      <c r="B63" s="18" t="n">
        <v>3</v>
      </c>
      <c r="C63" s="21">
        <f>SUMPRODUCT((Boxes!$B$3:$B$1084=$A63)*(Boxes!$D$3:$D$1084="CDU")*Boxes!$F$3:$F$1084)</f>
        <v/>
      </c>
      <c r="D63" s="35">
        <f>SUMPRODUCT((Boxes!$B$3:$B$1084=$A63)*(Boxes!$D$3:$D$1084="CDU")*Boxes!$J$3:$J$1084)</f>
        <v/>
      </c>
      <c r="E63" s="21">
        <f>$C63*$D63</f>
        <v/>
      </c>
      <c r="F63" s="24">
        <f>SUMPRODUCT((Boxes!$B$3:$B$1084=$A63)*(Boxes!$D$3:$D$1084="CDU")*Boxes!$O$3:$O$1084)</f>
        <v/>
      </c>
      <c r="G63" s="26">
        <f>$E63*$F63</f>
        <v/>
      </c>
      <c r="H63" s="21">
        <f>SUMPRODUCT((Boxes!$B$3:$B$1084=$A63)*(Boxes!$D$3:$D$1084="NHT")*Boxes!$F$3:$F$1084)</f>
        <v/>
      </c>
      <c r="I63" s="26">
        <f>SUMPRODUCT((Boxes!$B$3:$B$1084=$A63)*(Boxes!$D$3:$D$1084="REF")*Boxes!$F$3:$F$1084)*SUMPRODUCT((Boxes!$B$3:$B$1084=$A63)*(Boxes!$D$3:$D$1084="REF")*Boxes!$J$3:$J$1084)+SUMPRODUCT((Boxes!$B$3:$B$1084=$A63)*(Boxes!$D$3:$D$1084="CCR")*Boxes!$F$3:$F$1084)*SUMPRODUCT((Boxes!$B$3:$B$1084=$A63)*(Boxes!$D$3:$D$1084="CCR")*Boxes!$J$3:$J$1084)</f>
        <v/>
      </c>
      <c r="J63" s="26">
        <f>SUMPRODUCT((Boxes!$B$3:$B$1084=$A63)*(Boxes!$D$3:$D$1084="ISOM")*Boxes!$F$3:$F$1084)*SUMPRODUCT((Boxes!$B$3:$B$1084=$A63)*(Boxes!$D$3:$D$1084="ISOM")*Boxes!$J$3:$J$1084)</f>
        <v/>
      </c>
      <c r="K63" s="26">
        <f>SUMPRODUCT((Boxes!$A$3:$A$1084="TOTAL")*(Boxes!$B$3:$B$1084=$A63)*Boxes!$P$3:$P$1084)</f>
        <v/>
      </c>
      <c r="L63" s="25">
        <f>SUMIFS(Data!$N$3:$N$125,Data!$A$3:$A$125,$A63)</f>
        <v/>
      </c>
      <c r="M63" s="25">
        <f>IFERROR($K63/(SUMIFS(Data!$G$3:$G$125,Data!$A$3:$A$125,$A63)*$D63),"")</f>
        <v/>
      </c>
      <c r="N63" s="43">
        <f>IF($M63="","",$M63-$L63)</f>
        <v/>
      </c>
      <c r="O63" s="41">
        <f>IF(AND($H63&gt;0,$G63&gt;$H63*1.05),"SR &gt; NHT cap","")</f>
        <v/>
      </c>
    </row>
    <row r="64">
      <c r="A64" s="18" t="inlineStr">
        <is>
          <t>DELEK_TYLER</t>
        </is>
      </c>
      <c r="B64" s="18" t="n">
        <v>3</v>
      </c>
      <c r="C64" s="21">
        <f>SUMPRODUCT((Boxes!$B$3:$B$1084=$A64)*(Boxes!$D$3:$D$1084="CDU")*Boxes!$F$3:$F$1084)</f>
        <v/>
      </c>
      <c r="D64" s="35">
        <f>SUMPRODUCT((Boxes!$B$3:$B$1084=$A64)*(Boxes!$D$3:$D$1084="CDU")*Boxes!$J$3:$J$1084)</f>
        <v/>
      </c>
      <c r="E64" s="21">
        <f>$C64*$D64</f>
        <v/>
      </c>
      <c r="F64" s="24">
        <f>SUMPRODUCT((Boxes!$B$3:$B$1084=$A64)*(Boxes!$D$3:$D$1084="CDU")*Boxes!$O$3:$O$1084)</f>
        <v/>
      </c>
      <c r="G64" s="26">
        <f>$E64*$F64</f>
        <v/>
      </c>
      <c r="H64" s="21">
        <f>SUMPRODUCT((Boxes!$B$3:$B$1084=$A64)*(Boxes!$D$3:$D$1084="NHT")*Boxes!$F$3:$F$1084)</f>
        <v/>
      </c>
      <c r="I64" s="26">
        <f>SUMPRODUCT((Boxes!$B$3:$B$1084=$A64)*(Boxes!$D$3:$D$1084="REF")*Boxes!$F$3:$F$1084)*SUMPRODUCT((Boxes!$B$3:$B$1084=$A64)*(Boxes!$D$3:$D$1084="REF")*Boxes!$J$3:$J$1084)+SUMPRODUCT((Boxes!$B$3:$B$1084=$A64)*(Boxes!$D$3:$D$1084="CCR")*Boxes!$F$3:$F$1084)*SUMPRODUCT((Boxes!$B$3:$B$1084=$A64)*(Boxes!$D$3:$D$1084="CCR")*Boxes!$J$3:$J$1084)</f>
        <v/>
      </c>
      <c r="J64" s="26">
        <f>SUMPRODUCT((Boxes!$B$3:$B$1084=$A64)*(Boxes!$D$3:$D$1084="ISOM")*Boxes!$F$3:$F$1084)*SUMPRODUCT((Boxes!$B$3:$B$1084=$A64)*(Boxes!$D$3:$D$1084="ISOM")*Boxes!$J$3:$J$1084)</f>
        <v/>
      </c>
      <c r="K64" s="26">
        <f>SUMPRODUCT((Boxes!$A$3:$A$1084="TOTAL")*(Boxes!$B$3:$B$1084=$A64)*Boxes!$P$3:$P$1084)</f>
        <v/>
      </c>
      <c r="L64" s="25">
        <f>SUMIFS(Data!$N$3:$N$125,Data!$A$3:$A$125,$A64)</f>
        <v/>
      </c>
      <c r="M64" s="25">
        <f>IFERROR($K64/(SUMIFS(Data!$G$3:$G$125,Data!$A$3:$A$125,$A64)*$D64),"")</f>
        <v/>
      </c>
      <c r="N64" s="43">
        <f>IF($M64="","",$M64-$L64)</f>
        <v/>
      </c>
      <c r="O64" s="41">
        <f>IF(AND($H64&gt;0,$G64&gt;$H64*1.05),"SR &gt; NHT cap","")</f>
        <v/>
      </c>
    </row>
    <row r="65">
      <c r="A65" s="18" t="inlineStr">
        <is>
          <t>PLACID_PORT_ALLEN</t>
        </is>
      </c>
      <c r="B65" s="18" t="n">
        <v>3</v>
      </c>
      <c r="C65" s="21">
        <f>SUMPRODUCT((Boxes!$B$3:$B$1084=$A65)*(Boxes!$D$3:$D$1084="CDU")*Boxes!$F$3:$F$1084)</f>
        <v/>
      </c>
      <c r="D65" s="35">
        <f>SUMPRODUCT((Boxes!$B$3:$B$1084=$A65)*(Boxes!$D$3:$D$1084="CDU")*Boxes!$J$3:$J$1084)</f>
        <v/>
      </c>
      <c r="E65" s="21">
        <f>$C65*$D65</f>
        <v/>
      </c>
      <c r="F65" s="24">
        <f>SUMPRODUCT((Boxes!$B$3:$B$1084=$A65)*(Boxes!$D$3:$D$1084="CDU")*Boxes!$O$3:$O$1084)</f>
        <v/>
      </c>
      <c r="G65" s="26">
        <f>$E65*$F65</f>
        <v/>
      </c>
      <c r="H65" s="21">
        <f>SUMPRODUCT((Boxes!$B$3:$B$1084=$A65)*(Boxes!$D$3:$D$1084="NHT")*Boxes!$F$3:$F$1084)</f>
        <v/>
      </c>
      <c r="I65" s="26">
        <f>SUMPRODUCT((Boxes!$B$3:$B$1084=$A65)*(Boxes!$D$3:$D$1084="REF")*Boxes!$F$3:$F$1084)*SUMPRODUCT((Boxes!$B$3:$B$1084=$A65)*(Boxes!$D$3:$D$1084="REF")*Boxes!$J$3:$J$1084)+SUMPRODUCT((Boxes!$B$3:$B$1084=$A65)*(Boxes!$D$3:$D$1084="CCR")*Boxes!$F$3:$F$1084)*SUMPRODUCT((Boxes!$B$3:$B$1084=$A65)*(Boxes!$D$3:$D$1084="CCR")*Boxes!$J$3:$J$1084)</f>
        <v/>
      </c>
      <c r="J65" s="26">
        <f>SUMPRODUCT((Boxes!$B$3:$B$1084=$A65)*(Boxes!$D$3:$D$1084="ISOM")*Boxes!$F$3:$F$1084)*SUMPRODUCT((Boxes!$B$3:$B$1084=$A65)*(Boxes!$D$3:$D$1084="ISOM")*Boxes!$J$3:$J$1084)</f>
        <v/>
      </c>
      <c r="K65" s="26">
        <f>SUMPRODUCT((Boxes!$A$3:$A$1084="TOTAL")*(Boxes!$B$3:$B$1084=$A65)*Boxes!$P$3:$P$1084)</f>
        <v/>
      </c>
      <c r="L65" s="25">
        <f>SUMIFS(Data!$N$3:$N$125,Data!$A$3:$A$125,$A65)</f>
        <v/>
      </c>
      <c r="M65" s="25">
        <f>IFERROR($K65/(SUMIFS(Data!$G$3:$G$125,Data!$A$3:$A$125,$A65)*$D65),"")</f>
        <v/>
      </c>
      <c r="N65" s="43">
        <f>IF($M65="","",$M65-$L65)</f>
        <v/>
      </c>
      <c r="O65" s="41">
        <f>IF(AND($H65&gt;0,$G65&gt;$H65*1.05),"SR &gt; NHT cap","")</f>
        <v/>
      </c>
    </row>
    <row r="66">
      <c r="A66" s="18" t="inlineStr">
        <is>
          <t>DELEK_KROTZ_SPRINGS</t>
        </is>
      </c>
      <c r="B66" s="18" t="n">
        <v>3</v>
      </c>
      <c r="C66" s="21">
        <f>SUMPRODUCT((Boxes!$B$3:$B$1084=$A66)*(Boxes!$D$3:$D$1084="CDU")*Boxes!$F$3:$F$1084)</f>
        <v/>
      </c>
      <c r="D66" s="35">
        <f>SUMPRODUCT((Boxes!$B$3:$B$1084=$A66)*(Boxes!$D$3:$D$1084="CDU")*Boxes!$J$3:$J$1084)</f>
        <v/>
      </c>
      <c r="E66" s="21">
        <f>$C66*$D66</f>
        <v/>
      </c>
      <c r="F66" s="24">
        <f>SUMPRODUCT((Boxes!$B$3:$B$1084=$A66)*(Boxes!$D$3:$D$1084="CDU")*Boxes!$O$3:$O$1084)</f>
        <v/>
      </c>
      <c r="G66" s="26">
        <f>$E66*$F66</f>
        <v/>
      </c>
      <c r="H66" s="21">
        <f>SUMPRODUCT((Boxes!$B$3:$B$1084=$A66)*(Boxes!$D$3:$D$1084="NHT")*Boxes!$F$3:$F$1084)</f>
        <v/>
      </c>
      <c r="I66" s="26">
        <f>SUMPRODUCT((Boxes!$B$3:$B$1084=$A66)*(Boxes!$D$3:$D$1084="REF")*Boxes!$F$3:$F$1084)*SUMPRODUCT((Boxes!$B$3:$B$1084=$A66)*(Boxes!$D$3:$D$1084="REF")*Boxes!$J$3:$J$1084)+SUMPRODUCT((Boxes!$B$3:$B$1084=$A66)*(Boxes!$D$3:$D$1084="CCR")*Boxes!$F$3:$F$1084)*SUMPRODUCT((Boxes!$B$3:$B$1084=$A66)*(Boxes!$D$3:$D$1084="CCR")*Boxes!$J$3:$J$1084)</f>
        <v/>
      </c>
      <c r="J66" s="26">
        <f>SUMPRODUCT((Boxes!$B$3:$B$1084=$A66)*(Boxes!$D$3:$D$1084="ISOM")*Boxes!$F$3:$F$1084)*SUMPRODUCT((Boxes!$B$3:$B$1084=$A66)*(Boxes!$D$3:$D$1084="ISOM")*Boxes!$J$3:$J$1084)</f>
        <v/>
      </c>
      <c r="K66" s="26">
        <f>SUMPRODUCT((Boxes!$A$3:$A$1084="TOTAL")*(Boxes!$B$3:$B$1084=$A66)*Boxes!$P$3:$P$1084)</f>
        <v/>
      </c>
      <c r="L66" s="25">
        <f>SUMIFS(Data!$N$3:$N$125,Data!$A$3:$A$125,$A66)</f>
        <v/>
      </c>
      <c r="M66" s="25">
        <f>IFERROR($K66/(SUMIFS(Data!$G$3:$G$125,Data!$A$3:$A$125,$A66)*$D66),"")</f>
        <v/>
      </c>
      <c r="N66" s="43">
        <f>IF($M66="","",$M66-$L66)</f>
        <v/>
      </c>
      <c r="O66" s="41">
        <f>IF(AND($H66&gt;0,$G66&gt;$H66*1.05),"SR &gt; NHT cap","")</f>
        <v/>
      </c>
    </row>
    <row r="67">
      <c r="A67" s="18" t="inlineStr">
        <is>
          <t>ALON_BIG_SPRINGS</t>
        </is>
      </c>
      <c r="B67" s="18" t="n">
        <v>3</v>
      </c>
      <c r="C67" s="21">
        <f>SUMPRODUCT((Boxes!$B$3:$B$1084=$A67)*(Boxes!$D$3:$D$1084="CDU")*Boxes!$F$3:$F$1084)</f>
        <v/>
      </c>
      <c r="D67" s="35">
        <f>SUMPRODUCT((Boxes!$B$3:$B$1084=$A67)*(Boxes!$D$3:$D$1084="CDU")*Boxes!$J$3:$J$1084)</f>
        <v/>
      </c>
      <c r="E67" s="21">
        <f>$C67*$D67</f>
        <v/>
      </c>
      <c r="F67" s="24">
        <f>SUMPRODUCT((Boxes!$B$3:$B$1084=$A67)*(Boxes!$D$3:$D$1084="CDU")*Boxes!$O$3:$O$1084)</f>
        <v/>
      </c>
      <c r="G67" s="26">
        <f>$E67*$F67</f>
        <v/>
      </c>
      <c r="H67" s="21">
        <f>SUMPRODUCT((Boxes!$B$3:$B$1084=$A67)*(Boxes!$D$3:$D$1084="NHT")*Boxes!$F$3:$F$1084)</f>
        <v/>
      </c>
      <c r="I67" s="26">
        <f>SUMPRODUCT((Boxes!$B$3:$B$1084=$A67)*(Boxes!$D$3:$D$1084="REF")*Boxes!$F$3:$F$1084)*SUMPRODUCT((Boxes!$B$3:$B$1084=$A67)*(Boxes!$D$3:$D$1084="REF")*Boxes!$J$3:$J$1084)+SUMPRODUCT((Boxes!$B$3:$B$1084=$A67)*(Boxes!$D$3:$D$1084="CCR")*Boxes!$F$3:$F$1084)*SUMPRODUCT((Boxes!$B$3:$B$1084=$A67)*(Boxes!$D$3:$D$1084="CCR")*Boxes!$J$3:$J$1084)</f>
        <v/>
      </c>
      <c r="J67" s="26">
        <f>SUMPRODUCT((Boxes!$B$3:$B$1084=$A67)*(Boxes!$D$3:$D$1084="ISOM")*Boxes!$F$3:$F$1084)*SUMPRODUCT((Boxes!$B$3:$B$1084=$A67)*(Boxes!$D$3:$D$1084="ISOM")*Boxes!$J$3:$J$1084)</f>
        <v/>
      </c>
      <c r="K67" s="26">
        <f>SUMPRODUCT((Boxes!$A$3:$A$1084="TOTAL")*(Boxes!$B$3:$B$1084=$A67)*Boxes!$P$3:$P$1084)</f>
        <v/>
      </c>
      <c r="L67" s="25">
        <f>SUMIFS(Data!$N$3:$N$125,Data!$A$3:$A$125,$A67)</f>
        <v/>
      </c>
      <c r="M67" s="25">
        <f>IFERROR($K67/(SUMIFS(Data!$G$3:$G$125,Data!$A$3:$A$125,$A67)*$D67),"")</f>
        <v/>
      </c>
      <c r="N67" s="43">
        <f>IF($M67="","",$M67-$L67)</f>
        <v/>
      </c>
      <c r="O67" s="41">
        <f>IF(AND($H67&gt;0,$G67&gt;$H67*1.05),"SR &gt; NHT cap","")</f>
        <v/>
      </c>
    </row>
    <row r="68">
      <c r="A68" s="18" t="inlineStr">
        <is>
          <t>BUCKEYE_CORPUS_CHRISTI</t>
        </is>
      </c>
      <c r="B68" s="18" t="n">
        <v>3</v>
      </c>
      <c r="C68" s="21">
        <f>SUMPRODUCT((Boxes!$B$3:$B$1084=$A68)*(Boxes!$D$3:$D$1084="CDU")*Boxes!$F$3:$F$1084)</f>
        <v/>
      </c>
      <c r="D68" s="35">
        <f>SUMPRODUCT((Boxes!$B$3:$B$1084=$A68)*(Boxes!$D$3:$D$1084="CDU")*Boxes!$J$3:$J$1084)</f>
        <v/>
      </c>
      <c r="E68" s="21">
        <f>$C68*$D68</f>
        <v/>
      </c>
      <c r="F68" s="24">
        <f>SUMPRODUCT((Boxes!$B$3:$B$1084=$A68)*(Boxes!$D$3:$D$1084="CDU")*Boxes!$O$3:$O$1084)</f>
        <v/>
      </c>
      <c r="G68" s="26">
        <f>$E68*$F68</f>
        <v/>
      </c>
      <c r="H68" s="21">
        <f>SUMPRODUCT((Boxes!$B$3:$B$1084=$A68)*(Boxes!$D$3:$D$1084="NHT")*Boxes!$F$3:$F$1084)</f>
        <v/>
      </c>
      <c r="I68" s="26">
        <f>SUMPRODUCT((Boxes!$B$3:$B$1084=$A68)*(Boxes!$D$3:$D$1084="REF")*Boxes!$F$3:$F$1084)*SUMPRODUCT((Boxes!$B$3:$B$1084=$A68)*(Boxes!$D$3:$D$1084="REF")*Boxes!$J$3:$J$1084)+SUMPRODUCT((Boxes!$B$3:$B$1084=$A68)*(Boxes!$D$3:$D$1084="CCR")*Boxes!$F$3:$F$1084)*SUMPRODUCT((Boxes!$B$3:$B$1084=$A68)*(Boxes!$D$3:$D$1084="CCR")*Boxes!$J$3:$J$1084)</f>
        <v/>
      </c>
      <c r="J68" s="26">
        <f>SUMPRODUCT((Boxes!$B$3:$B$1084=$A68)*(Boxes!$D$3:$D$1084="ISOM")*Boxes!$F$3:$F$1084)*SUMPRODUCT((Boxes!$B$3:$B$1084=$A68)*(Boxes!$D$3:$D$1084="ISOM")*Boxes!$J$3:$J$1084)</f>
        <v/>
      </c>
      <c r="K68" s="26">
        <f>SUMPRODUCT((Boxes!$A$3:$A$1084="TOTAL")*(Boxes!$B$3:$B$1084=$A68)*Boxes!$P$3:$P$1084)</f>
        <v/>
      </c>
      <c r="L68" s="25">
        <f>SUMIFS(Data!$N$3:$N$125,Data!$A$3:$A$125,$A68)</f>
        <v/>
      </c>
      <c r="M68" s="25">
        <f>IFERROR($K68/(SUMIFS(Data!$G$3:$G$125,Data!$A$3:$A$125,$A68)*$D68),"")</f>
        <v/>
      </c>
      <c r="N68" s="43">
        <f>IF($M68="","",$M68-$L68)</f>
        <v/>
      </c>
      <c r="O68" s="41">
        <f>IF(AND($H68&gt;0,$G68&gt;$H68*1.05),"SR &gt; NHT cap","")</f>
        <v/>
      </c>
    </row>
    <row r="69">
      <c r="A69" s="18" t="inlineStr">
        <is>
          <t>CALUMET_SHREVEPORT</t>
        </is>
      </c>
      <c r="B69" s="18" t="n">
        <v>3</v>
      </c>
      <c r="C69" s="21">
        <f>SUMPRODUCT((Boxes!$B$3:$B$1084=$A69)*(Boxes!$D$3:$D$1084="CDU")*Boxes!$F$3:$F$1084)</f>
        <v/>
      </c>
      <c r="D69" s="35">
        <f>SUMPRODUCT((Boxes!$B$3:$B$1084=$A69)*(Boxes!$D$3:$D$1084="CDU")*Boxes!$J$3:$J$1084)</f>
        <v/>
      </c>
      <c r="E69" s="21">
        <f>$C69*$D69</f>
        <v/>
      </c>
      <c r="F69" s="24">
        <f>SUMPRODUCT((Boxes!$B$3:$B$1084=$A69)*(Boxes!$D$3:$D$1084="CDU")*Boxes!$O$3:$O$1084)</f>
        <v/>
      </c>
      <c r="G69" s="26">
        <f>$E69*$F69</f>
        <v/>
      </c>
      <c r="H69" s="21">
        <f>SUMPRODUCT((Boxes!$B$3:$B$1084=$A69)*(Boxes!$D$3:$D$1084="NHT")*Boxes!$F$3:$F$1084)</f>
        <v/>
      </c>
      <c r="I69" s="26">
        <f>SUMPRODUCT((Boxes!$B$3:$B$1084=$A69)*(Boxes!$D$3:$D$1084="REF")*Boxes!$F$3:$F$1084)*SUMPRODUCT((Boxes!$B$3:$B$1084=$A69)*(Boxes!$D$3:$D$1084="REF")*Boxes!$J$3:$J$1084)+SUMPRODUCT((Boxes!$B$3:$B$1084=$A69)*(Boxes!$D$3:$D$1084="CCR")*Boxes!$F$3:$F$1084)*SUMPRODUCT((Boxes!$B$3:$B$1084=$A69)*(Boxes!$D$3:$D$1084="CCR")*Boxes!$J$3:$J$1084)</f>
        <v/>
      </c>
      <c r="J69" s="26">
        <f>SUMPRODUCT((Boxes!$B$3:$B$1084=$A69)*(Boxes!$D$3:$D$1084="ISOM")*Boxes!$F$3:$F$1084)*SUMPRODUCT((Boxes!$B$3:$B$1084=$A69)*(Boxes!$D$3:$D$1084="ISOM")*Boxes!$J$3:$J$1084)</f>
        <v/>
      </c>
      <c r="K69" s="26">
        <f>SUMPRODUCT((Boxes!$A$3:$A$1084="TOTAL")*(Boxes!$B$3:$B$1084=$A69)*Boxes!$P$3:$P$1084)</f>
        <v/>
      </c>
      <c r="L69" s="25">
        <f>SUMIFS(Data!$N$3:$N$125,Data!$A$3:$A$125,$A69)</f>
        <v/>
      </c>
      <c r="M69" s="25">
        <f>IFERROR($K69/(SUMIFS(Data!$G$3:$G$125,Data!$A$3:$A$125,$A69)*$D69),"")</f>
        <v/>
      </c>
      <c r="N69" s="43">
        <f>IF($M69="","",$M69-$L69)</f>
        <v/>
      </c>
      <c r="O69" s="41">
        <f>IF(AND($H69&gt;0,$G69&gt;$H69*1.05),"SR &gt; NHT cap","")</f>
        <v/>
      </c>
    </row>
    <row r="70">
      <c r="A70" s="18" t="inlineStr">
        <is>
          <t>HUNT_TUSCALOOSA</t>
        </is>
      </c>
      <c r="B70" s="18" t="n">
        <v>3</v>
      </c>
      <c r="C70" s="21">
        <f>SUMPRODUCT((Boxes!$B$3:$B$1084=$A70)*(Boxes!$D$3:$D$1084="CDU")*Boxes!$F$3:$F$1084)</f>
        <v/>
      </c>
      <c r="D70" s="35">
        <f>SUMPRODUCT((Boxes!$B$3:$B$1084=$A70)*(Boxes!$D$3:$D$1084="CDU")*Boxes!$J$3:$J$1084)</f>
        <v/>
      </c>
      <c r="E70" s="21">
        <f>$C70*$D70</f>
        <v/>
      </c>
      <c r="F70" s="24">
        <f>SUMPRODUCT((Boxes!$B$3:$B$1084=$A70)*(Boxes!$D$3:$D$1084="CDU")*Boxes!$O$3:$O$1084)</f>
        <v/>
      </c>
      <c r="G70" s="26">
        <f>$E70*$F70</f>
        <v/>
      </c>
      <c r="H70" s="21">
        <f>SUMPRODUCT((Boxes!$B$3:$B$1084=$A70)*(Boxes!$D$3:$D$1084="NHT")*Boxes!$F$3:$F$1084)</f>
        <v/>
      </c>
      <c r="I70" s="26">
        <f>SUMPRODUCT((Boxes!$B$3:$B$1084=$A70)*(Boxes!$D$3:$D$1084="REF")*Boxes!$F$3:$F$1084)*SUMPRODUCT((Boxes!$B$3:$B$1084=$A70)*(Boxes!$D$3:$D$1084="REF")*Boxes!$J$3:$J$1084)+SUMPRODUCT((Boxes!$B$3:$B$1084=$A70)*(Boxes!$D$3:$D$1084="CCR")*Boxes!$F$3:$F$1084)*SUMPRODUCT((Boxes!$B$3:$B$1084=$A70)*(Boxes!$D$3:$D$1084="CCR")*Boxes!$J$3:$J$1084)</f>
        <v/>
      </c>
      <c r="J70" s="26">
        <f>SUMPRODUCT((Boxes!$B$3:$B$1084=$A70)*(Boxes!$D$3:$D$1084="ISOM")*Boxes!$F$3:$F$1084)*SUMPRODUCT((Boxes!$B$3:$B$1084=$A70)*(Boxes!$D$3:$D$1084="ISOM")*Boxes!$J$3:$J$1084)</f>
        <v/>
      </c>
      <c r="K70" s="26">
        <f>SUMPRODUCT((Boxes!$A$3:$A$1084="TOTAL")*(Boxes!$B$3:$B$1084=$A70)*Boxes!$P$3:$P$1084)</f>
        <v/>
      </c>
      <c r="L70" s="25">
        <f>SUMIFS(Data!$N$3:$N$125,Data!$A$3:$A$125,$A70)</f>
        <v/>
      </c>
      <c r="M70" s="25">
        <f>IFERROR($K70/(SUMIFS(Data!$G$3:$G$125,Data!$A$3:$A$125,$A70)*$D70),"")</f>
        <v/>
      </c>
      <c r="N70" s="43">
        <f>IF($M70="","",$M70-$L70)</f>
        <v/>
      </c>
      <c r="O70" s="41">
        <f>IF(AND($H70&gt;0,$G70&gt;$H70*1.05),"SR &gt; NHT cap","")</f>
        <v/>
      </c>
    </row>
    <row r="71">
      <c r="A71" s="18" t="inlineStr">
        <is>
          <t>ERGON_VICKSBURG</t>
        </is>
      </c>
      <c r="B71" s="18" t="n">
        <v>3</v>
      </c>
      <c r="C71" s="21">
        <f>SUMPRODUCT((Boxes!$B$3:$B$1084=$A71)*(Boxes!$D$3:$D$1084="CDU")*Boxes!$F$3:$F$1084)</f>
        <v/>
      </c>
      <c r="D71" s="35">
        <f>SUMPRODUCT((Boxes!$B$3:$B$1084=$A71)*(Boxes!$D$3:$D$1084="CDU")*Boxes!$J$3:$J$1084)</f>
        <v/>
      </c>
      <c r="E71" s="21">
        <f>$C71*$D71</f>
        <v/>
      </c>
      <c r="F71" s="24">
        <f>SUMPRODUCT((Boxes!$B$3:$B$1084=$A71)*(Boxes!$D$3:$D$1084="CDU")*Boxes!$O$3:$O$1084)</f>
        <v/>
      </c>
      <c r="G71" s="26">
        <f>$E71*$F71</f>
        <v/>
      </c>
      <c r="H71" s="21">
        <f>SUMPRODUCT((Boxes!$B$3:$B$1084=$A71)*(Boxes!$D$3:$D$1084="NHT")*Boxes!$F$3:$F$1084)</f>
        <v/>
      </c>
      <c r="I71" s="26">
        <f>SUMPRODUCT((Boxes!$B$3:$B$1084=$A71)*(Boxes!$D$3:$D$1084="REF")*Boxes!$F$3:$F$1084)*SUMPRODUCT((Boxes!$B$3:$B$1084=$A71)*(Boxes!$D$3:$D$1084="REF")*Boxes!$J$3:$J$1084)+SUMPRODUCT((Boxes!$B$3:$B$1084=$A71)*(Boxes!$D$3:$D$1084="CCR")*Boxes!$F$3:$F$1084)*SUMPRODUCT((Boxes!$B$3:$B$1084=$A71)*(Boxes!$D$3:$D$1084="CCR")*Boxes!$J$3:$J$1084)</f>
        <v/>
      </c>
      <c r="J71" s="26">
        <f>SUMPRODUCT((Boxes!$B$3:$B$1084=$A71)*(Boxes!$D$3:$D$1084="ISOM")*Boxes!$F$3:$F$1084)*SUMPRODUCT((Boxes!$B$3:$B$1084=$A71)*(Boxes!$D$3:$D$1084="ISOM")*Boxes!$J$3:$J$1084)</f>
        <v/>
      </c>
      <c r="K71" s="26">
        <f>SUMPRODUCT((Boxes!$A$3:$A$1084="TOTAL")*(Boxes!$B$3:$B$1084=$A71)*Boxes!$P$3:$P$1084)</f>
        <v/>
      </c>
      <c r="L71" s="25">
        <f>SUMIFS(Data!$N$3:$N$125,Data!$A$3:$A$125,$A71)</f>
        <v/>
      </c>
      <c r="M71" s="25">
        <f>IFERROR($K71/(SUMIFS(Data!$G$3:$G$125,Data!$A$3:$A$125,$A71)*$D71),"")</f>
        <v/>
      </c>
      <c r="N71" s="43">
        <f>IF($M71="","",$M71-$L71)</f>
        <v/>
      </c>
      <c r="O71" s="41">
        <f>IF(AND($H71&gt;0,$G71&gt;$H71*1.05),"SR &gt; NHT cap","")</f>
        <v/>
      </c>
    </row>
    <row r="72">
      <c r="A72" s="18" t="inlineStr">
        <is>
          <t>LAZARUS_SAN_ANTONIO</t>
        </is>
      </c>
      <c r="B72" s="18" t="n">
        <v>3</v>
      </c>
      <c r="C72" s="21">
        <f>SUMPRODUCT((Boxes!$B$3:$B$1084=$A72)*(Boxes!$D$3:$D$1084="CDU")*Boxes!$F$3:$F$1084)</f>
        <v/>
      </c>
      <c r="D72" s="35">
        <f>SUMPRODUCT((Boxes!$B$3:$B$1084=$A72)*(Boxes!$D$3:$D$1084="CDU")*Boxes!$J$3:$J$1084)</f>
        <v/>
      </c>
      <c r="E72" s="21">
        <f>$C72*$D72</f>
        <v/>
      </c>
      <c r="F72" s="24">
        <f>SUMPRODUCT((Boxes!$B$3:$B$1084=$A72)*(Boxes!$D$3:$D$1084="CDU")*Boxes!$O$3:$O$1084)</f>
        <v/>
      </c>
      <c r="G72" s="26">
        <f>$E72*$F72</f>
        <v/>
      </c>
      <c r="H72" s="21">
        <f>SUMPRODUCT((Boxes!$B$3:$B$1084=$A72)*(Boxes!$D$3:$D$1084="NHT")*Boxes!$F$3:$F$1084)</f>
        <v/>
      </c>
      <c r="I72" s="26">
        <f>SUMPRODUCT((Boxes!$B$3:$B$1084=$A72)*(Boxes!$D$3:$D$1084="REF")*Boxes!$F$3:$F$1084)*SUMPRODUCT((Boxes!$B$3:$B$1084=$A72)*(Boxes!$D$3:$D$1084="REF")*Boxes!$J$3:$J$1084)+SUMPRODUCT((Boxes!$B$3:$B$1084=$A72)*(Boxes!$D$3:$D$1084="CCR")*Boxes!$F$3:$F$1084)*SUMPRODUCT((Boxes!$B$3:$B$1084=$A72)*(Boxes!$D$3:$D$1084="CCR")*Boxes!$J$3:$J$1084)</f>
        <v/>
      </c>
      <c r="J72" s="26">
        <f>SUMPRODUCT((Boxes!$B$3:$B$1084=$A72)*(Boxes!$D$3:$D$1084="ISOM")*Boxes!$F$3:$F$1084)*SUMPRODUCT((Boxes!$B$3:$B$1084=$A72)*(Boxes!$D$3:$D$1084="ISOM")*Boxes!$J$3:$J$1084)</f>
        <v/>
      </c>
      <c r="K72" s="26">
        <f>SUMPRODUCT((Boxes!$A$3:$A$1084="TOTAL")*(Boxes!$B$3:$B$1084=$A72)*Boxes!$P$3:$P$1084)</f>
        <v/>
      </c>
      <c r="L72" s="25">
        <f>SUMIFS(Data!$N$3:$N$125,Data!$A$3:$A$125,$A72)</f>
        <v/>
      </c>
      <c r="M72" s="25">
        <f>IFERROR($K72/(SUMIFS(Data!$G$3:$G$125,Data!$A$3:$A$125,$A72)*$D72),"")</f>
        <v/>
      </c>
      <c r="N72" s="43">
        <f>IF($M72="","",$M72-$L72)</f>
        <v/>
      </c>
      <c r="O72" s="41">
        <f>IF(AND($H72&gt;0,$G72&gt;$H72*1.05),"SR &gt; NHT cap","")</f>
        <v/>
      </c>
    </row>
    <row r="73">
      <c r="A73" s="18" t="inlineStr">
        <is>
          <t>BLUE_NIXON</t>
        </is>
      </c>
      <c r="B73" s="18" t="n">
        <v>3</v>
      </c>
      <c r="C73" s="21">
        <f>SUMPRODUCT((Boxes!$B$3:$B$1084=$A73)*(Boxes!$D$3:$D$1084="CDU")*Boxes!$F$3:$F$1084)</f>
        <v/>
      </c>
      <c r="D73" s="35">
        <f>SUMPRODUCT((Boxes!$B$3:$B$1084=$A73)*(Boxes!$D$3:$D$1084="CDU")*Boxes!$J$3:$J$1084)</f>
        <v/>
      </c>
      <c r="E73" s="21">
        <f>$C73*$D73</f>
        <v/>
      </c>
      <c r="F73" s="24">
        <f>SUMPRODUCT((Boxes!$B$3:$B$1084=$A73)*(Boxes!$D$3:$D$1084="CDU")*Boxes!$O$3:$O$1084)</f>
        <v/>
      </c>
      <c r="G73" s="26">
        <f>$E73*$F73</f>
        <v/>
      </c>
      <c r="H73" s="21">
        <f>SUMPRODUCT((Boxes!$B$3:$B$1084=$A73)*(Boxes!$D$3:$D$1084="NHT")*Boxes!$F$3:$F$1084)</f>
        <v/>
      </c>
      <c r="I73" s="26">
        <f>SUMPRODUCT((Boxes!$B$3:$B$1084=$A73)*(Boxes!$D$3:$D$1084="REF")*Boxes!$F$3:$F$1084)*SUMPRODUCT((Boxes!$B$3:$B$1084=$A73)*(Boxes!$D$3:$D$1084="REF")*Boxes!$J$3:$J$1084)+SUMPRODUCT((Boxes!$B$3:$B$1084=$A73)*(Boxes!$D$3:$D$1084="CCR")*Boxes!$F$3:$F$1084)*SUMPRODUCT((Boxes!$B$3:$B$1084=$A73)*(Boxes!$D$3:$D$1084="CCR")*Boxes!$J$3:$J$1084)</f>
        <v/>
      </c>
      <c r="J73" s="26">
        <f>SUMPRODUCT((Boxes!$B$3:$B$1084=$A73)*(Boxes!$D$3:$D$1084="ISOM")*Boxes!$F$3:$F$1084)*SUMPRODUCT((Boxes!$B$3:$B$1084=$A73)*(Boxes!$D$3:$D$1084="ISOM")*Boxes!$J$3:$J$1084)</f>
        <v/>
      </c>
      <c r="K73" s="26">
        <f>SUMPRODUCT((Boxes!$A$3:$A$1084="TOTAL")*(Boxes!$B$3:$B$1084=$A73)*Boxes!$P$3:$P$1084)</f>
        <v/>
      </c>
      <c r="L73" s="25">
        <f>SUMIFS(Data!$N$3:$N$125,Data!$A$3:$A$125,$A73)</f>
        <v/>
      </c>
      <c r="M73" s="25">
        <f>IFERROR($K73/(SUMIFS(Data!$G$3:$G$125,Data!$A$3:$A$125,$A73)*$D73),"")</f>
        <v/>
      </c>
      <c r="N73" s="43">
        <f>IF($M73="","",$M73-$L73)</f>
        <v/>
      </c>
      <c r="O73" s="41">
        <f>IF(AND($H73&gt;0,$G73&gt;$H73*1.05),"SR &gt; NHT cap","")</f>
        <v/>
      </c>
    </row>
    <row r="74">
      <c r="A74" s="18" t="inlineStr">
        <is>
          <t>CALUMET_COTTON_VALLEY</t>
        </is>
      </c>
      <c r="B74" s="18" t="n">
        <v>3</v>
      </c>
      <c r="C74" s="21">
        <f>SUMPRODUCT((Boxes!$B$3:$B$1084=$A74)*(Boxes!$D$3:$D$1084="CDU")*Boxes!$F$3:$F$1084)</f>
        <v/>
      </c>
      <c r="D74" s="35">
        <f>SUMPRODUCT((Boxes!$B$3:$B$1084=$A74)*(Boxes!$D$3:$D$1084="CDU")*Boxes!$J$3:$J$1084)</f>
        <v/>
      </c>
      <c r="E74" s="21">
        <f>$C74*$D74</f>
        <v/>
      </c>
      <c r="F74" s="24">
        <f>SUMPRODUCT((Boxes!$B$3:$B$1084=$A74)*(Boxes!$D$3:$D$1084="CDU")*Boxes!$O$3:$O$1084)</f>
        <v/>
      </c>
      <c r="G74" s="26">
        <f>$E74*$F74</f>
        <v/>
      </c>
      <c r="H74" s="21">
        <f>SUMPRODUCT((Boxes!$B$3:$B$1084=$A74)*(Boxes!$D$3:$D$1084="NHT")*Boxes!$F$3:$F$1084)</f>
        <v/>
      </c>
      <c r="I74" s="26">
        <f>SUMPRODUCT((Boxes!$B$3:$B$1084=$A74)*(Boxes!$D$3:$D$1084="REF")*Boxes!$F$3:$F$1084)*SUMPRODUCT((Boxes!$B$3:$B$1084=$A74)*(Boxes!$D$3:$D$1084="REF")*Boxes!$J$3:$J$1084)+SUMPRODUCT((Boxes!$B$3:$B$1084=$A74)*(Boxes!$D$3:$D$1084="CCR")*Boxes!$F$3:$F$1084)*SUMPRODUCT((Boxes!$B$3:$B$1084=$A74)*(Boxes!$D$3:$D$1084="CCR")*Boxes!$J$3:$J$1084)</f>
        <v/>
      </c>
      <c r="J74" s="26">
        <f>SUMPRODUCT((Boxes!$B$3:$B$1084=$A74)*(Boxes!$D$3:$D$1084="ISOM")*Boxes!$F$3:$F$1084)*SUMPRODUCT((Boxes!$B$3:$B$1084=$A74)*(Boxes!$D$3:$D$1084="ISOM")*Boxes!$J$3:$J$1084)</f>
        <v/>
      </c>
      <c r="K74" s="26">
        <f>SUMPRODUCT((Boxes!$A$3:$A$1084="TOTAL")*(Boxes!$B$3:$B$1084=$A74)*Boxes!$P$3:$P$1084)</f>
        <v/>
      </c>
      <c r="L74" s="25">
        <f>SUMIFS(Data!$N$3:$N$125,Data!$A$3:$A$125,$A74)</f>
        <v/>
      </c>
      <c r="M74" s="25">
        <f>IFERROR($K74/(SUMIFS(Data!$G$3:$G$125,Data!$A$3:$A$125,$A74)*$D74),"")</f>
        <v/>
      </c>
      <c r="N74" s="43">
        <f>IF($M74="","",$M74-$L74)</f>
        <v/>
      </c>
      <c r="O74" s="41">
        <f>IF(AND($H74&gt;0,$G74&gt;$H74*1.05),"SR &gt; NHT cap","")</f>
        <v/>
      </c>
    </row>
    <row r="75">
      <c r="A75" s="18" t="inlineStr">
        <is>
          <t>HUNT_SANDERSVILLE</t>
        </is>
      </c>
      <c r="B75" s="18" t="n">
        <v>3</v>
      </c>
      <c r="C75" s="21">
        <f>SUMPRODUCT((Boxes!$B$3:$B$1084=$A75)*(Boxes!$D$3:$D$1084="CDU")*Boxes!$F$3:$F$1084)</f>
        <v/>
      </c>
      <c r="D75" s="35">
        <f>SUMPRODUCT((Boxes!$B$3:$B$1084=$A75)*(Boxes!$D$3:$D$1084="CDU")*Boxes!$J$3:$J$1084)</f>
        <v/>
      </c>
      <c r="E75" s="21">
        <f>$C75*$D75</f>
        <v/>
      </c>
      <c r="F75" s="24">
        <f>SUMPRODUCT((Boxes!$B$3:$B$1084=$A75)*(Boxes!$D$3:$D$1084="CDU")*Boxes!$O$3:$O$1084)</f>
        <v/>
      </c>
      <c r="G75" s="26">
        <f>$E75*$F75</f>
        <v/>
      </c>
      <c r="H75" s="21">
        <f>SUMPRODUCT((Boxes!$B$3:$B$1084=$A75)*(Boxes!$D$3:$D$1084="NHT")*Boxes!$F$3:$F$1084)</f>
        <v/>
      </c>
      <c r="I75" s="26">
        <f>SUMPRODUCT((Boxes!$B$3:$B$1084=$A75)*(Boxes!$D$3:$D$1084="REF")*Boxes!$F$3:$F$1084)*SUMPRODUCT((Boxes!$B$3:$B$1084=$A75)*(Boxes!$D$3:$D$1084="REF")*Boxes!$J$3:$J$1084)+SUMPRODUCT((Boxes!$B$3:$B$1084=$A75)*(Boxes!$D$3:$D$1084="CCR")*Boxes!$F$3:$F$1084)*SUMPRODUCT((Boxes!$B$3:$B$1084=$A75)*(Boxes!$D$3:$D$1084="CCR")*Boxes!$J$3:$J$1084)</f>
        <v/>
      </c>
      <c r="J75" s="26">
        <f>SUMPRODUCT((Boxes!$B$3:$B$1084=$A75)*(Boxes!$D$3:$D$1084="ISOM")*Boxes!$F$3:$F$1084)*SUMPRODUCT((Boxes!$B$3:$B$1084=$A75)*(Boxes!$D$3:$D$1084="ISOM")*Boxes!$J$3:$J$1084)</f>
        <v/>
      </c>
      <c r="K75" s="26">
        <f>SUMPRODUCT((Boxes!$A$3:$A$1084="TOTAL")*(Boxes!$B$3:$B$1084=$A75)*Boxes!$P$3:$P$1084)</f>
        <v/>
      </c>
      <c r="L75" s="25">
        <f>SUMIFS(Data!$N$3:$N$125,Data!$A$3:$A$125,$A75)</f>
        <v/>
      </c>
      <c r="M75" s="25">
        <f>IFERROR($K75/(SUMIFS(Data!$G$3:$G$125,Data!$A$3:$A$125,$A75)*$D75),"")</f>
        <v/>
      </c>
      <c r="N75" s="43">
        <f>IF($M75="","",$M75-$L75)</f>
        <v/>
      </c>
      <c r="O75" s="41">
        <f>IF(AND($H75&gt;0,$G75&gt;$H75*1.05),"SR &gt; NHT cap","")</f>
        <v/>
      </c>
    </row>
    <row r="76">
      <c r="A76" s="18" t="inlineStr">
        <is>
          <t>CALUMET_PRINCETON</t>
        </is>
      </c>
      <c r="B76" s="18" t="n">
        <v>3</v>
      </c>
      <c r="C76" s="21">
        <f>SUMPRODUCT((Boxes!$B$3:$B$1084=$A76)*(Boxes!$D$3:$D$1084="CDU")*Boxes!$F$3:$F$1084)</f>
        <v/>
      </c>
      <c r="D76" s="35">
        <f>SUMPRODUCT((Boxes!$B$3:$B$1084=$A76)*(Boxes!$D$3:$D$1084="CDU")*Boxes!$J$3:$J$1084)</f>
        <v/>
      </c>
      <c r="E76" s="21">
        <f>$C76*$D76</f>
        <v/>
      </c>
      <c r="F76" s="24">
        <f>SUMPRODUCT((Boxes!$B$3:$B$1084=$A76)*(Boxes!$D$3:$D$1084="CDU")*Boxes!$O$3:$O$1084)</f>
        <v/>
      </c>
      <c r="G76" s="26">
        <f>$E76*$F76</f>
        <v/>
      </c>
      <c r="H76" s="21">
        <f>SUMPRODUCT((Boxes!$B$3:$B$1084=$A76)*(Boxes!$D$3:$D$1084="NHT")*Boxes!$F$3:$F$1084)</f>
        <v/>
      </c>
      <c r="I76" s="26">
        <f>SUMPRODUCT((Boxes!$B$3:$B$1084=$A76)*(Boxes!$D$3:$D$1084="REF")*Boxes!$F$3:$F$1084)*SUMPRODUCT((Boxes!$B$3:$B$1084=$A76)*(Boxes!$D$3:$D$1084="REF")*Boxes!$J$3:$J$1084)+SUMPRODUCT((Boxes!$B$3:$B$1084=$A76)*(Boxes!$D$3:$D$1084="CCR")*Boxes!$F$3:$F$1084)*SUMPRODUCT((Boxes!$B$3:$B$1084=$A76)*(Boxes!$D$3:$D$1084="CCR")*Boxes!$J$3:$J$1084)</f>
        <v/>
      </c>
      <c r="J76" s="26">
        <f>SUMPRODUCT((Boxes!$B$3:$B$1084=$A76)*(Boxes!$D$3:$D$1084="ISOM")*Boxes!$F$3:$F$1084)*SUMPRODUCT((Boxes!$B$3:$B$1084=$A76)*(Boxes!$D$3:$D$1084="ISOM")*Boxes!$J$3:$J$1084)</f>
        <v/>
      </c>
      <c r="K76" s="26">
        <f>SUMPRODUCT((Boxes!$A$3:$A$1084="TOTAL")*(Boxes!$B$3:$B$1084=$A76)*Boxes!$P$3:$P$1084)</f>
        <v/>
      </c>
      <c r="L76" s="25">
        <f>SUMIFS(Data!$N$3:$N$125,Data!$A$3:$A$125,$A76)</f>
        <v/>
      </c>
      <c r="M76" s="25">
        <f>IFERROR($K76/(SUMIFS(Data!$G$3:$G$125,Data!$A$3:$A$125,$A76)*$D76),"")</f>
        <v/>
      </c>
      <c r="N76" s="43">
        <f>IF($M76="","",$M76-$L76)</f>
        <v/>
      </c>
      <c r="O76" s="41">
        <f>IF(AND($H76&gt;0,$G76&gt;$H76*1.05),"SR &gt; NHT cap","")</f>
        <v/>
      </c>
    </row>
    <row r="77">
      <c r="A77" s="18" t="inlineStr">
        <is>
          <t>CROSS_SMACKOVER</t>
        </is>
      </c>
      <c r="B77" s="18" t="n">
        <v>3</v>
      </c>
      <c r="C77" s="21">
        <f>SUMPRODUCT((Boxes!$B$3:$B$1084=$A77)*(Boxes!$D$3:$D$1084="CDU")*Boxes!$F$3:$F$1084)</f>
        <v/>
      </c>
      <c r="D77" s="35">
        <f>SUMPRODUCT((Boxes!$B$3:$B$1084=$A77)*(Boxes!$D$3:$D$1084="CDU")*Boxes!$J$3:$J$1084)</f>
        <v/>
      </c>
      <c r="E77" s="21">
        <f>$C77*$D77</f>
        <v/>
      </c>
      <c r="F77" s="24">
        <f>SUMPRODUCT((Boxes!$B$3:$B$1084=$A77)*(Boxes!$D$3:$D$1084="CDU")*Boxes!$O$3:$O$1084)</f>
        <v/>
      </c>
      <c r="G77" s="26">
        <f>$E77*$F77</f>
        <v/>
      </c>
      <c r="H77" s="21">
        <f>SUMPRODUCT((Boxes!$B$3:$B$1084=$A77)*(Boxes!$D$3:$D$1084="NHT")*Boxes!$F$3:$F$1084)</f>
        <v/>
      </c>
      <c r="I77" s="26">
        <f>SUMPRODUCT((Boxes!$B$3:$B$1084=$A77)*(Boxes!$D$3:$D$1084="REF")*Boxes!$F$3:$F$1084)*SUMPRODUCT((Boxes!$B$3:$B$1084=$A77)*(Boxes!$D$3:$D$1084="REF")*Boxes!$J$3:$J$1084)+SUMPRODUCT((Boxes!$B$3:$B$1084=$A77)*(Boxes!$D$3:$D$1084="CCR")*Boxes!$F$3:$F$1084)*SUMPRODUCT((Boxes!$B$3:$B$1084=$A77)*(Boxes!$D$3:$D$1084="CCR")*Boxes!$J$3:$J$1084)</f>
        <v/>
      </c>
      <c r="J77" s="26">
        <f>SUMPRODUCT((Boxes!$B$3:$B$1084=$A77)*(Boxes!$D$3:$D$1084="ISOM")*Boxes!$F$3:$F$1084)*SUMPRODUCT((Boxes!$B$3:$B$1084=$A77)*(Boxes!$D$3:$D$1084="ISOM")*Boxes!$J$3:$J$1084)</f>
        <v/>
      </c>
      <c r="K77" s="26">
        <f>SUMPRODUCT((Boxes!$A$3:$A$1084="TOTAL")*(Boxes!$B$3:$B$1084=$A77)*Boxes!$P$3:$P$1084)</f>
        <v/>
      </c>
      <c r="L77" s="25">
        <f>SUMIFS(Data!$N$3:$N$125,Data!$A$3:$A$125,$A77)</f>
        <v/>
      </c>
      <c r="M77" s="25">
        <f>IFERROR($K77/(SUMIFS(Data!$G$3:$G$125,Data!$A$3:$A$125,$A77)*$D77),"")</f>
        <v/>
      </c>
      <c r="N77" s="43">
        <f>IF($M77="","",$M77-$L77)</f>
        <v/>
      </c>
      <c r="O77" s="41">
        <f>IF(AND($H77&gt;0,$G77&gt;$H77*1.05),"SR &gt; NHT cap","")</f>
        <v/>
      </c>
    </row>
    <row r="78">
      <c r="A78" s="18" t="inlineStr">
        <is>
          <t>GOODWAY_ATMORE</t>
        </is>
      </c>
      <c r="B78" s="18" t="n">
        <v>3</v>
      </c>
      <c r="C78" s="21">
        <f>SUMPRODUCT((Boxes!$B$3:$B$1084=$A78)*(Boxes!$D$3:$D$1084="CDU")*Boxes!$F$3:$F$1084)</f>
        <v/>
      </c>
      <c r="D78" s="35">
        <f>SUMPRODUCT((Boxes!$B$3:$B$1084=$A78)*(Boxes!$D$3:$D$1084="CDU")*Boxes!$J$3:$J$1084)</f>
        <v/>
      </c>
      <c r="E78" s="21">
        <f>$C78*$D78</f>
        <v/>
      </c>
      <c r="F78" s="24">
        <f>SUMPRODUCT((Boxes!$B$3:$B$1084=$A78)*(Boxes!$D$3:$D$1084="CDU")*Boxes!$O$3:$O$1084)</f>
        <v/>
      </c>
      <c r="G78" s="26">
        <f>$E78*$F78</f>
        <v/>
      </c>
      <c r="H78" s="21">
        <f>SUMPRODUCT((Boxes!$B$3:$B$1084=$A78)*(Boxes!$D$3:$D$1084="NHT")*Boxes!$F$3:$F$1084)</f>
        <v/>
      </c>
      <c r="I78" s="26">
        <f>SUMPRODUCT((Boxes!$B$3:$B$1084=$A78)*(Boxes!$D$3:$D$1084="REF")*Boxes!$F$3:$F$1084)*SUMPRODUCT((Boxes!$B$3:$B$1084=$A78)*(Boxes!$D$3:$D$1084="REF")*Boxes!$J$3:$J$1084)+SUMPRODUCT((Boxes!$B$3:$B$1084=$A78)*(Boxes!$D$3:$D$1084="CCR")*Boxes!$F$3:$F$1084)*SUMPRODUCT((Boxes!$B$3:$B$1084=$A78)*(Boxes!$D$3:$D$1084="CCR")*Boxes!$J$3:$J$1084)</f>
        <v/>
      </c>
      <c r="J78" s="26">
        <f>SUMPRODUCT((Boxes!$B$3:$B$1084=$A78)*(Boxes!$D$3:$D$1084="ISOM")*Boxes!$F$3:$F$1084)*SUMPRODUCT((Boxes!$B$3:$B$1084=$A78)*(Boxes!$D$3:$D$1084="ISOM")*Boxes!$J$3:$J$1084)</f>
        <v/>
      </c>
      <c r="K78" s="26">
        <f>SUMPRODUCT((Boxes!$A$3:$A$1084="TOTAL")*(Boxes!$B$3:$B$1084=$A78)*Boxes!$P$3:$P$1084)</f>
        <v/>
      </c>
      <c r="L78" s="25">
        <f>SUMIFS(Data!$N$3:$N$125,Data!$A$3:$A$125,$A78)</f>
        <v/>
      </c>
      <c r="M78" s="25">
        <f>IFERROR($K78/(SUMIFS(Data!$G$3:$G$125,Data!$A$3:$A$125,$A78)*$D78),"")</f>
        <v/>
      </c>
      <c r="N78" s="43">
        <f>IF($M78="","",$M78-$L78)</f>
        <v/>
      </c>
      <c r="O78" s="41">
        <f>IF(AND($H78&gt;0,$G78&gt;$H78*1.05),"SR &gt; NHT cap","")</f>
        <v/>
      </c>
    </row>
    <row r="79">
      <c r="A79" s="18" t="inlineStr">
        <is>
          <t>SUNCOR_DENVER</t>
        </is>
      </c>
      <c r="B79" s="18" t="n">
        <v>4</v>
      </c>
      <c r="C79" s="21">
        <f>SUMPRODUCT((Boxes!$B$3:$B$1084=$A79)*(Boxes!$D$3:$D$1084="CDU")*Boxes!$F$3:$F$1084)</f>
        <v/>
      </c>
      <c r="D79" s="35">
        <f>SUMPRODUCT((Boxes!$B$3:$B$1084=$A79)*(Boxes!$D$3:$D$1084="CDU")*Boxes!$J$3:$J$1084)</f>
        <v/>
      </c>
      <c r="E79" s="21">
        <f>$C79*$D79</f>
        <v/>
      </c>
      <c r="F79" s="24">
        <f>SUMPRODUCT((Boxes!$B$3:$B$1084=$A79)*(Boxes!$D$3:$D$1084="CDU")*Boxes!$O$3:$O$1084)</f>
        <v/>
      </c>
      <c r="G79" s="26">
        <f>$E79*$F79</f>
        <v/>
      </c>
      <c r="H79" s="21">
        <f>SUMPRODUCT((Boxes!$B$3:$B$1084=$A79)*(Boxes!$D$3:$D$1084="NHT")*Boxes!$F$3:$F$1084)</f>
        <v/>
      </c>
      <c r="I79" s="26">
        <f>SUMPRODUCT((Boxes!$B$3:$B$1084=$A79)*(Boxes!$D$3:$D$1084="REF")*Boxes!$F$3:$F$1084)*SUMPRODUCT((Boxes!$B$3:$B$1084=$A79)*(Boxes!$D$3:$D$1084="REF")*Boxes!$J$3:$J$1084)+SUMPRODUCT((Boxes!$B$3:$B$1084=$A79)*(Boxes!$D$3:$D$1084="CCR")*Boxes!$F$3:$F$1084)*SUMPRODUCT((Boxes!$B$3:$B$1084=$A79)*(Boxes!$D$3:$D$1084="CCR")*Boxes!$J$3:$J$1084)</f>
        <v/>
      </c>
      <c r="J79" s="26">
        <f>SUMPRODUCT((Boxes!$B$3:$B$1084=$A79)*(Boxes!$D$3:$D$1084="ISOM")*Boxes!$F$3:$F$1084)*SUMPRODUCT((Boxes!$B$3:$B$1084=$A79)*(Boxes!$D$3:$D$1084="ISOM")*Boxes!$J$3:$J$1084)</f>
        <v/>
      </c>
      <c r="K79" s="26">
        <f>SUMPRODUCT((Boxes!$A$3:$A$1084="TOTAL")*(Boxes!$B$3:$B$1084=$A79)*Boxes!$P$3:$P$1084)</f>
        <v/>
      </c>
      <c r="L79" s="25">
        <f>SUMIFS(Data!$N$3:$N$125,Data!$A$3:$A$125,$A79)</f>
        <v/>
      </c>
      <c r="M79" s="25">
        <f>IFERROR($K79/(SUMIFS(Data!$G$3:$G$125,Data!$A$3:$A$125,$A79)*$D79),"")</f>
        <v/>
      </c>
      <c r="N79" s="43">
        <f>IF($M79="","",$M79-$L79)</f>
        <v/>
      </c>
      <c r="O79" s="41">
        <f>IF(AND($H79&gt;0,$G79&gt;$H79*1.05),"SR &gt; NHT cap","")</f>
        <v/>
      </c>
    </row>
    <row r="80">
      <c r="A80" s="18" t="inlineStr">
        <is>
          <t>SINCLAIR_SINCLAIR</t>
        </is>
      </c>
      <c r="B80" s="18" t="n">
        <v>4</v>
      </c>
      <c r="C80" s="21">
        <f>SUMPRODUCT((Boxes!$B$3:$B$1084=$A80)*(Boxes!$D$3:$D$1084="CDU")*Boxes!$F$3:$F$1084)</f>
        <v/>
      </c>
      <c r="D80" s="35">
        <f>SUMPRODUCT((Boxes!$B$3:$B$1084=$A80)*(Boxes!$D$3:$D$1084="CDU")*Boxes!$J$3:$J$1084)</f>
        <v/>
      </c>
      <c r="E80" s="21">
        <f>$C80*$D80</f>
        <v/>
      </c>
      <c r="F80" s="24">
        <f>SUMPRODUCT((Boxes!$B$3:$B$1084=$A80)*(Boxes!$D$3:$D$1084="CDU")*Boxes!$O$3:$O$1084)</f>
        <v/>
      </c>
      <c r="G80" s="26">
        <f>$E80*$F80</f>
        <v/>
      </c>
      <c r="H80" s="21">
        <f>SUMPRODUCT((Boxes!$B$3:$B$1084=$A80)*(Boxes!$D$3:$D$1084="NHT")*Boxes!$F$3:$F$1084)</f>
        <v/>
      </c>
      <c r="I80" s="26">
        <f>SUMPRODUCT((Boxes!$B$3:$B$1084=$A80)*(Boxes!$D$3:$D$1084="REF")*Boxes!$F$3:$F$1084)*SUMPRODUCT((Boxes!$B$3:$B$1084=$A80)*(Boxes!$D$3:$D$1084="REF")*Boxes!$J$3:$J$1084)+SUMPRODUCT((Boxes!$B$3:$B$1084=$A80)*(Boxes!$D$3:$D$1084="CCR")*Boxes!$F$3:$F$1084)*SUMPRODUCT((Boxes!$B$3:$B$1084=$A80)*(Boxes!$D$3:$D$1084="CCR")*Boxes!$J$3:$J$1084)</f>
        <v/>
      </c>
      <c r="J80" s="26">
        <f>SUMPRODUCT((Boxes!$B$3:$B$1084=$A80)*(Boxes!$D$3:$D$1084="ISOM")*Boxes!$F$3:$F$1084)*SUMPRODUCT((Boxes!$B$3:$B$1084=$A80)*(Boxes!$D$3:$D$1084="ISOM")*Boxes!$J$3:$J$1084)</f>
        <v/>
      </c>
      <c r="K80" s="26">
        <f>SUMPRODUCT((Boxes!$A$3:$A$1084="TOTAL")*(Boxes!$B$3:$B$1084=$A80)*Boxes!$P$3:$P$1084)</f>
        <v/>
      </c>
      <c r="L80" s="25">
        <f>SUMIFS(Data!$N$3:$N$125,Data!$A$3:$A$125,$A80)</f>
        <v/>
      </c>
      <c r="M80" s="25">
        <f>IFERROR($K80/(SUMIFS(Data!$G$3:$G$125,Data!$A$3:$A$125,$A80)*$D80),"")</f>
        <v/>
      </c>
      <c r="N80" s="43">
        <f>IF($M80="","",$M80-$L80)</f>
        <v/>
      </c>
      <c r="O80" s="41">
        <f>IF(AND($H80&gt;0,$G80&gt;$H80*1.05),"SR &gt; NHT cap","")</f>
        <v/>
      </c>
    </row>
    <row r="81">
      <c r="A81" s="18" t="inlineStr">
        <is>
          <t>MARATHON_SALT_LAKE_CITY</t>
        </is>
      </c>
      <c r="B81" s="18" t="n">
        <v>4</v>
      </c>
      <c r="C81" s="21">
        <f>SUMPRODUCT((Boxes!$B$3:$B$1084=$A81)*(Boxes!$D$3:$D$1084="CDU")*Boxes!$F$3:$F$1084)</f>
        <v/>
      </c>
      <c r="D81" s="35">
        <f>SUMPRODUCT((Boxes!$B$3:$B$1084=$A81)*(Boxes!$D$3:$D$1084="CDU")*Boxes!$J$3:$J$1084)</f>
        <v/>
      </c>
      <c r="E81" s="21">
        <f>$C81*$D81</f>
        <v/>
      </c>
      <c r="F81" s="24">
        <f>SUMPRODUCT((Boxes!$B$3:$B$1084=$A81)*(Boxes!$D$3:$D$1084="CDU")*Boxes!$O$3:$O$1084)</f>
        <v/>
      </c>
      <c r="G81" s="26">
        <f>$E81*$F81</f>
        <v/>
      </c>
      <c r="H81" s="21">
        <f>SUMPRODUCT((Boxes!$B$3:$B$1084=$A81)*(Boxes!$D$3:$D$1084="NHT")*Boxes!$F$3:$F$1084)</f>
        <v/>
      </c>
      <c r="I81" s="26">
        <f>SUMPRODUCT((Boxes!$B$3:$B$1084=$A81)*(Boxes!$D$3:$D$1084="REF")*Boxes!$F$3:$F$1084)*SUMPRODUCT((Boxes!$B$3:$B$1084=$A81)*(Boxes!$D$3:$D$1084="REF")*Boxes!$J$3:$J$1084)+SUMPRODUCT((Boxes!$B$3:$B$1084=$A81)*(Boxes!$D$3:$D$1084="CCR")*Boxes!$F$3:$F$1084)*SUMPRODUCT((Boxes!$B$3:$B$1084=$A81)*(Boxes!$D$3:$D$1084="CCR")*Boxes!$J$3:$J$1084)</f>
        <v/>
      </c>
      <c r="J81" s="26">
        <f>SUMPRODUCT((Boxes!$B$3:$B$1084=$A81)*(Boxes!$D$3:$D$1084="ISOM")*Boxes!$F$3:$F$1084)*SUMPRODUCT((Boxes!$B$3:$B$1084=$A81)*(Boxes!$D$3:$D$1084="ISOM")*Boxes!$J$3:$J$1084)</f>
        <v/>
      </c>
      <c r="K81" s="26">
        <f>SUMPRODUCT((Boxes!$A$3:$A$1084="TOTAL")*(Boxes!$B$3:$B$1084=$A81)*Boxes!$P$3:$P$1084)</f>
        <v/>
      </c>
      <c r="L81" s="25">
        <f>SUMIFS(Data!$N$3:$N$125,Data!$A$3:$A$125,$A81)</f>
        <v/>
      </c>
      <c r="M81" s="25">
        <f>IFERROR($K81/(SUMIFS(Data!$G$3:$G$125,Data!$A$3:$A$125,$A81)*$D81),"")</f>
        <v/>
      </c>
      <c r="N81" s="43">
        <f>IF($M81="","",$M81-$L81)</f>
        <v/>
      </c>
      <c r="O81" s="41">
        <f>IF(AND($H81&gt;0,$G81&gt;$H81*1.05),"SR &gt; NHT cap","")</f>
        <v/>
      </c>
    </row>
    <row r="82">
      <c r="A82" s="18" t="inlineStr">
        <is>
          <t>PHILLIPS_BILLINGS</t>
        </is>
      </c>
      <c r="B82" s="18" t="n">
        <v>4</v>
      </c>
      <c r="C82" s="21">
        <f>SUMPRODUCT((Boxes!$B$3:$B$1084=$A82)*(Boxes!$D$3:$D$1084="CDU")*Boxes!$F$3:$F$1084)</f>
        <v/>
      </c>
      <c r="D82" s="35">
        <f>SUMPRODUCT((Boxes!$B$3:$B$1084=$A82)*(Boxes!$D$3:$D$1084="CDU")*Boxes!$J$3:$J$1084)</f>
        <v/>
      </c>
      <c r="E82" s="21">
        <f>$C82*$D82</f>
        <v/>
      </c>
      <c r="F82" s="24">
        <f>SUMPRODUCT((Boxes!$B$3:$B$1084=$A82)*(Boxes!$D$3:$D$1084="CDU")*Boxes!$O$3:$O$1084)</f>
        <v/>
      </c>
      <c r="G82" s="26">
        <f>$E82*$F82</f>
        <v/>
      </c>
      <c r="H82" s="21">
        <f>SUMPRODUCT((Boxes!$B$3:$B$1084=$A82)*(Boxes!$D$3:$D$1084="NHT")*Boxes!$F$3:$F$1084)</f>
        <v/>
      </c>
      <c r="I82" s="26">
        <f>SUMPRODUCT((Boxes!$B$3:$B$1084=$A82)*(Boxes!$D$3:$D$1084="REF")*Boxes!$F$3:$F$1084)*SUMPRODUCT((Boxes!$B$3:$B$1084=$A82)*(Boxes!$D$3:$D$1084="REF")*Boxes!$J$3:$J$1084)+SUMPRODUCT((Boxes!$B$3:$B$1084=$A82)*(Boxes!$D$3:$D$1084="CCR")*Boxes!$F$3:$F$1084)*SUMPRODUCT((Boxes!$B$3:$B$1084=$A82)*(Boxes!$D$3:$D$1084="CCR")*Boxes!$J$3:$J$1084)</f>
        <v/>
      </c>
      <c r="J82" s="26">
        <f>SUMPRODUCT((Boxes!$B$3:$B$1084=$A82)*(Boxes!$D$3:$D$1084="ISOM")*Boxes!$F$3:$F$1084)*SUMPRODUCT((Boxes!$B$3:$B$1084=$A82)*(Boxes!$D$3:$D$1084="ISOM")*Boxes!$J$3:$J$1084)</f>
        <v/>
      </c>
      <c r="K82" s="26">
        <f>SUMPRODUCT((Boxes!$A$3:$A$1084="TOTAL")*(Boxes!$B$3:$B$1084=$A82)*Boxes!$P$3:$P$1084)</f>
        <v/>
      </c>
      <c r="L82" s="25">
        <f>SUMIFS(Data!$N$3:$N$125,Data!$A$3:$A$125,$A82)</f>
        <v/>
      </c>
      <c r="M82" s="25">
        <f>IFERROR($K82/(SUMIFS(Data!$G$3:$G$125,Data!$A$3:$A$125,$A82)*$D82),"")</f>
        <v/>
      </c>
      <c r="N82" s="43">
        <f>IF($M82="","",$M82-$L82)</f>
        <v/>
      </c>
      <c r="O82" s="41">
        <f>IF(AND($H82&gt;0,$G82&gt;$H82*1.05),"SR &gt; NHT cap","")</f>
        <v/>
      </c>
    </row>
    <row r="83">
      <c r="A83" s="18" t="inlineStr">
        <is>
          <t>PAR_BILLINGS</t>
        </is>
      </c>
      <c r="B83" s="18" t="n">
        <v>4</v>
      </c>
      <c r="C83" s="21">
        <f>SUMPRODUCT((Boxes!$B$3:$B$1084=$A83)*(Boxes!$D$3:$D$1084="CDU")*Boxes!$F$3:$F$1084)</f>
        <v/>
      </c>
      <c r="D83" s="35">
        <f>SUMPRODUCT((Boxes!$B$3:$B$1084=$A83)*(Boxes!$D$3:$D$1084="CDU")*Boxes!$J$3:$J$1084)</f>
        <v/>
      </c>
      <c r="E83" s="21">
        <f>$C83*$D83</f>
        <v/>
      </c>
      <c r="F83" s="24">
        <f>SUMPRODUCT((Boxes!$B$3:$B$1084=$A83)*(Boxes!$D$3:$D$1084="CDU")*Boxes!$O$3:$O$1084)</f>
        <v/>
      </c>
      <c r="G83" s="26">
        <f>$E83*$F83</f>
        <v/>
      </c>
      <c r="H83" s="21">
        <f>SUMPRODUCT((Boxes!$B$3:$B$1084=$A83)*(Boxes!$D$3:$D$1084="NHT")*Boxes!$F$3:$F$1084)</f>
        <v/>
      </c>
      <c r="I83" s="26">
        <f>SUMPRODUCT((Boxes!$B$3:$B$1084=$A83)*(Boxes!$D$3:$D$1084="REF")*Boxes!$F$3:$F$1084)*SUMPRODUCT((Boxes!$B$3:$B$1084=$A83)*(Boxes!$D$3:$D$1084="REF")*Boxes!$J$3:$J$1084)+SUMPRODUCT((Boxes!$B$3:$B$1084=$A83)*(Boxes!$D$3:$D$1084="CCR")*Boxes!$F$3:$F$1084)*SUMPRODUCT((Boxes!$B$3:$B$1084=$A83)*(Boxes!$D$3:$D$1084="CCR")*Boxes!$J$3:$J$1084)</f>
        <v/>
      </c>
      <c r="J83" s="26">
        <f>SUMPRODUCT((Boxes!$B$3:$B$1084=$A83)*(Boxes!$D$3:$D$1084="ISOM")*Boxes!$F$3:$F$1084)*SUMPRODUCT((Boxes!$B$3:$B$1084=$A83)*(Boxes!$D$3:$D$1084="ISOM")*Boxes!$J$3:$J$1084)</f>
        <v/>
      </c>
      <c r="K83" s="26">
        <f>SUMPRODUCT((Boxes!$A$3:$A$1084="TOTAL")*(Boxes!$B$3:$B$1084=$A83)*Boxes!$P$3:$P$1084)</f>
        <v/>
      </c>
      <c r="L83" s="25">
        <f>SUMIFS(Data!$N$3:$N$125,Data!$A$3:$A$125,$A83)</f>
        <v/>
      </c>
      <c r="M83" s="25">
        <f>IFERROR($K83/(SUMIFS(Data!$G$3:$G$125,Data!$A$3:$A$125,$A83)*$D83),"")</f>
        <v/>
      </c>
      <c r="N83" s="43">
        <f>IF($M83="","",$M83-$L83)</f>
        <v/>
      </c>
      <c r="O83" s="41">
        <f>IF(AND($H83&gt;0,$G83&gt;$H83*1.05),"SR &gt; NHT cap","")</f>
        <v/>
      </c>
    </row>
    <row r="84">
      <c r="A84" s="18" t="inlineStr">
        <is>
          <t>CHS_LAUREL</t>
        </is>
      </c>
      <c r="B84" s="18" t="n">
        <v>4</v>
      </c>
      <c r="C84" s="21">
        <f>SUMPRODUCT((Boxes!$B$3:$B$1084=$A84)*(Boxes!$D$3:$D$1084="CDU")*Boxes!$F$3:$F$1084)</f>
        <v/>
      </c>
      <c r="D84" s="35">
        <f>SUMPRODUCT((Boxes!$B$3:$B$1084=$A84)*(Boxes!$D$3:$D$1084="CDU")*Boxes!$J$3:$J$1084)</f>
        <v/>
      </c>
      <c r="E84" s="21">
        <f>$C84*$D84</f>
        <v/>
      </c>
      <c r="F84" s="24">
        <f>SUMPRODUCT((Boxes!$B$3:$B$1084=$A84)*(Boxes!$D$3:$D$1084="CDU")*Boxes!$O$3:$O$1084)</f>
        <v/>
      </c>
      <c r="G84" s="26">
        <f>$E84*$F84</f>
        <v/>
      </c>
      <c r="H84" s="21">
        <f>SUMPRODUCT((Boxes!$B$3:$B$1084=$A84)*(Boxes!$D$3:$D$1084="NHT")*Boxes!$F$3:$F$1084)</f>
        <v/>
      </c>
      <c r="I84" s="26">
        <f>SUMPRODUCT((Boxes!$B$3:$B$1084=$A84)*(Boxes!$D$3:$D$1084="REF")*Boxes!$F$3:$F$1084)*SUMPRODUCT((Boxes!$B$3:$B$1084=$A84)*(Boxes!$D$3:$D$1084="REF")*Boxes!$J$3:$J$1084)+SUMPRODUCT((Boxes!$B$3:$B$1084=$A84)*(Boxes!$D$3:$D$1084="CCR")*Boxes!$F$3:$F$1084)*SUMPRODUCT((Boxes!$B$3:$B$1084=$A84)*(Boxes!$D$3:$D$1084="CCR")*Boxes!$J$3:$J$1084)</f>
        <v/>
      </c>
      <c r="J84" s="26">
        <f>SUMPRODUCT((Boxes!$B$3:$B$1084=$A84)*(Boxes!$D$3:$D$1084="ISOM")*Boxes!$F$3:$F$1084)*SUMPRODUCT((Boxes!$B$3:$B$1084=$A84)*(Boxes!$D$3:$D$1084="ISOM")*Boxes!$J$3:$J$1084)</f>
        <v/>
      </c>
      <c r="K84" s="26">
        <f>SUMPRODUCT((Boxes!$A$3:$A$1084="TOTAL")*(Boxes!$B$3:$B$1084=$A84)*Boxes!$P$3:$P$1084)</f>
        <v/>
      </c>
      <c r="L84" s="25">
        <f>SUMIFS(Data!$N$3:$N$125,Data!$A$3:$A$125,$A84)</f>
        <v/>
      </c>
      <c r="M84" s="25">
        <f>IFERROR($K84/(SUMIFS(Data!$G$3:$G$125,Data!$A$3:$A$125,$A84)*$D84),"")</f>
        <v/>
      </c>
      <c r="N84" s="43">
        <f>IF($M84="","",$M84-$L84)</f>
        <v/>
      </c>
      <c r="O84" s="41">
        <f>IF(AND($H84&gt;0,$G84&gt;$H84*1.05),"SR &gt; NHT cap","")</f>
        <v/>
      </c>
    </row>
    <row r="85">
      <c r="A85" s="18" t="inlineStr">
        <is>
          <t>CHEVRON_SALT_LAKE_CITY</t>
        </is>
      </c>
      <c r="B85" s="18" t="n">
        <v>4</v>
      </c>
      <c r="C85" s="21">
        <f>SUMPRODUCT((Boxes!$B$3:$B$1084=$A85)*(Boxes!$D$3:$D$1084="CDU")*Boxes!$F$3:$F$1084)</f>
        <v/>
      </c>
      <c r="D85" s="35">
        <f>SUMPRODUCT((Boxes!$B$3:$B$1084=$A85)*(Boxes!$D$3:$D$1084="CDU")*Boxes!$J$3:$J$1084)</f>
        <v/>
      </c>
      <c r="E85" s="21">
        <f>$C85*$D85</f>
        <v/>
      </c>
      <c r="F85" s="24">
        <f>SUMPRODUCT((Boxes!$B$3:$B$1084=$A85)*(Boxes!$D$3:$D$1084="CDU")*Boxes!$O$3:$O$1084)</f>
        <v/>
      </c>
      <c r="G85" s="26">
        <f>$E85*$F85</f>
        <v/>
      </c>
      <c r="H85" s="21">
        <f>SUMPRODUCT((Boxes!$B$3:$B$1084=$A85)*(Boxes!$D$3:$D$1084="NHT")*Boxes!$F$3:$F$1084)</f>
        <v/>
      </c>
      <c r="I85" s="26">
        <f>SUMPRODUCT((Boxes!$B$3:$B$1084=$A85)*(Boxes!$D$3:$D$1084="REF")*Boxes!$F$3:$F$1084)*SUMPRODUCT((Boxes!$B$3:$B$1084=$A85)*(Boxes!$D$3:$D$1084="REF")*Boxes!$J$3:$J$1084)+SUMPRODUCT((Boxes!$B$3:$B$1084=$A85)*(Boxes!$D$3:$D$1084="CCR")*Boxes!$F$3:$F$1084)*SUMPRODUCT((Boxes!$B$3:$B$1084=$A85)*(Boxes!$D$3:$D$1084="CCR")*Boxes!$J$3:$J$1084)</f>
        <v/>
      </c>
      <c r="J85" s="26">
        <f>SUMPRODUCT((Boxes!$B$3:$B$1084=$A85)*(Boxes!$D$3:$D$1084="ISOM")*Boxes!$F$3:$F$1084)*SUMPRODUCT((Boxes!$B$3:$B$1084=$A85)*(Boxes!$D$3:$D$1084="ISOM")*Boxes!$J$3:$J$1084)</f>
        <v/>
      </c>
      <c r="K85" s="26">
        <f>SUMPRODUCT((Boxes!$A$3:$A$1084="TOTAL")*(Boxes!$B$3:$B$1084=$A85)*Boxes!$P$3:$P$1084)</f>
        <v/>
      </c>
      <c r="L85" s="25">
        <f>SUMIFS(Data!$N$3:$N$125,Data!$A$3:$A$125,$A85)</f>
        <v/>
      </c>
      <c r="M85" s="25">
        <f>IFERROR($K85/(SUMIFS(Data!$G$3:$G$125,Data!$A$3:$A$125,$A85)*$D85),"")</f>
        <v/>
      </c>
      <c r="N85" s="43">
        <f>IF($M85="","",$M85-$L85)</f>
        <v/>
      </c>
      <c r="O85" s="41">
        <f>IF(AND($H85&gt;0,$G85&gt;$H85*1.05),"SR &gt; NHT cap","")</f>
        <v/>
      </c>
    </row>
    <row r="86">
      <c r="A86" s="18" t="inlineStr">
        <is>
          <t>HF_WOODS_CROSS</t>
        </is>
      </c>
      <c r="B86" s="18" t="n">
        <v>4</v>
      </c>
      <c r="C86" s="21">
        <f>SUMPRODUCT((Boxes!$B$3:$B$1084=$A86)*(Boxes!$D$3:$D$1084="CDU")*Boxes!$F$3:$F$1084)</f>
        <v/>
      </c>
      <c r="D86" s="35">
        <f>SUMPRODUCT((Boxes!$B$3:$B$1084=$A86)*(Boxes!$D$3:$D$1084="CDU")*Boxes!$J$3:$J$1084)</f>
        <v/>
      </c>
      <c r="E86" s="21">
        <f>$C86*$D86</f>
        <v/>
      </c>
      <c r="F86" s="24">
        <f>SUMPRODUCT((Boxes!$B$3:$B$1084=$A86)*(Boxes!$D$3:$D$1084="CDU")*Boxes!$O$3:$O$1084)</f>
        <v/>
      </c>
      <c r="G86" s="26">
        <f>$E86*$F86</f>
        <v/>
      </c>
      <c r="H86" s="21">
        <f>SUMPRODUCT((Boxes!$B$3:$B$1084=$A86)*(Boxes!$D$3:$D$1084="NHT")*Boxes!$F$3:$F$1084)</f>
        <v/>
      </c>
      <c r="I86" s="26">
        <f>SUMPRODUCT((Boxes!$B$3:$B$1084=$A86)*(Boxes!$D$3:$D$1084="REF")*Boxes!$F$3:$F$1084)*SUMPRODUCT((Boxes!$B$3:$B$1084=$A86)*(Boxes!$D$3:$D$1084="REF")*Boxes!$J$3:$J$1084)+SUMPRODUCT((Boxes!$B$3:$B$1084=$A86)*(Boxes!$D$3:$D$1084="CCR")*Boxes!$F$3:$F$1084)*SUMPRODUCT((Boxes!$B$3:$B$1084=$A86)*(Boxes!$D$3:$D$1084="CCR")*Boxes!$J$3:$J$1084)</f>
        <v/>
      </c>
      <c r="J86" s="26">
        <f>SUMPRODUCT((Boxes!$B$3:$B$1084=$A86)*(Boxes!$D$3:$D$1084="ISOM")*Boxes!$F$3:$F$1084)*SUMPRODUCT((Boxes!$B$3:$B$1084=$A86)*(Boxes!$D$3:$D$1084="ISOM")*Boxes!$J$3:$J$1084)</f>
        <v/>
      </c>
      <c r="K86" s="26">
        <f>SUMPRODUCT((Boxes!$A$3:$A$1084="TOTAL")*(Boxes!$B$3:$B$1084=$A86)*Boxes!$P$3:$P$1084)</f>
        <v/>
      </c>
      <c r="L86" s="25">
        <f>SUMIFS(Data!$N$3:$N$125,Data!$A$3:$A$125,$A86)</f>
        <v/>
      </c>
      <c r="M86" s="25">
        <f>IFERROR($K86/(SUMIFS(Data!$G$3:$G$125,Data!$A$3:$A$125,$A86)*$D86),"")</f>
        <v/>
      </c>
      <c r="N86" s="43">
        <f>IF($M86="","",$M86-$L86)</f>
        <v/>
      </c>
      <c r="O86" s="41">
        <f>IF(AND($H86&gt;0,$G86&gt;$H86*1.05),"SR &gt; NHT cap","")</f>
        <v/>
      </c>
    </row>
    <row r="87">
      <c r="A87" s="18" t="inlineStr">
        <is>
          <t>BIG_NORTH_SLATERVILLE_CANAL</t>
        </is>
      </c>
      <c r="B87" s="18" t="n">
        <v>4</v>
      </c>
      <c r="C87" s="21">
        <f>SUMPRODUCT((Boxes!$B$3:$B$1084=$A87)*(Boxes!$D$3:$D$1084="CDU")*Boxes!$F$3:$F$1084)</f>
        <v/>
      </c>
      <c r="D87" s="35">
        <f>SUMPRODUCT((Boxes!$B$3:$B$1084=$A87)*(Boxes!$D$3:$D$1084="CDU")*Boxes!$J$3:$J$1084)</f>
        <v/>
      </c>
      <c r="E87" s="21">
        <f>$C87*$D87</f>
        <v/>
      </c>
      <c r="F87" s="24">
        <f>SUMPRODUCT((Boxes!$B$3:$B$1084=$A87)*(Boxes!$D$3:$D$1084="CDU")*Boxes!$O$3:$O$1084)</f>
        <v/>
      </c>
      <c r="G87" s="26">
        <f>$E87*$F87</f>
        <v/>
      </c>
      <c r="H87" s="21">
        <f>SUMPRODUCT((Boxes!$B$3:$B$1084=$A87)*(Boxes!$D$3:$D$1084="NHT")*Boxes!$F$3:$F$1084)</f>
        <v/>
      </c>
      <c r="I87" s="26">
        <f>SUMPRODUCT((Boxes!$B$3:$B$1084=$A87)*(Boxes!$D$3:$D$1084="REF")*Boxes!$F$3:$F$1084)*SUMPRODUCT((Boxes!$B$3:$B$1084=$A87)*(Boxes!$D$3:$D$1084="REF")*Boxes!$J$3:$J$1084)+SUMPRODUCT((Boxes!$B$3:$B$1084=$A87)*(Boxes!$D$3:$D$1084="CCR")*Boxes!$F$3:$F$1084)*SUMPRODUCT((Boxes!$B$3:$B$1084=$A87)*(Boxes!$D$3:$D$1084="CCR")*Boxes!$J$3:$J$1084)</f>
        <v/>
      </c>
      <c r="J87" s="26">
        <f>SUMPRODUCT((Boxes!$B$3:$B$1084=$A87)*(Boxes!$D$3:$D$1084="ISOM")*Boxes!$F$3:$F$1084)*SUMPRODUCT((Boxes!$B$3:$B$1084=$A87)*(Boxes!$D$3:$D$1084="ISOM")*Boxes!$J$3:$J$1084)</f>
        <v/>
      </c>
      <c r="K87" s="26">
        <f>SUMPRODUCT((Boxes!$A$3:$A$1084="TOTAL")*(Boxes!$B$3:$B$1084=$A87)*Boxes!$P$3:$P$1084)</f>
        <v/>
      </c>
      <c r="L87" s="25">
        <f>SUMIFS(Data!$N$3:$N$125,Data!$A$3:$A$125,$A87)</f>
        <v/>
      </c>
      <c r="M87" s="25">
        <f>IFERROR($K87/(SUMIFS(Data!$G$3:$G$125,Data!$A$3:$A$125,$A87)*$D87),"")</f>
        <v/>
      </c>
      <c r="N87" s="43">
        <f>IF($M87="","",$M87-$L87)</f>
        <v/>
      </c>
      <c r="O87" s="41">
        <f>IF(AND($H87&gt;0,$G87&gt;$H87*1.05),"SR &gt; NHT cap","")</f>
        <v/>
      </c>
    </row>
    <row r="88">
      <c r="A88" s="18" t="inlineStr">
        <is>
          <t>HF_CASPER</t>
        </is>
      </c>
      <c r="B88" s="18" t="n">
        <v>4</v>
      </c>
      <c r="C88" s="21">
        <f>SUMPRODUCT((Boxes!$B$3:$B$1084=$A88)*(Boxes!$D$3:$D$1084="CDU")*Boxes!$F$3:$F$1084)</f>
        <v/>
      </c>
      <c r="D88" s="35">
        <f>SUMPRODUCT((Boxes!$B$3:$B$1084=$A88)*(Boxes!$D$3:$D$1084="CDU")*Boxes!$J$3:$J$1084)</f>
        <v/>
      </c>
      <c r="E88" s="21">
        <f>$C88*$D88</f>
        <v/>
      </c>
      <c r="F88" s="24">
        <f>SUMPRODUCT((Boxes!$B$3:$B$1084=$A88)*(Boxes!$D$3:$D$1084="CDU")*Boxes!$O$3:$O$1084)</f>
        <v/>
      </c>
      <c r="G88" s="26">
        <f>$E88*$F88</f>
        <v/>
      </c>
      <c r="H88" s="21">
        <f>SUMPRODUCT((Boxes!$B$3:$B$1084=$A88)*(Boxes!$D$3:$D$1084="NHT")*Boxes!$F$3:$F$1084)</f>
        <v/>
      </c>
      <c r="I88" s="26">
        <f>SUMPRODUCT((Boxes!$B$3:$B$1084=$A88)*(Boxes!$D$3:$D$1084="REF")*Boxes!$F$3:$F$1084)*SUMPRODUCT((Boxes!$B$3:$B$1084=$A88)*(Boxes!$D$3:$D$1084="REF")*Boxes!$J$3:$J$1084)+SUMPRODUCT((Boxes!$B$3:$B$1084=$A88)*(Boxes!$D$3:$D$1084="CCR")*Boxes!$F$3:$F$1084)*SUMPRODUCT((Boxes!$B$3:$B$1084=$A88)*(Boxes!$D$3:$D$1084="CCR")*Boxes!$J$3:$J$1084)</f>
        <v/>
      </c>
      <c r="J88" s="26">
        <f>SUMPRODUCT((Boxes!$B$3:$B$1084=$A88)*(Boxes!$D$3:$D$1084="ISOM")*Boxes!$F$3:$F$1084)*SUMPRODUCT((Boxes!$B$3:$B$1084=$A88)*(Boxes!$D$3:$D$1084="ISOM")*Boxes!$J$3:$J$1084)</f>
        <v/>
      </c>
      <c r="K88" s="26">
        <f>SUMPRODUCT((Boxes!$A$3:$A$1084="TOTAL")*(Boxes!$B$3:$B$1084=$A88)*Boxes!$P$3:$P$1084)</f>
        <v/>
      </c>
      <c r="L88" s="25">
        <f>SUMIFS(Data!$N$3:$N$125,Data!$A$3:$A$125,$A88)</f>
        <v/>
      </c>
      <c r="M88" s="25">
        <f>IFERROR($K88/(SUMIFS(Data!$G$3:$G$125,Data!$A$3:$A$125,$A88)*$D88),"")</f>
        <v/>
      </c>
      <c r="N88" s="43">
        <f>IF($M88="","",$M88-$L88)</f>
        <v/>
      </c>
      <c r="O88" s="41">
        <f>IF(AND($H88&gt;0,$G88&gt;$H88*1.05),"SR &gt; NHT cap","")</f>
        <v/>
      </c>
    </row>
    <row r="89">
      <c r="A89" s="18" t="inlineStr">
        <is>
          <t>PAR_NEWCASTLE</t>
        </is>
      </c>
      <c r="B89" s="18" t="n">
        <v>4</v>
      </c>
      <c r="C89" s="21">
        <f>SUMPRODUCT((Boxes!$B$3:$B$1084=$A89)*(Boxes!$D$3:$D$1084="CDU")*Boxes!$F$3:$F$1084)</f>
        <v/>
      </c>
      <c r="D89" s="35">
        <f>SUMPRODUCT((Boxes!$B$3:$B$1084=$A89)*(Boxes!$D$3:$D$1084="CDU")*Boxes!$J$3:$J$1084)</f>
        <v/>
      </c>
      <c r="E89" s="21">
        <f>$C89*$D89</f>
        <v/>
      </c>
      <c r="F89" s="24">
        <f>SUMPRODUCT((Boxes!$B$3:$B$1084=$A89)*(Boxes!$D$3:$D$1084="CDU")*Boxes!$O$3:$O$1084)</f>
        <v/>
      </c>
      <c r="G89" s="26">
        <f>$E89*$F89</f>
        <v/>
      </c>
      <c r="H89" s="21">
        <f>SUMPRODUCT((Boxes!$B$3:$B$1084=$A89)*(Boxes!$D$3:$D$1084="NHT")*Boxes!$F$3:$F$1084)</f>
        <v/>
      </c>
      <c r="I89" s="26">
        <f>SUMPRODUCT((Boxes!$B$3:$B$1084=$A89)*(Boxes!$D$3:$D$1084="REF")*Boxes!$F$3:$F$1084)*SUMPRODUCT((Boxes!$B$3:$B$1084=$A89)*(Boxes!$D$3:$D$1084="REF")*Boxes!$J$3:$J$1084)+SUMPRODUCT((Boxes!$B$3:$B$1084=$A89)*(Boxes!$D$3:$D$1084="CCR")*Boxes!$F$3:$F$1084)*SUMPRODUCT((Boxes!$B$3:$B$1084=$A89)*(Boxes!$D$3:$D$1084="CCR")*Boxes!$J$3:$J$1084)</f>
        <v/>
      </c>
      <c r="J89" s="26">
        <f>SUMPRODUCT((Boxes!$B$3:$B$1084=$A89)*(Boxes!$D$3:$D$1084="ISOM")*Boxes!$F$3:$F$1084)*SUMPRODUCT((Boxes!$B$3:$B$1084=$A89)*(Boxes!$D$3:$D$1084="ISOM")*Boxes!$J$3:$J$1084)</f>
        <v/>
      </c>
      <c r="K89" s="26">
        <f>SUMPRODUCT((Boxes!$A$3:$A$1084="TOTAL")*(Boxes!$B$3:$B$1084=$A89)*Boxes!$P$3:$P$1084)</f>
        <v/>
      </c>
      <c r="L89" s="25">
        <f>SUMIFS(Data!$N$3:$N$125,Data!$A$3:$A$125,$A89)</f>
        <v/>
      </c>
      <c r="M89" s="25">
        <f>IFERROR($K89/(SUMIFS(Data!$G$3:$G$125,Data!$A$3:$A$125,$A89)*$D89),"")</f>
        <v/>
      </c>
      <c r="N89" s="43">
        <f>IF($M89="","",$M89-$L89)</f>
        <v/>
      </c>
      <c r="O89" s="41">
        <f>IF(AND($H89&gt;0,$G89&gt;$H89*1.05),"SR &gt; NHT cap","")</f>
        <v/>
      </c>
    </row>
    <row r="90">
      <c r="A90" s="18" t="inlineStr">
        <is>
          <t>MONTANA_GREAT_FALLS</t>
        </is>
      </c>
      <c r="B90" s="18" t="n">
        <v>4</v>
      </c>
      <c r="C90" s="21">
        <f>SUMPRODUCT((Boxes!$B$3:$B$1084=$A90)*(Boxes!$D$3:$D$1084="CDU")*Boxes!$F$3:$F$1084)</f>
        <v/>
      </c>
      <c r="D90" s="35">
        <f>SUMPRODUCT((Boxes!$B$3:$B$1084=$A90)*(Boxes!$D$3:$D$1084="CDU")*Boxes!$J$3:$J$1084)</f>
        <v/>
      </c>
      <c r="E90" s="21">
        <f>$C90*$D90</f>
        <v/>
      </c>
      <c r="F90" s="24">
        <f>SUMPRODUCT((Boxes!$B$3:$B$1084=$A90)*(Boxes!$D$3:$D$1084="CDU")*Boxes!$O$3:$O$1084)</f>
        <v/>
      </c>
      <c r="G90" s="26">
        <f>$E90*$F90</f>
        <v/>
      </c>
      <c r="H90" s="21">
        <f>SUMPRODUCT((Boxes!$B$3:$B$1084=$A90)*(Boxes!$D$3:$D$1084="NHT")*Boxes!$F$3:$F$1084)</f>
        <v/>
      </c>
      <c r="I90" s="26">
        <f>SUMPRODUCT((Boxes!$B$3:$B$1084=$A90)*(Boxes!$D$3:$D$1084="REF")*Boxes!$F$3:$F$1084)*SUMPRODUCT((Boxes!$B$3:$B$1084=$A90)*(Boxes!$D$3:$D$1084="REF")*Boxes!$J$3:$J$1084)+SUMPRODUCT((Boxes!$B$3:$B$1084=$A90)*(Boxes!$D$3:$D$1084="CCR")*Boxes!$F$3:$F$1084)*SUMPRODUCT((Boxes!$B$3:$B$1084=$A90)*(Boxes!$D$3:$D$1084="CCR")*Boxes!$J$3:$J$1084)</f>
        <v/>
      </c>
      <c r="J90" s="26">
        <f>SUMPRODUCT((Boxes!$B$3:$B$1084=$A90)*(Boxes!$D$3:$D$1084="ISOM")*Boxes!$F$3:$F$1084)*SUMPRODUCT((Boxes!$B$3:$B$1084=$A90)*(Boxes!$D$3:$D$1084="ISOM")*Boxes!$J$3:$J$1084)</f>
        <v/>
      </c>
      <c r="K90" s="26">
        <f>SUMPRODUCT((Boxes!$A$3:$A$1084="TOTAL")*(Boxes!$B$3:$B$1084=$A90)*Boxes!$P$3:$P$1084)</f>
        <v/>
      </c>
      <c r="L90" s="25">
        <f>SUMIFS(Data!$N$3:$N$125,Data!$A$3:$A$125,$A90)</f>
        <v/>
      </c>
      <c r="M90" s="25">
        <f>IFERROR($K90/(SUMIFS(Data!$G$3:$G$125,Data!$A$3:$A$125,$A90)*$D90),"")</f>
        <v/>
      </c>
      <c r="N90" s="43">
        <f>IF($M90="","",$M90-$L90)</f>
        <v/>
      </c>
      <c r="O90" s="41">
        <f>IF(AND($H90&gt;0,$G90&gt;$H90*1.05),"SR &gt; NHT cap","")</f>
        <v/>
      </c>
    </row>
    <row r="91">
      <c r="A91" s="18" t="inlineStr">
        <is>
          <t>SILVER_WOODS_CROSS</t>
        </is>
      </c>
      <c r="B91" s="18" t="n">
        <v>4</v>
      </c>
      <c r="C91" s="21">
        <f>SUMPRODUCT((Boxes!$B$3:$B$1084=$A91)*(Boxes!$D$3:$D$1084="CDU")*Boxes!$F$3:$F$1084)</f>
        <v/>
      </c>
      <c r="D91" s="35">
        <f>SUMPRODUCT((Boxes!$B$3:$B$1084=$A91)*(Boxes!$D$3:$D$1084="CDU")*Boxes!$J$3:$J$1084)</f>
        <v/>
      </c>
      <c r="E91" s="21">
        <f>$C91*$D91</f>
        <v/>
      </c>
      <c r="F91" s="24">
        <f>SUMPRODUCT((Boxes!$B$3:$B$1084=$A91)*(Boxes!$D$3:$D$1084="CDU")*Boxes!$O$3:$O$1084)</f>
        <v/>
      </c>
      <c r="G91" s="26">
        <f>$E91*$F91</f>
        <v/>
      </c>
      <c r="H91" s="21">
        <f>SUMPRODUCT((Boxes!$B$3:$B$1084=$A91)*(Boxes!$D$3:$D$1084="NHT")*Boxes!$F$3:$F$1084)</f>
        <v/>
      </c>
      <c r="I91" s="26">
        <f>SUMPRODUCT((Boxes!$B$3:$B$1084=$A91)*(Boxes!$D$3:$D$1084="REF")*Boxes!$F$3:$F$1084)*SUMPRODUCT((Boxes!$B$3:$B$1084=$A91)*(Boxes!$D$3:$D$1084="REF")*Boxes!$J$3:$J$1084)+SUMPRODUCT((Boxes!$B$3:$B$1084=$A91)*(Boxes!$D$3:$D$1084="CCR")*Boxes!$F$3:$F$1084)*SUMPRODUCT((Boxes!$B$3:$B$1084=$A91)*(Boxes!$D$3:$D$1084="CCR")*Boxes!$J$3:$J$1084)</f>
        <v/>
      </c>
      <c r="J91" s="26">
        <f>SUMPRODUCT((Boxes!$B$3:$B$1084=$A91)*(Boxes!$D$3:$D$1084="ISOM")*Boxes!$F$3:$F$1084)*SUMPRODUCT((Boxes!$B$3:$B$1084=$A91)*(Boxes!$D$3:$D$1084="ISOM")*Boxes!$J$3:$J$1084)</f>
        <v/>
      </c>
      <c r="K91" s="26">
        <f>SUMPRODUCT((Boxes!$A$3:$A$1084="TOTAL")*(Boxes!$B$3:$B$1084=$A91)*Boxes!$P$3:$P$1084)</f>
        <v/>
      </c>
      <c r="L91" s="25">
        <f>SUMIFS(Data!$N$3:$N$125,Data!$A$3:$A$125,$A91)</f>
        <v/>
      </c>
      <c r="M91" s="25">
        <f>IFERROR($K91/(SUMIFS(Data!$G$3:$G$125,Data!$A$3:$A$125,$A91)*$D91),"")</f>
        <v/>
      </c>
      <c r="N91" s="43">
        <f>IF($M91="","",$M91-$L91)</f>
        <v/>
      </c>
      <c r="O91" s="41">
        <f>IF(AND($H91&gt;0,$G91&gt;$H91*1.05),"SR &gt; NHT cap","")</f>
        <v/>
      </c>
    </row>
    <row r="92">
      <c r="A92" s="18" t="inlineStr">
        <is>
          <t>WYOMING_EVANSTON</t>
        </is>
      </c>
      <c r="B92" s="18" t="n">
        <v>4</v>
      </c>
      <c r="C92" s="21">
        <f>SUMPRODUCT((Boxes!$B$3:$B$1084=$A92)*(Boxes!$D$3:$D$1084="CDU")*Boxes!$F$3:$F$1084)</f>
        <v/>
      </c>
      <c r="D92" s="35">
        <f>SUMPRODUCT((Boxes!$B$3:$B$1084=$A92)*(Boxes!$D$3:$D$1084="CDU")*Boxes!$J$3:$J$1084)</f>
        <v/>
      </c>
      <c r="E92" s="21">
        <f>$C92*$D92</f>
        <v/>
      </c>
      <c r="F92" s="24">
        <f>SUMPRODUCT((Boxes!$B$3:$B$1084=$A92)*(Boxes!$D$3:$D$1084="CDU")*Boxes!$O$3:$O$1084)</f>
        <v/>
      </c>
      <c r="G92" s="26">
        <f>$E92*$F92</f>
        <v/>
      </c>
      <c r="H92" s="21">
        <f>SUMPRODUCT((Boxes!$B$3:$B$1084=$A92)*(Boxes!$D$3:$D$1084="NHT")*Boxes!$F$3:$F$1084)</f>
        <v/>
      </c>
      <c r="I92" s="26">
        <f>SUMPRODUCT((Boxes!$B$3:$B$1084=$A92)*(Boxes!$D$3:$D$1084="REF")*Boxes!$F$3:$F$1084)*SUMPRODUCT((Boxes!$B$3:$B$1084=$A92)*(Boxes!$D$3:$D$1084="REF")*Boxes!$J$3:$J$1084)+SUMPRODUCT((Boxes!$B$3:$B$1084=$A92)*(Boxes!$D$3:$D$1084="CCR")*Boxes!$F$3:$F$1084)*SUMPRODUCT((Boxes!$B$3:$B$1084=$A92)*(Boxes!$D$3:$D$1084="CCR")*Boxes!$J$3:$J$1084)</f>
        <v/>
      </c>
      <c r="J92" s="26">
        <f>SUMPRODUCT((Boxes!$B$3:$B$1084=$A92)*(Boxes!$D$3:$D$1084="ISOM")*Boxes!$F$3:$F$1084)*SUMPRODUCT((Boxes!$B$3:$B$1084=$A92)*(Boxes!$D$3:$D$1084="ISOM")*Boxes!$J$3:$J$1084)</f>
        <v/>
      </c>
      <c r="K92" s="26">
        <f>SUMPRODUCT((Boxes!$A$3:$A$1084="TOTAL")*(Boxes!$B$3:$B$1084=$A92)*Boxes!$P$3:$P$1084)</f>
        <v/>
      </c>
      <c r="L92" s="25">
        <f>SUMIFS(Data!$N$3:$N$125,Data!$A$3:$A$125,$A92)</f>
        <v/>
      </c>
      <c r="M92" s="25">
        <f>IFERROR($K92/(SUMIFS(Data!$G$3:$G$125,Data!$A$3:$A$125,$A92)*$D92),"")</f>
        <v/>
      </c>
      <c r="N92" s="43">
        <f>IF($M92="","",$M92-$L92)</f>
        <v/>
      </c>
      <c r="O92" s="41">
        <f>IF(AND($H92&gt;0,$G92&gt;$H92*1.05),"SR &gt; NHT cap","")</f>
        <v/>
      </c>
    </row>
    <row r="93">
      <c r="A93" s="18" t="inlineStr">
        <is>
          <t>CHEVRON_EL_SEGUNDO</t>
        </is>
      </c>
      <c r="B93" s="18" t="n">
        <v>5</v>
      </c>
      <c r="C93" s="21">
        <f>SUMPRODUCT((Boxes!$B$3:$B$1084=$A93)*(Boxes!$D$3:$D$1084="CDU")*Boxes!$F$3:$F$1084)</f>
        <v/>
      </c>
      <c r="D93" s="35">
        <f>SUMPRODUCT((Boxes!$B$3:$B$1084=$A93)*(Boxes!$D$3:$D$1084="CDU")*Boxes!$J$3:$J$1084)</f>
        <v/>
      </c>
      <c r="E93" s="21">
        <f>$C93*$D93</f>
        <v/>
      </c>
      <c r="F93" s="24">
        <f>SUMPRODUCT((Boxes!$B$3:$B$1084=$A93)*(Boxes!$D$3:$D$1084="CDU")*Boxes!$O$3:$O$1084)</f>
        <v/>
      </c>
      <c r="G93" s="26">
        <f>$E93*$F93</f>
        <v/>
      </c>
      <c r="H93" s="21">
        <f>SUMPRODUCT((Boxes!$B$3:$B$1084=$A93)*(Boxes!$D$3:$D$1084="NHT")*Boxes!$F$3:$F$1084)</f>
        <v/>
      </c>
      <c r="I93" s="26">
        <f>SUMPRODUCT((Boxes!$B$3:$B$1084=$A93)*(Boxes!$D$3:$D$1084="REF")*Boxes!$F$3:$F$1084)*SUMPRODUCT((Boxes!$B$3:$B$1084=$A93)*(Boxes!$D$3:$D$1084="REF")*Boxes!$J$3:$J$1084)+SUMPRODUCT((Boxes!$B$3:$B$1084=$A93)*(Boxes!$D$3:$D$1084="CCR")*Boxes!$F$3:$F$1084)*SUMPRODUCT((Boxes!$B$3:$B$1084=$A93)*(Boxes!$D$3:$D$1084="CCR")*Boxes!$J$3:$J$1084)</f>
        <v/>
      </c>
      <c r="J93" s="26">
        <f>SUMPRODUCT((Boxes!$B$3:$B$1084=$A93)*(Boxes!$D$3:$D$1084="ISOM")*Boxes!$F$3:$F$1084)*SUMPRODUCT((Boxes!$B$3:$B$1084=$A93)*(Boxes!$D$3:$D$1084="ISOM")*Boxes!$J$3:$J$1084)</f>
        <v/>
      </c>
      <c r="K93" s="26">
        <f>SUMPRODUCT((Boxes!$A$3:$A$1084="TOTAL")*(Boxes!$B$3:$B$1084=$A93)*Boxes!$P$3:$P$1084)</f>
        <v/>
      </c>
      <c r="L93" s="25">
        <f>SUMIFS(Data!$N$3:$N$125,Data!$A$3:$A$125,$A93)</f>
        <v/>
      </c>
      <c r="M93" s="25">
        <f>IFERROR($K93/(SUMIFS(Data!$G$3:$G$125,Data!$A$3:$A$125,$A93)*$D93),"")</f>
        <v/>
      </c>
      <c r="N93" s="43">
        <f>IF($M93="","",$M93-$L93)</f>
        <v/>
      </c>
      <c r="O93" s="41">
        <f>IF(AND($H93&gt;0,$G93&gt;$H93*1.05),"SR &gt; NHT cap","")</f>
        <v/>
      </c>
    </row>
    <row r="94">
      <c r="A94" s="18" t="inlineStr">
        <is>
          <t>CHEVRON_RICHMOND</t>
        </is>
      </c>
      <c r="B94" s="18" t="n">
        <v>5</v>
      </c>
      <c r="C94" s="21">
        <f>SUMPRODUCT((Boxes!$B$3:$B$1084=$A94)*(Boxes!$D$3:$D$1084="CDU")*Boxes!$F$3:$F$1084)</f>
        <v/>
      </c>
      <c r="D94" s="35">
        <f>SUMPRODUCT((Boxes!$B$3:$B$1084=$A94)*(Boxes!$D$3:$D$1084="CDU")*Boxes!$J$3:$J$1084)</f>
        <v/>
      </c>
      <c r="E94" s="21">
        <f>$C94*$D94</f>
        <v/>
      </c>
      <c r="F94" s="24">
        <f>SUMPRODUCT((Boxes!$B$3:$B$1084=$A94)*(Boxes!$D$3:$D$1084="CDU")*Boxes!$O$3:$O$1084)</f>
        <v/>
      </c>
      <c r="G94" s="26">
        <f>$E94*$F94</f>
        <v/>
      </c>
      <c r="H94" s="21">
        <f>SUMPRODUCT((Boxes!$B$3:$B$1084=$A94)*(Boxes!$D$3:$D$1084="NHT")*Boxes!$F$3:$F$1084)</f>
        <v/>
      </c>
      <c r="I94" s="26">
        <f>SUMPRODUCT((Boxes!$B$3:$B$1084=$A94)*(Boxes!$D$3:$D$1084="REF")*Boxes!$F$3:$F$1084)*SUMPRODUCT((Boxes!$B$3:$B$1084=$A94)*(Boxes!$D$3:$D$1084="REF")*Boxes!$J$3:$J$1084)+SUMPRODUCT((Boxes!$B$3:$B$1084=$A94)*(Boxes!$D$3:$D$1084="CCR")*Boxes!$F$3:$F$1084)*SUMPRODUCT((Boxes!$B$3:$B$1084=$A94)*(Boxes!$D$3:$D$1084="CCR")*Boxes!$J$3:$J$1084)</f>
        <v/>
      </c>
      <c r="J94" s="26">
        <f>SUMPRODUCT((Boxes!$B$3:$B$1084=$A94)*(Boxes!$D$3:$D$1084="ISOM")*Boxes!$F$3:$F$1084)*SUMPRODUCT((Boxes!$B$3:$B$1084=$A94)*(Boxes!$D$3:$D$1084="ISOM")*Boxes!$J$3:$J$1084)</f>
        <v/>
      </c>
      <c r="K94" s="26">
        <f>SUMPRODUCT((Boxes!$A$3:$A$1084="TOTAL")*(Boxes!$B$3:$B$1084=$A94)*Boxes!$P$3:$P$1084)</f>
        <v/>
      </c>
      <c r="L94" s="25">
        <f>SUMIFS(Data!$N$3:$N$125,Data!$A$3:$A$125,$A94)</f>
        <v/>
      </c>
      <c r="M94" s="25">
        <f>IFERROR($K94/(SUMIFS(Data!$G$3:$G$125,Data!$A$3:$A$125,$A94)*$D94),"")</f>
        <v/>
      </c>
      <c r="N94" s="43">
        <f>IF($M94="","",$M94-$L94)</f>
        <v/>
      </c>
      <c r="O94" s="41">
        <f>IF(AND($H94&gt;0,$G94&gt;$H94*1.05),"SR &gt; NHT cap","")</f>
        <v/>
      </c>
    </row>
    <row r="95">
      <c r="A95" s="18" t="inlineStr">
        <is>
          <t>BP_FERNDALE</t>
        </is>
      </c>
      <c r="B95" s="18" t="n">
        <v>5</v>
      </c>
      <c r="C95" s="21">
        <f>SUMPRODUCT((Boxes!$B$3:$B$1084=$A95)*(Boxes!$D$3:$D$1084="CDU")*Boxes!$F$3:$F$1084)</f>
        <v/>
      </c>
      <c r="D95" s="35">
        <f>SUMPRODUCT((Boxes!$B$3:$B$1084=$A95)*(Boxes!$D$3:$D$1084="CDU")*Boxes!$J$3:$J$1084)</f>
        <v/>
      </c>
      <c r="E95" s="21">
        <f>$C95*$D95</f>
        <v/>
      </c>
      <c r="F95" s="24">
        <f>SUMPRODUCT((Boxes!$B$3:$B$1084=$A95)*(Boxes!$D$3:$D$1084="CDU")*Boxes!$O$3:$O$1084)</f>
        <v/>
      </c>
      <c r="G95" s="26">
        <f>$E95*$F95</f>
        <v/>
      </c>
      <c r="H95" s="21">
        <f>SUMPRODUCT((Boxes!$B$3:$B$1084=$A95)*(Boxes!$D$3:$D$1084="NHT")*Boxes!$F$3:$F$1084)</f>
        <v/>
      </c>
      <c r="I95" s="26">
        <f>SUMPRODUCT((Boxes!$B$3:$B$1084=$A95)*(Boxes!$D$3:$D$1084="REF")*Boxes!$F$3:$F$1084)*SUMPRODUCT((Boxes!$B$3:$B$1084=$A95)*(Boxes!$D$3:$D$1084="REF")*Boxes!$J$3:$J$1084)+SUMPRODUCT((Boxes!$B$3:$B$1084=$A95)*(Boxes!$D$3:$D$1084="CCR")*Boxes!$F$3:$F$1084)*SUMPRODUCT((Boxes!$B$3:$B$1084=$A95)*(Boxes!$D$3:$D$1084="CCR")*Boxes!$J$3:$J$1084)</f>
        <v/>
      </c>
      <c r="J95" s="26">
        <f>SUMPRODUCT((Boxes!$B$3:$B$1084=$A95)*(Boxes!$D$3:$D$1084="ISOM")*Boxes!$F$3:$F$1084)*SUMPRODUCT((Boxes!$B$3:$B$1084=$A95)*(Boxes!$D$3:$D$1084="ISOM")*Boxes!$J$3:$J$1084)</f>
        <v/>
      </c>
      <c r="K95" s="26">
        <f>SUMPRODUCT((Boxes!$A$3:$A$1084="TOTAL")*(Boxes!$B$3:$B$1084=$A95)*Boxes!$P$3:$P$1084)</f>
        <v/>
      </c>
      <c r="L95" s="25">
        <f>SUMIFS(Data!$N$3:$N$125,Data!$A$3:$A$125,$A95)</f>
        <v/>
      </c>
      <c r="M95" s="25">
        <f>IFERROR($K95/(SUMIFS(Data!$G$3:$G$125,Data!$A$3:$A$125,$A95)*$D95),"")</f>
        <v/>
      </c>
      <c r="N95" s="43">
        <f>IF($M95="","",$M95-$L95)</f>
        <v/>
      </c>
      <c r="O95" s="41">
        <f>IF(AND($H95&gt;0,$G95&gt;$H95*1.05),"SR &gt; NHT cap","")</f>
        <v/>
      </c>
    </row>
    <row r="96">
      <c r="A96" s="18" t="inlineStr">
        <is>
          <t>PBF_TORRANCE</t>
        </is>
      </c>
      <c r="B96" s="18" t="n">
        <v>5</v>
      </c>
      <c r="C96" s="21">
        <f>SUMPRODUCT((Boxes!$B$3:$B$1084=$A96)*(Boxes!$D$3:$D$1084="CDU")*Boxes!$F$3:$F$1084)</f>
        <v/>
      </c>
      <c r="D96" s="35">
        <f>SUMPRODUCT((Boxes!$B$3:$B$1084=$A96)*(Boxes!$D$3:$D$1084="CDU")*Boxes!$J$3:$J$1084)</f>
        <v/>
      </c>
      <c r="E96" s="21">
        <f>$C96*$D96</f>
        <v/>
      </c>
      <c r="F96" s="24">
        <f>SUMPRODUCT((Boxes!$B$3:$B$1084=$A96)*(Boxes!$D$3:$D$1084="CDU")*Boxes!$O$3:$O$1084)</f>
        <v/>
      </c>
      <c r="G96" s="26">
        <f>$E96*$F96</f>
        <v/>
      </c>
      <c r="H96" s="21">
        <f>SUMPRODUCT((Boxes!$B$3:$B$1084=$A96)*(Boxes!$D$3:$D$1084="NHT")*Boxes!$F$3:$F$1084)</f>
        <v/>
      </c>
      <c r="I96" s="26">
        <f>SUMPRODUCT((Boxes!$B$3:$B$1084=$A96)*(Boxes!$D$3:$D$1084="REF")*Boxes!$F$3:$F$1084)*SUMPRODUCT((Boxes!$B$3:$B$1084=$A96)*(Boxes!$D$3:$D$1084="REF")*Boxes!$J$3:$J$1084)+SUMPRODUCT((Boxes!$B$3:$B$1084=$A96)*(Boxes!$D$3:$D$1084="CCR")*Boxes!$F$3:$F$1084)*SUMPRODUCT((Boxes!$B$3:$B$1084=$A96)*(Boxes!$D$3:$D$1084="CCR")*Boxes!$J$3:$J$1084)</f>
        <v/>
      </c>
      <c r="J96" s="26">
        <f>SUMPRODUCT((Boxes!$B$3:$B$1084=$A96)*(Boxes!$D$3:$D$1084="ISOM")*Boxes!$F$3:$F$1084)*SUMPRODUCT((Boxes!$B$3:$B$1084=$A96)*(Boxes!$D$3:$D$1084="ISOM")*Boxes!$J$3:$J$1084)</f>
        <v/>
      </c>
      <c r="K96" s="26">
        <f>SUMPRODUCT((Boxes!$A$3:$A$1084="TOTAL")*(Boxes!$B$3:$B$1084=$A96)*Boxes!$P$3:$P$1084)</f>
        <v/>
      </c>
      <c r="L96" s="25">
        <f>SUMIFS(Data!$N$3:$N$125,Data!$A$3:$A$125,$A96)</f>
        <v/>
      </c>
      <c r="M96" s="25">
        <f>IFERROR($K96/(SUMIFS(Data!$G$3:$G$125,Data!$A$3:$A$125,$A96)*$D96),"")</f>
        <v/>
      </c>
      <c r="N96" s="43">
        <f>IF($M96="","",$M96-$L96)</f>
        <v/>
      </c>
      <c r="O96" s="41">
        <f>IF(AND($H96&gt;0,$G96&gt;$H96*1.05),"SR &gt; NHT cap","")</f>
        <v/>
      </c>
    </row>
    <row r="97">
      <c r="A97" s="18" t="inlineStr">
        <is>
          <t>PBF_MARTINEZ</t>
        </is>
      </c>
      <c r="B97" s="18" t="n">
        <v>5</v>
      </c>
      <c r="C97" s="21">
        <f>SUMPRODUCT((Boxes!$B$3:$B$1084=$A97)*(Boxes!$D$3:$D$1084="CDU")*Boxes!$F$3:$F$1084)</f>
        <v/>
      </c>
      <c r="D97" s="35">
        <f>SUMPRODUCT((Boxes!$B$3:$B$1084=$A97)*(Boxes!$D$3:$D$1084="CDU")*Boxes!$J$3:$J$1084)</f>
        <v/>
      </c>
      <c r="E97" s="21">
        <f>$C97*$D97</f>
        <v/>
      </c>
      <c r="F97" s="24">
        <f>SUMPRODUCT((Boxes!$B$3:$B$1084=$A97)*(Boxes!$D$3:$D$1084="CDU")*Boxes!$O$3:$O$1084)</f>
        <v/>
      </c>
      <c r="G97" s="26">
        <f>$E97*$F97</f>
        <v/>
      </c>
      <c r="H97" s="21">
        <f>SUMPRODUCT((Boxes!$B$3:$B$1084=$A97)*(Boxes!$D$3:$D$1084="NHT")*Boxes!$F$3:$F$1084)</f>
        <v/>
      </c>
      <c r="I97" s="26">
        <f>SUMPRODUCT((Boxes!$B$3:$B$1084=$A97)*(Boxes!$D$3:$D$1084="REF")*Boxes!$F$3:$F$1084)*SUMPRODUCT((Boxes!$B$3:$B$1084=$A97)*(Boxes!$D$3:$D$1084="REF")*Boxes!$J$3:$J$1084)+SUMPRODUCT((Boxes!$B$3:$B$1084=$A97)*(Boxes!$D$3:$D$1084="CCR")*Boxes!$F$3:$F$1084)*SUMPRODUCT((Boxes!$B$3:$B$1084=$A97)*(Boxes!$D$3:$D$1084="CCR")*Boxes!$J$3:$J$1084)</f>
        <v/>
      </c>
      <c r="J97" s="26">
        <f>SUMPRODUCT((Boxes!$B$3:$B$1084=$A97)*(Boxes!$D$3:$D$1084="ISOM")*Boxes!$F$3:$F$1084)*SUMPRODUCT((Boxes!$B$3:$B$1084=$A97)*(Boxes!$D$3:$D$1084="ISOM")*Boxes!$J$3:$J$1084)</f>
        <v/>
      </c>
      <c r="K97" s="26">
        <f>SUMPRODUCT((Boxes!$A$3:$A$1084="TOTAL")*(Boxes!$B$3:$B$1084=$A97)*Boxes!$P$3:$P$1084)</f>
        <v/>
      </c>
      <c r="L97" s="25">
        <f>SUMIFS(Data!$N$3:$N$125,Data!$A$3:$A$125,$A97)</f>
        <v/>
      </c>
      <c r="M97" s="25">
        <f>IFERROR($K97/(SUMIFS(Data!$G$3:$G$125,Data!$A$3:$A$125,$A97)*$D97),"")</f>
        <v/>
      </c>
      <c r="N97" s="43">
        <f>IF($M97="","",$M97-$L97)</f>
        <v/>
      </c>
      <c r="O97" s="41">
        <f>IF(AND($H97&gt;0,$G97&gt;$H97*1.05),"SR &gt; NHT cap","")</f>
        <v/>
      </c>
    </row>
    <row r="98">
      <c r="A98" s="18" t="inlineStr">
        <is>
          <t>HF_ANACORTES</t>
        </is>
      </c>
      <c r="B98" s="18" t="n">
        <v>5</v>
      </c>
      <c r="C98" s="21">
        <f>SUMPRODUCT((Boxes!$B$3:$B$1084=$A98)*(Boxes!$D$3:$D$1084="CDU")*Boxes!$F$3:$F$1084)</f>
        <v/>
      </c>
      <c r="D98" s="35">
        <f>SUMPRODUCT((Boxes!$B$3:$B$1084=$A98)*(Boxes!$D$3:$D$1084="CDU")*Boxes!$J$3:$J$1084)</f>
        <v/>
      </c>
      <c r="E98" s="21">
        <f>$C98*$D98</f>
        <v/>
      </c>
      <c r="F98" s="24">
        <f>SUMPRODUCT((Boxes!$B$3:$B$1084=$A98)*(Boxes!$D$3:$D$1084="CDU")*Boxes!$O$3:$O$1084)</f>
        <v/>
      </c>
      <c r="G98" s="26">
        <f>$E98*$F98</f>
        <v/>
      </c>
      <c r="H98" s="21">
        <f>SUMPRODUCT((Boxes!$B$3:$B$1084=$A98)*(Boxes!$D$3:$D$1084="NHT")*Boxes!$F$3:$F$1084)</f>
        <v/>
      </c>
      <c r="I98" s="26">
        <f>SUMPRODUCT((Boxes!$B$3:$B$1084=$A98)*(Boxes!$D$3:$D$1084="REF")*Boxes!$F$3:$F$1084)*SUMPRODUCT((Boxes!$B$3:$B$1084=$A98)*(Boxes!$D$3:$D$1084="REF")*Boxes!$J$3:$J$1084)+SUMPRODUCT((Boxes!$B$3:$B$1084=$A98)*(Boxes!$D$3:$D$1084="CCR")*Boxes!$F$3:$F$1084)*SUMPRODUCT((Boxes!$B$3:$B$1084=$A98)*(Boxes!$D$3:$D$1084="CCR")*Boxes!$J$3:$J$1084)</f>
        <v/>
      </c>
      <c r="J98" s="26">
        <f>SUMPRODUCT((Boxes!$B$3:$B$1084=$A98)*(Boxes!$D$3:$D$1084="ISOM")*Boxes!$F$3:$F$1084)*SUMPRODUCT((Boxes!$B$3:$B$1084=$A98)*(Boxes!$D$3:$D$1084="ISOM")*Boxes!$J$3:$J$1084)</f>
        <v/>
      </c>
      <c r="K98" s="26">
        <f>SUMPRODUCT((Boxes!$A$3:$A$1084="TOTAL")*(Boxes!$B$3:$B$1084=$A98)*Boxes!$P$3:$P$1084)</f>
        <v/>
      </c>
      <c r="L98" s="25">
        <f>SUMIFS(Data!$N$3:$N$125,Data!$A$3:$A$125,$A98)</f>
        <v/>
      </c>
      <c r="M98" s="25">
        <f>IFERROR($K98/(SUMIFS(Data!$G$3:$G$125,Data!$A$3:$A$125,$A98)*$D98),"")</f>
        <v/>
      </c>
      <c r="N98" s="43">
        <f>IF($M98="","",$M98-$L98)</f>
        <v/>
      </c>
      <c r="O98" s="41">
        <f>IF(AND($H98&gt;0,$G98&gt;$H98*1.05),"SR &gt; NHT cap","")</f>
        <v/>
      </c>
    </row>
    <row r="99">
      <c r="A99" s="18" t="inlineStr">
        <is>
          <t>MARATHON_ANACORTES</t>
        </is>
      </c>
      <c r="B99" s="18" t="n">
        <v>5</v>
      </c>
      <c r="C99" s="21">
        <f>SUMPRODUCT((Boxes!$B$3:$B$1084=$A99)*(Boxes!$D$3:$D$1084="CDU")*Boxes!$F$3:$F$1084)</f>
        <v/>
      </c>
      <c r="D99" s="35">
        <f>SUMPRODUCT((Boxes!$B$3:$B$1084=$A99)*(Boxes!$D$3:$D$1084="CDU")*Boxes!$J$3:$J$1084)</f>
        <v/>
      </c>
      <c r="E99" s="21">
        <f>$C99*$D99</f>
        <v/>
      </c>
      <c r="F99" s="24">
        <f>SUMPRODUCT((Boxes!$B$3:$B$1084=$A99)*(Boxes!$D$3:$D$1084="CDU")*Boxes!$O$3:$O$1084)</f>
        <v/>
      </c>
      <c r="G99" s="26">
        <f>$E99*$F99</f>
        <v/>
      </c>
      <c r="H99" s="21">
        <f>SUMPRODUCT((Boxes!$B$3:$B$1084=$A99)*(Boxes!$D$3:$D$1084="NHT")*Boxes!$F$3:$F$1084)</f>
        <v/>
      </c>
      <c r="I99" s="26">
        <f>SUMPRODUCT((Boxes!$B$3:$B$1084=$A99)*(Boxes!$D$3:$D$1084="REF")*Boxes!$F$3:$F$1084)*SUMPRODUCT((Boxes!$B$3:$B$1084=$A99)*(Boxes!$D$3:$D$1084="REF")*Boxes!$J$3:$J$1084)+SUMPRODUCT((Boxes!$B$3:$B$1084=$A99)*(Boxes!$D$3:$D$1084="CCR")*Boxes!$F$3:$F$1084)*SUMPRODUCT((Boxes!$B$3:$B$1084=$A99)*(Boxes!$D$3:$D$1084="CCR")*Boxes!$J$3:$J$1084)</f>
        <v/>
      </c>
      <c r="J99" s="26">
        <f>SUMPRODUCT((Boxes!$B$3:$B$1084=$A99)*(Boxes!$D$3:$D$1084="ISOM")*Boxes!$F$3:$F$1084)*SUMPRODUCT((Boxes!$B$3:$B$1084=$A99)*(Boxes!$D$3:$D$1084="ISOM")*Boxes!$J$3:$J$1084)</f>
        <v/>
      </c>
      <c r="K99" s="26">
        <f>SUMPRODUCT((Boxes!$A$3:$A$1084="TOTAL")*(Boxes!$B$3:$B$1084=$A99)*Boxes!$P$3:$P$1084)</f>
        <v/>
      </c>
      <c r="L99" s="25">
        <f>SUMIFS(Data!$N$3:$N$125,Data!$A$3:$A$125,$A99)</f>
        <v/>
      </c>
      <c r="M99" s="25">
        <f>IFERROR($K99/(SUMIFS(Data!$G$3:$G$125,Data!$A$3:$A$125,$A99)*$D99),"")</f>
        <v/>
      </c>
      <c r="N99" s="43">
        <f>IF($M99="","",$M99-$L99)</f>
        <v/>
      </c>
      <c r="O99" s="41">
        <f>IF(AND($H99&gt;0,$G99&gt;$H99*1.05),"SR &gt; NHT cap","")</f>
        <v/>
      </c>
    </row>
    <row r="100">
      <c r="A100" s="18" t="inlineStr">
        <is>
          <t>PHILLIPS_FERNDALE</t>
        </is>
      </c>
      <c r="B100" s="18" t="n">
        <v>5</v>
      </c>
      <c r="C100" s="21">
        <f>SUMPRODUCT((Boxes!$B$3:$B$1084=$A100)*(Boxes!$D$3:$D$1084="CDU")*Boxes!$F$3:$F$1084)</f>
        <v/>
      </c>
      <c r="D100" s="35">
        <f>SUMPRODUCT((Boxes!$B$3:$B$1084=$A100)*(Boxes!$D$3:$D$1084="CDU")*Boxes!$J$3:$J$1084)</f>
        <v/>
      </c>
      <c r="E100" s="21">
        <f>$C100*$D100</f>
        <v/>
      </c>
      <c r="F100" s="24">
        <f>SUMPRODUCT((Boxes!$B$3:$B$1084=$A100)*(Boxes!$D$3:$D$1084="CDU")*Boxes!$O$3:$O$1084)</f>
        <v/>
      </c>
      <c r="G100" s="26">
        <f>$E100*$F100</f>
        <v/>
      </c>
      <c r="H100" s="21">
        <f>SUMPRODUCT((Boxes!$B$3:$B$1084=$A100)*(Boxes!$D$3:$D$1084="NHT")*Boxes!$F$3:$F$1084)</f>
        <v/>
      </c>
      <c r="I100" s="26">
        <f>SUMPRODUCT((Boxes!$B$3:$B$1084=$A100)*(Boxes!$D$3:$D$1084="REF")*Boxes!$F$3:$F$1084)*SUMPRODUCT((Boxes!$B$3:$B$1084=$A100)*(Boxes!$D$3:$D$1084="REF")*Boxes!$J$3:$J$1084)+SUMPRODUCT((Boxes!$B$3:$B$1084=$A100)*(Boxes!$D$3:$D$1084="CCR")*Boxes!$F$3:$F$1084)*SUMPRODUCT((Boxes!$B$3:$B$1084=$A100)*(Boxes!$D$3:$D$1084="CCR")*Boxes!$J$3:$J$1084)</f>
        <v/>
      </c>
      <c r="J100" s="26">
        <f>SUMPRODUCT((Boxes!$B$3:$B$1084=$A100)*(Boxes!$D$3:$D$1084="ISOM")*Boxes!$F$3:$F$1084)*SUMPRODUCT((Boxes!$B$3:$B$1084=$A100)*(Boxes!$D$3:$D$1084="ISOM")*Boxes!$J$3:$J$1084)</f>
        <v/>
      </c>
      <c r="K100" s="26">
        <f>SUMPRODUCT((Boxes!$A$3:$A$1084="TOTAL")*(Boxes!$B$3:$B$1084=$A100)*Boxes!$P$3:$P$1084)</f>
        <v/>
      </c>
      <c r="L100" s="25">
        <f>SUMIFS(Data!$N$3:$N$125,Data!$A$3:$A$125,$A100)</f>
        <v/>
      </c>
      <c r="M100" s="25">
        <f>IFERROR($K100/(SUMIFS(Data!$G$3:$G$125,Data!$A$3:$A$125,$A100)*$D100),"")</f>
        <v/>
      </c>
      <c r="N100" s="43">
        <f>IF($M100="","",$M100-$L100)</f>
        <v/>
      </c>
      <c r="O100" s="41">
        <f>IF(AND($H100&gt;0,$G100&gt;$H100*1.05),"SR &gt; NHT cap","")</f>
        <v/>
      </c>
    </row>
    <row r="101">
      <c r="A101" s="18" t="inlineStr">
        <is>
          <t>PAR_EWA_BEACH</t>
        </is>
      </c>
      <c r="B101" s="18" t="n">
        <v>5</v>
      </c>
      <c r="C101" s="21">
        <f>SUMPRODUCT((Boxes!$B$3:$B$1084=$A101)*(Boxes!$D$3:$D$1084="CDU")*Boxes!$F$3:$F$1084)</f>
        <v/>
      </c>
      <c r="D101" s="35">
        <f>SUMPRODUCT((Boxes!$B$3:$B$1084=$A101)*(Boxes!$D$3:$D$1084="CDU")*Boxes!$J$3:$J$1084)</f>
        <v/>
      </c>
      <c r="E101" s="21">
        <f>$C101*$D101</f>
        <v/>
      </c>
      <c r="F101" s="24">
        <f>SUMPRODUCT((Boxes!$B$3:$B$1084=$A101)*(Boxes!$D$3:$D$1084="CDU")*Boxes!$O$3:$O$1084)</f>
        <v/>
      </c>
      <c r="G101" s="26">
        <f>$E101*$F101</f>
        <v/>
      </c>
      <c r="H101" s="21">
        <f>SUMPRODUCT((Boxes!$B$3:$B$1084=$A101)*(Boxes!$D$3:$D$1084="NHT")*Boxes!$F$3:$F$1084)</f>
        <v/>
      </c>
      <c r="I101" s="26">
        <f>SUMPRODUCT((Boxes!$B$3:$B$1084=$A101)*(Boxes!$D$3:$D$1084="REF")*Boxes!$F$3:$F$1084)*SUMPRODUCT((Boxes!$B$3:$B$1084=$A101)*(Boxes!$D$3:$D$1084="REF")*Boxes!$J$3:$J$1084)+SUMPRODUCT((Boxes!$B$3:$B$1084=$A101)*(Boxes!$D$3:$D$1084="CCR")*Boxes!$F$3:$F$1084)*SUMPRODUCT((Boxes!$B$3:$B$1084=$A101)*(Boxes!$D$3:$D$1084="CCR")*Boxes!$J$3:$J$1084)</f>
        <v/>
      </c>
      <c r="J101" s="26">
        <f>SUMPRODUCT((Boxes!$B$3:$B$1084=$A101)*(Boxes!$D$3:$D$1084="ISOM")*Boxes!$F$3:$F$1084)*SUMPRODUCT((Boxes!$B$3:$B$1084=$A101)*(Boxes!$D$3:$D$1084="ISOM")*Boxes!$J$3:$J$1084)</f>
        <v/>
      </c>
      <c r="K101" s="26">
        <f>SUMPRODUCT((Boxes!$A$3:$A$1084="TOTAL")*(Boxes!$B$3:$B$1084=$A101)*Boxes!$P$3:$P$1084)</f>
        <v/>
      </c>
      <c r="L101" s="25">
        <f>SUMIFS(Data!$N$3:$N$125,Data!$A$3:$A$125,$A101)</f>
        <v/>
      </c>
      <c r="M101" s="25">
        <f>IFERROR($K101/(SUMIFS(Data!$G$3:$G$125,Data!$A$3:$A$125,$A101)*$D101),"")</f>
        <v/>
      </c>
      <c r="N101" s="43">
        <f>IF($M101="","",$M101-$L101)</f>
        <v/>
      </c>
      <c r="O101" s="41">
        <f>IF(AND($H101&gt;0,$G101&gt;$H101*1.05),"SR &gt; NHT cap","")</f>
        <v/>
      </c>
    </row>
    <row r="102">
      <c r="A102" s="18" t="inlineStr">
        <is>
          <t>VALERO_LOS_ANGELES</t>
        </is>
      </c>
      <c r="B102" s="18" t="n">
        <v>5</v>
      </c>
      <c r="C102" s="21">
        <f>SUMPRODUCT((Boxes!$B$3:$B$1084=$A102)*(Boxes!$D$3:$D$1084="CDU")*Boxes!$F$3:$F$1084)</f>
        <v/>
      </c>
      <c r="D102" s="35">
        <f>SUMPRODUCT((Boxes!$B$3:$B$1084=$A102)*(Boxes!$D$3:$D$1084="CDU")*Boxes!$J$3:$J$1084)</f>
        <v/>
      </c>
      <c r="E102" s="21">
        <f>$C102*$D102</f>
        <v/>
      </c>
      <c r="F102" s="24">
        <f>SUMPRODUCT((Boxes!$B$3:$B$1084=$A102)*(Boxes!$D$3:$D$1084="CDU")*Boxes!$O$3:$O$1084)</f>
        <v/>
      </c>
      <c r="G102" s="26">
        <f>$E102*$F102</f>
        <v/>
      </c>
      <c r="H102" s="21">
        <f>SUMPRODUCT((Boxes!$B$3:$B$1084=$A102)*(Boxes!$D$3:$D$1084="NHT")*Boxes!$F$3:$F$1084)</f>
        <v/>
      </c>
      <c r="I102" s="26">
        <f>SUMPRODUCT((Boxes!$B$3:$B$1084=$A102)*(Boxes!$D$3:$D$1084="REF")*Boxes!$F$3:$F$1084)*SUMPRODUCT((Boxes!$B$3:$B$1084=$A102)*(Boxes!$D$3:$D$1084="REF")*Boxes!$J$3:$J$1084)+SUMPRODUCT((Boxes!$B$3:$B$1084=$A102)*(Boxes!$D$3:$D$1084="CCR")*Boxes!$F$3:$F$1084)*SUMPRODUCT((Boxes!$B$3:$B$1084=$A102)*(Boxes!$D$3:$D$1084="CCR")*Boxes!$J$3:$J$1084)</f>
        <v/>
      </c>
      <c r="J102" s="26">
        <f>SUMPRODUCT((Boxes!$B$3:$B$1084=$A102)*(Boxes!$D$3:$D$1084="ISOM")*Boxes!$F$3:$F$1084)*SUMPRODUCT((Boxes!$B$3:$B$1084=$A102)*(Boxes!$D$3:$D$1084="ISOM")*Boxes!$J$3:$J$1084)</f>
        <v/>
      </c>
      <c r="K102" s="26">
        <f>SUMPRODUCT((Boxes!$A$3:$A$1084="TOTAL")*(Boxes!$B$3:$B$1084=$A102)*Boxes!$P$3:$P$1084)</f>
        <v/>
      </c>
      <c r="L102" s="25">
        <f>SUMIFS(Data!$N$3:$N$125,Data!$A$3:$A$125,$A102)</f>
        <v/>
      </c>
      <c r="M102" s="25">
        <f>IFERROR($K102/(SUMIFS(Data!$G$3:$G$125,Data!$A$3:$A$125,$A102)*$D102),"")</f>
        <v/>
      </c>
      <c r="N102" s="43">
        <f>IF($M102="","",$M102-$L102)</f>
        <v/>
      </c>
      <c r="O102" s="41">
        <f>IF(AND($H102&gt;0,$G102&gt;$H102*1.05),"SR &gt; NHT cap","")</f>
        <v/>
      </c>
    </row>
    <row r="103">
      <c r="A103" s="18" t="inlineStr">
        <is>
          <t>MARATHON_NIKISKI</t>
        </is>
      </c>
      <c r="B103" s="18" t="n">
        <v>5</v>
      </c>
      <c r="C103" s="21">
        <f>SUMPRODUCT((Boxes!$B$3:$B$1084=$A103)*(Boxes!$D$3:$D$1084="CDU")*Boxes!$F$3:$F$1084)</f>
        <v/>
      </c>
      <c r="D103" s="35">
        <f>SUMPRODUCT((Boxes!$B$3:$B$1084=$A103)*(Boxes!$D$3:$D$1084="CDU")*Boxes!$J$3:$J$1084)</f>
        <v/>
      </c>
      <c r="E103" s="21">
        <f>$C103*$D103</f>
        <v/>
      </c>
      <c r="F103" s="24">
        <f>SUMPRODUCT((Boxes!$B$3:$B$1084=$A103)*(Boxes!$D$3:$D$1084="CDU")*Boxes!$O$3:$O$1084)</f>
        <v/>
      </c>
      <c r="G103" s="26">
        <f>$E103*$F103</f>
        <v/>
      </c>
      <c r="H103" s="21">
        <f>SUMPRODUCT((Boxes!$B$3:$B$1084=$A103)*(Boxes!$D$3:$D$1084="NHT")*Boxes!$F$3:$F$1084)</f>
        <v/>
      </c>
      <c r="I103" s="26">
        <f>SUMPRODUCT((Boxes!$B$3:$B$1084=$A103)*(Boxes!$D$3:$D$1084="REF")*Boxes!$F$3:$F$1084)*SUMPRODUCT((Boxes!$B$3:$B$1084=$A103)*(Boxes!$D$3:$D$1084="REF")*Boxes!$J$3:$J$1084)+SUMPRODUCT((Boxes!$B$3:$B$1084=$A103)*(Boxes!$D$3:$D$1084="CCR")*Boxes!$F$3:$F$1084)*SUMPRODUCT((Boxes!$B$3:$B$1084=$A103)*(Boxes!$D$3:$D$1084="CCR")*Boxes!$J$3:$J$1084)</f>
        <v/>
      </c>
      <c r="J103" s="26">
        <f>SUMPRODUCT((Boxes!$B$3:$B$1084=$A103)*(Boxes!$D$3:$D$1084="ISOM")*Boxes!$F$3:$F$1084)*SUMPRODUCT((Boxes!$B$3:$B$1084=$A103)*(Boxes!$D$3:$D$1084="ISOM")*Boxes!$J$3:$J$1084)</f>
        <v/>
      </c>
      <c r="K103" s="26">
        <f>SUMPRODUCT((Boxes!$A$3:$A$1084="TOTAL")*(Boxes!$B$3:$B$1084=$A103)*Boxes!$P$3:$P$1084)</f>
        <v/>
      </c>
      <c r="L103" s="25">
        <f>SUMIFS(Data!$N$3:$N$125,Data!$A$3:$A$125,$A103)</f>
        <v/>
      </c>
      <c r="M103" s="25">
        <f>IFERROR($K103/(SUMIFS(Data!$G$3:$G$125,Data!$A$3:$A$125,$A103)*$D103),"")</f>
        <v/>
      </c>
      <c r="N103" s="43">
        <f>IF($M103="","",$M103-$L103)</f>
        <v/>
      </c>
      <c r="O103" s="41">
        <f>IF(AND($H103&gt;0,$G103&gt;$H103*1.05),"SR &gt; NHT cap","")</f>
        <v/>
      </c>
    </row>
    <row r="104">
      <c r="A104" s="18" t="inlineStr">
        <is>
          <t>PETRO_VALDEZ</t>
        </is>
      </c>
      <c r="B104" s="18" t="n">
        <v>5</v>
      </c>
      <c r="C104" s="21">
        <f>SUMPRODUCT((Boxes!$B$3:$B$1084=$A104)*(Boxes!$D$3:$D$1084="CDU")*Boxes!$F$3:$F$1084)</f>
        <v/>
      </c>
      <c r="D104" s="35">
        <f>SUMPRODUCT((Boxes!$B$3:$B$1084=$A104)*(Boxes!$D$3:$D$1084="CDU")*Boxes!$J$3:$J$1084)</f>
        <v/>
      </c>
      <c r="E104" s="21">
        <f>$C104*$D104</f>
        <v/>
      </c>
      <c r="F104" s="24">
        <f>SUMPRODUCT((Boxes!$B$3:$B$1084=$A104)*(Boxes!$D$3:$D$1084="CDU")*Boxes!$O$3:$O$1084)</f>
        <v/>
      </c>
      <c r="G104" s="26">
        <f>$E104*$F104</f>
        <v/>
      </c>
      <c r="H104" s="21">
        <f>SUMPRODUCT((Boxes!$B$3:$B$1084=$A104)*(Boxes!$D$3:$D$1084="NHT")*Boxes!$F$3:$F$1084)</f>
        <v/>
      </c>
      <c r="I104" s="26">
        <f>SUMPRODUCT((Boxes!$B$3:$B$1084=$A104)*(Boxes!$D$3:$D$1084="REF")*Boxes!$F$3:$F$1084)*SUMPRODUCT((Boxes!$B$3:$B$1084=$A104)*(Boxes!$D$3:$D$1084="REF")*Boxes!$J$3:$J$1084)+SUMPRODUCT((Boxes!$B$3:$B$1084=$A104)*(Boxes!$D$3:$D$1084="CCR")*Boxes!$F$3:$F$1084)*SUMPRODUCT((Boxes!$B$3:$B$1084=$A104)*(Boxes!$D$3:$D$1084="CCR")*Boxes!$J$3:$J$1084)</f>
        <v/>
      </c>
      <c r="J104" s="26">
        <f>SUMPRODUCT((Boxes!$B$3:$B$1084=$A104)*(Boxes!$D$3:$D$1084="ISOM")*Boxes!$F$3:$F$1084)*SUMPRODUCT((Boxes!$B$3:$B$1084=$A104)*(Boxes!$D$3:$D$1084="ISOM")*Boxes!$J$3:$J$1084)</f>
        <v/>
      </c>
      <c r="K104" s="26">
        <f>SUMPRODUCT((Boxes!$A$3:$A$1084="TOTAL")*(Boxes!$B$3:$B$1084=$A104)*Boxes!$P$3:$P$1084)</f>
        <v/>
      </c>
      <c r="L104" s="25">
        <f>SUMIFS(Data!$N$3:$N$125,Data!$A$3:$A$125,$A104)</f>
        <v/>
      </c>
      <c r="M104" s="25">
        <f>IFERROR($K104/(SUMIFS(Data!$G$3:$G$125,Data!$A$3:$A$125,$A104)*$D104),"")</f>
        <v/>
      </c>
      <c r="N104" s="43">
        <f>IF($M104="","",$M104-$L104)</f>
        <v/>
      </c>
      <c r="O104" s="41">
        <f>IF(AND($H104&gt;0,$G104&gt;$H104*1.05),"SR &gt; NHT cap","")</f>
        <v/>
      </c>
    </row>
    <row r="105">
      <c r="A105" s="18" t="inlineStr">
        <is>
          <t>PAR_TACOMA</t>
        </is>
      </c>
      <c r="B105" s="18" t="n">
        <v>5</v>
      </c>
      <c r="C105" s="21">
        <f>SUMPRODUCT((Boxes!$B$3:$B$1084=$A105)*(Boxes!$D$3:$D$1084="CDU")*Boxes!$F$3:$F$1084)</f>
        <v/>
      </c>
      <c r="D105" s="35">
        <f>SUMPRODUCT((Boxes!$B$3:$B$1084=$A105)*(Boxes!$D$3:$D$1084="CDU")*Boxes!$J$3:$J$1084)</f>
        <v/>
      </c>
      <c r="E105" s="21">
        <f>$C105*$D105</f>
        <v/>
      </c>
      <c r="F105" s="24">
        <f>SUMPRODUCT((Boxes!$B$3:$B$1084=$A105)*(Boxes!$D$3:$D$1084="CDU")*Boxes!$O$3:$O$1084)</f>
        <v/>
      </c>
      <c r="G105" s="26">
        <f>$E105*$F105</f>
        <v/>
      </c>
      <c r="H105" s="21">
        <f>SUMPRODUCT((Boxes!$B$3:$B$1084=$A105)*(Boxes!$D$3:$D$1084="NHT")*Boxes!$F$3:$F$1084)</f>
        <v/>
      </c>
      <c r="I105" s="26">
        <f>SUMPRODUCT((Boxes!$B$3:$B$1084=$A105)*(Boxes!$D$3:$D$1084="REF")*Boxes!$F$3:$F$1084)*SUMPRODUCT((Boxes!$B$3:$B$1084=$A105)*(Boxes!$D$3:$D$1084="REF")*Boxes!$J$3:$J$1084)+SUMPRODUCT((Boxes!$B$3:$B$1084=$A105)*(Boxes!$D$3:$D$1084="CCR")*Boxes!$F$3:$F$1084)*SUMPRODUCT((Boxes!$B$3:$B$1084=$A105)*(Boxes!$D$3:$D$1084="CCR")*Boxes!$J$3:$J$1084)</f>
        <v/>
      </c>
      <c r="J105" s="26">
        <f>SUMPRODUCT((Boxes!$B$3:$B$1084=$A105)*(Boxes!$D$3:$D$1084="ISOM")*Boxes!$F$3:$F$1084)*SUMPRODUCT((Boxes!$B$3:$B$1084=$A105)*(Boxes!$D$3:$D$1084="ISOM")*Boxes!$J$3:$J$1084)</f>
        <v/>
      </c>
      <c r="K105" s="26">
        <f>SUMPRODUCT((Boxes!$A$3:$A$1084="TOTAL")*(Boxes!$B$3:$B$1084=$A105)*Boxes!$P$3:$P$1084)</f>
        <v/>
      </c>
      <c r="L105" s="25">
        <f>SUMIFS(Data!$N$3:$N$125,Data!$A$3:$A$125,$A105)</f>
        <v/>
      </c>
      <c r="M105" s="25">
        <f>IFERROR($K105/(SUMIFS(Data!$G$3:$G$125,Data!$A$3:$A$125,$A105)*$D105),"")</f>
        <v/>
      </c>
      <c r="N105" s="43">
        <f>IF($M105="","",$M105-$L105)</f>
        <v/>
      </c>
      <c r="O105" s="41">
        <f>IF(AND($H105&gt;0,$G105&gt;$H105*1.05),"SR &gt; NHT cap","")</f>
        <v/>
      </c>
    </row>
    <row r="106">
      <c r="A106" s="18" t="inlineStr">
        <is>
          <t>KERN_BAKERSFIELD</t>
        </is>
      </c>
      <c r="B106" s="18" t="n">
        <v>5</v>
      </c>
      <c r="C106" s="21">
        <f>SUMPRODUCT((Boxes!$B$3:$B$1084=$A106)*(Boxes!$D$3:$D$1084="CDU")*Boxes!$F$3:$F$1084)</f>
        <v/>
      </c>
      <c r="D106" s="35">
        <f>SUMPRODUCT((Boxes!$B$3:$B$1084=$A106)*(Boxes!$D$3:$D$1084="CDU")*Boxes!$J$3:$J$1084)</f>
        <v/>
      </c>
      <c r="E106" s="21">
        <f>$C106*$D106</f>
        <v/>
      </c>
      <c r="F106" s="24">
        <f>SUMPRODUCT((Boxes!$B$3:$B$1084=$A106)*(Boxes!$D$3:$D$1084="CDU")*Boxes!$O$3:$O$1084)</f>
        <v/>
      </c>
      <c r="G106" s="26">
        <f>$E106*$F106</f>
        <v/>
      </c>
      <c r="H106" s="21">
        <f>SUMPRODUCT((Boxes!$B$3:$B$1084=$A106)*(Boxes!$D$3:$D$1084="NHT")*Boxes!$F$3:$F$1084)</f>
        <v/>
      </c>
      <c r="I106" s="26">
        <f>SUMPRODUCT((Boxes!$B$3:$B$1084=$A106)*(Boxes!$D$3:$D$1084="REF")*Boxes!$F$3:$F$1084)*SUMPRODUCT((Boxes!$B$3:$B$1084=$A106)*(Boxes!$D$3:$D$1084="REF")*Boxes!$J$3:$J$1084)+SUMPRODUCT((Boxes!$B$3:$B$1084=$A106)*(Boxes!$D$3:$D$1084="CCR")*Boxes!$F$3:$F$1084)*SUMPRODUCT((Boxes!$B$3:$B$1084=$A106)*(Boxes!$D$3:$D$1084="CCR")*Boxes!$J$3:$J$1084)</f>
        <v/>
      </c>
      <c r="J106" s="26">
        <f>SUMPRODUCT((Boxes!$B$3:$B$1084=$A106)*(Boxes!$D$3:$D$1084="ISOM")*Boxes!$F$3:$F$1084)*SUMPRODUCT((Boxes!$B$3:$B$1084=$A106)*(Boxes!$D$3:$D$1084="ISOM")*Boxes!$J$3:$J$1084)</f>
        <v/>
      </c>
      <c r="K106" s="26">
        <f>SUMPRODUCT((Boxes!$A$3:$A$1084="TOTAL")*(Boxes!$B$3:$B$1084=$A106)*Boxes!$P$3:$P$1084)</f>
        <v/>
      </c>
      <c r="L106" s="25">
        <f>SUMIFS(Data!$N$3:$N$125,Data!$A$3:$A$125,$A106)</f>
        <v/>
      </c>
      <c r="M106" s="25">
        <f>IFERROR($K106/(SUMIFS(Data!$G$3:$G$125,Data!$A$3:$A$125,$A106)*$D106),"")</f>
        <v/>
      </c>
      <c r="N106" s="43">
        <f>IF($M106="","",$M106-$L106)</f>
        <v/>
      </c>
      <c r="O106" s="41">
        <f>IF(AND($H106&gt;0,$G106&gt;$H106*1.05),"SR &gt; NHT cap","")</f>
        <v/>
      </c>
    </row>
    <row r="107">
      <c r="A107" s="18" t="inlineStr">
        <is>
          <t>SAN_BAKERSFIELD</t>
        </is>
      </c>
      <c r="B107" s="18" t="n">
        <v>5</v>
      </c>
      <c r="C107" s="21">
        <f>SUMPRODUCT((Boxes!$B$3:$B$1084=$A107)*(Boxes!$D$3:$D$1084="CDU")*Boxes!$F$3:$F$1084)</f>
        <v/>
      </c>
      <c r="D107" s="35">
        <f>SUMPRODUCT((Boxes!$B$3:$B$1084=$A107)*(Boxes!$D$3:$D$1084="CDU")*Boxes!$J$3:$J$1084)</f>
        <v/>
      </c>
      <c r="E107" s="21">
        <f>$C107*$D107</f>
        <v/>
      </c>
      <c r="F107" s="24">
        <f>SUMPRODUCT((Boxes!$B$3:$B$1084=$A107)*(Boxes!$D$3:$D$1084="CDU")*Boxes!$O$3:$O$1084)</f>
        <v/>
      </c>
      <c r="G107" s="26">
        <f>$E107*$F107</f>
        <v/>
      </c>
      <c r="H107" s="21">
        <f>SUMPRODUCT((Boxes!$B$3:$B$1084=$A107)*(Boxes!$D$3:$D$1084="NHT")*Boxes!$F$3:$F$1084)</f>
        <v/>
      </c>
      <c r="I107" s="26">
        <f>SUMPRODUCT((Boxes!$B$3:$B$1084=$A107)*(Boxes!$D$3:$D$1084="REF")*Boxes!$F$3:$F$1084)*SUMPRODUCT((Boxes!$B$3:$B$1084=$A107)*(Boxes!$D$3:$D$1084="REF")*Boxes!$J$3:$J$1084)+SUMPRODUCT((Boxes!$B$3:$B$1084=$A107)*(Boxes!$D$3:$D$1084="CCR")*Boxes!$F$3:$F$1084)*SUMPRODUCT((Boxes!$B$3:$B$1084=$A107)*(Boxes!$D$3:$D$1084="CCR")*Boxes!$J$3:$J$1084)</f>
        <v/>
      </c>
      <c r="J107" s="26">
        <f>SUMPRODUCT((Boxes!$B$3:$B$1084=$A107)*(Boxes!$D$3:$D$1084="ISOM")*Boxes!$F$3:$F$1084)*SUMPRODUCT((Boxes!$B$3:$B$1084=$A107)*(Boxes!$D$3:$D$1084="ISOM")*Boxes!$J$3:$J$1084)</f>
        <v/>
      </c>
      <c r="K107" s="26">
        <f>SUMPRODUCT((Boxes!$A$3:$A$1084="TOTAL")*(Boxes!$B$3:$B$1084=$A107)*Boxes!$P$3:$P$1084)</f>
        <v/>
      </c>
      <c r="L107" s="25">
        <f>SUMIFS(Data!$N$3:$N$125,Data!$A$3:$A$125,$A107)</f>
        <v/>
      </c>
      <c r="M107" s="25">
        <f>IFERROR($K107/(SUMIFS(Data!$G$3:$G$125,Data!$A$3:$A$125,$A107)*$D107),"")</f>
        <v/>
      </c>
      <c r="N107" s="43">
        <f>IF($M107="","",$M107-$L107)</f>
        <v/>
      </c>
      <c r="O107" s="41">
        <f>IF(AND($H107&gt;0,$G107&gt;$H107*1.05),"SR &gt; NHT cap","")</f>
        <v/>
      </c>
    </row>
    <row r="108">
      <c r="A108" s="18" t="inlineStr">
        <is>
          <t>PETRO_NORTH_POLE</t>
        </is>
      </c>
      <c r="B108" s="18" t="n">
        <v>5</v>
      </c>
      <c r="C108" s="21">
        <f>SUMPRODUCT((Boxes!$B$3:$B$1084=$A108)*(Boxes!$D$3:$D$1084="CDU")*Boxes!$F$3:$F$1084)</f>
        <v/>
      </c>
      <c r="D108" s="35">
        <f>SUMPRODUCT((Boxes!$B$3:$B$1084=$A108)*(Boxes!$D$3:$D$1084="CDU")*Boxes!$J$3:$J$1084)</f>
        <v/>
      </c>
      <c r="E108" s="21">
        <f>$C108*$D108</f>
        <v/>
      </c>
      <c r="F108" s="24">
        <f>SUMPRODUCT((Boxes!$B$3:$B$1084=$A108)*(Boxes!$D$3:$D$1084="CDU")*Boxes!$O$3:$O$1084)</f>
        <v/>
      </c>
      <c r="G108" s="26">
        <f>$E108*$F108</f>
        <v/>
      </c>
      <c r="H108" s="21">
        <f>SUMPRODUCT((Boxes!$B$3:$B$1084=$A108)*(Boxes!$D$3:$D$1084="NHT")*Boxes!$F$3:$F$1084)</f>
        <v/>
      </c>
      <c r="I108" s="26">
        <f>SUMPRODUCT((Boxes!$B$3:$B$1084=$A108)*(Boxes!$D$3:$D$1084="REF")*Boxes!$F$3:$F$1084)*SUMPRODUCT((Boxes!$B$3:$B$1084=$A108)*(Boxes!$D$3:$D$1084="REF")*Boxes!$J$3:$J$1084)+SUMPRODUCT((Boxes!$B$3:$B$1084=$A108)*(Boxes!$D$3:$D$1084="CCR")*Boxes!$F$3:$F$1084)*SUMPRODUCT((Boxes!$B$3:$B$1084=$A108)*(Boxes!$D$3:$D$1084="CCR")*Boxes!$J$3:$J$1084)</f>
        <v/>
      </c>
      <c r="J108" s="26">
        <f>SUMPRODUCT((Boxes!$B$3:$B$1084=$A108)*(Boxes!$D$3:$D$1084="ISOM")*Boxes!$F$3:$F$1084)*SUMPRODUCT((Boxes!$B$3:$B$1084=$A108)*(Boxes!$D$3:$D$1084="ISOM")*Boxes!$J$3:$J$1084)</f>
        <v/>
      </c>
      <c r="K108" s="26">
        <f>SUMPRODUCT((Boxes!$A$3:$A$1084="TOTAL")*(Boxes!$B$3:$B$1084=$A108)*Boxes!$P$3:$P$1084)</f>
        <v/>
      </c>
      <c r="L108" s="25">
        <f>SUMIFS(Data!$N$3:$N$125,Data!$A$3:$A$125,$A108)</f>
        <v/>
      </c>
      <c r="M108" s="25">
        <f>IFERROR($K108/(SUMIFS(Data!$G$3:$G$125,Data!$A$3:$A$125,$A108)*$D108),"")</f>
        <v/>
      </c>
      <c r="N108" s="43">
        <f>IF($M108="","",$M108-$L108)</f>
        <v/>
      </c>
      <c r="O108" s="41">
        <f>IF(AND($H108&gt;0,$G108&gt;$H108*1.05),"SR &gt; NHT cap","")</f>
        <v/>
      </c>
    </row>
    <row r="109">
      <c r="A109" s="18" t="inlineStr">
        <is>
          <t>BP_PRUDHOE_BAY</t>
        </is>
      </c>
      <c r="B109" s="18" t="n">
        <v>5</v>
      </c>
      <c r="C109" s="21">
        <f>SUMPRODUCT((Boxes!$B$3:$B$1084=$A109)*(Boxes!$D$3:$D$1084="CDU")*Boxes!$F$3:$F$1084)</f>
        <v/>
      </c>
      <c r="D109" s="35">
        <f>SUMPRODUCT((Boxes!$B$3:$B$1084=$A109)*(Boxes!$D$3:$D$1084="CDU")*Boxes!$J$3:$J$1084)</f>
        <v/>
      </c>
      <c r="E109" s="21">
        <f>$C109*$D109</f>
        <v/>
      </c>
      <c r="F109" s="24">
        <f>SUMPRODUCT((Boxes!$B$3:$B$1084=$A109)*(Boxes!$D$3:$D$1084="CDU")*Boxes!$O$3:$O$1084)</f>
        <v/>
      </c>
      <c r="G109" s="26">
        <f>$E109*$F109</f>
        <v/>
      </c>
      <c r="H109" s="21">
        <f>SUMPRODUCT((Boxes!$B$3:$B$1084=$A109)*(Boxes!$D$3:$D$1084="NHT")*Boxes!$F$3:$F$1084)</f>
        <v/>
      </c>
      <c r="I109" s="26">
        <f>SUMPRODUCT((Boxes!$B$3:$B$1084=$A109)*(Boxes!$D$3:$D$1084="REF")*Boxes!$F$3:$F$1084)*SUMPRODUCT((Boxes!$B$3:$B$1084=$A109)*(Boxes!$D$3:$D$1084="REF")*Boxes!$J$3:$J$1084)+SUMPRODUCT((Boxes!$B$3:$B$1084=$A109)*(Boxes!$D$3:$D$1084="CCR")*Boxes!$F$3:$F$1084)*SUMPRODUCT((Boxes!$B$3:$B$1084=$A109)*(Boxes!$D$3:$D$1084="CCR")*Boxes!$J$3:$J$1084)</f>
        <v/>
      </c>
      <c r="J109" s="26">
        <f>SUMPRODUCT((Boxes!$B$3:$B$1084=$A109)*(Boxes!$D$3:$D$1084="ISOM")*Boxes!$F$3:$F$1084)*SUMPRODUCT((Boxes!$B$3:$B$1084=$A109)*(Boxes!$D$3:$D$1084="ISOM")*Boxes!$J$3:$J$1084)</f>
        <v/>
      </c>
      <c r="K109" s="26">
        <f>SUMPRODUCT((Boxes!$A$3:$A$1084="TOTAL")*(Boxes!$B$3:$B$1084=$A109)*Boxes!$P$3:$P$1084)</f>
        <v/>
      </c>
      <c r="L109" s="25">
        <f>SUMIFS(Data!$N$3:$N$125,Data!$A$3:$A$125,$A109)</f>
        <v/>
      </c>
      <c r="M109" s="25">
        <f>IFERROR($K109/(SUMIFS(Data!$G$3:$G$125,Data!$A$3:$A$125,$A109)*$D109),"")</f>
        <v/>
      </c>
      <c r="N109" s="43">
        <f>IF($M109="","",$M109-$L109)</f>
        <v/>
      </c>
      <c r="O109" s="41">
        <f>IF(AND($H109&gt;0,$G109&gt;$H109*1.05),"SR &gt; NHT cap","")</f>
        <v/>
      </c>
    </row>
    <row r="110">
      <c r="A110" s="18" t="inlineStr">
        <is>
          <t>CONOCOPHILLIPS_ANCHORAGE</t>
        </is>
      </c>
      <c r="B110" s="18" t="n">
        <v>5</v>
      </c>
      <c r="C110" s="21">
        <f>SUMPRODUCT((Boxes!$B$3:$B$1084=$A110)*(Boxes!$D$3:$D$1084="CDU")*Boxes!$F$3:$F$1084)</f>
        <v/>
      </c>
      <c r="D110" s="35">
        <f>SUMPRODUCT((Boxes!$B$3:$B$1084=$A110)*(Boxes!$D$3:$D$1084="CDU")*Boxes!$J$3:$J$1084)</f>
        <v/>
      </c>
      <c r="E110" s="21">
        <f>$C110*$D110</f>
        <v/>
      </c>
      <c r="F110" s="24">
        <f>SUMPRODUCT((Boxes!$B$3:$B$1084=$A110)*(Boxes!$D$3:$D$1084="CDU")*Boxes!$O$3:$O$1084)</f>
        <v/>
      </c>
      <c r="G110" s="26">
        <f>$E110*$F110</f>
        <v/>
      </c>
      <c r="H110" s="21">
        <f>SUMPRODUCT((Boxes!$B$3:$B$1084=$A110)*(Boxes!$D$3:$D$1084="NHT")*Boxes!$F$3:$F$1084)</f>
        <v/>
      </c>
      <c r="I110" s="26">
        <f>SUMPRODUCT((Boxes!$B$3:$B$1084=$A110)*(Boxes!$D$3:$D$1084="REF")*Boxes!$F$3:$F$1084)*SUMPRODUCT((Boxes!$B$3:$B$1084=$A110)*(Boxes!$D$3:$D$1084="REF")*Boxes!$J$3:$J$1084)+SUMPRODUCT((Boxes!$B$3:$B$1084=$A110)*(Boxes!$D$3:$D$1084="CCR")*Boxes!$F$3:$F$1084)*SUMPRODUCT((Boxes!$B$3:$B$1084=$A110)*(Boxes!$D$3:$D$1084="CCR")*Boxes!$J$3:$J$1084)</f>
        <v/>
      </c>
      <c r="J110" s="26">
        <f>SUMPRODUCT((Boxes!$B$3:$B$1084=$A110)*(Boxes!$D$3:$D$1084="ISOM")*Boxes!$F$3:$F$1084)*SUMPRODUCT((Boxes!$B$3:$B$1084=$A110)*(Boxes!$D$3:$D$1084="ISOM")*Boxes!$J$3:$J$1084)</f>
        <v/>
      </c>
      <c r="K110" s="26">
        <f>SUMPRODUCT((Boxes!$A$3:$A$1084="TOTAL")*(Boxes!$B$3:$B$1084=$A110)*Boxes!$P$3:$P$1084)</f>
        <v/>
      </c>
      <c r="L110" s="25">
        <f>SUMIFS(Data!$N$3:$N$125,Data!$A$3:$A$125,$A110)</f>
        <v/>
      </c>
      <c r="M110" s="25">
        <f>IFERROR($K110/(SUMIFS(Data!$G$3:$G$125,Data!$A$3:$A$125,$A110)*$D110),"")</f>
        <v/>
      </c>
      <c r="N110" s="43">
        <f>IF($M110="","",$M110-$L110)</f>
        <v/>
      </c>
      <c r="O110" s="41">
        <f>IF(AND($H110&gt;0,$G110&gt;$H110*1.05),"SR &gt; NHT cap","")</f>
        <v/>
      </c>
    </row>
    <row r="111">
      <c r="A111" s="18" t="inlineStr">
        <is>
          <t>LUNDAYTHAGARD_SOUTH_GATE</t>
        </is>
      </c>
      <c r="B111" s="18" t="n">
        <v>5</v>
      </c>
      <c r="C111" s="21">
        <f>SUMPRODUCT((Boxes!$B$3:$B$1084=$A111)*(Boxes!$D$3:$D$1084="CDU")*Boxes!$F$3:$F$1084)</f>
        <v/>
      </c>
      <c r="D111" s="35">
        <f>SUMPRODUCT((Boxes!$B$3:$B$1084=$A111)*(Boxes!$D$3:$D$1084="CDU")*Boxes!$J$3:$J$1084)</f>
        <v/>
      </c>
      <c r="E111" s="21">
        <f>$C111*$D111</f>
        <v/>
      </c>
      <c r="F111" s="24">
        <f>SUMPRODUCT((Boxes!$B$3:$B$1084=$A111)*(Boxes!$D$3:$D$1084="CDU")*Boxes!$O$3:$O$1084)</f>
        <v/>
      </c>
      <c r="G111" s="26">
        <f>$E111*$F111</f>
        <v/>
      </c>
      <c r="H111" s="21">
        <f>SUMPRODUCT((Boxes!$B$3:$B$1084=$A111)*(Boxes!$D$3:$D$1084="NHT")*Boxes!$F$3:$F$1084)</f>
        <v/>
      </c>
      <c r="I111" s="26">
        <f>SUMPRODUCT((Boxes!$B$3:$B$1084=$A111)*(Boxes!$D$3:$D$1084="REF")*Boxes!$F$3:$F$1084)*SUMPRODUCT((Boxes!$B$3:$B$1084=$A111)*(Boxes!$D$3:$D$1084="REF")*Boxes!$J$3:$J$1084)+SUMPRODUCT((Boxes!$B$3:$B$1084=$A111)*(Boxes!$D$3:$D$1084="CCR")*Boxes!$F$3:$F$1084)*SUMPRODUCT((Boxes!$B$3:$B$1084=$A111)*(Boxes!$D$3:$D$1084="CCR")*Boxes!$J$3:$J$1084)</f>
        <v/>
      </c>
      <c r="J111" s="26">
        <f>SUMPRODUCT((Boxes!$B$3:$B$1084=$A111)*(Boxes!$D$3:$D$1084="ISOM")*Boxes!$F$3:$F$1084)*SUMPRODUCT((Boxes!$B$3:$B$1084=$A111)*(Boxes!$D$3:$D$1084="ISOM")*Boxes!$J$3:$J$1084)</f>
        <v/>
      </c>
      <c r="K111" s="26">
        <f>SUMPRODUCT((Boxes!$A$3:$A$1084="TOTAL")*(Boxes!$B$3:$B$1084=$A111)*Boxes!$P$3:$P$1084)</f>
        <v/>
      </c>
      <c r="L111" s="25">
        <f>SUMIFS(Data!$N$3:$N$125,Data!$A$3:$A$125,$A111)</f>
        <v/>
      </c>
      <c r="M111" s="25">
        <f>IFERROR($K111/(SUMIFS(Data!$G$3:$G$125,Data!$A$3:$A$125,$A111)*$D111),"")</f>
        <v/>
      </c>
      <c r="N111" s="43">
        <f>IF($M111="","",$M111-$L111)</f>
        <v/>
      </c>
      <c r="O111" s="41">
        <f>IF(AND($H111&gt;0,$G111&gt;$H111*1.05),"SR &gt; NHT cap","")</f>
        <v/>
      </c>
    </row>
    <row r="112">
      <c r="A112" s="18" t="inlineStr">
        <is>
          <t>FORELAND_TONOPAH</t>
        </is>
      </c>
      <c r="B112" s="18" t="n">
        <v>5</v>
      </c>
      <c r="C112" s="21">
        <f>SUMPRODUCT((Boxes!$B$3:$B$1084=$A112)*(Boxes!$D$3:$D$1084="CDU")*Boxes!$F$3:$F$1084)</f>
        <v/>
      </c>
      <c r="D112" s="35">
        <f>SUMPRODUCT((Boxes!$B$3:$B$1084=$A112)*(Boxes!$D$3:$D$1084="CDU")*Boxes!$J$3:$J$1084)</f>
        <v/>
      </c>
      <c r="E112" s="21">
        <f>$C112*$D112</f>
        <v/>
      </c>
      <c r="F112" s="24">
        <f>SUMPRODUCT((Boxes!$B$3:$B$1084=$A112)*(Boxes!$D$3:$D$1084="CDU")*Boxes!$O$3:$O$1084)</f>
        <v/>
      </c>
      <c r="G112" s="26">
        <f>$E112*$F112</f>
        <v/>
      </c>
      <c r="H112" s="21">
        <f>SUMPRODUCT((Boxes!$B$3:$B$1084=$A112)*(Boxes!$D$3:$D$1084="NHT")*Boxes!$F$3:$F$1084)</f>
        <v/>
      </c>
      <c r="I112" s="26">
        <f>SUMPRODUCT((Boxes!$B$3:$B$1084=$A112)*(Boxes!$D$3:$D$1084="REF")*Boxes!$F$3:$F$1084)*SUMPRODUCT((Boxes!$B$3:$B$1084=$A112)*(Boxes!$D$3:$D$1084="REF")*Boxes!$J$3:$J$1084)+SUMPRODUCT((Boxes!$B$3:$B$1084=$A112)*(Boxes!$D$3:$D$1084="CCR")*Boxes!$F$3:$F$1084)*SUMPRODUCT((Boxes!$B$3:$B$1084=$A112)*(Boxes!$D$3:$D$1084="CCR")*Boxes!$J$3:$J$1084)</f>
        <v/>
      </c>
      <c r="J112" s="26">
        <f>SUMPRODUCT((Boxes!$B$3:$B$1084=$A112)*(Boxes!$D$3:$D$1084="ISOM")*Boxes!$F$3:$F$1084)*SUMPRODUCT((Boxes!$B$3:$B$1084=$A112)*(Boxes!$D$3:$D$1084="ISOM")*Boxes!$J$3:$J$1084)</f>
        <v/>
      </c>
      <c r="K112" s="26">
        <f>SUMPRODUCT((Boxes!$A$3:$A$1084="TOTAL")*(Boxes!$B$3:$B$1084=$A112)*Boxes!$P$3:$P$1084)</f>
        <v/>
      </c>
      <c r="L112" s="25">
        <f>SUMIFS(Data!$N$3:$N$125,Data!$A$3:$A$125,$A112)</f>
        <v/>
      </c>
      <c r="M112" s="25">
        <f>IFERROR($K112/(SUMIFS(Data!$G$3:$G$125,Data!$A$3:$A$125,$A112)*$D112),"")</f>
        <v/>
      </c>
      <c r="N112" s="43">
        <f>IF($M112="","",$M112-$L112)</f>
        <v/>
      </c>
      <c r="O112" s="41">
        <f>IF(AND($H112&gt;0,$G112&gt;$H112*1.05),"SR &gt; NHT cap","")</f>
        <v/>
      </c>
    </row>
    <row r="113">
      <c r="A113" s="18" t="inlineStr">
        <is>
          <t>VALERO_BENICIA</t>
        </is>
      </c>
      <c r="B113" s="18" t="n">
        <v>5</v>
      </c>
      <c r="C113" s="21">
        <f>SUMPRODUCT((Boxes!$B$3:$B$1084=$A113)*(Boxes!$D$3:$D$1084="CDU")*Boxes!$F$3:$F$1084)</f>
        <v/>
      </c>
      <c r="D113" s="35">
        <f>SUMPRODUCT((Boxes!$B$3:$B$1084=$A113)*(Boxes!$D$3:$D$1084="CDU")*Boxes!$J$3:$J$1084)</f>
        <v/>
      </c>
      <c r="E113" s="21">
        <f>$C113*$D113</f>
        <v/>
      </c>
      <c r="F113" s="24">
        <f>SUMPRODUCT((Boxes!$B$3:$B$1084=$A113)*(Boxes!$D$3:$D$1084="CDU")*Boxes!$O$3:$O$1084)</f>
        <v/>
      </c>
      <c r="G113" s="26">
        <f>$E113*$F113</f>
        <v/>
      </c>
      <c r="H113" s="21">
        <f>SUMPRODUCT((Boxes!$B$3:$B$1084=$A113)*(Boxes!$D$3:$D$1084="NHT")*Boxes!$F$3:$F$1084)</f>
        <v/>
      </c>
      <c r="I113" s="26">
        <f>SUMPRODUCT((Boxes!$B$3:$B$1084=$A113)*(Boxes!$D$3:$D$1084="REF")*Boxes!$F$3:$F$1084)*SUMPRODUCT((Boxes!$B$3:$B$1084=$A113)*(Boxes!$D$3:$D$1084="REF")*Boxes!$J$3:$J$1084)+SUMPRODUCT((Boxes!$B$3:$B$1084=$A113)*(Boxes!$D$3:$D$1084="CCR")*Boxes!$F$3:$F$1084)*SUMPRODUCT((Boxes!$B$3:$B$1084=$A113)*(Boxes!$D$3:$D$1084="CCR")*Boxes!$J$3:$J$1084)</f>
        <v/>
      </c>
      <c r="J113" s="26">
        <f>SUMPRODUCT((Boxes!$B$3:$B$1084=$A113)*(Boxes!$D$3:$D$1084="ISOM")*Boxes!$F$3:$F$1084)*SUMPRODUCT((Boxes!$B$3:$B$1084=$A113)*(Boxes!$D$3:$D$1084="ISOM")*Boxes!$J$3:$J$1084)</f>
        <v/>
      </c>
      <c r="K113" s="26">
        <f>SUMPRODUCT((Boxes!$A$3:$A$1084="TOTAL")*(Boxes!$B$3:$B$1084=$A113)*Boxes!$P$3:$P$1084)</f>
        <v/>
      </c>
      <c r="L113" s="25">
        <f>SUMIFS(Data!$N$3:$N$125,Data!$A$3:$A$125,$A113)</f>
        <v/>
      </c>
      <c r="M113" s="25">
        <f>IFERROR($K113/(SUMIFS(Data!$G$3:$G$125,Data!$A$3:$A$125,$A113)*$D113),"")</f>
        <v/>
      </c>
      <c r="N113" s="43">
        <f>IF($M113="","",$M113-$L113)</f>
        <v/>
      </c>
      <c r="O113" s="41">
        <f>IF(AND($H113&gt;0,$G113&gt;$H113*1.05),"SR &gt; NHT cap","")</f>
        <v/>
      </c>
    </row>
  </sheetData>
  <mergeCells count="1">
    <mergeCell ref="A1:M1"/>
  </mergeCells>
  <conditionalFormatting sqref="N3:N113">
    <cfRule type="cellIs" priority="1" operator="greaterThan" dxfId="0">
      <formula>0.02</formula>
    </cfRule>
    <cfRule type="cellIs" priority="2" operator="lessThan" dxfId="0">
      <formula>-0.02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2026-07-08T02:13:38Z</dcterms:created>
  <dcterms:modified xsi:type="dcterms:W3CDTF">2026-07-08T02:13:39Z</dcterms:modified>
</cp:coreProperties>
</file>